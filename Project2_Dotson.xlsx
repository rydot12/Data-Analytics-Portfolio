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c7ec4673245cf28/Desktop/Data 600/Module 3/"/>
    </mc:Choice>
  </mc:AlternateContent>
  <xr:revisionPtr revIDLastSave="882" documentId="8_{A08298A3-2079-46B8-9015-A404C387EE5E}" xr6:coauthVersionLast="47" xr6:coauthVersionMax="47" xr10:uidLastSave="{BA211EF8-5D00-4065-830D-6323597F2F50}"/>
  <bookViews>
    <workbookView minimized="1" xWindow="1044" yWindow="1812" windowWidth="21600" windowHeight="11868" activeTab="1" xr2:uid="{00000000-000D-0000-FFFF-FFFF00000000}"/>
  </bookViews>
  <sheets>
    <sheet name="CustomerDemographics_SalesData_" sheetId="1" r:id="rId1"/>
    <sheet name="A1" sheetId="2" r:id="rId2"/>
    <sheet name="A2" sheetId="3" r:id="rId3"/>
    <sheet name="B1" sheetId="4" r:id="rId4"/>
    <sheet name="B2" sheetId="5" r:id="rId5"/>
    <sheet name="B3" sheetId="6" r:id="rId6"/>
    <sheet name="B4" sheetId="7" r:id="rId7"/>
    <sheet name="B5" sheetId="9" r:id="rId8"/>
    <sheet name="B6" sheetId="14" r:id="rId9"/>
  </sheets>
  <definedNames>
    <definedName name="_xlnm._FilterDatabase" localSheetId="0" hidden="1">CustomerDemographics_SalesData_!$A$1:$S$1284</definedName>
    <definedName name="_xlchart.v1.0" hidden="1">'A1'!$A$1</definedName>
    <definedName name="_xlchart.v1.1" hidden="1">'A1'!$A$2:$A$1284</definedName>
    <definedName name="_xlchart.v1.2" hidden="1">'A1'!$A$1</definedName>
    <definedName name="_xlchart.v1.3" hidden="1">'A1'!$A$2:$A$1284</definedName>
    <definedName name="_xlchart.v1.4" hidden="1">'A1'!$A$1</definedName>
    <definedName name="_xlchart.v1.5" hidden="1">'A1'!$A$2:$A$1284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F2" i="7"/>
  <c r="E2" i="7"/>
  <c r="D2" i="6" l="1"/>
  <c r="C2" i="6"/>
  <c r="I7" i="5"/>
  <c r="H7" i="5"/>
  <c r="G7" i="5"/>
  <c r="F7" i="5"/>
  <c r="E7" i="5"/>
  <c r="D7"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H9" i="4"/>
  <c r="G9" i="4"/>
  <c r="F9" i="4"/>
  <c r="E9" i="4"/>
  <c r="D9" i="4"/>
  <c r="C9" i="4"/>
  <c r="J11" i="2"/>
  <c r="I11" i="2"/>
  <c r="H11" i="2"/>
  <c r="G11" i="2"/>
  <c r="F11" i="2"/>
  <c r="E11" i="2"/>
  <c r="D11" i="2"/>
  <c r="K11" i="2" l="1"/>
  <c r="F14" i="2" s="1"/>
  <c r="D14" i="2" l="1"/>
  <c r="E14" i="2"/>
</calcChain>
</file>

<file path=xl/sharedStrings.xml><?xml version="1.0" encoding="utf-8"?>
<sst xmlns="http://schemas.openxmlformats.org/spreadsheetml/2006/main" count="18217" uniqueCount="2302">
  <si>
    <t>id</t>
  </si>
  <si>
    <t>first_name</t>
  </si>
  <si>
    <t>last_name</t>
  </si>
  <si>
    <t>email</t>
  </si>
  <si>
    <t>UserName</t>
  </si>
  <si>
    <t>CompanyName</t>
  </si>
  <si>
    <t>JobTitle</t>
  </si>
  <si>
    <t>gender</t>
  </si>
  <si>
    <t>Race</t>
  </si>
  <si>
    <t>purchase</t>
  </si>
  <si>
    <t>credit_card_type</t>
  </si>
  <si>
    <t>date</t>
  </si>
  <si>
    <t>State/Province</t>
  </si>
  <si>
    <t>City</t>
  </si>
  <si>
    <t>PostalCode</t>
  </si>
  <si>
    <t>Country</t>
  </si>
  <si>
    <t>Amy</t>
  </si>
  <si>
    <t>Jordan</t>
  </si>
  <si>
    <t>ajordank@ed.gov</t>
  </si>
  <si>
    <t>ajordank</t>
  </si>
  <si>
    <t>Fadeo</t>
  </si>
  <si>
    <t>Electrical Engineer</t>
  </si>
  <si>
    <t>Female</t>
  </si>
  <si>
    <t>Black or African American</t>
  </si>
  <si>
    <t>china-unionpay</t>
  </si>
  <si>
    <t>Michigan</t>
  </si>
  <si>
    <t>Flint</t>
  </si>
  <si>
    <t>United States</t>
  </si>
  <si>
    <t>Harold</t>
  </si>
  <si>
    <t>Morris</t>
  </si>
  <si>
    <t>hmorrislf@is.gd</t>
  </si>
  <si>
    <t>hmorrislf</t>
  </si>
  <si>
    <t>Thoughtstorm</t>
  </si>
  <si>
    <t>Human Resources Assistant I</t>
  </si>
  <si>
    <t>Male</t>
  </si>
  <si>
    <t>Asian</t>
  </si>
  <si>
    <t>jcb</t>
  </si>
  <si>
    <t>California</t>
  </si>
  <si>
    <t>San Luis Obispo</t>
  </si>
  <si>
    <t>Paul</t>
  </si>
  <si>
    <t>Rodriguez</t>
  </si>
  <si>
    <t>prodriguezej@businessweek.com</t>
  </si>
  <si>
    <t>prodriguezej</t>
  </si>
  <si>
    <t>Skiptube</t>
  </si>
  <si>
    <t>Librarian</t>
  </si>
  <si>
    <t>Thai</t>
  </si>
  <si>
    <t>diners-club-international</t>
  </si>
  <si>
    <t>Virginia</t>
  </si>
  <si>
    <t>Richmond</t>
  </si>
  <si>
    <t>Christina</t>
  </si>
  <si>
    <t>Wheeler</t>
  </si>
  <si>
    <t>cwheeler37@ovh.net</t>
  </si>
  <si>
    <t>cwheeler37</t>
  </si>
  <si>
    <t>Oozz</t>
  </si>
  <si>
    <t>Information Systems Manager</t>
  </si>
  <si>
    <t>Mexican</t>
  </si>
  <si>
    <t>americanexpress</t>
  </si>
  <si>
    <t>Georgia</t>
  </si>
  <si>
    <t>Duluth</t>
  </si>
  <si>
    <t>Adam</t>
  </si>
  <si>
    <t>Jenkins</t>
  </si>
  <si>
    <t>ajenkins6h@comcast.net</t>
  </si>
  <si>
    <t>ajenkins6h</t>
  </si>
  <si>
    <t>Brightdog</t>
  </si>
  <si>
    <t>Internal Auditor</t>
  </si>
  <si>
    <t>White</t>
  </si>
  <si>
    <t>maestro</t>
  </si>
  <si>
    <t>Texas</t>
  </si>
  <si>
    <t>Austin</t>
  </si>
  <si>
    <t>Bonnie</t>
  </si>
  <si>
    <t>Reyes</t>
  </si>
  <si>
    <t>breyesen@merriam-webster.com</t>
  </si>
  <si>
    <t>breyesen</t>
  </si>
  <si>
    <t>Jaxspan</t>
  </si>
  <si>
    <t>Clinical Specialist</t>
  </si>
  <si>
    <t>Korean</t>
  </si>
  <si>
    <t>Van Nuys</t>
  </si>
  <si>
    <t>Jacqueline</t>
  </si>
  <si>
    <t>Ellis</t>
  </si>
  <si>
    <t>jellisp@imageshack.us</t>
  </si>
  <si>
    <t>jellisp</t>
  </si>
  <si>
    <t>Zoomdog</t>
  </si>
  <si>
    <t>Senior Sales Associate</t>
  </si>
  <si>
    <t>New York</t>
  </si>
  <si>
    <t>Bronx</t>
  </si>
  <si>
    <t>Roger</t>
  </si>
  <si>
    <t>Matthews</t>
  </si>
  <si>
    <t>rmatthewsdk@nature.com</t>
  </si>
  <si>
    <t>rmatthewsdk</t>
  </si>
  <si>
    <t>Dabshots</t>
  </si>
  <si>
    <t>Environmental Tech</t>
  </si>
  <si>
    <t>Hampton</t>
  </si>
  <si>
    <t>Evelyn</t>
  </si>
  <si>
    <t>Brooks</t>
  </si>
  <si>
    <t>ebrooksb0@tuttocitta.it</t>
  </si>
  <si>
    <t>ebrooksb0</t>
  </si>
  <si>
    <t>BlogXS</t>
  </si>
  <si>
    <t>Web Designer IV</t>
  </si>
  <si>
    <t>Alaska Native</t>
  </si>
  <si>
    <t>visa</t>
  </si>
  <si>
    <t>Iowa</t>
  </si>
  <si>
    <t>Cedar Rapids</t>
  </si>
  <si>
    <t>Walter</t>
  </si>
  <si>
    <t>Johnson</t>
  </si>
  <si>
    <t>wjohnsonps@columbia.edu</t>
  </si>
  <si>
    <t>wjohnsonps</t>
  </si>
  <si>
    <t>Demivee</t>
  </si>
  <si>
    <t>Payment Adjustment Coordinator</t>
  </si>
  <si>
    <t>American Indian</t>
  </si>
  <si>
    <t>Louisiana</t>
  </si>
  <si>
    <t>Lake Charles</t>
  </si>
  <si>
    <t>Christopher</t>
  </si>
  <si>
    <t>Stephens</t>
  </si>
  <si>
    <t>cstephensrp@myspace.com</t>
  </si>
  <si>
    <t>cstephensrp</t>
  </si>
  <si>
    <t>Meevee</t>
  </si>
  <si>
    <t>Marketing Assistant</t>
  </si>
  <si>
    <t>Hispanic</t>
  </si>
  <si>
    <t>Minnesota</t>
  </si>
  <si>
    <t>Saint Paul</t>
  </si>
  <si>
    <t>Patricia</t>
  </si>
  <si>
    <t>Weaver</t>
  </si>
  <si>
    <t>pweaver5v@merriam-webster.com</t>
  </si>
  <si>
    <t>pweaver5v</t>
  </si>
  <si>
    <t>Dablist</t>
  </si>
  <si>
    <t>Staff Accountant I</t>
  </si>
  <si>
    <t>mastercard</t>
  </si>
  <si>
    <t>Connecticut</t>
  </si>
  <si>
    <t>Hartford</t>
  </si>
  <si>
    <t>Rebecca</t>
  </si>
  <si>
    <t>Lawson</t>
  </si>
  <si>
    <t>rlawsonof@nsw.gov.au</t>
  </si>
  <si>
    <t>rlawsonof</t>
  </si>
  <si>
    <t>Rhynyx</t>
  </si>
  <si>
    <t>Software Engineer I</t>
  </si>
  <si>
    <t>Taiwanese</t>
  </si>
  <si>
    <t>Illinois</t>
  </si>
  <si>
    <t>Chicago</t>
  </si>
  <si>
    <t>Stephen</t>
  </si>
  <si>
    <t>Carr</t>
  </si>
  <si>
    <t>scarrqh@fema.gov</t>
  </si>
  <si>
    <t>scarrqh</t>
  </si>
  <si>
    <t>VP Marketing</t>
  </si>
  <si>
    <t>visa-electron</t>
  </si>
  <si>
    <t>Colorado</t>
  </si>
  <si>
    <t>Denver</t>
  </si>
  <si>
    <t>Samuel</t>
  </si>
  <si>
    <t>Griffin</t>
  </si>
  <si>
    <t>sgriffind@stanford.edu</t>
  </si>
  <si>
    <t>sgriffind</t>
  </si>
  <si>
    <t>Dynabox</t>
  </si>
  <si>
    <t>Occupational Therapist</t>
  </si>
  <si>
    <t>Buffalo</t>
  </si>
  <si>
    <t>Albert</t>
  </si>
  <si>
    <t>Roberts</t>
  </si>
  <si>
    <t>aroberts4p@ezinearticles.com</t>
  </si>
  <si>
    <t>aroberts4p</t>
  </si>
  <si>
    <t>Oyoba</t>
  </si>
  <si>
    <t>Accountant I</t>
  </si>
  <si>
    <t>El Paso</t>
  </si>
  <si>
    <t>Diane</t>
  </si>
  <si>
    <t>Scott</t>
  </si>
  <si>
    <t>dscottri@ask.com</t>
  </si>
  <si>
    <t>dscottri</t>
  </si>
  <si>
    <t>Zoomlounge</t>
  </si>
  <si>
    <t>New Mexico</t>
  </si>
  <si>
    <t>Albuquerque</t>
  </si>
  <si>
    <t>Deborah</t>
  </si>
  <si>
    <t>Garrett</t>
  </si>
  <si>
    <t>dgarrettrn@soup.io</t>
  </si>
  <si>
    <t>dgarrettrn</t>
  </si>
  <si>
    <t>Twitterworks</t>
  </si>
  <si>
    <t>Speech Pathologist</t>
  </si>
  <si>
    <t>Missouri</t>
  </si>
  <si>
    <t>Kansas City</t>
  </si>
  <si>
    <t>Larry</t>
  </si>
  <si>
    <t>Ferguson</t>
  </si>
  <si>
    <t>lferguson2b@theguardian.com</t>
  </si>
  <si>
    <t>lferguson2b</t>
  </si>
  <si>
    <t>Babbleblab</t>
  </si>
  <si>
    <t>Food Chemist</t>
  </si>
  <si>
    <t>Massachusetts</t>
  </si>
  <si>
    <t>Waltham</t>
  </si>
  <si>
    <t>pellisel@yelp.com</t>
  </si>
  <si>
    <t>pellisel</t>
  </si>
  <si>
    <t>Voonix</t>
  </si>
  <si>
    <t>Biostatistician IV</t>
  </si>
  <si>
    <t>North Carolina</t>
  </si>
  <si>
    <t>Charlotte</t>
  </si>
  <si>
    <t>Jesse</t>
  </si>
  <si>
    <t>Brown</t>
  </si>
  <si>
    <t>jbrownc2@who.int</t>
  </si>
  <si>
    <t>jbrownc2</t>
  </si>
  <si>
    <t>Skivee</t>
  </si>
  <si>
    <t>Teacher</t>
  </si>
  <si>
    <t>instapayment</t>
  </si>
  <si>
    <t>Pennsylvania</t>
  </si>
  <si>
    <t>Reading</t>
  </si>
  <si>
    <t>Rose</t>
  </si>
  <si>
    <t>Johnston</t>
  </si>
  <si>
    <t>rjohnstont@domainmarket.com</t>
  </si>
  <si>
    <t>rjohnstont</t>
  </si>
  <si>
    <t>Structural Analysis Engineer</t>
  </si>
  <si>
    <t>laser</t>
  </si>
  <si>
    <t>Fairfax</t>
  </si>
  <si>
    <t>Kevin</t>
  </si>
  <si>
    <t>Freeman</t>
  </si>
  <si>
    <t>kfreemanla@rambler.ru</t>
  </si>
  <si>
    <t>kfreemanla</t>
  </si>
  <si>
    <t>Camido</t>
  </si>
  <si>
    <t>Health Coach IV</t>
  </si>
  <si>
    <t>Nebraska</t>
  </si>
  <si>
    <t>Lincoln</t>
  </si>
  <si>
    <t>Judith</t>
  </si>
  <si>
    <t>Martinez</t>
  </si>
  <si>
    <t>jmartinez26@samsung.com</t>
  </si>
  <si>
    <t>jmartinez26</t>
  </si>
  <si>
    <t>Meedoo</t>
  </si>
  <si>
    <t>Social Worker</t>
  </si>
  <si>
    <t>solo</t>
  </si>
  <si>
    <t>Indiana</t>
  </si>
  <si>
    <t>Gary</t>
  </si>
  <si>
    <t>Brandon</t>
  </si>
  <si>
    <t>Spencer</t>
  </si>
  <si>
    <t>bspencer7o@si.edu</t>
  </si>
  <si>
    <t>bspencer7o</t>
  </si>
  <si>
    <t>Quamba</t>
  </si>
  <si>
    <t>Nuclear Power Engineer</t>
  </si>
  <si>
    <t>South American</t>
  </si>
  <si>
    <t>Ohio</t>
  </si>
  <si>
    <t>Akron</t>
  </si>
  <si>
    <t>Randy</t>
  </si>
  <si>
    <t>Harris</t>
  </si>
  <si>
    <t>rharrismj@omniture.com</t>
  </si>
  <si>
    <t>rharrismj</t>
  </si>
  <si>
    <t>Pixoboo</t>
  </si>
  <si>
    <t>Japanese</t>
  </si>
  <si>
    <t>Alabama</t>
  </si>
  <si>
    <t>Birmingham</t>
  </si>
  <si>
    <t>Joan</t>
  </si>
  <si>
    <t>Porter</t>
  </si>
  <si>
    <t>jporter27@opensource.org</t>
  </si>
  <si>
    <t>jporter27</t>
  </si>
  <si>
    <t>Shuffledrive</t>
  </si>
  <si>
    <t>diners-club-carte-blanche</t>
  </si>
  <si>
    <t>Oklahoma</t>
  </si>
  <si>
    <t>Oklahoma City</t>
  </si>
  <si>
    <t>Maria</t>
  </si>
  <si>
    <t>Wood</t>
  </si>
  <si>
    <t>mwoodet@soup.io</t>
  </si>
  <si>
    <t>mwoodet</t>
  </si>
  <si>
    <t>Fiveclub</t>
  </si>
  <si>
    <t>Anaheim</t>
  </si>
  <si>
    <t>Dennis</t>
  </si>
  <si>
    <t>Dean</t>
  </si>
  <si>
    <t>ddean2c@tripod.com</t>
  </si>
  <si>
    <t>ddean2c</t>
  </si>
  <si>
    <t>Oodoo</t>
  </si>
  <si>
    <t>Cost Accountant</t>
  </si>
  <si>
    <t>Athens</t>
  </si>
  <si>
    <t>Pamela</t>
  </si>
  <si>
    <t>Miller</t>
  </si>
  <si>
    <t>pmillerkz@flickr.com</t>
  </si>
  <si>
    <t>pmillerkz</t>
  </si>
  <si>
    <t>Trudeo</t>
  </si>
  <si>
    <t>Project Manager</t>
  </si>
  <si>
    <t>Costa Rican</t>
  </si>
  <si>
    <t>Florida</t>
  </si>
  <si>
    <t>Boca Raton</t>
  </si>
  <si>
    <t>George</t>
  </si>
  <si>
    <t>Dunn</t>
  </si>
  <si>
    <t>gdunn0@yellowpages.com</t>
  </si>
  <si>
    <t>gdunn0</t>
  </si>
  <si>
    <t>Snaptags</t>
  </si>
  <si>
    <t>Database Administrator II</t>
  </si>
  <si>
    <t>Anna</t>
  </si>
  <si>
    <t>arobertsi0@blogger.com</t>
  </si>
  <si>
    <t>arobertsi0</t>
  </si>
  <si>
    <t>Realfire</t>
  </si>
  <si>
    <t>Design Engineer</t>
  </si>
  <si>
    <t>San Antonio</t>
  </si>
  <si>
    <t>Long</t>
  </si>
  <si>
    <t>slongqy@forbes.com</t>
  </si>
  <si>
    <t>slongqy</t>
  </si>
  <si>
    <t>Zoomzone</t>
  </si>
  <si>
    <t>Registered Nurse</t>
  </si>
  <si>
    <t>Pompano Beach</t>
  </si>
  <si>
    <t>Ryan</t>
  </si>
  <si>
    <t>gryanfq@japanpost.jp</t>
  </si>
  <si>
    <t>gryanfq</t>
  </si>
  <si>
    <t>Trilia</t>
  </si>
  <si>
    <t>Senior Developer</t>
  </si>
  <si>
    <t>Wisconsin</t>
  </si>
  <si>
    <t>Milwaukee</t>
  </si>
  <si>
    <t>Ashley</t>
  </si>
  <si>
    <t>awoodc3@nytimes.com</t>
  </si>
  <si>
    <t>awoodc3</t>
  </si>
  <si>
    <t>DabZ</t>
  </si>
  <si>
    <t>Sales Associate</t>
  </si>
  <si>
    <t>Argentinian</t>
  </si>
  <si>
    <t>Nevada</t>
  </si>
  <si>
    <t>Las Vegas</t>
  </si>
  <si>
    <t>Juan</t>
  </si>
  <si>
    <t>Jones</t>
  </si>
  <si>
    <t>jjoneslq@vistaprint.com</t>
  </si>
  <si>
    <t>jjoneslq</t>
  </si>
  <si>
    <t>Linkbuzz</t>
  </si>
  <si>
    <t>Programmer III</t>
  </si>
  <si>
    <t>Arizona</t>
  </si>
  <si>
    <t>Tucson</t>
  </si>
  <si>
    <t>Andrea</t>
  </si>
  <si>
    <t>Mason</t>
  </si>
  <si>
    <t>amasonj@yelp.com</t>
  </si>
  <si>
    <t>amasonj</t>
  </si>
  <si>
    <t>Thoughtmix</t>
  </si>
  <si>
    <t>Financial Advisor</t>
  </si>
  <si>
    <t>San Francisco</t>
  </si>
  <si>
    <t>Cox</t>
  </si>
  <si>
    <t>acox6i@tripod.com</t>
  </si>
  <si>
    <t>acox6i</t>
  </si>
  <si>
    <t>Mynte</t>
  </si>
  <si>
    <t>Port Washington</t>
  </si>
  <si>
    <t>Ruby</t>
  </si>
  <si>
    <t>Stevens</t>
  </si>
  <si>
    <t>rstevensb7@fotki.com</t>
  </si>
  <si>
    <t>rstevensb7</t>
  </si>
  <si>
    <t>Oloo</t>
  </si>
  <si>
    <t>Structural Engineer</t>
  </si>
  <si>
    <t>Evansville</t>
  </si>
  <si>
    <t>Baker</t>
  </si>
  <si>
    <t>jbakerek@latimes.com</t>
  </si>
  <si>
    <t>jbakerek</t>
  </si>
  <si>
    <t>Teklist</t>
  </si>
  <si>
    <t>GIS Technical Architect</t>
  </si>
  <si>
    <t>Houston</t>
  </si>
  <si>
    <t>Catherine</t>
  </si>
  <si>
    <t>Turner</t>
  </si>
  <si>
    <t>cturnerid@ycombinator.com</t>
  </si>
  <si>
    <t>cturnerid</t>
  </si>
  <si>
    <t>Biostatistician I</t>
  </si>
  <si>
    <t>Thomas</t>
  </si>
  <si>
    <t>athomas89@usa.gov</t>
  </si>
  <si>
    <t>athomas89</t>
  </si>
  <si>
    <t>bankcard</t>
  </si>
  <si>
    <t>Orlando</t>
  </si>
  <si>
    <t>Brian</t>
  </si>
  <si>
    <t>Kelly</t>
  </si>
  <si>
    <t>bkellyq2@google.com.hk</t>
  </si>
  <si>
    <t>bkellyq2</t>
  </si>
  <si>
    <t>Talane</t>
  </si>
  <si>
    <t>Tax Accountant</t>
  </si>
  <si>
    <t>Brooklyn</t>
  </si>
  <si>
    <t>Willie</t>
  </si>
  <si>
    <t>King</t>
  </si>
  <si>
    <t>wking77@apache.org</t>
  </si>
  <si>
    <t>wking77</t>
  </si>
  <si>
    <t>Innojam</t>
  </si>
  <si>
    <t>Software Consultant</t>
  </si>
  <si>
    <t>Washington</t>
  </si>
  <si>
    <t>Spokane</t>
  </si>
  <si>
    <t>Karen</t>
  </si>
  <si>
    <t>Bowman</t>
  </si>
  <si>
    <t>kbowmanki@usda.gov</t>
  </si>
  <si>
    <t>kbowmanki</t>
  </si>
  <si>
    <t>Npath</t>
  </si>
  <si>
    <t>Nurse</t>
  </si>
  <si>
    <t>Eskimo</t>
  </si>
  <si>
    <t>Nichols</t>
  </si>
  <si>
    <t>dnicholsj2@army.mil</t>
  </si>
  <si>
    <t>dnicholsj2</t>
  </si>
  <si>
    <t>Jayo</t>
  </si>
  <si>
    <t>Account Executive</t>
  </si>
  <si>
    <t>Los Angeles</t>
  </si>
  <si>
    <t>Anne</t>
  </si>
  <si>
    <t>Fuller</t>
  </si>
  <si>
    <t>afuller7m@tiny.cc</t>
  </si>
  <si>
    <t>afuller7m</t>
  </si>
  <si>
    <t>Voomm</t>
  </si>
  <si>
    <t>Chief Design Engineer</t>
  </si>
  <si>
    <t>Oakland</t>
  </si>
  <si>
    <t>Cynthia</t>
  </si>
  <si>
    <t>Lopez</t>
  </si>
  <si>
    <t>clopezcz@reverbnation.com</t>
  </si>
  <si>
    <t>clopezcz</t>
  </si>
  <si>
    <t>Wikibox</t>
  </si>
  <si>
    <t>Automation Specialist IV</t>
  </si>
  <si>
    <t>New Orleans</t>
  </si>
  <si>
    <t>Douglas</t>
  </si>
  <si>
    <t>dmartinezk4@mashable.com</t>
  </si>
  <si>
    <t>dmartinezk4</t>
  </si>
  <si>
    <t>Abilene</t>
  </si>
  <si>
    <t>Alvarez</t>
  </si>
  <si>
    <t>valvarezmh@pen.io</t>
  </si>
  <si>
    <t>valvarezmh</t>
  </si>
  <si>
    <t>Riffpath</t>
  </si>
  <si>
    <t>Professor</t>
  </si>
  <si>
    <t>Oregon</t>
  </si>
  <si>
    <t>Salem</t>
  </si>
  <si>
    <t>Frances</t>
  </si>
  <si>
    <t>Mendoza</t>
  </si>
  <si>
    <t>fmendozajz@washington.edu</t>
  </si>
  <si>
    <t>fmendozajz</t>
  </si>
  <si>
    <t>Topicware</t>
  </si>
  <si>
    <t>Administrative Assistant IV</t>
  </si>
  <si>
    <t>diners-club-enroute</t>
  </si>
  <si>
    <t>Benjamin</t>
  </si>
  <si>
    <t>Moore</t>
  </si>
  <si>
    <t>bmooreb3@over-blog.com</t>
  </si>
  <si>
    <t>bmooreb3</t>
  </si>
  <si>
    <t>Dazzlesphere</t>
  </si>
  <si>
    <t>Geological Engineer</t>
  </si>
  <si>
    <t>Pittsburgh</t>
  </si>
  <si>
    <t>Gerald</t>
  </si>
  <si>
    <t>gjordanrq@weibo.com</t>
  </si>
  <si>
    <t>gjordanrq</t>
  </si>
  <si>
    <t>Babbleopia</t>
  </si>
  <si>
    <t>Columbus</t>
  </si>
  <si>
    <t>Carl</t>
  </si>
  <si>
    <t>Carroll</t>
  </si>
  <si>
    <t>ccarroll4i@51.la</t>
  </si>
  <si>
    <t>ccarroll4i</t>
  </si>
  <si>
    <t>Vinder</t>
  </si>
  <si>
    <t>Accounting Assistant I</t>
  </si>
  <si>
    <t>Mary</t>
  </si>
  <si>
    <t>Kennedy</t>
  </si>
  <si>
    <t>mkennedyfl@google.com.br</t>
  </si>
  <si>
    <t>mkennedyfl</t>
  </si>
  <si>
    <t>Chatterbridge</t>
  </si>
  <si>
    <t>Civil Engineer</t>
  </si>
  <si>
    <t>Corpus Christi</t>
  </si>
  <si>
    <t>Justin</t>
  </si>
  <si>
    <t>Ford</t>
  </si>
  <si>
    <t>jfordgo@infoseek.co.jp</t>
  </si>
  <si>
    <t>jfordgo</t>
  </si>
  <si>
    <t>Skiba</t>
  </si>
  <si>
    <t>Native Hawaiian and Other Pacific Islander (NHPI)</t>
  </si>
  <si>
    <t>Doris</t>
  </si>
  <si>
    <t>dfullerdj@etsy.com</t>
  </si>
  <si>
    <t>dfullerdj</t>
  </si>
  <si>
    <t>Dabjam</t>
  </si>
  <si>
    <t>Account Coordinator</t>
  </si>
  <si>
    <t>Tallahassee</t>
  </si>
  <si>
    <t>Coleman</t>
  </si>
  <si>
    <t>rcolemangp@hubpages.com</t>
  </si>
  <si>
    <t>rcolemangp</t>
  </si>
  <si>
    <t>Realpoint</t>
  </si>
  <si>
    <t>Editor</t>
  </si>
  <si>
    <t>switch</t>
  </si>
  <si>
    <t>Sacramento</t>
  </si>
  <si>
    <t>Meyer</t>
  </si>
  <si>
    <t>cmeyerc1@usgs.gov</t>
  </si>
  <si>
    <t>cmeyerc1</t>
  </si>
  <si>
    <t>Yamia</t>
  </si>
  <si>
    <t>Senior Quality Engineer</t>
  </si>
  <si>
    <t>Minneapolis</t>
  </si>
  <si>
    <t>Paula</t>
  </si>
  <si>
    <t>Burns</t>
  </si>
  <si>
    <t>pburnsn9@ca.gov</t>
  </si>
  <si>
    <t>pburnsn9</t>
  </si>
  <si>
    <t>Director of Sales</t>
  </si>
  <si>
    <t>Owens</t>
  </si>
  <si>
    <t>aowensqe@rediff.com</t>
  </si>
  <si>
    <t>aowensqe</t>
  </si>
  <si>
    <t>Realbridge</t>
  </si>
  <si>
    <t>Everett</t>
  </si>
  <si>
    <t>Harry</t>
  </si>
  <si>
    <t>Fernandez</t>
  </si>
  <si>
    <t>hfernandezc0@redcross.org</t>
  </si>
  <si>
    <t>hfernandezc0</t>
  </si>
  <si>
    <t>Yadel</t>
  </si>
  <si>
    <t>District of Columbia</t>
  </si>
  <si>
    <t>Roy</t>
  </si>
  <si>
    <t>Snyder</t>
  </si>
  <si>
    <t>rsnydera4@whitehouse.gov</t>
  </si>
  <si>
    <t>rsnydera4</t>
  </si>
  <si>
    <t>Buzzshare</t>
  </si>
  <si>
    <t>Help Desk Technician</t>
  </si>
  <si>
    <t>Miami</t>
  </si>
  <si>
    <t>Kenneth</t>
  </si>
  <si>
    <t>Cook</t>
  </si>
  <si>
    <t>kcookh6@cocolog-nifty.com</t>
  </si>
  <si>
    <t>kcookh6</t>
  </si>
  <si>
    <t>Oyoloo</t>
  </si>
  <si>
    <t>Financial Analyst</t>
  </si>
  <si>
    <t>Garland</t>
  </si>
  <si>
    <t>Bobby</t>
  </si>
  <si>
    <t>bkellyi9@comsenz.com</t>
  </si>
  <si>
    <t>bkellyi9</t>
  </si>
  <si>
    <t>InnoZ</t>
  </si>
  <si>
    <t>Marketing Manager</t>
  </si>
  <si>
    <t>Shawn</t>
  </si>
  <si>
    <t>Oliver</t>
  </si>
  <si>
    <t>soliverhe@youtube.com</t>
  </si>
  <si>
    <t>soliverhe</t>
  </si>
  <si>
    <t>Rhycero</t>
  </si>
  <si>
    <t>Operator</t>
  </si>
  <si>
    <t>Kentucky</t>
  </si>
  <si>
    <t>Lexington</t>
  </si>
  <si>
    <t>Peter</t>
  </si>
  <si>
    <t>Sanders</t>
  </si>
  <si>
    <t>psandersim@uol.com.br</t>
  </si>
  <si>
    <t>psandersim</t>
  </si>
  <si>
    <t>Durham</t>
  </si>
  <si>
    <t>rjenkinsi5@yale.edu</t>
  </si>
  <si>
    <t>rjenkinsi5</t>
  </si>
  <si>
    <t>Pixonyx</t>
  </si>
  <si>
    <t>Assistant Manager</t>
  </si>
  <si>
    <t>Steve</t>
  </si>
  <si>
    <t>Henderson</t>
  </si>
  <si>
    <t>shenderson4j@oakley.com</t>
  </si>
  <si>
    <t>shenderson4j</t>
  </si>
  <si>
    <t>New York City</t>
  </si>
  <si>
    <t>Hamilton</t>
  </si>
  <si>
    <t>jhamiltonct@chron.com</t>
  </si>
  <si>
    <t>jhamiltonct</t>
  </si>
  <si>
    <t>Avavee</t>
  </si>
  <si>
    <t>Mechanical Systems Engineer</t>
  </si>
  <si>
    <t>Schaumburg</t>
  </si>
  <si>
    <t>Donna</t>
  </si>
  <si>
    <t>Hanson</t>
  </si>
  <si>
    <t>dhanson2j@salon.com</t>
  </si>
  <si>
    <t>dhanson2j</t>
  </si>
  <si>
    <t>Linklinks</t>
  </si>
  <si>
    <t>Assistant Media Planner</t>
  </si>
  <si>
    <t>Sarasota</t>
  </si>
  <si>
    <t>vhamiltoncm@technorati.com</t>
  </si>
  <si>
    <t>vhamiltoncm</t>
  </si>
  <si>
    <t>Physical Therapy Assistant</t>
  </si>
  <si>
    <t>Philadelphia</t>
  </si>
  <si>
    <t>Tina</t>
  </si>
  <si>
    <t>Lewis</t>
  </si>
  <si>
    <t>tlewis28@mozilla.org</t>
  </si>
  <si>
    <t>tlewis28</t>
  </si>
  <si>
    <t>Eazzy</t>
  </si>
  <si>
    <t>Dayton</t>
  </si>
  <si>
    <t>Heather</t>
  </si>
  <si>
    <t>Walker</t>
  </si>
  <si>
    <t>hwalkeref@deviantart.com</t>
  </si>
  <si>
    <t>hwalkeref</t>
  </si>
  <si>
    <t>Dabfeed</t>
  </si>
  <si>
    <t>Ann</t>
  </si>
  <si>
    <t>Ward</t>
  </si>
  <si>
    <t>awardi1@oaic.gov.au</t>
  </si>
  <si>
    <t>awardi1</t>
  </si>
  <si>
    <t>Trilith</t>
  </si>
  <si>
    <t>Recruiter</t>
  </si>
  <si>
    <t>Portland</t>
  </si>
  <si>
    <t>wroberts16@tiny.cc</t>
  </si>
  <si>
    <t>wroberts16</t>
  </si>
  <si>
    <t>Rhyloo</t>
  </si>
  <si>
    <t>Emily</t>
  </si>
  <si>
    <t>Franklin</t>
  </si>
  <si>
    <t>efranklin2m@google.co.jp</t>
  </si>
  <si>
    <t>efranklin2m</t>
  </si>
  <si>
    <t>Shufflester</t>
  </si>
  <si>
    <t>Analyst Programmer</t>
  </si>
  <si>
    <t>Chris</t>
  </si>
  <si>
    <t>Adams</t>
  </si>
  <si>
    <t>cadamsrg@amazon.com</t>
  </si>
  <si>
    <t>cadamsrg</t>
  </si>
  <si>
    <t>Livefish</t>
  </si>
  <si>
    <t>Humble</t>
  </si>
  <si>
    <t>Teresa</t>
  </si>
  <si>
    <t>Mcdonald</t>
  </si>
  <si>
    <t>tmcdonaldrm@elegantthemes.com</t>
  </si>
  <si>
    <t>tmcdonaldrm</t>
  </si>
  <si>
    <t>Linktype</t>
  </si>
  <si>
    <t>Accounting Assistant IV</t>
  </si>
  <si>
    <t>Tennessee</t>
  </si>
  <si>
    <t>Knoxville</t>
  </si>
  <si>
    <t>Anthony</t>
  </si>
  <si>
    <t>Clark</t>
  </si>
  <si>
    <t>aclarkiy@alibaba.com</t>
  </si>
  <si>
    <t>aclarkiy</t>
  </si>
  <si>
    <t>Bubblemix</t>
  </si>
  <si>
    <t>Peterson</t>
  </si>
  <si>
    <t>apetersonnf@cdbaby.com</t>
  </si>
  <si>
    <t>apetersonnf</t>
  </si>
  <si>
    <t>Feednation</t>
  </si>
  <si>
    <t>Springfield</t>
  </si>
  <si>
    <t>Antonio</t>
  </si>
  <si>
    <t>aowensm@indiatimes.com</t>
  </si>
  <si>
    <t>aowensm</t>
  </si>
  <si>
    <t>sreyesf2@statcounter.com</t>
  </si>
  <si>
    <t>sreyesf2</t>
  </si>
  <si>
    <t>Mymm</t>
  </si>
  <si>
    <t>Charles</t>
  </si>
  <si>
    <t>Smith</t>
  </si>
  <si>
    <t>csmith9x@trellian.com</t>
  </si>
  <si>
    <t>csmith9x</t>
  </si>
  <si>
    <t>Eamia</t>
  </si>
  <si>
    <t>Todd</t>
  </si>
  <si>
    <t>Peters</t>
  </si>
  <si>
    <t>tpetersl@dot.gov</t>
  </si>
  <si>
    <t>tpetersl</t>
  </si>
  <si>
    <t>Quatz</t>
  </si>
  <si>
    <t>gowensv@biglobe.ne.jp</t>
  </si>
  <si>
    <t>gowensv</t>
  </si>
  <si>
    <t>Fred</t>
  </si>
  <si>
    <t>Gonzalez</t>
  </si>
  <si>
    <t>fgonzalezlo@alibaba.com</t>
  </si>
  <si>
    <t>fgonzalezlo</t>
  </si>
  <si>
    <t>Brightbean</t>
  </si>
  <si>
    <t>Senior Financial Analyst</t>
  </si>
  <si>
    <t>Linda</t>
  </si>
  <si>
    <t>lwashingtonnm@jalbum.net</t>
  </si>
  <si>
    <t>lwashingtonnm</t>
  </si>
  <si>
    <t>Tazzy</t>
  </si>
  <si>
    <t>Martin</t>
  </si>
  <si>
    <t>cmartinf6@yahoo.co.jp</t>
  </si>
  <si>
    <t>cmartinf6</t>
  </si>
  <si>
    <t>Mycat</t>
  </si>
  <si>
    <t>Detroit</t>
  </si>
  <si>
    <t>Harrison</t>
  </si>
  <si>
    <t>fharrisonb@sfgate.com</t>
  </si>
  <si>
    <t>fharrisonb</t>
  </si>
  <si>
    <t>Twitterbridge</t>
  </si>
  <si>
    <t>Staff Scientist</t>
  </si>
  <si>
    <t>Irving</t>
  </si>
  <si>
    <t>Laura</t>
  </si>
  <si>
    <t>lsmithra@thetimes.co.uk</t>
  </si>
  <si>
    <t>lsmithra</t>
  </si>
  <si>
    <t>Quimm</t>
  </si>
  <si>
    <t>Kansas</t>
  </si>
  <si>
    <t>Hudson</t>
  </si>
  <si>
    <t>bhudsonga@nydailynews.com</t>
  </si>
  <si>
    <t>bhudsonga</t>
  </si>
  <si>
    <t>Kare</t>
  </si>
  <si>
    <t>Sean</t>
  </si>
  <si>
    <t>Armstrong</t>
  </si>
  <si>
    <t>sarmstrongk1@tinyurl.com</t>
  </si>
  <si>
    <t>sarmstrongk1</t>
  </si>
  <si>
    <t>Fliptune</t>
  </si>
  <si>
    <t>Web Developer I</t>
  </si>
  <si>
    <t>Arvada</t>
  </si>
  <si>
    <t>Sara</t>
  </si>
  <si>
    <t>solivercr@accuweather.com</t>
  </si>
  <si>
    <t>solivercr</t>
  </si>
  <si>
    <t>Centidel</t>
  </si>
  <si>
    <t>rhamilton3e@loc.gov</t>
  </si>
  <si>
    <t>rhamilton3e</t>
  </si>
  <si>
    <t>Tampa</t>
  </si>
  <si>
    <t>Shirley</t>
  </si>
  <si>
    <t>smatthewsh2@gizmodo.com</t>
  </si>
  <si>
    <t>smatthewsh2</t>
  </si>
  <si>
    <t>Lajo</t>
  </si>
  <si>
    <t>Human Resources Assistant III</t>
  </si>
  <si>
    <t>tlawsonkl@paypal.com</t>
  </si>
  <si>
    <t>tlawsonkl</t>
  </si>
  <si>
    <t>Skyble</t>
  </si>
  <si>
    <t>Product Engineer</t>
  </si>
  <si>
    <t>Watkins</t>
  </si>
  <si>
    <t>awatkinsnc@mail.ru</t>
  </si>
  <si>
    <t>awatkinsnc</t>
  </si>
  <si>
    <t>Wayne</t>
  </si>
  <si>
    <t>Willis</t>
  </si>
  <si>
    <t>wwillisc4@phoca.cz</t>
  </si>
  <si>
    <t>wwillisc4</t>
  </si>
  <si>
    <t>Ntag</t>
  </si>
  <si>
    <t>Reno</t>
  </si>
  <si>
    <t>Diana</t>
  </si>
  <si>
    <t>Burke</t>
  </si>
  <si>
    <t>dburker@amazon.co.uk</t>
  </si>
  <si>
    <t>dburker</t>
  </si>
  <si>
    <t>Skinte</t>
  </si>
  <si>
    <t>Midland</t>
  </si>
  <si>
    <t>Ramos</t>
  </si>
  <si>
    <t>aramosqd@sun.com</t>
  </si>
  <si>
    <t>aramosqd</t>
  </si>
  <si>
    <t>Tambee</t>
  </si>
  <si>
    <t>Media Manager IV</t>
  </si>
  <si>
    <t>Clearwater</t>
  </si>
  <si>
    <t>Brenda</t>
  </si>
  <si>
    <t>Montgomery</t>
  </si>
  <si>
    <t>bmontgomeryna@vistaprint.com</t>
  </si>
  <si>
    <t>bmontgomeryna</t>
  </si>
  <si>
    <t>Eayo</t>
  </si>
  <si>
    <t>Technical Writer</t>
  </si>
  <si>
    <t>Erie</t>
  </si>
  <si>
    <t>Wells</t>
  </si>
  <si>
    <t>dwellsg@vimeo.com</t>
  </si>
  <si>
    <t>dwellsg</t>
  </si>
  <si>
    <t>Twitterbeat</t>
  </si>
  <si>
    <t>Webb</t>
  </si>
  <si>
    <t>dwebbjp@walmart.com</t>
  </si>
  <si>
    <t>dwebbjp</t>
  </si>
  <si>
    <t>Business Systems Development Analyst</t>
  </si>
  <si>
    <t>Louisville</t>
  </si>
  <si>
    <t>Martha</t>
  </si>
  <si>
    <t>Shaw</t>
  </si>
  <si>
    <t>mshawn@netscape.com</t>
  </si>
  <si>
    <t>mshawn</t>
  </si>
  <si>
    <t>Voolia</t>
  </si>
  <si>
    <t>Research Assistant I</t>
  </si>
  <si>
    <t>diners-club-us-ca</t>
  </si>
  <si>
    <t>Howard</t>
  </si>
  <si>
    <t>hmoore21@bizjournals.com</t>
  </si>
  <si>
    <t>hmoore21</t>
  </si>
  <si>
    <t>Ainyx</t>
  </si>
  <si>
    <t>paustinrr@huffingtonpost.com</t>
  </si>
  <si>
    <t>paustinrr</t>
  </si>
  <si>
    <t>Assistant Professor</t>
  </si>
  <si>
    <t>Angela</t>
  </si>
  <si>
    <t>Moreno</t>
  </si>
  <si>
    <t>amorenomd@bloomberg.com</t>
  </si>
  <si>
    <t>amorenomd</t>
  </si>
  <si>
    <t>Youspan</t>
  </si>
  <si>
    <t>Nicole</t>
  </si>
  <si>
    <t>Murray</t>
  </si>
  <si>
    <t>nmurraypq@bravesites.com</t>
  </si>
  <si>
    <t>nmurraypq</t>
  </si>
  <si>
    <t>Avaveo</t>
  </si>
  <si>
    <t>Systems Administrator IV</t>
  </si>
  <si>
    <t>Donald</t>
  </si>
  <si>
    <t>Howell</t>
  </si>
  <si>
    <t>dhowellb6@com.com</t>
  </si>
  <si>
    <t>dhowellb6</t>
  </si>
  <si>
    <t>Flashspan</t>
  </si>
  <si>
    <t>Jamaica</t>
  </si>
  <si>
    <t>Hunt</t>
  </si>
  <si>
    <t>khuntrj@harvard.edu</t>
  </si>
  <si>
    <t>khuntrj</t>
  </si>
  <si>
    <t>Agivu</t>
  </si>
  <si>
    <t>Muncie</t>
  </si>
  <si>
    <t>Bruce</t>
  </si>
  <si>
    <t>Flores</t>
  </si>
  <si>
    <t>bfloreso@icio.us</t>
  </si>
  <si>
    <t>bfloreso</t>
  </si>
  <si>
    <t>Skyndu</t>
  </si>
  <si>
    <t>Melissa</t>
  </si>
  <si>
    <t>Nguyen</t>
  </si>
  <si>
    <t>mnguyenmg@craigslist.org</t>
  </si>
  <si>
    <t>mnguyenmg</t>
  </si>
  <si>
    <t>Tekfly</t>
  </si>
  <si>
    <t>Des Moines</t>
  </si>
  <si>
    <t>Patrick</t>
  </si>
  <si>
    <t>phansonjo@imageshack.us</t>
  </si>
  <si>
    <t>phansonjo</t>
  </si>
  <si>
    <t>Skidoo</t>
  </si>
  <si>
    <t>VP Quality Control</t>
  </si>
  <si>
    <t>Ronald</t>
  </si>
  <si>
    <t>rfernandezrl@dell.com</t>
  </si>
  <si>
    <t>rfernandezrl</t>
  </si>
  <si>
    <t>Skyba</t>
  </si>
  <si>
    <t>Senior Editor</t>
  </si>
  <si>
    <t>Peoria</t>
  </si>
  <si>
    <t>Jerry</t>
  </si>
  <si>
    <t>Harvey</t>
  </si>
  <si>
    <t>jharvey3a@yahoo.com</t>
  </si>
  <si>
    <t>jharvey3a</t>
  </si>
  <si>
    <t>Oyondu</t>
  </si>
  <si>
    <t>Arlington</t>
  </si>
  <si>
    <t>Helen</t>
  </si>
  <si>
    <t>hnguyen3b@samsung.com</t>
  </si>
  <si>
    <t>hnguyen3b</t>
  </si>
  <si>
    <t>Zoombox</t>
  </si>
  <si>
    <t>Pharmacist</t>
  </si>
  <si>
    <t>slopezlk@sciencedaily.com</t>
  </si>
  <si>
    <t>slopezlk</t>
  </si>
  <si>
    <t>Baton Rouge</t>
  </si>
  <si>
    <t>amartinezk9@twitter.com</t>
  </si>
  <si>
    <t>amartinezk9</t>
  </si>
  <si>
    <t>Alaska</t>
  </si>
  <si>
    <t>Anchorage</t>
  </si>
  <si>
    <t>Lillian</t>
  </si>
  <si>
    <t>lfulleri@miitbeian.gov.cn</t>
  </si>
  <si>
    <t>lfulleri</t>
  </si>
  <si>
    <t>Idaho</t>
  </si>
  <si>
    <t>Boise</t>
  </si>
  <si>
    <t>Berry</t>
  </si>
  <si>
    <t>hberryg8@google.co.jp</t>
  </si>
  <si>
    <t>hberryg8</t>
  </si>
  <si>
    <t>Skilith</t>
  </si>
  <si>
    <t>Carson City</t>
  </si>
  <si>
    <t>hhowellq0@freewebs.com</t>
  </si>
  <si>
    <t>hhowellq0</t>
  </si>
  <si>
    <t>Lori</t>
  </si>
  <si>
    <t>Thompson</t>
  </si>
  <si>
    <t>lthompsonhx@earthlink.net</t>
  </si>
  <si>
    <t>lthompsonhx</t>
  </si>
  <si>
    <t>Meembee</t>
  </si>
  <si>
    <t>Accountant III</t>
  </si>
  <si>
    <t>Odessa</t>
  </si>
  <si>
    <t>Fisher</t>
  </si>
  <si>
    <t>cfisherey@netlog.com</t>
  </si>
  <si>
    <t>cfisherey</t>
  </si>
  <si>
    <t>Huntsville</t>
  </si>
  <si>
    <t>asnyderpr@technorati.com</t>
  </si>
  <si>
    <t>asnyderpr</t>
  </si>
  <si>
    <t>Blogtags</t>
  </si>
  <si>
    <t>VP Accounting</t>
  </si>
  <si>
    <t>Atlanta</t>
  </si>
  <si>
    <t>jlongis@state.gov</t>
  </si>
  <si>
    <t>jlongis</t>
  </si>
  <si>
    <t>Phyllis</t>
  </si>
  <si>
    <t>Simmons</t>
  </si>
  <si>
    <t>psimmons1v@moonfruit.com</t>
  </si>
  <si>
    <t>psimmons1v</t>
  </si>
  <si>
    <t>Topeka</t>
  </si>
  <si>
    <t>lclarkfa@shareasale.com</t>
  </si>
  <si>
    <t>lclarkfa</t>
  </si>
  <si>
    <t>Riffpedia</t>
  </si>
  <si>
    <t>Matthew</t>
  </si>
  <si>
    <t>Garcia</t>
  </si>
  <si>
    <t>mgarciale@usa.gov</t>
  </si>
  <si>
    <t>mgarciale</t>
  </si>
  <si>
    <t>Recruiting Manager</t>
  </si>
  <si>
    <t>lharvey3z@ibm.com</t>
  </si>
  <si>
    <t>lharvey3z</t>
  </si>
  <si>
    <t>Flushing</t>
  </si>
  <si>
    <t>Andrew</t>
  </si>
  <si>
    <t>Green</t>
  </si>
  <si>
    <t>agreenqz@businessweek.com</t>
  </si>
  <si>
    <t>agreenqz</t>
  </si>
  <si>
    <t>Yodoo</t>
  </si>
  <si>
    <t>dmeyerem@delicious.com</t>
  </si>
  <si>
    <t>dmeyerem</t>
  </si>
  <si>
    <t>Twiyo</t>
  </si>
  <si>
    <t>Chesapeake</t>
  </si>
  <si>
    <t>Marie</t>
  </si>
  <si>
    <t>mnguyenfn@constantcontact.com</t>
  </si>
  <si>
    <t>mnguyenfn</t>
  </si>
  <si>
    <t>Arkansas</t>
  </si>
  <si>
    <t>Fort Smith</t>
  </si>
  <si>
    <t>wmasonre@amazon.co.jp</t>
  </si>
  <si>
    <t>wmasonre</t>
  </si>
  <si>
    <t>Blognation</t>
  </si>
  <si>
    <t>Fayetteville</t>
  </si>
  <si>
    <t>Jonathan</t>
  </si>
  <si>
    <t>jroberts12@nih.gov</t>
  </si>
  <si>
    <t>jroberts12</t>
  </si>
  <si>
    <t>Plambee</t>
  </si>
  <si>
    <t>Sales Representative</t>
  </si>
  <si>
    <t>Black</t>
  </si>
  <si>
    <t>jblack1z@epa.gov</t>
  </si>
  <si>
    <t>jblack1z</t>
  </si>
  <si>
    <t>Trunyx</t>
  </si>
  <si>
    <t>Lawrenceville</t>
  </si>
  <si>
    <t>bjonesln@ameblo.jp</t>
  </si>
  <si>
    <t>bjonesln</t>
  </si>
  <si>
    <t>Tagopia</t>
  </si>
  <si>
    <t>Dallas</t>
  </si>
  <si>
    <t>David</t>
  </si>
  <si>
    <t>Daniels</t>
  </si>
  <si>
    <t>ddanielsgb@harvard.edu</t>
  </si>
  <si>
    <t>ddanielsgb</t>
  </si>
  <si>
    <t>Jaloo</t>
  </si>
  <si>
    <t>dhowardjt@jimdo.com</t>
  </si>
  <si>
    <t>dhowardjt</t>
  </si>
  <si>
    <t>Photobean</t>
  </si>
  <si>
    <t>Yonkers</t>
  </si>
  <si>
    <t>awellsa1@usnews.com</t>
  </si>
  <si>
    <t>awellsa1</t>
  </si>
  <si>
    <t>Kwilith</t>
  </si>
  <si>
    <t>Human Resources Manager</t>
  </si>
  <si>
    <t>Harrisburg</t>
  </si>
  <si>
    <t>aharrisjv@t.co</t>
  </si>
  <si>
    <t>aharrisjv</t>
  </si>
  <si>
    <t>Topicstorm</t>
  </si>
  <si>
    <t>Maryland</t>
  </si>
  <si>
    <t>Laurel</t>
  </si>
  <si>
    <t>Kim</t>
  </si>
  <si>
    <t>skimpy@deviantart.com</t>
  </si>
  <si>
    <t>skimpy</t>
  </si>
  <si>
    <t>Photolist</t>
  </si>
  <si>
    <t>Environmental Specialist</t>
  </si>
  <si>
    <t>South Dakota</t>
  </si>
  <si>
    <t>Sioux Falls</t>
  </si>
  <si>
    <t>lgonzalezhu@merriam-webster.com</t>
  </si>
  <si>
    <t>lgonzalezhu</t>
  </si>
  <si>
    <t>San Diego</t>
  </si>
  <si>
    <t>Carolyn</t>
  </si>
  <si>
    <t>Olson</t>
  </si>
  <si>
    <t>colsonnk@guardian.co.uk</t>
  </si>
  <si>
    <t>colsonnk</t>
  </si>
  <si>
    <t>High Point</t>
  </si>
  <si>
    <t>Rachel</t>
  </si>
  <si>
    <t>rgeorgeqf@paginegialle.it</t>
  </si>
  <si>
    <t>rgeorgeqf</t>
  </si>
  <si>
    <t>Topiczoom</t>
  </si>
  <si>
    <t>Lansing</t>
  </si>
  <si>
    <t>Wagner</t>
  </si>
  <si>
    <t>bwagnerx@unesco.org</t>
  </si>
  <si>
    <t>bwagnerx</t>
  </si>
  <si>
    <t>Tagfeed</t>
  </si>
  <si>
    <t>Administrative Officer</t>
  </si>
  <si>
    <t>Tulsa</t>
  </si>
  <si>
    <t>Tammy</t>
  </si>
  <si>
    <t>tmurraylp@time.com</t>
  </si>
  <si>
    <t>tmurraylp</t>
  </si>
  <si>
    <t>Abata</t>
  </si>
  <si>
    <t>Shawnee Mission</t>
  </si>
  <si>
    <t>Carol</t>
  </si>
  <si>
    <t>Hill</t>
  </si>
  <si>
    <t>chillrb@loc.gov</t>
  </si>
  <si>
    <t>chillrb</t>
  </si>
  <si>
    <t>Voolith</t>
  </si>
  <si>
    <t>Castillo</t>
  </si>
  <si>
    <t>pcastillofb@google.fr</t>
  </si>
  <si>
    <t>pcastillofb</t>
  </si>
  <si>
    <t>Edgepulse</t>
  </si>
  <si>
    <t>Frank</t>
  </si>
  <si>
    <t>fharveyr7@nyu.edu</t>
  </si>
  <si>
    <t>fharveyr7</t>
  </si>
  <si>
    <t>Mybuzz</t>
  </si>
  <si>
    <t>San Jose</t>
  </si>
  <si>
    <t>Reed</t>
  </si>
  <si>
    <t>preedgh@nsw.gov.au</t>
  </si>
  <si>
    <t>preedgh</t>
  </si>
  <si>
    <t>Research Associate</t>
  </si>
  <si>
    <t>William</t>
  </si>
  <si>
    <t>wlawsonf@auda.org.au</t>
  </si>
  <si>
    <t>wlawsonf</t>
  </si>
  <si>
    <t>Compensation Analyst</t>
  </si>
  <si>
    <t>Henry</t>
  </si>
  <si>
    <t>phenry23@constantcontact.com</t>
  </si>
  <si>
    <t>phenry23</t>
  </si>
  <si>
    <t>Browsetype</t>
  </si>
  <si>
    <t>Quality Control Specialist</t>
  </si>
  <si>
    <t>Gastonia</t>
  </si>
  <si>
    <t>Carpenter</t>
  </si>
  <si>
    <t>acarpenter7n@linkedin.com</t>
  </si>
  <si>
    <t>acarpenter7n</t>
  </si>
  <si>
    <t>Bluezoom</t>
  </si>
  <si>
    <t>croseq7@google.pl</t>
  </si>
  <si>
    <t>croseq7</t>
  </si>
  <si>
    <t>Topdrive</t>
  </si>
  <si>
    <t>Cincinnati</t>
  </si>
  <si>
    <t>Wanda</t>
  </si>
  <si>
    <t>Fields</t>
  </si>
  <si>
    <t>wfieldscv@census.gov</t>
  </si>
  <si>
    <t>wfieldscv</t>
  </si>
  <si>
    <t>Health Coach II</t>
  </si>
  <si>
    <t>Nashville</t>
  </si>
  <si>
    <t>jcastillobb@i2i.jp</t>
  </si>
  <si>
    <t>jcastillobb</t>
  </si>
  <si>
    <t>Linkbridge</t>
  </si>
  <si>
    <t>Data Coordiator</t>
  </si>
  <si>
    <t>Gatesville</t>
  </si>
  <si>
    <t>Marshall</t>
  </si>
  <si>
    <t>amarshallba@yahoo.com</t>
  </si>
  <si>
    <t>amarshallba</t>
  </si>
  <si>
    <t>Vitz</t>
  </si>
  <si>
    <t>Staff Accountant II</t>
  </si>
  <si>
    <t>Gray</t>
  </si>
  <si>
    <t>egrayk3@amazonaws.com</t>
  </si>
  <si>
    <t>egrayk3</t>
  </si>
  <si>
    <t>Jabbercube</t>
  </si>
  <si>
    <t>Executive Secretary</t>
  </si>
  <si>
    <t>awardld@webs.com</t>
  </si>
  <si>
    <t>awardld</t>
  </si>
  <si>
    <t>VP Sales</t>
  </si>
  <si>
    <t>New Jersey</t>
  </si>
  <si>
    <t>Trenton</t>
  </si>
  <si>
    <t>jwheelergz@studiopress.com</t>
  </si>
  <si>
    <t>jwheelergz</t>
  </si>
  <si>
    <t>Browseblab</t>
  </si>
  <si>
    <t>Community Outreach Specialist</t>
  </si>
  <si>
    <t>South Carolina</t>
  </si>
  <si>
    <t>Spartanburg</t>
  </si>
  <si>
    <t>lramosjm@comsenz.com</t>
  </si>
  <si>
    <t>lramosjm</t>
  </si>
  <si>
    <t>Safety Technician II</t>
  </si>
  <si>
    <t>Duncan</t>
  </si>
  <si>
    <t>pduncangg@cdbaby.com</t>
  </si>
  <si>
    <t>pduncangg</t>
  </si>
  <si>
    <t>Youtags</t>
  </si>
  <si>
    <t>Actuary</t>
  </si>
  <si>
    <t>Saint Petersburg</t>
  </si>
  <si>
    <t>Jack</t>
  </si>
  <si>
    <t>jcoleman9y@economist.com</t>
  </si>
  <si>
    <t>jcoleman9y</t>
  </si>
  <si>
    <t>Chatterpoint</t>
  </si>
  <si>
    <t>Biostatistician II</t>
  </si>
  <si>
    <t>Stone</t>
  </si>
  <si>
    <t>sstonefc@google.it</t>
  </si>
  <si>
    <t>sstonefc</t>
  </si>
  <si>
    <t>Youbridge</t>
  </si>
  <si>
    <t>Torres</t>
  </si>
  <si>
    <t>rtorresko@feedburner.com</t>
  </si>
  <si>
    <t>rtorresko</t>
  </si>
  <si>
    <t>Demimbu</t>
  </si>
  <si>
    <t>Hawaii</t>
  </si>
  <si>
    <t>Honolulu</t>
  </si>
  <si>
    <t>msnyderr4@networkadvertising.org</t>
  </si>
  <si>
    <t>msnyderr4</t>
  </si>
  <si>
    <t>Nlounge</t>
  </si>
  <si>
    <t>Nurse Practicioner</t>
  </si>
  <si>
    <t>Irvine</t>
  </si>
  <si>
    <t>Barnes</t>
  </si>
  <si>
    <t>jbarnesju@newsvine.com</t>
  </si>
  <si>
    <t>jbarnesju</t>
  </si>
  <si>
    <t>Gabcube</t>
  </si>
  <si>
    <t>West Virginia</t>
  </si>
  <si>
    <t>Charleston</t>
  </si>
  <si>
    <t>Irene</t>
  </si>
  <si>
    <t>Lane</t>
  </si>
  <si>
    <t>ilanef9@webnode.com</t>
  </si>
  <si>
    <t>ilanef9</t>
  </si>
  <si>
    <t>Jacksonville</t>
  </si>
  <si>
    <t>Banks</t>
  </si>
  <si>
    <t>jbankscl@angelfire.com</t>
  </si>
  <si>
    <t>jbankscl</t>
  </si>
  <si>
    <t>Farmington</t>
  </si>
  <si>
    <t>fwillisck@home.pl</t>
  </si>
  <si>
    <t>fwillisck</t>
  </si>
  <si>
    <t>Gigaclub</t>
  </si>
  <si>
    <t>Programmer Analyst III</t>
  </si>
  <si>
    <t>fcarrkg@narod.ru</t>
  </si>
  <si>
    <t>fcarrkg</t>
  </si>
  <si>
    <t>Twitternation</t>
  </si>
  <si>
    <t>Systems Administrator I</t>
  </si>
  <si>
    <t>Visalia</t>
  </si>
  <si>
    <t>btorresjd@pbs.org</t>
  </si>
  <si>
    <t>btorresjd</t>
  </si>
  <si>
    <t>Devbug</t>
  </si>
  <si>
    <t>Senior Cost Accountant</t>
  </si>
  <si>
    <t>Worcester</t>
  </si>
  <si>
    <t>hpetersk0@edublogs.org</t>
  </si>
  <si>
    <t>hpetersk0</t>
  </si>
  <si>
    <t>Plajo</t>
  </si>
  <si>
    <t>rellisgq@tiny.cc</t>
  </si>
  <si>
    <t>rellisgq</t>
  </si>
  <si>
    <t>Wright</t>
  </si>
  <si>
    <t>swrightje@businessinsider.com</t>
  </si>
  <si>
    <t>swrightje</t>
  </si>
  <si>
    <t>Photobug</t>
  </si>
  <si>
    <t>Huntington</t>
  </si>
  <si>
    <t>Sandra</t>
  </si>
  <si>
    <t>ssandersl0@hatena.ne.jp</t>
  </si>
  <si>
    <t>ssandersl0</t>
  </si>
  <si>
    <t>Brainbox</t>
  </si>
  <si>
    <t>VP Product Management</t>
  </si>
  <si>
    <t>Daniel</t>
  </si>
  <si>
    <t>Stanley</t>
  </si>
  <si>
    <t>dstanleye@vk.com</t>
  </si>
  <si>
    <t>dstanleye</t>
  </si>
  <si>
    <t>Lynn</t>
  </si>
  <si>
    <t>Elizabeth</t>
  </si>
  <si>
    <t>Williams</t>
  </si>
  <si>
    <t>ewilliamsro@google.ca</t>
  </si>
  <si>
    <t>ewilliamsro</t>
  </si>
  <si>
    <t>Shufflebeat</t>
  </si>
  <si>
    <t>Lawrence</t>
  </si>
  <si>
    <t>lhowellbc@webnode.com</t>
  </si>
  <si>
    <t>lhowellbc</t>
  </si>
  <si>
    <t>Amanda</t>
  </si>
  <si>
    <t>amoore2h@who.int</t>
  </si>
  <si>
    <t>amoore2h</t>
  </si>
  <si>
    <t>Barbara</t>
  </si>
  <si>
    <t>bmooreg7@oakley.com</t>
  </si>
  <si>
    <t>bmooreg7</t>
  </si>
  <si>
    <t>Jane</t>
  </si>
  <si>
    <t>jfloreslh@alibaba.com</t>
  </si>
  <si>
    <t>jfloreslh</t>
  </si>
  <si>
    <t>Oba</t>
  </si>
  <si>
    <t>Biostatistician III</t>
  </si>
  <si>
    <t>fthompsonb5@trellian.com</t>
  </si>
  <si>
    <t>fthompsonb5</t>
  </si>
  <si>
    <t>Oyoyo</t>
  </si>
  <si>
    <t>Michael</t>
  </si>
  <si>
    <t>mshawgx@sogou.com</t>
  </si>
  <si>
    <t>mshawgx</t>
  </si>
  <si>
    <t>Browsezoom</t>
  </si>
  <si>
    <t>Colorado Springs</t>
  </si>
  <si>
    <t>jweaver39@hhs.gov</t>
  </si>
  <si>
    <t>jweaver39</t>
  </si>
  <si>
    <t>Yotz</t>
  </si>
  <si>
    <t>Canton</t>
  </si>
  <si>
    <t>Kathleen</t>
  </si>
  <si>
    <t>kjohnstonpt@telegraph.co.uk</t>
  </si>
  <si>
    <t>kjohnstonpt</t>
  </si>
  <si>
    <t>Yodo</t>
  </si>
  <si>
    <t>Evans</t>
  </si>
  <si>
    <t>revanshz@tripadvisor.com</t>
  </si>
  <si>
    <t>revanshz</t>
  </si>
  <si>
    <t>Kanoodle</t>
  </si>
  <si>
    <t>Hot Springs National Park</t>
  </si>
  <si>
    <t>Stephanie</t>
  </si>
  <si>
    <t>Williamson</t>
  </si>
  <si>
    <t>swilliamsonij@whitehouse.gov</t>
  </si>
  <si>
    <t>swilliamsonij</t>
  </si>
  <si>
    <t>Media Manager I</t>
  </si>
  <si>
    <t>Patterson</t>
  </si>
  <si>
    <t>spattersonqx@wix.com</t>
  </si>
  <si>
    <t>spattersonqx</t>
  </si>
  <si>
    <t>Wikizz</t>
  </si>
  <si>
    <t>mmartinfi@abc.net.au</t>
  </si>
  <si>
    <t>mmartinfi</t>
  </si>
  <si>
    <t>Rooxo</t>
  </si>
  <si>
    <t>Utica</t>
  </si>
  <si>
    <t>Eugene</t>
  </si>
  <si>
    <t>ewilliamsonj4@patch.com</t>
  </si>
  <si>
    <t>ewilliamsonj4</t>
  </si>
  <si>
    <t>Julie</t>
  </si>
  <si>
    <t>jjenkinspj@sakura.ne.jp</t>
  </si>
  <si>
    <t>jjenkinspj</t>
  </si>
  <si>
    <t>Skipfire</t>
  </si>
  <si>
    <t>Johnny</t>
  </si>
  <si>
    <t>jrobertsei@weather.com</t>
  </si>
  <si>
    <t>jrobertsei</t>
  </si>
  <si>
    <t>cevansgk@arstechnica.com</t>
  </si>
  <si>
    <t>cevansgk</t>
  </si>
  <si>
    <t>Layo</t>
  </si>
  <si>
    <t>Programmer I</t>
  </si>
  <si>
    <t>Marietta</t>
  </si>
  <si>
    <t>Wallace</t>
  </si>
  <si>
    <t>bwallacegu@t-online.de</t>
  </si>
  <si>
    <t>bwallacegu</t>
  </si>
  <si>
    <t>Demizz</t>
  </si>
  <si>
    <t>Associate Professor</t>
  </si>
  <si>
    <t>pmasoniz@diigo.com</t>
  </si>
  <si>
    <t>pmasoniz</t>
  </si>
  <si>
    <t>Saint Louis</t>
  </si>
  <si>
    <t>mwilliamsonkq@elpais.com</t>
  </si>
  <si>
    <t>mwilliamsonkq</t>
  </si>
  <si>
    <t>Wikido</t>
  </si>
  <si>
    <t>Account Representative IV</t>
  </si>
  <si>
    <t>Craig</t>
  </si>
  <si>
    <t>Welch</t>
  </si>
  <si>
    <t>cwelch24@geocities.com</t>
  </si>
  <si>
    <t>cwelch24</t>
  </si>
  <si>
    <t>Janyx</t>
  </si>
  <si>
    <t>Dental Hygienist</t>
  </si>
  <si>
    <t>Nicholas</t>
  </si>
  <si>
    <t>nstevenslg@sbwire.com</t>
  </si>
  <si>
    <t>nstevenslg</t>
  </si>
  <si>
    <t>Lois</t>
  </si>
  <si>
    <t>lmasonql@salon.com</t>
  </si>
  <si>
    <t>lmasonql</t>
  </si>
  <si>
    <t>Feedfire</t>
  </si>
  <si>
    <t>fwallacecg@geocities.jp</t>
  </si>
  <si>
    <t>fwallacecg</t>
  </si>
  <si>
    <t>Wordtune</t>
  </si>
  <si>
    <t>Hernandez</t>
  </si>
  <si>
    <t>chernandez76@sogou.com</t>
  </si>
  <si>
    <t>chernandez76</t>
  </si>
  <si>
    <t>Lakeland</t>
  </si>
  <si>
    <t>Fowler</t>
  </si>
  <si>
    <t>jfowlerqt@macromedia.com</t>
  </si>
  <si>
    <t>jfowlerqt</t>
  </si>
  <si>
    <t>Allen</t>
  </si>
  <si>
    <t>eallenrf@csmonitor.com</t>
  </si>
  <si>
    <t>eallenrf</t>
  </si>
  <si>
    <t>Devcast</t>
  </si>
  <si>
    <t>Stamford</t>
  </si>
  <si>
    <t>Richardson</t>
  </si>
  <si>
    <t>rrichardsonpw@google.nl</t>
  </si>
  <si>
    <t>rrichardsonpw</t>
  </si>
  <si>
    <t>Digitube</t>
  </si>
  <si>
    <t>Woburn</t>
  </si>
  <si>
    <t>Perez</t>
  </si>
  <si>
    <t>tperezcx@senate.gov</t>
  </si>
  <si>
    <t>tperezcx</t>
  </si>
  <si>
    <t>Voonte</t>
  </si>
  <si>
    <t>Payne</t>
  </si>
  <si>
    <t>mpayneq5@i2i.jp</t>
  </si>
  <si>
    <t>mpayneq5</t>
  </si>
  <si>
    <t>Cleveland</t>
  </si>
  <si>
    <t>Edwards</t>
  </si>
  <si>
    <t>cedwardsfj@blinklist.com</t>
  </si>
  <si>
    <t>cedwardsfj</t>
  </si>
  <si>
    <t>Amarillo</t>
  </si>
  <si>
    <t>Kathryn</t>
  </si>
  <si>
    <t>Jackson</t>
  </si>
  <si>
    <t>kjacksonfp@digg.com</t>
  </si>
  <si>
    <t>kjacksonfp</t>
  </si>
  <si>
    <t>dgarretthk@comsenz.com</t>
  </si>
  <si>
    <t>dgarretthk</t>
  </si>
  <si>
    <t>Redwood City</t>
  </si>
  <si>
    <t>Katherine</t>
  </si>
  <si>
    <t>Gonzales</t>
  </si>
  <si>
    <t>kgonzalespu@tripadvisor.com</t>
  </si>
  <si>
    <t>kgonzalespu</t>
  </si>
  <si>
    <t>Grand Rapids</t>
  </si>
  <si>
    <t>Julia</t>
  </si>
  <si>
    <t>Ortiz</t>
  </si>
  <si>
    <t>jortizf3@craigslist.org</t>
  </si>
  <si>
    <t>jortizf3</t>
  </si>
  <si>
    <t>Delaware</t>
  </si>
  <si>
    <t>Wilmington</t>
  </si>
  <si>
    <t>Mitchell</t>
  </si>
  <si>
    <t>bmitchellb2@amazon.co.jp</t>
  </si>
  <si>
    <t>bmitchellb2</t>
  </si>
  <si>
    <t>Voonder</t>
  </si>
  <si>
    <t>Stockton</t>
  </si>
  <si>
    <t>jwellsfh@wunderground.com</t>
  </si>
  <si>
    <t>jwellsfh</t>
  </si>
  <si>
    <t>Yata</t>
  </si>
  <si>
    <t>Chemical Engineer</t>
  </si>
  <si>
    <t>jsimmonsh7@smh.com.au</t>
  </si>
  <si>
    <t>jsimmonsh7</t>
  </si>
  <si>
    <t>Browsedrive</t>
  </si>
  <si>
    <t>Ramirez</t>
  </si>
  <si>
    <t>wramirezhp@webmd.com</t>
  </si>
  <si>
    <t>wramirezhp</t>
  </si>
  <si>
    <t>Katz</t>
  </si>
  <si>
    <t>Christine</t>
  </si>
  <si>
    <t>cjonesng@bandcamp.com</t>
  </si>
  <si>
    <t>cjonesng</t>
  </si>
  <si>
    <t>rausting2@alibaba.com</t>
  </si>
  <si>
    <t>rausting2</t>
  </si>
  <si>
    <t>Realcube</t>
  </si>
  <si>
    <t>Mark</t>
  </si>
  <si>
    <t>Morgan</t>
  </si>
  <si>
    <t>mmorganq@github.io</t>
  </si>
  <si>
    <t>mmorganq</t>
  </si>
  <si>
    <t>Lees Summit</t>
  </si>
  <si>
    <t>cwardbd@pen.io</t>
  </si>
  <si>
    <t>cwardbd</t>
  </si>
  <si>
    <t>Skajo</t>
  </si>
  <si>
    <t>Anderson</t>
  </si>
  <si>
    <t>candersonl8@latimes.com</t>
  </si>
  <si>
    <t>candersonl8</t>
  </si>
  <si>
    <t>Omaha</t>
  </si>
  <si>
    <t>Aaron</t>
  </si>
  <si>
    <t>Rivera</t>
  </si>
  <si>
    <t>arivera2g@nationalgeographic.com</t>
  </si>
  <si>
    <t>arivera2g</t>
  </si>
  <si>
    <t>grobertskp@java.com</t>
  </si>
  <si>
    <t>grobertskp</t>
  </si>
  <si>
    <t>Wikivu</t>
  </si>
  <si>
    <t>Jason</t>
  </si>
  <si>
    <t>Young</t>
  </si>
  <si>
    <t>jyoungkx@imdb.com</t>
  </si>
  <si>
    <t>jyoungkx</t>
  </si>
  <si>
    <t>Cambridge</t>
  </si>
  <si>
    <t>rfordr2@va.gov</t>
  </si>
  <si>
    <t>rfordr2</t>
  </si>
  <si>
    <t>Research Nurse</t>
  </si>
  <si>
    <t>North Dakota</t>
  </si>
  <si>
    <t>Grand Forks</t>
  </si>
  <si>
    <t>jfisherb9@alibaba.com</t>
  </si>
  <si>
    <t>jfisherb9</t>
  </si>
  <si>
    <t>Roanoke</t>
  </si>
  <si>
    <t>Gordon</t>
  </si>
  <si>
    <t>ngordonhc@vistaprint.com</t>
  </si>
  <si>
    <t>ngordonhc</t>
  </si>
  <si>
    <t>Automation Specialist III</t>
  </si>
  <si>
    <t>Ocala</t>
  </si>
  <si>
    <t>Joshua</t>
  </si>
  <si>
    <t>jwilliams4m@printfriendly.com</t>
  </si>
  <si>
    <t>jwilliams4m</t>
  </si>
  <si>
    <t>Jabberbean</t>
  </si>
  <si>
    <t>Tacoma</t>
  </si>
  <si>
    <t>whernandezj3@tinypic.com</t>
  </si>
  <si>
    <t>whernandezj3</t>
  </si>
  <si>
    <t>Santa Barbara</t>
  </si>
  <si>
    <t>Richard</t>
  </si>
  <si>
    <t>rwatkinsex@harvard.edu</t>
  </si>
  <si>
    <t>rwatkinsex</t>
  </si>
  <si>
    <t>Zoonoodle</t>
  </si>
  <si>
    <t>Quality Engineer</t>
  </si>
  <si>
    <t>Chavez</t>
  </si>
  <si>
    <t>bchavezq8@t-online.de</t>
  </si>
  <si>
    <t>bchavezq8</t>
  </si>
  <si>
    <t>Riffwire</t>
  </si>
  <si>
    <t>Watson</t>
  </si>
  <si>
    <t>dwatsonbi@blinklist.com</t>
  </si>
  <si>
    <t>dwatsonbi</t>
  </si>
  <si>
    <t>Meezzy</t>
  </si>
  <si>
    <t>Junior Executive</t>
  </si>
  <si>
    <t>Grant</t>
  </si>
  <si>
    <t>dgrantch@washingtonpost.com</t>
  </si>
  <si>
    <t>dgrantch</t>
  </si>
  <si>
    <t>Divavu</t>
  </si>
  <si>
    <t>Newark</t>
  </si>
  <si>
    <t>Lisa</t>
  </si>
  <si>
    <t>lriverapl@nydailynews.com</t>
  </si>
  <si>
    <t>lriverapl</t>
  </si>
  <si>
    <t>Web Designer II</t>
  </si>
  <si>
    <t>Pensacola</t>
  </si>
  <si>
    <t>wwhite20@tripadvisor.com</t>
  </si>
  <si>
    <t>wwhite20</t>
  </si>
  <si>
    <t>Fivespan</t>
  </si>
  <si>
    <t>jwheelercf@shareasale.com</t>
  </si>
  <si>
    <t>jwheelercf</t>
  </si>
  <si>
    <t>Youopia</t>
  </si>
  <si>
    <t>dhernandezjc@friendfeed.com</t>
  </si>
  <si>
    <t>dhernandezjc</t>
  </si>
  <si>
    <t>Myworks</t>
  </si>
  <si>
    <t>Office Assistant IV</t>
  </si>
  <si>
    <t>Toledo</t>
  </si>
  <si>
    <t>bfowlerqq@webmd.com</t>
  </si>
  <si>
    <t>bfowlerqq</t>
  </si>
  <si>
    <t>Meeveo</t>
  </si>
  <si>
    <t>Staff Accountant III</t>
  </si>
  <si>
    <t>Greene</t>
  </si>
  <si>
    <t>dgreenecy@pinterest.com</t>
  </si>
  <si>
    <t>dgreenecy</t>
  </si>
  <si>
    <t>Fresno</t>
  </si>
  <si>
    <t>Norma</t>
  </si>
  <si>
    <t>nwashingtone9@ed.gov</t>
  </si>
  <si>
    <t>nwashingtone9</t>
  </si>
  <si>
    <t>San Rafael</t>
  </si>
  <si>
    <t>Kelley</t>
  </si>
  <si>
    <t>skelleyhq@icq.com</t>
  </si>
  <si>
    <t>skelleyhq</t>
  </si>
  <si>
    <t>Mobile</t>
  </si>
  <si>
    <t>rmitchelljr@tinypic.com</t>
  </si>
  <si>
    <t>rmitchelljr</t>
  </si>
  <si>
    <t>Pasadena</t>
  </si>
  <si>
    <t>bwatkinsr8@list-manage.com</t>
  </si>
  <si>
    <t>bwatkinsr8</t>
  </si>
  <si>
    <t>Programmer Analyst I</t>
  </si>
  <si>
    <t>Medina</t>
  </si>
  <si>
    <t>amedinahv@deliciousdays.com</t>
  </si>
  <si>
    <t>amedinahv</t>
  </si>
  <si>
    <t>Augusta</t>
  </si>
  <si>
    <t>lwashingtonh1@vimeo.com</t>
  </si>
  <si>
    <t>lwashingtonh1</t>
  </si>
  <si>
    <t>Aivee</t>
  </si>
  <si>
    <t>Developer II</t>
  </si>
  <si>
    <t>Bismarck</t>
  </si>
  <si>
    <t>Rogers</t>
  </si>
  <si>
    <t>crogersk7@loc.gov</t>
  </si>
  <si>
    <t>crogersk7</t>
  </si>
  <si>
    <t>Thoughtbridge</t>
  </si>
  <si>
    <t>Geologist III</t>
  </si>
  <si>
    <t>Baltimore</t>
  </si>
  <si>
    <t>dturnerq9@artisteer.com</t>
  </si>
  <si>
    <t>dturnerq9</t>
  </si>
  <si>
    <t>sturnerkm@bandcamp.com</t>
  </si>
  <si>
    <t>sturnerkm</t>
  </si>
  <si>
    <t>Rhybox</t>
  </si>
  <si>
    <t>Graphic Designer</t>
  </si>
  <si>
    <t>Elmira</t>
  </si>
  <si>
    <t>swrightfz@nps.gov</t>
  </si>
  <si>
    <t>swrightfz</t>
  </si>
  <si>
    <t>Minyx</t>
  </si>
  <si>
    <t>Geologist I</t>
  </si>
  <si>
    <t>Round Rock</t>
  </si>
  <si>
    <t>Arthur</t>
  </si>
  <si>
    <t>Foster</t>
  </si>
  <si>
    <t>afosterlb@imgur.com</t>
  </si>
  <si>
    <t>afosterlb</t>
  </si>
  <si>
    <t>Greenville</t>
  </si>
  <si>
    <t>Bishop</t>
  </si>
  <si>
    <t>dbishopf0@fc2.com</t>
  </si>
  <si>
    <t>dbishopf0</t>
  </si>
  <si>
    <t>Raymond</t>
  </si>
  <si>
    <t>Morrison</t>
  </si>
  <si>
    <t>rmorrisoniu@yahoo.co.jp</t>
  </si>
  <si>
    <t>rmorrisoniu</t>
  </si>
  <si>
    <t>Fairbanks</t>
  </si>
  <si>
    <t>Burton</t>
  </si>
  <si>
    <t>mburtonnl@icq.com</t>
  </si>
  <si>
    <t>mburtonnl</t>
  </si>
  <si>
    <t>Edgeblab</t>
  </si>
  <si>
    <t>Lancaster</t>
  </si>
  <si>
    <t>dbanksg0@hostgator.com</t>
  </si>
  <si>
    <t>dbanksg0</t>
  </si>
  <si>
    <t>djackson4l@booking.com</t>
  </si>
  <si>
    <t>djackson4l</t>
  </si>
  <si>
    <t>Gainesville</t>
  </si>
  <si>
    <t>Schmidt</t>
  </si>
  <si>
    <t>sschmidta2@deviantart.com</t>
  </si>
  <si>
    <t>sschmidta2</t>
  </si>
  <si>
    <t>Yakitri</t>
  </si>
  <si>
    <t>Software Test Engineer IV</t>
  </si>
  <si>
    <t>kthomasl7@list-manage.com</t>
  </si>
  <si>
    <t>kthomasl7</t>
  </si>
  <si>
    <t>Desktop Support Technician</t>
  </si>
  <si>
    <t>lmedinahg@creativecommons.org</t>
  </si>
  <si>
    <t>lmedinahg</t>
  </si>
  <si>
    <t>Ozu</t>
  </si>
  <si>
    <t>Simpson</t>
  </si>
  <si>
    <t>lsimpsoneg@dropbox.com</t>
  </si>
  <si>
    <t>lsimpsoneg</t>
  </si>
  <si>
    <t>Skinix</t>
  </si>
  <si>
    <t>Powell</t>
  </si>
  <si>
    <t>cpowelle8@digg.com</t>
  </si>
  <si>
    <t>cpowelle8</t>
  </si>
  <si>
    <t>spattersonf1@hibu.com</t>
  </si>
  <si>
    <t>spattersonf1</t>
  </si>
  <si>
    <t>rshawgs@topsy.com</t>
  </si>
  <si>
    <t>rshawgs</t>
  </si>
  <si>
    <t>Eadel</t>
  </si>
  <si>
    <t>Indianapolis</t>
  </si>
  <si>
    <t>Edward</t>
  </si>
  <si>
    <t>elongrd@bing.com</t>
  </si>
  <si>
    <t>elongrd</t>
  </si>
  <si>
    <t>lmasona0@google.com</t>
  </si>
  <si>
    <t>lmasona0</t>
  </si>
  <si>
    <t>Muskegon</t>
  </si>
  <si>
    <t>Kimberly</t>
  </si>
  <si>
    <t>Lynch</t>
  </si>
  <si>
    <t>klynchh9@meetup.com</t>
  </si>
  <si>
    <t>klynchh9</t>
  </si>
  <si>
    <t>Buzzdog</t>
  </si>
  <si>
    <t>mwelchi4@dailymotion.com</t>
  </si>
  <si>
    <t>mwelchi4</t>
  </si>
  <si>
    <t>Sparks</t>
  </si>
  <si>
    <t>Little</t>
  </si>
  <si>
    <t>rlittlerk@omniture.com</t>
  </si>
  <si>
    <t>rlittlerk</t>
  </si>
  <si>
    <t>Yabox</t>
  </si>
  <si>
    <t>Janet</t>
  </si>
  <si>
    <t>jriveragi@sina.com.cn</t>
  </si>
  <si>
    <t>jriveragi</t>
  </si>
  <si>
    <t>Winter Haven</t>
  </si>
  <si>
    <t>kmeyerf4@senate.gov</t>
  </si>
  <si>
    <t>kmeyerf4</t>
  </si>
  <si>
    <t>Betty</t>
  </si>
  <si>
    <t>bhenryfd@1688.com</t>
  </si>
  <si>
    <t>bhenryfd</t>
  </si>
  <si>
    <t>Gabvine</t>
  </si>
  <si>
    <t>jwoodhn@ftc.gov</t>
  </si>
  <si>
    <t>jwoodhn</t>
  </si>
  <si>
    <t>Media Manager III</t>
  </si>
  <si>
    <t>Brea</t>
  </si>
  <si>
    <t>ckingip@godaddy.com</t>
  </si>
  <si>
    <t>ckingip</t>
  </si>
  <si>
    <t>Flashpoint</t>
  </si>
  <si>
    <t>Memphis</t>
  </si>
  <si>
    <t>Robertson</t>
  </si>
  <si>
    <t>jrobertsonne@skype.com</t>
  </si>
  <si>
    <t>jrobertsonne</t>
  </si>
  <si>
    <t>Butler</t>
  </si>
  <si>
    <t>bbutlerj1@unesco.org</t>
  </si>
  <si>
    <t>bbutlerj1</t>
  </si>
  <si>
    <t>Skipstorm</t>
  </si>
  <si>
    <t>Research Assistant IV</t>
  </si>
  <si>
    <t>Lima</t>
  </si>
  <si>
    <t>kpattersongm@amazon.de</t>
  </si>
  <si>
    <t>kpattersongm</t>
  </si>
  <si>
    <t>cmasoncq@google.com.hk</t>
  </si>
  <si>
    <t>cmasoncq</t>
  </si>
  <si>
    <t>Hicksville</t>
  </si>
  <si>
    <t>gcoxjg@sun.com</t>
  </si>
  <si>
    <t>gcoxjg</t>
  </si>
  <si>
    <t>Whittier</t>
  </si>
  <si>
    <t>bduncangd@cdbaby.com</t>
  </si>
  <si>
    <t>bduncangd</t>
  </si>
  <si>
    <t>Budget/Accounting Analyst IV</t>
  </si>
  <si>
    <t>lburkeik@reverbnation.com</t>
  </si>
  <si>
    <t>lburkeik</t>
  </si>
  <si>
    <t>Feedspan</t>
  </si>
  <si>
    <t>Oxnard</t>
  </si>
  <si>
    <t>Cooper</t>
  </si>
  <si>
    <t>pcoopercp@mediafire.com</t>
  </si>
  <si>
    <t>pcoopercp</t>
  </si>
  <si>
    <t>Sharon</t>
  </si>
  <si>
    <t>sbakerkf@sphinn.com</t>
  </si>
  <si>
    <t>sbakerkf</t>
  </si>
  <si>
    <t>Elliott</t>
  </si>
  <si>
    <t>selliottfg@toplist.cz</t>
  </si>
  <si>
    <t>selliottfg</t>
  </si>
  <si>
    <t>bwillish3@walmart.com</t>
  </si>
  <si>
    <t>bwillish3</t>
  </si>
  <si>
    <t>Avamba</t>
  </si>
  <si>
    <t>Jeremy</t>
  </si>
  <si>
    <t>jgreeneci@live.com</t>
  </si>
  <si>
    <t>jgreeneci</t>
  </si>
  <si>
    <t>Brainlounge</t>
  </si>
  <si>
    <t>Database Administrator I</t>
  </si>
  <si>
    <t>Hughes</t>
  </si>
  <si>
    <t>mhughesic@huffingtonpost.com</t>
  </si>
  <si>
    <t>mhughesic</t>
  </si>
  <si>
    <t>jmorrisf7@diigo.com</t>
  </si>
  <si>
    <t>jmorrisf7</t>
  </si>
  <si>
    <t>Jamia</t>
  </si>
  <si>
    <t>Paralegal</t>
  </si>
  <si>
    <t>Beaverton</t>
  </si>
  <si>
    <t>Ernest</t>
  </si>
  <si>
    <t>ematthewsco@scribd.com</t>
  </si>
  <si>
    <t>ematthewsco</t>
  </si>
  <si>
    <t>Nelson</t>
  </si>
  <si>
    <t>lnelson2d@moonfruit.com</t>
  </si>
  <si>
    <t>lnelson2d</t>
  </si>
  <si>
    <t>Yodel</t>
  </si>
  <si>
    <t>Danbury</t>
  </si>
  <si>
    <t>Fox</t>
  </si>
  <si>
    <t>hfoxez@jigsy.com</t>
  </si>
  <si>
    <t>hfoxez</t>
  </si>
  <si>
    <t>egriffinhf@mayoclinic.com</t>
  </si>
  <si>
    <t>egriffinhf</t>
  </si>
  <si>
    <t>Topicblab</t>
  </si>
  <si>
    <t>Boston</t>
  </si>
  <si>
    <t>Michelle</t>
  </si>
  <si>
    <t>mgrayqc@yahoo.com</t>
  </si>
  <si>
    <t>mgrayqc</t>
  </si>
  <si>
    <t>Yakidoo</t>
  </si>
  <si>
    <t>Mills</t>
  </si>
  <si>
    <t>cmillsil@miibeian.gov.cn</t>
  </si>
  <si>
    <t>cmillsil</t>
  </si>
  <si>
    <t>Brainverse</t>
  </si>
  <si>
    <t>lhillhd@squidoo.com</t>
  </si>
  <si>
    <t>lhillhd</t>
  </si>
  <si>
    <t>Youfeed</t>
  </si>
  <si>
    <t>ngriffinjw@cocolog-nifty.com</t>
  </si>
  <si>
    <t>ngriffinjw</t>
  </si>
  <si>
    <t>Browsecat</t>
  </si>
  <si>
    <t>bharrisav@etsy.com</t>
  </si>
  <si>
    <t>bharrisav</t>
  </si>
  <si>
    <t>Mydo</t>
  </si>
  <si>
    <t>jkennedyqa@flavors.me</t>
  </si>
  <si>
    <t>jkennedyqa</t>
  </si>
  <si>
    <t>cwelch3v@washingtonpost.com</t>
  </si>
  <si>
    <t>cwelch3v</t>
  </si>
  <si>
    <t>Lazz</t>
  </si>
  <si>
    <t>vmarshallqi@cyberchimps.com</t>
  </si>
  <si>
    <t>vmarshallqi</t>
  </si>
  <si>
    <t>Vimbo</t>
  </si>
  <si>
    <t>dcarrfr@salon.com</t>
  </si>
  <si>
    <t>dcarrfr</t>
  </si>
  <si>
    <t>Twimm</t>
  </si>
  <si>
    <t>mwillisk2@fc2.com</t>
  </si>
  <si>
    <t>mwillisk2</t>
  </si>
  <si>
    <t>Harper</t>
  </si>
  <si>
    <t>rharper3c@usgs.gov</t>
  </si>
  <si>
    <t>rharper3c</t>
  </si>
  <si>
    <t>Trudoo</t>
  </si>
  <si>
    <t>Account Representative I</t>
  </si>
  <si>
    <t>Madison</t>
  </si>
  <si>
    <t>ahowardee@noaa.gov</t>
  </si>
  <si>
    <t>ahowardee</t>
  </si>
  <si>
    <t>Livetube</t>
  </si>
  <si>
    <t>Robert</t>
  </si>
  <si>
    <t>Mccoy</t>
  </si>
  <si>
    <t>rmccoyi7@joomla.org</t>
  </si>
  <si>
    <t>rmccoyi7</t>
  </si>
  <si>
    <t>Skynoodle</t>
  </si>
  <si>
    <t>Wilson</t>
  </si>
  <si>
    <t>awilsonrc@sun.com</t>
  </si>
  <si>
    <t>awilsonrc</t>
  </si>
  <si>
    <t>Judy</t>
  </si>
  <si>
    <t>jkimrh@yandex.ru</t>
  </si>
  <si>
    <t>jkimrh</t>
  </si>
  <si>
    <t>asmiths@soundcloud.com</t>
  </si>
  <si>
    <t>asmiths</t>
  </si>
  <si>
    <t>Blogpad</t>
  </si>
  <si>
    <t>Prescott</t>
  </si>
  <si>
    <t>Bradley</t>
  </si>
  <si>
    <t>bbradleygj@hp.com</t>
  </si>
  <si>
    <t>bbradleygj</t>
  </si>
  <si>
    <t>hspencerkj@mozilla.org</t>
  </si>
  <si>
    <t>hspencerkj</t>
  </si>
  <si>
    <t>Jimmy</t>
  </si>
  <si>
    <t>jfoxft@wired.com</t>
  </si>
  <si>
    <t>jfoxft</t>
  </si>
  <si>
    <t>dmartinezpv@skyrock.com</t>
  </si>
  <si>
    <t>dmartinezpv</t>
  </si>
  <si>
    <t>Blogspan</t>
  </si>
  <si>
    <t>Gregory</t>
  </si>
  <si>
    <t>Arnold</t>
  </si>
  <si>
    <t>garnoldr9@merriam-webster.com</t>
  </si>
  <si>
    <t>garnoldr9</t>
  </si>
  <si>
    <t>Kwinu</t>
  </si>
  <si>
    <t>Debra</t>
  </si>
  <si>
    <t>Diaz</t>
  </si>
  <si>
    <t>ddiazh4@e-recht24.de</t>
  </si>
  <si>
    <t>ddiazh4</t>
  </si>
  <si>
    <t>Wyoming</t>
  </si>
  <si>
    <t>Cheyenne</t>
  </si>
  <si>
    <t>mgreenl5@ocn.ne.jp</t>
  </si>
  <si>
    <t>mgreenl5</t>
  </si>
  <si>
    <t>Yacero</t>
  </si>
  <si>
    <t>Budget/Accounting Analyst III</t>
  </si>
  <si>
    <t>Delray Beach</t>
  </si>
  <si>
    <t>rmasonew@liveinternet.ru</t>
  </si>
  <si>
    <t>rmasonew</t>
  </si>
  <si>
    <t>Vinte</t>
  </si>
  <si>
    <t>chudsonqv@arizona.edu</t>
  </si>
  <si>
    <t>chudsonqv</t>
  </si>
  <si>
    <t>Accountant IV</t>
  </si>
  <si>
    <t>vmccoyi8@acquirethisname.com</t>
  </si>
  <si>
    <t>vmccoyi8</t>
  </si>
  <si>
    <t>mryaneq@prnewswire.com</t>
  </si>
  <si>
    <t>mryaneq</t>
  </si>
  <si>
    <t>Brainsphere</t>
  </si>
  <si>
    <t>Tuscaloosa</t>
  </si>
  <si>
    <t>Boyd</t>
  </si>
  <si>
    <t>rboydaw@google.com</t>
  </si>
  <si>
    <t>rboydaw</t>
  </si>
  <si>
    <t>Gutierrez</t>
  </si>
  <si>
    <t>agutierrezpi@usgs.gov</t>
  </si>
  <si>
    <t>agutierrezpi</t>
  </si>
  <si>
    <t>Yambee</t>
  </si>
  <si>
    <t>Seattle</t>
  </si>
  <si>
    <t>bdiazbg@trellian.com</t>
  </si>
  <si>
    <t>bdiazbg</t>
  </si>
  <si>
    <t>bgarrett3d@cocolog-nifty.com</t>
  </si>
  <si>
    <t>bgarrett3d</t>
  </si>
  <si>
    <t>Web Developer III</t>
  </si>
  <si>
    <t>Rockford</t>
  </si>
  <si>
    <t>Louis</t>
  </si>
  <si>
    <t>ledwardseo@163.com</t>
  </si>
  <si>
    <t>ledwardseo</t>
  </si>
  <si>
    <t>Engineer III</t>
  </si>
  <si>
    <t>Mississippi</t>
  </si>
  <si>
    <t>Biloxi</t>
  </si>
  <si>
    <t>mstevensfu@etsy.com</t>
  </si>
  <si>
    <t>mstevensfu</t>
  </si>
  <si>
    <t>Database Administrator III</t>
  </si>
  <si>
    <t>Rice</t>
  </si>
  <si>
    <t>sriceih@simplemachines.org</t>
  </si>
  <si>
    <t>sriceih</t>
  </si>
  <si>
    <t>Cogibox</t>
  </si>
  <si>
    <t>Victor</t>
  </si>
  <si>
    <t>vedwardsq3@about.com</t>
  </si>
  <si>
    <t>vedwardsq3</t>
  </si>
  <si>
    <t>Software Engineer III</t>
  </si>
  <si>
    <t>Littleton</t>
  </si>
  <si>
    <t>Romero</t>
  </si>
  <si>
    <t>mromeroio@uol.com.br</t>
  </si>
  <si>
    <t>mromeroio</t>
  </si>
  <si>
    <t>Devpulse</t>
  </si>
  <si>
    <t>College Station</t>
  </si>
  <si>
    <t>Day</t>
  </si>
  <si>
    <t>hday22@acquirethisname.com</t>
  </si>
  <si>
    <t>hday22</t>
  </si>
  <si>
    <t>mpowell4k@lulu.com</t>
  </si>
  <si>
    <t>mpowell4k</t>
  </si>
  <si>
    <t>Edgeify</t>
  </si>
  <si>
    <t>Billy</t>
  </si>
  <si>
    <t>blopezj8@howstuffworks.com</t>
  </si>
  <si>
    <t>blopezj8</t>
  </si>
  <si>
    <t>Yakijo</t>
  </si>
  <si>
    <t>bmurraybh@state.tx.us</t>
  </si>
  <si>
    <t>bmurraybh</t>
  </si>
  <si>
    <t>Largo</t>
  </si>
  <si>
    <t>sgrantaz@blinklist.com</t>
  </si>
  <si>
    <t>sgrantaz</t>
  </si>
  <si>
    <t>awatsonjj@plala.or.jp</t>
  </si>
  <si>
    <t>awatsonjj</t>
  </si>
  <si>
    <t>dwilliamsb1@hibu.com</t>
  </si>
  <si>
    <t>dwilliamsb1</t>
  </si>
  <si>
    <t>nking25@fda.gov</t>
  </si>
  <si>
    <t>nking25</t>
  </si>
  <si>
    <t>Little Rock</t>
  </si>
  <si>
    <t>Robinson</t>
  </si>
  <si>
    <t>jrobinsong6@cisco.com</t>
  </si>
  <si>
    <t>jrobinsong6</t>
  </si>
  <si>
    <t>cdiazkc@over-blog.com</t>
  </si>
  <si>
    <t>cdiazkc</t>
  </si>
  <si>
    <t>Twinte</t>
  </si>
  <si>
    <t>Bridgeport</t>
  </si>
  <si>
    <t>pcookqu@webmd.com</t>
  </si>
  <si>
    <t>pcookqu</t>
  </si>
  <si>
    <t>Tagchat</t>
  </si>
  <si>
    <t>New Hampshire</t>
  </si>
  <si>
    <t>Manchester</t>
  </si>
  <si>
    <t>lturner38@dion.ne.jp</t>
  </si>
  <si>
    <t>lturner38</t>
  </si>
  <si>
    <t>Virginia Beach</t>
  </si>
  <si>
    <t>Jacobs</t>
  </si>
  <si>
    <t>rjacobsin@youtu.be</t>
  </si>
  <si>
    <t>rjacobsin</t>
  </si>
  <si>
    <t>Latz</t>
  </si>
  <si>
    <t>pyoungll@zimbio.com</t>
  </si>
  <si>
    <t>pyoungll</t>
  </si>
  <si>
    <t>Montana</t>
  </si>
  <si>
    <t>Helena</t>
  </si>
  <si>
    <t>jdayn7@google.co.jp</t>
  </si>
  <si>
    <t>jdayn7</t>
  </si>
  <si>
    <t>Jose</t>
  </si>
  <si>
    <t>Bryant</t>
  </si>
  <si>
    <t>jbryantl1@whitehouse.gov</t>
  </si>
  <si>
    <t>jbryantl1</t>
  </si>
  <si>
    <t>Denise</t>
  </si>
  <si>
    <t>Graham</t>
  </si>
  <si>
    <t>dgrahamq1@hubpages.com</t>
  </si>
  <si>
    <t>dgrahamq1</t>
  </si>
  <si>
    <t>Wordware</t>
  </si>
  <si>
    <t>ahudsonht@ox.ac.uk</t>
  </si>
  <si>
    <t>ahudsonht</t>
  </si>
  <si>
    <t>wmatthews3u@reverbnation.com</t>
  </si>
  <si>
    <t>wmatthews3u</t>
  </si>
  <si>
    <t>Realbuzz</t>
  </si>
  <si>
    <t>shamiltonhb@symantec.com</t>
  </si>
  <si>
    <t>shamiltonhb</t>
  </si>
  <si>
    <t>Albany</t>
  </si>
  <si>
    <t>Cunningham</t>
  </si>
  <si>
    <t>jcunninghamz@forbes.com</t>
  </si>
  <si>
    <t>jcunninghamz</t>
  </si>
  <si>
    <t>Torrance</t>
  </si>
  <si>
    <t>pevanscj@blinklist.com</t>
  </si>
  <si>
    <t>pevanscj</t>
  </si>
  <si>
    <t>Joe</t>
  </si>
  <si>
    <t>jbradleybf@woothemes.com</t>
  </si>
  <si>
    <t>jbradleybf</t>
  </si>
  <si>
    <t>Pierce</t>
  </si>
  <si>
    <t>jpiercegc@mashable.com</t>
  </si>
  <si>
    <t>jpiercegc</t>
  </si>
  <si>
    <t>lfordw@cocolog-nifty.com</t>
  </si>
  <si>
    <t>lfordw</t>
  </si>
  <si>
    <t>jfergusonmi@bbb.org</t>
  </si>
  <si>
    <t>jfergusonmi</t>
  </si>
  <si>
    <t>Divanoodle</t>
  </si>
  <si>
    <t>South Bend</t>
  </si>
  <si>
    <t>mbutlerig@storify.com</t>
  </si>
  <si>
    <t>mbutlerig</t>
  </si>
  <si>
    <t>sjohnsonh8@cafepress.com</t>
  </si>
  <si>
    <t>sjohnsonh8</t>
  </si>
  <si>
    <t>Buzzbean</t>
  </si>
  <si>
    <t>gbanksi6@nsw.gov.au</t>
  </si>
  <si>
    <t>gbanksi6</t>
  </si>
  <si>
    <t>Budget/Accounting Analyst I</t>
  </si>
  <si>
    <t>Orange</t>
  </si>
  <si>
    <t>James</t>
  </si>
  <si>
    <t>Warren</t>
  </si>
  <si>
    <t>jwarrenn8@last.fm</t>
  </si>
  <si>
    <t>jwarrenn8</t>
  </si>
  <si>
    <t>Gilbert</t>
  </si>
  <si>
    <t>tgilbertgy@ucoz.ru</t>
  </si>
  <si>
    <t>tgilbertgy</t>
  </si>
  <si>
    <t>Edgeclub</t>
  </si>
  <si>
    <t>Legal Assistant</t>
  </si>
  <si>
    <t>Carter</t>
  </si>
  <si>
    <t>bcarterqs@prlog.org</t>
  </si>
  <si>
    <t>bcarterqs</t>
  </si>
  <si>
    <t>Trupe</t>
  </si>
  <si>
    <t>Margaret</t>
  </si>
  <si>
    <t>mmorganfy@umn.edu</t>
  </si>
  <si>
    <t>mmorganfy</t>
  </si>
  <si>
    <t>awalkerj0@mapquest.com</t>
  </si>
  <si>
    <t>awalkerj0</t>
  </si>
  <si>
    <t>Vipe</t>
  </si>
  <si>
    <t>agrayjx@squidoo.com</t>
  </si>
  <si>
    <t>agrayjx</t>
  </si>
  <si>
    <t>Zooveo</t>
  </si>
  <si>
    <t>Ralph</t>
  </si>
  <si>
    <t>rwalkerqb@telegraph.co.uk</t>
  </si>
  <si>
    <t>rwalkerqb</t>
  </si>
  <si>
    <t>Hayes</t>
  </si>
  <si>
    <t>ihayesu@miitbeian.gov.cn</t>
  </si>
  <si>
    <t>ihayesu</t>
  </si>
  <si>
    <t>Reallinks</t>
  </si>
  <si>
    <t>Alexandria</t>
  </si>
  <si>
    <t>dkennedyj7@sakura.ne.jp</t>
  </si>
  <si>
    <t>dkennedyj7</t>
  </si>
  <si>
    <t>Naples</t>
  </si>
  <si>
    <t>Mildred</t>
  </si>
  <si>
    <t>Reynolds</t>
  </si>
  <si>
    <t>mreynoldsqm@rambler.ru</t>
  </si>
  <si>
    <t>mreynoldsqm</t>
  </si>
  <si>
    <t>Accountant II</t>
  </si>
  <si>
    <t>Jean</t>
  </si>
  <si>
    <t>jmcdonaldji@alexa.com</t>
  </si>
  <si>
    <t>jmcdonaldji</t>
  </si>
  <si>
    <t>Bakersfield</t>
  </si>
  <si>
    <t>dfuller1y@google.co.jp</t>
  </si>
  <si>
    <t>dfuller1y</t>
  </si>
  <si>
    <t>Browsebug</t>
  </si>
  <si>
    <t>General Manager</t>
  </si>
  <si>
    <t>agarrettpm@reuters.com</t>
  </si>
  <si>
    <t>agarrettpm</t>
  </si>
  <si>
    <t>Skyvu</t>
  </si>
  <si>
    <t>roliverfo@livejournal.com</t>
  </si>
  <si>
    <t>roliverfo</t>
  </si>
  <si>
    <t>cfieldsge@hubpages.com</t>
  </si>
  <si>
    <t>cfieldsge</t>
  </si>
  <si>
    <t>rdanielshm@admin.ch</t>
  </si>
  <si>
    <t>rdanielshm</t>
  </si>
  <si>
    <t>kfordcn@bing.com</t>
  </si>
  <si>
    <t>kfordcn</t>
  </si>
  <si>
    <t>Topicshots</t>
  </si>
  <si>
    <t>Larson</t>
  </si>
  <si>
    <t>plarsonks@infoseek.co.jp</t>
  </si>
  <si>
    <t>plarsonks</t>
  </si>
  <si>
    <t>Price</t>
  </si>
  <si>
    <t>kpricejh@go.com</t>
  </si>
  <si>
    <t>kpricejh</t>
  </si>
  <si>
    <t>Garza</t>
  </si>
  <si>
    <t>mgarzal2@hhs.gov</t>
  </si>
  <si>
    <t>mgarzal2</t>
  </si>
  <si>
    <t>Independence</t>
  </si>
  <si>
    <t>ismithk6@blogtalkradio.com</t>
  </si>
  <si>
    <t>ismithk6</t>
  </si>
  <si>
    <t>erodriguezpn@51.la</t>
  </si>
  <si>
    <t>erodriguezpn</t>
  </si>
  <si>
    <t>Lubbock</t>
  </si>
  <si>
    <t>madams1u@over-blog.com</t>
  </si>
  <si>
    <t>madams1u</t>
  </si>
  <si>
    <t>Thoughtworks</t>
  </si>
  <si>
    <t>Office Assistant III</t>
  </si>
  <si>
    <t>Bell</t>
  </si>
  <si>
    <t>abellqj@rakuten.co.jp</t>
  </si>
  <si>
    <t>abellqj</t>
  </si>
  <si>
    <t>rking3w@typepad.com</t>
  </si>
  <si>
    <t>rking3w</t>
  </si>
  <si>
    <t>Pixope</t>
  </si>
  <si>
    <t>Ruth</t>
  </si>
  <si>
    <t>rkelleyfv@macromedia.com</t>
  </si>
  <si>
    <t>rkelleyfv</t>
  </si>
  <si>
    <t>Analog Circuit Design manager</t>
  </si>
  <si>
    <t>Inglewood</t>
  </si>
  <si>
    <t>Reid</t>
  </si>
  <si>
    <t>lreidjf@loc.gov</t>
  </si>
  <si>
    <t>lreidjf</t>
  </si>
  <si>
    <t>Meetz</t>
  </si>
  <si>
    <t>mgonzalez5u@epa.gov</t>
  </si>
  <si>
    <t>mgonzalez5u</t>
  </si>
  <si>
    <t>Avamm</t>
  </si>
  <si>
    <t>Crawford</t>
  </si>
  <si>
    <t>jcrawfordbe@newsvine.com</t>
  </si>
  <si>
    <t>jcrawfordbe</t>
  </si>
  <si>
    <t>Flipbug</t>
  </si>
  <si>
    <t>jcook9z@blogger.com</t>
  </si>
  <si>
    <t>jcook9z</t>
  </si>
  <si>
    <t>Savannah</t>
  </si>
  <si>
    <t>Joyce</t>
  </si>
  <si>
    <t>jadamshr@typepad.com</t>
  </si>
  <si>
    <t>jadamshr</t>
  </si>
  <si>
    <t>Susan</t>
  </si>
  <si>
    <t>sgray1w@wikispaces.com</t>
  </si>
  <si>
    <t>sgray1w</t>
  </si>
  <si>
    <t>Software Engineer IV</t>
  </si>
  <si>
    <t>jcarpenter29@amazon.de</t>
  </si>
  <si>
    <t>jcarpenter29</t>
  </si>
  <si>
    <t>Johnstown</t>
  </si>
  <si>
    <t>mkellyl6@mashable.com</t>
  </si>
  <si>
    <t>mkellyl6</t>
  </si>
  <si>
    <t>Centizu</t>
  </si>
  <si>
    <t>Louise</t>
  </si>
  <si>
    <t>llonggv@redcross.org</t>
  </si>
  <si>
    <t>llonggv</t>
  </si>
  <si>
    <t>egeorge2l@tamu.edu</t>
  </si>
  <si>
    <t>egeorge2l</t>
  </si>
  <si>
    <t>llopeznd@cnbc.com</t>
  </si>
  <si>
    <t>llopeznd</t>
  </si>
  <si>
    <t>jjohnstonr6@noaa.gov</t>
  </si>
  <si>
    <t>jjohnstonr6</t>
  </si>
  <si>
    <t>Roomm</t>
  </si>
  <si>
    <t>Schenectady</t>
  </si>
  <si>
    <t>Collins</t>
  </si>
  <si>
    <t>ccollinskt@pcworld.com</t>
  </si>
  <si>
    <t>ccollinskt</t>
  </si>
  <si>
    <t>Skinder</t>
  </si>
  <si>
    <t>Palmer</t>
  </si>
  <si>
    <t>dpalmerg9@instagram.com</t>
  </si>
  <si>
    <t>dpalmerg9</t>
  </si>
  <si>
    <t>awillisjk@google.es</t>
  </si>
  <si>
    <t>awillisjk</t>
  </si>
  <si>
    <t>Vidoo</t>
  </si>
  <si>
    <t>Keith</t>
  </si>
  <si>
    <t>Hansen</t>
  </si>
  <si>
    <t>khansenia@desdev.cn</t>
  </si>
  <si>
    <t>khansenia</t>
  </si>
  <si>
    <t>lpalmerfx@seattletimes.com</t>
  </si>
  <si>
    <t>lpalmerfx</t>
  </si>
  <si>
    <t>wstephenscs@usatoday.com</t>
  </si>
  <si>
    <t>wstephenscs</t>
  </si>
  <si>
    <t>Spring</t>
  </si>
  <si>
    <t>Andrews</t>
  </si>
  <si>
    <t>aandrewsjb@hatena.ne.jp</t>
  </si>
  <si>
    <t>aandrewsjb</t>
  </si>
  <si>
    <t>lhendersonli@gravatar.com</t>
  </si>
  <si>
    <t>lhendersonli</t>
  </si>
  <si>
    <t>Taylor</t>
  </si>
  <si>
    <t>ktaylorhi@mlb.com</t>
  </si>
  <si>
    <t>ktaylorhi</t>
  </si>
  <si>
    <t>Scottsdale</t>
  </si>
  <si>
    <t>Timothy</t>
  </si>
  <si>
    <t>tpricek5@tinyurl.com</t>
  </si>
  <si>
    <t>tpricek5</t>
  </si>
  <si>
    <t>Fort Myers</t>
  </si>
  <si>
    <t>John</t>
  </si>
  <si>
    <t>jhowardmc@networksolutions.com</t>
  </si>
  <si>
    <t>jhowardmc</t>
  </si>
  <si>
    <t>Zooxo</t>
  </si>
  <si>
    <t>Dixon</t>
  </si>
  <si>
    <t>jdixonkn@bizjournals.com</t>
  </si>
  <si>
    <t>jdixonkn</t>
  </si>
  <si>
    <t>mdunnpz@usda.gov</t>
  </si>
  <si>
    <t>mdunnpz</t>
  </si>
  <si>
    <t>Waco</t>
  </si>
  <si>
    <t>Philip</t>
  </si>
  <si>
    <t>pjohnsoniv@ftc.gov</t>
  </si>
  <si>
    <t>pjohnsoniv</t>
  </si>
  <si>
    <t>Sioux City</t>
  </si>
  <si>
    <t>caustinl9@w3.org</t>
  </si>
  <si>
    <t>caustinl9</t>
  </si>
  <si>
    <t>Roombo</t>
  </si>
  <si>
    <t>Chula Vista</t>
  </si>
  <si>
    <t>Jeffrey</t>
  </si>
  <si>
    <t>jsimpsonie@mozilla.org</t>
  </si>
  <si>
    <t>jsimpsonie</t>
  </si>
  <si>
    <t>jmarshalle6@google.es</t>
  </si>
  <si>
    <t>jmarshalle6</t>
  </si>
  <si>
    <t>Dabtype</t>
  </si>
  <si>
    <t>Simi Valley</t>
  </si>
  <si>
    <t>scooperha@webnode.com</t>
  </si>
  <si>
    <t>scooperha</t>
  </si>
  <si>
    <t>Account Representative II</t>
  </si>
  <si>
    <t>Sunnyvale</t>
  </si>
  <si>
    <t>Gibson</t>
  </si>
  <si>
    <t>cgibsonq6@prlog.org</t>
  </si>
  <si>
    <t>cgibsonq6</t>
  </si>
  <si>
    <t>Winston Salem</t>
  </si>
  <si>
    <t>jtaylorfe@wikipedia.org</t>
  </si>
  <si>
    <t>jtaylorfe</t>
  </si>
  <si>
    <t>fdanielsjy@themeforest.net</t>
  </si>
  <si>
    <t>fdanielsjy</t>
  </si>
  <si>
    <t>Long Beach</t>
  </si>
  <si>
    <t>njameskv@meetup.com</t>
  </si>
  <si>
    <t>njameskv</t>
  </si>
  <si>
    <t>abakerkh@lycos.com</t>
  </si>
  <si>
    <t>abakerkh</t>
  </si>
  <si>
    <t>jtaylores@usnews.com</t>
  </si>
  <si>
    <t>jtaylores</t>
  </si>
  <si>
    <t>jhayese7@redcross.org</t>
  </si>
  <si>
    <t>jhayese7</t>
  </si>
  <si>
    <t>Blogtag</t>
  </si>
  <si>
    <t>fjenkinsg4@newyorker.com</t>
  </si>
  <si>
    <t>fjenkinsg4</t>
  </si>
  <si>
    <t>ablackff@shutterfly.com</t>
  </si>
  <si>
    <t>ablackff</t>
  </si>
  <si>
    <t>Tagcat</t>
  </si>
  <si>
    <t>Fort Worth</t>
  </si>
  <si>
    <t>Alice</t>
  </si>
  <si>
    <t>ahendersonme@unblog.fr</t>
  </si>
  <si>
    <t>ahendersonme</t>
  </si>
  <si>
    <t>Wichita Falls</t>
  </si>
  <si>
    <t>rjames88@tamu.edu</t>
  </si>
  <si>
    <t>rjames88</t>
  </si>
  <si>
    <t>Midel</t>
  </si>
  <si>
    <t>Accounting Assistant II</t>
  </si>
  <si>
    <t>hhuntb8@sfgate.com</t>
  </si>
  <si>
    <t>hhuntb8</t>
  </si>
  <si>
    <t>dlynchpo@skype.com</t>
  </si>
  <si>
    <t>dlynchpo</t>
  </si>
  <si>
    <t>Computer Systems Analyst IV</t>
  </si>
  <si>
    <t>tfreemanpp@people.com.cn</t>
  </si>
  <si>
    <t>tfreemanpp</t>
  </si>
  <si>
    <t>pcrawfordgw@discovery.com</t>
  </si>
  <si>
    <t>pcrawfordgw</t>
  </si>
  <si>
    <t>Cogidoo</t>
  </si>
  <si>
    <t>Annie</t>
  </si>
  <si>
    <t>Tucker</t>
  </si>
  <si>
    <t>atuckerh0@bloglovin.com</t>
  </si>
  <si>
    <t>atuckerh0</t>
  </si>
  <si>
    <t>Jaxnation</t>
  </si>
  <si>
    <t>barnoldpx@npr.org</t>
  </si>
  <si>
    <t>barnoldpx</t>
  </si>
  <si>
    <t>Aibox</t>
  </si>
  <si>
    <t>Glendale</t>
  </si>
  <si>
    <t>eburnsja@blogs.com</t>
  </si>
  <si>
    <t>eburnsja</t>
  </si>
  <si>
    <t>Oyonder</t>
  </si>
  <si>
    <t>Macon</t>
  </si>
  <si>
    <t>Hart</t>
  </si>
  <si>
    <t>kharteu@skyrock.com</t>
  </si>
  <si>
    <t>kharteu</t>
  </si>
  <si>
    <t>lgranthl@wunderground.com</t>
  </si>
  <si>
    <t>lgranthl</t>
  </si>
  <si>
    <t>Developer I</t>
  </si>
  <si>
    <t>Myers</t>
  </si>
  <si>
    <t>dmyersib@youtu.be</t>
  </si>
  <si>
    <t>dmyersib</t>
  </si>
  <si>
    <t>Las Cruces</t>
  </si>
  <si>
    <t>lwatsonjs@shutterfly.com</t>
  </si>
  <si>
    <t>lwatsonjs</t>
  </si>
  <si>
    <t>blarson3x@smugmug.com</t>
  </si>
  <si>
    <t>blarson3x</t>
  </si>
  <si>
    <t>Alexander</t>
  </si>
  <si>
    <t>calexandergl@weebly.com</t>
  </si>
  <si>
    <t>calexandergl</t>
  </si>
  <si>
    <t>Help Desk Operator</t>
  </si>
  <si>
    <t>Joseph</t>
  </si>
  <si>
    <t>jwoodh5@amazon.co.uk</t>
  </si>
  <si>
    <t>jwoodh5</t>
  </si>
  <si>
    <t>Gigazoom</t>
  </si>
  <si>
    <t>cmarshallfs@studiopress.com</t>
  </si>
  <si>
    <t>cmarshallfs</t>
  </si>
  <si>
    <t>Izio</t>
  </si>
  <si>
    <t>mwilsonf8@google.co.jp</t>
  </si>
  <si>
    <t>mwilsonf8</t>
  </si>
  <si>
    <t>ltorres3y@harvard.edu</t>
  </si>
  <si>
    <t>ltorres3y</t>
  </si>
  <si>
    <t>pjohnstone5@fema.gov</t>
  </si>
  <si>
    <t>pjohnstone5</t>
  </si>
  <si>
    <t>Budget/Accounting Analyst II</t>
  </si>
  <si>
    <t>Hollywood</t>
  </si>
  <si>
    <t>lcookj6@ehow.com</t>
  </si>
  <si>
    <t>lcookj6</t>
  </si>
  <si>
    <t>Leexo</t>
  </si>
  <si>
    <t>Greensboro</t>
  </si>
  <si>
    <t>scrawfordhh@360.cn</t>
  </si>
  <si>
    <t>scrawfordhh</t>
  </si>
  <si>
    <t>Utah</t>
  </si>
  <si>
    <t>Ogden</t>
  </si>
  <si>
    <t>bmcdonaldkr@exblog.jp</t>
  </si>
  <si>
    <t>bmcdonaldkr</t>
  </si>
  <si>
    <t>Salt Lake City</t>
  </si>
  <si>
    <t>mandersoniw@list-manage.com</t>
  </si>
  <si>
    <t>mandersoniw</t>
  </si>
  <si>
    <t>Bennett</t>
  </si>
  <si>
    <t>rbennettix@icq.com</t>
  </si>
  <si>
    <t>rbennettix</t>
  </si>
  <si>
    <t>Saginaw</t>
  </si>
  <si>
    <t>lpriceke@about.me</t>
  </si>
  <si>
    <t>lpriceke</t>
  </si>
  <si>
    <t>Raleigh</t>
  </si>
  <si>
    <t>Cruz</t>
  </si>
  <si>
    <t>tcruzb4@so-net.ne.jp</t>
  </si>
  <si>
    <t>tcruzb4</t>
  </si>
  <si>
    <t>mgonzalezi3@mapy.cz</t>
  </si>
  <si>
    <t>mgonzalezi3</t>
  </si>
  <si>
    <t>Engineer II</t>
  </si>
  <si>
    <t>jreedit@sun.com</t>
  </si>
  <si>
    <t>jreedit</t>
  </si>
  <si>
    <t>Jazzy</t>
  </si>
  <si>
    <t>Myrtle Beach</t>
  </si>
  <si>
    <t>jmorrisa3@mlb.com</t>
  </si>
  <si>
    <t>jmorrisa3</t>
  </si>
  <si>
    <t>acunningham4n@blogs.com</t>
  </si>
  <si>
    <t>acunningham4n</t>
  </si>
  <si>
    <t>Shuffletag</t>
  </si>
  <si>
    <t>Web Designer I</t>
  </si>
  <si>
    <t>Bradenton</t>
  </si>
  <si>
    <t>jturnerlj@ucsd.edu</t>
  </si>
  <si>
    <t>jturnerlj</t>
  </si>
  <si>
    <t>hmedinaev@pagesperso-orange.fr</t>
  </si>
  <si>
    <t>hmedinaev</t>
  </si>
  <si>
    <t>Voonyx</t>
  </si>
  <si>
    <t>Software Test Engineer III</t>
  </si>
  <si>
    <t>Perkins</t>
  </si>
  <si>
    <t>cperkinskb@arizona.edu</t>
  </si>
  <si>
    <t>cperkinskb</t>
  </si>
  <si>
    <t>mspencerku@jalbum.net</t>
  </si>
  <si>
    <t>mspencerku</t>
  </si>
  <si>
    <t>pjamesgt@flickr.com</t>
  </si>
  <si>
    <t>pjamesgt</t>
  </si>
  <si>
    <t>Tavu</t>
  </si>
  <si>
    <t>gwrightay@ovh.net</t>
  </si>
  <si>
    <t>gwrightay</t>
  </si>
  <si>
    <t>Parker</t>
  </si>
  <si>
    <t>tparkerhw@technorati.com</t>
  </si>
  <si>
    <t>tparkerhw</t>
  </si>
  <si>
    <t>mmarshallhy@tripadvisor.com</t>
  </si>
  <si>
    <t>mmarshallhy</t>
  </si>
  <si>
    <t>Zava</t>
  </si>
  <si>
    <t>khart75@51.la</t>
  </si>
  <si>
    <t>khart75</t>
  </si>
  <si>
    <t>progersqo@360.cn</t>
  </si>
  <si>
    <t>progersqo</t>
  </si>
  <si>
    <t>kstephens86@youku.com</t>
  </si>
  <si>
    <t>kstephens86</t>
  </si>
  <si>
    <t>Hicks</t>
  </si>
  <si>
    <t>fhicksjq@java.com</t>
  </si>
  <si>
    <t>fhicksjq</t>
  </si>
  <si>
    <t>Systems Administrator II</t>
  </si>
  <si>
    <t>chamilton10@army.mil</t>
  </si>
  <si>
    <t>chamilton10</t>
  </si>
  <si>
    <t>San Mateo</t>
  </si>
  <si>
    <t>jriveralm@auda.org.au</t>
  </si>
  <si>
    <t>jriveralm</t>
  </si>
  <si>
    <t>Twitterwire</t>
  </si>
  <si>
    <t>rfieldsho@time.com</t>
  </si>
  <si>
    <t>rfieldsho</t>
  </si>
  <si>
    <t>jhansenfm@eventbrite.com</t>
  </si>
  <si>
    <t>jhansenfm</t>
  </si>
  <si>
    <t>Jabbersphere</t>
  </si>
  <si>
    <t>hfloresqg@homestead.com</t>
  </si>
  <si>
    <t>hfloresqg</t>
  </si>
  <si>
    <t>Database Administrator IV</t>
  </si>
  <si>
    <t>ahudsonqr@yolasite.com</t>
  </si>
  <si>
    <t>ahudsonqr</t>
  </si>
  <si>
    <t>vstephensqw@bluehost.com</t>
  </si>
  <si>
    <t>vstephensqw</t>
  </si>
  <si>
    <t>rgonzalezeh@amazon.com</t>
  </si>
  <si>
    <t>rgonzalezeh</t>
  </si>
  <si>
    <t>Jessica</t>
  </si>
  <si>
    <t>jwatkinsk8@digg.com</t>
  </si>
  <si>
    <t>jwatkinsk8</t>
  </si>
  <si>
    <t>rbennett2k@opera.com</t>
  </si>
  <si>
    <t>rbennett2k</t>
  </si>
  <si>
    <t>Ruiz</t>
  </si>
  <si>
    <t>rruizh@pen.io</t>
  </si>
  <si>
    <t>rruizh</t>
  </si>
  <si>
    <t>ktuckerni@vistaprint.com</t>
  </si>
  <si>
    <t>ktuckerni</t>
  </si>
  <si>
    <t>Computer Systems Analyst I</t>
  </si>
  <si>
    <t>mjacobsep@cocolog-nifty.com</t>
  </si>
  <si>
    <t>mjacobsep</t>
  </si>
  <si>
    <t>bfullerqn@mtv.com</t>
  </si>
  <si>
    <t>bfullerqn</t>
  </si>
  <si>
    <t>jcoxka@storify.com</t>
  </si>
  <si>
    <t>jcoxka</t>
  </si>
  <si>
    <t>dlarson2f@usa.gov</t>
  </si>
  <si>
    <t>dlarson2f</t>
  </si>
  <si>
    <t>Oyope</t>
  </si>
  <si>
    <t>Earl</t>
  </si>
  <si>
    <t>elewisi2@bloomberg.com</t>
  </si>
  <si>
    <t>elewisi2</t>
  </si>
  <si>
    <t>rbishopg1@answers.com</t>
  </si>
  <si>
    <t>rbishopg1</t>
  </si>
  <si>
    <t>lgray11@yahoo.com</t>
  </si>
  <si>
    <t>lgray11</t>
  </si>
  <si>
    <t>Pomona</t>
  </si>
  <si>
    <t>jjordanqk@prweb.com</t>
  </si>
  <si>
    <t>jjordanqk</t>
  </si>
  <si>
    <t>jryanq4@telegraph.co.uk</t>
  </si>
  <si>
    <t>jryanq4</t>
  </si>
  <si>
    <t>rgreeny@cnn.com</t>
  </si>
  <si>
    <t>rgreeny</t>
  </si>
  <si>
    <t>LiveZ</t>
  </si>
  <si>
    <t>Davenport</t>
  </si>
  <si>
    <t>cnicholsgf@huffingtonpost.com</t>
  </si>
  <si>
    <t>cnicholsgf</t>
  </si>
  <si>
    <t>cryanky@purevolume.com</t>
  </si>
  <si>
    <t>cryanky</t>
  </si>
  <si>
    <t>Theresa</t>
  </si>
  <si>
    <t>Bailey</t>
  </si>
  <si>
    <t>tbaileyr1@netvibes.com</t>
  </si>
  <si>
    <t>tbaileyr1</t>
  </si>
  <si>
    <t>rhuntl4@free.fr</t>
  </si>
  <si>
    <t>rhuntl4</t>
  </si>
  <si>
    <t>lmillsax@sourceforge.net</t>
  </si>
  <si>
    <t>lmillsax</t>
  </si>
  <si>
    <t>laustin57@infoseek.co.jp</t>
  </si>
  <si>
    <t>laustin57</t>
  </si>
  <si>
    <t>hreidiq@soup.io</t>
  </si>
  <si>
    <t>hreidiq</t>
  </si>
  <si>
    <t>hsimpsonj9@japanpost.jp</t>
  </si>
  <si>
    <t>hsimpsonj9</t>
  </si>
  <si>
    <t>Rhynoodle</t>
  </si>
  <si>
    <t>jgordonnj@google.fr</t>
  </si>
  <si>
    <t>jgordonnj</t>
  </si>
  <si>
    <t>Zoozzy</t>
  </si>
  <si>
    <t>Juneau</t>
  </si>
  <si>
    <t>Robin</t>
  </si>
  <si>
    <t>rwilliamsonkk@about.me</t>
  </si>
  <si>
    <t>rwilliamsonkk</t>
  </si>
  <si>
    <t>mhenryr0@soundcloud.com</t>
  </si>
  <si>
    <t>mhenryr0</t>
  </si>
  <si>
    <t>Zoombeat</t>
  </si>
  <si>
    <t>Developer IV</t>
  </si>
  <si>
    <t>wwardhj@ft.com</t>
  </si>
  <si>
    <t>wwardhj</t>
  </si>
  <si>
    <t>Twinder</t>
  </si>
  <si>
    <t>Chapman</t>
  </si>
  <si>
    <t>achapmanr3@pagesperso-orange.fr</t>
  </si>
  <si>
    <t>achapmanr3</t>
  </si>
  <si>
    <t>mwright2e@umich.edu</t>
  </si>
  <si>
    <t>mwright2e</t>
  </si>
  <si>
    <t>Santa Ana</t>
  </si>
  <si>
    <t>efordjn@vimeo.com</t>
  </si>
  <si>
    <t>efordjn</t>
  </si>
  <si>
    <t>Ann Arbor</t>
  </si>
  <si>
    <t>jgarrettif@youtube.com</t>
  </si>
  <si>
    <t>jgarrettif</t>
  </si>
  <si>
    <t>adeangn@weebly.com</t>
  </si>
  <si>
    <t>adeangn</t>
  </si>
  <si>
    <t>Kwimbee</t>
  </si>
  <si>
    <t>Wichita</t>
  </si>
  <si>
    <t>jblackg3@who.int</t>
  </si>
  <si>
    <t>jblackg3</t>
  </si>
  <si>
    <t>abell7l@plala.or.jp</t>
  </si>
  <si>
    <t>abell7l</t>
  </si>
  <si>
    <t>Dabvine</t>
  </si>
  <si>
    <t>smartinez2a@go.com</t>
  </si>
  <si>
    <t>smartinez2a</t>
  </si>
  <si>
    <t>arosecw@ycombinator.com</t>
  </si>
  <si>
    <t>arosecw</t>
  </si>
  <si>
    <t>cowens2i@wikispaces.com</t>
  </si>
  <si>
    <t>cowens2i</t>
  </si>
  <si>
    <t>Lakewood</t>
  </si>
  <si>
    <t>pkingpk@japanpost.jp</t>
  </si>
  <si>
    <t>pkingpk</t>
  </si>
  <si>
    <t>Gabspot</t>
  </si>
  <si>
    <t>mwelchkw@amazon.co.jp</t>
  </si>
  <si>
    <t>mwelchkw</t>
  </si>
  <si>
    <t>Livepath</t>
  </si>
  <si>
    <t>bmccoymf@sun.com</t>
  </si>
  <si>
    <t>bmccoymf</t>
  </si>
  <si>
    <t>ffreemanii@nbcnews.com</t>
  </si>
  <si>
    <t>ffreemanii</t>
  </si>
  <si>
    <t>Jetpulse</t>
  </si>
  <si>
    <t>dshawlc@taobao.com</t>
  </si>
  <si>
    <t>dshawlc</t>
  </si>
  <si>
    <t>Tanoodle</t>
  </si>
  <si>
    <t>Alan</t>
  </si>
  <si>
    <t>agonzalesl3@webmd.com</t>
  </si>
  <si>
    <t>agonzalesl3</t>
  </si>
  <si>
    <t>hjonesfk@google.com.au</t>
  </si>
  <si>
    <t>hjonesfk</t>
  </si>
  <si>
    <t>Roodel</t>
  </si>
  <si>
    <t>ewilliamsgr@constantcontact.com</t>
  </si>
  <si>
    <t>ewilliamsgr</t>
  </si>
  <si>
    <t>kcastilloc@mashable.com</t>
  </si>
  <si>
    <t>kcastilloc</t>
  </si>
  <si>
    <t>jmurrayir@discuz.net</t>
  </si>
  <si>
    <t>jmurrayir</t>
  </si>
  <si>
    <t>Skippad</t>
  </si>
  <si>
    <t>njameser@gizmodo.com</t>
  </si>
  <si>
    <t>njameser</t>
  </si>
  <si>
    <t>rwarrenkd@homestead.com</t>
  </si>
  <si>
    <t>rwarrenkd</t>
  </si>
  <si>
    <t>jmatthewsg5@elegantthemes.com</t>
  </si>
  <si>
    <t>jmatthewsg5</t>
  </si>
  <si>
    <t>apetersqp@europa.eu</t>
  </si>
  <si>
    <t>apetersqp</t>
  </si>
  <si>
    <t>hturnerj5@flavors.me</t>
  </si>
  <si>
    <t>hturnerj5</t>
  </si>
  <si>
    <t>Lee</t>
  </si>
  <si>
    <t>clee1x@prlog.org</t>
  </si>
  <si>
    <t>clee1x</t>
  </si>
  <si>
    <t>Shreveport</t>
  </si>
  <si>
    <t>jmurrayfw@bigcartel.com</t>
  </si>
  <si>
    <t>jmurrayfw</t>
  </si>
  <si>
    <t>Web Designer III</t>
  </si>
  <si>
    <t>Holmes</t>
  </si>
  <si>
    <t>jholmeshs@wufoo.com</t>
  </si>
  <si>
    <t>jholmeshs</t>
  </si>
  <si>
    <t>jmurrayjl@amazonaws.com</t>
  </si>
  <si>
    <t>jmurrayjl</t>
  </si>
  <si>
    <t>jjohnsoncu@cbsnews.com</t>
  </si>
  <si>
    <t>jjohnsoncu</t>
  </si>
  <si>
    <t>Mydeo</t>
  </si>
  <si>
    <t>pmeyerr5@fda.gov</t>
  </si>
  <si>
    <t>pmeyerr5</t>
  </si>
  <si>
    <t>Silver Spring</t>
  </si>
  <si>
    <t>kstanleyf5@booking.com</t>
  </si>
  <si>
    <t>kstanleyf5</t>
  </si>
  <si>
    <t>Health Coach III</t>
  </si>
  <si>
    <t>Kingsport</t>
  </si>
  <si>
    <t>smillernh@chronoengine.com</t>
  </si>
  <si>
    <t>smillernh</t>
  </si>
  <si>
    <t>jjames4o@gov.uk</t>
  </si>
  <si>
    <t>jjames4o</t>
  </si>
  <si>
    <t>wmendozanb@constantcontact.com</t>
  </si>
  <si>
    <t>wmendozanb</t>
  </si>
  <si>
    <t>Feedmix</t>
  </si>
  <si>
    <t>number of items</t>
  </si>
  <si>
    <t>Average Item Price</t>
  </si>
  <si>
    <t>Time on site</t>
  </si>
  <si>
    <t>Items viewed per session</t>
  </si>
  <si>
    <t>1A</t>
  </si>
  <si>
    <t>2A</t>
  </si>
  <si>
    <t>Mean</t>
  </si>
  <si>
    <t>Median</t>
  </si>
  <si>
    <t xml:space="preserve">Standard Deviation </t>
  </si>
  <si>
    <t xml:space="preserve">Minimum </t>
  </si>
  <si>
    <t>Maximum</t>
  </si>
  <si>
    <t>Q1</t>
  </si>
  <si>
    <t>Q3</t>
  </si>
  <si>
    <t>IQR</t>
  </si>
  <si>
    <t>3A</t>
  </si>
  <si>
    <t>Lower Bound</t>
  </si>
  <si>
    <t>Upper Bound</t>
  </si>
  <si>
    <t>Outlier Test Formula</t>
  </si>
  <si>
    <t>4A</t>
  </si>
  <si>
    <t>5A</t>
  </si>
  <si>
    <t>2C</t>
  </si>
  <si>
    <t>Grand Total</t>
  </si>
  <si>
    <t>2D</t>
  </si>
  <si>
    <t>2B</t>
  </si>
  <si>
    <t>Credit Card Type</t>
  </si>
  <si>
    <t># of Uses</t>
  </si>
  <si>
    <t>B1</t>
  </si>
  <si>
    <t>Standard Deviation</t>
  </si>
  <si>
    <t>n</t>
  </si>
  <si>
    <t>Margin of Error</t>
  </si>
  <si>
    <t>B2</t>
  </si>
  <si>
    <t>Helper Column</t>
  </si>
  <si>
    <t>Proportion</t>
  </si>
  <si>
    <t>Standard Error</t>
  </si>
  <si>
    <t>Items viewed per session - X</t>
  </si>
  <si>
    <t>number of items - Y</t>
  </si>
  <si>
    <t>Average Item Price - X</t>
  </si>
  <si>
    <t>#1</t>
  </si>
  <si>
    <t>R - Items viewed per sesssion</t>
  </si>
  <si>
    <t>R - Average Item Price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</si>
  <si>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</si>
  <si>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</si>
  <si>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</si>
  <si>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</si>
  <si>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</si>
  <si>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</si>
  <si>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</si>
  <si>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</si>
  <si>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</si>
  <si>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</si>
  <si>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</si>
  <si>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</si>
  <si>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</si>
  <si>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</si>
  <si>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</si>
  <si>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</si>
  <si>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</si>
  <si>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</si>
  <si>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</si>
  <si>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</si>
  <si>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</si>
  <si>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</si>
  <si>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</si>
  <si>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Y=Number of Items, X= Items Viewed Per Session</t>
  </si>
  <si>
    <t>X Variable 1</t>
  </si>
  <si>
    <t>X Variable 2</t>
  </si>
  <si>
    <t>A</t>
  </si>
  <si>
    <t>B</t>
  </si>
  <si>
    <t>C</t>
  </si>
  <si>
    <t>D</t>
  </si>
  <si>
    <t>E</t>
  </si>
  <si>
    <t>Model 1</t>
  </si>
  <si>
    <t>X Variable 3</t>
  </si>
  <si>
    <t>Model 2 - Removing Time on Site</t>
  </si>
  <si>
    <t>Model 3 - Removing Average Item Price</t>
  </si>
  <si>
    <t>n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</si>
</sst>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8" fontId="0" fillId="0" borderId="0" xfId="0" applyNumberFormat="1"/>
    <xf numFmtId="14" fontId="0" fillId="0" borderId="0" xfId="0" applyNumberFormat="1"/>
    <xf numFmtId="1" fontId="0" fillId="0" borderId="0" xfId="42" applyNumberFormat="1" applyFont="1"/>
    <xf numFmtId="0" fontId="0" fillId="33" borderId="0" xfId="0" applyFill="1"/>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0" fontId="0" fillId="0" borderId="0" xfId="43" applyNumberFormat="1" applyFont="1"/>
    <xf numFmtId="2" fontId="0" fillId="0" borderId="0" xfId="0" applyNumberFormat="1"/>
    <xf numFmtId="2" fontId="0" fillId="0" borderId="0" xfId="42" applyNumberFormat="1" applyFont="1"/>
    <xf numFmtId="0" fontId="0" fillId="0" borderId="0" xfId="42" applyNumberFormat="1" applyFont="1"/>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[Project2_Dotson.xlsx]A2!PivotTable7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Use For Credit Card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'A2'!$J$2</c:f>
              <c:strCache>
                <c:ptCount val="1"/>
                <c:pt idx="0">
                  <c:v>Total</c:v>
                </c:pt>
              </c:strCache>
            </c:strRef>
          </c:tx>
          <c:spPr>
            <a:solidFill>
              <a:schemeClr val="accent1"/>
            </a:solidFill>
            <a:ln>
              <a:noFill/>
            </a:ln>
            <a:effectLst/>
          </c:spPr>
          <c:invertIfNegative val="0"/>
          <c:cat>
            <c:strRef>
              <c:f>'A2'!$I$3:$I$19</c:f>
              <c:strCache>
                <c:ptCount val="16"/>
                <c:pt idx="0">
                  <c:v>americanexpress</c:v>
                </c:pt>
                <c:pt idx="1">
                  <c:v>bankcard</c:v>
                </c:pt>
                <c:pt idx="2">
                  <c:v>china-unionpay</c:v>
                </c:pt>
                <c:pt idx="3">
                  <c:v>diners-club-carte-blanche</c:v>
                </c:pt>
                <c:pt idx="4">
                  <c:v>diners-club-enroute</c:v>
                </c:pt>
                <c:pt idx="5">
                  <c:v>diners-club-international</c:v>
                </c:pt>
                <c:pt idx="6">
                  <c:v>diners-club-us-ca</c:v>
                </c:pt>
                <c:pt idx="7">
                  <c:v>instapayment</c:v>
                </c:pt>
                <c:pt idx="8">
                  <c:v>jcb</c:v>
                </c:pt>
                <c:pt idx="9">
                  <c:v>laser</c:v>
                </c:pt>
                <c:pt idx="10">
                  <c:v>maestro</c:v>
                </c:pt>
                <c:pt idx="11">
                  <c:v>mastercard</c:v>
                </c:pt>
                <c:pt idx="12">
                  <c:v>solo</c:v>
                </c:pt>
                <c:pt idx="13">
                  <c:v>switch</c:v>
                </c:pt>
                <c:pt idx="14">
                  <c:v>visa</c:v>
                </c:pt>
                <c:pt idx="15">
                  <c:v>visa-electron</c:v>
                </c:pt>
              </c:strCache>
            </c:strRef>
          </c:cat>
          <c:val>
            <c:numRef>
              <c:f>'A2'!$J$3:$J$19</c:f>
              <c:numCache>
                <c:formatCode>General</c:formatCode>
                <c:ptCount val="16"/>
                <c:pt idx="0">
                  <c:v>51</c:v>
                </c:pt>
                <c:pt idx="1">
                  <c:v>128</c:v>
                </c:pt>
                <c:pt idx="2">
                  <c:v>111</c:v>
                </c:pt>
                <c:pt idx="3">
                  <c:v>54</c:v>
                </c:pt>
                <c:pt idx="4">
                  <c:v>16</c:v>
                </c:pt>
                <c:pt idx="5">
                  <c:v>25</c:v>
                </c:pt>
                <c:pt idx="6">
                  <c:v>11</c:v>
                </c:pt>
                <c:pt idx="7">
                  <c:v>16</c:v>
                </c:pt>
                <c:pt idx="8">
                  <c:v>441</c:v>
                </c:pt>
                <c:pt idx="9">
                  <c:v>33</c:v>
                </c:pt>
                <c:pt idx="10">
                  <c:v>146</c:v>
                </c:pt>
                <c:pt idx="11">
                  <c:v>131</c:v>
                </c:pt>
                <c:pt idx="12">
                  <c:v>11</c:v>
                </c:pt>
                <c:pt idx="13">
                  <c:v>58</c:v>
                </c:pt>
                <c:pt idx="14">
                  <c:v>19</c:v>
                </c:pt>
                <c:pt idx="15">
                  <c:v>32</c:v>
                </c:pt>
              </c:numCache>
            </c:numRef>
          </c:val>
          <c:extLst>
            <c:ext xmlns:c16="http://schemas.microsoft.com/office/drawing/2014/chart" uri="{C3380CC4-5D6E-409C-BE32-E72D297353CC}">
              <c16:uniqueId val="{00000000-3866-4818-BA4A-03ABF73B4BE1}"/>
            </c:ext>
          </c:extLst>
        </c:ser>
        <c:dLbls>
          <c:showLegendKey val="0"/>
          <c:showVal val="0"/>
          <c:showCatName val="0"/>
          <c:showSerName val="0"/>
          <c:showPercent val="0"/>
          <c:showBubbleSize val="0"/>
        </c:dLbls>
        <c:gapWidth val="182"/>
        <c:axId val="1125665584"/>
        <c:axId val="1125669904"/>
      </c:barChart>
      <c:catAx>
        <c:axId val="1125665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Cred Card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669904"/>
        <c:crosses val="autoZero"/>
        <c:auto val="1"/>
        <c:lblAlgn val="ctr"/>
        <c:lblOffset val="100"/>
        <c:noMultiLvlLbl val="0"/>
      </c:catAx>
      <c:valAx>
        <c:axId val="1125669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Uses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66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Items vs View</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'B4'!$A$2:$A$1284</c:f>
              <c:numCache>
                <c:formatCode>0.00</c:formatCode>
                <c:ptCount val="1283"/>
                <c:pt idx="0">
                  <c:v>29</c:v>
                </c:pt>
                <c:pt idx="1">
                  <c:v>13</c:v>
                </c:pt>
                <c:pt idx="2">
                  <c:v>7</c:v>
                </c:pt>
                <c:pt idx="3">
                  <c:v>10</c:v>
                </c:pt>
                <c:pt idx="4">
                  <c:v>26</c:v>
                </c:pt>
                <c:pt idx="5">
                  <c:v>23</c:v>
                </c:pt>
                <c:pt idx="6">
                  <c:v>2</c:v>
                </c:pt>
                <c:pt idx="7">
                  <c:v>9</c:v>
                </c:pt>
                <c:pt idx="8">
                  <c:v>7</c:v>
                </c:pt>
                <c:pt idx="9">
                  <c:v>15</c:v>
                </c:pt>
                <c:pt idx="10">
                  <c:v>6</c:v>
                </c:pt>
                <c:pt idx="11">
                  <c:v>6</c:v>
                </c:pt>
                <c:pt idx="12">
                  <c:v>13</c:v>
                </c:pt>
                <c:pt idx="13">
                  <c:v>23</c:v>
                </c:pt>
                <c:pt idx="14">
                  <c:v>4</c:v>
                </c:pt>
                <c:pt idx="15">
                  <c:v>26</c:v>
                </c:pt>
                <c:pt idx="16">
                  <c:v>15</c:v>
                </c:pt>
                <c:pt idx="17">
                  <c:v>8</c:v>
                </c:pt>
                <c:pt idx="18">
                  <c:v>21</c:v>
                </c:pt>
                <c:pt idx="19">
                  <c:v>3</c:v>
                </c:pt>
                <c:pt idx="20">
                  <c:v>9</c:v>
                </c:pt>
                <c:pt idx="21">
                  <c:v>25</c:v>
                </c:pt>
                <c:pt idx="22">
                  <c:v>24</c:v>
                </c:pt>
                <c:pt idx="23">
                  <c:v>13</c:v>
                </c:pt>
                <c:pt idx="24">
                  <c:v>16</c:v>
                </c:pt>
                <c:pt idx="25">
                  <c:v>17</c:v>
                </c:pt>
                <c:pt idx="26">
                  <c:v>1</c:v>
                </c:pt>
                <c:pt idx="27">
                  <c:v>14</c:v>
                </c:pt>
                <c:pt idx="28">
                  <c:v>1</c:v>
                </c:pt>
                <c:pt idx="29">
                  <c:v>32</c:v>
                </c:pt>
                <c:pt idx="30">
                  <c:v>15</c:v>
                </c:pt>
                <c:pt idx="31">
                  <c:v>24</c:v>
                </c:pt>
                <c:pt idx="32">
                  <c:v>21</c:v>
                </c:pt>
                <c:pt idx="33">
                  <c:v>25</c:v>
                </c:pt>
                <c:pt idx="34">
                  <c:v>21</c:v>
                </c:pt>
                <c:pt idx="35">
                  <c:v>5</c:v>
                </c:pt>
                <c:pt idx="36">
                  <c:v>21</c:v>
                </c:pt>
                <c:pt idx="37">
                  <c:v>2</c:v>
                </c:pt>
                <c:pt idx="38">
                  <c:v>3</c:v>
                </c:pt>
                <c:pt idx="39">
                  <c:v>19</c:v>
                </c:pt>
                <c:pt idx="40">
                  <c:v>9</c:v>
                </c:pt>
                <c:pt idx="41">
                  <c:v>30</c:v>
                </c:pt>
                <c:pt idx="42">
                  <c:v>21</c:v>
                </c:pt>
                <c:pt idx="43">
                  <c:v>11</c:v>
                </c:pt>
                <c:pt idx="44">
                  <c:v>15</c:v>
                </c:pt>
                <c:pt idx="45">
                  <c:v>16</c:v>
                </c:pt>
                <c:pt idx="46">
                  <c:v>13</c:v>
                </c:pt>
                <c:pt idx="47">
                  <c:v>1</c:v>
                </c:pt>
                <c:pt idx="48">
                  <c:v>15</c:v>
                </c:pt>
                <c:pt idx="49">
                  <c:v>24</c:v>
                </c:pt>
                <c:pt idx="50">
                  <c:v>25</c:v>
                </c:pt>
                <c:pt idx="51">
                  <c:v>13</c:v>
                </c:pt>
                <c:pt idx="52">
                  <c:v>14</c:v>
                </c:pt>
                <c:pt idx="53">
                  <c:v>8</c:v>
                </c:pt>
                <c:pt idx="54">
                  <c:v>19</c:v>
                </c:pt>
                <c:pt idx="55">
                  <c:v>2</c:v>
                </c:pt>
                <c:pt idx="56">
                  <c:v>28</c:v>
                </c:pt>
                <c:pt idx="57">
                  <c:v>6</c:v>
                </c:pt>
                <c:pt idx="58">
                  <c:v>16</c:v>
                </c:pt>
                <c:pt idx="59">
                  <c:v>17</c:v>
                </c:pt>
                <c:pt idx="60">
                  <c:v>19</c:v>
                </c:pt>
                <c:pt idx="61">
                  <c:v>9</c:v>
                </c:pt>
                <c:pt idx="62">
                  <c:v>10</c:v>
                </c:pt>
                <c:pt idx="63">
                  <c:v>9</c:v>
                </c:pt>
                <c:pt idx="64">
                  <c:v>2</c:v>
                </c:pt>
                <c:pt idx="65">
                  <c:v>23</c:v>
                </c:pt>
                <c:pt idx="66">
                  <c:v>7</c:v>
                </c:pt>
                <c:pt idx="67">
                  <c:v>11</c:v>
                </c:pt>
                <c:pt idx="68">
                  <c:v>23</c:v>
                </c:pt>
                <c:pt idx="69">
                  <c:v>20</c:v>
                </c:pt>
                <c:pt idx="70">
                  <c:v>7</c:v>
                </c:pt>
                <c:pt idx="71">
                  <c:v>32</c:v>
                </c:pt>
                <c:pt idx="72">
                  <c:v>16</c:v>
                </c:pt>
                <c:pt idx="73">
                  <c:v>25</c:v>
                </c:pt>
                <c:pt idx="74">
                  <c:v>18</c:v>
                </c:pt>
                <c:pt idx="75">
                  <c:v>3</c:v>
                </c:pt>
                <c:pt idx="76">
                  <c:v>3</c:v>
                </c:pt>
                <c:pt idx="77">
                  <c:v>1</c:v>
                </c:pt>
                <c:pt idx="78">
                  <c:v>16</c:v>
                </c:pt>
                <c:pt idx="79">
                  <c:v>10</c:v>
                </c:pt>
                <c:pt idx="80">
                  <c:v>16</c:v>
                </c:pt>
                <c:pt idx="81">
                  <c:v>16</c:v>
                </c:pt>
                <c:pt idx="82">
                  <c:v>22</c:v>
                </c:pt>
                <c:pt idx="83">
                  <c:v>2</c:v>
                </c:pt>
                <c:pt idx="84">
                  <c:v>36</c:v>
                </c:pt>
                <c:pt idx="85">
                  <c:v>11</c:v>
                </c:pt>
                <c:pt idx="86">
                  <c:v>36</c:v>
                </c:pt>
                <c:pt idx="87">
                  <c:v>26</c:v>
                </c:pt>
                <c:pt idx="88">
                  <c:v>14</c:v>
                </c:pt>
                <c:pt idx="89">
                  <c:v>9</c:v>
                </c:pt>
                <c:pt idx="90">
                  <c:v>11</c:v>
                </c:pt>
                <c:pt idx="91">
                  <c:v>21</c:v>
                </c:pt>
                <c:pt idx="92">
                  <c:v>20</c:v>
                </c:pt>
                <c:pt idx="93">
                  <c:v>17</c:v>
                </c:pt>
                <c:pt idx="94">
                  <c:v>26</c:v>
                </c:pt>
                <c:pt idx="95">
                  <c:v>11</c:v>
                </c:pt>
                <c:pt idx="96">
                  <c:v>6</c:v>
                </c:pt>
                <c:pt idx="97">
                  <c:v>17</c:v>
                </c:pt>
                <c:pt idx="98">
                  <c:v>18</c:v>
                </c:pt>
                <c:pt idx="99">
                  <c:v>9</c:v>
                </c:pt>
                <c:pt idx="100">
                  <c:v>2</c:v>
                </c:pt>
                <c:pt idx="101">
                  <c:v>11</c:v>
                </c:pt>
                <c:pt idx="102">
                  <c:v>19</c:v>
                </c:pt>
                <c:pt idx="103">
                  <c:v>4</c:v>
                </c:pt>
                <c:pt idx="104">
                  <c:v>17</c:v>
                </c:pt>
                <c:pt idx="105">
                  <c:v>16</c:v>
                </c:pt>
                <c:pt idx="106">
                  <c:v>17</c:v>
                </c:pt>
                <c:pt idx="107">
                  <c:v>10</c:v>
                </c:pt>
                <c:pt idx="108">
                  <c:v>10</c:v>
                </c:pt>
                <c:pt idx="109">
                  <c:v>20</c:v>
                </c:pt>
                <c:pt idx="110">
                  <c:v>35</c:v>
                </c:pt>
                <c:pt idx="111">
                  <c:v>18</c:v>
                </c:pt>
                <c:pt idx="112">
                  <c:v>23</c:v>
                </c:pt>
                <c:pt idx="113">
                  <c:v>18</c:v>
                </c:pt>
                <c:pt idx="114">
                  <c:v>30</c:v>
                </c:pt>
                <c:pt idx="115">
                  <c:v>17</c:v>
                </c:pt>
                <c:pt idx="116">
                  <c:v>3</c:v>
                </c:pt>
                <c:pt idx="117">
                  <c:v>26</c:v>
                </c:pt>
                <c:pt idx="118">
                  <c:v>22</c:v>
                </c:pt>
                <c:pt idx="119">
                  <c:v>27</c:v>
                </c:pt>
                <c:pt idx="120">
                  <c:v>3</c:v>
                </c:pt>
                <c:pt idx="121">
                  <c:v>19</c:v>
                </c:pt>
                <c:pt idx="122">
                  <c:v>13</c:v>
                </c:pt>
                <c:pt idx="123">
                  <c:v>9</c:v>
                </c:pt>
                <c:pt idx="124">
                  <c:v>7</c:v>
                </c:pt>
                <c:pt idx="125">
                  <c:v>3</c:v>
                </c:pt>
                <c:pt idx="126">
                  <c:v>17</c:v>
                </c:pt>
                <c:pt idx="127">
                  <c:v>13</c:v>
                </c:pt>
                <c:pt idx="128">
                  <c:v>22</c:v>
                </c:pt>
                <c:pt idx="129">
                  <c:v>13</c:v>
                </c:pt>
                <c:pt idx="130">
                  <c:v>31</c:v>
                </c:pt>
                <c:pt idx="131">
                  <c:v>21</c:v>
                </c:pt>
                <c:pt idx="132">
                  <c:v>15</c:v>
                </c:pt>
                <c:pt idx="133">
                  <c:v>6</c:v>
                </c:pt>
                <c:pt idx="134">
                  <c:v>8</c:v>
                </c:pt>
                <c:pt idx="135">
                  <c:v>30</c:v>
                </c:pt>
                <c:pt idx="136">
                  <c:v>20</c:v>
                </c:pt>
                <c:pt idx="137">
                  <c:v>1</c:v>
                </c:pt>
                <c:pt idx="138">
                  <c:v>3</c:v>
                </c:pt>
                <c:pt idx="139">
                  <c:v>14</c:v>
                </c:pt>
                <c:pt idx="140">
                  <c:v>30</c:v>
                </c:pt>
                <c:pt idx="141">
                  <c:v>23</c:v>
                </c:pt>
                <c:pt idx="142">
                  <c:v>11</c:v>
                </c:pt>
                <c:pt idx="143">
                  <c:v>21</c:v>
                </c:pt>
                <c:pt idx="144">
                  <c:v>27</c:v>
                </c:pt>
                <c:pt idx="145">
                  <c:v>7</c:v>
                </c:pt>
                <c:pt idx="146">
                  <c:v>4</c:v>
                </c:pt>
                <c:pt idx="147">
                  <c:v>22</c:v>
                </c:pt>
                <c:pt idx="148">
                  <c:v>27</c:v>
                </c:pt>
                <c:pt idx="149">
                  <c:v>11</c:v>
                </c:pt>
                <c:pt idx="150">
                  <c:v>6</c:v>
                </c:pt>
                <c:pt idx="151">
                  <c:v>13</c:v>
                </c:pt>
                <c:pt idx="152">
                  <c:v>9</c:v>
                </c:pt>
                <c:pt idx="153">
                  <c:v>5</c:v>
                </c:pt>
                <c:pt idx="154">
                  <c:v>30</c:v>
                </c:pt>
                <c:pt idx="155">
                  <c:v>20</c:v>
                </c:pt>
                <c:pt idx="156">
                  <c:v>8</c:v>
                </c:pt>
                <c:pt idx="157">
                  <c:v>10</c:v>
                </c:pt>
                <c:pt idx="158">
                  <c:v>10</c:v>
                </c:pt>
                <c:pt idx="159">
                  <c:v>13</c:v>
                </c:pt>
                <c:pt idx="160">
                  <c:v>4</c:v>
                </c:pt>
                <c:pt idx="161">
                  <c:v>12</c:v>
                </c:pt>
                <c:pt idx="162">
                  <c:v>6</c:v>
                </c:pt>
                <c:pt idx="163">
                  <c:v>6</c:v>
                </c:pt>
                <c:pt idx="164">
                  <c:v>11</c:v>
                </c:pt>
                <c:pt idx="165">
                  <c:v>25</c:v>
                </c:pt>
                <c:pt idx="166">
                  <c:v>12</c:v>
                </c:pt>
                <c:pt idx="167">
                  <c:v>21</c:v>
                </c:pt>
                <c:pt idx="168">
                  <c:v>10</c:v>
                </c:pt>
                <c:pt idx="169">
                  <c:v>7</c:v>
                </c:pt>
                <c:pt idx="170">
                  <c:v>4</c:v>
                </c:pt>
                <c:pt idx="171">
                  <c:v>8</c:v>
                </c:pt>
                <c:pt idx="172">
                  <c:v>18</c:v>
                </c:pt>
                <c:pt idx="173">
                  <c:v>3</c:v>
                </c:pt>
                <c:pt idx="174">
                  <c:v>15</c:v>
                </c:pt>
                <c:pt idx="175">
                  <c:v>28</c:v>
                </c:pt>
                <c:pt idx="176">
                  <c:v>15</c:v>
                </c:pt>
                <c:pt idx="177">
                  <c:v>12</c:v>
                </c:pt>
                <c:pt idx="178">
                  <c:v>5</c:v>
                </c:pt>
                <c:pt idx="179">
                  <c:v>15</c:v>
                </c:pt>
                <c:pt idx="180">
                  <c:v>25</c:v>
                </c:pt>
                <c:pt idx="181">
                  <c:v>37</c:v>
                </c:pt>
                <c:pt idx="182">
                  <c:v>21</c:v>
                </c:pt>
                <c:pt idx="183">
                  <c:v>24</c:v>
                </c:pt>
                <c:pt idx="184">
                  <c:v>6</c:v>
                </c:pt>
                <c:pt idx="185">
                  <c:v>19</c:v>
                </c:pt>
                <c:pt idx="186">
                  <c:v>23</c:v>
                </c:pt>
                <c:pt idx="187">
                  <c:v>1</c:v>
                </c:pt>
                <c:pt idx="188">
                  <c:v>20</c:v>
                </c:pt>
                <c:pt idx="189">
                  <c:v>37</c:v>
                </c:pt>
                <c:pt idx="190">
                  <c:v>14</c:v>
                </c:pt>
                <c:pt idx="191">
                  <c:v>11</c:v>
                </c:pt>
                <c:pt idx="192">
                  <c:v>19</c:v>
                </c:pt>
                <c:pt idx="193">
                  <c:v>1</c:v>
                </c:pt>
                <c:pt idx="194">
                  <c:v>16</c:v>
                </c:pt>
                <c:pt idx="195">
                  <c:v>2</c:v>
                </c:pt>
                <c:pt idx="196">
                  <c:v>13</c:v>
                </c:pt>
                <c:pt idx="197">
                  <c:v>29</c:v>
                </c:pt>
                <c:pt idx="198">
                  <c:v>21</c:v>
                </c:pt>
                <c:pt idx="199">
                  <c:v>4</c:v>
                </c:pt>
                <c:pt idx="200">
                  <c:v>1</c:v>
                </c:pt>
                <c:pt idx="201">
                  <c:v>18</c:v>
                </c:pt>
                <c:pt idx="202">
                  <c:v>17</c:v>
                </c:pt>
                <c:pt idx="203">
                  <c:v>4</c:v>
                </c:pt>
                <c:pt idx="204">
                  <c:v>16</c:v>
                </c:pt>
                <c:pt idx="205">
                  <c:v>17</c:v>
                </c:pt>
                <c:pt idx="206">
                  <c:v>20</c:v>
                </c:pt>
                <c:pt idx="207">
                  <c:v>2</c:v>
                </c:pt>
                <c:pt idx="208">
                  <c:v>5</c:v>
                </c:pt>
                <c:pt idx="209">
                  <c:v>20</c:v>
                </c:pt>
                <c:pt idx="210">
                  <c:v>29</c:v>
                </c:pt>
                <c:pt idx="211">
                  <c:v>5</c:v>
                </c:pt>
                <c:pt idx="212">
                  <c:v>7</c:v>
                </c:pt>
                <c:pt idx="213">
                  <c:v>33</c:v>
                </c:pt>
                <c:pt idx="214">
                  <c:v>12</c:v>
                </c:pt>
                <c:pt idx="215">
                  <c:v>7</c:v>
                </c:pt>
                <c:pt idx="216">
                  <c:v>24</c:v>
                </c:pt>
                <c:pt idx="217">
                  <c:v>27</c:v>
                </c:pt>
                <c:pt idx="218">
                  <c:v>10</c:v>
                </c:pt>
                <c:pt idx="219">
                  <c:v>16</c:v>
                </c:pt>
                <c:pt idx="220">
                  <c:v>15</c:v>
                </c:pt>
                <c:pt idx="221">
                  <c:v>20</c:v>
                </c:pt>
                <c:pt idx="222">
                  <c:v>9</c:v>
                </c:pt>
                <c:pt idx="223">
                  <c:v>10</c:v>
                </c:pt>
                <c:pt idx="224">
                  <c:v>17</c:v>
                </c:pt>
                <c:pt idx="225">
                  <c:v>14</c:v>
                </c:pt>
                <c:pt idx="226">
                  <c:v>13</c:v>
                </c:pt>
                <c:pt idx="227">
                  <c:v>30</c:v>
                </c:pt>
                <c:pt idx="228">
                  <c:v>13</c:v>
                </c:pt>
                <c:pt idx="229">
                  <c:v>29</c:v>
                </c:pt>
                <c:pt idx="230">
                  <c:v>5</c:v>
                </c:pt>
                <c:pt idx="231">
                  <c:v>6</c:v>
                </c:pt>
                <c:pt idx="232">
                  <c:v>24</c:v>
                </c:pt>
                <c:pt idx="233">
                  <c:v>2</c:v>
                </c:pt>
                <c:pt idx="234">
                  <c:v>27</c:v>
                </c:pt>
                <c:pt idx="235">
                  <c:v>32</c:v>
                </c:pt>
                <c:pt idx="236">
                  <c:v>10</c:v>
                </c:pt>
                <c:pt idx="237">
                  <c:v>28</c:v>
                </c:pt>
                <c:pt idx="238">
                  <c:v>17</c:v>
                </c:pt>
                <c:pt idx="239">
                  <c:v>11</c:v>
                </c:pt>
                <c:pt idx="240">
                  <c:v>16</c:v>
                </c:pt>
                <c:pt idx="241">
                  <c:v>10</c:v>
                </c:pt>
                <c:pt idx="242">
                  <c:v>15</c:v>
                </c:pt>
                <c:pt idx="243">
                  <c:v>8</c:v>
                </c:pt>
                <c:pt idx="244">
                  <c:v>5</c:v>
                </c:pt>
                <c:pt idx="245">
                  <c:v>13</c:v>
                </c:pt>
                <c:pt idx="246">
                  <c:v>16</c:v>
                </c:pt>
                <c:pt idx="247">
                  <c:v>21</c:v>
                </c:pt>
                <c:pt idx="248">
                  <c:v>15</c:v>
                </c:pt>
                <c:pt idx="249">
                  <c:v>15</c:v>
                </c:pt>
                <c:pt idx="250">
                  <c:v>5</c:v>
                </c:pt>
                <c:pt idx="251">
                  <c:v>25</c:v>
                </c:pt>
                <c:pt idx="252">
                  <c:v>1</c:v>
                </c:pt>
                <c:pt idx="253">
                  <c:v>7</c:v>
                </c:pt>
                <c:pt idx="254">
                  <c:v>24</c:v>
                </c:pt>
                <c:pt idx="255">
                  <c:v>9</c:v>
                </c:pt>
                <c:pt idx="256">
                  <c:v>21</c:v>
                </c:pt>
                <c:pt idx="257">
                  <c:v>24</c:v>
                </c:pt>
                <c:pt idx="258">
                  <c:v>20</c:v>
                </c:pt>
                <c:pt idx="259">
                  <c:v>11</c:v>
                </c:pt>
                <c:pt idx="260">
                  <c:v>1</c:v>
                </c:pt>
                <c:pt idx="261">
                  <c:v>11</c:v>
                </c:pt>
                <c:pt idx="262">
                  <c:v>6</c:v>
                </c:pt>
                <c:pt idx="263">
                  <c:v>2</c:v>
                </c:pt>
                <c:pt idx="264">
                  <c:v>18</c:v>
                </c:pt>
                <c:pt idx="265">
                  <c:v>2</c:v>
                </c:pt>
                <c:pt idx="266">
                  <c:v>19</c:v>
                </c:pt>
                <c:pt idx="267">
                  <c:v>12</c:v>
                </c:pt>
                <c:pt idx="268">
                  <c:v>1</c:v>
                </c:pt>
                <c:pt idx="269">
                  <c:v>9</c:v>
                </c:pt>
                <c:pt idx="270">
                  <c:v>11</c:v>
                </c:pt>
                <c:pt idx="271">
                  <c:v>29</c:v>
                </c:pt>
                <c:pt idx="272">
                  <c:v>19</c:v>
                </c:pt>
                <c:pt idx="273">
                  <c:v>19</c:v>
                </c:pt>
                <c:pt idx="274">
                  <c:v>22</c:v>
                </c:pt>
                <c:pt idx="275">
                  <c:v>8</c:v>
                </c:pt>
                <c:pt idx="276">
                  <c:v>18</c:v>
                </c:pt>
                <c:pt idx="277">
                  <c:v>17</c:v>
                </c:pt>
                <c:pt idx="278">
                  <c:v>16</c:v>
                </c:pt>
                <c:pt idx="279">
                  <c:v>12</c:v>
                </c:pt>
                <c:pt idx="280">
                  <c:v>26</c:v>
                </c:pt>
                <c:pt idx="281">
                  <c:v>35</c:v>
                </c:pt>
                <c:pt idx="282">
                  <c:v>14</c:v>
                </c:pt>
                <c:pt idx="283">
                  <c:v>20</c:v>
                </c:pt>
                <c:pt idx="284">
                  <c:v>21</c:v>
                </c:pt>
                <c:pt idx="285">
                  <c:v>10</c:v>
                </c:pt>
                <c:pt idx="286">
                  <c:v>9</c:v>
                </c:pt>
                <c:pt idx="287">
                  <c:v>12</c:v>
                </c:pt>
                <c:pt idx="288">
                  <c:v>19</c:v>
                </c:pt>
                <c:pt idx="289">
                  <c:v>3</c:v>
                </c:pt>
                <c:pt idx="290">
                  <c:v>20</c:v>
                </c:pt>
                <c:pt idx="291">
                  <c:v>7</c:v>
                </c:pt>
                <c:pt idx="292">
                  <c:v>18</c:v>
                </c:pt>
                <c:pt idx="293">
                  <c:v>22</c:v>
                </c:pt>
                <c:pt idx="294">
                  <c:v>11</c:v>
                </c:pt>
                <c:pt idx="295">
                  <c:v>10</c:v>
                </c:pt>
                <c:pt idx="296">
                  <c:v>8</c:v>
                </c:pt>
                <c:pt idx="297">
                  <c:v>6</c:v>
                </c:pt>
                <c:pt idx="298">
                  <c:v>14</c:v>
                </c:pt>
                <c:pt idx="299">
                  <c:v>4</c:v>
                </c:pt>
                <c:pt idx="300">
                  <c:v>16</c:v>
                </c:pt>
                <c:pt idx="301">
                  <c:v>1</c:v>
                </c:pt>
                <c:pt idx="302">
                  <c:v>23</c:v>
                </c:pt>
                <c:pt idx="303">
                  <c:v>7</c:v>
                </c:pt>
                <c:pt idx="304">
                  <c:v>11</c:v>
                </c:pt>
                <c:pt idx="305">
                  <c:v>8</c:v>
                </c:pt>
                <c:pt idx="306">
                  <c:v>10</c:v>
                </c:pt>
                <c:pt idx="307">
                  <c:v>12</c:v>
                </c:pt>
                <c:pt idx="308">
                  <c:v>11</c:v>
                </c:pt>
                <c:pt idx="309">
                  <c:v>1</c:v>
                </c:pt>
                <c:pt idx="310">
                  <c:v>5</c:v>
                </c:pt>
                <c:pt idx="311">
                  <c:v>1</c:v>
                </c:pt>
                <c:pt idx="312">
                  <c:v>25</c:v>
                </c:pt>
                <c:pt idx="313">
                  <c:v>13</c:v>
                </c:pt>
                <c:pt idx="314">
                  <c:v>15</c:v>
                </c:pt>
                <c:pt idx="315">
                  <c:v>33</c:v>
                </c:pt>
                <c:pt idx="316">
                  <c:v>9</c:v>
                </c:pt>
                <c:pt idx="317">
                  <c:v>9</c:v>
                </c:pt>
                <c:pt idx="318">
                  <c:v>34</c:v>
                </c:pt>
                <c:pt idx="319">
                  <c:v>14</c:v>
                </c:pt>
                <c:pt idx="320">
                  <c:v>5</c:v>
                </c:pt>
                <c:pt idx="321">
                  <c:v>26</c:v>
                </c:pt>
                <c:pt idx="322">
                  <c:v>25</c:v>
                </c:pt>
                <c:pt idx="323">
                  <c:v>10</c:v>
                </c:pt>
                <c:pt idx="324">
                  <c:v>21</c:v>
                </c:pt>
                <c:pt idx="325">
                  <c:v>20</c:v>
                </c:pt>
                <c:pt idx="326">
                  <c:v>11</c:v>
                </c:pt>
                <c:pt idx="327">
                  <c:v>17</c:v>
                </c:pt>
                <c:pt idx="328">
                  <c:v>32</c:v>
                </c:pt>
                <c:pt idx="329">
                  <c:v>12</c:v>
                </c:pt>
                <c:pt idx="330">
                  <c:v>25</c:v>
                </c:pt>
                <c:pt idx="331">
                  <c:v>17</c:v>
                </c:pt>
                <c:pt idx="332">
                  <c:v>13</c:v>
                </c:pt>
                <c:pt idx="333">
                  <c:v>38</c:v>
                </c:pt>
                <c:pt idx="334">
                  <c:v>2</c:v>
                </c:pt>
                <c:pt idx="335">
                  <c:v>8</c:v>
                </c:pt>
                <c:pt idx="336">
                  <c:v>22</c:v>
                </c:pt>
                <c:pt idx="337">
                  <c:v>19</c:v>
                </c:pt>
                <c:pt idx="338">
                  <c:v>19</c:v>
                </c:pt>
                <c:pt idx="339">
                  <c:v>26</c:v>
                </c:pt>
                <c:pt idx="340">
                  <c:v>23</c:v>
                </c:pt>
                <c:pt idx="341">
                  <c:v>6</c:v>
                </c:pt>
                <c:pt idx="342">
                  <c:v>11</c:v>
                </c:pt>
                <c:pt idx="343">
                  <c:v>8</c:v>
                </c:pt>
                <c:pt idx="344">
                  <c:v>24</c:v>
                </c:pt>
                <c:pt idx="345">
                  <c:v>20</c:v>
                </c:pt>
                <c:pt idx="346">
                  <c:v>17</c:v>
                </c:pt>
                <c:pt idx="347">
                  <c:v>16</c:v>
                </c:pt>
                <c:pt idx="348">
                  <c:v>7</c:v>
                </c:pt>
                <c:pt idx="349">
                  <c:v>16</c:v>
                </c:pt>
                <c:pt idx="350">
                  <c:v>16</c:v>
                </c:pt>
                <c:pt idx="351">
                  <c:v>27</c:v>
                </c:pt>
                <c:pt idx="352">
                  <c:v>17</c:v>
                </c:pt>
                <c:pt idx="353">
                  <c:v>3</c:v>
                </c:pt>
                <c:pt idx="354">
                  <c:v>17</c:v>
                </c:pt>
                <c:pt idx="355">
                  <c:v>27</c:v>
                </c:pt>
                <c:pt idx="356">
                  <c:v>7</c:v>
                </c:pt>
                <c:pt idx="357">
                  <c:v>16</c:v>
                </c:pt>
                <c:pt idx="358">
                  <c:v>11</c:v>
                </c:pt>
                <c:pt idx="359">
                  <c:v>1</c:v>
                </c:pt>
                <c:pt idx="360">
                  <c:v>6</c:v>
                </c:pt>
                <c:pt idx="361">
                  <c:v>5</c:v>
                </c:pt>
                <c:pt idx="362">
                  <c:v>22</c:v>
                </c:pt>
                <c:pt idx="363">
                  <c:v>4</c:v>
                </c:pt>
                <c:pt idx="364">
                  <c:v>5</c:v>
                </c:pt>
                <c:pt idx="365">
                  <c:v>21</c:v>
                </c:pt>
                <c:pt idx="366">
                  <c:v>20</c:v>
                </c:pt>
                <c:pt idx="367">
                  <c:v>25</c:v>
                </c:pt>
                <c:pt idx="368">
                  <c:v>14</c:v>
                </c:pt>
                <c:pt idx="369">
                  <c:v>9</c:v>
                </c:pt>
                <c:pt idx="370">
                  <c:v>13</c:v>
                </c:pt>
                <c:pt idx="371">
                  <c:v>30</c:v>
                </c:pt>
                <c:pt idx="372">
                  <c:v>2</c:v>
                </c:pt>
                <c:pt idx="373">
                  <c:v>27</c:v>
                </c:pt>
                <c:pt idx="374">
                  <c:v>5</c:v>
                </c:pt>
                <c:pt idx="375">
                  <c:v>27</c:v>
                </c:pt>
                <c:pt idx="376">
                  <c:v>15</c:v>
                </c:pt>
                <c:pt idx="377">
                  <c:v>19</c:v>
                </c:pt>
                <c:pt idx="378">
                  <c:v>9</c:v>
                </c:pt>
                <c:pt idx="379">
                  <c:v>2</c:v>
                </c:pt>
                <c:pt idx="380">
                  <c:v>22</c:v>
                </c:pt>
                <c:pt idx="381">
                  <c:v>21</c:v>
                </c:pt>
                <c:pt idx="382">
                  <c:v>1</c:v>
                </c:pt>
                <c:pt idx="383">
                  <c:v>14</c:v>
                </c:pt>
                <c:pt idx="384">
                  <c:v>8</c:v>
                </c:pt>
                <c:pt idx="385">
                  <c:v>4</c:v>
                </c:pt>
                <c:pt idx="386">
                  <c:v>3</c:v>
                </c:pt>
                <c:pt idx="387">
                  <c:v>7</c:v>
                </c:pt>
                <c:pt idx="388">
                  <c:v>2</c:v>
                </c:pt>
                <c:pt idx="389">
                  <c:v>25</c:v>
                </c:pt>
                <c:pt idx="390">
                  <c:v>5</c:v>
                </c:pt>
                <c:pt idx="391">
                  <c:v>22</c:v>
                </c:pt>
                <c:pt idx="392">
                  <c:v>34</c:v>
                </c:pt>
                <c:pt idx="393">
                  <c:v>14</c:v>
                </c:pt>
                <c:pt idx="394">
                  <c:v>19</c:v>
                </c:pt>
                <c:pt idx="395">
                  <c:v>12</c:v>
                </c:pt>
                <c:pt idx="396">
                  <c:v>27</c:v>
                </c:pt>
                <c:pt idx="397">
                  <c:v>24</c:v>
                </c:pt>
                <c:pt idx="398">
                  <c:v>22</c:v>
                </c:pt>
                <c:pt idx="399">
                  <c:v>20</c:v>
                </c:pt>
                <c:pt idx="400">
                  <c:v>12</c:v>
                </c:pt>
                <c:pt idx="401">
                  <c:v>9</c:v>
                </c:pt>
                <c:pt idx="402">
                  <c:v>21</c:v>
                </c:pt>
                <c:pt idx="403">
                  <c:v>19</c:v>
                </c:pt>
                <c:pt idx="404">
                  <c:v>28</c:v>
                </c:pt>
                <c:pt idx="405">
                  <c:v>23</c:v>
                </c:pt>
                <c:pt idx="406">
                  <c:v>13</c:v>
                </c:pt>
                <c:pt idx="407">
                  <c:v>14</c:v>
                </c:pt>
                <c:pt idx="408">
                  <c:v>15</c:v>
                </c:pt>
                <c:pt idx="409">
                  <c:v>24</c:v>
                </c:pt>
                <c:pt idx="410">
                  <c:v>19</c:v>
                </c:pt>
                <c:pt idx="411">
                  <c:v>20</c:v>
                </c:pt>
                <c:pt idx="412">
                  <c:v>7</c:v>
                </c:pt>
                <c:pt idx="413">
                  <c:v>6</c:v>
                </c:pt>
                <c:pt idx="414">
                  <c:v>25</c:v>
                </c:pt>
                <c:pt idx="415">
                  <c:v>6</c:v>
                </c:pt>
                <c:pt idx="416">
                  <c:v>13</c:v>
                </c:pt>
                <c:pt idx="417">
                  <c:v>18</c:v>
                </c:pt>
                <c:pt idx="418">
                  <c:v>8</c:v>
                </c:pt>
                <c:pt idx="419">
                  <c:v>13</c:v>
                </c:pt>
                <c:pt idx="420">
                  <c:v>10</c:v>
                </c:pt>
                <c:pt idx="421">
                  <c:v>11</c:v>
                </c:pt>
                <c:pt idx="422">
                  <c:v>15</c:v>
                </c:pt>
                <c:pt idx="423">
                  <c:v>15</c:v>
                </c:pt>
                <c:pt idx="424">
                  <c:v>2</c:v>
                </c:pt>
                <c:pt idx="425">
                  <c:v>21</c:v>
                </c:pt>
                <c:pt idx="426">
                  <c:v>2</c:v>
                </c:pt>
                <c:pt idx="427">
                  <c:v>5</c:v>
                </c:pt>
                <c:pt idx="428">
                  <c:v>7</c:v>
                </c:pt>
                <c:pt idx="429">
                  <c:v>23</c:v>
                </c:pt>
                <c:pt idx="430">
                  <c:v>23</c:v>
                </c:pt>
                <c:pt idx="431">
                  <c:v>19</c:v>
                </c:pt>
                <c:pt idx="432">
                  <c:v>4</c:v>
                </c:pt>
                <c:pt idx="433">
                  <c:v>28</c:v>
                </c:pt>
                <c:pt idx="434">
                  <c:v>4</c:v>
                </c:pt>
                <c:pt idx="435">
                  <c:v>14</c:v>
                </c:pt>
                <c:pt idx="436">
                  <c:v>32</c:v>
                </c:pt>
                <c:pt idx="437">
                  <c:v>15</c:v>
                </c:pt>
                <c:pt idx="438">
                  <c:v>35</c:v>
                </c:pt>
                <c:pt idx="439">
                  <c:v>19</c:v>
                </c:pt>
                <c:pt idx="440">
                  <c:v>7</c:v>
                </c:pt>
                <c:pt idx="441">
                  <c:v>10</c:v>
                </c:pt>
                <c:pt idx="442">
                  <c:v>30</c:v>
                </c:pt>
                <c:pt idx="443">
                  <c:v>29</c:v>
                </c:pt>
                <c:pt idx="444">
                  <c:v>13</c:v>
                </c:pt>
                <c:pt idx="445">
                  <c:v>15</c:v>
                </c:pt>
                <c:pt idx="446">
                  <c:v>18</c:v>
                </c:pt>
                <c:pt idx="447">
                  <c:v>3</c:v>
                </c:pt>
                <c:pt idx="448">
                  <c:v>10</c:v>
                </c:pt>
                <c:pt idx="449">
                  <c:v>7</c:v>
                </c:pt>
                <c:pt idx="450">
                  <c:v>3</c:v>
                </c:pt>
                <c:pt idx="451">
                  <c:v>3</c:v>
                </c:pt>
                <c:pt idx="452">
                  <c:v>8</c:v>
                </c:pt>
                <c:pt idx="453">
                  <c:v>24</c:v>
                </c:pt>
                <c:pt idx="454">
                  <c:v>1</c:v>
                </c:pt>
                <c:pt idx="455">
                  <c:v>19</c:v>
                </c:pt>
                <c:pt idx="456">
                  <c:v>13</c:v>
                </c:pt>
                <c:pt idx="457">
                  <c:v>2</c:v>
                </c:pt>
                <c:pt idx="458">
                  <c:v>21</c:v>
                </c:pt>
                <c:pt idx="459">
                  <c:v>35</c:v>
                </c:pt>
                <c:pt idx="460">
                  <c:v>15</c:v>
                </c:pt>
                <c:pt idx="461">
                  <c:v>4</c:v>
                </c:pt>
                <c:pt idx="462">
                  <c:v>18</c:v>
                </c:pt>
                <c:pt idx="463">
                  <c:v>13</c:v>
                </c:pt>
                <c:pt idx="464">
                  <c:v>8</c:v>
                </c:pt>
                <c:pt idx="465">
                  <c:v>15</c:v>
                </c:pt>
                <c:pt idx="466">
                  <c:v>14</c:v>
                </c:pt>
                <c:pt idx="467">
                  <c:v>1</c:v>
                </c:pt>
                <c:pt idx="468">
                  <c:v>32</c:v>
                </c:pt>
                <c:pt idx="469">
                  <c:v>21</c:v>
                </c:pt>
                <c:pt idx="470">
                  <c:v>30</c:v>
                </c:pt>
                <c:pt idx="471">
                  <c:v>6</c:v>
                </c:pt>
                <c:pt idx="472">
                  <c:v>5</c:v>
                </c:pt>
                <c:pt idx="473">
                  <c:v>26</c:v>
                </c:pt>
                <c:pt idx="474">
                  <c:v>28</c:v>
                </c:pt>
                <c:pt idx="475">
                  <c:v>24</c:v>
                </c:pt>
                <c:pt idx="476">
                  <c:v>26</c:v>
                </c:pt>
                <c:pt idx="477">
                  <c:v>22</c:v>
                </c:pt>
                <c:pt idx="478">
                  <c:v>6</c:v>
                </c:pt>
                <c:pt idx="479">
                  <c:v>36</c:v>
                </c:pt>
                <c:pt idx="480">
                  <c:v>20</c:v>
                </c:pt>
                <c:pt idx="481">
                  <c:v>4</c:v>
                </c:pt>
                <c:pt idx="482">
                  <c:v>23</c:v>
                </c:pt>
                <c:pt idx="483">
                  <c:v>30</c:v>
                </c:pt>
                <c:pt idx="484">
                  <c:v>8</c:v>
                </c:pt>
                <c:pt idx="485">
                  <c:v>7</c:v>
                </c:pt>
                <c:pt idx="486">
                  <c:v>14</c:v>
                </c:pt>
                <c:pt idx="487">
                  <c:v>17</c:v>
                </c:pt>
                <c:pt idx="488">
                  <c:v>30</c:v>
                </c:pt>
                <c:pt idx="489">
                  <c:v>21</c:v>
                </c:pt>
                <c:pt idx="490">
                  <c:v>2</c:v>
                </c:pt>
                <c:pt idx="491">
                  <c:v>24</c:v>
                </c:pt>
                <c:pt idx="492">
                  <c:v>37</c:v>
                </c:pt>
                <c:pt idx="493">
                  <c:v>16</c:v>
                </c:pt>
                <c:pt idx="494">
                  <c:v>27</c:v>
                </c:pt>
                <c:pt idx="495">
                  <c:v>15</c:v>
                </c:pt>
                <c:pt idx="496">
                  <c:v>6</c:v>
                </c:pt>
                <c:pt idx="497">
                  <c:v>29</c:v>
                </c:pt>
                <c:pt idx="498">
                  <c:v>28</c:v>
                </c:pt>
                <c:pt idx="499">
                  <c:v>9</c:v>
                </c:pt>
                <c:pt idx="500">
                  <c:v>14</c:v>
                </c:pt>
                <c:pt idx="501">
                  <c:v>11</c:v>
                </c:pt>
                <c:pt idx="502">
                  <c:v>16</c:v>
                </c:pt>
                <c:pt idx="503">
                  <c:v>6</c:v>
                </c:pt>
                <c:pt idx="504">
                  <c:v>3</c:v>
                </c:pt>
                <c:pt idx="505">
                  <c:v>9</c:v>
                </c:pt>
                <c:pt idx="506">
                  <c:v>11</c:v>
                </c:pt>
                <c:pt idx="507">
                  <c:v>26</c:v>
                </c:pt>
                <c:pt idx="508">
                  <c:v>14</c:v>
                </c:pt>
                <c:pt idx="509">
                  <c:v>9</c:v>
                </c:pt>
                <c:pt idx="510">
                  <c:v>3</c:v>
                </c:pt>
                <c:pt idx="511">
                  <c:v>19</c:v>
                </c:pt>
                <c:pt idx="512">
                  <c:v>7</c:v>
                </c:pt>
                <c:pt idx="513">
                  <c:v>9</c:v>
                </c:pt>
                <c:pt idx="514">
                  <c:v>13</c:v>
                </c:pt>
                <c:pt idx="515">
                  <c:v>12</c:v>
                </c:pt>
                <c:pt idx="516">
                  <c:v>24</c:v>
                </c:pt>
                <c:pt idx="517">
                  <c:v>15</c:v>
                </c:pt>
                <c:pt idx="518">
                  <c:v>3</c:v>
                </c:pt>
                <c:pt idx="519">
                  <c:v>7</c:v>
                </c:pt>
                <c:pt idx="520">
                  <c:v>4</c:v>
                </c:pt>
                <c:pt idx="521">
                  <c:v>8</c:v>
                </c:pt>
                <c:pt idx="522">
                  <c:v>2</c:v>
                </c:pt>
                <c:pt idx="523">
                  <c:v>17</c:v>
                </c:pt>
                <c:pt idx="524">
                  <c:v>13</c:v>
                </c:pt>
                <c:pt idx="525">
                  <c:v>3</c:v>
                </c:pt>
                <c:pt idx="526">
                  <c:v>4</c:v>
                </c:pt>
                <c:pt idx="527">
                  <c:v>2</c:v>
                </c:pt>
                <c:pt idx="528">
                  <c:v>8</c:v>
                </c:pt>
                <c:pt idx="529">
                  <c:v>15</c:v>
                </c:pt>
                <c:pt idx="530">
                  <c:v>22</c:v>
                </c:pt>
                <c:pt idx="531">
                  <c:v>20</c:v>
                </c:pt>
                <c:pt idx="532">
                  <c:v>26</c:v>
                </c:pt>
                <c:pt idx="533">
                  <c:v>27</c:v>
                </c:pt>
                <c:pt idx="534">
                  <c:v>15</c:v>
                </c:pt>
                <c:pt idx="535">
                  <c:v>22</c:v>
                </c:pt>
                <c:pt idx="536">
                  <c:v>23</c:v>
                </c:pt>
                <c:pt idx="537">
                  <c:v>5</c:v>
                </c:pt>
                <c:pt idx="538">
                  <c:v>14</c:v>
                </c:pt>
                <c:pt idx="539">
                  <c:v>5</c:v>
                </c:pt>
                <c:pt idx="540">
                  <c:v>14</c:v>
                </c:pt>
                <c:pt idx="541">
                  <c:v>15</c:v>
                </c:pt>
                <c:pt idx="542">
                  <c:v>29</c:v>
                </c:pt>
                <c:pt idx="543">
                  <c:v>32</c:v>
                </c:pt>
                <c:pt idx="544">
                  <c:v>16</c:v>
                </c:pt>
                <c:pt idx="545">
                  <c:v>1</c:v>
                </c:pt>
                <c:pt idx="546">
                  <c:v>21</c:v>
                </c:pt>
                <c:pt idx="547">
                  <c:v>5</c:v>
                </c:pt>
                <c:pt idx="548">
                  <c:v>7</c:v>
                </c:pt>
                <c:pt idx="549">
                  <c:v>28</c:v>
                </c:pt>
                <c:pt idx="550">
                  <c:v>15</c:v>
                </c:pt>
                <c:pt idx="551">
                  <c:v>7</c:v>
                </c:pt>
                <c:pt idx="552">
                  <c:v>10</c:v>
                </c:pt>
                <c:pt idx="553">
                  <c:v>6</c:v>
                </c:pt>
                <c:pt idx="554">
                  <c:v>11</c:v>
                </c:pt>
                <c:pt idx="555">
                  <c:v>7</c:v>
                </c:pt>
                <c:pt idx="556">
                  <c:v>18</c:v>
                </c:pt>
                <c:pt idx="557">
                  <c:v>13</c:v>
                </c:pt>
                <c:pt idx="558">
                  <c:v>18</c:v>
                </c:pt>
                <c:pt idx="559">
                  <c:v>19</c:v>
                </c:pt>
                <c:pt idx="560">
                  <c:v>11</c:v>
                </c:pt>
                <c:pt idx="561">
                  <c:v>7</c:v>
                </c:pt>
                <c:pt idx="562">
                  <c:v>6</c:v>
                </c:pt>
                <c:pt idx="563">
                  <c:v>18</c:v>
                </c:pt>
                <c:pt idx="564">
                  <c:v>21</c:v>
                </c:pt>
                <c:pt idx="565">
                  <c:v>17</c:v>
                </c:pt>
                <c:pt idx="566">
                  <c:v>21</c:v>
                </c:pt>
                <c:pt idx="567">
                  <c:v>10</c:v>
                </c:pt>
                <c:pt idx="568">
                  <c:v>1</c:v>
                </c:pt>
                <c:pt idx="569">
                  <c:v>3</c:v>
                </c:pt>
                <c:pt idx="570">
                  <c:v>7</c:v>
                </c:pt>
                <c:pt idx="571">
                  <c:v>4</c:v>
                </c:pt>
                <c:pt idx="572">
                  <c:v>13</c:v>
                </c:pt>
                <c:pt idx="573">
                  <c:v>23</c:v>
                </c:pt>
                <c:pt idx="574">
                  <c:v>8</c:v>
                </c:pt>
                <c:pt idx="575">
                  <c:v>6</c:v>
                </c:pt>
                <c:pt idx="576">
                  <c:v>5</c:v>
                </c:pt>
                <c:pt idx="577">
                  <c:v>20</c:v>
                </c:pt>
                <c:pt idx="578">
                  <c:v>13</c:v>
                </c:pt>
                <c:pt idx="579">
                  <c:v>10</c:v>
                </c:pt>
                <c:pt idx="580">
                  <c:v>9</c:v>
                </c:pt>
                <c:pt idx="581">
                  <c:v>14</c:v>
                </c:pt>
                <c:pt idx="582">
                  <c:v>29</c:v>
                </c:pt>
                <c:pt idx="583">
                  <c:v>30</c:v>
                </c:pt>
                <c:pt idx="584">
                  <c:v>18</c:v>
                </c:pt>
                <c:pt idx="585">
                  <c:v>31</c:v>
                </c:pt>
                <c:pt idx="586">
                  <c:v>28</c:v>
                </c:pt>
                <c:pt idx="587">
                  <c:v>6</c:v>
                </c:pt>
                <c:pt idx="588">
                  <c:v>9</c:v>
                </c:pt>
                <c:pt idx="589">
                  <c:v>17</c:v>
                </c:pt>
                <c:pt idx="590">
                  <c:v>11</c:v>
                </c:pt>
                <c:pt idx="591">
                  <c:v>20</c:v>
                </c:pt>
                <c:pt idx="592">
                  <c:v>19</c:v>
                </c:pt>
                <c:pt idx="593">
                  <c:v>25</c:v>
                </c:pt>
                <c:pt idx="594">
                  <c:v>11</c:v>
                </c:pt>
                <c:pt idx="595">
                  <c:v>18</c:v>
                </c:pt>
                <c:pt idx="596">
                  <c:v>2</c:v>
                </c:pt>
                <c:pt idx="597">
                  <c:v>32</c:v>
                </c:pt>
                <c:pt idx="598">
                  <c:v>10</c:v>
                </c:pt>
                <c:pt idx="599">
                  <c:v>9</c:v>
                </c:pt>
                <c:pt idx="600">
                  <c:v>22</c:v>
                </c:pt>
                <c:pt idx="601">
                  <c:v>11</c:v>
                </c:pt>
                <c:pt idx="602">
                  <c:v>27</c:v>
                </c:pt>
                <c:pt idx="603">
                  <c:v>5</c:v>
                </c:pt>
                <c:pt idx="604">
                  <c:v>1</c:v>
                </c:pt>
                <c:pt idx="605">
                  <c:v>4</c:v>
                </c:pt>
                <c:pt idx="606">
                  <c:v>11</c:v>
                </c:pt>
                <c:pt idx="607">
                  <c:v>25</c:v>
                </c:pt>
                <c:pt idx="608">
                  <c:v>25</c:v>
                </c:pt>
                <c:pt idx="609">
                  <c:v>9</c:v>
                </c:pt>
                <c:pt idx="610">
                  <c:v>25</c:v>
                </c:pt>
                <c:pt idx="611">
                  <c:v>2</c:v>
                </c:pt>
                <c:pt idx="612">
                  <c:v>16</c:v>
                </c:pt>
                <c:pt idx="613">
                  <c:v>22</c:v>
                </c:pt>
                <c:pt idx="614">
                  <c:v>12</c:v>
                </c:pt>
                <c:pt idx="615">
                  <c:v>13</c:v>
                </c:pt>
                <c:pt idx="616">
                  <c:v>18</c:v>
                </c:pt>
                <c:pt idx="617">
                  <c:v>34</c:v>
                </c:pt>
                <c:pt idx="618">
                  <c:v>15</c:v>
                </c:pt>
                <c:pt idx="619">
                  <c:v>25</c:v>
                </c:pt>
                <c:pt idx="620">
                  <c:v>17</c:v>
                </c:pt>
                <c:pt idx="621">
                  <c:v>22</c:v>
                </c:pt>
                <c:pt idx="622">
                  <c:v>1</c:v>
                </c:pt>
                <c:pt idx="623">
                  <c:v>6</c:v>
                </c:pt>
                <c:pt idx="624">
                  <c:v>25</c:v>
                </c:pt>
                <c:pt idx="625">
                  <c:v>14</c:v>
                </c:pt>
                <c:pt idx="626">
                  <c:v>2</c:v>
                </c:pt>
                <c:pt idx="627">
                  <c:v>32</c:v>
                </c:pt>
                <c:pt idx="628">
                  <c:v>14</c:v>
                </c:pt>
                <c:pt idx="629">
                  <c:v>7</c:v>
                </c:pt>
                <c:pt idx="630">
                  <c:v>6</c:v>
                </c:pt>
                <c:pt idx="631">
                  <c:v>22</c:v>
                </c:pt>
                <c:pt idx="632">
                  <c:v>23</c:v>
                </c:pt>
                <c:pt idx="633">
                  <c:v>12</c:v>
                </c:pt>
                <c:pt idx="634">
                  <c:v>27</c:v>
                </c:pt>
                <c:pt idx="635">
                  <c:v>5</c:v>
                </c:pt>
                <c:pt idx="636">
                  <c:v>21</c:v>
                </c:pt>
                <c:pt idx="637">
                  <c:v>25</c:v>
                </c:pt>
                <c:pt idx="638">
                  <c:v>9</c:v>
                </c:pt>
                <c:pt idx="639">
                  <c:v>24</c:v>
                </c:pt>
                <c:pt idx="640">
                  <c:v>1</c:v>
                </c:pt>
                <c:pt idx="641">
                  <c:v>23</c:v>
                </c:pt>
                <c:pt idx="642">
                  <c:v>8</c:v>
                </c:pt>
                <c:pt idx="643">
                  <c:v>9</c:v>
                </c:pt>
                <c:pt idx="644">
                  <c:v>23</c:v>
                </c:pt>
                <c:pt idx="645">
                  <c:v>4</c:v>
                </c:pt>
                <c:pt idx="646">
                  <c:v>3</c:v>
                </c:pt>
                <c:pt idx="647">
                  <c:v>31</c:v>
                </c:pt>
                <c:pt idx="648">
                  <c:v>1</c:v>
                </c:pt>
                <c:pt idx="649">
                  <c:v>22</c:v>
                </c:pt>
                <c:pt idx="650">
                  <c:v>6</c:v>
                </c:pt>
                <c:pt idx="651">
                  <c:v>8</c:v>
                </c:pt>
                <c:pt idx="652">
                  <c:v>9</c:v>
                </c:pt>
                <c:pt idx="653">
                  <c:v>17</c:v>
                </c:pt>
                <c:pt idx="654">
                  <c:v>20</c:v>
                </c:pt>
                <c:pt idx="655">
                  <c:v>18</c:v>
                </c:pt>
                <c:pt idx="656">
                  <c:v>12</c:v>
                </c:pt>
                <c:pt idx="657">
                  <c:v>25</c:v>
                </c:pt>
                <c:pt idx="658">
                  <c:v>2</c:v>
                </c:pt>
                <c:pt idx="659">
                  <c:v>14</c:v>
                </c:pt>
                <c:pt idx="660">
                  <c:v>11</c:v>
                </c:pt>
                <c:pt idx="661">
                  <c:v>10</c:v>
                </c:pt>
                <c:pt idx="662">
                  <c:v>29</c:v>
                </c:pt>
                <c:pt idx="663">
                  <c:v>25</c:v>
                </c:pt>
                <c:pt idx="664">
                  <c:v>2</c:v>
                </c:pt>
                <c:pt idx="665">
                  <c:v>11</c:v>
                </c:pt>
                <c:pt idx="666">
                  <c:v>25</c:v>
                </c:pt>
                <c:pt idx="667">
                  <c:v>27</c:v>
                </c:pt>
                <c:pt idx="668">
                  <c:v>20</c:v>
                </c:pt>
                <c:pt idx="669">
                  <c:v>5</c:v>
                </c:pt>
                <c:pt idx="670">
                  <c:v>37</c:v>
                </c:pt>
                <c:pt idx="671">
                  <c:v>15</c:v>
                </c:pt>
                <c:pt idx="672">
                  <c:v>16</c:v>
                </c:pt>
                <c:pt idx="673">
                  <c:v>36</c:v>
                </c:pt>
                <c:pt idx="674">
                  <c:v>18</c:v>
                </c:pt>
                <c:pt idx="675">
                  <c:v>30</c:v>
                </c:pt>
                <c:pt idx="676">
                  <c:v>19</c:v>
                </c:pt>
                <c:pt idx="677">
                  <c:v>14</c:v>
                </c:pt>
                <c:pt idx="678">
                  <c:v>6</c:v>
                </c:pt>
                <c:pt idx="679">
                  <c:v>15</c:v>
                </c:pt>
                <c:pt idx="680">
                  <c:v>10</c:v>
                </c:pt>
                <c:pt idx="681">
                  <c:v>1</c:v>
                </c:pt>
                <c:pt idx="682">
                  <c:v>17</c:v>
                </c:pt>
                <c:pt idx="683">
                  <c:v>5</c:v>
                </c:pt>
                <c:pt idx="684">
                  <c:v>14</c:v>
                </c:pt>
                <c:pt idx="685">
                  <c:v>1</c:v>
                </c:pt>
                <c:pt idx="686">
                  <c:v>21</c:v>
                </c:pt>
                <c:pt idx="687">
                  <c:v>6</c:v>
                </c:pt>
                <c:pt idx="688">
                  <c:v>10</c:v>
                </c:pt>
                <c:pt idx="689">
                  <c:v>19</c:v>
                </c:pt>
                <c:pt idx="690">
                  <c:v>19</c:v>
                </c:pt>
                <c:pt idx="691">
                  <c:v>14</c:v>
                </c:pt>
                <c:pt idx="692">
                  <c:v>3</c:v>
                </c:pt>
                <c:pt idx="693">
                  <c:v>1</c:v>
                </c:pt>
                <c:pt idx="694">
                  <c:v>30</c:v>
                </c:pt>
                <c:pt idx="695">
                  <c:v>6</c:v>
                </c:pt>
                <c:pt idx="696">
                  <c:v>9</c:v>
                </c:pt>
                <c:pt idx="697">
                  <c:v>9</c:v>
                </c:pt>
                <c:pt idx="698">
                  <c:v>31</c:v>
                </c:pt>
                <c:pt idx="699">
                  <c:v>17</c:v>
                </c:pt>
                <c:pt idx="700">
                  <c:v>8</c:v>
                </c:pt>
                <c:pt idx="701">
                  <c:v>24</c:v>
                </c:pt>
                <c:pt idx="702">
                  <c:v>2</c:v>
                </c:pt>
                <c:pt idx="703">
                  <c:v>12</c:v>
                </c:pt>
                <c:pt idx="704">
                  <c:v>9</c:v>
                </c:pt>
                <c:pt idx="705">
                  <c:v>24</c:v>
                </c:pt>
                <c:pt idx="706">
                  <c:v>27</c:v>
                </c:pt>
                <c:pt idx="707">
                  <c:v>19</c:v>
                </c:pt>
                <c:pt idx="708">
                  <c:v>11</c:v>
                </c:pt>
                <c:pt idx="709">
                  <c:v>19</c:v>
                </c:pt>
                <c:pt idx="710">
                  <c:v>13</c:v>
                </c:pt>
                <c:pt idx="711">
                  <c:v>15</c:v>
                </c:pt>
                <c:pt idx="712">
                  <c:v>18</c:v>
                </c:pt>
                <c:pt idx="713">
                  <c:v>2</c:v>
                </c:pt>
                <c:pt idx="714">
                  <c:v>18</c:v>
                </c:pt>
                <c:pt idx="715">
                  <c:v>23</c:v>
                </c:pt>
                <c:pt idx="716">
                  <c:v>2</c:v>
                </c:pt>
                <c:pt idx="717">
                  <c:v>5</c:v>
                </c:pt>
                <c:pt idx="718">
                  <c:v>23</c:v>
                </c:pt>
                <c:pt idx="719">
                  <c:v>9</c:v>
                </c:pt>
                <c:pt idx="720">
                  <c:v>27</c:v>
                </c:pt>
                <c:pt idx="721">
                  <c:v>1</c:v>
                </c:pt>
                <c:pt idx="722">
                  <c:v>3</c:v>
                </c:pt>
                <c:pt idx="723">
                  <c:v>12</c:v>
                </c:pt>
                <c:pt idx="724">
                  <c:v>3</c:v>
                </c:pt>
                <c:pt idx="725">
                  <c:v>15</c:v>
                </c:pt>
                <c:pt idx="726">
                  <c:v>16</c:v>
                </c:pt>
                <c:pt idx="727">
                  <c:v>15</c:v>
                </c:pt>
                <c:pt idx="728">
                  <c:v>19</c:v>
                </c:pt>
                <c:pt idx="729">
                  <c:v>10</c:v>
                </c:pt>
                <c:pt idx="730">
                  <c:v>10</c:v>
                </c:pt>
                <c:pt idx="731">
                  <c:v>1</c:v>
                </c:pt>
                <c:pt idx="732">
                  <c:v>1</c:v>
                </c:pt>
                <c:pt idx="733">
                  <c:v>21</c:v>
                </c:pt>
                <c:pt idx="734">
                  <c:v>20</c:v>
                </c:pt>
                <c:pt idx="735">
                  <c:v>22</c:v>
                </c:pt>
                <c:pt idx="736">
                  <c:v>29</c:v>
                </c:pt>
                <c:pt idx="737">
                  <c:v>22</c:v>
                </c:pt>
                <c:pt idx="738">
                  <c:v>5</c:v>
                </c:pt>
                <c:pt idx="739">
                  <c:v>15</c:v>
                </c:pt>
                <c:pt idx="740">
                  <c:v>3</c:v>
                </c:pt>
                <c:pt idx="741">
                  <c:v>6</c:v>
                </c:pt>
                <c:pt idx="742">
                  <c:v>23</c:v>
                </c:pt>
                <c:pt idx="743">
                  <c:v>28</c:v>
                </c:pt>
                <c:pt idx="744">
                  <c:v>12</c:v>
                </c:pt>
                <c:pt idx="745">
                  <c:v>25</c:v>
                </c:pt>
                <c:pt idx="746">
                  <c:v>20</c:v>
                </c:pt>
                <c:pt idx="747">
                  <c:v>22</c:v>
                </c:pt>
                <c:pt idx="748">
                  <c:v>25</c:v>
                </c:pt>
                <c:pt idx="749">
                  <c:v>14</c:v>
                </c:pt>
                <c:pt idx="750">
                  <c:v>20</c:v>
                </c:pt>
                <c:pt idx="751">
                  <c:v>11</c:v>
                </c:pt>
                <c:pt idx="752">
                  <c:v>35</c:v>
                </c:pt>
                <c:pt idx="753">
                  <c:v>14</c:v>
                </c:pt>
                <c:pt idx="754">
                  <c:v>11</c:v>
                </c:pt>
                <c:pt idx="755">
                  <c:v>22</c:v>
                </c:pt>
                <c:pt idx="756">
                  <c:v>27</c:v>
                </c:pt>
                <c:pt idx="757">
                  <c:v>16</c:v>
                </c:pt>
                <c:pt idx="758">
                  <c:v>27</c:v>
                </c:pt>
                <c:pt idx="759">
                  <c:v>12</c:v>
                </c:pt>
                <c:pt idx="760">
                  <c:v>25</c:v>
                </c:pt>
                <c:pt idx="761">
                  <c:v>11</c:v>
                </c:pt>
                <c:pt idx="762">
                  <c:v>23</c:v>
                </c:pt>
                <c:pt idx="763">
                  <c:v>31</c:v>
                </c:pt>
                <c:pt idx="764">
                  <c:v>1</c:v>
                </c:pt>
                <c:pt idx="765">
                  <c:v>22</c:v>
                </c:pt>
                <c:pt idx="766">
                  <c:v>14</c:v>
                </c:pt>
                <c:pt idx="767">
                  <c:v>12</c:v>
                </c:pt>
                <c:pt idx="768">
                  <c:v>20</c:v>
                </c:pt>
                <c:pt idx="769">
                  <c:v>14</c:v>
                </c:pt>
                <c:pt idx="770">
                  <c:v>21</c:v>
                </c:pt>
                <c:pt idx="771">
                  <c:v>9</c:v>
                </c:pt>
                <c:pt idx="772">
                  <c:v>1</c:v>
                </c:pt>
                <c:pt idx="773">
                  <c:v>24</c:v>
                </c:pt>
                <c:pt idx="774">
                  <c:v>13</c:v>
                </c:pt>
                <c:pt idx="775">
                  <c:v>35</c:v>
                </c:pt>
                <c:pt idx="776">
                  <c:v>9</c:v>
                </c:pt>
                <c:pt idx="777">
                  <c:v>24</c:v>
                </c:pt>
                <c:pt idx="778">
                  <c:v>38</c:v>
                </c:pt>
                <c:pt idx="779">
                  <c:v>15</c:v>
                </c:pt>
                <c:pt idx="780">
                  <c:v>10</c:v>
                </c:pt>
                <c:pt idx="781">
                  <c:v>1</c:v>
                </c:pt>
                <c:pt idx="782">
                  <c:v>15</c:v>
                </c:pt>
                <c:pt idx="783">
                  <c:v>24</c:v>
                </c:pt>
                <c:pt idx="784">
                  <c:v>18</c:v>
                </c:pt>
                <c:pt idx="785">
                  <c:v>32</c:v>
                </c:pt>
                <c:pt idx="786">
                  <c:v>7</c:v>
                </c:pt>
                <c:pt idx="787">
                  <c:v>21</c:v>
                </c:pt>
                <c:pt idx="788">
                  <c:v>19</c:v>
                </c:pt>
                <c:pt idx="789">
                  <c:v>3</c:v>
                </c:pt>
                <c:pt idx="790">
                  <c:v>21</c:v>
                </c:pt>
                <c:pt idx="791">
                  <c:v>4</c:v>
                </c:pt>
                <c:pt idx="792">
                  <c:v>24</c:v>
                </c:pt>
                <c:pt idx="793">
                  <c:v>28</c:v>
                </c:pt>
                <c:pt idx="794">
                  <c:v>5</c:v>
                </c:pt>
                <c:pt idx="795">
                  <c:v>11</c:v>
                </c:pt>
                <c:pt idx="796">
                  <c:v>14</c:v>
                </c:pt>
                <c:pt idx="797">
                  <c:v>6</c:v>
                </c:pt>
                <c:pt idx="798">
                  <c:v>22</c:v>
                </c:pt>
                <c:pt idx="799">
                  <c:v>17</c:v>
                </c:pt>
                <c:pt idx="800">
                  <c:v>34</c:v>
                </c:pt>
                <c:pt idx="801">
                  <c:v>2</c:v>
                </c:pt>
                <c:pt idx="802">
                  <c:v>6</c:v>
                </c:pt>
                <c:pt idx="803">
                  <c:v>17</c:v>
                </c:pt>
                <c:pt idx="804">
                  <c:v>29</c:v>
                </c:pt>
                <c:pt idx="805">
                  <c:v>5</c:v>
                </c:pt>
                <c:pt idx="806">
                  <c:v>14</c:v>
                </c:pt>
                <c:pt idx="807">
                  <c:v>17</c:v>
                </c:pt>
                <c:pt idx="808">
                  <c:v>7</c:v>
                </c:pt>
                <c:pt idx="809">
                  <c:v>24</c:v>
                </c:pt>
                <c:pt idx="810">
                  <c:v>24</c:v>
                </c:pt>
                <c:pt idx="811">
                  <c:v>19</c:v>
                </c:pt>
                <c:pt idx="812">
                  <c:v>5</c:v>
                </c:pt>
                <c:pt idx="813">
                  <c:v>5</c:v>
                </c:pt>
                <c:pt idx="814">
                  <c:v>7</c:v>
                </c:pt>
                <c:pt idx="815">
                  <c:v>34</c:v>
                </c:pt>
                <c:pt idx="816">
                  <c:v>13</c:v>
                </c:pt>
                <c:pt idx="817">
                  <c:v>12</c:v>
                </c:pt>
                <c:pt idx="818">
                  <c:v>26</c:v>
                </c:pt>
                <c:pt idx="819">
                  <c:v>19</c:v>
                </c:pt>
                <c:pt idx="820">
                  <c:v>26</c:v>
                </c:pt>
                <c:pt idx="821">
                  <c:v>15</c:v>
                </c:pt>
                <c:pt idx="822">
                  <c:v>9</c:v>
                </c:pt>
                <c:pt idx="823">
                  <c:v>22</c:v>
                </c:pt>
                <c:pt idx="824">
                  <c:v>6</c:v>
                </c:pt>
                <c:pt idx="825">
                  <c:v>20</c:v>
                </c:pt>
                <c:pt idx="826">
                  <c:v>10</c:v>
                </c:pt>
                <c:pt idx="827">
                  <c:v>5</c:v>
                </c:pt>
                <c:pt idx="828">
                  <c:v>18</c:v>
                </c:pt>
                <c:pt idx="829">
                  <c:v>6</c:v>
                </c:pt>
                <c:pt idx="830">
                  <c:v>25</c:v>
                </c:pt>
                <c:pt idx="831">
                  <c:v>17</c:v>
                </c:pt>
                <c:pt idx="832">
                  <c:v>27</c:v>
                </c:pt>
                <c:pt idx="833">
                  <c:v>19</c:v>
                </c:pt>
                <c:pt idx="834">
                  <c:v>15</c:v>
                </c:pt>
                <c:pt idx="835">
                  <c:v>28</c:v>
                </c:pt>
                <c:pt idx="836">
                  <c:v>14</c:v>
                </c:pt>
                <c:pt idx="837">
                  <c:v>6</c:v>
                </c:pt>
                <c:pt idx="838">
                  <c:v>20</c:v>
                </c:pt>
                <c:pt idx="839">
                  <c:v>31</c:v>
                </c:pt>
                <c:pt idx="840">
                  <c:v>21</c:v>
                </c:pt>
                <c:pt idx="841">
                  <c:v>28</c:v>
                </c:pt>
                <c:pt idx="842">
                  <c:v>17</c:v>
                </c:pt>
                <c:pt idx="843">
                  <c:v>1</c:v>
                </c:pt>
                <c:pt idx="844">
                  <c:v>9</c:v>
                </c:pt>
                <c:pt idx="845">
                  <c:v>16</c:v>
                </c:pt>
                <c:pt idx="846">
                  <c:v>15</c:v>
                </c:pt>
                <c:pt idx="847">
                  <c:v>24</c:v>
                </c:pt>
                <c:pt idx="848">
                  <c:v>15</c:v>
                </c:pt>
                <c:pt idx="849">
                  <c:v>13</c:v>
                </c:pt>
                <c:pt idx="850">
                  <c:v>23</c:v>
                </c:pt>
                <c:pt idx="851">
                  <c:v>15</c:v>
                </c:pt>
                <c:pt idx="852">
                  <c:v>18</c:v>
                </c:pt>
                <c:pt idx="853">
                  <c:v>10</c:v>
                </c:pt>
                <c:pt idx="854">
                  <c:v>24</c:v>
                </c:pt>
                <c:pt idx="855">
                  <c:v>9</c:v>
                </c:pt>
                <c:pt idx="856">
                  <c:v>20</c:v>
                </c:pt>
                <c:pt idx="857">
                  <c:v>25</c:v>
                </c:pt>
                <c:pt idx="858">
                  <c:v>18</c:v>
                </c:pt>
                <c:pt idx="859">
                  <c:v>18</c:v>
                </c:pt>
                <c:pt idx="860">
                  <c:v>6</c:v>
                </c:pt>
                <c:pt idx="861">
                  <c:v>11</c:v>
                </c:pt>
                <c:pt idx="862">
                  <c:v>1</c:v>
                </c:pt>
                <c:pt idx="863">
                  <c:v>4</c:v>
                </c:pt>
                <c:pt idx="864">
                  <c:v>3</c:v>
                </c:pt>
                <c:pt idx="865">
                  <c:v>10</c:v>
                </c:pt>
                <c:pt idx="866">
                  <c:v>12</c:v>
                </c:pt>
                <c:pt idx="867">
                  <c:v>14</c:v>
                </c:pt>
                <c:pt idx="868">
                  <c:v>15</c:v>
                </c:pt>
                <c:pt idx="869">
                  <c:v>11</c:v>
                </c:pt>
                <c:pt idx="870">
                  <c:v>6</c:v>
                </c:pt>
                <c:pt idx="871">
                  <c:v>3</c:v>
                </c:pt>
                <c:pt idx="872">
                  <c:v>21</c:v>
                </c:pt>
                <c:pt idx="873">
                  <c:v>22</c:v>
                </c:pt>
                <c:pt idx="874">
                  <c:v>23</c:v>
                </c:pt>
                <c:pt idx="875">
                  <c:v>15</c:v>
                </c:pt>
                <c:pt idx="876">
                  <c:v>2</c:v>
                </c:pt>
                <c:pt idx="877">
                  <c:v>12</c:v>
                </c:pt>
                <c:pt idx="878">
                  <c:v>7</c:v>
                </c:pt>
                <c:pt idx="879">
                  <c:v>17</c:v>
                </c:pt>
                <c:pt idx="880">
                  <c:v>10</c:v>
                </c:pt>
                <c:pt idx="881">
                  <c:v>20</c:v>
                </c:pt>
                <c:pt idx="882">
                  <c:v>6</c:v>
                </c:pt>
                <c:pt idx="883">
                  <c:v>16</c:v>
                </c:pt>
                <c:pt idx="884">
                  <c:v>27</c:v>
                </c:pt>
                <c:pt idx="885">
                  <c:v>1</c:v>
                </c:pt>
                <c:pt idx="886">
                  <c:v>5</c:v>
                </c:pt>
                <c:pt idx="887">
                  <c:v>21</c:v>
                </c:pt>
                <c:pt idx="888">
                  <c:v>1</c:v>
                </c:pt>
                <c:pt idx="889">
                  <c:v>29</c:v>
                </c:pt>
                <c:pt idx="890">
                  <c:v>6</c:v>
                </c:pt>
                <c:pt idx="891">
                  <c:v>22</c:v>
                </c:pt>
                <c:pt idx="892">
                  <c:v>15</c:v>
                </c:pt>
                <c:pt idx="893">
                  <c:v>9</c:v>
                </c:pt>
                <c:pt idx="894">
                  <c:v>2</c:v>
                </c:pt>
                <c:pt idx="895">
                  <c:v>8</c:v>
                </c:pt>
                <c:pt idx="896">
                  <c:v>36</c:v>
                </c:pt>
                <c:pt idx="897">
                  <c:v>20</c:v>
                </c:pt>
                <c:pt idx="898">
                  <c:v>18</c:v>
                </c:pt>
                <c:pt idx="899">
                  <c:v>2</c:v>
                </c:pt>
                <c:pt idx="900">
                  <c:v>15</c:v>
                </c:pt>
                <c:pt idx="901">
                  <c:v>12</c:v>
                </c:pt>
                <c:pt idx="902">
                  <c:v>19</c:v>
                </c:pt>
                <c:pt idx="903">
                  <c:v>34</c:v>
                </c:pt>
                <c:pt idx="904">
                  <c:v>29</c:v>
                </c:pt>
                <c:pt idx="905">
                  <c:v>25</c:v>
                </c:pt>
                <c:pt idx="906">
                  <c:v>17</c:v>
                </c:pt>
                <c:pt idx="907">
                  <c:v>35</c:v>
                </c:pt>
                <c:pt idx="908">
                  <c:v>18</c:v>
                </c:pt>
                <c:pt idx="909">
                  <c:v>13</c:v>
                </c:pt>
                <c:pt idx="910">
                  <c:v>10</c:v>
                </c:pt>
                <c:pt idx="911">
                  <c:v>20</c:v>
                </c:pt>
                <c:pt idx="912">
                  <c:v>20</c:v>
                </c:pt>
                <c:pt idx="913">
                  <c:v>25</c:v>
                </c:pt>
                <c:pt idx="914">
                  <c:v>21</c:v>
                </c:pt>
                <c:pt idx="915">
                  <c:v>19</c:v>
                </c:pt>
                <c:pt idx="916">
                  <c:v>10</c:v>
                </c:pt>
                <c:pt idx="917">
                  <c:v>1</c:v>
                </c:pt>
                <c:pt idx="918">
                  <c:v>23</c:v>
                </c:pt>
                <c:pt idx="919">
                  <c:v>10</c:v>
                </c:pt>
                <c:pt idx="920">
                  <c:v>11</c:v>
                </c:pt>
                <c:pt idx="921">
                  <c:v>18</c:v>
                </c:pt>
                <c:pt idx="922">
                  <c:v>32</c:v>
                </c:pt>
                <c:pt idx="923">
                  <c:v>17</c:v>
                </c:pt>
                <c:pt idx="924">
                  <c:v>17</c:v>
                </c:pt>
                <c:pt idx="925">
                  <c:v>24</c:v>
                </c:pt>
                <c:pt idx="926">
                  <c:v>20</c:v>
                </c:pt>
                <c:pt idx="927">
                  <c:v>1</c:v>
                </c:pt>
                <c:pt idx="928">
                  <c:v>36</c:v>
                </c:pt>
                <c:pt idx="929">
                  <c:v>4</c:v>
                </c:pt>
                <c:pt idx="930">
                  <c:v>6</c:v>
                </c:pt>
                <c:pt idx="931">
                  <c:v>14</c:v>
                </c:pt>
                <c:pt idx="932">
                  <c:v>13</c:v>
                </c:pt>
                <c:pt idx="933">
                  <c:v>6</c:v>
                </c:pt>
                <c:pt idx="934">
                  <c:v>15</c:v>
                </c:pt>
                <c:pt idx="935">
                  <c:v>32</c:v>
                </c:pt>
                <c:pt idx="936">
                  <c:v>21</c:v>
                </c:pt>
                <c:pt idx="937">
                  <c:v>20</c:v>
                </c:pt>
                <c:pt idx="938">
                  <c:v>33</c:v>
                </c:pt>
                <c:pt idx="939">
                  <c:v>22</c:v>
                </c:pt>
                <c:pt idx="940">
                  <c:v>8</c:v>
                </c:pt>
                <c:pt idx="941">
                  <c:v>8</c:v>
                </c:pt>
                <c:pt idx="942">
                  <c:v>11</c:v>
                </c:pt>
                <c:pt idx="943">
                  <c:v>20</c:v>
                </c:pt>
                <c:pt idx="944">
                  <c:v>23</c:v>
                </c:pt>
                <c:pt idx="945">
                  <c:v>13</c:v>
                </c:pt>
                <c:pt idx="946">
                  <c:v>24</c:v>
                </c:pt>
                <c:pt idx="947">
                  <c:v>6</c:v>
                </c:pt>
                <c:pt idx="948">
                  <c:v>23</c:v>
                </c:pt>
                <c:pt idx="949">
                  <c:v>8</c:v>
                </c:pt>
                <c:pt idx="950">
                  <c:v>27</c:v>
                </c:pt>
                <c:pt idx="951">
                  <c:v>12</c:v>
                </c:pt>
                <c:pt idx="952">
                  <c:v>17</c:v>
                </c:pt>
                <c:pt idx="953">
                  <c:v>23</c:v>
                </c:pt>
                <c:pt idx="954">
                  <c:v>10</c:v>
                </c:pt>
                <c:pt idx="955">
                  <c:v>8</c:v>
                </c:pt>
                <c:pt idx="956">
                  <c:v>23</c:v>
                </c:pt>
                <c:pt idx="957">
                  <c:v>22</c:v>
                </c:pt>
                <c:pt idx="958">
                  <c:v>5</c:v>
                </c:pt>
                <c:pt idx="959">
                  <c:v>3</c:v>
                </c:pt>
                <c:pt idx="960">
                  <c:v>12</c:v>
                </c:pt>
                <c:pt idx="961">
                  <c:v>31</c:v>
                </c:pt>
                <c:pt idx="962">
                  <c:v>17</c:v>
                </c:pt>
                <c:pt idx="963">
                  <c:v>26</c:v>
                </c:pt>
                <c:pt idx="964">
                  <c:v>15</c:v>
                </c:pt>
                <c:pt idx="965">
                  <c:v>19</c:v>
                </c:pt>
                <c:pt idx="966">
                  <c:v>8</c:v>
                </c:pt>
                <c:pt idx="967">
                  <c:v>4</c:v>
                </c:pt>
                <c:pt idx="968">
                  <c:v>1</c:v>
                </c:pt>
                <c:pt idx="969">
                  <c:v>5</c:v>
                </c:pt>
                <c:pt idx="970">
                  <c:v>16</c:v>
                </c:pt>
                <c:pt idx="971">
                  <c:v>3</c:v>
                </c:pt>
                <c:pt idx="972">
                  <c:v>5</c:v>
                </c:pt>
                <c:pt idx="973">
                  <c:v>17</c:v>
                </c:pt>
                <c:pt idx="974">
                  <c:v>7</c:v>
                </c:pt>
                <c:pt idx="975">
                  <c:v>6</c:v>
                </c:pt>
                <c:pt idx="976">
                  <c:v>1</c:v>
                </c:pt>
                <c:pt idx="977">
                  <c:v>22</c:v>
                </c:pt>
                <c:pt idx="978">
                  <c:v>5</c:v>
                </c:pt>
                <c:pt idx="979">
                  <c:v>12</c:v>
                </c:pt>
                <c:pt idx="980">
                  <c:v>8</c:v>
                </c:pt>
                <c:pt idx="981">
                  <c:v>23</c:v>
                </c:pt>
                <c:pt idx="982">
                  <c:v>31</c:v>
                </c:pt>
                <c:pt idx="983">
                  <c:v>12</c:v>
                </c:pt>
                <c:pt idx="984">
                  <c:v>5</c:v>
                </c:pt>
                <c:pt idx="985">
                  <c:v>21</c:v>
                </c:pt>
                <c:pt idx="986">
                  <c:v>12</c:v>
                </c:pt>
                <c:pt idx="987">
                  <c:v>16</c:v>
                </c:pt>
                <c:pt idx="988">
                  <c:v>18</c:v>
                </c:pt>
                <c:pt idx="989">
                  <c:v>3</c:v>
                </c:pt>
                <c:pt idx="990">
                  <c:v>16</c:v>
                </c:pt>
                <c:pt idx="991">
                  <c:v>14</c:v>
                </c:pt>
                <c:pt idx="992">
                  <c:v>22</c:v>
                </c:pt>
                <c:pt idx="993">
                  <c:v>33</c:v>
                </c:pt>
                <c:pt idx="994">
                  <c:v>24</c:v>
                </c:pt>
                <c:pt idx="995">
                  <c:v>8</c:v>
                </c:pt>
                <c:pt idx="996">
                  <c:v>26</c:v>
                </c:pt>
                <c:pt idx="997">
                  <c:v>25</c:v>
                </c:pt>
                <c:pt idx="998">
                  <c:v>30</c:v>
                </c:pt>
                <c:pt idx="999">
                  <c:v>24</c:v>
                </c:pt>
                <c:pt idx="1000">
                  <c:v>15</c:v>
                </c:pt>
                <c:pt idx="1001">
                  <c:v>28</c:v>
                </c:pt>
                <c:pt idx="1002">
                  <c:v>6</c:v>
                </c:pt>
                <c:pt idx="1003">
                  <c:v>7</c:v>
                </c:pt>
                <c:pt idx="1004">
                  <c:v>29</c:v>
                </c:pt>
                <c:pt idx="1005">
                  <c:v>7</c:v>
                </c:pt>
                <c:pt idx="1006">
                  <c:v>24</c:v>
                </c:pt>
                <c:pt idx="1007">
                  <c:v>10</c:v>
                </c:pt>
                <c:pt idx="1008">
                  <c:v>18</c:v>
                </c:pt>
                <c:pt idx="1009">
                  <c:v>15</c:v>
                </c:pt>
                <c:pt idx="1010">
                  <c:v>12</c:v>
                </c:pt>
                <c:pt idx="1011">
                  <c:v>18</c:v>
                </c:pt>
                <c:pt idx="1012">
                  <c:v>7</c:v>
                </c:pt>
                <c:pt idx="1013">
                  <c:v>13</c:v>
                </c:pt>
                <c:pt idx="1014">
                  <c:v>34</c:v>
                </c:pt>
                <c:pt idx="1015">
                  <c:v>8</c:v>
                </c:pt>
                <c:pt idx="1016">
                  <c:v>3</c:v>
                </c:pt>
                <c:pt idx="1017">
                  <c:v>4</c:v>
                </c:pt>
                <c:pt idx="1018">
                  <c:v>17</c:v>
                </c:pt>
                <c:pt idx="1019">
                  <c:v>35</c:v>
                </c:pt>
                <c:pt idx="1020">
                  <c:v>29</c:v>
                </c:pt>
                <c:pt idx="1021">
                  <c:v>24</c:v>
                </c:pt>
                <c:pt idx="1022">
                  <c:v>4</c:v>
                </c:pt>
                <c:pt idx="1023">
                  <c:v>2</c:v>
                </c:pt>
                <c:pt idx="1024">
                  <c:v>6</c:v>
                </c:pt>
                <c:pt idx="1025">
                  <c:v>15</c:v>
                </c:pt>
                <c:pt idx="1026">
                  <c:v>18</c:v>
                </c:pt>
                <c:pt idx="1027">
                  <c:v>25</c:v>
                </c:pt>
                <c:pt idx="1028">
                  <c:v>19</c:v>
                </c:pt>
                <c:pt idx="1029">
                  <c:v>10</c:v>
                </c:pt>
                <c:pt idx="1030">
                  <c:v>19</c:v>
                </c:pt>
                <c:pt idx="1031">
                  <c:v>18</c:v>
                </c:pt>
                <c:pt idx="1032">
                  <c:v>10</c:v>
                </c:pt>
                <c:pt idx="1033">
                  <c:v>8</c:v>
                </c:pt>
                <c:pt idx="1034">
                  <c:v>14</c:v>
                </c:pt>
                <c:pt idx="1035">
                  <c:v>10</c:v>
                </c:pt>
                <c:pt idx="1036">
                  <c:v>17</c:v>
                </c:pt>
                <c:pt idx="1037">
                  <c:v>4</c:v>
                </c:pt>
                <c:pt idx="1038">
                  <c:v>1</c:v>
                </c:pt>
                <c:pt idx="1039">
                  <c:v>17</c:v>
                </c:pt>
                <c:pt idx="1040">
                  <c:v>18</c:v>
                </c:pt>
                <c:pt idx="1041">
                  <c:v>2</c:v>
                </c:pt>
                <c:pt idx="1042">
                  <c:v>32</c:v>
                </c:pt>
                <c:pt idx="1043">
                  <c:v>9</c:v>
                </c:pt>
                <c:pt idx="1044">
                  <c:v>5</c:v>
                </c:pt>
                <c:pt idx="1045">
                  <c:v>16</c:v>
                </c:pt>
                <c:pt idx="1046">
                  <c:v>1</c:v>
                </c:pt>
                <c:pt idx="1047">
                  <c:v>4</c:v>
                </c:pt>
                <c:pt idx="1048">
                  <c:v>1</c:v>
                </c:pt>
                <c:pt idx="1049">
                  <c:v>18</c:v>
                </c:pt>
                <c:pt idx="1050">
                  <c:v>5</c:v>
                </c:pt>
                <c:pt idx="1051">
                  <c:v>5</c:v>
                </c:pt>
                <c:pt idx="1052">
                  <c:v>9</c:v>
                </c:pt>
                <c:pt idx="1053">
                  <c:v>26</c:v>
                </c:pt>
                <c:pt idx="1054">
                  <c:v>7</c:v>
                </c:pt>
                <c:pt idx="1055">
                  <c:v>4</c:v>
                </c:pt>
                <c:pt idx="1056">
                  <c:v>12</c:v>
                </c:pt>
                <c:pt idx="1057">
                  <c:v>8</c:v>
                </c:pt>
                <c:pt idx="1058">
                  <c:v>2</c:v>
                </c:pt>
                <c:pt idx="1059">
                  <c:v>26</c:v>
                </c:pt>
                <c:pt idx="1060">
                  <c:v>25</c:v>
                </c:pt>
                <c:pt idx="1061">
                  <c:v>14</c:v>
                </c:pt>
                <c:pt idx="1062">
                  <c:v>16</c:v>
                </c:pt>
                <c:pt idx="1063">
                  <c:v>19</c:v>
                </c:pt>
                <c:pt idx="1064">
                  <c:v>29</c:v>
                </c:pt>
                <c:pt idx="1065">
                  <c:v>16</c:v>
                </c:pt>
                <c:pt idx="1066">
                  <c:v>14</c:v>
                </c:pt>
                <c:pt idx="1067">
                  <c:v>7</c:v>
                </c:pt>
                <c:pt idx="1068">
                  <c:v>13</c:v>
                </c:pt>
                <c:pt idx="1069">
                  <c:v>18</c:v>
                </c:pt>
                <c:pt idx="1070">
                  <c:v>25</c:v>
                </c:pt>
                <c:pt idx="1071">
                  <c:v>1</c:v>
                </c:pt>
                <c:pt idx="1072">
                  <c:v>12</c:v>
                </c:pt>
                <c:pt idx="1073">
                  <c:v>1</c:v>
                </c:pt>
                <c:pt idx="1074">
                  <c:v>31</c:v>
                </c:pt>
                <c:pt idx="1075">
                  <c:v>18</c:v>
                </c:pt>
                <c:pt idx="1076">
                  <c:v>7</c:v>
                </c:pt>
                <c:pt idx="1077">
                  <c:v>4</c:v>
                </c:pt>
                <c:pt idx="1078">
                  <c:v>10</c:v>
                </c:pt>
                <c:pt idx="1079">
                  <c:v>13</c:v>
                </c:pt>
                <c:pt idx="1080">
                  <c:v>2</c:v>
                </c:pt>
                <c:pt idx="1081">
                  <c:v>1</c:v>
                </c:pt>
                <c:pt idx="1082">
                  <c:v>35</c:v>
                </c:pt>
                <c:pt idx="1083">
                  <c:v>3</c:v>
                </c:pt>
                <c:pt idx="1084">
                  <c:v>5</c:v>
                </c:pt>
                <c:pt idx="1085">
                  <c:v>13</c:v>
                </c:pt>
                <c:pt idx="1086">
                  <c:v>14</c:v>
                </c:pt>
                <c:pt idx="1087">
                  <c:v>13</c:v>
                </c:pt>
                <c:pt idx="1088">
                  <c:v>24</c:v>
                </c:pt>
                <c:pt idx="1089">
                  <c:v>5</c:v>
                </c:pt>
                <c:pt idx="1090">
                  <c:v>15</c:v>
                </c:pt>
                <c:pt idx="1091">
                  <c:v>19</c:v>
                </c:pt>
                <c:pt idx="1092">
                  <c:v>4</c:v>
                </c:pt>
                <c:pt idx="1093">
                  <c:v>36</c:v>
                </c:pt>
                <c:pt idx="1094">
                  <c:v>14</c:v>
                </c:pt>
                <c:pt idx="1095">
                  <c:v>12</c:v>
                </c:pt>
                <c:pt idx="1096">
                  <c:v>15</c:v>
                </c:pt>
                <c:pt idx="1097">
                  <c:v>25</c:v>
                </c:pt>
                <c:pt idx="1098">
                  <c:v>12</c:v>
                </c:pt>
                <c:pt idx="1099">
                  <c:v>19</c:v>
                </c:pt>
                <c:pt idx="1100">
                  <c:v>22</c:v>
                </c:pt>
                <c:pt idx="1101">
                  <c:v>26</c:v>
                </c:pt>
                <c:pt idx="1102">
                  <c:v>27</c:v>
                </c:pt>
                <c:pt idx="1103">
                  <c:v>22</c:v>
                </c:pt>
                <c:pt idx="1104">
                  <c:v>6</c:v>
                </c:pt>
                <c:pt idx="1105">
                  <c:v>13</c:v>
                </c:pt>
                <c:pt idx="1106">
                  <c:v>17</c:v>
                </c:pt>
                <c:pt idx="1107">
                  <c:v>23</c:v>
                </c:pt>
                <c:pt idx="1108">
                  <c:v>20</c:v>
                </c:pt>
                <c:pt idx="1109">
                  <c:v>17</c:v>
                </c:pt>
                <c:pt idx="1110">
                  <c:v>10</c:v>
                </c:pt>
                <c:pt idx="1111">
                  <c:v>12</c:v>
                </c:pt>
                <c:pt idx="1112">
                  <c:v>6</c:v>
                </c:pt>
                <c:pt idx="1113">
                  <c:v>11</c:v>
                </c:pt>
                <c:pt idx="1114">
                  <c:v>16</c:v>
                </c:pt>
                <c:pt idx="1115">
                  <c:v>12</c:v>
                </c:pt>
                <c:pt idx="1116">
                  <c:v>24</c:v>
                </c:pt>
                <c:pt idx="1117">
                  <c:v>30</c:v>
                </c:pt>
                <c:pt idx="1118">
                  <c:v>4</c:v>
                </c:pt>
                <c:pt idx="1119">
                  <c:v>2</c:v>
                </c:pt>
                <c:pt idx="1120">
                  <c:v>12</c:v>
                </c:pt>
                <c:pt idx="1121">
                  <c:v>16</c:v>
                </c:pt>
                <c:pt idx="1122">
                  <c:v>10</c:v>
                </c:pt>
                <c:pt idx="1123">
                  <c:v>20</c:v>
                </c:pt>
                <c:pt idx="1124">
                  <c:v>20</c:v>
                </c:pt>
                <c:pt idx="1125">
                  <c:v>10</c:v>
                </c:pt>
                <c:pt idx="1126">
                  <c:v>31</c:v>
                </c:pt>
                <c:pt idx="1127">
                  <c:v>22</c:v>
                </c:pt>
                <c:pt idx="1128">
                  <c:v>3</c:v>
                </c:pt>
                <c:pt idx="1129">
                  <c:v>14</c:v>
                </c:pt>
                <c:pt idx="1130">
                  <c:v>23</c:v>
                </c:pt>
                <c:pt idx="1131">
                  <c:v>12</c:v>
                </c:pt>
                <c:pt idx="1132">
                  <c:v>4</c:v>
                </c:pt>
                <c:pt idx="1133">
                  <c:v>18</c:v>
                </c:pt>
                <c:pt idx="1134">
                  <c:v>9</c:v>
                </c:pt>
                <c:pt idx="1135">
                  <c:v>14</c:v>
                </c:pt>
                <c:pt idx="1136">
                  <c:v>12</c:v>
                </c:pt>
                <c:pt idx="1137">
                  <c:v>13</c:v>
                </c:pt>
                <c:pt idx="1138">
                  <c:v>14</c:v>
                </c:pt>
                <c:pt idx="1139">
                  <c:v>35</c:v>
                </c:pt>
                <c:pt idx="1140">
                  <c:v>23</c:v>
                </c:pt>
                <c:pt idx="1141">
                  <c:v>6</c:v>
                </c:pt>
                <c:pt idx="1142">
                  <c:v>7</c:v>
                </c:pt>
                <c:pt idx="1143">
                  <c:v>20</c:v>
                </c:pt>
                <c:pt idx="1144">
                  <c:v>24</c:v>
                </c:pt>
                <c:pt idx="1145">
                  <c:v>6</c:v>
                </c:pt>
                <c:pt idx="1146">
                  <c:v>5</c:v>
                </c:pt>
                <c:pt idx="1147">
                  <c:v>14</c:v>
                </c:pt>
                <c:pt idx="1148">
                  <c:v>30</c:v>
                </c:pt>
                <c:pt idx="1149">
                  <c:v>14</c:v>
                </c:pt>
                <c:pt idx="1150">
                  <c:v>24</c:v>
                </c:pt>
                <c:pt idx="1151">
                  <c:v>6</c:v>
                </c:pt>
                <c:pt idx="1152">
                  <c:v>10</c:v>
                </c:pt>
                <c:pt idx="1153">
                  <c:v>8</c:v>
                </c:pt>
                <c:pt idx="1154">
                  <c:v>2</c:v>
                </c:pt>
                <c:pt idx="1155">
                  <c:v>13</c:v>
                </c:pt>
                <c:pt idx="1156">
                  <c:v>27</c:v>
                </c:pt>
                <c:pt idx="1157">
                  <c:v>6</c:v>
                </c:pt>
                <c:pt idx="1158">
                  <c:v>22</c:v>
                </c:pt>
                <c:pt idx="1159">
                  <c:v>7</c:v>
                </c:pt>
                <c:pt idx="1160">
                  <c:v>32</c:v>
                </c:pt>
                <c:pt idx="1161">
                  <c:v>12</c:v>
                </c:pt>
                <c:pt idx="1162">
                  <c:v>8</c:v>
                </c:pt>
                <c:pt idx="1163">
                  <c:v>1</c:v>
                </c:pt>
                <c:pt idx="1164">
                  <c:v>3</c:v>
                </c:pt>
                <c:pt idx="1165">
                  <c:v>19</c:v>
                </c:pt>
                <c:pt idx="1166">
                  <c:v>28</c:v>
                </c:pt>
                <c:pt idx="1167">
                  <c:v>23</c:v>
                </c:pt>
                <c:pt idx="1168">
                  <c:v>12</c:v>
                </c:pt>
                <c:pt idx="1169">
                  <c:v>16</c:v>
                </c:pt>
                <c:pt idx="1170">
                  <c:v>8</c:v>
                </c:pt>
                <c:pt idx="1171">
                  <c:v>9</c:v>
                </c:pt>
                <c:pt idx="1172">
                  <c:v>1</c:v>
                </c:pt>
                <c:pt idx="1173">
                  <c:v>15</c:v>
                </c:pt>
                <c:pt idx="1174">
                  <c:v>12</c:v>
                </c:pt>
                <c:pt idx="1175">
                  <c:v>23</c:v>
                </c:pt>
                <c:pt idx="1176">
                  <c:v>14</c:v>
                </c:pt>
                <c:pt idx="1177">
                  <c:v>15</c:v>
                </c:pt>
                <c:pt idx="1178">
                  <c:v>26</c:v>
                </c:pt>
                <c:pt idx="1179">
                  <c:v>21</c:v>
                </c:pt>
                <c:pt idx="1180">
                  <c:v>13</c:v>
                </c:pt>
                <c:pt idx="1181">
                  <c:v>12</c:v>
                </c:pt>
                <c:pt idx="1182">
                  <c:v>22</c:v>
                </c:pt>
                <c:pt idx="1183">
                  <c:v>5</c:v>
                </c:pt>
                <c:pt idx="1184">
                  <c:v>6</c:v>
                </c:pt>
                <c:pt idx="1185">
                  <c:v>25</c:v>
                </c:pt>
                <c:pt idx="1186">
                  <c:v>23</c:v>
                </c:pt>
                <c:pt idx="1187">
                  <c:v>13</c:v>
                </c:pt>
                <c:pt idx="1188">
                  <c:v>9</c:v>
                </c:pt>
                <c:pt idx="1189">
                  <c:v>3</c:v>
                </c:pt>
                <c:pt idx="1190">
                  <c:v>16</c:v>
                </c:pt>
                <c:pt idx="1191">
                  <c:v>17</c:v>
                </c:pt>
                <c:pt idx="1192">
                  <c:v>10</c:v>
                </c:pt>
                <c:pt idx="1193">
                  <c:v>7</c:v>
                </c:pt>
                <c:pt idx="1194">
                  <c:v>14</c:v>
                </c:pt>
                <c:pt idx="1195">
                  <c:v>10</c:v>
                </c:pt>
                <c:pt idx="1196">
                  <c:v>12</c:v>
                </c:pt>
                <c:pt idx="1197">
                  <c:v>16</c:v>
                </c:pt>
                <c:pt idx="1198">
                  <c:v>9</c:v>
                </c:pt>
                <c:pt idx="1199">
                  <c:v>1</c:v>
                </c:pt>
                <c:pt idx="1200">
                  <c:v>10</c:v>
                </c:pt>
                <c:pt idx="1201">
                  <c:v>3</c:v>
                </c:pt>
                <c:pt idx="1202">
                  <c:v>23</c:v>
                </c:pt>
                <c:pt idx="1203">
                  <c:v>38</c:v>
                </c:pt>
                <c:pt idx="1204">
                  <c:v>24</c:v>
                </c:pt>
                <c:pt idx="1205">
                  <c:v>1</c:v>
                </c:pt>
                <c:pt idx="1206">
                  <c:v>1</c:v>
                </c:pt>
                <c:pt idx="1207">
                  <c:v>6</c:v>
                </c:pt>
                <c:pt idx="1208">
                  <c:v>21</c:v>
                </c:pt>
                <c:pt idx="1209">
                  <c:v>9</c:v>
                </c:pt>
                <c:pt idx="1210">
                  <c:v>15</c:v>
                </c:pt>
                <c:pt idx="1211">
                  <c:v>20</c:v>
                </c:pt>
                <c:pt idx="1212">
                  <c:v>3</c:v>
                </c:pt>
                <c:pt idx="1213">
                  <c:v>23</c:v>
                </c:pt>
                <c:pt idx="1214">
                  <c:v>19</c:v>
                </c:pt>
                <c:pt idx="1215">
                  <c:v>2</c:v>
                </c:pt>
                <c:pt idx="1216">
                  <c:v>7</c:v>
                </c:pt>
                <c:pt idx="1217">
                  <c:v>24</c:v>
                </c:pt>
                <c:pt idx="1218">
                  <c:v>8</c:v>
                </c:pt>
                <c:pt idx="1219">
                  <c:v>33</c:v>
                </c:pt>
                <c:pt idx="1220">
                  <c:v>1</c:v>
                </c:pt>
                <c:pt idx="1221">
                  <c:v>19</c:v>
                </c:pt>
                <c:pt idx="1222">
                  <c:v>9</c:v>
                </c:pt>
                <c:pt idx="1223">
                  <c:v>2</c:v>
                </c:pt>
                <c:pt idx="1224">
                  <c:v>10</c:v>
                </c:pt>
                <c:pt idx="1225">
                  <c:v>26</c:v>
                </c:pt>
                <c:pt idx="1226">
                  <c:v>24</c:v>
                </c:pt>
                <c:pt idx="1227">
                  <c:v>11</c:v>
                </c:pt>
                <c:pt idx="1228">
                  <c:v>25</c:v>
                </c:pt>
                <c:pt idx="1229">
                  <c:v>26</c:v>
                </c:pt>
                <c:pt idx="1230">
                  <c:v>1</c:v>
                </c:pt>
                <c:pt idx="1231">
                  <c:v>26</c:v>
                </c:pt>
                <c:pt idx="1232">
                  <c:v>34</c:v>
                </c:pt>
                <c:pt idx="1233">
                  <c:v>21</c:v>
                </c:pt>
                <c:pt idx="1234">
                  <c:v>1</c:v>
                </c:pt>
                <c:pt idx="1235">
                  <c:v>15</c:v>
                </c:pt>
                <c:pt idx="1236">
                  <c:v>7</c:v>
                </c:pt>
                <c:pt idx="1237">
                  <c:v>13</c:v>
                </c:pt>
                <c:pt idx="1238">
                  <c:v>1</c:v>
                </c:pt>
                <c:pt idx="1239">
                  <c:v>27</c:v>
                </c:pt>
                <c:pt idx="1240">
                  <c:v>8</c:v>
                </c:pt>
                <c:pt idx="1241">
                  <c:v>5</c:v>
                </c:pt>
                <c:pt idx="1242">
                  <c:v>8</c:v>
                </c:pt>
                <c:pt idx="1243">
                  <c:v>9</c:v>
                </c:pt>
                <c:pt idx="1244">
                  <c:v>15</c:v>
                </c:pt>
                <c:pt idx="1245">
                  <c:v>2</c:v>
                </c:pt>
                <c:pt idx="1246">
                  <c:v>11</c:v>
                </c:pt>
                <c:pt idx="1247">
                  <c:v>3</c:v>
                </c:pt>
                <c:pt idx="1248">
                  <c:v>19</c:v>
                </c:pt>
                <c:pt idx="1249">
                  <c:v>19</c:v>
                </c:pt>
                <c:pt idx="1250">
                  <c:v>17</c:v>
                </c:pt>
                <c:pt idx="1251">
                  <c:v>19</c:v>
                </c:pt>
                <c:pt idx="1252">
                  <c:v>29</c:v>
                </c:pt>
                <c:pt idx="1253">
                  <c:v>33</c:v>
                </c:pt>
                <c:pt idx="1254">
                  <c:v>24</c:v>
                </c:pt>
                <c:pt idx="1255">
                  <c:v>26</c:v>
                </c:pt>
                <c:pt idx="1256">
                  <c:v>20</c:v>
                </c:pt>
                <c:pt idx="1257">
                  <c:v>21</c:v>
                </c:pt>
                <c:pt idx="1258">
                  <c:v>5</c:v>
                </c:pt>
                <c:pt idx="1259">
                  <c:v>19</c:v>
                </c:pt>
                <c:pt idx="1260">
                  <c:v>13</c:v>
                </c:pt>
                <c:pt idx="1261">
                  <c:v>15</c:v>
                </c:pt>
                <c:pt idx="1262">
                  <c:v>2</c:v>
                </c:pt>
                <c:pt idx="1263">
                  <c:v>4</c:v>
                </c:pt>
                <c:pt idx="1264">
                  <c:v>23</c:v>
                </c:pt>
                <c:pt idx="1265">
                  <c:v>10</c:v>
                </c:pt>
                <c:pt idx="1266">
                  <c:v>18</c:v>
                </c:pt>
                <c:pt idx="1267">
                  <c:v>2</c:v>
                </c:pt>
                <c:pt idx="1268">
                  <c:v>9</c:v>
                </c:pt>
                <c:pt idx="1269">
                  <c:v>4</c:v>
                </c:pt>
                <c:pt idx="1270">
                  <c:v>6</c:v>
                </c:pt>
                <c:pt idx="1271">
                  <c:v>25</c:v>
                </c:pt>
                <c:pt idx="1272">
                  <c:v>14</c:v>
                </c:pt>
                <c:pt idx="1273">
                  <c:v>19</c:v>
                </c:pt>
                <c:pt idx="1274">
                  <c:v>16</c:v>
                </c:pt>
                <c:pt idx="1275">
                  <c:v>22</c:v>
                </c:pt>
                <c:pt idx="1276">
                  <c:v>15</c:v>
                </c:pt>
                <c:pt idx="1277">
                  <c:v>14</c:v>
                </c:pt>
                <c:pt idx="1278">
                  <c:v>20</c:v>
                </c:pt>
                <c:pt idx="1279">
                  <c:v>28</c:v>
                </c:pt>
                <c:pt idx="1280">
                  <c:v>18</c:v>
                </c:pt>
                <c:pt idx="1281">
                  <c:v>40</c:v>
                </c:pt>
                <c:pt idx="1282">
                  <c:v>15</c:v>
                </c:pt>
              </c:numCache>
            </c:numRef>
          </c:xVal>
          <c:yVal>
            <c:numRef>
              <c:f>'B4'!$B$2:$B$1284</c:f>
              <c:numCache>
                <c:formatCode>0.00</c:formatCode>
                <c:ptCount val="1283"/>
                <c:pt idx="0">
                  <c:v>44</c:v>
                </c:pt>
                <c:pt idx="1">
                  <c:v>16</c:v>
                </c:pt>
                <c:pt idx="2">
                  <c:v>10</c:v>
                </c:pt>
                <c:pt idx="3">
                  <c:v>15</c:v>
                </c:pt>
                <c:pt idx="4">
                  <c:v>47</c:v>
                </c:pt>
                <c:pt idx="5">
                  <c:v>51</c:v>
                </c:pt>
                <c:pt idx="6">
                  <c:v>3</c:v>
                </c:pt>
                <c:pt idx="7">
                  <c:v>14</c:v>
                </c:pt>
                <c:pt idx="8">
                  <c:v>13</c:v>
                </c:pt>
                <c:pt idx="9">
                  <c:v>29</c:v>
                </c:pt>
                <c:pt idx="10">
                  <c:v>11</c:v>
                </c:pt>
                <c:pt idx="11">
                  <c:v>7</c:v>
                </c:pt>
                <c:pt idx="12">
                  <c:v>20</c:v>
                </c:pt>
                <c:pt idx="13">
                  <c:v>40</c:v>
                </c:pt>
                <c:pt idx="14">
                  <c:v>6</c:v>
                </c:pt>
                <c:pt idx="15">
                  <c:v>58</c:v>
                </c:pt>
                <c:pt idx="16">
                  <c:v>31</c:v>
                </c:pt>
                <c:pt idx="17">
                  <c:v>15</c:v>
                </c:pt>
                <c:pt idx="18">
                  <c:v>31</c:v>
                </c:pt>
                <c:pt idx="19">
                  <c:v>4</c:v>
                </c:pt>
                <c:pt idx="20">
                  <c:v>14</c:v>
                </c:pt>
                <c:pt idx="21">
                  <c:v>49</c:v>
                </c:pt>
                <c:pt idx="22">
                  <c:v>44</c:v>
                </c:pt>
                <c:pt idx="23">
                  <c:v>23</c:v>
                </c:pt>
                <c:pt idx="24">
                  <c:v>32</c:v>
                </c:pt>
                <c:pt idx="25">
                  <c:v>21</c:v>
                </c:pt>
                <c:pt idx="26">
                  <c:v>1</c:v>
                </c:pt>
                <c:pt idx="27">
                  <c:v>27</c:v>
                </c:pt>
                <c:pt idx="28">
                  <c:v>1</c:v>
                </c:pt>
                <c:pt idx="29">
                  <c:v>70</c:v>
                </c:pt>
                <c:pt idx="30">
                  <c:v>32</c:v>
                </c:pt>
                <c:pt idx="31">
                  <c:v>50</c:v>
                </c:pt>
                <c:pt idx="32">
                  <c:v>32</c:v>
                </c:pt>
                <c:pt idx="33">
                  <c:v>52</c:v>
                </c:pt>
                <c:pt idx="34">
                  <c:v>40</c:v>
                </c:pt>
                <c:pt idx="35">
                  <c:v>8</c:v>
                </c:pt>
                <c:pt idx="36">
                  <c:v>41</c:v>
                </c:pt>
                <c:pt idx="37">
                  <c:v>4</c:v>
                </c:pt>
                <c:pt idx="38">
                  <c:v>4</c:v>
                </c:pt>
                <c:pt idx="39">
                  <c:v>41</c:v>
                </c:pt>
                <c:pt idx="40">
                  <c:v>17</c:v>
                </c:pt>
                <c:pt idx="41">
                  <c:v>55</c:v>
                </c:pt>
                <c:pt idx="42">
                  <c:v>38</c:v>
                </c:pt>
                <c:pt idx="43">
                  <c:v>17</c:v>
                </c:pt>
                <c:pt idx="44">
                  <c:v>26</c:v>
                </c:pt>
                <c:pt idx="45">
                  <c:v>22</c:v>
                </c:pt>
                <c:pt idx="46">
                  <c:v>28</c:v>
                </c:pt>
                <c:pt idx="47">
                  <c:v>2</c:v>
                </c:pt>
                <c:pt idx="48">
                  <c:v>18</c:v>
                </c:pt>
                <c:pt idx="49">
                  <c:v>51</c:v>
                </c:pt>
                <c:pt idx="50">
                  <c:v>56</c:v>
                </c:pt>
                <c:pt idx="51">
                  <c:v>18</c:v>
                </c:pt>
                <c:pt idx="52">
                  <c:v>26</c:v>
                </c:pt>
                <c:pt idx="53">
                  <c:v>13</c:v>
                </c:pt>
                <c:pt idx="54">
                  <c:v>30</c:v>
                </c:pt>
                <c:pt idx="55">
                  <c:v>3</c:v>
                </c:pt>
                <c:pt idx="56">
                  <c:v>46</c:v>
                </c:pt>
                <c:pt idx="57">
                  <c:v>8</c:v>
                </c:pt>
                <c:pt idx="58">
                  <c:v>25</c:v>
                </c:pt>
                <c:pt idx="59">
                  <c:v>30</c:v>
                </c:pt>
                <c:pt idx="60">
                  <c:v>32</c:v>
                </c:pt>
                <c:pt idx="61">
                  <c:v>16</c:v>
                </c:pt>
                <c:pt idx="62">
                  <c:v>19</c:v>
                </c:pt>
                <c:pt idx="63">
                  <c:v>15</c:v>
                </c:pt>
                <c:pt idx="64">
                  <c:v>2</c:v>
                </c:pt>
                <c:pt idx="65">
                  <c:v>44</c:v>
                </c:pt>
                <c:pt idx="66">
                  <c:v>15</c:v>
                </c:pt>
                <c:pt idx="67">
                  <c:v>16</c:v>
                </c:pt>
                <c:pt idx="68">
                  <c:v>41</c:v>
                </c:pt>
                <c:pt idx="69">
                  <c:v>30</c:v>
                </c:pt>
                <c:pt idx="70">
                  <c:v>11</c:v>
                </c:pt>
                <c:pt idx="71">
                  <c:v>65</c:v>
                </c:pt>
                <c:pt idx="72">
                  <c:v>25</c:v>
                </c:pt>
                <c:pt idx="73">
                  <c:v>42</c:v>
                </c:pt>
                <c:pt idx="74">
                  <c:v>23</c:v>
                </c:pt>
                <c:pt idx="75">
                  <c:v>4</c:v>
                </c:pt>
                <c:pt idx="76">
                  <c:v>5</c:v>
                </c:pt>
                <c:pt idx="77">
                  <c:v>1</c:v>
                </c:pt>
                <c:pt idx="78">
                  <c:v>19</c:v>
                </c:pt>
                <c:pt idx="79">
                  <c:v>17</c:v>
                </c:pt>
                <c:pt idx="80">
                  <c:v>28</c:v>
                </c:pt>
                <c:pt idx="81">
                  <c:v>25</c:v>
                </c:pt>
                <c:pt idx="82">
                  <c:v>39</c:v>
                </c:pt>
                <c:pt idx="83">
                  <c:v>2</c:v>
                </c:pt>
                <c:pt idx="84">
                  <c:v>86</c:v>
                </c:pt>
                <c:pt idx="85">
                  <c:v>24</c:v>
                </c:pt>
                <c:pt idx="86">
                  <c:v>57</c:v>
                </c:pt>
                <c:pt idx="87">
                  <c:v>43</c:v>
                </c:pt>
                <c:pt idx="88">
                  <c:v>29</c:v>
                </c:pt>
                <c:pt idx="89">
                  <c:v>18</c:v>
                </c:pt>
                <c:pt idx="90">
                  <c:v>17</c:v>
                </c:pt>
                <c:pt idx="91">
                  <c:v>34</c:v>
                </c:pt>
                <c:pt idx="92">
                  <c:v>34</c:v>
                </c:pt>
                <c:pt idx="93">
                  <c:v>28</c:v>
                </c:pt>
                <c:pt idx="94">
                  <c:v>51</c:v>
                </c:pt>
                <c:pt idx="95">
                  <c:v>22</c:v>
                </c:pt>
                <c:pt idx="96">
                  <c:v>11</c:v>
                </c:pt>
                <c:pt idx="97">
                  <c:v>27</c:v>
                </c:pt>
                <c:pt idx="98">
                  <c:v>27</c:v>
                </c:pt>
                <c:pt idx="99">
                  <c:v>12</c:v>
                </c:pt>
                <c:pt idx="100">
                  <c:v>3</c:v>
                </c:pt>
                <c:pt idx="101">
                  <c:v>24</c:v>
                </c:pt>
                <c:pt idx="102">
                  <c:v>31</c:v>
                </c:pt>
                <c:pt idx="103">
                  <c:v>5</c:v>
                </c:pt>
                <c:pt idx="104">
                  <c:v>27</c:v>
                </c:pt>
                <c:pt idx="105">
                  <c:v>32</c:v>
                </c:pt>
                <c:pt idx="106">
                  <c:v>34</c:v>
                </c:pt>
                <c:pt idx="107">
                  <c:v>18</c:v>
                </c:pt>
                <c:pt idx="108">
                  <c:v>16</c:v>
                </c:pt>
                <c:pt idx="109">
                  <c:v>45</c:v>
                </c:pt>
                <c:pt idx="110">
                  <c:v>59</c:v>
                </c:pt>
                <c:pt idx="111">
                  <c:v>39</c:v>
                </c:pt>
                <c:pt idx="112">
                  <c:v>55</c:v>
                </c:pt>
                <c:pt idx="113">
                  <c:v>27</c:v>
                </c:pt>
                <c:pt idx="114">
                  <c:v>49</c:v>
                </c:pt>
                <c:pt idx="115">
                  <c:v>28</c:v>
                </c:pt>
                <c:pt idx="116">
                  <c:v>5</c:v>
                </c:pt>
                <c:pt idx="117">
                  <c:v>46</c:v>
                </c:pt>
                <c:pt idx="118">
                  <c:v>50</c:v>
                </c:pt>
                <c:pt idx="119">
                  <c:v>55</c:v>
                </c:pt>
                <c:pt idx="120">
                  <c:v>4</c:v>
                </c:pt>
                <c:pt idx="121">
                  <c:v>38</c:v>
                </c:pt>
                <c:pt idx="122">
                  <c:v>23</c:v>
                </c:pt>
                <c:pt idx="123">
                  <c:v>13</c:v>
                </c:pt>
                <c:pt idx="124">
                  <c:v>13</c:v>
                </c:pt>
                <c:pt idx="125">
                  <c:v>3</c:v>
                </c:pt>
                <c:pt idx="126">
                  <c:v>21</c:v>
                </c:pt>
                <c:pt idx="127">
                  <c:v>22</c:v>
                </c:pt>
                <c:pt idx="128">
                  <c:v>46</c:v>
                </c:pt>
                <c:pt idx="129">
                  <c:v>21</c:v>
                </c:pt>
                <c:pt idx="130">
                  <c:v>52</c:v>
                </c:pt>
                <c:pt idx="131">
                  <c:v>40</c:v>
                </c:pt>
                <c:pt idx="132">
                  <c:v>23</c:v>
                </c:pt>
                <c:pt idx="133">
                  <c:v>8</c:v>
                </c:pt>
                <c:pt idx="134">
                  <c:v>12</c:v>
                </c:pt>
                <c:pt idx="135">
                  <c:v>58</c:v>
                </c:pt>
                <c:pt idx="136">
                  <c:v>39</c:v>
                </c:pt>
                <c:pt idx="137">
                  <c:v>1</c:v>
                </c:pt>
                <c:pt idx="138">
                  <c:v>3</c:v>
                </c:pt>
                <c:pt idx="139">
                  <c:v>28</c:v>
                </c:pt>
                <c:pt idx="140">
                  <c:v>53</c:v>
                </c:pt>
                <c:pt idx="141">
                  <c:v>36</c:v>
                </c:pt>
                <c:pt idx="142">
                  <c:v>24</c:v>
                </c:pt>
                <c:pt idx="143">
                  <c:v>35</c:v>
                </c:pt>
                <c:pt idx="144">
                  <c:v>46</c:v>
                </c:pt>
                <c:pt idx="145">
                  <c:v>14</c:v>
                </c:pt>
                <c:pt idx="146">
                  <c:v>7</c:v>
                </c:pt>
                <c:pt idx="147">
                  <c:v>39</c:v>
                </c:pt>
                <c:pt idx="148">
                  <c:v>51</c:v>
                </c:pt>
                <c:pt idx="149">
                  <c:v>19</c:v>
                </c:pt>
                <c:pt idx="150">
                  <c:v>10</c:v>
                </c:pt>
                <c:pt idx="151">
                  <c:v>28</c:v>
                </c:pt>
                <c:pt idx="152">
                  <c:v>13</c:v>
                </c:pt>
                <c:pt idx="153">
                  <c:v>10</c:v>
                </c:pt>
                <c:pt idx="154">
                  <c:v>59</c:v>
                </c:pt>
                <c:pt idx="155">
                  <c:v>41</c:v>
                </c:pt>
                <c:pt idx="156">
                  <c:v>17</c:v>
                </c:pt>
                <c:pt idx="157">
                  <c:v>13</c:v>
                </c:pt>
                <c:pt idx="158">
                  <c:v>15</c:v>
                </c:pt>
                <c:pt idx="159">
                  <c:v>20</c:v>
                </c:pt>
                <c:pt idx="160">
                  <c:v>4</c:v>
                </c:pt>
                <c:pt idx="161">
                  <c:v>24</c:v>
                </c:pt>
                <c:pt idx="162">
                  <c:v>8</c:v>
                </c:pt>
                <c:pt idx="163">
                  <c:v>8</c:v>
                </c:pt>
                <c:pt idx="164">
                  <c:v>16</c:v>
                </c:pt>
                <c:pt idx="165">
                  <c:v>51</c:v>
                </c:pt>
                <c:pt idx="166">
                  <c:v>15</c:v>
                </c:pt>
                <c:pt idx="167">
                  <c:v>47</c:v>
                </c:pt>
                <c:pt idx="168">
                  <c:v>18</c:v>
                </c:pt>
                <c:pt idx="169">
                  <c:v>12</c:v>
                </c:pt>
                <c:pt idx="170">
                  <c:v>6</c:v>
                </c:pt>
                <c:pt idx="171">
                  <c:v>17</c:v>
                </c:pt>
                <c:pt idx="172">
                  <c:v>27</c:v>
                </c:pt>
                <c:pt idx="173">
                  <c:v>5</c:v>
                </c:pt>
                <c:pt idx="174">
                  <c:v>28</c:v>
                </c:pt>
                <c:pt idx="175">
                  <c:v>52</c:v>
                </c:pt>
                <c:pt idx="176">
                  <c:v>33</c:v>
                </c:pt>
                <c:pt idx="177">
                  <c:v>19</c:v>
                </c:pt>
                <c:pt idx="178">
                  <c:v>8</c:v>
                </c:pt>
                <c:pt idx="179">
                  <c:v>25</c:v>
                </c:pt>
                <c:pt idx="180">
                  <c:v>45</c:v>
                </c:pt>
                <c:pt idx="181">
                  <c:v>76</c:v>
                </c:pt>
                <c:pt idx="182">
                  <c:v>44</c:v>
                </c:pt>
                <c:pt idx="183">
                  <c:v>48</c:v>
                </c:pt>
                <c:pt idx="184">
                  <c:v>9</c:v>
                </c:pt>
                <c:pt idx="185">
                  <c:v>39</c:v>
                </c:pt>
                <c:pt idx="186">
                  <c:v>37</c:v>
                </c:pt>
                <c:pt idx="187">
                  <c:v>1</c:v>
                </c:pt>
                <c:pt idx="188">
                  <c:v>41</c:v>
                </c:pt>
                <c:pt idx="189">
                  <c:v>74</c:v>
                </c:pt>
                <c:pt idx="190">
                  <c:v>25</c:v>
                </c:pt>
                <c:pt idx="191">
                  <c:v>15</c:v>
                </c:pt>
                <c:pt idx="192">
                  <c:v>35</c:v>
                </c:pt>
                <c:pt idx="193">
                  <c:v>1</c:v>
                </c:pt>
                <c:pt idx="194">
                  <c:v>24</c:v>
                </c:pt>
                <c:pt idx="195">
                  <c:v>4</c:v>
                </c:pt>
                <c:pt idx="196">
                  <c:v>27</c:v>
                </c:pt>
                <c:pt idx="197">
                  <c:v>47</c:v>
                </c:pt>
                <c:pt idx="198">
                  <c:v>47</c:v>
                </c:pt>
                <c:pt idx="199">
                  <c:v>7</c:v>
                </c:pt>
                <c:pt idx="200">
                  <c:v>2</c:v>
                </c:pt>
                <c:pt idx="201">
                  <c:v>35</c:v>
                </c:pt>
                <c:pt idx="202">
                  <c:v>28</c:v>
                </c:pt>
                <c:pt idx="203">
                  <c:v>5</c:v>
                </c:pt>
                <c:pt idx="204">
                  <c:v>29</c:v>
                </c:pt>
                <c:pt idx="205">
                  <c:v>24</c:v>
                </c:pt>
                <c:pt idx="206">
                  <c:v>47</c:v>
                </c:pt>
                <c:pt idx="207">
                  <c:v>2</c:v>
                </c:pt>
                <c:pt idx="208">
                  <c:v>6</c:v>
                </c:pt>
                <c:pt idx="209">
                  <c:v>41</c:v>
                </c:pt>
                <c:pt idx="210">
                  <c:v>48</c:v>
                </c:pt>
                <c:pt idx="211">
                  <c:v>10</c:v>
                </c:pt>
                <c:pt idx="212">
                  <c:v>11</c:v>
                </c:pt>
                <c:pt idx="213">
                  <c:v>68</c:v>
                </c:pt>
                <c:pt idx="214">
                  <c:v>16</c:v>
                </c:pt>
                <c:pt idx="215">
                  <c:v>15</c:v>
                </c:pt>
                <c:pt idx="216">
                  <c:v>51</c:v>
                </c:pt>
                <c:pt idx="217">
                  <c:v>56</c:v>
                </c:pt>
                <c:pt idx="218">
                  <c:v>15</c:v>
                </c:pt>
                <c:pt idx="219">
                  <c:v>35</c:v>
                </c:pt>
                <c:pt idx="220">
                  <c:v>20</c:v>
                </c:pt>
                <c:pt idx="221">
                  <c:v>35</c:v>
                </c:pt>
                <c:pt idx="222">
                  <c:v>15</c:v>
                </c:pt>
                <c:pt idx="223">
                  <c:v>13</c:v>
                </c:pt>
                <c:pt idx="224">
                  <c:v>34</c:v>
                </c:pt>
                <c:pt idx="225">
                  <c:v>21</c:v>
                </c:pt>
                <c:pt idx="226">
                  <c:v>25</c:v>
                </c:pt>
                <c:pt idx="227">
                  <c:v>52</c:v>
                </c:pt>
                <c:pt idx="228">
                  <c:v>28</c:v>
                </c:pt>
                <c:pt idx="229">
                  <c:v>59</c:v>
                </c:pt>
                <c:pt idx="230">
                  <c:v>9</c:v>
                </c:pt>
                <c:pt idx="231">
                  <c:v>10</c:v>
                </c:pt>
                <c:pt idx="232">
                  <c:v>51</c:v>
                </c:pt>
                <c:pt idx="233">
                  <c:v>3</c:v>
                </c:pt>
                <c:pt idx="234">
                  <c:v>63</c:v>
                </c:pt>
                <c:pt idx="235">
                  <c:v>72</c:v>
                </c:pt>
                <c:pt idx="236">
                  <c:v>21</c:v>
                </c:pt>
                <c:pt idx="237">
                  <c:v>51</c:v>
                </c:pt>
                <c:pt idx="238">
                  <c:v>36</c:v>
                </c:pt>
                <c:pt idx="239">
                  <c:v>22</c:v>
                </c:pt>
                <c:pt idx="240">
                  <c:v>25</c:v>
                </c:pt>
                <c:pt idx="241">
                  <c:v>19</c:v>
                </c:pt>
                <c:pt idx="242">
                  <c:v>19</c:v>
                </c:pt>
                <c:pt idx="243">
                  <c:v>17</c:v>
                </c:pt>
                <c:pt idx="244">
                  <c:v>9</c:v>
                </c:pt>
                <c:pt idx="245">
                  <c:v>25</c:v>
                </c:pt>
                <c:pt idx="246">
                  <c:v>23</c:v>
                </c:pt>
                <c:pt idx="247">
                  <c:v>49</c:v>
                </c:pt>
                <c:pt idx="248">
                  <c:v>22</c:v>
                </c:pt>
                <c:pt idx="249">
                  <c:v>27</c:v>
                </c:pt>
                <c:pt idx="250">
                  <c:v>7</c:v>
                </c:pt>
                <c:pt idx="251">
                  <c:v>47</c:v>
                </c:pt>
                <c:pt idx="252">
                  <c:v>1</c:v>
                </c:pt>
                <c:pt idx="253">
                  <c:v>9</c:v>
                </c:pt>
                <c:pt idx="254">
                  <c:v>47</c:v>
                </c:pt>
                <c:pt idx="255">
                  <c:v>14</c:v>
                </c:pt>
                <c:pt idx="256">
                  <c:v>34</c:v>
                </c:pt>
                <c:pt idx="257">
                  <c:v>57</c:v>
                </c:pt>
                <c:pt idx="258">
                  <c:v>39</c:v>
                </c:pt>
                <c:pt idx="259">
                  <c:v>24</c:v>
                </c:pt>
                <c:pt idx="260">
                  <c:v>2</c:v>
                </c:pt>
                <c:pt idx="261">
                  <c:v>19</c:v>
                </c:pt>
                <c:pt idx="262">
                  <c:v>9</c:v>
                </c:pt>
                <c:pt idx="263">
                  <c:v>3</c:v>
                </c:pt>
                <c:pt idx="264">
                  <c:v>22</c:v>
                </c:pt>
                <c:pt idx="265">
                  <c:v>3</c:v>
                </c:pt>
                <c:pt idx="266">
                  <c:v>37</c:v>
                </c:pt>
                <c:pt idx="267">
                  <c:v>24</c:v>
                </c:pt>
                <c:pt idx="268">
                  <c:v>2</c:v>
                </c:pt>
                <c:pt idx="269">
                  <c:v>16</c:v>
                </c:pt>
                <c:pt idx="270">
                  <c:v>20</c:v>
                </c:pt>
                <c:pt idx="271">
                  <c:v>66</c:v>
                </c:pt>
                <c:pt idx="272">
                  <c:v>27</c:v>
                </c:pt>
                <c:pt idx="273">
                  <c:v>38</c:v>
                </c:pt>
                <c:pt idx="274">
                  <c:v>48</c:v>
                </c:pt>
                <c:pt idx="275">
                  <c:v>12</c:v>
                </c:pt>
                <c:pt idx="276">
                  <c:v>26</c:v>
                </c:pt>
                <c:pt idx="277">
                  <c:v>27</c:v>
                </c:pt>
                <c:pt idx="278">
                  <c:v>25</c:v>
                </c:pt>
                <c:pt idx="279">
                  <c:v>18</c:v>
                </c:pt>
                <c:pt idx="280">
                  <c:v>56</c:v>
                </c:pt>
                <c:pt idx="281">
                  <c:v>72</c:v>
                </c:pt>
                <c:pt idx="282">
                  <c:v>18</c:v>
                </c:pt>
                <c:pt idx="283">
                  <c:v>34</c:v>
                </c:pt>
                <c:pt idx="284">
                  <c:v>43</c:v>
                </c:pt>
                <c:pt idx="285">
                  <c:v>19</c:v>
                </c:pt>
                <c:pt idx="286">
                  <c:v>19</c:v>
                </c:pt>
                <c:pt idx="287">
                  <c:v>21</c:v>
                </c:pt>
                <c:pt idx="288">
                  <c:v>32</c:v>
                </c:pt>
                <c:pt idx="289">
                  <c:v>4</c:v>
                </c:pt>
                <c:pt idx="290">
                  <c:v>32</c:v>
                </c:pt>
                <c:pt idx="291">
                  <c:v>9</c:v>
                </c:pt>
                <c:pt idx="292">
                  <c:v>34</c:v>
                </c:pt>
                <c:pt idx="293">
                  <c:v>50</c:v>
                </c:pt>
                <c:pt idx="294">
                  <c:v>19</c:v>
                </c:pt>
                <c:pt idx="295">
                  <c:v>17</c:v>
                </c:pt>
                <c:pt idx="296">
                  <c:v>10</c:v>
                </c:pt>
                <c:pt idx="297">
                  <c:v>9</c:v>
                </c:pt>
                <c:pt idx="298">
                  <c:v>25</c:v>
                </c:pt>
                <c:pt idx="299">
                  <c:v>4</c:v>
                </c:pt>
                <c:pt idx="300">
                  <c:v>28</c:v>
                </c:pt>
                <c:pt idx="301">
                  <c:v>2</c:v>
                </c:pt>
                <c:pt idx="302">
                  <c:v>47</c:v>
                </c:pt>
                <c:pt idx="303">
                  <c:v>10</c:v>
                </c:pt>
                <c:pt idx="304">
                  <c:v>15</c:v>
                </c:pt>
                <c:pt idx="305">
                  <c:v>15</c:v>
                </c:pt>
                <c:pt idx="306">
                  <c:v>20</c:v>
                </c:pt>
                <c:pt idx="307">
                  <c:v>25</c:v>
                </c:pt>
                <c:pt idx="308">
                  <c:v>21</c:v>
                </c:pt>
                <c:pt idx="309">
                  <c:v>1</c:v>
                </c:pt>
                <c:pt idx="310">
                  <c:v>10</c:v>
                </c:pt>
                <c:pt idx="311">
                  <c:v>1</c:v>
                </c:pt>
                <c:pt idx="312">
                  <c:v>37</c:v>
                </c:pt>
                <c:pt idx="313">
                  <c:v>24</c:v>
                </c:pt>
                <c:pt idx="314">
                  <c:v>18</c:v>
                </c:pt>
                <c:pt idx="315">
                  <c:v>67</c:v>
                </c:pt>
                <c:pt idx="316">
                  <c:v>13</c:v>
                </c:pt>
                <c:pt idx="317">
                  <c:v>12</c:v>
                </c:pt>
                <c:pt idx="318">
                  <c:v>75</c:v>
                </c:pt>
                <c:pt idx="319">
                  <c:v>29</c:v>
                </c:pt>
                <c:pt idx="320">
                  <c:v>10</c:v>
                </c:pt>
                <c:pt idx="321">
                  <c:v>43</c:v>
                </c:pt>
                <c:pt idx="322">
                  <c:v>55</c:v>
                </c:pt>
                <c:pt idx="323">
                  <c:v>13</c:v>
                </c:pt>
                <c:pt idx="324">
                  <c:v>44</c:v>
                </c:pt>
                <c:pt idx="325">
                  <c:v>34</c:v>
                </c:pt>
                <c:pt idx="326">
                  <c:v>14</c:v>
                </c:pt>
                <c:pt idx="327">
                  <c:v>26</c:v>
                </c:pt>
                <c:pt idx="328">
                  <c:v>50</c:v>
                </c:pt>
                <c:pt idx="329">
                  <c:v>19</c:v>
                </c:pt>
                <c:pt idx="330">
                  <c:v>43</c:v>
                </c:pt>
                <c:pt idx="331">
                  <c:v>33</c:v>
                </c:pt>
                <c:pt idx="332">
                  <c:v>27</c:v>
                </c:pt>
                <c:pt idx="333">
                  <c:v>66</c:v>
                </c:pt>
                <c:pt idx="334">
                  <c:v>2</c:v>
                </c:pt>
                <c:pt idx="335">
                  <c:v>10</c:v>
                </c:pt>
                <c:pt idx="336">
                  <c:v>47</c:v>
                </c:pt>
                <c:pt idx="337">
                  <c:v>31</c:v>
                </c:pt>
                <c:pt idx="338">
                  <c:v>35</c:v>
                </c:pt>
                <c:pt idx="339">
                  <c:v>54</c:v>
                </c:pt>
                <c:pt idx="340">
                  <c:v>43</c:v>
                </c:pt>
                <c:pt idx="341">
                  <c:v>11</c:v>
                </c:pt>
                <c:pt idx="342">
                  <c:v>15</c:v>
                </c:pt>
                <c:pt idx="343">
                  <c:v>14</c:v>
                </c:pt>
                <c:pt idx="344">
                  <c:v>45</c:v>
                </c:pt>
                <c:pt idx="345">
                  <c:v>28</c:v>
                </c:pt>
                <c:pt idx="346">
                  <c:v>32</c:v>
                </c:pt>
                <c:pt idx="347">
                  <c:v>33</c:v>
                </c:pt>
                <c:pt idx="348">
                  <c:v>14</c:v>
                </c:pt>
                <c:pt idx="349">
                  <c:v>30</c:v>
                </c:pt>
                <c:pt idx="350">
                  <c:v>32</c:v>
                </c:pt>
                <c:pt idx="351">
                  <c:v>55</c:v>
                </c:pt>
                <c:pt idx="352">
                  <c:v>29</c:v>
                </c:pt>
                <c:pt idx="353">
                  <c:v>3</c:v>
                </c:pt>
                <c:pt idx="354">
                  <c:v>22</c:v>
                </c:pt>
                <c:pt idx="355">
                  <c:v>55</c:v>
                </c:pt>
                <c:pt idx="356">
                  <c:v>9</c:v>
                </c:pt>
                <c:pt idx="357">
                  <c:v>35</c:v>
                </c:pt>
                <c:pt idx="358">
                  <c:v>19</c:v>
                </c:pt>
                <c:pt idx="359">
                  <c:v>2</c:v>
                </c:pt>
                <c:pt idx="360">
                  <c:v>12</c:v>
                </c:pt>
                <c:pt idx="361">
                  <c:v>7</c:v>
                </c:pt>
                <c:pt idx="362">
                  <c:v>44</c:v>
                </c:pt>
                <c:pt idx="363">
                  <c:v>6</c:v>
                </c:pt>
                <c:pt idx="364">
                  <c:v>10</c:v>
                </c:pt>
                <c:pt idx="365">
                  <c:v>37</c:v>
                </c:pt>
                <c:pt idx="366">
                  <c:v>31</c:v>
                </c:pt>
                <c:pt idx="367">
                  <c:v>53</c:v>
                </c:pt>
                <c:pt idx="368">
                  <c:v>20</c:v>
                </c:pt>
                <c:pt idx="369">
                  <c:v>19</c:v>
                </c:pt>
                <c:pt idx="370">
                  <c:v>18</c:v>
                </c:pt>
                <c:pt idx="371">
                  <c:v>55</c:v>
                </c:pt>
                <c:pt idx="372">
                  <c:v>3</c:v>
                </c:pt>
                <c:pt idx="373">
                  <c:v>39</c:v>
                </c:pt>
                <c:pt idx="374">
                  <c:v>10</c:v>
                </c:pt>
                <c:pt idx="375">
                  <c:v>46</c:v>
                </c:pt>
                <c:pt idx="376">
                  <c:v>26</c:v>
                </c:pt>
                <c:pt idx="377">
                  <c:v>40</c:v>
                </c:pt>
                <c:pt idx="378">
                  <c:v>15</c:v>
                </c:pt>
                <c:pt idx="379">
                  <c:v>2</c:v>
                </c:pt>
                <c:pt idx="380">
                  <c:v>39</c:v>
                </c:pt>
                <c:pt idx="381">
                  <c:v>33</c:v>
                </c:pt>
                <c:pt idx="382">
                  <c:v>2</c:v>
                </c:pt>
                <c:pt idx="383">
                  <c:v>23</c:v>
                </c:pt>
                <c:pt idx="384">
                  <c:v>10</c:v>
                </c:pt>
                <c:pt idx="385">
                  <c:v>6</c:v>
                </c:pt>
                <c:pt idx="386">
                  <c:v>5</c:v>
                </c:pt>
                <c:pt idx="387">
                  <c:v>11</c:v>
                </c:pt>
                <c:pt idx="388">
                  <c:v>2</c:v>
                </c:pt>
                <c:pt idx="389">
                  <c:v>45</c:v>
                </c:pt>
                <c:pt idx="390">
                  <c:v>6</c:v>
                </c:pt>
                <c:pt idx="391">
                  <c:v>43</c:v>
                </c:pt>
                <c:pt idx="392">
                  <c:v>74</c:v>
                </c:pt>
                <c:pt idx="393">
                  <c:v>20</c:v>
                </c:pt>
                <c:pt idx="394">
                  <c:v>33</c:v>
                </c:pt>
                <c:pt idx="395">
                  <c:v>23</c:v>
                </c:pt>
                <c:pt idx="396">
                  <c:v>60</c:v>
                </c:pt>
                <c:pt idx="397">
                  <c:v>34</c:v>
                </c:pt>
                <c:pt idx="398">
                  <c:v>45</c:v>
                </c:pt>
                <c:pt idx="399">
                  <c:v>41</c:v>
                </c:pt>
                <c:pt idx="400">
                  <c:v>22</c:v>
                </c:pt>
                <c:pt idx="401">
                  <c:v>16</c:v>
                </c:pt>
                <c:pt idx="402">
                  <c:v>35</c:v>
                </c:pt>
                <c:pt idx="403">
                  <c:v>31</c:v>
                </c:pt>
                <c:pt idx="404">
                  <c:v>61</c:v>
                </c:pt>
                <c:pt idx="405">
                  <c:v>41</c:v>
                </c:pt>
                <c:pt idx="406">
                  <c:v>16</c:v>
                </c:pt>
                <c:pt idx="407">
                  <c:v>24</c:v>
                </c:pt>
                <c:pt idx="408">
                  <c:v>23</c:v>
                </c:pt>
                <c:pt idx="409">
                  <c:v>45</c:v>
                </c:pt>
                <c:pt idx="410">
                  <c:v>24</c:v>
                </c:pt>
                <c:pt idx="411">
                  <c:v>36</c:v>
                </c:pt>
                <c:pt idx="412">
                  <c:v>12</c:v>
                </c:pt>
                <c:pt idx="413">
                  <c:v>12</c:v>
                </c:pt>
                <c:pt idx="414">
                  <c:v>37</c:v>
                </c:pt>
                <c:pt idx="415">
                  <c:v>12</c:v>
                </c:pt>
                <c:pt idx="416">
                  <c:v>19</c:v>
                </c:pt>
                <c:pt idx="417">
                  <c:v>35</c:v>
                </c:pt>
                <c:pt idx="418">
                  <c:v>14</c:v>
                </c:pt>
                <c:pt idx="419">
                  <c:v>24</c:v>
                </c:pt>
                <c:pt idx="420">
                  <c:v>22</c:v>
                </c:pt>
                <c:pt idx="421">
                  <c:v>23</c:v>
                </c:pt>
                <c:pt idx="422">
                  <c:v>30</c:v>
                </c:pt>
                <c:pt idx="423">
                  <c:v>25</c:v>
                </c:pt>
                <c:pt idx="424">
                  <c:v>3</c:v>
                </c:pt>
                <c:pt idx="425">
                  <c:v>42</c:v>
                </c:pt>
                <c:pt idx="426">
                  <c:v>3</c:v>
                </c:pt>
                <c:pt idx="427">
                  <c:v>9</c:v>
                </c:pt>
                <c:pt idx="428">
                  <c:v>14</c:v>
                </c:pt>
                <c:pt idx="429">
                  <c:v>36</c:v>
                </c:pt>
                <c:pt idx="430">
                  <c:v>39</c:v>
                </c:pt>
                <c:pt idx="431">
                  <c:v>26</c:v>
                </c:pt>
                <c:pt idx="432">
                  <c:v>5</c:v>
                </c:pt>
                <c:pt idx="433">
                  <c:v>53</c:v>
                </c:pt>
                <c:pt idx="434">
                  <c:v>7</c:v>
                </c:pt>
                <c:pt idx="435">
                  <c:v>29</c:v>
                </c:pt>
                <c:pt idx="436">
                  <c:v>58</c:v>
                </c:pt>
                <c:pt idx="437">
                  <c:v>26</c:v>
                </c:pt>
                <c:pt idx="438">
                  <c:v>80</c:v>
                </c:pt>
                <c:pt idx="439">
                  <c:v>32</c:v>
                </c:pt>
                <c:pt idx="440">
                  <c:v>15</c:v>
                </c:pt>
                <c:pt idx="441">
                  <c:v>13</c:v>
                </c:pt>
                <c:pt idx="442">
                  <c:v>67</c:v>
                </c:pt>
                <c:pt idx="443">
                  <c:v>49</c:v>
                </c:pt>
                <c:pt idx="444">
                  <c:v>28</c:v>
                </c:pt>
                <c:pt idx="445">
                  <c:v>22</c:v>
                </c:pt>
                <c:pt idx="446">
                  <c:v>24</c:v>
                </c:pt>
                <c:pt idx="447">
                  <c:v>3</c:v>
                </c:pt>
                <c:pt idx="448">
                  <c:v>16</c:v>
                </c:pt>
                <c:pt idx="449">
                  <c:v>14</c:v>
                </c:pt>
                <c:pt idx="450">
                  <c:v>3</c:v>
                </c:pt>
                <c:pt idx="451">
                  <c:v>4</c:v>
                </c:pt>
                <c:pt idx="452">
                  <c:v>11</c:v>
                </c:pt>
                <c:pt idx="453">
                  <c:v>35</c:v>
                </c:pt>
                <c:pt idx="454">
                  <c:v>2</c:v>
                </c:pt>
                <c:pt idx="455">
                  <c:v>26</c:v>
                </c:pt>
                <c:pt idx="456">
                  <c:v>23</c:v>
                </c:pt>
                <c:pt idx="457">
                  <c:v>4</c:v>
                </c:pt>
                <c:pt idx="458">
                  <c:v>50</c:v>
                </c:pt>
                <c:pt idx="459">
                  <c:v>84</c:v>
                </c:pt>
                <c:pt idx="460">
                  <c:v>31</c:v>
                </c:pt>
                <c:pt idx="461">
                  <c:v>5</c:v>
                </c:pt>
                <c:pt idx="462">
                  <c:v>24</c:v>
                </c:pt>
                <c:pt idx="463">
                  <c:v>20</c:v>
                </c:pt>
                <c:pt idx="464">
                  <c:v>11</c:v>
                </c:pt>
                <c:pt idx="465">
                  <c:v>20</c:v>
                </c:pt>
                <c:pt idx="466">
                  <c:v>27</c:v>
                </c:pt>
                <c:pt idx="467">
                  <c:v>1</c:v>
                </c:pt>
                <c:pt idx="468">
                  <c:v>52</c:v>
                </c:pt>
                <c:pt idx="469">
                  <c:v>33</c:v>
                </c:pt>
                <c:pt idx="470">
                  <c:v>60</c:v>
                </c:pt>
                <c:pt idx="471">
                  <c:v>11</c:v>
                </c:pt>
                <c:pt idx="472">
                  <c:v>8</c:v>
                </c:pt>
                <c:pt idx="473">
                  <c:v>48</c:v>
                </c:pt>
                <c:pt idx="474">
                  <c:v>64</c:v>
                </c:pt>
                <c:pt idx="475">
                  <c:v>50</c:v>
                </c:pt>
                <c:pt idx="476">
                  <c:v>37</c:v>
                </c:pt>
                <c:pt idx="477">
                  <c:v>47</c:v>
                </c:pt>
                <c:pt idx="478">
                  <c:v>11</c:v>
                </c:pt>
                <c:pt idx="479">
                  <c:v>61</c:v>
                </c:pt>
                <c:pt idx="480">
                  <c:v>48</c:v>
                </c:pt>
                <c:pt idx="481">
                  <c:v>4</c:v>
                </c:pt>
                <c:pt idx="482">
                  <c:v>48</c:v>
                </c:pt>
                <c:pt idx="483">
                  <c:v>46</c:v>
                </c:pt>
                <c:pt idx="484">
                  <c:v>10</c:v>
                </c:pt>
                <c:pt idx="485">
                  <c:v>9</c:v>
                </c:pt>
                <c:pt idx="486">
                  <c:v>27</c:v>
                </c:pt>
                <c:pt idx="487">
                  <c:v>36</c:v>
                </c:pt>
                <c:pt idx="488">
                  <c:v>66</c:v>
                </c:pt>
                <c:pt idx="489">
                  <c:v>32</c:v>
                </c:pt>
                <c:pt idx="490">
                  <c:v>4</c:v>
                </c:pt>
                <c:pt idx="491">
                  <c:v>40</c:v>
                </c:pt>
                <c:pt idx="492">
                  <c:v>80</c:v>
                </c:pt>
                <c:pt idx="493">
                  <c:v>27</c:v>
                </c:pt>
                <c:pt idx="494">
                  <c:v>61</c:v>
                </c:pt>
                <c:pt idx="495">
                  <c:v>25</c:v>
                </c:pt>
                <c:pt idx="496">
                  <c:v>12</c:v>
                </c:pt>
                <c:pt idx="497">
                  <c:v>44</c:v>
                </c:pt>
                <c:pt idx="498">
                  <c:v>46</c:v>
                </c:pt>
                <c:pt idx="499">
                  <c:v>17</c:v>
                </c:pt>
                <c:pt idx="500">
                  <c:v>27</c:v>
                </c:pt>
                <c:pt idx="501">
                  <c:v>21</c:v>
                </c:pt>
                <c:pt idx="502">
                  <c:v>32</c:v>
                </c:pt>
                <c:pt idx="503">
                  <c:v>10</c:v>
                </c:pt>
                <c:pt idx="504">
                  <c:v>5</c:v>
                </c:pt>
                <c:pt idx="505">
                  <c:v>16</c:v>
                </c:pt>
                <c:pt idx="506">
                  <c:v>19</c:v>
                </c:pt>
                <c:pt idx="507">
                  <c:v>43</c:v>
                </c:pt>
                <c:pt idx="508">
                  <c:v>30</c:v>
                </c:pt>
                <c:pt idx="509">
                  <c:v>14</c:v>
                </c:pt>
                <c:pt idx="510">
                  <c:v>5</c:v>
                </c:pt>
                <c:pt idx="511">
                  <c:v>25</c:v>
                </c:pt>
                <c:pt idx="512">
                  <c:v>10</c:v>
                </c:pt>
                <c:pt idx="513">
                  <c:v>11</c:v>
                </c:pt>
                <c:pt idx="514">
                  <c:v>23</c:v>
                </c:pt>
                <c:pt idx="515">
                  <c:v>20</c:v>
                </c:pt>
                <c:pt idx="516">
                  <c:v>47</c:v>
                </c:pt>
                <c:pt idx="517">
                  <c:v>30</c:v>
                </c:pt>
                <c:pt idx="518">
                  <c:v>4</c:v>
                </c:pt>
                <c:pt idx="519">
                  <c:v>10</c:v>
                </c:pt>
                <c:pt idx="520">
                  <c:v>4</c:v>
                </c:pt>
                <c:pt idx="521">
                  <c:v>15</c:v>
                </c:pt>
                <c:pt idx="522">
                  <c:v>2</c:v>
                </c:pt>
                <c:pt idx="523">
                  <c:v>36</c:v>
                </c:pt>
                <c:pt idx="524">
                  <c:v>21</c:v>
                </c:pt>
                <c:pt idx="525">
                  <c:v>4</c:v>
                </c:pt>
                <c:pt idx="526">
                  <c:v>4</c:v>
                </c:pt>
                <c:pt idx="527">
                  <c:v>3</c:v>
                </c:pt>
                <c:pt idx="528">
                  <c:v>10</c:v>
                </c:pt>
                <c:pt idx="529">
                  <c:v>20</c:v>
                </c:pt>
                <c:pt idx="530">
                  <c:v>48</c:v>
                </c:pt>
                <c:pt idx="531">
                  <c:v>46</c:v>
                </c:pt>
                <c:pt idx="532">
                  <c:v>48</c:v>
                </c:pt>
                <c:pt idx="533">
                  <c:v>56</c:v>
                </c:pt>
                <c:pt idx="534">
                  <c:v>26</c:v>
                </c:pt>
                <c:pt idx="535">
                  <c:v>37</c:v>
                </c:pt>
                <c:pt idx="536">
                  <c:v>45</c:v>
                </c:pt>
                <c:pt idx="537">
                  <c:v>8</c:v>
                </c:pt>
                <c:pt idx="538">
                  <c:v>31</c:v>
                </c:pt>
                <c:pt idx="539">
                  <c:v>9</c:v>
                </c:pt>
                <c:pt idx="540">
                  <c:v>29</c:v>
                </c:pt>
                <c:pt idx="541">
                  <c:v>18</c:v>
                </c:pt>
                <c:pt idx="542">
                  <c:v>50</c:v>
                </c:pt>
                <c:pt idx="543">
                  <c:v>55</c:v>
                </c:pt>
                <c:pt idx="544">
                  <c:v>33</c:v>
                </c:pt>
                <c:pt idx="545">
                  <c:v>2</c:v>
                </c:pt>
                <c:pt idx="546">
                  <c:v>40</c:v>
                </c:pt>
                <c:pt idx="547">
                  <c:v>7</c:v>
                </c:pt>
                <c:pt idx="548">
                  <c:v>15</c:v>
                </c:pt>
                <c:pt idx="549">
                  <c:v>42</c:v>
                </c:pt>
                <c:pt idx="550">
                  <c:v>26</c:v>
                </c:pt>
                <c:pt idx="551">
                  <c:v>14</c:v>
                </c:pt>
                <c:pt idx="552">
                  <c:v>13</c:v>
                </c:pt>
                <c:pt idx="553">
                  <c:v>12</c:v>
                </c:pt>
                <c:pt idx="554">
                  <c:v>23</c:v>
                </c:pt>
                <c:pt idx="555">
                  <c:v>15</c:v>
                </c:pt>
                <c:pt idx="556">
                  <c:v>39</c:v>
                </c:pt>
                <c:pt idx="557">
                  <c:v>16</c:v>
                </c:pt>
                <c:pt idx="558">
                  <c:v>38</c:v>
                </c:pt>
                <c:pt idx="559">
                  <c:v>30</c:v>
                </c:pt>
                <c:pt idx="560">
                  <c:v>21</c:v>
                </c:pt>
                <c:pt idx="561">
                  <c:v>13</c:v>
                </c:pt>
                <c:pt idx="562">
                  <c:v>8</c:v>
                </c:pt>
                <c:pt idx="563">
                  <c:v>32</c:v>
                </c:pt>
                <c:pt idx="564">
                  <c:v>34</c:v>
                </c:pt>
                <c:pt idx="565">
                  <c:v>24</c:v>
                </c:pt>
                <c:pt idx="566">
                  <c:v>43</c:v>
                </c:pt>
                <c:pt idx="567">
                  <c:v>18</c:v>
                </c:pt>
                <c:pt idx="568">
                  <c:v>1</c:v>
                </c:pt>
                <c:pt idx="569">
                  <c:v>4</c:v>
                </c:pt>
                <c:pt idx="570">
                  <c:v>9</c:v>
                </c:pt>
                <c:pt idx="571">
                  <c:v>6</c:v>
                </c:pt>
                <c:pt idx="572">
                  <c:v>23</c:v>
                </c:pt>
                <c:pt idx="573">
                  <c:v>45</c:v>
                </c:pt>
                <c:pt idx="574">
                  <c:v>15</c:v>
                </c:pt>
                <c:pt idx="575">
                  <c:v>9</c:v>
                </c:pt>
                <c:pt idx="576">
                  <c:v>10</c:v>
                </c:pt>
                <c:pt idx="577">
                  <c:v>29</c:v>
                </c:pt>
                <c:pt idx="578">
                  <c:v>21</c:v>
                </c:pt>
                <c:pt idx="579">
                  <c:v>20</c:v>
                </c:pt>
                <c:pt idx="580">
                  <c:v>12</c:v>
                </c:pt>
                <c:pt idx="581">
                  <c:v>19</c:v>
                </c:pt>
                <c:pt idx="582">
                  <c:v>49</c:v>
                </c:pt>
                <c:pt idx="583">
                  <c:v>46</c:v>
                </c:pt>
                <c:pt idx="584">
                  <c:v>26</c:v>
                </c:pt>
                <c:pt idx="585">
                  <c:v>55</c:v>
                </c:pt>
                <c:pt idx="586">
                  <c:v>50</c:v>
                </c:pt>
                <c:pt idx="587">
                  <c:v>11</c:v>
                </c:pt>
                <c:pt idx="588">
                  <c:v>11</c:v>
                </c:pt>
                <c:pt idx="589">
                  <c:v>33</c:v>
                </c:pt>
                <c:pt idx="590">
                  <c:v>20</c:v>
                </c:pt>
                <c:pt idx="591">
                  <c:v>43</c:v>
                </c:pt>
                <c:pt idx="592">
                  <c:v>39</c:v>
                </c:pt>
                <c:pt idx="593">
                  <c:v>56</c:v>
                </c:pt>
                <c:pt idx="594">
                  <c:v>23</c:v>
                </c:pt>
                <c:pt idx="595">
                  <c:v>30</c:v>
                </c:pt>
                <c:pt idx="596">
                  <c:v>3</c:v>
                </c:pt>
                <c:pt idx="597">
                  <c:v>72</c:v>
                </c:pt>
                <c:pt idx="598">
                  <c:v>20</c:v>
                </c:pt>
                <c:pt idx="599">
                  <c:v>19</c:v>
                </c:pt>
                <c:pt idx="600">
                  <c:v>39</c:v>
                </c:pt>
                <c:pt idx="601">
                  <c:v>15</c:v>
                </c:pt>
                <c:pt idx="602">
                  <c:v>64</c:v>
                </c:pt>
                <c:pt idx="603">
                  <c:v>7</c:v>
                </c:pt>
                <c:pt idx="604">
                  <c:v>2</c:v>
                </c:pt>
                <c:pt idx="605">
                  <c:v>7</c:v>
                </c:pt>
                <c:pt idx="606">
                  <c:v>17</c:v>
                </c:pt>
                <c:pt idx="607">
                  <c:v>36</c:v>
                </c:pt>
                <c:pt idx="608">
                  <c:v>55</c:v>
                </c:pt>
                <c:pt idx="609">
                  <c:v>19</c:v>
                </c:pt>
                <c:pt idx="610">
                  <c:v>40</c:v>
                </c:pt>
                <c:pt idx="611">
                  <c:v>3</c:v>
                </c:pt>
                <c:pt idx="612">
                  <c:v>28</c:v>
                </c:pt>
                <c:pt idx="613">
                  <c:v>38</c:v>
                </c:pt>
                <c:pt idx="614">
                  <c:v>16</c:v>
                </c:pt>
                <c:pt idx="615">
                  <c:v>22</c:v>
                </c:pt>
                <c:pt idx="616">
                  <c:v>33</c:v>
                </c:pt>
                <c:pt idx="617">
                  <c:v>59</c:v>
                </c:pt>
                <c:pt idx="618">
                  <c:v>24</c:v>
                </c:pt>
                <c:pt idx="619">
                  <c:v>53</c:v>
                </c:pt>
                <c:pt idx="620">
                  <c:v>35</c:v>
                </c:pt>
                <c:pt idx="621">
                  <c:v>46</c:v>
                </c:pt>
                <c:pt idx="622">
                  <c:v>2</c:v>
                </c:pt>
                <c:pt idx="623">
                  <c:v>8</c:v>
                </c:pt>
                <c:pt idx="624">
                  <c:v>49</c:v>
                </c:pt>
                <c:pt idx="625">
                  <c:v>19</c:v>
                </c:pt>
                <c:pt idx="626">
                  <c:v>2</c:v>
                </c:pt>
                <c:pt idx="627">
                  <c:v>67</c:v>
                </c:pt>
                <c:pt idx="628">
                  <c:v>26</c:v>
                </c:pt>
                <c:pt idx="629">
                  <c:v>14</c:v>
                </c:pt>
                <c:pt idx="630">
                  <c:v>11</c:v>
                </c:pt>
                <c:pt idx="631">
                  <c:v>48</c:v>
                </c:pt>
                <c:pt idx="632">
                  <c:v>50</c:v>
                </c:pt>
                <c:pt idx="633">
                  <c:v>16</c:v>
                </c:pt>
                <c:pt idx="634">
                  <c:v>41</c:v>
                </c:pt>
                <c:pt idx="635">
                  <c:v>7</c:v>
                </c:pt>
                <c:pt idx="636">
                  <c:v>50</c:v>
                </c:pt>
                <c:pt idx="637">
                  <c:v>60</c:v>
                </c:pt>
                <c:pt idx="638">
                  <c:v>19</c:v>
                </c:pt>
                <c:pt idx="639">
                  <c:v>50</c:v>
                </c:pt>
                <c:pt idx="640">
                  <c:v>1</c:v>
                </c:pt>
                <c:pt idx="641">
                  <c:v>52</c:v>
                </c:pt>
                <c:pt idx="642">
                  <c:v>10</c:v>
                </c:pt>
                <c:pt idx="643">
                  <c:v>17</c:v>
                </c:pt>
                <c:pt idx="644">
                  <c:v>46</c:v>
                </c:pt>
                <c:pt idx="645">
                  <c:v>4</c:v>
                </c:pt>
                <c:pt idx="646">
                  <c:v>5</c:v>
                </c:pt>
                <c:pt idx="647">
                  <c:v>60</c:v>
                </c:pt>
                <c:pt idx="648">
                  <c:v>2</c:v>
                </c:pt>
                <c:pt idx="649">
                  <c:v>37</c:v>
                </c:pt>
                <c:pt idx="650">
                  <c:v>8</c:v>
                </c:pt>
                <c:pt idx="651">
                  <c:v>15</c:v>
                </c:pt>
                <c:pt idx="652">
                  <c:v>14</c:v>
                </c:pt>
                <c:pt idx="653">
                  <c:v>24</c:v>
                </c:pt>
                <c:pt idx="654">
                  <c:v>40</c:v>
                </c:pt>
                <c:pt idx="655">
                  <c:v>25</c:v>
                </c:pt>
                <c:pt idx="656">
                  <c:v>19</c:v>
                </c:pt>
                <c:pt idx="657">
                  <c:v>55</c:v>
                </c:pt>
                <c:pt idx="658">
                  <c:v>3</c:v>
                </c:pt>
                <c:pt idx="659">
                  <c:v>20</c:v>
                </c:pt>
                <c:pt idx="660">
                  <c:v>14</c:v>
                </c:pt>
                <c:pt idx="661">
                  <c:v>22</c:v>
                </c:pt>
                <c:pt idx="662">
                  <c:v>58</c:v>
                </c:pt>
                <c:pt idx="663">
                  <c:v>53</c:v>
                </c:pt>
                <c:pt idx="664">
                  <c:v>3</c:v>
                </c:pt>
                <c:pt idx="665">
                  <c:v>22</c:v>
                </c:pt>
                <c:pt idx="666">
                  <c:v>43</c:v>
                </c:pt>
                <c:pt idx="667">
                  <c:v>42</c:v>
                </c:pt>
                <c:pt idx="668">
                  <c:v>39</c:v>
                </c:pt>
                <c:pt idx="669">
                  <c:v>7</c:v>
                </c:pt>
                <c:pt idx="670">
                  <c:v>70</c:v>
                </c:pt>
                <c:pt idx="671">
                  <c:v>30</c:v>
                </c:pt>
                <c:pt idx="672">
                  <c:v>30</c:v>
                </c:pt>
                <c:pt idx="673">
                  <c:v>59</c:v>
                </c:pt>
                <c:pt idx="674">
                  <c:v>33</c:v>
                </c:pt>
                <c:pt idx="675">
                  <c:v>44</c:v>
                </c:pt>
                <c:pt idx="676">
                  <c:v>34</c:v>
                </c:pt>
                <c:pt idx="677">
                  <c:v>22</c:v>
                </c:pt>
                <c:pt idx="678">
                  <c:v>9</c:v>
                </c:pt>
                <c:pt idx="679">
                  <c:v>21</c:v>
                </c:pt>
                <c:pt idx="680">
                  <c:v>14</c:v>
                </c:pt>
                <c:pt idx="681">
                  <c:v>1</c:v>
                </c:pt>
                <c:pt idx="682">
                  <c:v>29</c:v>
                </c:pt>
                <c:pt idx="683">
                  <c:v>7</c:v>
                </c:pt>
                <c:pt idx="684">
                  <c:v>20</c:v>
                </c:pt>
                <c:pt idx="685">
                  <c:v>1</c:v>
                </c:pt>
                <c:pt idx="686">
                  <c:v>30</c:v>
                </c:pt>
                <c:pt idx="687">
                  <c:v>11</c:v>
                </c:pt>
                <c:pt idx="688">
                  <c:v>19</c:v>
                </c:pt>
                <c:pt idx="689">
                  <c:v>41</c:v>
                </c:pt>
                <c:pt idx="690">
                  <c:v>27</c:v>
                </c:pt>
                <c:pt idx="691">
                  <c:v>25</c:v>
                </c:pt>
                <c:pt idx="692">
                  <c:v>3</c:v>
                </c:pt>
                <c:pt idx="693">
                  <c:v>2</c:v>
                </c:pt>
                <c:pt idx="694">
                  <c:v>45</c:v>
                </c:pt>
                <c:pt idx="695">
                  <c:v>10</c:v>
                </c:pt>
                <c:pt idx="696">
                  <c:v>14</c:v>
                </c:pt>
                <c:pt idx="697">
                  <c:v>16</c:v>
                </c:pt>
                <c:pt idx="698">
                  <c:v>48</c:v>
                </c:pt>
                <c:pt idx="699">
                  <c:v>36</c:v>
                </c:pt>
                <c:pt idx="700">
                  <c:v>17</c:v>
                </c:pt>
                <c:pt idx="701">
                  <c:v>40</c:v>
                </c:pt>
                <c:pt idx="702">
                  <c:v>4</c:v>
                </c:pt>
                <c:pt idx="703">
                  <c:v>23</c:v>
                </c:pt>
                <c:pt idx="704">
                  <c:v>18</c:v>
                </c:pt>
                <c:pt idx="705">
                  <c:v>49</c:v>
                </c:pt>
                <c:pt idx="706">
                  <c:v>59</c:v>
                </c:pt>
                <c:pt idx="707">
                  <c:v>31</c:v>
                </c:pt>
                <c:pt idx="708">
                  <c:v>14</c:v>
                </c:pt>
                <c:pt idx="709">
                  <c:v>35</c:v>
                </c:pt>
                <c:pt idx="710">
                  <c:v>16</c:v>
                </c:pt>
                <c:pt idx="711">
                  <c:v>31</c:v>
                </c:pt>
                <c:pt idx="712">
                  <c:v>22</c:v>
                </c:pt>
                <c:pt idx="713">
                  <c:v>3</c:v>
                </c:pt>
                <c:pt idx="714">
                  <c:v>34</c:v>
                </c:pt>
                <c:pt idx="715">
                  <c:v>50</c:v>
                </c:pt>
                <c:pt idx="716">
                  <c:v>3</c:v>
                </c:pt>
                <c:pt idx="717">
                  <c:v>7</c:v>
                </c:pt>
                <c:pt idx="718">
                  <c:v>47</c:v>
                </c:pt>
                <c:pt idx="719">
                  <c:v>19</c:v>
                </c:pt>
                <c:pt idx="720">
                  <c:v>59</c:v>
                </c:pt>
                <c:pt idx="721">
                  <c:v>1</c:v>
                </c:pt>
                <c:pt idx="722">
                  <c:v>4</c:v>
                </c:pt>
                <c:pt idx="723">
                  <c:v>23</c:v>
                </c:pt>
                <c:pt idx="724">
                  <c:v>5</c:v>
                </c:pt>
                <c:pt idx="725">
                  <c:v>22</c:v>
                </c:pt>
                <c:pt idx="726">
                  <c:v>22</c:v>
                </c:pt>
                <c:pt idx="727">
                  <c:v>32</c:v>
                </c:pt>
                <c:pt idx="728">
                  <c:v>39</c:v>
                </c:pt>
                <c:pt idx="729">
                  <c:v>18</c:v>
                </c:pt>
                <c:pt idx="730">
                  <c:v>17</c:v>
                </c:pt>
                <c:pt idx="731">
                  <c:v>1</c:v>
                </c:pt>
                <c:pt idx="732">
                  <c:v>1</c:v>
                </c:pt>
                <c:pt idx="733">
                  <c:v>44</c:v>
                </c:pt>
                <c:pt idx="734">
                  <c:v>28</c:v>
                </c:pt>
                <c:pt idx="735">
                  <c:v>39</c:v>
                </c:pt>
                <c:pt idx="736">
                  <c:v>69</c:v>
                </c:pt>
                <c:pt idx="737">
                  <c:v>51</c:v>
                </c:pt>
                <c:pt idx="738">
                  <c:v>9</c:v>
                </c:pt>
                <c:pt idx="739">
                  <c:v>32</c:v>
                </c:pt>
                <c:pt idx="740">
                  <c:v>5</c:v>
                </c:pt>
                <c:pt idx="741">
                  <c:v>10</c:v>
                </c:pt>
                <c:pt idx="742">
                  <c:v>38</c:v>
                </c:pt>
                <c:pt idx="743">
                  <c:v>66</c:v>
                </c:pt>
                <c:pt idx="744">
                  <c:v>22</c:v>
                </c:pt>
                <c:pt idx="745">
                  <c:v>43</c:v>
                </c:pt>
                <c:pt idx="746">
                  <c:v>41</c:v>
                </c:pt>
                <c:pt idx="747">
                  <c:v>48</c:v>
                </c:pt>
                <c:pt idx="748">
                  <c:v>37</c:v>
                </c:pt>
                <c:pt idx="749">
                  <c:v>17</c:v>
                </c:pt>
                <c:pt idx="750">
                  <c:v>37</c:v>
                </c:pt>
                <c:pt idx="751">
                  <c:v>15</c:v>
                </c:pt>
                <c:pt idx="752">
                  <c:v>74</c:v>
                </c:pt>
                <c:pt idx="753">
                  <c:v>27</c:v>
                </c:pt>
                <c:pt idx="754">
                  <c:v>18</c:v>
                </c:pt>
                <c:pt idx="755">
                  <c:v>37</c:v>
                </c:pt>
                <c:pt idx="756">
                  <c:v>49</c:v>
                </c:pt>
                <c:pt idx="757">
                  <c:v>35</c:v>
                </c:pt>
                <c:pt idx="758">
                  <c:v>55</c:v>
                </c:pt>
                <c:pt idx="759">
                  <c:v>19</c:v>
                </c:pt>
                <c:pt idx="760">
                  <c:v>54</c:v>
                </c:pt>
                <c:pt idx="761">
                  <c:v>21</c:v>
                </c:pt>
                <c:pt idx="762">
                  <c:v>40</c:v>
                </c:pt>
                <c:pt idx="763">
                  <c:v>46</c:v>
                </c:pt>
                <c:pt idx="764">
                  <c:v>2</c:v>
                </c:pt>
                <c:pt idx="765">
                  <c:v>42</c:v>
                </c:pt>
                <c:pt idx="766">
                  <c:v>27</c:v>
                </c:pt>
                <c:pt idx="767">
                  <c:v>21</c:v>
                </c:pt>
                <c:pt idx="768">
                  <c:v>43</c:v>
                </c:pt>
                <c:pt idx="769">
                  <c:v>29</c:v>
                </c:pt>
                <c:pt idx="770">
                  <c:v>33</c:v>
                </c:pt>
                <c:pt idx="771">
                  <c:v>18</c:v>
                </c:pt>
                <c:pt idx="772">
                  <c:v>2</c:v>
                </c:pt>
                <c:pt idx="773">
                  <c:v>35</c:v>
                </c:pt>
                <c:pt idx="774">
                  <c:v>16</c:v>
                </c:pt>
                <c:pt idx="775">
                  <c:v>78</c:v>
                </c:pt>
                <c:pt idx="776">
                  <c:v>11</c:v>
                </c:pt>
                <c:pt idx="777">
                  <c:v>42</c:v>
                </c:pt>
                <c:pt idx="778">
                  <c:v>54</c:v>
                </c:pt>
                <c:pt idx="779">
                  <c:v>19</c:v>
                </c:pt>
                <c:pt idx="780">
                  <c:v>16</c:v>
                </c:pt>
                <c:pt idx="781">
                  <c:v>1</c:v>
                </c:pt>
                <c:pt idx="782">
                  <c:v>32</c:v>
                </c:pt>
                <c:pt idx="783">
                  <c:v>53</c:v>
                </c:pt>
                <c:pt idx="784">
                  <c:v>24</c:v>
                </c:pt>
                <c:pt idx="785">
                  <c:v>53</c:v>
                </c:pt>
                <c:pt idx="786">
                  <c:v>9</c:v>
                </c:pt>
                <c:pt idx="787">
                  <c:v>40</c:v>
                </c:pt>
                <c:pt idx="788">
                  <c:v>34</c:v>
                </c:pt>
                <c:pt idx="789">
                  <c:v>5</c:v>
                </c:pt>
                <c:pt idx="790">
                  <c:v>37</c:v>
                </c:pt>
                <c:pt idx="791">
                  <c:v>5</c:v>
                </c:pt>
                <c:pt idx="792">
                  <c:v>47</c:v>
                </c:pt>
                <c:pt idx="793">
                  <c:v>57</c:v>
                </c:pt>
                <c:pt idx="794">
                  <c:v>6</c:v>
                </c:pt>
                <c:pt idx="795">
                  <c:v>16</c:v>
                </c:pt>
                <c:pt idx="796">
                  <c:v>21</c:v>
                </c:pt>
                <c:pt idx="797">
                  <c:v>13</c:v>
                </c:pt>
                <c:pt idx="798">
                  <c:v>43</c:v>
                </c:pt>
                <c:pt idx="799">
                  <c:v>26</c:v>
                </c:pt>
                <c:pt idx="800">
                  <c:v>68</c:v>
                </c:pt>
                <c:pt idx="801">
                  <c:v>3</c:v>
                </c:pt>
                <c:pt idx="802">
                  <c:v>9</c:v>
                </c:pt>
                <c:pt idx="803">
                  <c:v>33</c:v>
                </c:pt>
                <c:pt idx="804">
                  <c:v>55</c:v>
                </c:pt>
                <c:pt idx="805">
                  <c:v>8</c:v>
                </c:pt>
                <c:pt idx="806">
                  <c:v>28</c:v>
                </c:pt>
                <c:pt idx="807">
                  <c:v>22</c:v>
                </c:pt>
                <c:pt idx="808">
                  <c:v>11</c:v>
                </c:pt>
                <c:pt idx="809">
                  <c:v>40</c:v>
                </c:pt>
                <c:pt idx="810">
                  <c:v>50</c:v>
                </c:pt>
                <c:pt idx="811">
                  <c:v>31</c:v>
                </c:pt>
                <c:pt idx="812">
                  <c:v>10</c:v>
                </c:pt>
                <c:pt idx="813">
                  <c:v>7</c:v>
                </c:pt>
                <c:pt idx="814">
                  <c:v>15</c:v>
                </c:pt>
                <c:pt idx="815">
                  <c:v>67</c:v>
                </c:pt>
                <c:pt idx="816">
                  <c:v>18</c:v>
                </c:pt>
                <c:pt idx="817">
                  <c:v>21</c:v>
                </c:pt>
                <c:pt idx="818">
                  <c:v>43</c:v>
                </c:pt>
                <c:pt idx="819">
                  <c:v>26</c:v>
                </c:pt>
                <c:pt idx="820">
                  <c:v>52</c:v>
                </c:pt>
                <c:pt idx="821">
                  <c:v>29</c:v>
                </c:pt>
                <c:pt idx="822">
                  <c:v>16</c:v>
                </c:pt>
                <c:pt idx="823">
                  <c:v>47</c:v>
                </c:pt>
                <c:pt idx="824">
                  <c:v>11</c:v>
                </c:pt>
                <c:pt idx="825">
                  <c:v>45</c:v>
                </c:pt>
                <c:pt idx="826">
                  <c:v>14</c:v>
                </c:pt>
                <c:pt idx="827">
                  <c:v>10</c:v>
                </c:pt>
                <c:pt idx="828">
                  <c:v>30</c:v>
                </c:pt>
                <c:pt idx="829">
                  <c:v>7</c:v>
                </c:pt>
                <c:pt idx="830">
                  <c:v>38</c:v>
                </c:pt>
                <c:pt idx="831">
                  <c:v>29</c:v>
                </c:pt>
                <c:pt idx="832">
                  <c:v>59</c:v>
                </c:pt>
                <c:pt idx="833">
                  <c:v>28</c:v>
                </c:pt>
                <c:pt idx="834">
                  <c:v>19</c:v>
                </c:pt>
                <c:pt idx="835">
                  <c:v>50</c:v>
                </c:pt>
                <c:pt idx="836">
                  <c:v>18</c:v>
                </c:pt>
                <c:pt idx="837">
                  <c:v>8</c:v>
                </c:pt>
                <c:pt idx="838">
                  <c:v>33</c:v>
                </c:pt>
                <c:pt idx="839">
                  <c:v>73</c:v>
                </c:pt>
                <c:pt idx="840">
                  <c:v>39</c:v>
                </c:pt>
                <c:pt idx="841">
                  <c:v>54</c:v>
                </c:pt>
                <c:pt idx="842">
                  <c:v>21</c:v>
                </c:pt>
                <c:pt idx="843">
                  <c:v>1</c:v>
                </c:pt>
                <c:pt idx="844">
                  <c:v>15</c:v>
                </c:pt>
                <c:pt idx="845">
                  <c:v>26</c:v>
                </c:pt>
                <c:pt idx="846">
                  <c:v>23</c:v>
                </c:pt>
                <c:pt idx="847">
                  <c:v>51</c:v>
                </c:pt>
                <c:pt idx="848">
                  <c:v>20</c:v>
                </c:pt>
                <c:pt idx="849">
                  <c:v>28</c:v>
                </c:pt>
                <c:pt idx="850">
                  <c:v>34</c:v>
                </c:pt>
                <c:pt idx="851">
                  <c:v>27</c:v>
                </c:pt>
                <c:pt idx="852">
                  <c:v>37</c:v>
                </c:pt>
                <c:pt idx="853">
                  <c:v>18</c:v>
                </c:pt>
                <c:pt idx="854">
                  <c:v>56</c:v>
                </c:pt>
                <c:pt idx="855">
                  <c:v>12</c:v>
                </c:pt>
                <c:pt idx="856">
                  <c:v>40</c:v>
                </c:pt>
                <c:pt idx="857">
                  <c:v>45</c:v>
                </c:pt>
                <c:pt idx="858">
                  <c:v>25</c:v>
                </c:pt>
                <c:pt idx="859">
                  <c:v>31</c:v>
                </c:pt>
                <c:pt idx="860">
                  <c:v>8</c:v>
                </c:pt>
                <c:pt idx="861">
                  <c:v>16</c:v>
                </c:pt>
                <c:pt idx="862">
                  <c:v>1</c:v>
                </c:pt>
                <c:pt idx="863">
                  <c:v>7</c:v>
                </c:pt>
                <c:pt idx="864">
                  <c:v>4</c:v>
                </c:pt>
                <c:pt idx="865">
                  <c:v>20</c:v>
                </c:pt>
                <c:pt idx="866">
                  <c:v>25</c:v>
                </c:pt>
                <c:pt idx="867">
                  <c:v>18</c:v>
                </c:pt>
                <c:pt idx="868">
                  <c:v>23</c:v>
                </c:pt>
                <c:pt idx="869">
                  <c:v>19</c:v>
                </c:pt>
                <c:pt idx="870">
                  <c:v>8</c:v>
                </c:pt>
                <c:pt idx="871">
                  <c:v>4</c:v>
                </c:pt>
                <c:pt idx="872">
                  <c:v>32</c:v>
                </c:pt>
                <c:pt idx="873">
                  <c:v>36</c:v>
                </c:pt>
                <c:pt idx="874">
                  <c:v>48</c:v>
                </c:pt>
                <c:pt idx="875">
                  <c:v>31</c:v>
                </c:pt>
                <c:pt idx="876">
                  <c:v>2</c:v>
                </c:pt>
                <c:pt idx="877">
                  <c:v>24</c:v>
                </c:pt>
                <c:pt idx="878">
                  <c:v>15</c:v>
                </c:pt>
                <c:pt idx="879">
                  <c:v>27</c:v>
                </c:pt>
                <c:pt idx="880">
                  <c:v>15</c:v>
                </c:pt>
                <c:pt idx="881">
                  <c:v>47</c:v>
                </c:pt>
                <c:pt idx="882">
                  <c:v>13</c:v>
                </c:pt>
                <c:pt idx="883">
                  <c:v>27</c:v>
                </c:pt>
                <c:pt idx="884">
                  <c:v>64</c:v>
                </c:pt>
                <c:pt idx="885">
                  <c:v>1</c:v>
                </c:pt>
                <c:pt idx="886">
                  <c:v>8</c:v>
                </c:pt>
                <c:pt idx="887">
                  <c:v>50</c:v>
                </c:pt>
                <c:pt idx="888">
                  <c:v>1</c:v>
                </c:pt>
                <c:pt idx="889">
                  <c:v>45</c:v>
                </c:pt>
                <c:pt idx="890">
                  <c:v>9</c:v>
                </c:pt>
                <c:pt idx="891">
                  <c:v>51</c:v>
                </c:pt>
                <c:pt idx="892">
                  <c:v>32</c:v>
                </c:pt>
                <c:pt idx="893">
                  <c:v>14</c:v>
                </c:pt>
                <c:pt idx="894">
                  <c:v>2</c:v>
                </c:pt>
                <c:pt idx="895">
                  <c:v>11</c:v>
                </c:pt>
                <c:pt idx="896">
                  <c:v>83</c:v>
                </c:pt>
                <c:pt idx="897">
                  <c:v>30</c:v>
                </c:pt>
                <c:pt idx="898">
                  <c:v>30</c:v>
                </c:pt>
                <c:pt idx="899">
                  <c:v>2</c:v>
                </c:pt>
                <c:pt idx="900">
                  <c:v>29</c:v>
                </c:pt>
                <c:pt idx="901">
                  <c:v>17</c:v>
                </c:pt>
                <c:pt idx="902">
                  <c:v>30</c:v>
                </c:pt>
                <c:pt idx="903">
                  <c:v>55</c:v>
                </c:pt>
                <c:pt idx="904">
                  <c:v>41</c:v>
                </c:pt>
                <c:pt idx="905">
                  <c:v>39</c:v>
                </c:pt>
                <c:pt idx="906">
                  <c:v>29</c:v>
                </c:pt>
                <c:pt idx="907">
                  <c:v>60</c:v>
                </c:pt>
                <c:pt idx="908">
                  <c:v>31</c:v>
                </c:pt>
                <c:pt idx="909">
                  <c:v>20</c:v>
                </c:pt>
                <c:pt idx="910">
                  <c:v>18</c:v>
                </c:pt>
                <c:pt idx="911">
                  <c:v>38</c:v>
                </c:pt>
                <c:pt idx="912">
                  <c:v>40</c:v>
                </c:pt>
                <c:pt idx="913">
                  <c:v>51</c:v>
                </c:pt>
                <c:pt idx="914">
                  <c:v>49</c:v>
                </c:pt>
                <c:pt idx="915">
                  <c:v>36</c:v>
                </c:pt>
                <c:pt idx="916">
                  <c:v>19</c:v>
                </c:pt>
                <c:pt idx="917">
                  <c:v>2</c:v>
                </c:pt>
                <c:pt idx="918">
                  <c:v>33</c:v>
                </c:pt>
                <c:pt idx="919">
                  <c:v>16</c:v>
                </c:pt>
                <c:pt idx="920">
                  <c:v>21</c:v>
                </c:pt>
                <c:pt idx="921">
                  <c:v>24</c:v>
                </c:pt>
                <c:pt idx="922">
                  <c:v>59</c:v>
                </c:pt>
                <c:pt idx="923">
                  <c:v>32</c:v>
                </c:pt>
                <c:pt idx="924">
                  <c:v>29</c:v>
                </c:pt>
                <c:pt idx="925">
                  <c:v>49</c:v>
                </c:pt>
                <c:pt idx="926">
                  <c:v>29</c:v>
                </c:pt>
                <c:pt idx="927">
                  <c:v>1</c:v>
                </c:pt>
                <c:pt idx="928">
                  <c:v>66</c:v>
                </c:pt>
                <c:pt idx="929">
                  <c:v>4</c:v>
                </c:pt>
                <c:pt idx="930">
                  <c:v>11</c:v>
                </c:pt>
                <c:pt idx="931">
                  <c:v>26</c:v>
                </c:pt>
                <c:pt idx="932">
                  <c:v>20</c:v>
                </c:pt>
                <c:pt idx="933">
                  <c:v>9</c:v>
                </c:pt>
                <c:pt idx="934">
                  <c:v>29</c:v>
                </c:pt>
                <c:pt idx="935">
                  <c:v>62</c:v>
                </c:pt>
                <c:pt idx="936">
                  <c:v>47</c:v>
                </c:pt>
                <c:pt idx="937">
                  <c:v>36</c:v>
                </c:pt>
                <c:pt idx="938">
                  <c:v>79</c:v>
                </c:pt>
                <c:pt idx="939">
                  <c:v>47</c:v>
                </c:pt>
                <c:pt idx="940">
                  <c:v>12</c:v>
                </c:pt>
                <c:pt idx="941">
                  <c:v>14</c:v>
                </c:pt>
                <c:pt idx="942">
                  <c:v>17</c:v>
                </c:pt>
                <c:pt idx="943">
                  <c:v>41</c:v>
                </c:pt>
                <c:pt idx="944">
                  <c:v>46</c:v>
                </c:pt>
                <c:pt idx="945">
                  <c:v>22</c:v>
                </c:pt>
                <c:pt idx="946">
                  <c:v>36</c:v>
                </c:pt>
                <c:pt idx="947">
                  <c:v>7</c:v>
                </c:pt>
                <c:pt idx="948">
                  <c:v>36</c:v>
                </c:pt>
                <c:pt idx="949">
                  <c:v>16</c:v>
                </c:pt>
                <c:pt idx="950">
                  <c:v>62</c:v>
                </c:pt>
                <c:pt idx="951">
                  <c:v>26</c:v>
                </c:pt>
                <c:pt idx="952">
                  <c:v>32</c:v>
                </c:pt>
                <c:pt idx="953">
                  <c:v>50</c:v>
                </c:pt>
                <c:pt idx="954">
                  <c:v>20</c:v>
                </c:pt>
                <c:pt idx="955">
                  <c:v>11</c:v>
                </c:pt>
                <c:pt idx="956">
                  <c:v>50</c:v>
                </c:pt>
                <c:pt idx="957">
                  <c:v>34</c:v>
                </c:pt>
                <c:pt idx="958">
                  <c:v>8</c:v>
                </c:pt>
                <c:pt idx="959">
                  <c:v>4</c:v>
                </c:pt>
                <c:pt idx="960">
                  <c:v>20</c:v>
                </c:pt>
                <c:pt idx="961">
                  <c:v>63</c:v>
                </c:pt>
                <c:pt idx="962">
                  <c:v>36</c:v>
                </c:pt>
                <c:pt idx="963">
                  <c:v>42</c:v>
                </c:pt>
                <c:pt idx="964">
                  <c:v>25</c:v>
                </c:pt>
                <c:pt idx="965">
                  <c:v>27</c:v>
                </c:pt>
                <c:pt idx="966">
                  <c:v>11</c:v>
                </c:pt>
                <c:pt idx="967">
                  <c:v>6</c:v>
                </c:pt>
                <c:pt idx="968">
                  <c:v>1</c:v>
                </c:pt>
                <c:pt idx="969">
                  <c:v>7</c:v>
                </c:pt>
                <c:pt idx="970">
                  <c:v>28</c:v>
                </c:pt>
                <c:pt idx="971">
                  <c:v>5</c:v>
                </c:pt>
                <c:pt idx="972">
                  <c:v>10</c:v>
                </c:pt>
                <c:pt idx="973">
                  <c:v>24</c:v>
                </c:pt>
                <c:pt idx="974">
                  <c:v>13</c:v>
                </c:pt>
                <c:pt idx="975">
                  <c:v>10</c:v>
                </c:pt>
                <c:pt idx="976">
                  <c:v>1</c:v>
                </c:pt>
                <c:pt idx="977">
                  <c:v>39</c:v>
                </c:pt>
                <c:pt idx="978">
                  <c:v>9</c:v>
                </c:pt>
                <c:pt idx="979">
                  <c:v>18</c:v>
                </c:pt>
                <c:pt idx="980">
                  <c:v>14</c:v>
                </c:pt>
                <c:pt idx="981">
                  <c:v>51</c:v>
                </c:pt>
                <c:pt idx="982">
                  <c:v>55</c:v>
                </c:pt>
                <c:pt idx="983">
                  <c:v>16</c:v>
                </c:pt>
                <c:pt idx="984">
                  <c:v>7</c:v>
                </c:pt>
                <c:pt idx="985">
                  <c:v>33</c:v>
                </c:pt>
                <c:pt idx="986">
                  <c:v>25</c:v>
                </c:pt>
                <c:pt idx="987">
                  <c:v>21</c:v>
                </c:pt>
                <c:pt idx="988">
                  <c:v>23</c:v>
                </c:pt>
                <c:pt idx="989">
                  <c:v>5</c:v>
                </c:pt>
                <c:pt idx="990">
                  <c:v>33</c:v>
                </c:pt>
                <c:pt idx="991">
                  <c:v>30</c:v>
                </c:pt>
                <c:pt idx="992">
                  <c:v>46</c:v>
                </c:pt>
                <c:pt idx="993">
                  <c:v>50</c:v>
                </c:pt>
                <c:pt idx="994">
                  <c:v>35</c:v>
                </c:pt>
                <c:pt idx="995">
                  <c:v>12</c:v>
                </c:pt>
                <c:pt idx="996">
                  <c:v>61</c:v>
                </c:pt>
                <c:pt idx="997">
                  <c:v>55</c:v>
                </c:pt>
                <c:pt idx="998">
                  <c:v>49</c:v>
                </c:pt>
                <c:pt idx="999">
                  <c:v>56</c:v>
                </c:pt>
                <c:pt idx="1000">
                  <c:v>27</c:v>
                </c:pt>
                <c:pt idx="1001">
                  <c:v>60</c:v>
                </c:pt>
                <c:pt idx="1002">
                  <c:v>8</c:v>
                </c:pt>
                <c:pt idx="1003">
                  <c:v>13</c:v>
                </c:pt>
                <c:pt idx="1004">
                  <c:v>42</c:v>
                </c:pt>
                <c:pt idx="1005">
                  <c:v>10</c:v>
                </c:pt>
                <c:pt idx="1006">
                  <c:v>53</c:v>
                </c:pt>
                <c:pt idx="1007">
                  <c:v>19</c:v>
                </c:pt>
                <c:pt idx="1008">
                  <c:v>24</c:v>
                </c:pt>
                <c:pt idx="1009">
                  <c:v>32</c:v>
                </c:pt>
                <c:pt idx="1010">
                  <c:v>20</c:v>
                </c:pt>
                <c:pt idx="1011">
                  <c:v>24</c:v>
                </c:pt>
                <c:pt idx="1012">
                  <c:v>12</c:v>
                </c:pt>
                <c:pt idx="1013">
                  <c:v>21</c:v>
                </c:pt>
                <c:pt idx="1014">
                  <c:v>81</c:v>
                </c:pt>
                <c:pt idx="1015">
                  <c:v>16</c:v>
                </c:pt>
                <c:pt idx="1016">
                  <c:v>3</c:v>
                </c:pt>
                <c:pt idx="1017">
                  <c:v>4</c:v>
                </c:pt>
                <c:pt idx="1018">
                  <c:v>30</c:v>
                </c:pt>
                <c:pt idx="1019">
                  <c:v>69</c:v>
                </c:pt>
                <c:pt idx="1020">
                  <c:v>52</c:v>
                </c:pt>
                <c:pt idx="1021">
                  <c:v>57</c:v>
                </c:pt>
                <c:pt idx="1022">
                  <c:v>6</c:v>
                </c:pt>
                <c:pt idx="1023">
                  <c:v>3</c:v>
                </c:pt>
                <c:pt idx="1024">
                  <c:v>10</c:v>
                </c:pt>
                <c:pt idx="1025">
                  <c:v>20</c:v>
                </c:pt>
                <c:pt idx="1026">
                  <c:v>35</c:v>
                </c:pt>
                <c:pt idx="1027">
                  <c:v>58</c:v>
                </c:pt>
                <c:pt idx="1028">
                  <c:v>40</c:v>
                </c:pt>
                <c:pt idx="1029">
                  <c:v>13</c:v>
                </c:pt>
                <c:pt idx="1030">
                  <c:v>25</c:v>
                </c:pt>
                <c:pt idx="1031">
                  <c:v>30</c:v>
                </c:pt>
                <c:pt idx="1032">
                  <c:v>21</c:v>
                </c:pt>
                <c:pt idx="1033">
                  <c:v>11</c:v>
                </c:pt>
                <c:pt idx="1034">
                  <c:v>23</c:v>
                </c:pt>
                <c:pt idx="1035">
                  <c:v>20</c:v>
                </c:pt>
                <c:pt idx="1036">
                  <c:v>23</c:v>
                </c:pt>
                <c:pt idx="1037">
                  <c:v>7</c:v>
                </c:pt>
                <c:pt idx="1038">
                  <c:v>1</c:v>
                </c:pt>
                <c:pt idx="1039">
                  <c:v>35</c:v>
                </c:pt>
                <c:pt idx="1040">
                  <c:v>36</c:v>
                </c:pt>
                <c:pt idx="1041">
                  <c:v>2</c:v>
                </c:pt>
                <c:pt idx="1042">
                  <c:v>70</c:v>
                </c:pt>
                <c:pt idx="1043">
                  <c:v>19</c:v>
                </c:pt>
                <c:pt idx="1044">
                  <c:v>10</c:v>
                </c:pt>
                <c:pt idx="1045">
                  <c:v>21</c:v>
                </c:pt>
                <c:pt idx="1046">
                  <c:v>1</c:v>
                </c:pt>
                <c:pt idx="1047">
                  <c:v>6</c:v>
                </c:pt>
                <c:pt idx="1048">
                  <c:v>2</c:v>
                </c:pt>
                <c:pt idx="1049">
                  <c:v>33</c:v>
                </c:pt>
                <c:pt idx="1050">
                  <c:v>8</c:v>
                </c:pt>
                <c:pt idx="1051">
                  <c:v>7</c:v>
                </c:pt>
                <c:pt idx="1052">
                  <c:v>14</c:v>
                </c:pt>
                <c:pt idx="1053">
                  <c:v>43</c:v>
                </c:pt>
                <c:pt idx="1054">
                  <c:v>9</c:v>
                </c:pt>
                <c:pt idx="1055">
                  <c:v>5</c:v>
                </c:pt>
                <c:pt idx="1056">
                  <c:v>26</c:v>
                </c:pt>
                <c:pt idx="1057">
                  <c:v>15</c:v>
                </c:pt>
                <c:pt idx="1058">
                  <c:v>3</c:v>
                </c:pt>
                <c:pt idx="1059">
                  <c:v>37</c:v>
                </c:pt>
                <c:pt idx="1060">
                  <c:v>45</c:v>
                </c:pt>
                <c:pt idx="1061">
                  <c:v>26</c:v>
                </c:pt>
                <c:pt idx="1062">
                  <c:v>31</c:v>
                </c:pt>
                <c:pt idx="1063">
                  <c:v>26</c:v>
                </c:pt>
                <c:pt idx="1064">
                  <c:v>44</c:v>
                </c:pt>
                <c:pt idx="1065">
                  <c:v>25</c:v>
                </c:pt>
                <c:pt idx="1066">
                  <c:v>18</c:v>
                </c:pt>
                <c:pt idx="1067">
                  <c:v>9</c:v>
                </c:pt>
                <c:pt idx="1068">
                  <c:v>24</c:v>
                </c:pt>
                <c:pt idx="1069">
                  <c:v>28</c:v>
                </c:pt>
                <c:pt idx="1070">
                  <c:v>48</c:v>
                </c:pt>
                <c:pt idx="1071">
                  <c:v>1</c:v>
                </c:pt>
                <c:pt idx="1072">
                  <c:v>18</c:v>
                </c:pt>
                <c:pt idx="1073">
                  <c:v>1</c:v>
                </c:pt>
                <c:pt idx="1074">
                  <c:v>59</c:v>
                </c:pt>
                <c:pt idx="1075">
                  <c:v>26</c:v>
                </c:pt>
                <c:pt idx="1076">
                  <c:v>15</c:v>
                </c:pt>
                <c:pt idx="1077">
                  <c:v>6</c:v>
                </c:pt>
                <c:pt idx="1078">
                  <c:v>13</c:v>
                </c:pt>
                <c:pt idx="1079">
                  <c:v>19</c:v>
                </c:pt>
                <c:pt idx="1080">
                  <c:v>2</c:v>
                </c:pt>
                <c:pt idx="1081">
                  <c:v>1</c:v>
                </c:pt>
                <c:pt idx="1082">
                  <c:v>54</c:v>
                </c:pt>
                <c:pt idx="1083">
                  <c:v>5</c:v>
                </c:pt>
                <c:pt idx="1084">
                  <c:v>9</c:v>
                </c:pt>
                <c:pt idx="1085">
                  <c:v>24</c:v>
                </c:pt>
                <c:pt idx="1086">
                  <c:v>21</c:v>
                </c:pt>
                <c:pt idx="1087">
                  <c:v>18</c:v>
                </c:pt>
                <c:pt idx="1088">
                  <c:v>48</c:v>
                </c:pt>
                <c:pt idx="1089">
                  <c:v>7</c:v>
                </c:pt>
                <c:pt idx="1090">
                  <c:v>23</c:v>
                </c:pt>
                <c:pt idx="1091">
                  <c:v>27</c:v>
                </c:pt>
                <c:pt idx="1092">
                  <c:v>4</c:v>
                </c:pt>
                <c:pt idx="1093">
                  <c:v>54</c:v>
                </c:pt>
                <c:pt idx="1094">
                  <c:v>30</c:v>
                </c:pt>
                <c:pt idx="1095">
                  <c:v>16</c:v>
                </c:pt>
                <c:pt idx="1096">
                  <c:v>18</c:v>
                </c:pt>
                <c:pt idx="1097">
                  <c:v>51</c:v>
                </c:pt>
                <c:pt idx="1098">
                  <c:v>17</c:v>
                </c:pt>
                <c:pt idx="1099">
                  <c:v>35</c:v>
                </c:pt>
                <c:pt idx="1100">
                  <c:v>36</c:v>
                </c:pt>
                <c:pt idx="1101">
                  <c:v>46</c:v>
                </c:pt>
                <c:pt idx="1102">
                  <c:v>52</c:v>
                </c:pt>
                <c:pt idx="1103">
                  <c:v>36</c:v>
                </c:pt>
                <c:pt idx="1104">
                  <c:v>9</c:v>
                </c:pt>
                <c:pt idx="1105">
                  <c:v>19</c:v>
                </c:pt>
                <c:pt idx="1106">
                  <c:v>29</c:v>
                </c:pt>
                <c:pt idx="1107">
                  <c:v>46</c:v>
                </c:pt>
                <c:pt idx="1108">
                  <c:v>44</c:v>
                </c:pt>
                <c:pt idx="1109">
                  <c:v>23</c:v>
                </c:pt>
                <c:pt idx="1110">
                  <c:v>18</c:v>
                </c:pt>
                <c:pt idx="1111">
                  <c:v>15</c:v>
                </c:pt>
                <c:pt idx="1112">
                  <c:v>9</c:v>
                </c:pt>
                <c:pt idx="1113">
                  <c:v>22</c:v>
                </c:pt>
                <c:pt idx="1114">
                  <c:v>24</c:v>
                </c:pt>
                <c:pt idx="1115">
                  <c:v>18</c:v>
                </c:pt>
                <c:pt idx="1116">
                  <c:v>50</c:v>
                </c:pt>
                <c:pt idx="1117">
                  <c:v>66</c:v>
                </c:pt>
                <c:pt idx="1118">
                  <c:v>6</c:v>
                </c:pt>
                <c:pt idx="1119">
                  <c:v>2</c:v>
                </c:pt>
                <c:pt idx="1120">
                  <c:v>25</c:v>
                </c:pt>
                <c:pt idx="1121">
                  <c:v>29</c:v>
                </c:pt>
                <c:pt idx="1122">
                  <c:v>16</c:v>
                </c:pt>
                <c:pt idx="1123">
                  <c:v>31</c:v>
                </c:pt>
                <c:pt idx="1124">
                  <c:v>29</c:v>
                </c:pt>
                <c:pt idx="1125">
                  <c:v>20</c:v>
                </c:pt>
                <c:pt idx="1126">
                  <c:v>70</c:v>
                </c:pt>
                <c:pt idx="1127">
                  <c:v>46</c:v>
                </c:pt>
                <c:pt idx="1128">
                  <c:v>5</c:v>
                </c:pt>
                <c:pt idx="1129">
                  <c:v>30</c:v>
                </c:pt>
                <c:pt idx="1130">
                  <c:v>54</c:v>
                </c:pt>
                <c:pt idx="1131">
                  <c:v>25</c:v>
                </c:pt>
                <c:pt idx="1132">
                  <c:v>4</c:v>
                </c:pt>
                <c:pt idx="1133">
                  <c:v>36</c:v>
                </c:pt>
                <c:pt idx="1134">
                  <c:v>12</c:v>
                </c:pt>
                <c:pt idx="1135">
                  <c:v>23</c:v>
                </c:pt>
                <c:pt idx="1136">
                  <c:v>26</c:v>
                </c:pt>
                <c:pt idx="1137">
                  <c:v>18</c:v>
                </c:pt>
                <c:pt idx="1138">
                  <c:v>25</c:v>
                </c:pt>
                <c:pt idx="1139">
                  <c:v>78</c:v>
                </c:pt>
                <c:pt idx="1140">
                  <c:v>52</c:v>
                </c:pt>
                <c:pt idx="1141">
                  <c:v>8</c:v>
                </c:pt>
                <c:pt idx="1142">
                  <c:v>13</c:v>
                </c:pt>
                <c:pt idx="1143">
                  <c:v>47</c:v>
                </c:pt>
                <c:pt idx="1144">
                  <c:v>57</c:v>
                </c:pt>
                <c:pt idx="1145">
                  <c:v>8</c:v>
                </c:pt>
                <c:pt idx="1146">
                  <c:v>8</c:v>
                </c:pt>
                <c:pt idx="1147">
                  <c:v>26</c:v>
                </c:pt>
                <c:pt idx="1148">
                  <c:v>49</c:v>
                </c:pt>
                <c:pt idx="1149">
                  <c:v>28</c:v>
                </c:pt>
                <c:pt idx="1150">
                  <c:v>52</c:v>
                </c:pt>
                <c:pt idx="1151">
                  <c:v>12</c:v>
                </c:pt>
                <c:pt idx="1152">
                  <c:v>22</c:v>
                </c:pt>
                <c:pt idx="1153">
                  <c:v>17</c:v>
                </c:pt>
                <c:pt idx="1154">
                  <c:v>3</c:v>
                </c:pt>
                <c:pt idx="1155">
                  <c:v>23</c:v>
                </c:pt>
                <c:pt idx="1156">
                  <c:v>62</c:v>
                </c:pt>
                <c:pt idx="1157">
                  <c:v>8</c:v>
                </c:pt>
                <c:pt idx="1158">
                  <c:v>40</c:v>
                </c:pt>
                <c:pt idx="1159">
                  <c:v>13</c:v>
                </c:pt>
                <c:pt idx="1160">
                  <c:v>62</c:v>
                </c:pt>
                <c:pt idx="1161">
                  <c:v>21</c:v>
                </c:pt>
                <c:pt idx="1162">
                  <c:v>11</c:v>
                </c:pt>
                <c:pt idx="1163">
                  <c:v>2</c:v>
                </c:pt>
                <c:pt idx="1164">
                  <c:v>5</c:v>
                </c:pt>
                <c:pt idx="1165">
                  <c:v>42</c:v>
                </c:pt>
                <c:pt idx="1166">
                  <c:v>52</c:v>
                </c:pt>
                <c:pt idx="1167">
                  <c:v>54</c:v>
                </c:pt>
                <c:pt idx="1168">
                  <c:v>21</c:v>
                </c:pt>
                <c:pt idx="1169">
                  <c:v>29</c:v>
                </c:pt>
                <c:pt idx="1170">
                  <c:v>11</c:v>
                </c:pt>
                <c:pt idx="1171">
                  <c:v>13</c:v>
                </c:pt>
                <c:pt idx="1172">
                  <c:v>2</c:v>
                </c:pt>
                <c:pt idx="1173">
                  <c:v>27</c:v>
                </c:pt>
                <c:pt idx="1174">
                  <c:v>18</c:v>
                </c:pt>
                <c:pt idx="1175">
                  <c:v>42</c:v>
                </c:pt>
                <c:pt idx="1176">
                  <c:v>22</c:v>
                </c:pt>
                <c:pt idx="1177">
                  <c:v>29</c:v>
                </c:pt>
                <c:pt idx="1178">
                  <c:v>61</c:v>
                </c:pt>
                <c:pt idx="1179">
                  <c:v>35</c:v>
                </c:pt>
                <c:pt idx="1180">
                  <c:v>27</c:v>
                </c:pt>
                <c:pt idx="1181">
                  <c:v>17</c:v>
                </c:pt>
                <c:pt idx="1182">
                  <c:v>44</c:v>
                </c:pt>
                <c:pt idx="1183">
                  <c:v>7</c:v>
                </c:pt>
                <c:pt idx="1184">
                  <c:v>12</c:v>
                </c:pt>
                <c:pt idx="1185">
                  <c:v>57</c:v>
                </c:pt>
                <c:pt idx="1186">
                  <c:v>32</c:v>
                </c:pt>
                <c:pt idx="1187">
                  <c:v>28</c:v>
                </c:pt>
                <c:pt idx="1188">
                  <c:v>17</c:v>
                </c:pt>
                <c:pt idx="1189">
                  <c:v>5</c:v>
                </c:pt>
                <c:pt idx="1190">
                  <c:v>21</c:v>
                </c:pt>
                <c:pt idx="1191">
                  <c:v>35</c:v>
                </c:pt>
                <c:pt idx="1192">
                  <c:v>17</c:v>
                </c:pt>
                <c:pt idx="1193">
                  <c:v>9</c:v>
                </c:pt>
                <c:pt idx="1194">
                  <c:v>30</c:v>
                </c:pt>
                <c:pt idx="1195">
                  <c:v>13</c:v>
                </c:pt>
                <c:pt idx="1196">
                  <c:v>20</c:v>
                </c:pt>
                <c:pt idx="1197">
                  <c:v>31</c:v>
                </c:pt>
                <c:pt idx="1198">
                  <c:v>11</c:v>
                </c:pt>
                <c:pt idx="1199">
                  <c:v>1</c:v>
                </c:pt>
                <c:pt idx="1200">
                  <c:v>20</c:v>
                </c:pt>
                <c:pt idx="1201">
                  <c:v>4</c:v>
                </c:pt>
                <c:pt idx="1202">
                  <c:v>42</c:v>
                </c:pt>
                <c:pt idx="1203">
                  <c:v>68</c:v>
                </c:pt>
                <c:pt idx="1204">
                  <c:v>42</c:v>
                </c:pt>
                <c:pt idx="1205">
                  <c:v>2</c:v>
                </c:pt>
                <c:pt idx="1206">
                  <c:v>1</c:v>
                </c:pt>
                <c:pt idx="1207">
                  <c:v>8</c:v>
                </c:pt>
                <c:pt idx="1208">
                  <c:v>49</c:v>
                </c:pt>
                <c:pt idx="1209">
                  <c:v>16</c:v>
                </c:pt>
                <c:pt idx="1210">
                  <c:v>19</c:v>
                </c:pt>
                <c:pt idx="1211">
                  <c:v>38</c:v>
                </c:pt>
                <c:pt idx="1212">
                  <c:v>3</c:v>
                </c:pt>
                <c:pt idx="1213">
                  <c:v>45</c:v>
                </c:pt>
                <c:pt idx="1214">
                  <c:v>31</c:v>
                </c:pt>
                <c:pt idx="1215">
                  <c:v>2</c:v>
                </c:pt>
                <c:pt idx="1216">
                  <c:v>15</c:v>
                </c:pt>
                <c:pt idx="1217">
                  <c:v>34</c:v>
                </c:pt>
                <c:pt idx="1218">
                  <c:v>15</c:v>
                </c:pt>
                <c:pt idx="1219">
                  <c:v>57</c:v>
                </c:pt>
                <c:pt idx="1220">
                  <c:v>1</c:v>
                </c:pt>
                <c:pt idx="1221">
                  <c:v>38</c:v>
                </c:pt>
                <c:pt idx="1222">
                  <c:v>16</c:v>
                </c:pt>
                <c:pt idx="1223">
                  <c:v>2</c:v>
                </c:pt>
                <c:pt idx="1224">
                  <c:v>12</c:v>
                </c:pt>
                <c:pt idx="1225">
                  <c:v>49</c:v>
                </c:pt>
                <c:pt idx="1226">
                  <c:v>47</c:v>
                </c:pt>
                <c:pt idx="1227">
                  <c:v>24</c:v>
                </c:pt>
                <c:pt idx="1228">
                  <c:v>43</c:v>
                </c:pt>
                <c:pt idx="1229">
                  <c:v>38</c:v>
                </c:pt>
                <c:pt idx="1230">
                  <c:v>2</c:v>
                </c:pt>
                <c:pt idx="1231">
                  <c:v>56</c:v>
                </c:pt>
                <c:pt idx="1232">
                  <c:v>81</c:v>
                </c:pt>
                <c:pt idx="1233">
                  <c:v>44</c:v>
                </c:pt>
                <c:pt idx="1234">
                  <c:v>1</c:v>
                </c:pt>
                <c:pt idx="1235">
                  <c:v>23</c:v>
                </c:pt>
                <c:pt idx="1236">
                  <c:v>10</c:v>
                </c:pt>
                <c:pt idx="1237">
                  <c:v>17</c:v>
                </c:pt>
                <c:pt idx="1238">
                  <c:v>1</c:v>
                </c:pt>
                <c:pt idx="1239">
                  <c:v>39</c:v>
                </c:pt>
                <c:pt idx="1240">
                  <c:v>17</c:v>
                </c:pt>
                <c:pt idx="1241">
                  <c:v>10</c:v>
                </c:pt>
                <c:pt idx="1242">
                  <c:v>17</c:v>
                </c:pt>
                <c:pt idx="1243">
                  <c:v>17</c:v>
                </c:pt>
                <c:pt idx="1244">
                  <c:v>21</c:v>
                </c:pt>
                <c:pt idx="1245">
                  <c:v>3</c:v>
                </c:pt>
                <c:pt idx="1246">
                  <c:v>17</c:v>
                </c:pt>
                <c:pt idx="1247">
                  <c:v>5</c:v>
                </c:pt>
                <c:pt idx="1248">
                  <c:v>35</c:v>
                </c:pt>
                <c:pt idx="1249">
                  <c:v>34</c:v>
                </c:pt>
                <c:pt idx="1250">
                  <c:v>33</c:v>
                </c:pt>
                <c:pt idx="1251">
                  <c:v>32</c:v>
                </c:pt>
                <c:pt idx="1252">
                  <c:v>49</c:v>
                </c:pt>
                <c:pt idx="1253">
                  <c:v>66</c:v>
                </c:pt>
                <c:pt idx="1254">
                  <c:v>53</c:v>
                </c:pt>
                <c:pt idx="1255">
                  <c:v>38</c:v>
                </c:pt>
                <c:pt idx="1256">
                  <c:v>46</c:v>
                </c:pt>
                <c:pt idx="1257">
                  <c:v>36</c:v>
                </c:pt>
                <c:pt idx="1258">
                  <c:v>6</c:v>
                </c:pt>
                <c:pt idx="1259">
                  <c:v>30</c:v>
                </c:pt>
                <c:pt idx="1260">
                  <c:v>29</c:v>
                </c:pt>
                <c:pt idx="1261">
                  <c:v>32</c:v>
                </c:pt>
                <c:pt idx="1262">
                  <c:v>3</c:v>
                </c:pt>
                <c:pt idx="1263">
                  <c:v>7</c:v>
                </c:pt>
                <c:pt idx="1264">
                  <c:v>44</c:v>
                </c:pt>
                <c:pt idx="1265">
                  <c:v>22</c:v>
                </c:pt>
                <c:pt idx="1266">
                  <c:v>34</c:v>
                </c:pt>
                <c:pt idx="1267">
                  <c:v>3</c:v>
                </c:pt>
                <c:pt idx="1268">
                  <c:v>12</c:v>
                </c:pt>
                <c:pt idx="1269">
                  <c:v>6</c:v>
                </c:pt>
                <c:pt idx="1270">
                  <c:v>8</c:v>
                </c:pt>
                <c:pt idx="1271">
                  <c:v>36</c:v>
                </c:pt>
                <c:pt idx="1272">
                  <c:v>29</c:v>
                </c:pt>
                <c:pt idx="1273">
                  <c:v>31</c:v>
                </c:pt>
                <c:pt idx="1274">
                  <c:v>22</c:v>
                </c:pt>
                <c:pt idx="1275">
                  <c:v>38</c:v>
                </c:pt>
                <c:pt idx="1276">
                  <c:v>31</c:v>
                </c:pt>
                <c:pt idx="1277">
                  <c:v>29</c:v>
                </c:pt>
                <c:pt idx="1278">
                  <c:v>29</c:v>
                </c:pt>
                <c:pt idx="1279">
                  <c:v>46</c:v>
                </c:pt>
                <c:pt idx="1280">
                  <c:v>25</c:v>
                </c:pt>
                <c:pt idx="1281">
                  <c:v>70</c:v>
                </c:pt>
                <c:pt idx="1282">
                  <c:v>28</c:v>
                </c:pt>
              </c:numCache>
            </c:numRef>
          </c:yVal>
          <c:smooth val="0"/>
          <c:extLst>
            <c:ext xmlns:c16="http://schemas.microsoft.com/office/drawing/2014/chart" uri="{C3380CC4-5D6E-409C-BE32-E72D297353CC}">
              <c16:uniqueId val="{00000002-45D6-419A-B0A0-A345CB690F0A}"/>
            </c:ext>
          </c:extLst>
        </c:ser>
        <c:dLbls>
          <c:showLegendKey val="0"/>
          <c:showVal val="0"/>
          <c:showCatName val="0"/>
          <c:showSerName val="0"/>
          <c:showPercent val="0"/>
          <c:showBubbleSize val="0"/>
        </c:dLbls>
        <c:axId val="929722607"/>
        <c:axId val="929711567"/>
      </c:scatterChart>
      <c:valAx>
        <c:axId val="929722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Items</a:t>
                </a:r>
                <a:r>
                  <a:rPr lang="en-US" baseline="0"/>
                  <a:t> Viewed Per Session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11567"/>
        <c:crosses val="autoZero"/>
        <c:crossBetween val="midCat"/>
      </c:valAx>
      <c:valAx>
        <c:axId val="92971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Items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22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Purchase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Purchase Amount</a:t>
          </a:r>
        </a:p>
      </cx:txPr>
    </cx:title>
    <cx:plotArea>
      <cx:plotAreaRegion>
        <cx:series layoutId="boxWhisker" uniqueId="{77C1CA2B-995F-4740-ACD4-2B765C2C0493}">
          <cx:tx>
            <cx:txData>
              <cx:f>_xlchart.v1.2</cx:f>
              <cx:v>purchase</cx:v>
            </cx:txData>
          </cx:tx>
          <cx:dataId val="0"/>
          <cx:layoutPr>
            <cx:statistics quartileMethod="exclusive"/>
          </cx:layoutPr>
        </cx:series>
      </cx:plotAreaRegion>
      <cx:axis id="0">
        <cx:catScaling gapWidth="0"/>
        <cx:title>
          <cx:tx>
            <cx:txData>
              <cx:v/>
            </cx:txData>
          </cx:tx>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title>
        <cx:tickLabels/>
      </cx:axis>
      <cx:axis id="1">
        <cx:valScaling/>
        <cx:title>
          <cx:tx>
            <cx:txData>
              <cx:v>Purchase Amount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Purchase Amount</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563880</xdr:colOff>
      <xdr:row>1</xdr:row>
      <xdr:rowOff>15241</xdr:rowOff>
    </xdr:from>
    <xdr:ext cx="3329940" cy="1297919"/>
    <xdr:sp macro="" textlink="">
      <xdr:nvSpPr>
        <xdr:cNvPr id="2" name="TextBox 1">
          <a:extLst>
            <a:ext uri="{FF2B5EF4-FFF2-40B4-BE49-F238E27FC236}">
              <a16:creationId xmlns:a16="http://schemas.microsoft.com/office/drawing/2014/main" id="{4F2AA693-E38E-5B9C-6C8D-9412FB38E772}"/>
            </a:ext>
          </a:extLst>
        </xdr:cNvPr>
        <xdr:cNvSpPr txBox="1"/>
      </xdr:nvSpPr>
      <xdr:spPr>
        <a:xfrm>
          <a:off x="1211580" y="198121"/>
          <a:ext cx="332994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a:t>
          </a:r>
          <a:r>
            <a:rPr lang="en-US" sz="1100" baseline="0"/>
            <a:t> chose purchase because it directly shows how much revenue each customer genreates. It is the most important metric for decision making since understanding paterns can help managers evalute customer value and forecast sales. By evaluting purchase amount, we can determine customer spending habits.</a:t>
          </a:r>
          <a:endParaRPr lang="en-US" sz="1100"/>
        </a:p>
      </xdr:txBody>
    </xdr:sp>
    <xdr:clientData/>
  </xdr:oneCellAnchor>
  <xdr:oneCellAnchor>
    <xdr:from>
      <xdr:col>2</xdr:col>
      <xdr:colOff>53340</xdr:colOff>
      <xdr:row>16</xdr:row>
      <xdr:rowOff>45720</xdr:rowOff>
    </xdr:from>
    <xdr:ext cx="3581400" cy="1125693"/>
    <xdr:sp macro="" textlink="">
      <xdr:nvSpPr>
        <xdr:cNvPr id="4" name="TextBox 3">
          <a:extLst>
            <a:ext uri="{FF2B5EF4-FFF2-40B4-BE49-F238E27FC236}">
              <a16:creationId xmlns:a16="http://schemas.microsoft.com/office/drawing/2014/main" id="{3B252C62-5081-2560-C263-F81F1E32C8E6}"/>
            </a:ext>
          </a:extLst>
        </xdr:cNvPr>
        <xdr:cNvSpPr txBox="1"/>
      </xdr:nvSpPr>
      <xdr:spPr>
        <a:xfrm>
          <a:off x="1310640" y="2971800"/>
          <a:ext cx="358140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I selected the purchase amount because it directly reflects customer spending and drives revenue. The average purchase amount is about $505, the median is $510, and the spread is wide (standard</a:t>
          </a:r>
          <a:r>
            <a:rPr lang="en-US" baseline="0"/>
            <a:t> deviation of 281</a:t>
          </a:r>
          <a:r>
            <a:rPr lang="en-US"/>
            <a:t>). The histogram shows a fairly balanced shape without a strong skew. No outliers were detected.</a:t>
          </a:r>
          <a:endParaRPr lang="en-US" sz="1100"/>
        </a:p>
      </xdr:txBody>
    </xdr:sp>
    <xdr:clientData/>
  </xdr:oneCellAnchor>
  <xdr:twoCellAnchor>
    <xdr:from>
      <xdr:col>12</xdr:col>
      <xdr:colOff>53340</xdr:colOff>
      <xdr:row>0</xdr:row>
      <xdr:rowOff>57150</xdr:rowOff>
    </xdr:from>
    <xdr:to>
      <xdr:col>19</xdr:col>
      <xdr:colOff>502920</xdr:colOff>
      <xdr:row>15</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03CB2FC-CD65-0EFB-8C85-6907F768E5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58100" y="57150"/>
              <a:ext cx="4716780" cy="2800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76200</xdr:colOff>
      <xdr:row>1</xdr:row>
      <xdr:rowOff>76200</xdr:rowOff>
    </xdr:from>
    <xdr:ext cx="3070860" cy="609013"/>
    <xdr:sp macro="" textlink="">
      <xdr:nvSpPr>
        <xdr:cNvPr id="2" name="TextBox 1">
          <a:extLst>
            <a:ext uri="{FF2B5EF4-FFF2-40B4-BE49-F238E27FC236}">
              <a16:creationId xmlns:a16="http://schemas.microsoft.com/office/drawing/2014/main" id="{20CF6AD9-7CD4-9875-B93A-C25832FDB986}"/>
            </a:ext>
          </a:extLst>
        </xdr:cNvPr>
        <xdr:cNvSpPr txBox="1"/>
      </xdr:nvSpPr>
      <xdr:spPr>
        <a:xfrm>
          <a:off x="1661160" y="259080"/>
          <a:ext cx="307086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 selected credit card type because payment</a:t>
          </a:r>
          <a:r>
            <a:rPr lang="en-US" sz="1100" baseline="0"/>
            <a:t> method is crucial for operational and fincancial planning.</a:t>
          </a:r>
          <a:endParaRPr lang="en-US" sz="1100"/>
        </a:p>
      </xdr:txBody>
    </xdr:sp>
    <xdr:clientData/>
  </xdr:oneCellAnchor>
  <xdr:twoCellAnchor>
    <xdr:from>
      <xdr:col>8</xdr:col>
      <xdr:colOff>53340</xdr:colOff>
      <xdr:row>20</xdr:row>
      <xdr:rowOff>11430</xdr:rowOff>
    </xdr:from>
    <xdr:to>
      <xdr:col>14</xdr:col>
      <xdr:colOff>327660</xdr:colOff>
      <xdr:row>32</xdr:row>
      <xdr:rowOff>167640</xdr:rowOff>
    </xdr:to>
    <xdr:graphicFrame macro="">
      <xdr:nvGraphicFramePr>
        <xdr:cNvPr id="3" name="Chart 2">
          <a:extLst>
            <a:ext uri="{FF2B5EF4-FFF2-40B4-BE49-F238E27FC236}">
              <a16:creationId xmlns:a16="http://schemas.microsoft.com/office/drawing/2014/main" id="{BC88DC00-72CD-729B-902F-5A95952D8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7620</xdr:colOff>
      <xdr:row>1</xdr:row>
      <xdr:rowOff>22861</xdr:rowOff>
    </xdr:from>
    <xdr:ext cx="3017520" cy="1501139"/>
    <xdr:sp macro="" textlink="">
      <xdr:nvSpPr>
        <xdr:cNvPr id="4" name="TextBox 3">
          <a:extLst>
            <a:ext uri="{FF2B5EF4-FFF2-40B4-BE49-F238E27FC236}">
              <a16:creationId xmlns:a16="http://schemas.microsoft.com/office/drawing/2014/main" id="{30DBAE15-10B9-09F7-687D-6FB89EF63E7E}"/>
            </a:ext>
          </a:extLst>
        </xdr:cNvPr>
        <xdr:cNvSpPr txBox="1"/>
      </xdr:nvSpPr>
      <xdr:spPr>
        <a:xfrm>
          <a:off x="9014460" y="205741"/>
          <a:ext cx="3017520" cy="1501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The analysis shows that jcb</a:t>
          </a:r>
          <a:r>
            <a:rPr lang="en-US" baseline="0"/>
            <a:t> </a:t>
          </a:r>
          <a:r>
            <a:rPr lang="en-US"/>
            <a:t>is the most widely used credit card type. This insight helps the company optimize partnerships and processing fees. It</a:t>
          </a:r>
          <a:r>
            <a:rPr lang="en-US" baseline="0"/>
            <a:t> also shows diners-club-us-ca and solo have the lowest number of uses. This can be used to determine which credit card types we don't need to focus on buiilding relationships with as much as others.</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83820</xdr:colOff>
      <xdr:row>0</xdr:row>
      <xdr:rowOff>64770</xdr:rowOff>
    </xdr:from>
    <xdr:to>
      <xdr:col>5</xdr:col>
      <xdr:colOff>495300</xdr:colOff>
      <xdr:row>6</xdr:row>
      <xdr:rowOff>45720</xdr:rowOff>
    </xdr:to>
    <xdr:sp macro="" textlink="">
      <xdr:nvSpPr>
        <xdr:cNvPr id="2" name="TextBox 1">
          <a:extLst>
            <a:ext uri="{FF2B5EF4-FFF2-40B4-BE49-F238E27FC236}">
              <a16:creationId xmlns:a16="http://schemas.microsoft.com/office/drawing/2014/main" id="{C2D8FA57-A004-60F6-A7AD-3D4DF9F09DB1}"/>
            </a:ext>
          </a:extLst>
        </xdr:cNvPr>
        <xdr:cNvSpPr txBox="1"/>
      </xdr:nvSpPr>
      <xdr:spPr>
        <a:xfrm>
          <a:off x="1417320" y="64770"/>
          <a:ext cx="2240280" cy="1078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chose average price item because it reflects</a:t>
          </a:r>
          <a:r>
            <a:rPr lang="en-US" sz="1100" baseline="0"/>
            <a:t> how much customers pay for each item. This give us a valuable insight into how much customers are paying.</a:t>
          </a:r>
          <a:endParaRPr lang="en-US" sz="1100"/>
        </a:p>
      </xdr:txBody>
    </xdr:sp>
    <xdr:clientData/>
  </xdr:twoCellAnchor>
  <xdr:oneCellAnchor>
    <xdr:from>
      <xdr:col>2</xdr:col>
      <xdr:colOff>114300</xdr:colOff>
      <xdr:row>10</xdr:row>
      <xdr:rowOff>76200</xdr:rowOff>
    </xdr:from>
    <xdr:ext cx="2446020" cy="1125693"/>
    <xdr:sp macro="" textlink="">
      <xdr:nvSpPr>
        <xdr:cNvPr id="3" name="TextBox 2">
          <a:extLst>
            <a:ext uri="{FF2B5EF4-FFF2-40B4-BE49-F238E27FC236}">
              <a16:creationId xmlns:a16="http://schemas.microsoft.com/office/drawing/2014/main" id="{6AF64052-E0B7-CDFC-F348-FF58A1EBA753}"/>
            </a:ext>
          </a:extLst>
        </xdr:cNvPr>
        <xdr:cNvSpPr txBox="1"/>
      </xdr:nvSpPr>
      <xdr:spPr>
        <a:xfrm>
          <a:off x="1447800" y="1905000"/>
          <a:ext cx="244602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The average item price is important for pricing and profit margin analysis. The 95% confidence interval shows the true mean lies between $34.38 and $35.11, giving managers a reliable range for planning</a:t>
          </a:r>
          <a:r>
            <a:rPr lang="en-US"/>
            <a:t>.</a:t>
          </a:r>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106680</xdr:colOff>
      <xdr:row>0</xdr:row>
      <xdr:rowOff>68581</xdr:rowOff>
    </xdr:from>
    <xdr:ext cx="2819400" cy="781240"/>
    <xdr:sp macro="" textlink="">
      <xdr:nvSpPr>
        <xdr:cNvPr id="2" name="TextBox 1">
          <a:extLst>
            <a:ext uri="{FF2B5EF4-FFF2-40B4-BE49-F238E27FC236}">
              <a16:creationId xmlns:a16="http://schemas.microsoft.com/office/drawing/2014/main" id="{1EB558C7-BD13-4C06-4CC8-9F77D01F3EE6}"/>
            </a:ext>
          </a:extLst>
        </xdr:cNvPr>
        <xdr:cNvSpPr txBox="1"/>
      </xdr:nvSpPr>
      <xdr:spPr>
        <a:xfrm>
          <a:off x="807720" y="68581"/>
          <a:ext cx="281940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 selected</a:t>
          </a:r>
          <a:r>
            <a:rPr lang="en-US" sz="1100" baseline="0"/>
            <a:t> gender becuase it is a useful insight to help identify demographic patterns which can assist in marketing strategies and give us valuable information about our customers.</a:t>
          </a:r>
          <a:endParaRPr lang="en-US" sz="1100"/>
        </a:p>
      </xdr:txBody>
    </xdr:sp>
    <xdr:clientData/>
  </xdr:oneCellAnchor>
  <xdr:oneCellAnchor>
    <xdr:from>
      <xdr:col>3</xdr:col>
      <xdr:colOff>91440</xdr:colOff>
      <xdr:row>8</xdr:row>
      <xdr:rowOff>60961</xdr:rowOff>
    </xdr:from>
    <xdr:ext cx="2834640" cy="952499"/>
    <xdr:sp macro="" textlink="">
      <xdr:nvSpPr>
        <xdr:cNvPr id="3" name="TextBox 2">
          <a:extLst>
            <a:ext uri="{FF2B5EF4-FFF2-40B4-BE49-F238E27FC236}">
              <a16:creationId xmlns:a16="http://schemas.microsoft.com/office/drawing/2014/main" id="{33FC2EC4-5166-570A-3E92-D41D8E7914EE}"/>
            </a:ext>
          </a:extLst>
        </xdr:cNvPr>
        <xdr:cNvSpPr txBox="1"/>
      </xdr:nvSpPr>
      <xdr:spPr>
        <a:xfrm>
          <a:off x="1653540" y="1524001"/>
          <a:ext cx="2834640" cy="952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The 95% confidence interval shows the proportion of Female customers lies between 52.38% and 57.83%. This indicates the likely share of female customers in the overall population.</a:t>
          </a:r>
          <a:endParaRPr lang="en-US" sz="1100" b="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106680</xdr:colOff>
      <xdr:row>3</xdr:row>
      <xdr:rowOff>60960</xdr:rowOff>
    </xdr:from>
    <xdr:ext cx="2758440" cy="624840"/>
    <xdr:sp macro="" textlink="">
      <xdr:nvSpPr>
        <xdr:cNvPr id="2" name="TextBox 1">
          <a:extLst>
            <a:ext uri="{FF2B5EF4-FFF2-40B4-BE49-F238E27FC236}">
              <a16:creationId xmlns:a16="http://schemas.microsoft.com/office/drawing/2014/main" id="{A7B387A6-26F3-2247-C620-65215F6EF880}"/>
            </a:ext>
          </a:extLst>
        </xdr:cNvPr>
        <xdr:cNvSpPr txBox="1"/>
      </xdr:nvSpPr>
      <xdr:spPr>
        <a:xfrm>
          <a:off x="967740" y="609600"/>
          <a:ext cx="27584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b="0"/>
            <a:t>With the standard</a:t>
          </a:r>
          <a:r>
            <a:rPr lang="en-US" b="0" baseline="0"/>
            <a:t> deviation of 280.69</a:t>
          </a:r>
          <a:r>
            <a:rPr lang="en-US" b="0"/>
            <a:t>, the required sample size to detect a $25 difference with 95% confidence is 484.</a:t>
          </a:r>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8</xdr:col>
      <xdr:colOff>106680</xdr:colOff>
      <xdr:row>0</xdr:row>
      <xdr:rowOff>83821</xdr:rowOff>
    </xdr:from>
    <xdr:ext cx="3657600" cy="1508759"/>
    <xdr:sp macro="" textlink="">
      <xdr:nvSpPr>
        <xdr:cNvPr id="4" name="TextBox 3">
          <a:extLst>
            <a:ext uri="{FF2B5EF4-FFF2-40B4-BE49-F238E27FC236}">
              <a16:creationId xmlns:a16="http://schemas.microsoft.com/office/drawing/2014/main" id="{3E08538E-0BD9-74BC-4A3B-8DD095F7A1F7}"/>
            </a:ext>
          </a:extLst>
        </xdr:cNvPr>
        <xdr:cNvSpPr txBox="1"/>
      </xdr:nvSpPr>
      <xdr:spPr>
        <a:xfrm>
          <a:off x="10332720" y="83821"/>
          <a:ext cx="3657600" cy="15087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I selected Number</a:t>
          </a:r>
          <a:r>
            <a:rPr lang="en-US" b="0" baseline="0"/>
            <a:t> of Items </a:t>
          </a:r>
          <a:r>
            <a:rPr lang="en-US" b="0"/>
            <a:t>as Y</a:t>
          </a:r>
          <a:r>
            <a:rPr lang="en-US" b="0" baseline="0"/>
            <a:t> </a:t>
          </a:r>
          <a:r>
            <a:rPr lang="en-US" b="0"/>
            <a:t>because it’s directly tied to revenue. I tested </a:t>
          </a:r>
          <a:r>
            <a:rPr lang="en-US" sz="1100" b="0">
              <a:solidFill>
                <a:schemeClr val="tx1"/>
              </a:solidFill>
              <a:latin typeface="+mn-lt"/>
              <a:ea typeface="+mn-ea"/>
              <a:cs typeface="+mn-cs"/>
            </a:rPr>
            <a:t>Items viewed per session</a:t>
          </a:r>
          <a:r>
            <a:rPr lang="en-US" sz="1100" b="0" baseline="0">
              <a:solidFill>
                <a:schemeClr val="tx1"/>
              </a:solidFill>
              <a:latin typeface="+mn-lt"/>
              <a:ea typeface="+mn-ea"/>
              <a:cs typeface="+mn-cs"/>
            </a:rPr>
            <a:t> </a:t>
          </a:r>
          <a:r>
            <a:rPr lang="en-US" b="0"/>
            <a:t>and </a:t>
          </a:r>
          <a:r>
            <a:rPr lang="en-US" sz="1100" b="0">
              <a:solidFill>
                <a:schemeClr val="tx1"/>
              </a:solidFill>
              <a:latin typeface="+mn-lt"/>
              <a:ea typeface="+mn-ea"/>
              <a:cs typeface="+mn-cs"/>
            </a:rPr>
            <a:t>Average Item Price</a:t>
          </a:r>
          <a:r>
            <a:rPr lang="en-US" b="0"/>
            <a:t> as predictors. The best single predictor was Items viewed per session with R² ≈ 0.9225, meaning this single variable explains about 92.25% of the variation in basket size. This indicates a very strong relationship and suggest customers who view more items per session tend to have larger baskets.</a:t>
          </a:r>
          <a:endParaRPr lang="en-US" sz="1100" b="0"/>
        </a:p>
      </xdr:txBody>
    </xdr:sp>
    <xdr:clientData/>
  </xdr:oneCellAnchor>
  <xdr:twoCellAnchor>
    <xdr:from>
      <xdr:col>4</xdr:col>
      <xdr:colOff>7620</xdr:colOff>
      <xdr:row>20</xdr:row>
      <xdr:rowOff>41910</xdr:rowOff>
    </xdr:from>
    <xdr:to>
      <xdr:col>6</xdr:col>
      <xdr:colOff>426720</xdr:colOff>
      <xdr:row>35</xdr:row>
      <xdr:rowOff>34290</xdr:rowOff>
    </xdr:to>
    <xdr:graphicFrame macro="">
      <xdr:nvGraphicFramePr>
        <xdr:cNvPr id="2" name="Chart 1">
          <a:extLst>
            <a:ext uri="{FF2B5EF4-FFF2-40B4-BE49-F238E27FC236}">
              <a16:creationId xmlns:a16="http://schemas.microsoft.com/office/drawing/2014/main" id="{BB262263-5B22-6686-592B-FEC21937E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5</xdr:col>
      <xdr:colOff>60960</xdr:colOff>
      <xdr:row>1</xdr:row>
      <xdr:rowOff>60961</xdr:rowOff>
    </xdr:from>
    <xdr:ext cx="3322320" cy="1297919"/>
    <xdr:sp macro="" textlink="">
      <xdr:nvSpPr>
        <xdr:cNvPr id="2" name="TextBox 1">
          <a:extLst>
            <a:ext uri="{FF2B5EF4-FFF2-40B4-BE49-F238E27FC236}">
              <a16:creationId xmlns:a16="http://schemas.microsoft.com/office/drawing/2014/main" id="{09A8F504-E465-9FB4-3243-9574F729DD6B}"/>
            </a:ext>
          </a:extLst>
        </xdr:cNvPr>
        <xdr:cNvSpPr txBox="1"/>
      </xdr:nvSpPr>
      <xdr:spPr>
        <a:xfrm>
          <a:off x="6248400" y="243841"/>
          <a:ext cx="33223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I chose Number of Items as my Y  value because it reflects actual purchase volume, which drives revenue.</a:t>
          </a:r>
          <a:r>
            <a:rPr lang="en-US" b="0" baseline="0"/>
            <a:t> I then </a:t>
          </a:r>
          <a:r>
            <a:rPr lang="en-US" b="0"/>
            <a:t>included Items Viewed per Session because browsing behavior strongly predicts purchases.</a:t>
          </a:r>
          <a:r>
            <a:rPr lang="en-US" b="0" baseline="0"/>
            <a:t> Lastly, I</a:t>
          </a:r>
          <a:r>
            <a:rPr lang="en-US" b="0"/>
            <a:t> added Average Item Price since pricing could influence the quantity of items purchased.</a:t>
          </a:r>
        </a:p>
        <a:p>
          <a:endParaRPr lang="en-US" sz="1100"/>
        </a:p>
      </xdr:txBody>
    </xdr:sp>
    <xdr:clientData/>
  </xdr:oneCellAnchor>
  <xdr:oneCellAnchor>
    <xdr:from>
      <xdr:col>9</xdr:col>
      <xdr:colOff>45721</xdr:colOff>
      <xdr:row>1</xdr:row>
      <xdr:rowOff>68581</xdr:rowOff>
    </xdr:from>
    <xdr:ext cx="1501139" cy="1297919"/>
    <xdr:sp macro="" textlink="">
      <xdr:nvSpPr>
        <xdr:cNvPr id="3" name="TextBox 2">
          <a:extLst>
            <a:ext uri="{FF2B5EF4-FFF2-40B4-BE49-F238E27FC236}">
              <a16:creationId xmlns:a16="http://schemas.microsoft.com/office/drawing/2014/main" id="{52673EAA-C962-ECBE-D650-F6586D76CA59}"/>
            </a:ext>
          </a:extLst>
        </xdr:cNvPr>
        <xdr:cNvSpPr txBox="1"/>
      </xdr:nvSpPr>
      <xdr:spPr>
        <a:xfrm>
          <a:off x="9700261" y="251461"/>
          <a:ext cx="1501139"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My R squared</a:t>
          </a:r>
          <a:r>
            <a:rPr lang="en-US" sz="1100" baseline="0"/>
            <a:t> is .9227, this means that 92.27% of the variation in Number of Items is explained by my two selected predictors.</a:t>
          </a:r>
        </a:p>
      </xdr:txBody>
    </xdr:sp>
    <xdr:clientData/>
  </xdr:oneCellAnchor>
  <xdr:oneCellAnchor>
    <xdr:from>
      <xdr:col>11</xdr:col>
      <xdr:colOff>60960</xdr:colOff>
      <xdr:row>1</xdr:row>
      <xdr:rowOff>76200</xdr:rowOff>
    </xdr:from>
    <xdr:ext cx="1912620" cy="1297919"/>
    <xdr:sp macro="" textlink="">
      <xdr:nvSpPr>
        <xdr:cNvPr id="4" name="TextBox 3">
          <a:extLst>
            <a:ext uri="{FF2B5EF4-FFF2-40B4-BE49-F238E27FC236}">
              <a16:creationId xmlns:a16="http://schemas.microsoft.com/office/drawing/2014/main" id="{8A8026AE-C384-4146-CDB4-C1CCC0FDB889}"/>
            </a:ext>
          </a:extLst>
        </xdr:cNvPr>
        <xdr:cNvSpPr txBox="1"/>
      </xdr:nvSpPr>
      <xdr:spPr>
        <a:xfrm>
          <a:off x="11369040" y="259080"/>
          <a:ext cx="19126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 adjusted R squared is .9226,</a:t>
          </a:r>
          <a:r>
            <a:rPr lang="en-US" sz="1100" baseline="0"/>
            <a:t> which is nearly identical to my R squared. This means both variables contribute to explaining Y - Number of Items, without overfitting</a:t>
          </a:r>
          <a:endParaRPr lang="en-US" sz="1100"/>
        </a:p>
      </xdr:txBody>
    </xdr:sp>
    <xdr:clientData/>
  </xdr:oneCellAnchor>
  <xdr:oneCellAnchor>
    <xdr:from>
      <xdr:col>3</xdr:col>
      <xdr:colOff>114300</xdr:colOff>
      <xdr:row>21</xdr:row>
      <xdr:rowOff>68580</xdr:rowOff>
    </xdr:from>
    <xdr:ext cx="2804160" cy="781240"/>
    <xdr:sp macro="" textlink="">
      <xdr:nvSpPr>
        <xdr:cNvPr id="5" name="TextBox 4">
          <a:extLst>
            <a:ext uri="{FF2B5EF4-FFF2-40B4-BE49-F238E27FC236}">
              <a16:creationId xmlns:a16="http://schemas.microsoft.com/office/drawing/2014/main" id="{6D270064-851E-7E4E-9779-917F6DB8D8C2}"/>
            </a:ext>
          </a:extLst>
        </xdr:cNvPr>
        <xdr:cNvSpPr txBox="1"/>
      </xdr:nvSpPr>
      <xdr:spPr>
        <a:xfrm>
          <a:off x="4236720" y="3954780"/>
          <a:ext cx="280416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 P value is 4.315E-12.</a:t>
          </a:r>
          <a:r>
            <a:rPr lang="en-US" sz="1100" baseline="0"/>
            <a:t> The X1 P value is 0 and the X2 P value is .086. This is significant becuase it shows only Items Viewed Per Session is a significant predictor in this model.</a:t>
          </a:r>
          <a:endParaRPr lang="en-US" sz="1100"/>
        </a:p>
      </xdr:txBody>
    </xdr:sp>
    <xdr:clientData/>
  </xdr:oneCellAnchor>
  <xdr:oneCellAnchor>
    <xdr:from>
      <xdr:col>6</xdr:col>
      <xdr:colOff>60960</xdr:colOff>
      <xdr:row>21</xdr:row>
      <xdr:rowOff>38101</xdr:rowOff>
    </xdr:from>
    <xdr:ext cx="4046220" cy="1297919"/>
    <xdr:sp macro="" textlink="">
      <xdr:nvSpPr>
        <xdr:cNvPr id="6" name="TextBox 5">
          <a:extLst>
            <a:ext uri="{FF2B5EF4-FFF2-40B4-BE49-F238E27FC236}">
              <a16:creationId xmlns:a16="http://schemas.microsoft.com/office/drawing/2014/main" id="{99DD4D0C-FE47-7BFD-EFDF-46912D820BAC}"/>
            </a:ext>
          </a:extLst>
        </xdr:cNvPr>
        <xdr:cNvSpPr txBox="1"/>
      </xdr:nvSpPr>
      <xdr:spPr>
        <a:xfrm>
          <a:off x="7170420" y="3924301"/>
          <a:ext cx="40462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The model is very strong</a:t>
          </a:r>
          <a:r>
            <a:rPr lang="en-US" sz="1100" b="0" baseline="0"/>
            <a:t> with R squared being .92. We can see that </a:t>
          </a:r>
          <a:r>
            <a:rPr lang="en-US" b="0"/>
            <a:t>Items Viewed per Session is the key driver of Number of Items purchased.</a:t>
          </a:r>
          <a:r>
            <a:rPr lang="en-US" b="0" baseline="0"/>
            <a:t> Meanwhile, A</a:t>
          </a:r>
          <a:r>
            <a:rPr lang="en-US" b="0"/>
            <a:t>verage Item Price does not significantly affect the number of items purchased at the 95% confidence level.</a:t>
          </a:r>
          <a:r>
            <a:rPr lang="en-US" b="0" baseline="0"/>
            <a:t> </a:t>
          </a:r>
          <a:r>
            <a:rPr lang="en-US" b="0"/>
            <a:t>This suggests customers buy more items mainly because they view more, not because of item price differences.</a:t>
          </a:r>
        </a:p>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5</xdr:col>
      <xdr:colOff>91440</xdr:colOff>
      <xdr:row>60</xdr:row>
      <xdr:rowOff>38100</xdr:rowOff>
    </xdr:from>
    <xdr:ext cx="6576060" cy="609013"/>
    <xdr:sp macro="" textlink="">
      <xdr:nvSpPr>
        <xdr:cNvPr id="2" name="TextBox 1">
          <a:extLst>
            <a:ext uri="{FF2B5EF4-FFF2-40B4-BE49-F238E27FC236}">
              <a16:creationId xmlns:a16="http://schemas.microsoft.com/office/drawing/2014/main" id="{EEE5E3E4-0712-2907-1DFD-3909D8D3CBD8}"/>
            </a:ext>
          </a:extLst>
        </xdr:cNvPr>
        <xdr:cNvSpPr txBox="1"/>
      </xdr:nvSpPr>
      <xdr:spPr>
        <a:xfrm>
          <a:off x="6797040" y="11148060"/>
          <a:ext cx="657606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I evaluated three potential predictors and sequentially removed those that were not statistically significant. Time on site had a high p-value and contributed little to adjusted R², so it was excluded. After retesting, Items viewed per session alone provided the most effective combination of simplicity and explanatory strength.</a:t>
          </a:r>
          <a:endParaRPr lang="en-US" sz="1100" b="0"/>
        </a:p>
      </xdr:txBody>
    </xdr:sp>
    <xdr:clientData/>
  </xdr:oneCellAnchor>
  <xdr:oneCellAnchor>
    <xdr:from>
      <xdr:col>5</xdr:col>
      <xdr:colOff>60960</xdr:colOff>
      <xdr:row>68</xdr:row>
      <xdr:rowOff>60960</xdr:rowOff>
    </xdr:from>
    <xdr:ext cx="6583680" cy="264560"/>
    <xdr:sp macro="" textlink="">
      <xdr:nvSpPr>
        <xdr:cNvPr id="4" name="TextBox 3">
          <a:extLst>
            <a:ext uri="{FF2B5EF4-FFF2-40B4-BE49-F238E27FC236}">
              <a16:creationId xmlns:a16="http://schemas.microsoft.com/office/drawing/2014/main" id="{B70EF169-0911-5259-16B4-B31B22096D45}"/>
            </a:ext>
          </a:extLst>
        </xdr:cNvPr>
        <xdr:cNvSpPr txBox="1"/>
      </xdr:nvSpPr>
      <xdr:spPr>
        <a:xfrm>
          <a:off x="6766560" y="12633960"/>
          <a:ext cx="6583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The</a:t>
          </a:r>
          <a:r>
            <a:rPr lang="en-US" b="0" baseline="0"/>
            <a:t> f</a:t>
          </a:r>
          <a:r>
            <a:rPr lang="en-US" b="0"/>
            <a:t>inal adjusted R-squared is 0.92248, after accounting for number of predictors, model fit remains excellent.</a:t>
          </a:r>
          <a:endParaRPr lang="en-US" sz="1100" b="0"/>
        </a:p>
      </xdr:txBody>
    </xdr:sp>
    <xdr:clientData/>
  </xdr:oneCellAnchor>
  <xdr:oneCellAnchor>
    <xdr:from>
      <xdr:col>5</xdr:col>
      <xdr:colOff>129540</xdr:colOff>
      <xdr:row>72</xdr:row>
      <xdr:rowOff>60960</xdr:rowOff>
    </xdr:from>
    <xdr:ext cx="6507480" cy="264560"/>
    <xdr:sp macro="" textlink="">
      <xdr:nvSpPr>
        <xdr:cNvPr id="5" name="TextBox 4">
          <a:extLst>
            <a:ext uri="{FF2B5EF4-FFF2-40B4-BE49-F238E27FC236}">
              <a16:creationId xmlns:a16="http://schemas.microsoft.com/office/drawing/2014/main" id="{232167C5-7A80-ABB2-8ECB-EAA475F6CABA}"/>
            </a:ext>
          </a:extLst>
        </xdr:cNvPr>
        <xdr:cNvSpPr txBox="1"/>
      </xdr:nvSpPr>
      <xdr:spPr>
        <a:xfrm>
          <a:off x="6835140" y="13365480"/>
          <a:ext cx="65074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Items viewed per session has</a:t>
          </a:r>
          <a:r>
            <a:rPr lang="en-US" baseline="0"/>
            <a:t> a p value of 0</a:t>
          </a:r>
          <a:r>
            <a:rPr lang="en-US"/>
            <a:t>, indicating strong statistical significance.</a:t>
          </a:r>
          <a:endParaRPr lang="en-US" sz="1100"/>
        </a:p>
      </xdr:txBody>
    </xdr:sp>
    <xdr:clientData/>
  </xdr:oneCellAnchor>
  <xdr:oneCellAnchor>
    <xdr:from>
      <xdr:col>5</xdr:col>
      <xdr:colOff>106680</xdr:colOff>
      <xdr:row>76</xdr:row>
      <xdr:rowOff>68580</xdr:rowOff>
    </xdr:from>
    <xdr:ext cx="6553200" cy="609013"/>
    <xdr:sp macro="" textlink="">
      <xdr:nvSpPr>
        <xdr:cNvPr id="6" name="TextBox 5">
          <a:extLst>
            <a:ext uri="{FF2B5EF4-FFF2-40B4-BE49-F238E27FC236}">
              <a16:creationId xmlns:a16="http://schemas.microsoft.com/office/drawing/2014/main" id="{48B49B68-0DBA-973F-8866-AA63FF8DA2EC}"/>
            </a:ext>
          </a:extLst>
        </xdr:cNvPr>
        <xdr:cNvSpPr txBox="1"/>
      </xdr:nvSpPr>
      <xdr:spPr>
        <a:xfrm>
          <a:off x="6812280" y="14104620"/>
          <a:ext cx="65532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Items viewed per session is the strongest predictor of basket size. The final, simplified model suggests that increasing the number of product views per session is likely to raise the number of items purchased, with each additional item viewed associated with approximately 0.471 more items bought.</a:t>
          </a:r>
          <a:endParaRPr lang="en-US" sz="1100"/>
        </a:p>
      </xdr:txBody>
    </xdr:sp>
    <xdr:clientData/>
  </xdr:oneCellAnchor>
  <xdr:oneCellAnchor>
    <xdr:from>
      <xdr:col>5</xdr:col>
      <xdr:colOff>68580</xdr:colOff>
      <xdr:row>64</xdr:row>
      <xdr:rowOff>60960</xdr:rowOff>
    </xdr:from>
    <xdr:ext cx="6515100" cy="264560"/>
    <xdr:sp macro="" textlink="">
      <xdr:nvSpPr>
        <xdr:cNvPr id="7" name="TextBox 6">
          <a:extLst>
            <a:ext uri="{FF2B5EF4-FFF2-40B4-BE49-F238E27FC236}">
              <a16:creationId xmlns:a16="http://schemas.microsoft.com/office/drawing/2014/main" id="{6D73C2F2-B936-D81A-FB77-F5E67E74CDDD}"/>
            </a:ext>
          </a:extLst>
        </xdr:cNvPr>
        <xdr:cNvSpPr txBox="1"/>
      </xdr:nvSpPr>
      <xdr:spPr>
        <a:xfrm>
          <a:off x="6774180" y="11902440"/>
          <a:ext cx="6515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0"/>
            <a:t>Our</a:t>
          </a:r>
          <a:r>
            <a:rPr lang="en-US" b="0" baseline="0"/>
            <a:t> f</a:t>
          </a:r>
          <a:r>
            <a:rPr lang="en-US" b="0"/>
            <a:t>inal R-squared</a:t>
          </a:r>
          <a:r>
            <a:rPr lang="en-US" b="0" baseline="0"/>
            <a:t> is</a:t>
          </a:r>
          <a:r>
            <a:rPr lang="en-US" b="0"/>
            <a:t> 0.9225, the final model explains about 92.25% of variability in number of items.</a:t>
          </a:r>
          <a:endParaRPr lang="en-US" sz="1100" b="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Dotson" refreshedDate="45916.854555324077" createdVersion="8" refreshedVersion="8" minRefreshableVersion="3" recordCount="1284" xr:uid="{C2C8C2B4-6342-4AF6-AB2D-01274AFC2A5C}">
  <cacheSource type="worksheet">
    <worksheetSource ref="A1:A1048576" sheet="A2"/>
  </cacheSource>
  <cacheFields count="1">
    <cacheField name="credit_card_type" numFmtId="0">
      <sharedItems containsBlank="1" count="17">
        <s v="china-unionpay"/>
        <s v="jcb"/>
        <s v="diners-club-international"/>
        <s v="americanexpress"/>
        <s v="maestro"/>
        <s v="visa"/>
        <s v="mastercard"/>
        <s v="visa-electron"/>
        <s v="instapayment"/>
        <s v="laser"/>
        <s v="solo"/>
        <s v="diners-club-carte-blanche"/>
        <s v="bankcard"/>
        <s v="diners-club-enroute"/>
        <s v="switch"/>
        <s v="diners-club-us-c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4">
  <r>
    <x v="0"/>
  </r>
  <r>
    <x v="1"/>
  </r>
  <r>
    <x v="2"/>
  </r>
  <r>
    <x v="3"/>
  </r>
  <r>
    <x v="4"/>
  </r>
  <r>
    <x v="3"/>
  </r>
  <r>
    <x v="1"/>
  </r>
  <r>
    <x v="4"/>
  </r>
  <r>
    <x v="5"/>
  </r>
  <r>
    <x v="3"/>
  </r>
  <r>
    <x v="1"/>
  </r>
  <r>
    <x v="6"/>
  </r>
  <r>
    <x v="4"/>
  </r>
  <r>
    <x v="1"/>
  </r>
  <r>
    <x v="7"/>
  </r>
  <r>
    <x v="1"/>
  </r>
  <r>
    <x v="0"/>
  </r>
  <r>
    <x v="1"/>
  </r>
  <r>
    <x v="1"/>
  </r>
  <r>
    <x v="0"/>
  </r>
  <r>
    <x v="1"/>
  </r>
  <r>
    <x v="4"/>
  </r>
  <r>
    <x v="8"/>
  </r>
  <r>
    <x v="9"/>
  </r>
  <r>
    <x v="4"/>
  </r>
  <r>
    <x v="10"/>
  </r>
  <r>
    <x v="9"/>
  </r>
  <r>
    <x v="6"/>
  </r>
  <r>
    <x v="11"/>
  </r>
  <r>
    <x v="7"/>
  </r>
  <r>
    <x v="6"/>
  </r>
  <r>
    <x v="1"/>
  </r>
  <r>
    <x v="0"/>
  </r>
  <r>
    <x v="6"/>
  </r>
  <r>
    <x v="6"/>
  </r>
  <r>
    <x v="0"/>
  </r>
  <r>
    <x v="1"/>
  </r>
  <r>
    <x v="0"/>
  </r>
  <r>
    <x v="1"/>
  </r>
  <r>
    <x v="11"/>
  </r>
  <r>
    <x v="6"/>
  </r>
  <r>
    <x v="1"/>
  </r>
  <r>
    <x v="5"/>
  </r>
  <r>
    <x v="1"/>
  </r>
  <r>
    <x v="6"/>
  </r>
  <r>
    <x v="4"/>
  </r>
  <r>
    <x v="12"/>
  </r>
  <r>
    <x v="1"/>
  </r>
  <r>
    <x v="1"/>
  </r>
  <r>
    <x v="1"/>
  </r>
  <r>
    <x v="7"/>
  </r>
  <r>
    <x v="12"/>
  </r>
  <r>
    <x v="1"/>
  </r>
  <r>
    <x v="4"/>
  </r>
  <r>
    <x v="11"/>
  </r>
  <r>
    <x v="2"/>
  </r>
  <r>
    <x v="3"/>
  </r>
  <r>
    <x v="1"/>
  </r>
  <r>
    <x v="1"/>
  </r>
  <r>
    <x v="13"/>
  </r>
  <r>
    <x v="4"/>
  </r>
  <r>
    <x v="1"/>
  </r>
  <r>
    <x v="3"/>
  </r>
  <r>
    <x v="1"/>
  </r>
  <r>
    <x v="1"/>
  </r>
  <r>
    <x v="8"/>
  </r>
  <r>
    <x v="12"/>
  </r>
  <r>
    <x v="1"/>
  </r>
  <r>
    <x v="9"/>
  </r>
  <r>
    <x v="6"/>
  </r>
  <r>
    <x v="12"/>
  </r>
  <r>
    <x v="1"/>
  </r>
  <r>
    <x v="1"/>
  </r>
  <r>
    <x v="14"/>
  </r>
  <r>
    <x v="6"/>
  </r>
  <r>
    <x v="1"/>
  </r>
  <r>
    <x v="1"/>
  </r>
  <r>
    <x v="14"/>
  </r>
  <r>
    <x v="3"/>
  </r>
  <r>
    <x v="1"/>
  </r>
  <r>
    <x v="4"/>
  </r>
  <r>
    <x v="6"/>
  </r>
  <r>
    <x v="7"/>
  </r>
  <r>
    <x v="3"/>
  </r>
  <r>
    <x v="12"/>
  </r>
  <r>
    <x v="6"/>
  </r>
  <r>
    <x v="4"/>
  </r>
  <r>
    <x v="6"/>
  </r>
  <r>
    <x v="12"/>
  </r>
  <r>
    <x v="1"/>
  </r>
  <r>
    <x v="1"/>
  </r>
  <r>
    <x v="1"/>
  </r>
  <r>
    <x v="12"/>
  </r>
  <r>
    <x v="6"/>
  </r>
  <r>
    <x v="14"/>
  </r>
  <r>
    <x v="1"/>
  </r>
  <r>
    <x v="14"/>
  </r>
  <r>
    <x v="0"/>
  </r>
  <r>
    <x v="6"/>
  </r>
  <r>
    <x v="3"/>
  </r>
  <r>
    <x v="12"/>
  </r>
  <r>
    <x v="1"/>
  </r>
  <r>
    <x v="6"/>
  </r>
  <r>
    <x v="6"/>
  </r>
  <r>
    <x v="11"/>
  </r>
  <r>
    <x v="1"/>
  </r>
  <r>
    <x v="0"/>
  </r>
  <r>
    <x v="6"/>
  </r>
  <r>
    <x v="1"/>
  </r>
  <r>
    <x v="0"/>
  </r>
  <r>
    <x v="0"/>
  </r>
  <r>
    <x v="1"/>
  </r>
  <r>
    <x v="9"/>
  </r>
  <r>
    <x v="1"/>
  </r>
  <r>
    <x v="1"/>
  </r>
  <r>
    <x v="12"/>
  </r>
  <r>
    <x v="3"/>
  </r>
  <r>
    <x v="1"/>
  </r>
  <r>
    <x v="2"/>
  </r>
  <r>
    <x v="1"/>
  </r>
  <r>
    <x v="12"/>
  </r>
  <r>
    <x v="6"/>
  </r>
  <r>
    <x v="6"/>
  </r>
  <r>
    <x v="12"/>
  </r>
  <r>
    <x v="1"/>
  </r>
  <r>
    <x v="1"/>
  </r>
  <r>
    <x v="1"/>
  </r>
  <r>
    <x v="0"/>
  </r>
  <r>
    <x v="14"/>
  </r>
  <r>
    <x v="1"/>
  </r>
  <r>
    <x v="14"/>
  </r>
  <r>
    <x v="12"/>
  </r>
  <r>
    <x v="14"/>
  </r>
  <r>
    <x v="0"/>
  </r>
  <r>
    <x v="3"/>
  </r>
  <r>
    <x v="12"/>
  </r>
  <r>
    <x v="1"/>
  </r>
  <r>
    <x v="1"/>
  </r>
  <r>
    <x v="9"/>
  </r>
  <r>
    <x v="11"/>
  </r>
  <r>
    <x v="3"/>
  </r>
  <r>
    <x v="12"/>
  </r>
  <r>
    <x v="9"/>
  </r>
  <r>
    <x v="1"/>
  </r>
  <r>
    <x v="1"/>
  </r>
  <r>
    <x v="12"/>
  </r>
  <r>
    <x v="4"/>
  </r>
  <r>
    <x v="14"/>
  </r>
  <r>
    <x v="4"/>
  </r>
  <r>
    <x v="12"/>
  </r>
  <r>
    <x v="12"/>
  </r>
  <r>
    <x v="15"/>
  </r>
  <r>
    <x v="0"/>
  </r>
  <r>
    <x v="6"/>
  </r>
  <r>
    <x v="4"/>
  </r>
  <r>
    <x v="4"/>
  </r>
  <r>
    <x v="13"/>
  </r>
  <r>
    <x v="1"/>
  </r>
  <r>
    <x v="1"/>
  </r>
  <r>
    <x v="1"/>
  </r>
  <r>
    <x v="12"/>
  </r>
  <r>
    <x v="1"/>
  </r>
  <r>
    <x v="1"/>
  </r>
  <r>
    <x v="6"/>
  </r>
  <r>
    <x v="1"/>
  </r>
  <r>
    <x v="4"/>
  </r>
  <r>
    <x v="8"/>
  </r>
  <r>
    <x v="3"/>
  </r>
  <r>
    <x v="7"/>
  </r>
  <r>
    <x v="4"/>
  </r>
  <r>
    <x v="3"/>
  </r>
  <r>
    <x v="12"/>
  </r>
  <r>
    <x v="1"/>
  </r>
  <r>
    <x v="0"/>
  </r>
  <r>
    <x v="9"/>
  </r>
  <r>
    <x v="1"/>
  </r>
  <r>
    <x v="1"/>
  </r>
  <r>
    <x v="1"/>
  </r>
  <r>
    <x v="1"/>
  </r>
  <r>
    <x v="1"/>
  </r>
  <r>
    <x v="1"/>
  </r>
  <r>
    <x v="3"/>
  </r>
  <r>
    <x v="4"/>
  </r>
  <r>
    <x v="1"/>
  </r>
  <r>
    <x v="14"/>
  </r>
  <r>
    <x v="1"/>
  </r>
  <r>
    <x v="0"/>
  </r>
  <r>
    <x v="4"/>
  </r>
  <r>
    <x v="4"/>
  </r>
  <r>
    <x v="1"/>
  </r>
  <r>
    <x v="1"/>
  </r>
  <r>
    <x v="1"/>
  </r>
  <r>
    <x v="1"/>
  </r>
  <r>
    <x v="4"/>
  </r>
  <r>
    <x v="3"/>
  </r>
  <r>
    <x v="4"/>
  </r>
  <r>
    <x v="1"/>
  </r>
  <r>
    <x v="11"/>
  </r>
  <r>
    <x v="1"/>
  </r>
  <r>
    <x v="3"/>
  </r>
  <r>
    <x v="1"/>
  </r>
  <r>
    <x v="14"/>
  </r>
  <r>
    <x v="12"/>
  </r>
  <r>
    <x v="1"/>
  </r>
  <r>
    <x v="2"/>
  </r>
  <r>
    <x v="0"/>
  </r>
  <r>
    <x v="1"/>
  </r>
  <r>
    <x v="1"/>
  </r>
  <r>
    <x v="12"/>
  </r>
  <r>
    <x v="4"/>
  </r>
  <r>
    <x v="0"/>
  </r>
  <r>
    <x v="12"/>
  </r>
  <r>
    <x v="1"/>
  </r>
  <r>
    <x v="1"/>
  </r>
  <r>
    <x v="12"/>
  </r>
  <r>
    <x v="4"/>
  </r>
  <r>
    <x v="4"/>
  </r>
  <r>
    <x v="1"/>
  </r>
  <r>
    <x v="1"/>
  </r>
  <r>
    <x v="0"/>
  </r>
  <r>
    <x v="12"/>
  </r>
  <r>
    <x v="1"/>
  </r>
  <r>
    <x v="4"/>
  </r>
  <r>
    <x v="14"/>
  </r>
  <r>
    <x v="6"/>
  </r>
  <r>
    <x v="1"/>
  </r>
  <r>
    <x v="11"/>
  </r>
  <r>
    <x v="1"/>
  </r>
  <r>
    <x v="6"/>
  </r>
  <r>
    <x v="1"/>
  </r>
  <r>
    <x v="0"/>
  </r>
  <r>
    <x v="12"/>
  </r>
  <r>
    <x v="1"/>
  </r>
  <r>
    <x v="12"/>
  </r>
  <r>
    <x v="1"/>
  </r>
  <r>
    <x v="0"/>
  </r>
  <r>
    <x v="4"/>
  </r>
  <r>
    <x v="7"/>
  </r>
  <r>
    <x v="1"/>
  </r>
  <r>
    <x v="4"/>
  </r>
  <r>
    <x v="12"/>
  </r>
  <r>
    <x v="1"/>
  </r>
  <r>
    <x v="1"/>
  </r>
  <r>
    <x v="1"/>
  </r>
  <r>
    <x v="4"/>
  </r>
  <r>
    <x v="6"/>
  </r>
  <r>
    <x v="1"/>
  </r>
  <r>
    <x v="0"/>
  </r>
  <r>
    <x v="3"/>
  </r>
  <r>
    <x v="12"/>
  </r>
  <r>
    <x v="4"/>
  </r>
  <r>
    <x v="0"/>
  </r>
  <r>
    <x v="7"/>
  </r>
  <r>
    <x v="4"/>
  </r>
  <r>
    <x v="1"/>
  </r>
  <r>
    <x v="1"/>
  </r>
  <r>
    <x v="1"/>
  </r>
  <r>
    <x v="1"/>
  </r>
  <r>
    <x v="4"/>
  </r>
  <r>
    <x v="4"/>
  </r>
  <r>
    <x v="11"/>
  </r>
  <r>
    <x v="1"/>
  </r>
  <r>
    <x v="1"/>
  </r>
  <r>
    <x v="0"/>
  </r>
  <r>
    <x v="1"/>
  </r>
  <r>
    <x v="12"/>
  </r>
  <r>
    <x v="0"/>
  </r>
  <r>
    <x v="11"/>
  </r>
  <r>
    <x v="12"/>
  </r>
  <r>
    <x v="1"/>
  </r>
  <r>
    <x v="1"/>
  </r>
  <r>
    <x v="6"/>
  </r>
  <r>
    <x v="1"/>
  </r>
  <r>
    <x v="13"/>
  </r>
  <r>
    <x v="9"/>
  </r>
  <r>
    <x v="0"/>
  </r>
  <r>
    <x v="14"/>
  </r>
  <r>
    <x v="12"/>
  </r>
  <r>
    <x v="0"/>
  </r>
  <r>
    <x v="12"/>
  </r>
  <r>
    <x v="11"/>
  </r>
  <r>
    <x v="12"/>
  </r>
  <r>
    <x v="11"/>
  </r>
  <r>
    <x v="1"/>
  </r>
  <r>
    <x v="12"/>
  </r>
  <r>
    <x v="9"/>
  </r>
  <r>
    <x v="12"/>
  </r>
  <r>
    <x v="0"/>
  </r>
  <r>
    <x v="4"/>
  </r>
  <r>
    <x v="4"/>
  </r>
  <r>
    <x v="1"/>
  </r>
  <r>
    <x v="0"/>
  </r>
  <r>
    <x v="3"/>
  </r>
  <r>
    <x v="4"/>
  </r>
  <r>
    <x v="3"/>
  </r>
  <r>
    <x v="5"/>
  </r>
  <r>
    <x v="0"/>
  </r>
  <r>
    <x v="6"/>
  </r>
  <r>
    <x v="14"/>
  </r>
  <r>
    <x v="1"/>
  </r>
  <r>
    <x v="1"/>
  </r>
  <r>
    <x v="1"/>
  </r>
  <r>
    <x v="8"/>
  </r>
  <r>
    <x v="1"/>
  </r>
  <r>
    <x v="11"/>
  </r>
  <r>
    <x v="1"/>
  </r>
  <r>
    <x v="1"/>
  </r>
  <r>
    <x v="12"/>
  </r>
  <r>
    <x v="1"/>
  </r>
  <r>
    <x v="9"/>
  </r>
  <r>
    <x v="1"/>
  </r>
  <r>
    <x v="4"/>
  </r>
  <r>
    <x v="4"/>
  </r>
  <r>
    <x v="1"/>
  </r>
  <r>
    <x v="1"/>
  </r>
  <r>
    <x v="11"/>
  </r>
  <r>
    <x v="1"/>
  </r>
  <r>
    <x v="6"/>
  </r>
  <r>
    <x v="1"/>
  </r>
  <r>
    <x v="1"/>
  </r>
  <r>
    <x v="1"/>
  </r>
  <r>
    <x v="1"/>
  </r>
  <r>
    <x v="1"/>
  </r>
  <r>
    <x v="0"/>
  </r>
  <r>
    <x v="1"/>
  </r>
  <r>
    <x v="12"/>
  </r>
  <r>
    <x v="12"/>
  </r>
  <r>
    <x v="12"/>
  </r>
  <r>
    <x v="12"/>
  </r>
  <r>
    <x v="11"/>
  </r>
  <r>
    <x v="1"/>
  </r>
  <r>
    <x v="4"/>
  </r>
  <r>
    <x v="3"/>
  </r>
  <r>
    <x v="1"/>
  </r>
  <r>
    <x v="1"/>
  </r>
  <r>
    <x v="6"/>
  </r>
  <r>
    <x v="8"/>
  </r>
  <r>
    <x v="0"/>
  </r>
  <r>
    <x v="1"/>
  </r>
  <r>
    <x v="1"/>
  </r>
  <r>
    <x v="0"/>
  </r>
  <r>
    <x v="1"/>
  </r>
  <r>
    <x v="1"/>
  </r>
  <r>
    <x v="2"/>
  </r>
  <r>
    <x v="4"/>
  </r>
  <r>
    <x v="1"/>
  </r>
  <r>
    <x v="4"/>
  </r>
  <r>
    <x v="1"/>
  </r>
  <r>
    <x v="9"/>
  </r>
  <r>
    <x v="6"/>
  </r>
  <r>
    <x v="1"/>
  </r>
  <r>
    <x v="1"/>
  </r>
  <r>
    <x v="1"/>
  </r>
  <r>
    <x v="12"/>
  </r>
  <r>
    <x v="1"/>
  </r>
  <r>
    <x v="4"/>
  </r>
  <r>
    <x v="1"/>
  </r>
  <r>
    <x v="14"/>
  </r>
  <r>
    <x v="1"/>
  </r>
  <r>
    <x v="5"/>
  </r>
  <r>
    <x v="6"/>
  </r>
  <r>
    <x v="2"/>
  </r>
  <r>
    <x v="1"/>
  </r>
  <r>
    <x v="6"/>
  </r>
  <r>
    <x v="4"/>
  </r>
  <r>
    <x v="1"/>
  </r>
  <r>
    <x v="12"/>
  </r>
  <r>
    <x v="6"/>
  </r>
  <r>
    <x v="4"/>
  </r>
  <r>
    <x v="9"/>
  </r>
  <r>
    <x v="14"/>
  </r>
  <r>
    <x v="0"/>
  </r>
  <r>
    <x v="6"/>
  </r>
  <r>
    <x v="1"/>
  </r>
  <r>
    <x v="2"/>
  </r>
  <r>
    <x v="1"/>
  </r>
  <r>
    <x v="1"/>
  </r>
  <r>
    <x v="11"/>
  </r>
  <r>
    <x v="1"/>
  </r>
  <r>
    <x v="12"/>
  </r>
  <r>
    <x v="6"/>
  </r>
  <r>
    <x v="1"/>
  </r>
  <r>
    <x v="1"/>
  </r>
  <r>
    <x v="12"/>
  </r>
  <r>
    <x v="1"/>
  </r>
  <r>
    <x v="14"/>
  </r>
  <r>
    <x v="1"/>
  </r>
  <r>
    <x v="1"/>
  </r>
  <r>
    <x v="3"/>
  </r>
  <r>
    <x v="1"/>
  </r>
  <r>
    <x v="6"/>
  </r>
  <r>
    <x v="1"/>
  </r>
  <r>
    <x v="12"/>
  </r>
  <r>
    <x v="1"/>
  </r>
  <r>
    <x v="12"/>
  </r>
  <r>
    <x v="4"/>
  </r>
  <r>
    <x v="1"/>
  </r>
  <r>
    <x v="9"/>
  </r>
  <r>
    <x v="1"/>
  </r>
  <r>
    <x v="1"/>
  </r>
  <r>
    <x v="6"/>
  </r>
  <r>
    <x v="6"/>
  </r>
  <r>
    <x v="1"/>
  </r>
  <r>
    <x v="14"/>
  </r>
  <r>
    <x v="6"/>
  </r>
  <r>
    <x v="11"/>
  </r>
  <r>
    <x v="1"/>
  </r>
  <r>
    <x v="4"/>
  </r>
  <r>
    <x v="5"/>
  </r>
  <r>
    <x v="11"/>
  </r>
  <r>
    <x v="6"/>
  </r>
  <r>
    <x v="15"/>
  </r>
  <r>
    <x v="1"/>
  </r>
  <r>
    <x v="0"/>
  </r>
  <r>
    <x v="1"/>
  </r>
  <r>
    <x v="1"/>
  </r>
  <r>
    <x v="9"/>
  </r>
  <r>
    <x v="6"/>
  </r>
  <r>
    <x v="1"/>
  </r>
  <r>
    <x v="6"/>
  </r>
  <r>
    <x v="4"/>
  </r>
  <r>
    <x v="1"/>
  </r>
  <r>
    <x v="9"/>
  </r>
  <r>
    <x v="1"/>
  </r>
  <r>
    <x v="6"/>
  </r>
  <r>
    <x v="1"/>
  </r>
  <r>
    <x v="6"/>
  </r>
  <r>
    <x v="1"/>
  </r>
  <r>
    <x v="1"/>
  </r>
  <r>
    <x v="14"/>
  </r>
  <r>
    <x v="12"/>
  </r>
  <r>
    <x v="15"/>
  </r>
  <r>
    <x v="13"/>
  </r>
  <r>
    <x v="1"/>
  </r>
  <r>
    <x v="1"/>
  </r>
  <r>
    <x v="1"/>
  </r>
  <r>
    <x v="6"/>
  </r>
  <r>
    <x v="5"/>
  </r>
  <r>
    <x v="4"/>
  </r>
  <r>
    <x v="1"/>
  </r>
  <r>
    <x v="6"/>
  </r>
  <r>
    <x v="1"/>
  </r>
  <r>
    <x v="0"/>
  </r>
  <r>
    <x v="6"/>
  </r>
  <r>
    <x v="10"/>
  </r>
  <r>
    <x v="6"/>
  </r>
  <r>
    <x v="6"/>
  </r>
  <r>
    <x v="0"/>
  </r>
  <r>
    <x v="2"/>
  </r>
  <r>
    <x v="14"/>
  </r>
  <r>
    <x v="0"/>
  </r>
  <r>
    <x v="4"/>
  </r>
  <r>
    <x v="6"/>
  </r>
  <r>
    <x v="3"/>
  </r>
  <r>
    <x v="12"/>
  </r>
  <r>
    <x v="0"/>
  </r>
  <r>
    <x v="11"/>
  </r>
  <r>
    <x v="1"/>
  </r>
  <r>
    <x v="6"/>
  </r>
  <r>
    <x v="1"/>
  </r>
  <r>
    <x v="12"/>
  </r>
  <r>
    <x v="12"/>
  </r>
  <r>
    <x v="4"/>
  </r>
  <r>
    <x v="1"/>
  </r>
  <r>
    <x v="6"/>
  </r>
  <r>
    <x v="12"/>
  </r>
  <r>
    <x v="0"/>
  </r>
  <r>
    <x v="12"/>
  </r>
  <r>
    <x v="4"/>
  </r>
  <r>
    <x v="3"/>
  </r>
  <r>
    <x v="7"/>
  </r>
  <r>
    <x v="4"/>
  </r>
  <r>
    <x v="0"/>
  </r>
  <r>
    <x v="4"/>
  </r>
  <r>
    <x v="1"/>
  </r>
  <r>
    <x v="0"/>
  </r>
  <r>
    <x v="4"/>
  </r>
  <r>
    <x v="14"/>
  </r>
  <r>
    <x v="1"/>
  </r>
  <r>
    <x v="1"/>
  </r>
  <r>
    <x v="13"/>
  </r>
  <r>
    <x v="1"/>
  </r>
  <r>
    <x v="0"/>
  </r>
  <r>
    <x v="13"/>
  </r>
  <r>
    <x v="9"/>
  </r>
  <r>
    <x v="3"/>
  </r>
  <r>
    <x v="6"/>
  </r>
  <r>
    <x v="4"/>
  </r>
  <r>
    <x v="4"/>
  </r>
  <r>
    <x v="1"/>
  </r>
  <r>
    <x v="12"/>
  </r>
  <r>
    <x v="11"/>
  </r>
  <r>
    <x v="12"/>
  </r>
  <r>
    <x v="13"/>
  </r>
  <r>
    <x v="14"/>
  </r>
  <r>
    <x v="1"/>
  </r>
  <r>
    <x v="13"/>
  </r>
  <r>
    <x v="0"/>
  </r>
  <r>
    <x v="1"/>
  </r>
  <r>
    <x v="1"/>
  </r>
  <r>
    <x v="4"/>
  </r>
  <r>
    <x v="1"/>
  </r>
  <r>
    <x v="12"/>
  </r>
  <r>
    <x v="1"/>
  </r>
  <r>
    <x v="0"/>
  </r>
  <r>
    <x v="11"/>
  </r>
  <r>
    <x v="12"/>
  </r>
  <r>
    <x v="4"/>
  </r>
  <r>
    <x v="1"/>
  </r>
  <r>
    <x v="1"/>
  </r>
  <r>
    <x v="4"/>
  </r>
  <r>
    <x v="14"/>
  </r>
  <r>
    <x v="6"/>
  </r>
  <r>
    <x v="12"/>
  </r>
  <r>
    <x v="1"/>
  </r>
  <r>
    <x v="3"/>
  </r>
  <r>
    <x v="6"/>
  </r>
  <r>
    <x v="1"/>
  </r>
  <r>
    <x v="1"/>
  </r>
  <r>
    <x v="4"/>
  </r>
  <r>
    <x v="4"/>
  </r>
  <r>
    <x v="0"/>
  </r>
  <r>
    <x v="1"/>
  </r>
  <r>
    <x v="4"/>
  </r>
  <r>
    <x v="4"/>
  </r>
  <r>
    <x v="3"/>
  </r>
  <r>
    <x v="0"/>
  </r>
  <r>
    <x v="2"/>
  </r>
  <r>
    <x v="1"/>
  </r>
  <r>
    <x v="6"/>
  </r>
  <r>
    <x v="1"/>
  </r>
  <r>
    <x v="12"/>
  </r>
  <r>
    <x v="10"/>
  </r>
  <r>
    <x v="3"/>
  </r>
  <r>
    <x v="1"/>
  </r>
  <r>
    <x v="1"/>
  </r>
  <r>
    <x v="13"/>
  </r>
  <r>
    <x v="7"/>
  </r>
  <r>
    <x v="1"/>
  </r>
  <r>
    <x v="14"/>
  </r>
  <r>
    <x v="1"/>
  </r>
  <r>
    <x v="12"/>
  </r>
  <r>
    <x v="1"/>
  </r>
  <r>
    <x v="4"/>
  </r>
  <r>
    <x v="12"/>
  </r>
  <r>
    <x v="7"/>
  </r>
  <r>
    <x v="6"/>
  </r>
  <r>
    <x v="6"/>
  </r>
  <r>
    <x v="1"/>
  </r>
  <r>
    <x v="12"/>
  </r>
  <r>
    <x v="4"/>
  </r>
  <r>
    <x v="8"/>
  </r>
  <r>
    <x v="11"/>
  </r>
  <r>
    <x v="1"/>
  </r>
  <r>
    <x v="1"/>
  </r>
  <r>
    <x v="1"/>
  </r>
  <r>
    <x v="0"/>
  </r>
  <r>
    <x v="4"/>
  </r>
  <r>
    <x v="1"/>
  </r>
  <r>
    <x v="1"/>
  </r>
  <r>
    <x v="1"/>
  </r>
  <r>
    <x v="14"/>
  </r>
  <r>
    <x v="4"/>
  </r>
  <r>
    <x v="15"/>
  </r>
  <r>
    <x v="6"/>
  </r>
  <r>
    <x v="1"/>
  </r>
  <r>
    <x v="5"/>
  </r>
  <r>
    <x v="4"/>
  </r>
  <r>
    <x v="11"/>
  </r>
  <r>
    <x v="1"/>
  </r>
  <r>
    <x v="1"/>
  </r>
  <r>
    <x v="14"/>
  </r>
  <r>
    <x v="2"/>
  </r>
  <r>
    <x v="0"/>
  </r>
  <r>
    <x v="0"/>
  </r>
  <r>
    <x v="14"/>
  </r>
  <r>
    <x v="0"/>
  </r>
  <r>
    <x v="1"/>
  </r>
  <r>
    <x v="1"/>
  </r>
  <r>
    <x v="2"/>
  </r>
  <r>
    <x v="1"/>
  </r>
  <r>
    <x v="2"/>
  </r>
  <r>
    <x v="9"/>
  </r>
  <r>
    <x v="6"/>
  </r>
  <r>
    <x v="4"/>
  </r>
  <r>
    <x v="1"/>
  </r>
  <r>
    <x v="1"/>
  </r>
  <r>
    <x v="11"/>
  </r>
  <r>
    <x v="1"/>
  </r>
  <r>
    <x v="7"/>
  </r>
  <r>
    <x v="1"/>
  </r>
  <r>
    <x v="1"/>
  </r>
  <r>
    <x v="4"/>
  </r>
  <r>
    <x v="4"/>
  </r>
  <r>
    <x v="1"/>
  </r>
  <r>
    <x v="1"/>
  </r>
  <r>
    <x v="15"/>
  </r>
  <r>
    <x v="0"/>
  </r>
  <r>
    <x v="0"/>
  </r>
  <r>
    <x v="1"/>
  </r>
  <r>
    <x v="12"/>
  </r>
  <r>
    <x v="0"/>
  </r>
  <r>
    <x v="3"/>
  </r>
  <r>
    <x v="7"/>
  </r>
  <r>
    <x v="4"/>
  </r>
  <r>
    <x v="1"/>
  </r>
  <r>
    <x v="1"/>
  </r>
  <r>
    <x v="6"/>
  </r>
  <r>
    <x v="12"/>
  </r>
  <r>
    <x v="14"/>
  </r>
  <r>
    <x v="3"/>
  </r>
  <r>
    <x v="13"/>
  </r>
  <r>
    <x v="6"/>
  </r>
  <r>
    <x v="0"/>
  </r>
  <r>
    <x v="1"/>
  </r>
  <r>
    <x v="5"/>
  </r>
  <r>
    <x v="1"/>
  </r>
  <r>
    <x v="9"/>
  </r>
  <r>
    <x v="4"/>
  </r>
  <r>
    <x v="1"/>
  </r>
  <r>
    <x v="1"/>
  </r>
  <r>
    <x v="2"/>
  </r>
  <r>
    <x v="4"/>
  </r>
  <r>
    <x v="0"/>
  </r>
  <r>
    <x v="1"/>
  </r>
  <r>
    <x v="10"/>
  </r>
  <r>
    <x v="1"/>
  </r>
  <r>
    <x v="6"/>
  </r>
  <r>
    <x v="0"/>
  </r>
  <r>
    <x v="1"/>
  </r>
  <r>
    <x v="0"/>
  </r>
  <r>
    <x v="4"/>
  </r>
  <r>
    <x v="0"/>
  </r>
  <r>
    <x v="6"/>
  </r>
  <r>
    <x v="1"/>
  </r>
  <r>
    <x v="1"/>
  </r>
  <r>
    <x v="4"/>
  </r>
  <r>
    <x v="4"/>
  </r>
  <r>
    <x v="10"/>
  </r>
  <r>
    <x v="7"/>
  </r>
  <r>
    <x v="12"/>
  </r>
  <r>
    <x v="1"/>
  </r>
  <r>
    <x v="1"/>
  </r>
  <r>
    <x v="1"/>
  </r>
  <r>
    <x v="4"/>
  </r>
  <r>
    <x v="14"/>
  </r>
  <r>
    <x v="4"/>
  </r>
  <r>
    <x v="9"/>
  </r>
  <r>
    <x v="1"/>
  </r>
  <r>
    <x v="1"/>
  </r>
  <r>
    <x v="14"/>
  </r>
  <r>
    <x v="1"/>
  </r>
  <r>
    <x v="1"/>
  </r>
  <r>
    <x v="5"/>
  </r>
  <r>
    <x v="0"/>
  </r>
  <r>
    <x v="12"/>
  </r>
  <r>
    <x v="12"/>
  </r>
  <r>
    <x v="1"/>
  </r>
  <r>
    <x v="11"/>
  </r>
  <r>
    <x v="7"/>
  </r>
  <r>
    <x v="6"/>
  </r>
  <r>
    <x v="3"/>
  </r>
  <r>
    <x v="12"/>
  </r>
  <r>
    <x v="6"/>
  </r>
  <r>
    <x v="0"/>
  </r>
  <r>
    <x v="1"/>
  </r>
  <r>
    <x v="6"/>
  </r>
  <r>
    <x v="5"/>
  </r>
  <r>
    <x v="1"/>
  </r>
  <r>
    <x v="9"/>
  </r>
  <r>
    <x v="12"/>
  </r>
  <r>
    <x v="1"/>
  </r>
  <r>
    <x v="6"/>
  </r>
  <r>
    <x v="4"/>
  </r>
  <r>
    <x v="0"/>
  </r>
  <r>
    <x v="12"/>
  </r>
  <r>
    <x v="2"/>
  </r>
  <r>
    <x v="12"/>
  </r>
  <r>
    <x v="14"/>
  </r>
  <r>
    <x v="1"/>
  </r>
  <r>
    <x v="4"/>
  </r>
  <r>
    <x v="10"/>
  </r>
  <r>
    <x v="15"/>
  </r>
  <r>
    <x v="6"/>
  </r>
  <r>
    <x v="3"/>
  </r>
  <r>
    <x v="4"/>
  </r>
  <r>
    <x v="6"/>
  </r>
  <r>
    <x v="4"/>
  </r>
  <r>
    <x v="12"/>
  </r>
  <r>
    <x v="6"/>
  </r>
  <r>
    <x v="12"/>
  </r>
  <r>
    <x v="1"/>
  </r>
  <r>
    <x v="5"/>
  </r>
  <r>
    <x v="10"/>
  </r>
  <r>
    <x v="11"/>
  </r>
  <r>
    <x v="4"/>
  </r>
  <r>
    <x v="0"/>
  </r>
  <r>
    <x v="5"/>
  </r>
  <r>
    <x v="8"/>
  </r>
  <r>
    <x v="1"/>
  </r>
  <r>
    <x v="7"/>
  </r>
  <r>
    <x v="1"/>
  </r>
  <r>
    <x v="1"/>
  </r>
  <r>
    <x v="12"/>
  </r>
  <r>
    <x v="4"/>
  </r>
  <r>
    <x v="3"/>
  </r>
  <r>
    <x v="1"/>
  </r>
  <r>
    <x v="4"/>
  </r>
  <r>
    <x v="4"/>
  </r>
  <r>
    <x v="14"/>
  </r>
  <r>
    <x v="7"/>
  </r>
  <r>
    <x v="1"/>
  </r>
  <r>
    <x v="7"/>
  </r>
  <r>
    <x v="1"/>
  </r>
  <r>
    <x v="11"/>
  </r>
  <r>
    <x v="12"/>
  </r>
  <r>
    <x v="1"/>
  </r>
  <r>
    <x v="4"/>
  </r>
  <r>
    <x v="14"/>
  </r>
  <r>
    <x v="1"/>
  </r>
  <r>
    <x v="4"/>
  </r>
  <r>
    <x v="4"/>
  </r>
  <r>
    <x v="6"/>
  </r>
  <r>
    <x v="4"/>
  </r>
  <r>
    <x v="6"/>
  </r>
  <r>
    <x v="4"/>
  </r>
  <r>
    <x v="12"/>
  </r>
  <r>
    <x v="14"/>
  </r>
  <r>
    <x v="4"/>
  </r>
  <r>
    <x v="12"/>
  </r>
  <r>
    <x v="4"/>
  </r>
  <r>
    <x v="1"/>
  </r>
  <r>
    <x v="1"/>
  </r>
  <r>
    <x v="14"/>
  </r>
  <r>
    <x v="6"/>
  </r>
  <r>
    <x v="3"/>
  </r>
  <r>
    <x v="9"/>
  </r>
  <r>
    <x v="1"/>
  </r>
  <r>
    <x v="7"/>
  </r>
  <r>
    <x v="11"/>
  </r>
  <r>
    <x v="0"/>
  </r>
  <r>
    <x v="6"/>
  </r>
  <r>
    <x v="11"/>
  </r>
  <r>
    <x v="0"/>
  </r>
  <r>
    <x v="1"/>
  </r>
  <r>
    <x v="1"/>
  </r>
  <r>
    <x v="2"/>
  </r>
  <r>
    <x v="1"/>
  </r>
  <r>
    <x v="6"/>
  </r>
  <r>
    <x v="1"/>
  </r>
  <r>
    <x v="1"/>
  </r>
  <r>
    <x v="1"/>
  </r>
  <r>
    <x v="3"/>
  </r>
  <r>
    <x v="1"/>
  </r>
  <r>
    <x v="3"/>
  </r>
  <r>
    <x v="0"/>
  </r>
  <r>
    <x v="0"/>
  </r>
  <r>
    <x v="1"/>
  </r>
  <r>
    <x v="6"/>
  </r>
  <r>
    <x v="1"/>
  </r>
  <r>
    <x v="3"/>
  </r>
  <r>
    <x v="11"/>
  </r>
  <r>
    <x v="14"/>
  </r>
  <r>
    <x v="12"/>
  </r>
  <r>
    <x v="12"/>
  </r>
  <r>
    <x v="6"/>
  </r>
  <r>
    <x v="4"/>
  </r>
  <r>
    <x v="1"/>
  </r>
  <r>
    <x v="1"/>
  </r>
  <r>
    <x v="1"/>
  </r>
  <r>
    <x v="1"/>
  </r>
  <r>
    <x v="15"/>
  </r>
  <r>
    <x v="1"/>
  </r>
  <r>
    <x v="1"/>
  </r>
  <r>
    <x v="12"/>
  </r>
  <r>
    <x v="2"/>
  </r>
  <r>
    <x v="15"/>
  </r>
  <r>
    <x v="1"/>
  </r>
  <r>
    <x v="4"/>
  </r>
  <r>
    <x v="4"/>
  </r>
  <r>
    <x v="9"/>
  </r>
  <r>
    <x v="4"/>
  </r>
  <r>
    <x v="12"/>
  </r>
  <r>
    <x v="1"/>
  </r>
  <r>
    <x v="0"/>
  </r>
  <r>
    <x v="1"/>
  </r>
  <r>
    <x v="8"/>
  </r>
  <r>
    <x v="1"/>
  </r>
  <r>
    <x v="14"/>
  </r>
  <r>
    <x v="12"/>
  </r>
  <r>
    <x v="6"/>
  </r>
  <r>
    <x v="0"/>
  </r>
  <r>
    <x v="1"/>
  </r>
  <r>
    <x v="12"/>
  </r>
  <r>
    <x v="11"/>
  </r>
  <r>
    <x v="1"/>
  </r>
  <r>
    <x v="0"/>
  </r>
  <r>
    <x v="7"/>
  </r>
  <r>
    <x v="4"/>
  </r>
  <r>
    <x v="3"/>
  </r>
  <r>
    <x v="6"/>
  </r>
  <r>
    <x v="12"/>
  </r>
  <r>
    <x v="4"/>
  </r>
  <r>
    <x v="1"/>
  </r>
  <r>
    <x v="1"/>
  </r>
  <r>
    <x v="1"/>
  </r>
  <r>
    <x v="9"/>
  </r>
  <r>
    <x v="0"/>
  </r>
  <r>
    <x v="0"/>
  </r>
  <r>
    <x v="0"/>
  </r>
  <r>
    <x v="12"/>
  </r>
  <r>
    <x v="4"/>
  </r>
  <r>
    <x v="0"/>
  </r>
  <r>
    <x v="6"/>
  </r>
  <r>
    <x v="1"/>
  </r>
  <r>
    <x v="14"/>
  </r>
  <r>
    <x v="6"/>
  </r>
  <r>
    <x v="4"/>
  </r>
  <r>
    <x v="1"/>
  </r>
  <r>
    <x v="14"/>
  </r>
  <r>
    <x v="12"/>
  </r>
  <r>
    <x v="6"/>
  </r>
  <r>
    <x v="1"/>
  </r>
  <r>
    <x v="7"/>
  </r>
  <r>
    <x v="1"/>
  </r>
  <r>
    <x v="0"/>
  </r>
  <r>
    <x v="6"/>
  </r>
  <r>
    <x v="6"/>
  </r>
  <r>
    <x v="1"/>
  </r>
  <r>
    <x v="1"/>
  </r>
  <r>
    <x v="5"/>
  </r>
  <r>
    <x v="1"/>
  </r>
  <r>
    <x v="1"/>
  </r>
  <r>
    <x v="4"/>
  </r>
  <r>
    <x v="12"/>
  </r>
  <r>
    <x v="4"/>
  </r>
  <r>
    <x v="6"/>
  </r>
  <r>
    <x v="12"/>
  </r>
  <r>
    <x v="1"/>
  </r>
  <r>
    <x v="2"/>
  </r>
  <r>
    <x v="1"/>
  </r>
  <r>
    <x v="1"/>
  </r>
  <r>
    <x v="1"/>
  </r>
  <r>
    <x v="4"/>
  </r>
  <r>
    <x v="0"/>
  </r>
  <r>
    <x v="1"/>
  </r>
  <r>
    <x v="4"/>
  </r>
  <r>
    <x v="6"/>
  </r>
  <r>
    <x v="1"/>
  </r>
  <r>
    <x v="1"/>
  </r>
  <r>
    <x v="1"/>
  </r>
  <r>
    <x v="11"/>
  </r>
  <r>
    <x v="11"/>
  </r>
  <r>
    <x v="15"/>
  </r>
  <r>
    <x v="1"/>
  </r>
  <r>
    <x v="4"/>
  </r>
  <r>
    <x v="1"/>
  </r>
  <r>
    <x v="14"/>
  </r>
  <r>
    <x v="1"/>
  </r>
  <r>
    <x v="4"/>
  </r>
  <r>
    <x v="9"/>
  </r>
  <r>
    <x v="14"/>
  </r>
  <r>
    <x v="1"/>
  </r>
  <r>
    <x v="12"/>
  </r>
  <r>
    <x v="5"/>
  </r>
  <r>
    <x v="6"/>
  </r>
  <r>
    <x v="11"/>
  </r>
  <r>
    <x v="6"/>
  </r>
  <r>
    <x v="1"/>
  </r>
  <r>
    <x v="1"/>
  </r>
  <r>
    <x v="12"/>
  </r>
  <r>
    <x v="1"/>
  </r>
  <r>
    <x v="12"/>
  </r>
  <r>
    <x v="3"/>
  </r>
  <r>
    <x v="4"/>
  </r>
  <r>
    <x v="1"/>
  </r>
  <r>
    <x v="1"/>
  </r>
  <r>
    <x v="6"/>
  </r>
  <r>
    <x v="1"/>
  </r>
  <r>
    <x v="6"/>
  </r>
  <r>
    <x v="1"/>
  </r>
  <r>
    <x v="4"/>
  </r>
  <r>
    <x v="1"/>
  </r>
  <r>
    <x v="13"/>
  </r>
  <r>
    <x v="1"/>
  </r>
  <r>
    <x v="12"/>
  </r>
  <r>
    <x v="1"/>
  </r>
  <r>
    <x v="1"/>
  </r>
  <r>
    <x v="1"/>
  </r>
  <r>
    <x v="7"/>
  </r>
  <r>
    <x v="1"/>
  </r>
  <r>
    <x v="3"/>
  </r>
  <r>
    <x v="5"/>
  </r>
  <r>
    <x v="1"/>
  </r>
  <r>
    <x v="1"/>
  </r>
  <r>
    <x v="1"/>
  </r>
  <r>
    <x v="1"/>
  </r>
  <r>
    <x v="1"/>
  </r>
  <r>
    <x v="1"/>
  </r>
  <r>
    <x v="11"/>
  </r>
  <r>
    <x v="3"/>
  </r>
  <r>
    <x v="1"/>
  </r>
  <r>
    <x v="1"/>
  </r>
  <r>
    <x v="1"/>
  </r>
  <r>
    <x v="11"/>
  </r>
  <r>
    <x v="7"/>
  </r>
  <r>
    <x v="1"/>
  </r>
  <r>
    <x v="3"/>
  </r>
  <r>
    <x v="4"/>
  </r>
  <r>
    <x v="7"/>
  </r>
  <r>
    <x v="4"/>
  </r>
  <r>
    <x v="1"/>
  </r>
  <r>
    <x v="8"/>
  </r>
  <r>
    <x v="14"/>
  </r>
  <r>
    <x v="0"/>
  </r>
  <r>
    <x v="12"/>
  </r>
  <r>
    <x v="1"/>
  </r>
  <r>
    <x v="12"/>
  </r>
  <r>
    <x v="8"/>
  </r>
  <r>
    <x v="1"/>
  </r>
  <r>
    <x v="1"/>
  </r>
  <r>
    <x v="8"/>
  </r>
  <r>
    <x v="6"/>
  </r>
  <r>
    <x v="1"/>
  </r>
  <r>
    <x v="12"/>
  </r>
  <r>
    <x v="12"/>
  </r>
  <r>
    <x v="1"/>
  </r>
  <r>
    <x v="12"/>
  </r>
  <r>
    <x v="1"/>
  </r>
  <r>
    <x v="6"/>
  </r>
  <r>
    <x v="1"/>
  </r>
  <r>
    <x v="1"/>
  </r>
  <r>
    <x v="4"/>
  </r>
  <r>
    <x v="14"/>
  </r>
  <r>
    <x v="12"/>
  </r>
  <r>
    <x v="1"/>
  </r>
  <r>
    <x v="6"/>
  </r>
  <r>
    <x v="3"/>
  </r>
  <r>
    <x v="0"/>
  </r>
  <r>
    <x v="1"/>
  </r>
  <r>
    <x v="1"/>
  </r>
  <r>
    <x v="4"/>
  </r>
  <r>
    <x v="1"/>
  </r>
  <r>
    <x v="4"/>
  </r>
  <r>
    <x v="1"/>
  </r>
  <r>
    <x v="4"/>
  </r>
  <r>
    <x v="12"/>
  </r>
  <r>
    <x v="4"/>
  </r>
  <r>
    <x v="7"/>
  </r>
  <r>
    <x v="6"/>
  </r>
  <r>
    <x v="1"/>
  </r>
  <r>
    <x v="12"/>
  </r>
  <r>
    <x v="0"/>
  </r>
  <r>
    <x v="11"/>
  </r>
  <r>
    <x v="6"/>
  </r>
  <r>
    <x v="1"/>
  </r>
  <r>
    <x v="1"/>
  </r>
  <r>
    <x v="1"/>
  </r>
  <r>
    <x v="6"/>
  </r>
  <r>
    <x v="12"/>
  </r>
  <r>
    <x v="12"/>
  </r>
  <r>
    <x v="6"/>
  </r>
  <r>
    <x v="1"/>
  </r>
  <r>
    <x v="4"/>
  </r>
  <r>
    <x v="14"/>
  </r>
  <r>
    <x v="0"/>
  </r>
  <r>
    <x v="1"/>
  </r>
  <r>
    <x v="12"/>
  </r>
  <r>
    <x v="5"/>
  </r>
  <r>
    <x v="1"/>
  </r>
  <r>
    <x v="0"/>
  </r>
  <r>
    <x v="0"/>
  </r>
  <r>
    <x v="0"/>
  </r>
  <r>
    <x v="12"/>
  </r>
  <r>
    <x v="1"/>
  </r>
  <r>
    <x v="11"/>
  </r>
  <r>
    <x v="14"/>
  </r>
  <r>
    <x v="6"/>
  </r>
  <r>
    <x v="6"/>
  </r>
  <r>
    <x v="14"/>
  </r>
  <r>
    <x v="6"/>
  </r>
  <r>
    <x v="0"/>
  </r>
  <r>
    <x v="13"/>
  </r>
  <r>
    <x v="1"/>
  </r>
  <r>
    <x v="5"/>
  </r>
  <r>
    <x v="0"/>
  </r>
  <r>
    <x v="1"/>
  </r>
  <r>
    <x v="7"/>
  </r>
  <r>
    <x v="12"/>
  </r>
  <r>
    <x v="1"/>
  </r>
  <r>
    <x v="1"/>
  </r>
  <r>
    <x v="0"/>
  </r>
  <r>
    <x v="12"/>
  </r>
  <r>
    <x v="0"/>
  </r>
  <r>
    <x v="2"/>
  </r>
  <r>
    <x v="12"/>
  </r>
  <r>
    <x v="4"/>
  </r>
  <r>
    <x v="1"/>
  </r>
  <r>
    <x v="9"/>
  </r>
  <r>
    <x v="4"/>
  </r>
  <r>
    <x v="1"/>
  </r>
  <r>
    <x v="1"/>
  </r>
  <r>
    <x v="14"/>
  </r>
  <r>
    <x v="12"/>
  </r>
  <r>
    <x v="1"/>
  </r>
  <r>
    <x v="7"/>
  </r>
  <r>
    <x v="4"/>
  </r>
  <r>
    <x v="11"/>
  </r>
  <r>
    <x v="0"/>
  </r>
  <r>
    <x v="12"/>
  </r>
  <r>
    <x v="1"/>
  </r>
  <r>
    <x v="1"/>
  </r>
  <r>
    <x v="1"/>
  </r>
  <r>
    <x v="1"/>
  </r>
  <r>
    <x v="0"/>
  </r>
  <r>
    <x v="1"/>
  </r>
  <r>
    <x v="3"/>
  </r>
  <r>
    <x v="4"/>
  </r>
  <r>
    <x v="1"/>
  </r>
  <r>
    <x v="11"/>
  </r>
  <r>
    <x v="4"/>
  </r>
  <r>
    <x v="6"/>
  </r>
  <r>
    <x v="1"/>
  </r>
  <r>
    <x v="6"/>
  </r>
  <r>
    <x v="1"/>
  </r>
  <r>
    <x v="11"/>
  </r>
  <r>
    <x v="11"/>
  </r>
  <r>
    <x v="0"/>
  </r>
  <r>
    <x v="1"/>
  </r>
  <r>
    <x v="6"/>
  </r>
  <r>
    <x v="6"/>
  </r>
  <r>
    <x v="12"/>
  </r>
  <r>
    <x v="0"/>
  </r>
  <r>
    <x v="1"/>
  </r>
  <r>
    <x v="12"/>
  </r>
  <r>
    <x v="14"/>
  </r>
  <r>
    <x v="0"/>
  </r>
  <r>
    <x v="1"/>
  </r>
  <r>
    <x v="1"/>
  </r>
  <r>
    <x v="1"/>
  </r>
  <r>
    <x v="1"/>
  </r>
  <r>
    <x v="15"/>
  </r>
  <r>
    <x v="11"/>
  </r>
  <r>
    <x v="5"/>
  </r>
  <r>
    <x v="1"/>
  </r>
  <r>
    <x v="9"/>
  </r>
  <r>
    <x v="6"/>
  </r>
  <r>
    <x v="4"/>
  </r>
  <r>
    <x v="1"/>
  </r>
  <r>
    <x v="1"/>
  </r>
  <r>
    <x v="1"/>
  </r>
  <r>
    <x v="3"/>
  </r>
  <r>
    <x v="9"/>
  </r>
  <r>
    <x v="1"/>
  </r>
  <r>
    <x v="6"/>
  </r>
  <r>
    <x v="4"/>
  </r>
  <r>
    <x v="4"/>
  </r>
  <r>
    <x v="10"/>
  </r>
  <r>
    <x v="1"/>
  </r>
  <r>
    <x v="0"/>
  </r>
  <r>
    <x v="1"/>
  </r>
  <r>
    <x v="1"/>
  </r>
  <r>
    <x v="0"/>
  </r>
  <r>
    <x v="8"/>
  </r>
  <r>
    <x v="9"/>
  </r>
  <r>
    <x v="1"/>
  </r>
  <r>
    <x v="1"/>
  </r>
  <r>
    <x v="6"/>
  </r>
  <r>
    <x v="1"/>
  </r>
  <r>
    <x v="4"/>
  </r>
  <r>
    <x v="6"/>
  </r>
  <r>
    <x v="1"/>
  </r>
  <r>
    <x v="7"/>
  </r>
  <r>
    <x v="1"/>
  </r>
  <r>
    <x v="1"/>
  </r>
  <r>
    <x v="11"/>
  </r>
  <r>
    <x v="6"/>
  </r>
  <r>
    <x v="1"/>
  </r>
  <r>
    <x v="1"/>
  </r>
  <r>
    <x v="14"/>
  </r>
  <r>
    <x v="9"/>
  </r>
  <r>
    <x v="1"/>
  </r>
  <r>
    <x v="8"/>
  </r>
  <r>
    <x v="0"/>
  </r>
  <r>
    <x v="4"/>
  </r>
  <r>
    <x v="1"/>
  </r>
  <r>
    <x v="1"/>
  </r>
  <r>
    <x v="12"/>
  </r>
  <r>
    <x v="1"/>
  </r>
  <r>
    <x v="12"/>
  </r>
  <r>
    <x v="9"/>
  </r>
  <r>
    <x v="1"/>
  </r>
  <r>
    <x v="7"/>
  </r>
  <r>
    <x v="12"/>
  </r>
  <r>
    <x v="1"/>
  </r>
  <r>
    <x v="4"/>
  </r>
  <r>
    <x v="0"/>
  </r>
  <r>
    <x v="12"/>
  </r>
  <r>
    <x v="11"/>
  </r>
  <r>
    <x v="1"/>
  </r>
  <r>
    <x v="6"/>
  </r>
  <r>
    <x v="2"/>
  </r>
  <r>
    <x v="1"/>
  </r>
  <r>
    <x v="14"/>
  </r>
  <r>
    <x v="1"/>
  </r>
  <r>
    <x v="1"/>
  </r>
  <r>
    <x v="12"/>
  </r>
  <r>
    <x v="0"/>
  </r>
  <r>
    <x v="3"/>
  </r>
  <r>
    <x v="1"/>
  </r>
  <r>
    <x v="0"/>
  </r>
  <r>
    <x v="5"/>
  </r>
  <r>
    <x v="1"/>
  </r>
  <r>
    <x v="3"/>
  </r>
  <r>
    <x v="12"/>
  </r>
  <r>
    <x v="0"/>
  </r>
  <r>
    <x v="6"/>
  </r>
  <r>
    <x v="0"/>
  </r>
  <r>
    <x v="1"/>
  </r>
  <r>
    <x v="1"/>
  </r>
  <r>
    <x v="0"/>
  </r>
  <r>
    <x v="7"/>
  </r>
  <r>
    <x v="2"/>
  </r>
  <r>
    <x v="1"/>
  </r>
  <r>
    <x v="4"/>
  </r>
  <r>
    <x v="0"/>
  </r>
  <r>
    <x v="4"/>
  </r>
  <r>
    <x v="9"/>
  </r>
  <r>
    <x v="1"/>
  </r>
  <r>
    <x v="1"/>
  </r>
  <r>
    <x v="12"/>
  </r>
  <r>
    <x v="4"/>
  </r>
  <r>
    <x v="1"/>
  </r>
  <r>
    <x v="0"/>
  </r>
  <r>
    <x v="3"/>
  </r>
  <r>
    <x v="1"/>
  </r>
  <r>
    <x v="2"/>
  </r>
  <r>
    <x v="0"/>
  </r>
  <r>
    <x v="1"/>
  </r>
  <r>
    <x v="1"/>
  </r>
  <r>
    <x v="11"/>
  </r>
  <r>
    <x v="1"/>
  </r>
  <r>
    <x v="14"/>
  </r>
  <r>
    <x v="4"/>
  </r>
  <r>
    <x v="3"/>
  </r>
  <r>
    <x v="1"/>
  </r>
  <r>
    <x v="1"/>
  </r>
  <r>
    <x v="1"/>
  </r>
  <r>
    <x v="1"/>
  </r>
  <r>
    <x v="6"/>
  </r>
  <r>
    <x v="6"/>
  </r>
  <r>
    <x v="10"/>
  </r>
  <r>
    <x v="1"/>
  </r>
  <r>
    <x v="13"/>
  </r>
  <r>
    <x v="7"/>
  </r>
  <r>
    <x v="4"/>
  </r>
  <r>
    <x v="12"/>
  </r>
  <r>
    <x v="11"/>
  </r>
  <r>
    <x v="2"/>
  </r>
  <r>
    <x v="1"/>
  </r>
  <r>
    <x v="1"/>
  </r>
  <r>
    <x v="1"/>
  </r>
  <r>
    <x v="1"/>
  </r>
  <r>
    <x v="12"/>
  </r>
  <r>
    <x v="1"/>
  </r>
  <r>
    <x v="11"/>
  </r>
  <r>
    <x v="1"/>
  </r>
  <r>
    <x v="0"/>
  </r>
  <r>
    <x v="11"/>
  </r>
  <r>
    <x v="1"/>
  </r>
  <r>
    <x v="1"/>
  </r>
  <r>
    <x v="6"/>
  </r>
  <r>
    <x v="8"/>
  </r>
  <r>
    <x v="13"/>
  </r>
  <r>
    <x v="14"/>
  </r>
  <r>
    <x v="6"/>
  </r>
  <r>
    <x v="1"/>
  </r>
  <r>
    <x v="6"/>
  </r>
  <r>
    <x v="11"/>
  </r>
  <r>
    <x v="4"/>
  </r>
  <r>
    <x v="14"/>
  </r>
  <r>
    <x v="11"/>
  </r>
  <r>
    <x v="4"/>
  </r>
  <r>
    <x v="13"/>
  </r>
  <r>
    <x v="8"/>
  </r>
  <r>
    <x v="1"/>
  </r>
  <r>
    <x v="4"/>
  </r>
  <r>
    <x v="9"/>
  </r>
  <r>
    <x v="6"/>
  </r>
  <r>
    <x v="4"/>
  </r>
  <r>
    <x v="4"/>
  </r>
  <r>
    <x v="0"/>
  </r>
  <r>
    <x v="8"/>
  </r>
  <r>
    <x v="1"/>
  </r>
  <r>
    <x v="12"/>
  </r>
  <r>
    <x v="12"/>
  </r>
  <r>
    <x v="1"/>
  </r>
  <r>
    <x v="1"/>
  </r>
  <r>
    <x v="6"/>
  </r>
  <r>
    <x v="1"/>
  </r>
  <r>
    <x v="11"/>
  </r>
  <r>
    <x v="6"/>
  </r>
  <r>
    <x v="0"/>
  </r>
  <r>
    <x v="12"/>
  </r>
  <r>
    <x v="12"/>
  </r>
  <r>
    <x v="6"/>
  </r>
  <r>
    <x v="1"/>
  </r>
  <r>
    <x v="11"/>
  </r>
  <r>
    <x v="1"/>
  </r>
  <r>
    <x v="6"/>
  </r>
  <r>
    <x v="12"/>
  </r>
  <r>
    <x v="1"/>
  </r>
  <r>
    <x v="12"/>
  </r>
  <r>
    <x v="1"/>
  </r>
  <r>
    <x v="1"/>
  </r>
  <r>
    <x v="12"/>
  </r>
  <r>
    <x v="4"/>
  </r>
  <r>
    <x v="6"/>
  </r>
  <r>
    <x v="6"/>
  </r>
  <r>
    <x v="6"/>
  </r>
  <r>
    <x v="1"/>
  </r>
  <r>
    <x v="15"/>
  </r>
  <r>
    <x v="14"/>
  </r>
  <r>
    <x v="12"/>
  </r>
  <r>
    <x v="1"/>
  </r>
  <r>
    <x v="1"/>
  </r>
  <r>
    <x v="10"/>
  </r>
  <r>
    <x v="4"/>
  </r>
  <r>
    <x v="1"/>
  </r>
  <r>
    <x v="4"/>
  </r>
  <r>
    <x v="12"/>
  </r>
  <r>
    <x v="6"/>
  </r>
  <r>
    <x v="11"/>
  </r>
  <r>
    <x v="3"/>
  </r>
  <r>
    <x v="1"/>
  </r>
  <r>
    <x v="1"/>
  </r>
  <r>
    <x v="1"/>
  </r>
  <r>
    <x v="4"/>
  </r>
  <r>
    <x v="0"/>
  </r>
  <r>
    <x v="0"/>
  </r>
  <r>
    <x v="1"/>
  </r>
  <r>
    <x v="10"/>
  </r>
  <r>
    <x v="6"/>
  </r>
  <r>
    <x v="6"/>
  </r>
  <r>
    <x v="0"/>
  </r>
  <r>
    <x v="1"/>
  </r>
  <r>
    <x v="14"/>
  </r>
  <r>
    <x v="13"/>
  </r>
  <r>
    <x v="1"/>
  </r>
  <r>
    <x v="7"/>
  </r>
  <r>
    <x v="1"/>
  </r>
  <r>
    <x v="4"/>
  </r>
  <r>
    <x v="9"/>
  </r>
  <r>
    <x v="1"/>
  </r>
  <r>
    <x v="6"/>
  </r>
  <r>
    <x v="14"/>
  </r>
  <r>
    <x v="4"/>
  </r>
  <r>
    <x v="3"/>
  </r>
  <r>
    <x v="7"/>
  </r>
  <r>
    <x v="0"/>
  </r>
  <r>
    <x v="3"/>
  </r>
  <r>
    <x v="4"/>
  </r>
  <r>
    <x v="14"/>
  </r>
  <r>
    <x v="1"/>
  </r>
  <r>
    <x v="14"/>
  </r>
  <r>
    <x v="6"/>
  </r>
  <r>
    <x v="1"/>
  </r>
  <r>
    <x v="6"/>
  </r>
  <r>
    <x v="1"/>
  </r>
  <r>
    <x v="6"/>
  </r>
  <r>
    <x v="1"/>
  </r>
  <r>
    <x v="1"/>
  </r>
  <r>
    <x v="4"/>
  </r>
  <r>
    <x v="1"/>
  </r>
  <r>
    <x v="11"/>
  </r>
  <r>
    <x v="1"/>
  </r>
  <r>
    <x v="14"/>
  </r>
  <r>
    <x v="0"/>
  </r>
  <r>
    <x v="1"/>
  </r>
  <r>
    <x v="2"/>
  </r>
  <r>
    <x v="2"/>
  </r>
  <r>
    <x v="2"/>
  </r>
  <r>
    <x v="1"/>
  </r>
  <r>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E246F-DEB0-47EE-8BE9-5E8CA7329C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redit Card Type">
  <location ref="I2:J19" firstHeaderRow="1" firstDataRow="1" firstDataCol="1"/>
  <pivotFields count="1">
    <pivotField axis="axisRow" dataField="1" showAll="0">
      <items count="18">
        <item x="3"/>
        <item x="12"/>
        <item x="0"/>
        <item x="11"/>
        <item x="13"/>
        <item x="2"/>
        <item x="15"/>
        <item x="8"/>
        <item x="1"/>
        <item x="9"/>
        <item x="4"/>
        <item x="6"/>
        <item x="10"/>
        <item x="14"/>
        <item x="5"/>
        <item x="7"/>
        <item h="1" x="16"/>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 of Uses" fld="0"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16">
              <x v="0"/>
              <x v="1"/>
              <x v="2"/>
              <x v="3"/>
              <x v="4"/>
              <x v="5"/>
              <x v="6"/>
              <x v="7"/>
              <x v="8"/>
              <x v="9"/>
              <x v="10"/>
              <x v="11"/>
              <x v="12"/>
              <x v="13"/>
              <x v="14"/>
              <x v="15"/>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87"/>
  <sheetViews>
    <sheetView workbookViewId="0">
      <selection activeCell="I23" sqref="I23"/>
    </sheetView>
  </sheetViews>
  <sheetFormatPr defaultRowHeight="14.4" x14ac:dyDescent="0.3"/>
  <cols>
    <col min="1" max="1" width="4.88671875" bestFit="1" customWidth="1"/>
    <col min="2" max="2" width="10.88671875" bestFit="1" customWidth="1"/>
    <col min="3" max="3" width="11.88671875" bestFit="1" customWidth="1"/>
    <col min="4" max="4" width="32.5546875" customWidth="1"/>
    <col min="5" max="5" width="15.109375" customWidth="1"/>
    <col min="6" max="6" width="14" customWidth="1"/>
    <col min="7" max="7" width="35.109375" customWidth="1"/>
    <col min="8" max="8" width="7.109375" customWidth="1"/>
    <col min="9" max="9" width="43.6640625" bestFit="1" customWidth="1"/>
    <col min="10" max="10" width="9.44140625" bestFit="1" customWidth="1"/>
    <col min="11" max="11" width="17.44140625" bestFit="1" customWidth="1"/>
    <col min="12" max="12" width="14.44140625" bestFit="1" customWidth="1"/>
    <col min="13" max="13" width="23.109375" customWidth="1"/>
    <col min="14" max="14" width="10.6640625" bestFit="1" customWidth="1"/>
    <col min="15" max="15" width="17.88671875" customWidth="1"/>
    <col min="16" max="16" width="22.5546875" customWidth="1"/>
    <col min="17" max="17" width="8.6640625" customWidth="1"/>
    <col min="18" max="18" width="12.88671875" customWidth="1"/>
    <col min="19" max="19" width="10.88671875" style="10" bestFit="1" customWidth="1"/>
  </cols>
  <sheetData>
    <row r="1" spans="1:20" x14ac:dyDescent="0.3">
      <c r="A1" t="s">
        <v>0</v>
      </c>
      <c r="B1" t="s">
        <v>1</v>
      </c>
      <c r="C1" t="s">
        <v>2</v>
      </c>
      <c r="D1" t="s">
        <v>3</v>
      </c>
      <c r="E1" t="s">
        <v>4</v>
      </c>
      <c r="F1" t="s">
        <v>5</v>
      </c>
      <c r="G1" t="s">
        <v>6</v>
      </c>
      <c r="H1" t="s">
        <v>7</v>
      </c>
      <c r="I1" t="s">
        <v>8</v>
      </c>
      <c r="J1" t="s">
        <v>9</v>
      </c>
      <c r="K1" t="s">
        <v>2227</v>
      </c>
      <c r="L1" t="s">
        <v>2226</v>
      </c>
      <c r="M1" t="s">
        <v>10</v>
      </c>
      <c r="N1" t="s">
        <v>11</v>
      </c>
      <c r="O1" t="s">
        <v>12</v>
      </c>
      <c r="P1" t="s">
        <v>13</v>
      </c>
      <c r="Q1" t="s">
        <v>14</v>
      </c>
      <c r="R1" t="s">
        <v>15</v>
      </c>
      <c r="S1" s="10" t="s">
        <v>2228</v>
      </c>
      <c r="T1" t="s">
        <v>2229</v>
      </c>
    </row>
    <row r="2" spans="1:20" x14ac:dyDescent="0.3">
      <c r="A2">
        <v>1021</v>
      </c>
      <c r="B2" t="s">
        <v>16</v>
      </c>
      <c r="C2" t="s">
        <v>17</v>
      </c>
      <c r="D2" t="s">
        <v>18</v>
      </c>
      <c r="E2" t="s">
        <v>19</v>
      </c>
      <c r="F2" t="s">
        <v>20</v>
      </c>
      <c r="G2" t="s">
        <v>21</v>
      </c>
      <c r="H2" t="s">
        <v>22</v>
      </c>
      <c r="I2" t="s">
        <v>23</v>
      </c>
      <c r="J2" s="1">
        <v>755</v>
      </c>
      <c r="K2" s="1">
        <v>26.03448275862069</v>
      </c>
      <c r="L2" s="3">
        <v>29</v>
      </c>
      <c r="M2" t="s">
        <v>24</v>
      </c>
      <c r="N2" s="2">
        <v>43831</v>
      </c>
      <c r="O2" t="s">
        <v>25</v>
      </c>
      <c r="P2" t="s">
        <v>26</v>
      </c>
      <c r="Q2">
        <v>48555</v>
      </c>
      <c r="R2" t="s">
        <v>27</v>
      </c>
      <c r="S2" s="10">
        <v>51.039125686865582</v>
      </c>
      <c r="T2">
        <v>44</v>
      </c>
    </row>
    <row r="3" spans="1:20" x14ac:dyDescent="0.3">
      <c r="A3">
        <v>1772</v>
      </c>
      <c r="B3" t="s">
        <v>28</v>
      </c>
      <c r="C3" t="s">
        <v>29</v>
      </c>
      <c r="D3" t="s">
        <v>30</v>
      </c>
      <c r="E3" t="s">
        <v>31</v>
      </c>
      <c r="F3" t="s">
        <v>32</v>
      </c>
      <c r="G3" t="s">
        <v>33</v>
      </c>
      <c r="H3" t="s">
        <v>34</v>
      </c>
      <c r="I3" t="s">
        <v>35</v>
      </c>
      <c r="J3" s="1">
        <v>390</v>
      </c>
      <c r="K3" s="1">
        <v>30</v>
      </c>
      <c r="L3" s="3">
        <v>13</v>
      </c>
      <c r="M3" t="s">
        <v>36</v>
      </c>
      <c r="N3" s="2">
        <v>43831</v>
      </c>
      <c r="O3" t="s">
        <v>37</v>
      </c>
      <c r="P3" t="s">
        <v>38</v>
      </c>
      <c r="Q3">
        <v>93407</v>
      </c>
      <c r="R3" t="s">
        <v>27</v>
      </c>
      <c r="S3" s="10">
        <v>30.72550127490161</v>
      </c>
      <c r="T3">
        <v>16</v>
      </c>
    </row>
    <row r="4" spans="1:20" x14ac:dyDescent="0.3">
      <c r="A4">
        <v>1524</v>
      </c>
      <c r="B4" t="s">
        <v>39</v>
      </c>
      <c r="C4" t="s">
        <v>40</v>
      </c>
      <c r="D4" t="s">
        <v>41</v>
      </c>
      <c r="E4" t="s">
        <v>42</v>
      </c>
      <c r="F4" t="s">
        <v>43</v>
      </c>
      <c r="G4" t="s">
        <v>44</v>
      </c>
      <c r="H4" t="s">
        <v>34</v>
      </c>
      <c r="I4" t="s">
        <v>45</v>
      </c>
      <c r="J4" s="1">
        <v>323</v>
      </c>
      <c r="K4" s="1">
        <v>46.142857142857146</v>
      </c>
      <c r="L4" s="3">
        <v>7</v>
      </c>
      <c r="M4" t="s">
        <v>46</v>
      </c>
      <c r="N4" s="2">
        <v>43832</v>
      </c>
      <c r="O4" t="s">
        <v>47</v>
      </c>
      <c r="P4" t="s">
        <v>48</v>
      </c>
      <c r="Q4">
        <v>23293</v>
      </c>
      <c r="R4" t="s">
        <v>27</v>
      </c>
      <c r="S4" s="10">
        <v>14.97825521785537</v>
      </c>
      <c r="T4">
        <v>10</v>
      </c>
    </row>
    <row r="5" spans="1:20" x14ac:dyDescent="0.3">
      <c r="A5">
        <v>1116</v>
      </c>
      <c r="B5" t="s">
        <v>49</v>
      </c>
      <c r="C5" t="s">
        <v>50</v>
      </c>
      <c r="D5" t="s">
        <v>51</v>
      </c>
      <c r="E5" t="s">
        <v>52</v>
      </c>
      <c r="F5" t="s">
        <v>53</v>
      </c>
      <c r="G5" t="s">
        <v>54</v>
      </c>
      <c r="H5" t="s">
        <v>22</v>
      </c>
      <c r="I5" t="s">
        <v>55</v>
      </c>
      <c r="J5" s="1">
        <v>347</v>
      </c>
      <c r="K5" s="1">
        <v>34.700000000000003</v>
      </c>
      <c r="L5" s="3">
        <v>10</v>
      </c>
      <c r="M5" t="s">
        <v>56</v>
      </c>
      <c r="N5" s="2">
        <v>43836</v>
      </c>
      <c r="O5" t="s">
        <v>57</v>
      </c>
      <c r="P5" t="s">
        <v>58</v>
      </c>
      <c r="Q5">
        <v>30096</v>
      </c>
      <c r="R5" t="s">
        <v>27</v>
      </c>
      <c r="S5" s="10">
        <v>16.51433984215889</v>
      </c>
      <c r="T5">
        <v>15</v>
      </c>
    </row>
    <row r="6" spans="1:20" x14ac:dyDescent="0.3">
      <c r="A6">
        <v>1234</v>
      </c>
      <c r="B6" t="s">
        <v>59</v>
      </c>
      <c r="C6" t="s">
        <v>60</v>
      </c>
      <c r="D6" t="s">
        <v>61</v>
      </c>
      <c r="E6" t="s">
        <v>62</v>
      </c>
      <c r="F6" t="s">
        <v>63</v>
      </c>
      <c r="G6" t="s">
        <v>64</v>
      </c>
      <c r="H6" t="s">
        <v>34</v>
      </c>
      <c r="I6" t="s">
        <v>65</v>
      </c>
      <c r="J6" s="1">
        <v>917</v>
      </c>
      <c r="K6" s="1">
        <v>35.269230769230766</v>
      </c>
      <c r="L6" s="3">
        <v>26</v>
      </c>
      <c r="M6" t="s">
        <v>66</v>
      </c>
      <c r="N6" s="2">
        <v>43836</v>
      </c>
      <c r="O6" t="s">
        <v>67</v>
      </c>
      <c r="P6" t="s">
        <v>68</v>
      </c>
      <c r="Q6">
        <v>78710</v>
      </c>
      <c r="R6" t="s">
        <v>27</v>
      </c>
      <c r="S6" s="10">
        <v>39.558071783998287</v>
      </c>
      <c r="T6">
        <v>47</v>
      </c>
    </row>
    <row r="7" spans="1:20" x14ac:dyDescent="0.3">
      <c r="A7">
        <v>1528</v>
      </c>
      <c r="B7" t="s">
        <v>69</v>
      </c>
      <c r="C7" t="s">
        <v>70</v>
      </c>
      <c r="D7" t="s">
        <v>71</v>
      </c>
      <c r="E7" t="s">
        <v>72</v>
      </c>
      <c r="F7" t="s">
        <v>73</v>
      </c>
      <c r="G7" t="s">
        <v>74</v>
      </c>
      <c r="H7" t="s">
        <v>22</v>
      </c>
      <c r="I7" t="s">
        <v>75</v>
      </c>
      <c r="J7" s="1">
        <v>824</v>
      </c>
      <c r="K7" s="1">
        <v>35.826086956521742</v>
      </c>
      <c r="L7" s="3">
        <v>23</v>
      </c>
      <c r="M7" t="s">
        <v>56</v>
      </c>
      <c r="N7" s="2">
        <v>43838</v>
      </c>
      <c r="O7" t="s">
        <v>37</v>
      </c>
      <c r="P7" t="s">
        <v>76</v>
      </c>
      <c r="Q7">
        <v>91406</v>
      </c>
      <c r="R7" t="s">
        <v>27</v>
      </c>
      <c r="S7" s="10">
        <v>32.986387879435277</v>
      </c>
      <c r="T7">
        <v>51</v>
      </c>
    </row>
    <row r="8" spans="1:20" x14ac:dyDescent="0.3">
      <c r="A8">
        <v>1026</v>
      </c>
      <c r="B8" t="s">
        <v>77</v>
      </c>
      <c r="C8" t="s">
        <v>78</v>
      </c>
      <c r="D8" t="s">
        <v>79</v>
      </c>
      <c r="E8" t="s">
        <v>80</v>
      </c>
      <c r="F8" t="s">
        <v>81</v>
      </c>
      <c r="G8" t="s">
        <v>82</v>
      </c>
      <c r="H8" t="s">
        <v>22</v>
      </c>
      <c r="I8" t="s">
        <v>23</v>
      </c>
      <c r="J8" s="1">
        <v>98</v>
      </c>
      <c r="K8" s="1">
        <v>49</v>
      </c>
      <c r="L8" s="3">
        <v>2</v>
      </c>
      <c r="M8" t="s">
        <v>36</v>
      </c>
      <c r="N8" s="2">
        <v>43840</v>
      </c>
      <c r="O8" t="s">
        <v>83</v>
      </c>
      <c r="P8" t="s">
        <v>84</v>
      </c>
      <c r="Q8">
        <v>10469</v>
      </c>
      <c r="R8" t="s">
        <v>27</v>
      </c>
      <c r="S8" s="10">
        <v>3.0464686456416472</v>
      </c>
      <c r="T8">
        <v>3</v>
      </c>
    </row>
    <row r="9" spans="1:20" x14ac:dyDescent="0.3">
      <c r="A9">
        <v>1489</v>
      </c>
      <c r="B9" t="s">
        <v>85</v>
      </c>
      <c r="C9" t="s">
        <v>86</v>
      </c>
      <c r="D9" t="s">
        <v>87</v>
      </c>
      <c r="E9" t="s">
        <v>88</v>
      </c>
      <c r="F9" t="s">
        <v>89</v>
      </c>
      <c r="G9" t="s">
        <v>90</v>
      </c>
      <c r="H9" t="s">
        <v>34</v>
      </c>
      <c r="I9" t="s">
        <v>23</v>
      </c>
      <c r="J9" s="1">
        <v>224</v>
      </c>
      <c r="K9" s="1">
        <v>24.888888888888889</v>
      </c>
      <c r="L9" s="3">
        <v>9</v>
      </c>
      <c r="M9" t="s">
        <v>66</v>
      </c>
      <c r="N9" s="2">
        <v>43840</v>
      </c>
      <c r="O9" t="s">
        <v>47</v>
      </c>
      <c r="P9" t="s">
        <v>91</v>
      </c>
      <c r="Q9">
        <v>23668</v>
      </c>
      <c r="R9" t="s">
        <v>27</v>
      </c>
      <c r="S9" s="10">
        <v>15.005652291409143</v>
      </c>
      <c r="T9">
        <v>14</v>
      </c>
    </row>
    <row r="10" spans="1:20" x14ac:dyDescent="0.3">
      <c r="A10">
        <v>1397</v>
      </c>
      <c r="B10" t="s">
        <v>92</v>
      </c>
      <c r="C10" t="s">
        <v>93</v>
      </c>
      <c r="D10" t="s">
        <v>94</v>
      </c>
      <c r="E10" t="s">
        <v>95</v>
      </c>
      <c r="F10" t="s">
        <v>96</v>
      </c>
      <c r="G10" t="s">
        <v>97</v>
      </c>
      <c r="H10" t="s">
        <v>22</v>
      </c>
      <c r="I10" t="s">
        <v>98</v>
      </c>
      <c r="J10" s="1">
        <v>229</v>
      </c>
      <c r="K10" s="1">
        <v>32.714285714285715</v>
      </c>
      <c r="L10" s="3">
        <v>7</v>
      </c>
      <c r="M10" t="s">
        <v>99</v>
      </c>
      <c r="N10" s="2">
        <v>43841</v>
      </c>
      <c r="O10" t="s">
        <v>100</v>
      </c>
      <c r="P10" t="s">
        <v>101</v>
      </c>
      <c r="Q10">
        <v>52410</v>
      </c>
      <c r="R10" t="s">
        <v>27</v>
      </c>
      <c r="S10" s="10">
        <v>12.848345978436679</v>
      </c>
      <c r="T10">
        <v>13</v>
      </c>
    </row>
    <row r="11" spans="1:20" x14ac:dyDescent="0.3">
      <c r="A11">
        <v>1929</v>
      </c>
      <c r="B11" t="s">
        <v>102</v>
      </c>
      <c r="C11" t="s">
        <v>103</v>
      </c>
      <c r="D11" t="s">
        <v>104</v>
      </c>
      <c r="E11" t="s">
        <v>105</v>
      </c>
      <c r="F11" t="s">
        <v>106</v>
      </c>
      <c r="G11" t="s">
        <v>107</v>
      </c>
      <c r="H11" t="s">
        <v>34</v>
      </c>
      <c r="I11" t="s">
        <v>108</v>
      </c>
      <c r="J11" s="1">
        <v>619</v>
      </c>
      <c r="K11" s="1">
        <v>41.266666666666666</v>
      </c>
      <c r="L11" s="3">
        <v>15</v>
      </c>
      <c r="M11" t="s">
        <v>56</v>
      </c>
      <c r="N11" s="2">
        <v>43841</v>
      </c>
      <c r="O11" t="s">
        <v>109</v>
      </c>
      <c r="P11" t="s">
        <v>110</v>
      </c>
      <c r="Q11">
        <v>70607</v>
      </c>
      <c r="R11" t="s">
        <v>27</v>
      </c>
      <c r="S11" s="10">
        <v>20.849852407119403</v>
      </c>
      <c r="T11">
        <v>29</v>
      </c>
    </row>
    <row r="12" spans="1:20" x14ac:dyDescent="0.3">
      <c r="A12">
        <v>1998</v>
      </c>
      <c r="B12" t="s">
        <v>111</v>
      </c>
      <c r="C12" t="s">
        <v>112</v>
      </c>
      <c r="D12" t="s">
        <v>113</v>
      </c>
      <c r="E12" t="s">
        <v>114</v>
      </c>
      <c r="F12" t="s">
        <v>115</v>
      </c>
      <c r="G12" t="s">
        <v>116</v>
      </c>
      <c r="H12" t="s">
        <v>34</v>
      </c>
      <c r="I12" t="s">
        <v>117</v>
      </c>
      <c r="J12" s="1">
        <v>271</v>
      </c>
      <c r="K12" s="1">
        <v>45.166666666666664</v>
      </c>
      <c r="L12" s="3">
        <v>6</v>
      </c>
      <c r="M12" t="s">
        <v>36</v>
      </c>
      <c r="N12" s="2">
        <v>43843</v>
      </c>
      <c r="O12" t="s">
        <v>118</v>
      </c>
      <c r="P12" t="s">
        <v>119</v>
      </c>
      <c r="Q12">
        <v>55146</v>
      </c>
      <c r="R12" t="s">
        <v>27</v>
      </c>
      <c r="S12" s="10">
        <v>11.478004101842998</v>
      </c>
      <c r="T12">
        <v>11</v>
      </c>
    </row>
    <row r="13" spans="1:20" x14ac:dyDescent="0.3">
      <c r="A13">
        <v>1212</v>
      </c>
      <c r="B13" t="s">
        <v>120</v>
      </c>
      <c r="C13" t="s">
        <v>121</v>
      </c>
      <c r="D13" t="s">
        <v>122</v>
      </c>
      <c r="E13" t="s">
        <v>123</v>
      </c>
      <c r="F13" t="s">
        <v>124</v>
      </c>
      <c r="G13" t="s">
        <v>125</v>
      </c>
      <c r="H13" t="s">
        <v>22</v>
      </c>
      <c r="I13" t="s">
        <v>65</v>
      </c>
      <c r="J13" s="1">
        <v>208</v>
      </c>
      <c r="K13" s="1">
        <v>34.666666666666664</v>
      </c>
      <c r="L13" s="3">
        <v>6</v>
      </c>
      <c r="M13" t="s">
        <v>126</v>
      </c>
      <c r="N13" s="2">
        <v>43846</v>
      </c>
      <c r="O13" t="s">
        <v>127</v>
      </c>
      <c r="P13" t="s">
        <v>128</v>
      </c>
      <c r="Q13">
        <v>6183</v>
      </c>
      <c r="R13" t="s">
        <v>27</v>
      </c>
      <c r="S13" s="10">
        <v>8.277834062757556</v>
      </c>
      <c r="T13">
        <v>7</v>
      </c>
    </row>
    <row r="14" spans="1:20" x14ac:dyDescent="0.3">
      <c r="A14">
        <v>1489</v>
      </c>
      <c r="B14" t="s">
        <v>85</v>
      </c>
      <c r="C14" t="s">
        <v>86</v>
      </c>
      <c r="D14" t="s">
        <v>87</v>
      </c>
      <c r="E14" t="s">
        <v>88</v>
      </c>
      <c r="F14" t="s">
        <v>89</v>
      </c>
      <c r="G14" t="s">
        <v>90</v>
      </c>
      <c r="H14" t="s">
        <v>34</v>
      </c>
      <c r="I14" t="s">
        <v>23</v>
      </c>
      <c r="J14" s="1">
        <v>326</v>
      </c>
      <c r="K14" s="1">
        <v>25.076923076923077</v>
      </c>
      <c r="L14" s="3">
        <v>13</v>
      </c>
      <c r="M14" t="s">
        <v>66</v>
      </c>
      <c r="N14" s="2">
        <v>43849</v>
      </c>
      <c r="O14" t="s">
        <v>47</v>
      </c>
      <c r="P14" t="s">
        <v>91</v>
      </c>
      <c r="Q14">
        <v>23668</v>
      </c>
      <c r="R14" t="s">
        <v>27</v>
      </c>
      <c r="S14" s="10">
        <v>23.6111439577315</v>
      </c>
      <c r="T14">
        <v>20</v>
      </c>
    </row>
    <row r="15" spans="1:20" x14ac:dyDescent="0.3">
      <c r="A15">
        <v>1880</v>
      </c>
      <c r="B15" t="s">
        <v>129</v>
      </c>
      <c r="C15" t="s">
        <v>130</v>
      </c>
      <c r="D15" t="s">
        <v>131</v>
      </c>
      <c r="E15" t="s">
        <v>132</v>
      </c>
      <c r="F15" t="s">
        <v>133</v>
      </c>
      <c r="G15" t="s">
        <v>134</v>
      </c>
      <c r="H15" t="s">
        <v>22</v>
      </c>
      <c r="I15" t="s">
        <v>135</v>
      </c>
      <c r="J15" s="1">
        <v>699</v>
      </c>
      <c r="K15" s="1">
        <v>30.391304347826086</v>
      </c>
      <c r="L15" s="3">
        <v>23</v>
      </c>
      <c r="M15" t="s">
        <v>36</v>
      </c>
      <c r="N15" s="2">
        <v>43849</v>
      </c>
      <c r="O15" t="s">
        <v>136</v>
      </c>
      <c r="P15" t="s">
        <v>137</v>
      </c>
      <c r="Q15">
        <v>60614</v>
      </c>
      <c r="R15" t="s">
        <v>27</v>
      </c>
      <c r="S15" s="10">
        <v>51.242365223816378</v>
      </c>
      <c r="T15">
        <v>40</v>
      </c>
    </row>
    <row r="16" spans="1:20" x14ac:dyDescent="0.3">
      <c r="A16">
        <v>1954</v>
      </c>
      <c r="B16" t="s">
        <v>138</v>
      </c>
      <c r="C16" t="s">
        <v>139</v>
      </c>
      <c r="D16" t="s">
        <v>140</v>
      </c>
      <c r="E16" t="s">
        <v>141</v>
      </c>
      <c r="F16" t="s">
        <v>106</v>
      </c>
      <c r="G16" t="s">
        <v>142</v>
      </c>
      <c r="H16" t="s">
        <v>34</v>
      </c>
      <c r="I16" t="s">
        <v>45</v>
      </c>
      <c r="J16" s="1">
        <v>143</v>
      </c>
      <c r="K16" s="1">
        <v>35.75</v>
      </c>
      <c r="L16" s="3">
        <v>4</v>
      </c>
      <c r="M16" t="s">
        <v>143</v>
      </c>
      <c r="N16" s="2">
        <v>43852</v>
      </c>
      <c r="O16" t="s">
        <v>144</v>
      </c>
      <c r="P16" t="s">
        <v>145</v>
      </c>
      <c r="Q16">
        <v>80255</v>
      </c>
      <c r="R16" t="s">
        <v>27</v>
      </c>
      <c r="S16" s="10">
        <v>9.342886838333456</v>
      </c>
      <c r="T16">
        <v>6</v>
      </c>
    </row>
    <row r="17" spans="1:20" x14ac:dyDescent="0.3">
      <c r="A17">
        <v>1014</v>
      </c>
      <c r="B17" t="s">
        <v>146</v>
      </c>
      <c r="C17" t="s">
        <v>147</v>
      </c>
      <c r="D17" t="s">
        <v>148</v>
      </c>
      <c r="E17" t="s">
        <v>149</v>
      </c>
      <c r="F17" t="s">
        <v>150</v>
      </c>
      <c r="G17" t="s">
        <v>151</v>
      </c>
      <c r="H17" t="s">
        <v>34</v>
      </c>
      <c r="I17" t="s">
        <v>23</v>
      </c>
      <c r="J17" s="1">
        <v>724</v>
      </c>
      <c r="K17" s="1">
        <v>27.846153846153847</v>
      </c>
      <c r="L17" s="3">
        <v>26</v>
      </c>
      <c r="M17" t="s">
        <v>36</v>
      </c>
      <c r="N17" s="2">
        <v>43857</v>
      </c>
      <c r="O17" t="s">
        <v>83</v>
      </c>
      <c r="P17" t="s">
        <v>152</v>
      </c>
      <c r="Q17">
        <v>14276</v>
      </c>
      <c r="R17" t="s">
        <v>27</v>
      </c>
      <c r="S17" s="10">
        <v>61.166168360734702</v>
      </c>
      <c r="T17">
        <v>58</v>
      </c>
    </row>
    <row r="18" spans="1:20" x14ac:dyDescent="0.3">
      <c r="A18">
        <v>1170</v>
      </c>
      <c r="B18" t="s">
        <v>153</v>
      </c>
      <c r="C18" t="s">
        <v>154</v>
      </c>
      <c r="D18" t="s">
        <v>155</v>
      </c>
      <c r="E18" t="s">
        <v>156</v>
      </c>
      <c r="F18" t="s">
        <v>157</v>
      </c>
      <c r="G18" t="s">
        <v>158</v>
      </c>
      <c r="H18" t="s">
        <v>34</v>
      </c>
      <c r="I18" t="s">
        <v>65</v>
      </c>
      <c r="J18" s="1">
        <v>425</v>
      </c>
      <c r="K18" s="1">
        <v>28.333333333333332</v>
      </c>
      <c r="L18" s="3">
        <v>15</v>
      </c>
      <c r="M18" t="s">
        <v>24</v>
      </c>
      <c r="N18" s="2">
        <v>43857</v>
      </c>
      <c r="O18" t="s">
        <v>67</v>
      </c>
      <c r="P18" t="s">
        <v>159</v>
      </c>
      <c r="Q18">
        <v>88574</v>
      </c>
      <c r="R18" t="s">
        <v>27</v>
      </c>
      <c r="S18" s="10">
        <v>28.861803328227133</v>
      </c>
      <c r="T18">
        <v>31</v>
      </c>
    </row>
    <row r="19" spans="1:20" x14ac:dyDescent="0.3">
      <c r="A19">
        <v>1880</v>
      </c>
      <c r="B19" t="s">
        <v>129</v>
      </c>
      <c r="C19" t="s">
        <v>130</v>
      </c>
      <c r="D19" t="s">
        <v>131</v>
      </c>
      <c r="E19" t="s">
        <v>132</v>
      </c>
      <c r="F19" t="s">
        <v>133</v>
      </c>
      <c r="G19" t="s">
        <v>134</v>
      </c>
      <c r="H19" t="s">
        <v>22</v>
      </c>
      <c r="I19" t="s">
        <v>135</v>
      </c>
      <c r="J19" s="1">
        <v>292</v>
      </c>
      <c r="K19" s="1">
        <v>36.5</v>
      </c>
      <c r="L19" s="3">
        <v>8</v>
      </c>
      <c r="M19" t="s">
        <v>36</v>
      </c>
      <c r="N19" s="2">
        <v>43858</v>
      </c>
      <c r="O19" t="s">
        <v>136</v>
      </c>
      <c r="P19" t="s">
        <v>137</v>
      </c>
      <c r="Q19">
        <v>60614</v>
      </c>
      <c r="R19" t="s">
        <v>27</v>
      </c>
      <c r="S19" s="10">
        <v>15.590706817703337</v>
      </c>
      <c r="T19">
        <v>15</v>
      </c>
    </row>
    <row r="20" spans="1:20" x14ac:dyDescent="0.3">
      <c r="A20">
        <v>1991</v>
      </c>
      <c r="B20" t="s">
        <v>160</v>
      </c>
      <c r="C20" t="s">
        <v>161</v>
      </c>
      <c r="D20" t="s">
        <v>162</v>
      </c>
      <c r="E20" t="s">
        <v>163</v>
      </c>
      <c r="F20" t="s">
        <v>164</v>
      </c>
      <c r="G20" t="s">
        <v>44</v>
      </c>
      <c r="H20" t="s">
        <v>22</v>
      </c>
      <c r="I20" t="s">
        <v>65</v>
      </c>
      <c r="J20" s="1">
        <v>794</v>
      </c>
      <c r="K20" s="1">
        <v>37.80952380952381</v>
      </c>
      <c r="L20" s="3">
        <v>21</v>
      </c>
      <c r="M20" t="s">
        <v>36</v>
      </c>
      <c r="N20" s="2">
        <v>43861</v>
      </c>
      <c r="O20" t="s">
        <v>165</v>
      </c>
      <c r="P20" t="s">
        <v>166</v>
      </c>
      <c r="Q20">
        <v>87180</v>
      </c>
      <c r="R20" t="s">
        <v>27</v>
      </c>
      <c r="S20" s="10">
        <v>51.327214362575404</v>
      </c>
      <c r="T20">
        <v>31</v>
      </c>
    </row>
    <row r="21" spans="1:20" x14ac:dyDescent="0.3">
      <c r="A21">
        <v>1996</v>
      </c>
      <c r="B21" t="s">
        <v>167</v>
      </c>
      <c r="C21" t="s">
        <v>168</v>
      </c>
      <c r="D21" t="s">
        <v>169</v>
      </c>
      <c r="E21" t="s">
        <v>170</v>
      </c>
      <c r="F21" t="s">
        <v>171</v>
      </c>
      <c r="G21" t="s">
        <v>172</v>
      </c>
      <c r="H21" t="s">
        <v>22</v>
      </c>
      <c r="I21" t="s">
        <v>65</v>
      </c>
      <c r="J21" s="1">
        <v>100</v>
      </c>
      <c r="K21" s="1">
        <v>33.333333333333336</v>
      </c>
      <c r="L21" s="3">
        <v>3</v>
      </c>
      <c r="M21" t="s">
        <v>24</v>
      </c>
      <c r="N21" s="2">
        <v>43862</v>
      </c>
      <c r="O21" t="s">
        <v>173</v>
      </c>
      <c r="P21" t="s">
        <v>174</v>
      </c>
      <c r="Q21">
        <v>64160</v>
      </c>
      <c r="R21" t="s">
        <v>27</v>
      </c>
      <c r="S21" s="10">
        <v>5.5943977383895271</v>
      </c>
      <c r="T21">
        <v>4</v>
      </c>
    </row>
    <row r="22" spans="1:20" x14ac:dyDescent="0.3">
      <c r="A22">
        <v>1084</v>
      </c>
      <c r="B22" t="s">
        <v>175</v>
      </c>
      <c r="C22" t="s">
        <v>176</v>
      </c>
      <c r="D22" t="s">
        <v>177</v>
      </c>
      <c r="E22" t="s">
        <v>178</v>
      </c>
      <c r="F22" t="s">
        <v>179</v>
      </c>
      <c r="G22" t="s">
        <v>180</v>
      </c>
      <c r="H22" t="s">
        <v>34</v>
      </c>
      <c r="I22" t="s">
        <v>55</v>
      </c>
      <c r="J22" s="1">
        <v>256</v>
      </c>
      <c r="K22" s="1">
        <v>28.444444444444443</v>
      </c>
      <c r="L22" s="3">
        <v>9</v>
      </c>
      <c r="M22" t="s">
        <v>36</v>
      </c>
      <c r="N22" s="2">
        <v>43864</v>
      </c>
      <c r="O22" t="s">
        <v>181</v>
      </c>
      <c r="P22" t="s">
        <v>182</v>
      </c>
      <c r="Q22">
        <v>2453</v>
      </c>
      <c r="R22" t="s">
        <v>27</v>
      </c>
      <c r="S22" s="10">
        <v>16.345930333676243</v>
      </c>
      <c r="T22">
        <v>14</v>
      </c>
    </row>
    <row r="23" spans="1:20" x14ac:dyDescent="0.3">
      <c r="A23">
        <v>1526</v>
      </c>
      <c r="B23" t="s">
        <v>39</v>
      </c>
      <c r="C23" t="s">
        <v>78</v>
      </c>
      <c r="D23" t="s">
        <v>183</v>
      </c>
      <c r="E23" t="s">
        <v>184</v>
      </c>
      <c r="F23" t="s">
        <v>185</v>
      </c>
      <c r="G23" t="s">
        <v>186</v>
      </c>
      <c r="H23" t="s">
        <v>34</v>
      </c>
      <c r="I23" t="s">
        <v>135</v>
      </c>
      <c r="J23" s="1">
        <v>760</v>
      </c>
      <c r="K23" s="1">
        <v>30.4</v>
      </c>
      <c r="L23" s="3">
        <v>25</v>
      </c>
      <c r="M23" t="s">
        <v>66</v>
      </c>
      <c r="N23" s="2">
        <v>43867</v>
      </c>
      <c r="O23" t="s">
        <v>187</v>
      </c>
      <c r="P23" t="s">
        <v>188</v>
      </c>
      <c r="Q23">
        <v>28230</v>
      </c>
      <c r="R23" t="s">
        <v>27</v>
      </c>
      <c r="S23" s="10">
        <v>44.475222306952617</v>
      </c>
      <c r="T23">
        <v>49</v>
      </c>
    </row>
    <row r="24" spans="1:20" x14ac:dyDescent="0.3">
      <c r="A24">
        <v>1435</v>
      </c>
      <c r="B24" t="s">
        <v>189</v>
      </c>
      <c r="C24" t="s">
        <v>190</v>
      </c>
      <c r="D24" t="s">
        <v>191</v>
      </c>
      <c r="E24" t="s">
        <v>192</v>
      </c>
      <c r="F24" t="s">
        <v>193</v>
      </c>
      <c r="G24" t="s">
        <v>194</v>
      </c>
      <c r="H24" t="s">
        <v>34</v>
      </c>
      <c r="I24" t="s">
        <v>35</v>
      </c>
      <c r="J24" s="1">
        <v>846</v>
      </c>
      <c r="K24" s="1">
        <v>35.25</v>
      </c>
      <c r="L24" s="3">
        <v>24</v>
      </c>
      <c r="M24" t="s">
        <v>195</v>
      </c>
      <c r="N24" s="2">
        <v>43873</v>
      </c>
      <c r="O24" t="s">
        <v>196</v>
      </c>
      <c r="P24" t="s">
        <v>197</v>
      </c>
      <c r="Q24">
        <v>19605</v>
      </c>
      <c r="R24" t="s">
        <v>27</v>
      </c>
      <c r="S24" s="10">
        <v>44.827708207994448</v>
      </c>
      <c r="T24">
        <v>44</v>
      </c>
    </row>
    <row r="25" spans="1:20" x14ac:dyDescent="0.3">
      <c r="A25">
        <v>1030</v>
      </c>
      <c r="B25" t="s">
        <v>198</v>
      </c>
      <c r="C25" t="s">
        <v>199</v>
      </c>
      <c r="D25" t="s">
        <v>200</v>
      </c>
      <c r="E25" t="s">
        <v>201</v>
      </c>
      <c r="F25" t="s">
        <v>179</v>
      </c>
      <c r="G25" t="s">
        <v>202</v>
      </c>
      <c r="H25" t="s">
        <v>22</v>
      </c>
      <c r="I25" t="s">
        <v>23</v>
      </c>
      <c r="J25" s="1">
        <v>359</v>
      </c>
      <c r="K25" s="1">
        <v>27.615384615384617</v>
      </c>
      <c r="L25" s="3">
        <v>13</v>
      </c>
      <c r="M25" t="s">
        <v>203</v>
      </c>
      <c r="N25" s="2">
        <v>43874</v>
      </c>
      <c r="O25" t="s">
        <v>47</v>
      </c>
      <c r="P25" t="s">
        <v>204</v>
      </c>
      <c r="Q25">
        <v>22036</v>
      </c>
      <c r="R25" t="s">
        <v>27</v>
      </c>
      <c r="S25" s="10">
        <v>32.14531408451785</v>
      </c>
      <c r="T25">
        <v>23</v>
      </c>
    </row>
    <row r="26" spans="1:20" x14ac:dyDescent="0.3">
      <c r="A26">
        <v>1767</v>
      </c>
      <c r="B26" t="s">
        <v>205</v>
      </c>
      <c r="C26" t="s">
        <v>206</v>
      </c>
      <c r="D26" t="s">
        <v>207</v>
      </c>
      <c r="E26" t="s">
        <v>208</v>
      </c>
      <c r="F26" t="s">
        <v>209</v>
      </c>
      <c r="G26" t="s">
        <v>210</v>
      </c>
      <c r="H26" t="s">
        <v>34</v>
      </c>
      <c r="I26" t="s">
        <v>35</v>
      </c>
      <c r="J26" s="1">
        <v>708</v>
      </c>
      <c r="K26" s="1">
        <v>44.25</v>
      </c>
      <c r="L26" s="3">
        <v>16</v>
      </c>
      <c r="M26" t="s">
        <v>66</v>
      </c>
      <c r="N26" s="2">
        <v>43875</v>
      </c>
      <c r="O26" t="s">
        <v>211</v>
      </c>
      <c r="P26" t="s">
        <v>212</v>
      </c>
      <c r="Q26">
        <v>68505</v>
      </c>
      <c r="R26" t="s">
        <v>27</v>
      </c>
      <c r="S26" s="10">
        <v>37.388497058809392</v>
      </c>
      <c r="T26">
        <v>32</v>
      </c>
    </row>
    <row r="27" spans="1:20" x14ac:dyDescent="0.3">
      <c r="A27">
        <v>1079</v>
      </c>
      <c r="B27" t="s">
        <v>213</v>
      </c>
      <c r="C27" t="s">
        <v>214</v>
      </c>
      <c r="D27" t="s">
        <v>215</v>
      </c>
      <c r="E27" t="s">
        <v>216</v>
      </c>
      <c r="F27" t="s">
        <v>217</v>
      </c>
      <c r="G27" t="s">
        <v>218</v>
      </c>
      <c r="H27" t="s">
        <v>22</v>
      </c>
      <c r="I27" t="s">
        <v>55</v>
      </c>
      <c r="J27" s="1">
        <v>473</v>
      </c>
      <c r="K27" s="1">
        <v>27.823529411764707</v>
      </c>
      <c r="L27" s="3">
        <v>17</v>
      </c>
      <c r="M27" t="s">
        <v>219</v>
      </c>
      <c r="N27" s="2">
        <v>43876</v>
      </c>
      <c r="O27" t="s">
        <v>220</v>
      </c>
      <c r="P27" t="s">
        <v>221</v>
      </c>
      <c r="Q27">
        <v>46406</v>
      </c>
      <c r="R27" t="s">
        <v>27</v>
      </c>
      <c r="S27" s="10">
        <v>24.691075852270831</v>
      </c>
      <c r="T27">
        <v>21</v>
      </c>
    </row>
    <row r="28" spans="1:20" x14ac:dyDescent="0.3">
      <c r="A28">
        <v>1277</v>
      </c>
      <c r="B28" t="s">
        <v>222</v>
      </c>
      <c r="C28" t="s">
        <v>223</v>
      </c>
      <c r="D28" t="s">
        <v>224</v>
      </c>
      <c r="E28" t="s">
        <v>225</v>
      </c>
      <c r="F28" t="s">
        <v>226</v>
      </c>
      <c r="G28" t="s">
        <v>227</v>
      </c>
      <c r="H28" t="s">
        <v>34</v>
      </c>
      <c r="I28" t="s">
        <v>228</v>
      </c>
      <c r="J28" s="1">
        <v>29</v>
      </c>
      <c r="K28" s="1">
        <v>29</v>
      </c>
      <c r="L28" s="3">
        <v>1</v>
      </c>
      <c r="M28" t="s">
        <v>203</v>
      </c>
      <c r="N28" s="2">
        <v>43876</v>
      </c>
      <c r="O28" t="s">
        <v>229</v>
      </c>
      <c r="P28" t="s">
        <v>230</v>
      </c>
      <c r="Q28">
        <v>44310</v>
      </c>
      <c r="R28" t="s">
        <v>27</v>
      </c>
      <c r="S28" s="10">
        <v>1.9235024766406614</v>
      </c>
      <c r="T28">
        <v>1</v>
      </c>
    </row>
    <row r="29" spans="1:20" x14ac:dyDescent="0.3">
      <c r="A29">
        <v>1812</v>
      </c>
      <c r="B29" t="s">
        <v>231</v>
      </c>
      <c r="C29" t="s">
        <v>232</v>
      </c>
      <c r="D29" t="s">
        <v>233</v>
      </c>
      <c r="E29" t="s">
        <v>234</v>
      </c>
      <c r="F29" t="s">
        <v>235</v>
      </c>
      <c r="G29" t="s">
        <v>74</v>
      </c>
      <c r="H29" t="s">
        <v>34</v>
      </c>
      <c r="I29" t="s">
        <v>236</v>
      </c>
      <c r="J29" s="1">
        <v>510</v>
      </c>
      <c r="K29" s="1">
        <v>36.428571428571431</v>
      </c>
      <c r="L29" s="3">
        <v>14</v>
      </c>
      <c r="M29" t="s">
        <v>126</v>
      </c>
      <c r="N29" s="2">
        <v>43876</v>
      </c>
      <c r="O29" t="s">
        <v>237</v>
      </c>
      <c r="P29" t="s">
        <v>238</v>
      </c>
      <c r="Q29">
        <v>35220</v>
      </c>
      <c r="R29" t="s">
        <v>27</v>
      </c>
      <c r="S29" s="10">
        <v>17.810723418577641</v>
      </c>
      <c r="T29">
        <v>27</v>
      </c>
    </row>
    <row r="30" spans="1:20" x14ac:dyDescent="0.3">
      <c r="A30">
        <v>1080</v>
      </c>
      <c r="B30" t="s">
        <v>239</v>
      </c>
      <c r="C30" t="s">
        <v>240</v>
      </c>
      <c r="D30" t="s">
        <v>241</v>
      </c>
      <c r="E30" t="s">
        <v>242</v>
      </c>
      <c r="F30" t="s">
        <v>243</v>
      </c>
      <c r="G30" t="s">
        <v>54</v>
      </c>
      <c r="H30" t="s">
        <v>22</v>
      </c>
      <c r="I30" t="s">
        <v>55</v>
      </c>
      <c r="J30" s="1">
        <v>54</v>
      </c>
      <c r="K30" s="1">
        <v>54</v>
      </c>
      <c r="L30" s="3">
        <v>1</v>
      </c>
      <c r="M30" t="s">
        <v>244</v>
      </c>
      <c r="N30" s="2">
        <v>43879</v>
      </c>
      <c r="O30" t="s">
        <v>245</v>
      </c>
      <c r="P30" t="s">
        <v>246</v>
      </c>
      <c r="Q30">
        <v>73114</v>
      </c>
      <c r="R30" t="s">
        <v>27</v>
      </c>
      <c r="S30" s="10">
        <v>1.5691487312012415</v>
      </c>
      <c r="T30">
        <v>1</v>
      </c>
    </row>
    <row r="31" spans="1:20" x14ac:dyDescent="0.3">
      <c r="A31">
        <v>1534</v>
      </c>
      <c r="B31" t="s">
        <v>247</v>
      </c>
      <c r="C31" t="s">
        <v>248</v>
      </c>
      <c r="D31" t="s">
        <v>249</v>
      </c>
      <c r="E31" t="s">
        <v>250</v>
      </c>
      <c r="F31" t="s">
        <v>251</v>
      </c>
      <c r="G31" t="s">
        <v>218</v>
      </c>
      <c r="H31" t="s">
        <v>22</v>
      </c>
      <c r="I31" t="s">
        <v>23</v>
      </c>
      <c r="J31" s="1">
        <v>994</v>
      </c>
      <c r="K31" s="1">
        <v>31.0625</v>
      </c>
      <c r="L31" s="3">
        <v>32</v>
      </c>
      <c r="M31" t="s">
        <v>143</v>
      </c>
      <c r="N31" s="2">
        <v>43879</v>
      </c>
      <c r="O31" t="s">
        <v>37</v>
      </c>
      <c r="P31" t="s">
        <v>252</v>
      </c>
      <c r="Q31">
        <v>92812</v>
      </c>
      <c r="R31" t="s">
        <v>27</v>
      </c>
      <c r="S31" s="10">
        <v>45.22993853741113</v>
      </c>
      <c r="T31">
        <v>70</v>
      </c>
    </row>
    <row r="32" spans="1:20" x14ac:dyDescent="0.3">
      <c r="A32">
        <v>1812</v>
      </c>
      <c r="B32" t="s">
        <v>231</v>
      </c>
      <c r="C32" t="s">
        <v>232</v>
      </c>
      <c r="D32" t="s">
        <v>233</v>
      </c>
      <c r="E32" t="s">
        <v>234</v>
      </c>
      <c r="F32" t="s">
        <v>235</v>
      </c>
      <c r="G32" t="s">
        <v>74</v>
      </c>
      <c r="H32" t="s">
        <v>34</v>
      </c>
      <c r="I32" t="s">
        <v>236</v>
      </c>
      <c r="J32" s="1">
        <v>553</v>
      </c>
      <c r="K32" s="1">
        <v>36.866666666666667</v>
      </c>
      <c r="L32" s="3">
        <v>15</v>
      </c>
      <c r="M32" t="s">
        <v>126</v>
      </c>
      <c r="N32" s="2">
        <v>43880</v>
      </c>
      <c r="O32" t="s">
        <v>237</v>
      </c>
      <c r="P32" t="s">
        <v>238</v>
      </c>
      <c r="Q32">
        <v>35220</v>
      </c>
      <c r="R32" t="s">
        <v>27</v>
      </c>
      <c r="S32" s="10">
        <v>22.676795500069765</v>
      </c>
      <c r="T32">
        <v>32</v>
      </c>
    </row>
    <row r="33" spans="1:20" x14ac:dyDescent="0.3">
      <c r="A33">
        <v>1085</v>
      </c>
      <c r="B33" t="s">
        <v>253</v>
      </c>
      <c r="C33" t="s">
        <v>254</v>
      </c>
      <c r="D33" t="s">
        <v>255</v>
      </c>
      <c r="E33" t="s">
        <v>256</v>
      </c>
      <c r="F33" t="s">
        <v>257</v>
      </c>
      <c r="G33" t="s">
        <v>258</v>
      </c>
      <c r="H33" t="s">
        <v>34</v>
      </c>
      <c r="I33" t="s">
        <v>55</v>
      </c>
      <c r="J33" s="1">
        <v>751</v>
      </c>
      <c r="K33" s="1">
        <v>31.291666666666668</v>
      </c>
      <c r="L33" s="3">
        <v>24</v>
      </c>
      <c r="M33" t="s">
        <v>36</v>
      </c>
      <c r="N33" s="2">
        <v>43881</v>
      </c>
      <c r="O33" t="s">
        <v>57</v>
      </c>
      <c r="P33" t="s">
        <v>259</v>
      </c>
      <c r="Q33">
        <v>30605</v>
      </c>
      <c r="R33" t="s">
        <v>27</v>
      </c>
      <c r="S33" s="10">
        <v>37.2978538537796</v>
      </c>
      <c r="T33">
        <v>50</v>
      </c>
    </row>
    <row r="34" spans="1:20" x14ac:dyDescent="0.3">
      <c r="A34">
        <v>1756</v>
      </c>
      <c r="B34" t="s">
        <v>260</v>
      </c>
      <c r="C34" t="s">
        <v>261</v>
      </c>
      <c r="D34" t="s">
        <v>262</v>
      </c>
      <c r="E34" t="s">
        <v>263</v>
      </c>
      <c r="F34" t="s">
        <v>264</v>
      </c>
      <c r="G34" t="s">
        <v>265</v>
      </c>
      <c r="H34" t="s">
        <v>22</v>
      </c>
      <c r="I34" t="s">
        <v>266</v>
      </c>
      <c r="J34" s="1">
        <v>766</v>
      </c>
      <c r="K34" s="1">
        <v>36.476190476190474</v>
      </c>
      <c r="L34" s="3">
        <v>21</v>
      </c>
      <c r="M34" t="s">
        <v>24</v>
      </c>
      <c r="N34" s="2">
        <v>43881</v>
      </c>
      <c r="O34" t="s">
        <v>267</v>
      </c>
      <c r="P34" t="s">
        <v>268</v>
      </c>
      <c r="Q34">
        <v>33499</v>
      </c>
      <c r="R34" t="s">
        <v>27</v>
      </c>
      <c r="S34" s="10">
        <v>26.275210577405385</v>
      </c>
      <c r="T34">
        <v>32</v>
      </c>
    </row>
    <row r="35" spans="1:20" x14ac:dyDescent="0.3">
      <c r="A35">
        <v>1001</v>
      </c>
      <c r="B35" t="s">
        <v>269</v>
      </c>
      <c r="C35" t="s">
        <v>270</v>
      </c>
      <c r="D35" t="s">
        <v>271</v>
      </c>
      <c r="E35" t="s">
        <v>272</v>
      </c>
      <c r="F35" t="s">
        <v>273</v>
      </c>
      <c r="G35" t="s">
        <v>274</v>
      </c>
      <c r="H35" t="s">
        <v>34</v>
      </c>
      <c r="I35" t="s">
        <v>23</v>
      </c>
      <c r="J35" s="1">
        <v>669</v>
      </c>
      <c r="K35" s="1">
        <v>26.76</v>
      </c>
      <c r="L35" s="3">
        <v>25</v>
      </c>
      <c r="M35" t="s">
        <v>126</v>
      </c>
      <c r="N35" s="2">
        <v>43882</v>
      </c>
      <c r="O35" t="s">
        <v>67</v>
      </c>
      <c r="P35" t="s">
        <v>159</v>
      </c>
      <c r="Q35">
        <v>88563</v>
      </c>
      <c r="R35" t="s">
        <v>27</v>
      </c>
      <c r="S35" s="10">
        <v>59.48485076251815</v>
      </c>
      <c r="T35">
        <v>52</v>
      </c>
    </row>
    <row r="36" spans="1:20" x14ac:dyDescent="0.3">
      <c r="A36">
        <v>1649</v>
      </c>
      <c r="B36" t="s">
        <v>275</v>
      </c>
      <c r="C36" t="s">
        <v>154</v>
      </c>
      <c r="D36" t="s">
        <v>276</v>
      </c>
      <c r="E36" t="s">
        <v>277</v>
      </c>
      <c r="F36" t="s">
        <v>278</v>
      </c>
      <c r="G36" t="s">
        <v>279</v>
      </c>
      <c r="H36" t="s">
        <v>22</v>
      </c>
      <c r="I36" t="s">
        <v>23</v>
      </c>
      <c r="J36" s="1">
        <v>706</v>
      </c>
      <c r="K36" s="1">
        <v>33.61904761904762</v>
      </c>
      <c r="L36" s="3">
        <v>21</v>
      </c>
      <c r="M36" t="s">
        <v>126</v>
      </c>
      <c r="N36" s="2">
        <v>43882</v>
      </c>
      <c r="O36" t="s">
        <v>67</v>
      </c>
      <c r="P36" t="s">
        <v>280</v>
      </c>
      <c r="Q36">
        <v>78260</v>
      </c>
      <c r="R36" t="s">
        <v>27</v>
      </c>
      <c r="S36" s="10">
        <v>45.09132015095819</v>
      </c>
      <c r="T36">
        <v>40</v>
      </c>
    </row>
    <row r="37" spans="1:20" x14ac:dyDescent="0.3">
      <c r="A37">
        <v>1971</v>
      </c>
      <c r="B37" t="s">
        <v>138</v>
      </c>
      <c r="C37" t="s">
        <v>281</v>
      </c>
      <c r="D37" t="s">
        <v>282</v>
      </c>
      <c r="E37" t="s">
        <v>283</v>
      </c>
      <c r="F37" t="s">
        <v>284</v>
      </c>
      <c r="G37" t="s">
        <v>285</v>
      </c>
      <c r="H37" t="s">
        <v>34</v>
      </c>
      <c r="I37" t="s">
        <v>266</v>
      </c>
      <c r="J37" s="1">
        <v>224</v>
      </c>
      <c r="K37" s="1">
        <v>44.8</v>
      </c>
      <c r="L37" s="3">
        <v>5</v>
      </c>
      <c r="M37" t="s">
        <v>24</v>
      </c>
      <c r="N37" s="2">
        <v>43885</v>
      </c>
      <c r="O37" t="s">
        <v>267</v>
      </c>
      <c r="P37" t="s">
        <v>286</v>
      </c>
      <c r="Q37">
        <v>33075</v>
      </c>
      <c r="R37" t="s">
        <v>27</v>
      </c>
      <c r="S37" s="10">
        <v>6.9749785442320462</v>
      </c>
      <c r="T37">
        <v>8</v>
      </c>
    </row>
    <row r="38" spans="1:20" x14ac:dyDescent="0.3">
      <c r="A38">
        <v>1567</v>
      </c>
      <c r="B38" t="s">
        <v>269</v>
      </c>
      <c r="C38" t="s">
        <v>287</v>
      </c>
      <c r="D38" t="s">
        <v>288</v>
      </c>
      <c r="E38" t="s">
        <v>289</v>
      </c>
      <c r="F38" t="s">
        <v>290</v>
      </c>
      <c r="G38" t="s">
        <v>291</v>
      </c>
      <c r="H38" t="s">
        <v>34</v>
      </c>
      <c r="I38" t="s">
        <v>135</v>
      </c>
      <c r="J38" s="1">
        <v>896</v>
      </c>
      <c r="K38" s="1">
        <v>42.666666666666664</v>
      </c>
      <c r="L38" s="3">
        <v>21</v>
      </c>
      <c r="M38" t="s">
        <v>36</v>
      </c>
      <c r="N38" s="2">
        <v>43887</v>
      </c>
      <c r="O38" t="s">
        <v>292</v>
      </c>
      <c r="P38" t="s">
        <v>293</v>
      </c>
      <c r="Q38">
        <v>53205</v>
      </c>
      <c r="R38" t="s">
        <v>27</v>
      </c>
      <c r="S38" s="10">
        <v>29.502041769809452</v>
      </c>
      <c r="T38">
        <v>41</v>
      </c>
    </row>
    <row r="39" spans="1:20" x14ac:dyDescent="0.3">
      <c r="A39">
        <v>1170</v>
      </c>
      <c r="B39" t="s">
        <v>153</v>
      </c>
      <c r="C39" t="s">
        <v>154</v>
      </c>
      <c r="D39" t="s">
        <v>155</v>
      </c>
      <c r="E39" t="s">
        <v>156</v>
      </c>
      <c r="F39" t="s">
        <v>157</v>
      </c>
      <c r="G39" t="s">
        <v>158</v>
      </c>
      <c r="H39" t="s">
        <v>34</v>
      </c>
      <c r="I39" t="s">
        <v>65</v>
      </c>
      <c r="J39" s="1">
        <v>79</v>
      </c>
      <c r="K39" s="1">
        <v>39.5</v>
      </c>
      <c r="L39" s="3">
        <v>2</v>
      </c>
      <c r="M39" t="s">
        <v>24</v>
      </c>
      <c r="N39" s="2">
        <v>43888</v>
      </c>
      <c r="O39" t="s">
        <v>67</v>
      </c>
      <c r="P39" t="s">
        <v>159</v>
      </c>
      <c r="Q39">
        <v>88574</v>
      </c>
      <c r="R39" t="s">
        <v>27</v>
      </c>
      <c r="S39" s="10">
        <v>3.3860574240944139</v>
      </c>
      <c r="T39">
        <v>4</v>
      </c>
    </row>
    <row r="40" spans="1:20" x14ac:dyDescent="0.3">
      <c r="A40">
        <v>1436</v>
      </c>
      <c r="B40" t="s">
        <v>294</v>
      </c>
      <c r="C40" t="s">
        <v>248</v>
      </c>
      <c r="D40" t="s">
        <v>295</v>
      </c>
      <c r="E40" t="s">
        <v>296</v>
      </c>
      <c r="F40" t="s">
        <v>297</v>
      </c>
      <c r="G40" t="s">
        <v>298</v>
      </c>
      <c r="H40" t="s">
        <v>22</v>
      </c>
      <c r="I40" t="s">
        <v>299</v>
      </c>
      <c r="J40" s="1">
        <v>91</v>
      </c>
      <c r="K40" s="1">
        <v>30.333333333333332</v>
      </c>
      <c r="L40" s="3">
        <v>3</v>
      </c>
      <c r="M40" t="s">
        <v>36</v>
      </c>
      <c r="N40" s="2">
        <v>43889</v>
      </c>
      <c r="O40" t="s">
        <v>300</v>
      </c>
      <c r="P40" t="s">
        <v>301</v>
      </c>
      <c r="Q40">
        <v>89145</v>
      </c>
      <c r="R40" t="s">
        <v>27</v>
      </c>
      <c r="S40" s="10">
        <v>4.3143451277598768</v>
      </c>
      <c r="T40">
        <v>4</v>
      </c>
    </row>
    <row r="41" spans="1:20" x14ac:dyDescent="0.3">
      <c r="A41">
        <v>1783</v>
      </c>
      <c r="B41" t="s">
        <v>302</v>
      </c>
      <c r="C41" t="s">
        <v>303</v>
      </c>
      <c r="D41" t="s">
        <v>304</v>
      </c>
      <c r="E41" t="s">
        <v>305</v>
      </c>
      <c r="F41" t="s">
        <v>306</v>
      </c>
      <c r="G41" t="s">
        <v>307</v>
      </c>
      <c r="H41" t="s">
        <v>34</v>
      </c>
      <c r="I41" t="s">
        <v>35</v>
      </c>
      <c r="J41" s="1">
        <v>621</v>
      </c>
      <c r="K41" s="1">
        <v>32.684210526315788</v>
      </c>
      <c r="L41" s="3">
        <v>19</v>
      </c>
      <c r="M41" t="s">
        <v>244</v>
      </c>
      <c r="N41" s="2">
        <v>43892</v>
      </c>
      <c r="O41" t="s">
        <v>308</v>
      </c>
      <c r="P41" t="s">
        <v>309</v>
      </c>
      <c r="Q41">
        <v>85715</v>
      </c>
      <c r="R41" t="s">
        <v>27</v>
      </c>
      <c r="S41" s="10">
        <v>28.232727750533083</v>
      </c>
      <c r="T41">
        <v>41</v>
      </c>
    </row>
    <row r="42" spans="1:20" x14ac:dyDescent="0.3">
      <c r="A42">
        <v>1001</v>
      </c>
      <c r="B42" t="s">
        <v>269</v>
      </c>
      <c r="C42" t="s">
        <v>270</v>
      </c>
      <c r="D42" t="s">
        <v>271</v>
      </c>
      <c r="E42" t="s">
        <v>272</v>
      </c>
      <c r="F42" t="s">
        <v>273</v>
      </c>
      <c r="G42" t="s">
        <v>274</v>
      </c>
      <c r="H42" t="s">
        <v>34</v>
      </c>
      <c r="I42" t="s">
        <v>23</v>
      </c>
      <c r="J42" s="1">
        <v>266</v>
      </c>
      <c r="K42" s="1">
        <v>29.555555555555557</v>
      </c>
      <c r="L42" s="3">
        <v>9</v>
      </c>
      <c r="M42" t="s">
        <v>126</v>
      </c>
      <c r="N42" s="2">
        <v>43893</v>
      </c>
      <c r="O42" t="s">
        <v>67</v>
      </c>
      <c r="P42" t="s">
        <v>159</v>
      </c>
      <c r="Q42">
        <v>88563</v>
      </c>
      <c r="R42" t="s">
        <v>27</v>
      </c>
      <c r="S42" s="10">
        <v>13.573042082972499</v>
      </c>
      <c r="T42">
        <v>17</v>
      </c>
    </row>
    <row r="43" spans="1:20" x14ac:dyDescent="0.3">
      <c r="A43">
        <v>1020</v>
      </c>
      <c r="B43" t="s">
        <v>310</v>
      </c>
      <c r="C43" t="s">
        <v>311</v>
      </c>
      <c r="D43" t="s">
        <v>312</v>
      </c>
      <c r="E43" t="s">
        <v>313</v>
      </c>
      <c r="F43" t="s">
        <v>314</v>
      </c>
      <c r="G43" t="s">
        <v>315</v>
      </c>
      <c r="H43" t="s">
        <v>22</v>
      </c>
      <c r="I43" t="s">
        <v>23</v>
      </c>
      <c r="J43" s="1">
        <v>783</v>
      </c>
      <c r="K43" s="1">
        <v>26.1</v>
      </c>
      <c r="L43" s="3">
        <v>30</v>
      </c>
      <c r="M43" t="s">
        <v>36</v>
      </c>
      <c r="N43" s="2">
        <v>43893</v>
      </c>
      <c r="O43" t="s">
        <v>37</v>
      </c>
      <c r="P43" t="s">
        <v>316</v>
      </c>
      <c r="Q43">
        <v>94105</v>
      </c>
      <c r="R43" t="s">
        <v>27</v>
      </c>
      <c r="S43" s="10">
        <v>63.197373241830789</v>
      </c>
      <c r="T43">
        <v>55</v>
      </c>
    </row>
    <row r="44" spans="1:20" x14ac:dyDescent="0.3">
      <c r="A44">
        <v>1235</v>
      </c>
      <c r="B44" t="s">
        <v>275</v>
      </c>
      <c r="C44" t="s">
        <v>317</v>
      </c>
      <c r="D44" t="s">
        <v>318</v>
      </c>
      <c r="E44" t="s">
        <v>319</v>
      </c>
      <c r="F44" t="s">
        <v>320</v>
      </c>
      <c r="G44" t="s">
        <v>227</v>
      </c>
      <c r="H44" t="s">
        <v>22</v>
      </c>
      <c r="I44" t="s">
        <v>65</v>
      </c>
      <c r="J44" s="1">
        <v>843</v>
      </c>
      <c r="K44" s="1">
        <v>40.142857142857146</v>
      </c>
      <c r="L44" s="3">
        <v>21</v>
      </c>
      <c r="M44" t="s">
        <v>99</v>
      </c>
      <c r="N44" s="2">
        <v>43894</v>
      </c>
      <c r="O44" t="s">
        <v>83</v>
      </c>
      <c r="P44" t="s">
        <v>321</v>
      </c>
      <c r="Q44">
        <v>11054</v>
      </c>
      <c r="R44" t="s">
        <v>27</v>
      </c>
      <c r="S44" s="10">
        <v>29.529991803770297</v>
      </c>
      <c r="T44">
        <v>38</v>
      </c>
    </row>
    <row r="45" spans="1:20" x14ac:dyDescent="0.3">
      <c r="A45">
        <v>1404</v>
      </c>
      <c r="B45" t="s">
        <v>322</v>
      </c>
      <c r="C45" t="s">
        <v>323</v>
      </c>
      <c r="D45" t="s">
        <v>324</v>
      </c>
      <c r="E45" t="s">
        <v>325</v>
      </c>
      <c r="F45" t="s">
        <v>326</v>
      </c>
      <c r="G45" t="s">
        <v>327</v>
      </c>
      <c r="H45" t="s">
        <v>22</v>
      </c>
      <c r="I45" t="s">
        <v>135</v>
      </c>
      <c r="J45" s="1">
        <v>396</v>
      </c>
      <c r="K45" s="1">
        <v>36</v>
      </c>
      <c r="L45" s="3">
        <v>11</v>
      </c>
      <c r="M45" t="s">
        <v>36</v>
      </c>
      <c r="N45" s="2">
        <v>43894</v>
      </c>
      <c r="O45" t="s">
        <v>220</v>
      </c>
      <c r="P45" t="s">
        <v>328</v>
      </c>
      <c r="Q45">
        <v>47725</v>
      </c>
      <c r="R45" t="s">
        <v>27</v>
      </c>
      <c r="S45" s="10">
        <v>24.321409159651253</v>
      </c>
      <c r="T45">
        <v>17</v>
      </c>
    </row>
    <row r="46" spans="1:20" x14ac:dyDescent="0.3">
      <c r="A46">
        <v>1525</v>
      </c>
      <c r="B46" t="s">
        <v>302</v>
      </c>
      <c r="C46" t="s">
        <v>329</v>
      </c>
      <c r="D46" t="s">
        <v>330</v>
      </c>
      <c r="E46" t="s">
        <v>331</v>
      </c>
      <c r="F46" t="s">
        <v>332</v>
      </c>
      <c r="G46" t="s">
        <v>333</v>
      </c>
      <c r="H46" t="s">
        <v>34</v>
      </c>
      <c r="I46" t="s">
        <v>135</v>
      </c>
      <c r="J46" s="1">
        <v>637</v>
      </c>
      <c r="K46" s="1">
        <v>42.466666666666669</v>
      </c>
      <c r="L46" s="3">
        <v>15</v>
      </c>
      <c r="M46" t="s">
        <v>126</v>
      </c>
      <c r="N46" s="2">
        <v>43895</v>
      </c>
      <c r="O46" t="s">
        <v>67</v>
      </c>
      <c r="P46" t="s">
        <v>334</v>
      </c>
      <c r="Q46">
        <v>77276</v>
      </c>
      <c r="R46" t="s">
        <v>27</v>
      </c>
      <c r="S46" s="10">
        <v>31.164742378697849</v>
      </c>
      <c r="T46">
        <v>26</v>
      </c>
    </row>
    <row r="47" spans="1:20" x14ac:dyDescent="0.3">
      <c r="A47">
        <v>1662</v>
      </c>
      <c r="B47" t="s">
        <v>335</v>
      </c>
      <c r="C47" t="s">
        <v>336</v>
      </c>
      <c r="D47" t="s">
        <v>337</v>
      </c>
      <c r="E47" t="s">
        <v>338</v>
      </c>
      <c r="F47" t="s">
        <v>157</v>
      </c>
      <c r="G47" t="s">
        <v>339</v>
      </c>
      <c r="H47" t="s">
        <v>22</v>
      </c>
      <c r="I47" t="s">
        <v>23</v>
      </c>
      <c r="J47" s="1">
        <v>622</v>
      </c>
      <c r="K47" s="1">
        <v>38.875</v>
      </c>
      <c r="L47" s="3">
        <v>16</v>
      </c>
      <c r="M47" t="s">
        <v>66</v>
      </c>
      <c r="N47" s="2">
        <v>43900</v>
      </c>
      <c r="O47" t="s">
        <v>211</v>
      </c>
      <c r="P47" t="s">
        <v>212</v>
      </c>
      <c r="Q47">
        <v>68517</v>
      </c>
      <c r="R47" t="s">
        <v>27</v>
      </c>
      <c r="S47" s="10">
        <v>26.664015601702921</v>
      </c>
      <c r="T47">
        <v>22</v>
      </c>
    </row>
    <row r="48" spans="1:20" x14ac:dyDescent="0.3">
      <c r="A48">
        <v>1298</v>
      </c>
      <c r="B48" t="s">
        <v>275</v>
      </c>
      <c r="C48" t="s">
        <v>340</v>
      </c>
      <c r="D48" t="s">
        <v>341</v>
      </c>
      <c r="E48" t="s">
        <v>342</v>
      </c>
      <c r="F48" t="s">
        <v>306</v>
      </c>
      <c r="G48" t="s">
        <v>180</v>
      </c>
      <c r="H48" t="s">
        <v>22</v>
      </c>
      <c r="I48" t="s">
        <v>236</v>
      </c>
      <c r="J48" s="1">
        <v>466</v>
      </c>
      <c r="K48" s="1">
        <v>35.846153846153847</v>
      </c>
      <c r="L48" s="3">
        <v>13</v>
      </c>
      <c r="M48" t="s">
        <v>343</v>
      </c>
      <c r="N48" s="2">
        <v>43901</v>
      </c>
      <c r="O48" t="s">
        <v>267</v>
      </c>
      <c r="P48" t="s">
        <v>344</v>
      </c>
      <c r="Q48">
        <v>32891</v>
      </c>
      <c r="R48" t="s">
        <v>27</v>
      </c>
      <c r="S48" s="10">
        <v>32.125365881058677</v>
      </c>
      <c r="T48">
        <v>28</v>
      </c>
    </row>
    <row r="49" spans="1:20" x14ac:dyDescent="0.3">
      <c r="A49">
        <v>1939</v>
      </c>
      <c r="B49" t="s">
        <v>345</v>
      </c>
      <c r="C49" t="s">
        <v>346</v>
      </c>
      <c r="D49" t="s">
        <v>347</v>
      </c>
      <c r="E49" t="s">
        <v>348</v>
      </c>
      <c r="F49" t="s">
        <v>349</v>
      </c>
      <c r="G49" t="s">
        <v>350</v>
      </c>
      <c r="H49" t="s">
        <v>34</v>
      </c>
      <c r="I49" t="s">
        <v>117</v>
      </c>
      <c r="J49" s="1">
        <v>15</v>
      </c>
      <c r="K49" s="1">
        <v>15</v>
      </c>
      <c r="L49" s="3">
        <v>1</v>
      </c>
      <c r="M49" t="s">
        <v>36</v>
      </c>
      <c r="N49" s="2">
        <v>43903</v>
      </c>
      <c r="O49" t="s">
        <v>83</v>
      </c>
      <c r="P49" t="s">
        <v>351</v>
      </c>
      <c r="Q49">
        <v>11241</v>
      </c>
      <c r="R49" t="s">
        <v>27</v>
      </c>
      <c r="S49" s="10">
        <v>2.4275052364951444</v>
      </c>
      <c r="T49">
        <v>2</v>
      </c>
    </row>
    <row r="50" spans="1:20" x14ac:dyDescent="0.3">
      <c r="A50">
        <v>1020</v>
      </c>
      <c r="B50" t="s">
        <v>310</v>
      </c>
      <c r="C50" t="s">
        <v>311</v>
      </c>
      <c r="D50" t="s">
        <v>312</v>
      </c>
      <c r="E50" t="s">
        <v>313</v>
      </c>
      <c r="F50" t="s">
        <v>314</v>
      </c>
      <c r="G50" t="s">
        <v>315</v>
      </c>
      <c r="H50" t="s">
        <v>22</v>
      </c>
      <c r="I50" t="s">
        <v>23</v>
      </c>
      <c r="J50" s="1">
        <v>574</v>
      </c>
      <c r="K50" s="1">
        <v>38.266666666666666</v>
      </c>
      <c r="L50" s="3">
        <v>15</v>
      </c>
      <c r="M50" t="s">
        <v>36</v>
      </c>
      <c r="N50" s="2">
        <v>43912</v>
      </c>
      <c r="O50" t="s">
        <v>37</v>
      </c>
      <c r="P50" t="s">
        <v>316</v>
      </c>
      <c r="Q50">
        <v>94105</v>
      </c>
      <c r="R50" t="s">
        <v>27</v>
      </c>
      <c r="S50" s="10">
        <v>25.848923264436092</v>
      </c>
      <c r="T50">
        <v>18</v>
      </c>
    </row>
    <row r="51" spans="1:20" x14ac:dyDescent="0.3">
      <c r="A51">
        <v>1260</v>
      </c>
      <c r="B51" t="s">
        <v>352</v>
      </c>
      <c r="C51" t="s">
        <v>353</v>
      </c>
      <c r="D51" t="s">
        <v>354</v>
      </c>
      <c r="E51" t="s">
        <v>355</v>
      </c>
      <c r="F51" t="s">
        <v>356</v>
      </c>
      <c r="G51" t="s">
        <v>357</v>
      </c>
      <c r="H51" t="s">
        <v>34</v>
      </c>
      <c r="I51" t="s">
        <v>236</v>
      </c>
      <c r="J51" s="1">
        <v>778</v>
      </c>
      <c r="K51" s="1">
        <v>32.416666666666664</v>
      </c>
      <c r="L51" s="3">
        <v>24</v>
      </c>
      <c r="M51" t="s">
        <v>36</v>
      </c>
      <c r="N51" s="2">
        <v>43912</v>
      </c>
      <c r="O51" t="s">
        <v>358</v>
      </c>
      <c r="P51" t="s">
        <v>359</v>
      </c>
      <c r="Q51">
        <v>99215</v>
      </c>
      <c r="R51" t="s">
        <v>27</v>
      </c>
      <c r="S51" s="10">
        <v>31.524884107801238</v>
      </c>
      <c r="T51">
        <v>51</v>
      </c>
    </row>
    <row r="52" spans="1:20" x14ac:dyDescent="0.3">
      <c r="A52">
        <v>1739</v>
      </c>
      <c r="B52" t="s">
        <v>360</v>
      </c>
      <c r="C52" t="s">
        <v>361</v>
      </c>
      <c r="D52" t="s">
        <v>362</v>
      </c>
      <c r="E52" t="s">
        <v>363</v>
      </c>
      <c r="F52" t="s">
        <v>364</v>
      </c>
      <c r="G52" t="s">
        <v>365</v>
      </c>
      <c r="H52" t="s">
        <v>22</v>
      </c>
      <c r="I52" t="s">
        <v>366</v>
      </c>
      <c r="J52" s="1">
        <v>953</v>
      </c>
      <c r="K52" s="1">
        <v>38.119999999999997</v>
      </c>
      <c r="L52" s="3">
        <v>25</v>
      </c>
      <c r="M52" t="s">
        <v>143</v>
      </c>
      <c r="N52" s="2">
        <v>43915</v>
      </c>
      <c r="O52" t="s">
        <v>118</v>
      </c>
      <c r="P52" t="s">
        <v>119</v>
      </c>
      <c r="Q52">
        <v>55146</v>
      </c>
      <c r="R52" t="s">
        <v>27</v>
      </c>
      <c r="S52" s="10">
        <v>39.79608480350025</v>
      </c>
      <c r="T52">
        <v>56</v>
      </c>
    </row>
    <row r="53" spans="1:20" x14ac:dyDescent="0.3">
      <c r="A53">
        <v>1298</v>
      </c>
      <c r="B53" t="s">
        <v>275</v>
      </c>
      <c r="C53" t="s">
        <v>340</v>
      </c>
      <c r="D53" t="s">
        <v>341</v>
      </c>
      <c r="E53" t="s">
        <v>342</v>
      </c>
      <c r="F53" t="s">
        <v>306</v>
      </c>
      <c r="G53" t="s">
        <v>180</v>
      </c>
      <c r="H53" t="s">
        <v>22</v>
      </c>
      <c r="I53" t="s">
        <v>236</v>
      </c>
      <c r="J53" s="1">
        <v>511</v>
      </c>
      <c r="K53" s="1">
        <v>39.307692307692307</v>
      </c>
      <c r="L53" s="3">
        <v>13</v>
      </c>
      <c r="M53" t="s">
        <v>343</v>
      </c>
      <c r="N53" s="2">
        <v>43920</v>
      </c>
      <c r="O53" t="s">
        <v>267</v>
      </c>
      <c r="P53" t="s">
        <v>344</v>
      </c>
      <c r="Q53">
        <v>32891</v>
      </c>
      <c r="R53" t="s">
        <v>27</v>
      </c>
      <c r="S53" s="10">
        <v>25.51104074062134</v>
      </c>
      <c r="T53">
        <v>18</v>
      </c>
    </row>
    <row r="54" spans="1:20" x14ac:dyDescent="0.3">
      <c r="A54">
        <v>1687</v>
      </c>
      <c r="B54" t="s">
        <v>253</v>
      </c>
      <c r="C54" t="s">
        <v>367</v>
      </c>
      <c r="D54" t="s">
        <v>368</v>
      </c>
      <c r="E54" t="s">
        <v>369</v>
      </c>
      <c r="F54" t="s">
        <v>370</v>
      </c>
      <c r="G54" t="s">
        <v>371</v>
      </c>
      <c r="H54" t="s">
        <v>34</v>
      </c>
      <c r="I54" t="s">
        <v>23</v>
      </c>
      <c r="J54" s="1">
        <v>591</v>
      </c>
      <c r="K54" s="1">
        <v>42.214285714285715</v>
      </c>
      <c r="L54" s="3">
        <v>14</v>
      </c>
      <c r="M54" t="s">
        <v>36</v>
      </c>
      <c r="N54" s="2">
        <v>43920</v>
      </c>
      <c r="O54" t="s">
        <v>37</v>
      </c>
      <c r="P54" t="s">
        <v>372</v>
      </c>
      <c r="Q54">
        <v>90101</v>
      </c>
      <c r="R54" t="s">
        <v>27</v>
      </c>
      <c r="S54" s="10">
        <v>30.232948774327383</v>
      </c>
      <c r="T54">
        <v>26</v>
      </c>
    </row>
    <row r="55" spans="1:20" x14ac:dyDescent="0.3">
      <c r="A55">
        <v>1489</v>
      </c>
      <c r="B55" t="s">
        <v>85</v>
      </c>
      <c r="C55" t="s">
        <v>86</v>
      </c>
      <c r="D55" t="s">
        <v>87</v>
      </c>
      <c r="E55" t="s">
        <v>88</v>
      </c>
      <c r="F55" t="s">
        <v>89</v>
      </c>
      <c r="G55" t="s">
        <v>90</v>
      </c>
      <c r="H55" t="s">
        <v>34</v>
      </c>
      <c r="I55" t="s">
        <v>23</v>
      </c>
      <c r="J55" s="1">
        <v>314</v>
      </c>
      <c r="K55" s="1">
        <v>39.25</v>
      </c>
      <c r="L55" s="3">
        <v>8</v>
      </c>
      <c r="M55" t="s">
        <v>66</v>
      </c>
      <c r="N55" s="2">
        <v>43923</v>
      </c>
      <c r="O55" t="s">
        <v>47</v>
      </c>
      <c r="P55" t="s">
        <v>91</v>
      </c>
      <c r="Q55">
        <v>23668</v>
      </c>
      <c r="R55" t="s">
        <v>27</v>
      </c>
      <c r="S55" s="10">
        <v>17.418241957914439</v>
      </c>
      <c r="T55">
        <v>13</v>
      </c>
    </row>
    <row r="56" spans="1:20" x14ac:dyDescent="0.3">
      <c r="A56">
        <v>1275</v>
      </c>
      <c r="B56" t="s">
        <v>373</v>
      </c>
      <c r="C56" t="s">
        <v>374</v>
      </c>
      <c r="D56" t="s">
        <v>375</v>
      </c>
      <c r="E56" t="s">
        <v>376</v>
      </c>
      <c r="F56" t="s">
        <v>377</v>
      </c>
      <c r="G56" t="s">
        <v>378</v>
      </c>
      <c r="H56" t="s">
        <v>22</v>
      </c>
      <c r="I56" t="s">
        <v>228</v>
      </c>
      <c r="J56" s="1">
        <v>575</v>
      </c>
      <c r="K56" s="1">
        <v>30.263157894736842</v>
      </c>
      <c r="L56" s="3">
        <v>19</v>
      </c>
      <c r="M56" t="s">
        <v>244</v>
      </c>
      <c r="N56" s="2">
        <v>43926</v>
      </c>
      <c r="O56" t="s">
        <v>37</v>
      </c>
      <c r="P56" t="s">
        <v>379</v>
      </c>
      <c r="Q56">
        <v>94622</v>
      </c>
      <c r="R56" t="s">
        <v>27</v>
      </c>
      <c r="S56" s="10">
        <v>36.553053829666084</v>
      </c>
      <c r="T56">
        <v>30</v>
      </c>
    </row>
    <row r="57" spans="1:20" x14ac:dyDescent="0.3">
      <c r="A57">
        <v>1468</v>
      </c>
      <c r="B57" t="s">
        <v>380</v>
      </c>
      <c r="C57" t="s">
        <v>381</v>
      </c>
      <c r="D57" t="s">
        <v>382</v>
      </c>
      <c r="E57" t="s">
        <v>383</v>
      </c>
      <c r="F57" t="s">
        <v>384</v>
      </c>
      <c r="G57" t="s">
        <v>385</v>
      </c>
      <c r="H57" t="s">
        <v>22</v>
      </c>
      <c r="I57" t="s">
        <v>65</v>
      </c>
      <c r="J57" s="1">
        <v>77</v>
      </c>
      <c r="K57" s="1">
        <v>38.5</v>
      </c>
      <c r="L57" s="3">
        <v>2</v>
      </c>
      <c r="M57" t="s">
        <v>46</v>
      </c>
      <c r="N57" s="2">
        <v>43926</v>
      </c>
      <c r="O57" t="s">
        <v>109</v>
      </c>
      <c r="P57" t="s">
        <v>386</v>
      </c>
      <c r="Q57">
        <v>70116</v>
      </c>
      <c r="R57" t="s">
        <v>27</v>
      </c>
      <c r="S57" s="10">
        <v>2.8788453389243567</v>
      </c>
      <c r="T57">
        <v>3</v>
      </c>
    </row>
    <row r="58" spans="1:20" x14ac:dyDescent="0.3">
      <c r="A58">
        <v>1725</v>
      </c>
      <c r="B58" t="s">
        <v>387</v>
      </c>
      <c r="C58" t="s">
        <v>214</v>
      </c>
      <c r="D58" t="s">
        <v>388</v>
      </c>
      <c r="E58" t="s">
        <v>389</v>
      </c>
      <c r="F58" t="s">
        <v>370</v>
      </c>
      <c r="G58" t="s">
        <v>285</v>
      </c>
      <c r="H58" t="s">
        <v>34</v>
      </c>
      <c r="I58" t="s">
        <v>35</v>
      </c>
      <c r="J58" s="1">
        <v>805</v>
      </c>
      <c r="K58" s="1">
        <v>28.75</v>
      </c>
      <c r="L58" s="3">
        <v>28</v>
      </c>
      <c r="M58" t="s">
        <v>56</v>
      </c>
      <c r="N58" s="2">
        <v>43928</v>
      </c>
      <c r="O58" t="s">
        <v>67</v>
      </c>
      <c r="P58" t="s">
        <v>390</v>
      </c>
      <c r="Q58">
        <v>79605</v>
      </c>
      <c r="R58" t="s">
        <v>27</v>
      </c>
      <c r="S58" s="10">
        <v>43.615204748575373</v>
      </c>
      <c r="T58">
        <v>46</v>
      </c>
    </row>
    <row r="59" spans="1:20" x14ac:dyDescent="0.3">
      <c r="A59">
        <v>1810</v>
      </c>
      <c r="B59" t="s">
        <v>47</v>
      </c>
      <c r="C59" t="s">
        <v>391</v>
      </c>
      <c r="D59" t="s">
        <v>392</v>
      </c>
      <c r="E59" t="s">
        <v>393</v>
      </c>
      <c r="F59" t="s">
        <v>394</v>
      </c>
      <c r="G59" t="s">
        <v>395</v>
      </c>
      <c r="H59" t="s">
        <v>22</v>
      </c>
      <c r="I59" t="s">
        <v>117</v>
      </c>
      <c r="J59" s="1">
        <v>207</v>
      </c>
      <c r="K59" s="1">
        <v>34.5</v>
      </c>
      <c r="L59" s="3">
        <v>6</v>
      </c>
      <c r="M59" t="s">
        <v>36</v>
      </c>
      <c r="N59" s="2">
        <v>43930</v>
      </c>
      <c r="O59" t="s">
        <v>396</v>
      </c>
      <c r="P59" t="s">
        <v>397</v>
      </c>
      <c r="Q59">
        <v>97312</v>
      </c>
      <c r="R59" t="s">
        <v>27</v>
      </c>
      <c r="S59" s="10">
        <v>10.736013230890453</v>
      </c>
      <c r="T59">
        <v>8</v>
      </c>
    </row>
    <row r="60" spans="1:20" x14ac:dyDescent="0.3">
      <c r="A60">
        <v>1880</v>
      </c>
      <c r="B60" t="s">
        <v>129</v>
      </c>
      <c r="C60" t="s">
        <v>130</v>
      </c>
      <c r="D60" t="s">
        <v>131</v>
      </c>
      <c r="E60" t="s">
        <v>132</v>
      </c>
      <c r="F60" t="s">
        <v>133</v>
      </c>
      <c r="G60" t="s">
        <v>134</v>
      </c>
      <c r="H60" t="s">
        <v>22</v>
      </c>
      <c r="I60" t="s">
        <v>135</v>
      </c>
      <c r="J60" s="1">
        <v>693</v>
      </c>
      <c r="K60" s="1">
        <v>43.3125</v>
      </c>
      <c r="L60" s="3">
        <v>16</v>
      </c>
      <c r="M60" t="s">
        <v>36</v>
      </c>
      <c r="N60" s="2">
        <v>43930</v>
      </c>
      <c r="O60" t="s">
        <v>136</v>
      </c>
      <c r="P60" t="s">
        <v>137</v>
      </c>
      <c r="Q60">
        <v>60614</v>
      </c>
      <c r="R60" t="s">
        <v>27</v>
      </c>
      <c r="S60" s="10">
        <v>29.847974785497833</v>
      </c>
      <c r="T60">
        <v>25</v>
      </c>
    </row>
    <row r="61" spans="1:20" x14ac:dyDescent="0.3">
      <c r="A61">
        <v>1720</v>
      </c>
      <c r="B61" t="s">
        <v>398</v>
      </c>
      <c r="C61" t="s">
        <v>399</v>
      </c>
      <c r="D61" t="s">
        <v>400</v>
      </c>
      <c r="E61" t="s">
        <v>401</v>
      </c>
      <c r="F61" t="s">
        <v>402</v>
      </c>
      <c r="G61" t="s">
        <v>403</v>
      </c>
      <c r="H61" t="s">
        <v>22</v>
      </c>
      <c r="I61" t="s">
        <v>23</v>
      </c>
      <c r="J61" s="1">
        <v>591</v>
      </c>
      <c r="K61" s="1">
        <v>34.764705882352942</v>
      </c>
      <c r="L61" s="3">
        <v>17</v>
      </c>
      <c r="M61" t="s">
        <v>404</v>
      </c>
      <c r="N61" s="2">
        <v>43932</v>
      </c>
      <c r="O61" t="s">
        <v>67</v>
      </c>
      <c r="P61" t="s">
        <v>159</v>
      </c>
      <c r="Q61">
        <v>79923</v>
      </c>
      <c r="R61" t="s">
        <v>27</v>
      </c>
      <c r="S61" s="10">
        <v>41.830740930050005</v>
      </c>
      <c r="T61">
        <v>30</v>
      </c>
    </row>
    <row r="62" spans="1:20" x14ac:dyDescent="0.3">
      <c r="A62">
        <v>1234</v>
      </c>
      <c r="B62" t="s">
        <v>59</v>
      </c>
      <c r="C62" t="s">
        <v>60</v>
      </c>
      <c r="D62" t="s">
        <v>61</v>
      </c>
      <c r="E62" t="s">
        <v>62</v>
      </c>
      <c r="F62" t="s">
        <v>63</v>
      </c>
      <c r="G62" t="s">
        <v>64</v>
      </c>
      <c r="H62" t="s">
        <v>34</v>
      </c>
      <c r="I62" t="s">
        <v>65</v>
      </c>
      <c r="J62" s="1">
        <v>641</v>
      </c>
      <c r="K62" s="1">
        <v>33.736842105263158</v>
      </c>
      <c r="L62" s="3">
        <v>19</v>
      </c>
      <c r="M62" t="s">
        <v>66</v>
      </c>
      <c r="N62" s="2">
        <v>43935</v>
      </c>
      <c r="O62" t="s">
        <v>67</v>
      </c>
      <c r="P62" t="s">
        <v>68</v>
      </c>
      <c r="Q62">
        <v>78710</v>
      </c>
      <c r="R62" t="s">
        <v>27</v>
      </c>
      <c r="S62" s="10">
        <v>28.69571532224856</v>
      </c>
      <c r="T62">
        <v>32</v>
      </c>
    </row>
    <row r="63" spans="1:20" x14ac:dyDescent="0.3">
      <c r="A63">
        <v>1400</v>
      </c>
      <c r="B63" t="s">
        <v>405</v>
      </c>
      <c r="C63" t="s">
        <v>406</v>
      </c>
      <c r="D63" t="s">
        <v>407</v>
      </c>
      <c r="E63" t="s">
        <v>408</v>
      </c>
      <c r="F63" t="s">
        <v>409</v>
      </c>
      <c r="G63" t="s">
        <v>410</v>
      </c>
      <c r="H63" t="s">
        <v>34</v>
      </c>
      <c r="I63" t="s">
        <v>35</v>
      </c>
      <c r="J63" s="1">
        <v>328</v>
      </c>
      <c r="K63" s="1">
        <v>36.444444444444443</v>
      </c>
      <c r="L63" s="3">
        <v>9</v>
      </c>
      <c r="M63" t="s">
        <v>36</v>
      </c>
      <c r="N63" s="2">
        <v>43936</v>
      </c>
      <c r="O63" t="s">
        <v>196</v>
      </c>
      <c r="P63" t="s">
        <v>411</v>
      </c>
      <c r="Q63">
        <v>15274</v>
      </c>
      <c r="R63" t="s">
        <v>27</v>
      </c>
      <c r="S63" s="10">
        <v>18.386342045397527</v>
      </c>
      <c r="T63">
        <v>16</v>
      </c>
    </row>
    <row r="64" spans="1:20" x14ac:dyDescent="0.3">
      <c r="A64">
        <v>1116</v>
      </c>
      <c r="B64" t="s">
        <v>49</v>
      </c>
      <c r="C64" t="s">
        <v>50</v>
      </c>
      <c r="D64" t="s">
        <v>51</v>
      </c>
      <c r="E64" t="s">
        <v>52</v>
      </c>
      <c r="F64" t="s">
        <v>53</v>
      </c>
      <c r="G64" t="s">
        <v>54</v>
      </c>
      <c r="H64" t="s">
        <v>22</v>
      </c>
      <c r="I64" t="s">
        <v>55</v>
      </c>
      <c r="J64" s="1">
        <v>402</v>
      </c>
      <c r="K64" s="1">
        <v>40.200000000000003</v>
      </c>
      <c r="L64" s="3">
        <v>10</v>
      </c>
      <c r="M64" t="s">
        <v>56</v>
      </c>
      <c r="N64" s="2">
        <v>43939</v>
      </c>
      <c r="O64" t="s">
        <v>57</v>
      </c>
      <c r="P64" t="s">
        <v>58</v>
      </c>
      <c r="Q64">
        <v>30096</v>
      </c>
      <c r="R64" t="s">
        <v>27</v>
      </c>
      <c r="S64" s="10">
        <v>19.416101140940832</v>
      </c>
      <c r="T64">
        <v>19</v>
      </c>
    </row>
    <row r="65" spans="1:20" x14ac:dyDescent="0.3">
      <c r="A65">
        <v>1999</v>
      </c>
      <c r="B65" t="s">
        <v>412</v>
      </c>
      <c r="C65" t="s">
        <v>17</v>
      </c>
      <c r="D65" t="s">
        <v>413</v>
      </c>
      <c r="E65" t="s">
        <v>414</v>
      </c>
      <c r="F65" t="s">
        <v>415</v>
      </c>
      <c r="G65" t="s">
        <v>350</v>
      </c>
      <c r="H65" t="s">
        <v>34</v>
      </c>
      <c r="I65" t="s">
        <v>266</v>
      </c>
      <c r="J65" s="1">
        <v>381</v>
      </c>
      <c r="K65" s="1">
        <v>42.333333333333336</v>
      </c>
      <c r="L65" s="3">
        <v>9</v>
      </c>
      <c r="M65" t="s">
        <v>36</v>
      </c>
      <c r="N65" s="2">
        <v>43943</v>
      </c>
      <c r="O65" t="s">
        <v>57</v>
      </c>
      <c r="P65" t="s">
        <v>416</v>
      </c>
      <c r="Q65">
        <v>31914</v>
      </c>
      <c r="R65" t="s">
        <v>27</v>
      </c>
      <c r="S65" s="10">
        <v>14.279075947056022</v>
      </c>
      <c r="T65">
        <v>15</v>
      </c>
    </row>
    <row r="66" spans="1:20" x14ac:dyDescent="0.3">
      <c r="A66">
        <v>1163</v>
      </c>
      <c r="B66" t="s">
        <v>417</v>
      </c>
      <c r="C66" t="s">
        <v>418</v>
      </c>
      <c r="D66" t="s">
        <v>419</v>
      </c>
      <c r="E66" t="s">
        <v>420</v>
      </c>
      <c r="F66" t="s">
        <v>421</v>
      </c>
      <c r="G66" t="s">
        <v>422</v>
      </c>
      <c r="H66" t="s">
        <v>34</v>
      </c>
      <c r="I66" t="s">
        <v>35</v>
      </c>
      <c r="J66" s="1">
        <v>67</v>
      </c>
      <c r="K66" s="1">
        <v>33.5</v>
      </c>
      <c r="L66" s="3">
        <v>2</v>
      </c>
      <c r="M66" t="s">
        <v>36</v>
      </c>
      <c r="N66" s="2">
        <v>43944</v>
      </c>
      <c r="O66" t="s">
        <v>67</v>
      </c>
      <c r="P66" t="s">
        <v>159</v>
      </c>
      <c r="Q66">
        <v>88584</v>
      </c>
      <c r="R66" t="s">
        <v>27</v>
      </c>
      <c r="S66" s="10">
        <v>3.5312522649029949</v>
      </c>
      <c r="T66">
        <v>2</v>
      </c>
    </row>
    <row r="67" spans="1:20" x14ac:dyDescent="0.3">
      <c r="A67">
        <v>1562</v>
      </c>
      <c r="B67" t="s">
        <v>423</v>
      </c>
      <c r="C67" t="s">
        <v>424</v>
      </c>
      <c r="D67" t="s">
        <v>425</v>
      </c>
      <c r="E67" t="s">
        <v>426</v>
      </c>
      <c r="F67" t="s">
        <v>427</v>
      </c>
      <c r="G67" t="s">
        <v>428</v>
      </c>
      <c r="H67" t="s">
        <v>22</v>
      </c>
      <c r="I67" t="s">
        <v>366</v>
      </c>
      <c r="J67" s="1">
        <v>648</v>
      </c>
      <c r="K67" s="1">
        <v>28.173913043478262</v>
      </c>
      <c r="L67" s="3">
        <v>23</v>
      </c>
      <c r="M67" t="s">
        <v>195</v>
      </c>
      <c r="N67" s="2">
        <v>43944</v>
      </c>
      <c r="O67" t="s">
        <v>67</v>
      </c>
      <c r="P67" t="s">
        <v>429</v>
      </c>
      <c r="Q67">
        <v>78475</v>
      </c>
      <c r="R67" t="s">
        <v>27</v>
      </c>
      <c r="S67" s="10">
        <v>35.602456434341192</v>
      </c>
      <c r="T67">
        <v>44</v>
      </c>
    </row>
    <row r="68" spans="1:20" x14ac:dyDescent="0.3">
      <c r="A68">
        <v>1298</v>
      </c>
      <c r="B68" t="s">
        <v>275</v>
      </c>
      <c r="C68" t="s">
        <v>340</v>
      </c>
      <c r="D68" t="s">
        <v>341</v>
      </c>
      <c r="E68" t="s">
        <v>342</v>
      </c>
      <c r="F68" t="s">
        <v>306</v>
      </c>
      <c r="G68" t="s">
        <v>180</v>
      </c>
      <c r="H68" t="s">
        <v>22</v>
      </c>
      <c r="I68" t="s">
        <v>236</v>
      </c>
      <c r="J68" s="1">
        <v>290</v>
      </c>
      <c r="K68" s="1">
        <v>41.428571428571431</v>
      </c>
      <c r="L68" s="3">
        <v>7</v>
      </c>
      <c r="M68" t="s">
        <v>343</v>
      </c>
      <c r="N68" s="2">
        <v>43945</v>
      </c>
      <c r="O68" t="s">
        <v>267</v>
      </c>
      <c r="P68" t="s">
        <v>344</v>
      </c>
      <c r="Q68">
        <v>32891</v>
      </c>
      <c r="R68" t="s">
        <v>27</v>
      </c>
      <c r="S68" s="10">
        <v>13.400486283499854</v>
      </c>
      <c r="T68">
        <v>15</v>
      </c>
    </row>
    <row r="69" spans="1:20" x14ac:dyDescent="0.3">
      <c r="A69">
        <v>1880</v>
      </c>
      <c r="B69" t="s">
        <v>129</v>
      </c>
      <c r="C69" t="s">
        <v>130</v>
      </c>
      <c r="D69" t="s">
        <v>131</v>
      </c>
      <c r="E69" t="s">
        <v>132</v>
      </c>
      <c r="F69" t="s">
        <v>133</v>
      </c>
      <c r="G69" t="s">
        <v>134</v>
      </c>
      <c r="H69" t="s">
        <v>22</v>
      </c>
      <c r="I69" t="s">
        <v>135</v>
      </c>
      <c r="J69" s="1">
        <v>288</v>
      </c>
      <c r="K69" s="1">
        <v>26.181818181818183</v>
      </c>
      <c r="L69" s="3">
        <v>11</v>
      </c>
      <c r="M69" t="s">
        <v>36</v>
      </c>
      <c r="N69" s="2">
        <v>43945</v>
      </c>
      <c r="O69" t="s">
        <v>136</v>
      </c>
      <c r="P69" t="s">
        <v>137</v>
      </c>
      <c r="Q69">
        <v>60614</v>
      </c>
      <c r="R69" t="s">
        <v>27</v>
      </c>
      <c r="S69" s="10">
        <v>27.294306522942279</v>
      </c>
      <c r="T69">
        <v>16</v>
      </c>
    </row>
    <row r="70" spans="1:20" x14ac:dyDescent="0.3">
      <c r="A70">
        <v>1277</v>
      </c>
      <c r="B70" t="s">
        <v>222</v>
      </c>
      <c r="C70" t="s">
        <v>223</v>
      </c>
      <c r="D70" t="s">
        <v>224</v>
      </c>
      <c r="E70" t="s">
        <v>225</v>
      </c>
      <c r="F70" t="s">
        <v>226</v>
      </c>
      <c r="G70" t="s">
        <v>227</v>
      </c>
      <c r="H70" t="s">
        <v>34</v>
      </c>
      <c r="I70" t="s">
        <v>228</v>
      </c>
      <c r="J70" s="1">
        <v>889</v>
      </c>
      <c r="K70" s="1">
        <v>38.652173913043477</v>
      </c>
      <c r="L70" s="3">
        <v>23</v>
      </c>
      <c r="M70" t="s">
        <v>203</v>
      </c>
      <c r="N70" s="2">
        <v>43947</v>
      </c>
      <c r="O70" t="s">
        <v>229</v>
      </c>
      <c r="P70" t="s">
        <v>230</v>
      </c>
      <c r="Q70">
        <v>44310</v>
      </c>
      <c r="R70" t="s">
        <v>27</v>
      </c>
      <c r="S70" s="10">
        <v>36.226247143521462</v>
      </c>
      <c r="T70">
        <v>41</v>
      </c>
    </row>
    <row r="71" spans="1:20" x14ac:dyDescent="0.3">
      <c r="A71">
        <v>1601</v>
      </c>
      <c r="B71" t="s">
        <v>430</v>
      </c>
      <c r="C71" t="s">
        <v>431</v>
      </c>
      <c r="D71" t="s">
        <v>432</v>
      </c>
      <c r="E71" t="s">
        <v>433</v>
      </c>
      <c r="F71" t="s">
        <v>434</v>
      </c>
      <c r="G71" t="s">
        <v>21</v>
      </c>
      <c r="H71" t="s">
        <v>34</v>
      </c>
      <c r="I71" t="s">
        <v>435</v>
      </c>
      <c r="J71" s="1">
        <v>540</v>
      </c>
      <c r="K71" s="1">
        <v>27</v>
      </c>
      <c r="L71" s="3">
        <v>20</v>
      </c>
      <c r="M71" t="s">
        <v>126</v>
      </c>
      <c r="N71" s="2">
        <v>43948</v>
      </c>
      <c r="O71" t="s">
        <v>37</v>
      </c>
      <c r="P71" t="s">
        <v>316</v>
      </c>
      <c r="Q71">
        <v>94110</v>
      </c>
      <c r="R71" t="s">
        <v>27</v>
      </c>
      <c r="S71" s="10">
        <v>26.814978794298217</v>
      </c>
      <c r="T71">
        <v>30</v>
      </c>
    </row>
    <row r="72" spans="1:20" x14ac:dyDescent="0.3">
      <c r="A72">
        <v>1298</v>
      </c>
      <c r="B72" t="s">
        <v>275</v>
      </c>
      <c r="C72" t="s">
        <v>340</v>
      </c>
      <c r="D72" t="s">
        <v>341</v>
      </c>
      <c r="E72" t="s">
        <v>342</v>
      </c>
      <c r="F72" t="s">
        <v>306</v>
      </c>
      <c r="G72" t="s">
        <v>180</v>
      </c>
      <c r="H72" t="s">
        <v>22</v>
      </c>
      <c r="I72" t="s">
        <v>236</v>
      </c>
      <c r="J72" s="1">
        <v>311</v>
      </c>
      <c r="K72" s="1">
        <v>44.428571428571431</v>
      </c>
      <c r="L72" s="3">
        <v>7</v>
      </c>
      <c r="M72" t="s">
        <v>343</v>
      </c>
      <c r="N72" s="2">
        <v>43952</v>
      </c>
      <c r="O72" t="s">
        <v>267</v>
      </c>
      <c r="P72" t="s">
        <v>344</v>
      </c>
      <c r="Q72">
        <v>32891</v>
      </c>
      <c r="R72" t="s">
        <v>27</v>
      </c>
      <c r="S72" s="10">
        <v>16.374963092359081</v>
      </c>
      <c r="T72">
        <v>11</v>
      </c>
    </row>
    <row r="73" spans="1:20" x14ac:dyDescent="0.3">
      <c r="A73">
        <v>1488</v>
      </c>
      <c r="B73" t="s">
        <v>436</v>
      </c>
      <c r="C73" t="s">
        <v>374</v>
      </c>
      <c r="D73" t="s">
        <v>437</v>
      </c>
      <c r="E73" t="s">
        <v>438</v>
      </c>
      <c r="F73" t="s">
        <v>439</v>
      </c>
      <c r="G73" t="s">
        <v>440</v>
      </c>
      <c r="H73" t="s">
        <v>22</v>
      </c>
      <c r="I73" t="s">
        <v>228</v>
      </c>
      <c r="J73" s="1">
        <v>960</v>
      </c>
      <c r="K73" s="1">
        <v>30</v>
      </c>
      <c r="L73" s="3">
        <v>32</v>
      </c>
      <c r="M73" t="s">
        <v>36</v>
      </c>
      <c r="N73" s="2">
        <v>43954</v>
      </c>
      <c r="O73" t="s">
        <v>267</v>
      </c>
      <c r="P73" t="s">
        <v>441</v>
      </c>
      <c r="Q73">
        <v>32314</v>
      </c>
      <c r="R73" t="s">
        <v>27</v>
      </c>
      <c r="S73" s="10">
        <v>74.086006812705861</v>
      </c>
      <c r="T73">
        <v>65</v>
      </c>
    </row>
    <row r="74" spans="1:20" x14ac:dyDescent="0.3">
      <c r="A74">
        <v>1020</v>
      </c>
      <c r="B74" t="s">
        <v>310</v>
      </c>
      <c r="C74" t="s">
        <v>311</v>
      </c>
      <c r="D74" t="s">
        <v>312</v>
      </c>
      <c r="E74" t="s">
        <v>313</v>
      </c>
      <c r="F74" t="s">
        <v>314</v>
      </c>
      <c r="G74" t="s">
        <v>315</v>
      </c>
      <c r="H74" t="s">
        <v>22</v>
      </c>
      <c r="I74" t="s">
        <v>23</v>
      </c>
      <c r="J74" s="1">
        <v>425</v>
      </c>
      <c r="K74" s="1">
        <v>26.5625</v>
      </c>
      <c r="L74" s="3">
        <v>16</v>
      </c>
      <c r="M74" t="s">
        <v>36</v>
      </c>
      <c r="N74" s="2">
        <v>43956</v>
      </c>
      <c r="O74" t="s">
        <v>37</v>
      </c>
      <c r="P74" t="s">
        <v>316</v>
      </c>
      <c r="Q74">
        <v>94105</v>
      </c>
      <c r="R74" t="s">
        <v>27</v>
      </c>
      <c r="S74" s="10">
        <v>39.687647610349764</v>
      </c>
      <c r="T74">
        <v>25</v>
      </c>
    </row>
    <row r="75" spans="1:20" x14ac:dyDescent="0.3">
      <c r="A75">
        <v>1602</v>
      </c>
      <c r="B75" t="s">
        <v>129</v>
      </c>
      <c r="C75" t="s">
        <v>442</v>
      </c>
      <c r="D75" t="s">
        <v>443</v>
      </c>
      <c r="E75" t="s">
        <v>444</v>
      </c>
      <c r="F75" t="s">
        <v>445</v>
      </c>
      <c r="G75" t="s">
        <v>446</v>
      </c>
      <c r="H75" t="s">
        <v>22</v>
      </c>
      <c r="I75" t="s">
        <v>299</v>
      </c>
      <c r="J75" s="1">
        <v>998</v>
      </c>
      <c r="K75" s="1">
        <v>39.92</v>
      </c>
      <c r="L75" s="3">
        <v>25</v>
      </c>
      <c r="M75" t="s">
        <v>447</v>
      </c>
      <c r="N75" s="2">
        <v>43957</v>
      </c>
      <c r="O75" t="s">
        <v>37</v>
      </c>
      <c r="P75" t="s">
        <v>448</v>
      </c>
      <c r="Q75">
        <v>95894</v>
      </c>
      <c r="R75" t="s">
        <v>27</v>
      </c>
      <c r="S75" s="10">
        <v>37.52325929825254</v>
      </c>
      <c r="T75">
        <v>42</v>
      </c>
    </row>
    <row r="76" spans="1:20" x14ac:dyDescent="0.3">
      <c r="A76">
        <v>1812</v>
      </c>
      <c r="B76" t="s">
        <v>231</v>
      </c>
      <c r="C76" t="s">
        <v>232</v>
      </c>
      <c r="D76" t="s">
        <v>233</v>
      </c>
      <c r="E76" t="s">
        <v>234</v>
      </c>
      <c r="F76" t="s">
        <v>235</v>
      </c>
      <c r="G76" t="s">
        <v>74</v>
      </c>
      <c r="H76" t="s">
        <v>34</v>
      </c>
      <c r="I76" t="s">
        <v>236</v>
      </c>
      <c r="J76" s="1">
        <v>477</v>
      </c>
      <c r="K76" s="1">
        <v>26.5</v>
      </c>
      <c r="L76" s="3">
        <v>18</v>
      </c>
      <c r="M76" t="s">
        <v>126</v>
      </c>
      <c r="N76" s="2">
        <v>43957</v>
      </c>
      <c r="O76" t="s">
        <v>237</v>
      </c>
      <c r="P76" t="s">
        <v>238</v>
      </c>
      <c r="Q76">
        <v>35220</v>
      </c>
      <c r="R76" t="s">
        <v>27</v>
      </c>
      <c r="S76" s="10">
        <v>38.750762838368232</v>
      </c>
      <c r="T76">
        <v>23</v>
      </c>
    </row>
    <row r="77" spans="1:20" x14ac:dyDescent="0.3">
      <c r="A77">
        <v>1434</v>
      </c>
      <c r="B77" t="s">
        <v>380</v>
      </c>
      <c r="C77" t="s">
        <v>449</v>
      </c>
      <c r="D77" t="s">
        <v>450</v>
      </c>
      <c r="E77" t="s">
        <v>451</v>
      </c>
      <c r="F77" t="s">
        <v>452</v>
      </c>
      <c r="G77" t="s">
        <v>453</v>
      </c>
      <c r="H77" t="s">
        <v>22</v>
      </c>
      <c r="I77" t="s">
        <v>35</v>
      </c>
      <c r="J77" s="1">
        <v>127</v>
      </c>
      <c r="K77" s="1">
        <v>42.333333333333336</v>
      </c>
      <c r="L77" s="3">
        <v>3</v>
      </c>
      <c r="M77" t="s">
        <v>36</v>
      </c>
      <c r="N77" s="2">
        <v>43959</v>
      </c>
      <c r="O77" t="s">
        <v>118</v>
      </c>
      <c r="P77" t="s">
        <v>454</v>
      </c>
      <c r="Q77">
        <v>55436</v>
      </c>
      <c r="R77" t="s">
        <v>27</v>
      </c>
      <c r="S77" s="10">
        <v>5.3055474171500236</v>
      </c>
      <c r="T77">
        <v>4</v>
      </c>
    </row>
    <row r="78" spans="1:20" x14ac:dyDescent="0.3">
      <c r="A78">
        <v>1838</v>
      </c>
      <c r="B78" t="s">
        <v>455</v>
      </c>
      <c r="C78" t="s">
        <v>456</v>
      </c>
      <c r="D78" t="s">
        <v>457</v>
      </c>
      <c r="E78" t="s">
        <v>458</v>
      </c>
      <c r="F78" t="s">
        <v>421</v>
      </c>
      <c r="G78" t="s">
        <v>459</v>
      </c>
      <c r="H78" t="s">
        <v>22</v>
      </c>
      <c r="I78" t="s">
        <v>23</v>
      </c>
      <c r="J78" s="1">
        <v>104</v>
      </c>
      <c r="K78" s="1">
        <v>34.666666666666664</v>
      </c>
      <c r="L78" s="3">
        <v>3</v>
      </c>
      <c r="M78" t="s">
        <v>36</v>
      </c>
      <c r="N78" s="2">
        <v>43959</v>
      </c>
      <c r="O78" t="s">
        <v>300</v>
      </c>
      <c r="P78" t="s">
        <v>301</v>
      </c>
      <c r="Q78">
        <v>89130</v>
      </c>
      <c r="R78" t="s">
        <v>27</v>
      </c>
      <c r="S78" s="10">
        <v>6.3988651651825821</v>
      </c>
      <c r="T78">
        <v>5</v>
      </c>
    </row>
    <row r="79" spans="1:20" x14ac:dyDescent="0.3">
      <c r="A79">
        <v>1951</v>
      </c>
      <c r="B79" t="s">
        <v>275</v>
      </c>
      <c r="C79" t="s">
        <v>460</v>
      </c>
      <c r="D79" t="s">
        <v>461</v>
      </c>
      <c r="E79" t="s">
        <v>462</v>
      </c>
      <c r="F79" t="s">
        <v>463</v>
      </c>
      <c r="G79" t="s">
        <v>446</v>
      </c>
      <c r="H79" t="s">
        <v>22</v>
      </c>
      <c r="I79" t="s">
        <v>299</v>
      </c>
      <c r="J79" s="1">
        <v>43</v>
      </c>
      <c r="K79" s="1">
        <v>43</v>
      </c>
      <c r="L79" s="3">
        <v>1</v>
      </c>
      <c r="M79" t="s">
        <v>447</v>
      </c>
      <c r="N79" s="2">
        <v>43959</v>
      </c>
      <c r="O79" t="s">
        <v>358</v>
      </c>
      <c r="P79" t="s">
        <v>464</v>
      </c>
      <c r="Q79">
        <v>98206</v>
      </c>
      <c r="R79" t="s">
        <v>27</v>
      </c>
      <c r="S79" s="10">
        <v>1.6153922715577231</v>
      </c>
      <c r="T79">
        <v>1</v>
      </c>
    </row>
    <row r="80" spans="1:20" x14ac:dyDescent="0.3">
      <c r="A80">
        <v>1433</v>
      </c>
      <c r="B80" t="s">
        <v>465</v>
      </c>
      <c r="C80" t="s">
        <v>466</v>
      </c>
      <c r="D80" t="s">
        <v>467</v>
      </c>
      <c r="E80" t="s">
        <v>468</v>
      </c>
      <c r="F80" t="s">
        <v>469</v>
      </c>
      <c r="G80" t="s">
        <v>459</v>
      </c>
      <c r="H80" t="s">
        <v>34</v>
      </c>
      <c r="I80" t="s">
        <v>135</v>
      </c>
      <c r="J80" s="1">
        <v>698</v>
      </c>
      <c r="K80" s="1">
        <v>43.625</v>
      </c>
      <c r="L80" s="3">
        <v>16</v>
      </c>
      <c r="M80" t="s">
        <v>56</v>
      </c>
      <c r="N80" s="2">
        <v>43964</v>
      </c>
      <c r="O80" t="s">
        <v>470</v>
      </c>
      <c r="P80" t="s">
        <v>358</v>
      </c>
      <c r="Q80">
        <v>20420</v>
      </c>
      <c r="R80" t="s">
        <v>27</v>
      </c>
      <c r="S80" s="10">
        <v>32.514363722428577</v>
      </c>
      <c r="T80">
        <v>19</v>
      </c>
    </row>
    <row r="81" spans="1:20" x14ac:dyDescent="0.3">
      <c r="A81">
        <v>1880</v>
      </c>
      <c r="B81" t="s">
        <v>129</v>
      </c>
      <c r="C81" t="s">
        <v>130</v>
      </c>
      <c r="D81" t="s">
        <v>131</v>
      </c>
      <c r="E81" t="s">
        <v>132</v>
      </c>
      <c r="F81" t="s">
        <v>133</v>
      </c>
      <c r="G81" t="s">
        <v>134</v>
      </c>
      <c r="H81" t="s">
        <v>22</v>
      </c>
      <c r="I81" t="s">
        <v>135</v>
      </c>
      <c r="J81" s="1">
        <v>292</v>
      </c>
      <c r="K81" s="1">
        <v>29.2</v>
      </c>
      <c r="L81" s="3">
        <v>10</v>
      </c>
      <c r="M81" t="s">
        <v>36</v>
      </c>
      <c r="N81" s="2">
        <v>43964</v>
      </c>
      <c r="O81" t="s">
        <v>136</v>
      </c>
      <c r="P81" t="s">
        <v>137</v>
      </c>
      <c r="Q81">
        <v>60614</v>
      </c>
      <c r="R81" t="s">
        <v>27</v>
      </c>
      <c r="S81" s="10">
        <v>16.566033154980541</v>
      </c>
      <c r="T81">
        <v>17</v>
      </c>
    </row>
    <row r="82" spans="1:20" x14ac:dyDescent="0.3">
      <c r="A82">
        <v>1365</v>
      </c>
      <c r="B82" t="s">
        <v>471</v>
      </c>
      <c r="C82" t="s">
        <v>472</v>
      </c>
      <c r="D82" t="s">
        <v>473</v>
      </c>
      <c r="E82" t="s">
        <v>474</v>
      </c>
      <c r="F82" t="s">
        <v>475</v>
      </c>
      <c r="G82" t="s">
        <v>476</v>
      </c>
      <c r="H82" t="s">
        <v>34</v>
      </c>
      <c r="I82" t="s">
        <v>55</v>
      </c>
      <c r="J82" s="1">
        <v>625</v>
      </c>
      <c r="K82" s="1">
        <v>39.0625</v>
      </c>
      <c r="L82" s="3">
        <v>16</v>
      </c>
      <c r="M82" t="s">
        <v>66</v>
      </c>
      <c r="N82" s="2">
        <v>43965</v>
      </c>
      <c r="O82" t="s">
        <v>267</v>
      </c>
      <c r="P82" t="s">
        <v>477</v>
      </c>
      <c r="Q82">
        <v>33261</v>
      </c>
      <c r="R82" t="s">
        <v>27</v>
      </c>
      <c r="S82" s="10">
        <v>34.013294933277216</v>
      </c>
      <c r="T82">
        <v>28</v>
      </c>
    </row>
    <row r="83" spans="1:20" x14ac:dyDescent="0.3">
      <c r="A83">
        <v>1619</v>
      </c>
      <c r="B83" t="s">
        <v>478</v>
      </c>
      <c r="C83" t="s">
        <v>479</v>
      </c>
      <c r="D83" t="s">
        <v>480</v>
      </c>
      <c r="E83" t="s">
        <v>481</v>
      </c>
      <c r="F83" t="s">
        <v>482</v>
      </c>
      <c r="G83" t="s">
        <v>483</v>
      </c>
      <c r="H83" t="s">
        <v>34</v>
      </c>
      <c r="I83" t="s">
        <v>23</v>
      </c>
      <c r="J83" s="1">
        <v>558</v>
      </c>
      <c r="K83" s="1">
        <v>34.875</v>
      </c>
      <c r="L83" s="3">
        <v>16</v>
      </c>
      <c r="M83" t="s">
        <v>126</v>
      </c>
      <c r="N83" s="2">
        <v>43966</v>
      </c>
      <c r="O83" t="s">
        <v>67</v>
      </c>
      <c r="P83" t="s">
        <v>484</v>
      </c>
      <c r="Q83">
        <v>75044</v>
      </c>
      <c r="R83" t="s">
        <v>27</v>
      </c>
      <c r="S83" s="10">
        <v>28.380624581509206</v>
      </c>
      <c r="T83">
        <v>25</v>
      </c>
    </row>
    <row r="84" spans="1:20" x14ac:dyDescent="0.3">
      <c r="A84">
        <v>1658</v>
      </c>
      <c r="B84" t="s">
        <v>485</v>
      </c>
      <c r="C84" t="s">
        <v>346</v>
      </c>
      <c r="D84" t="s">
        <v>486</v>
      </c>
      <c r="E84" t="s">
        <v>487</v>
      </c>
      <c r="F84" t="s">
        <v>488</v>
      </c>
      <c r="G84" t="s">
        <v>489</v>
      </c>
      <c r="H84" t="s">
        <v>34</v>
      </c>
      <c r="I84" t="s">
        <v>23</v>
      </c>
      <c r="J84" s="1">
        <v>764</v>
      </c>
      <c r="K84" s="1">
        <v>34.727272727272727</v>
      </c>
      <c r="L84" s="3">
        <v>22</v>
      </c>
      <c r="M84" t="s">
        <v>143</v>
      </c>
      <c r="N84" s="2">
        <v>43966</v>
      </c>
      <c r="O84" t="s">
        <v>470</v>
      </c>
      <c r="P84" t="s">
        <v>358</v>
      </c>
      <c r="Q84">
        <v>20425</v>
      </c>
      <c r="R84" t="s">
        <v>27</v>
      </c>
      <c r="S84" s="10">
        <v>39.161769282943546</v>
      </c>
      <c r="T84">
        <v>39</v>
      </c>
    </row>
    <row r="85" spans="1:20" x14ac:dyDescent="0.3">
      <c r="A85">
        <v>1433</v>
      </c>
      <c r="B85" t="s">
        <v>465</v>
      </c>
      <c r="C85" t="s">
        <v>466</v>
      </c>
      <c r="D85" t="s">
        <v>467</v>
      </c>
      <c r="E85" t="s">
        <v>468</v>
      </c>
      <c r="F85" t="s">
        <v>469</v>
      </c>
      <c r="G85" t="s">
        <v>459</v>
      </c>
      <c r="H85" t="s">
        <v>34</v>
      </c>
      <c r="I85" t="s">
        <v>135</v>
      </c>
      <c r="J85" s="1">
        <v>50</v>
      </c>
      <c r="K85" s="1">
        <v>25</v>
      </c>
      <c r="L85" s="3">
        <v>2</v>
      </c>
      <c r="M85" t="s">
        <v>56</v>
      </c>
      <c r="N85" s="2">
        <v>43970</v>
      </c>
      <c r="O85" t="s">
        <v>470</v>
      </c>
      <c r="P85" t="s">
        <v>358</v>
      </c>
      <c r="Q85">
        <v>20420</v>
      </c>
      <c r="R85" t="s">
        <v>27</v>
      </c>
      <c r="S85" s="10">
        <v>3.9987887854997544</v>
      </c>
      <c r="T85">
        <v>2</v>
      </c>
    </row>
    <row r="86" spans="1:20" x14ac:dyDescent="0.3">
      <c r="A86">
        <v>1298</v>
      </c>
      <c r="B86" t="s">
        <v>275</v>
      </c>
      <c r="C86" t="s">
        <v>340</v>
      </c>
      <c r="D86" t="s">
        <v>341</v>
      </c>
      <c r="E86" t="s">
        <v>342</v>
      </c>
      <c r="F86" t="s">
        <v>306</v>
      </c>
      <c r="G86" t="s">
        <v>180</v>
      </c>
      <c r="H86" t="s">
        <v>22</v>
      </c>
      <c r="I86" t="s">
        <v>236</v>
      </c>
      <c r="J86" s="1">
        <v>931</v>
      </c>
      <c r="K86" s="1">
        <v>25.861111111111111</v>
      </c>
      <c r="L86" s="3">
        <v>36</v>
      </c>
      <c r="M86" t="s">
        <v>343</v>
      </c>
      <c r="N86" s="2">
        <v>43971</v>
      </c>
      <c r="O86" t="s">
        <v>267</v>
      </c>
      <c r="P86" t="s">
        <v>344</v>
      </c>
      <c r="Q86">
        <v>32891</v>
      </c>
      <c r="R86" t="s">
        <v>27</v>
      </c>
      <c r="S86" s="10">
        <v>66.82089852690612</v>
      </c>
      <c r="T86">
        <v>86</v>
      </c>
    </row>
    <row r="87" spans="1:20" x14ac:dyDescent="0.3">
      <c r="A87">
        <v>1627</v>
      </c>
      <c r="B87" t="s">
        <v>490</v>
      </c>
      <c r="C87" t="s">
        <v>491</v>
      </c>
      <c r="D87" t="s">
        <v>492</v>
      </c>
      <c r="E87" t="s">
        <v>493</v>
      </c>
      <c r="F87" t="s">
        <v>494</v>
      </c>
      <c r="G87" t="s">
        <v>495</v>
      </c>
      <c r="H87" t="s">
        <v>34</v>
      </c>
      <c r="I87" t="s">
        <v>23</v>
      </c>
      <c r="J87" s="1">
        <v>380</v>
      </c>
      <c r="K87" s="1">
        <v>34.545454545454547</v>
      </c>
      <c r="L87" s="3">
        <v>11</v>
      </c>
      <c r="M87" t="s">
        <v>126</v>
      </c>
      <c r="N87" s="2">
        <v>43971</v>
      </c>
      <c r="O87" t="s">
        <v>496</v>
      </c>
      <c r="P87" t="s">
        <v>497</v>
      </c>
      <c r="Q87">
        <v>40524</v>
      </c>
      <c r="R87" t="s">
        <v>27</v>
      </c>
      <c r="S87" s="10">
        <v>26.246120342436001</v>
      </c>
      <c r="T87">
        <v>24</v>
      </c>
    </row>
    <row r="88" spans="1:20" x14ac:dyDescent="0.3">
      <c r="A88">
        <v>1671</v>
      </c>
      <c r="B88" t="s">
        <v>498</v>
      </c>
      <c r="C88" t="s">
        <v>499</v>
      </c>
      <c r="D88" t="s">
        <v>500</v>
      </c>
      <c r="E88" t="s">
        <v>501</v>
      </c>
      <c r="F88" t="s">
        <v>290</v>
      </c>
      <c r="G88" t="s">
        <v>218</v>
      </c>
      <c r="H88" t="s">
        <v>34</v>
      </c>
      <c r="I88" t="s">
        <v>23</v>
      </c>
      <c r="J88" s="1">
        <v>995</v>
      </c>
      <c r="K88" s="1">
        <v>27.638888888888889</v>
      </c>
      <c r="L88" s="3">
        <v>36</v>
      </c>
      <c r="M88" t="s">
        <v>66</v>
      </c>
      <c r="N88" s="2">
        <v>43972</v>
      </c>
      <c r="O88" t="s">
        <v>187</v>
      </c>
      <c r="P88" t="s">
        <v>502</v>
      </c>
      <c r="Q88">
        <v>27710</v>
      </c>
      <c r="R88" t="s">
        <v>27</v>
      </c>
      <c r="S88" s="10">
        <v>78.362690533487438</v>
      </c>
      <c r="T88">
        <v>57</v>
      </c>
    </row>
    <row r="89" spans="1:20" x14ac:dyDescent="0.3">
      <c r="A89">
        <v>1812</v>
      </c>
      <c r="B89" t="s">
        <v>231</v>
      </c>
      <c r="C89" t="s">
        <v>232</v>
      </c>
      <c r="D89" t="s">
        <v>233</v>
      </c>
      <c r="E89" t="s">
        <v>234</v>
      </c>
      <c r="F89" t="s">
        <v>235</v>
      </c>
      <c r="G89" t="s">
        <v>74</v>
      </c>
      <c r="H89" t="s">
        <v>34</v>
      </c>
      <c r="I89" t="s">
        <v>236</v>
      </c>
      <c r="J89" s="1">
        <v>887</v>
      </c>
      <c r="K89" s="1">
        <v>34.115384615384613</v>
      </c>
      <c r="L89" s="3">
        <v>26</v>
      </c>
      <c r="M89" t="s">
        <v>126</v>
      </c>
      <c r="N89" s="2">
        <v>43975</v>
      </c>
      <c r="O89" t="s">
        <v>237</v>
      </c>
      <c r="P89" t="s">
        <v>238</v>
      </c>
      <c r="Q89">
        <v>35220</v>
      </c>
      <c r="R89" t="s">
        <v>27</v>
      </c>
      <c r="S89" s="10">
        <v>41.193578640514183</v>
      </c>
      <c r="T89">
        <v>43</v>
      </c>
    </row>
    <row r="90" spans="1:20" x14ac:dyDescent="0.3">
      <c r="A90">
        <v>1654</v>
      </c>
      <c r="B90" t="s">
        <v>471</v>
      </c>
      <c r="C90" t="s">
        <v>60</v>
      </c>
      <c r="D90" t="s">
        <v>503</v>
      </c>
      <c r="E90" t="s">
        <v>504</v>
      </c>
      <c r="F90" t="s">
        <v>505</v>
      </c>
      <c r="G90" t="s">
        <v>506</v>
      </c>
      <c r="H90" t="s">
        <v>34</v>
      </c>
      <c r="I90" t="s">
        <v>23</v>
      </c>
      <c r="J90" s="1">
        <v>565</v>
      </c>
      <c r="K90" s="1">
        <v>40.357142857142854</v>
      </c>
      <c r="L90" s="3">
        <v>14</v>
      </c>
      <c r="M90" t="s">
        <v>343</v>
      </c>
      <c r="N90" s="2">
        <v>43976</v>
      </c>
      <c r="O90" t="s">
        <v>67</v>
      </c>
      <c r="P90" t="s">
        <v>280</v>
      </c>
      <c r="Q90">
        <v>78230</v>
      </c>
      <c r="R90" t="s">
        <v>27</v>
      </c>
      <c r="S90" s="10">
        <v>27.334445876949701</v>
      </c>
      <c r="T90">
        <v>29</v>
      </c>
    </row>
    <row r="91" spans="1:20" x14ac:dyDescent="0.3">
      <c r="A91">
        <v>1164</v>
      </c>
      <c r="B91" t="s">
        <v>507</v>
      </c>
      <c r="C91" t="s">
        <v>508</v>
      </c>
      <c r="D91" t="s">
        <v>509</v>
      </c>
      <c r="E91" t="s">
        <v>510</v>
      </c>
      <c r="F91" t="s">
        <v>364</v>
      </c>
      <c r="G91" t="s">
        <v>74</v>
      </c>
      <c r="H91" t="s">
        <v>34</v>
      </c>
      <c r="I91" t="s">
        <v>35</v>
      </c>
      <c r="J91" s="1">
        <v>396</v>
      </c>
      <c r="K91" s="1">
        <v>44</v>
      </c>
      <c r="L91" s="3">
        <v>9</v>
      </c>
      <c r="M91" t="s">
        <v>36</v>
      </c>
      <c r="N91" s="2">
        <v>43980</v>
      </c>
      <c r="O91" t="s">
        <v>83</v>
      </c>
      <c r="P91" t="s">
        <v>511</v>
      </c>
      <c r="Q91">
        <v>10203</v>
      </c>
      <c r="R91" t="s">
        <v>27</v>
      </c>
      <c r="S91" s="10">
        <v>22.353519446910848</v>
      </c>
      <c r="T91">
        <v>18</v>
      </c>
    </row>
    <row r="92" spans="1:20" x14ac:dyDescent="0.3">
      <c r="A92">
        <v>1462</v>
      </c>
      <c r="B92" t="s">
        <v>430</v>
      </c>
      <c r="C92" t="s">
        <v>512</v>
      </c>
      <c r="D92" t="s">
        <v>513</v>
      </c>
      <c r="E92" t="s">
        <v>514</v>
      </c>
      <c r="F92" t="s">
        <v>515</v>
      </c>
      <c r="G92" t="s">
        <v>516</v>
      </c>
      <c r="H92" t="s">
        <v>34</v>
      </c>
      <c r="I92" t="s">
        <v>228</v>
      </c>
      <c r="J92" s="1">
        <v>458</v>
      </c>
      <c r="K92" s="1">
        <v>41.636363636363633</v>
      </c>
      <c r="L92" s="3">
        <v>11</v>
      </c>
      <c r="M92" t="s">
        <v>36</v>
      </c>
      <c r="N92" s="2">
        <v>43981</v>
      </c>
      <c r="O92" t="s">
        <v>136</v>
      </c>
      <c r="P92" t="s">
        <v>517</v>
      </c>
      <c r="Q92">
        <v>60193</v>
      </c>
      <c r="R92" t="s">
        <v>27</v>
      </c>
      <c r="S92" s="10">
        <v>20.897978569902726</v>
      </c>
      <c r="T92">
        <v>17</v>
      </c>
    </row>
    <row r="93" spans="1:20" x14ac:dyDescent="0.3">
      <c r="A93">
        <v>1880</v>
      </c>
      <c r="B93" t="s">
        <v>129</v>
      </c>
      <c r="C93" t="s">
        <v>130</v>
      </c>
      <c r="D93" t="s">
        <v>131</v>
      </c>
      <c r="E93" t="s">
        <v>132</v>
      </c>
      <c r="F93" t="s">
        <v>133</v>
      </c>
      <c r="G93" t="s">
        <v>134</v>
      </c>
      <c r="H93" t="s">
        <v>22</v>
      </c>
      <c r="I93" t="s">
        <v>135</v>
      </c>
      <c r="J93" s="1">
        <v>605</v>
      </c>
      <c r="K93" s="1">
        <v>28.80952380952381</v>
      </c>
      <c r="L93" s="3">
        <v>21</v>
      </c>
      <c r="M93" t="s">
        <v>36</v>
      </c>
      <c r="N93" s="2">
        <v>43981</v>
      </c>
      <c r="O93" t="s">
        <v>136</v>
      </c>
      <c r="P93" t="s">
        <v>137</v>
      </c>
      <c r="Q93">
        <v>60614</v>
      </c>
      <c r="R93" t="s">
        <v>27</v>
      </c>
      <c r="S93" s="10">
        <v>43.242557522644113</v>
      </c>
      <c r="T93">
        <v>34</v>
      </c>
    </row>
    <row r="94" spans="1:20" x14ac:dyDescent="0.3">
      <c r="A94">
        <v>1092</v>
      </c>
      <c r="B94" t="s">
        <v>518</v>
      </c>
      <c r="C94" t="s">
        <v>519</v>
      </c>
      <c r="D94" t="s">
        <v>520</v>
      </c>
      <c r="E94" t="s">
        <v>521</v>
      </c>
      <c r="F94" t="s">
        <v>522</v>
      </c>
      <c r="G94" t="s">
        <v>523</v>
      </c>
      <c r="H94" t="s">
        <v>22</v>
      </c>
      <c r="I94" t="s">
        <v>55</v>
      </c>
      <c r="J94" s="1">
        <v>568</v>
      </c>
      <c r="K94" s="1">
        <v>28.4</v>
      </c>
      <c r="L94" s="3">
        <v>20</v>
      </c>
      <c r="M94" t="s">
        <v>343</v>
      </c>
      <c r="N94" s="2">
        <v>43982</v>
      </c>
      <c r="O94" t="s">
        <v>267</v>
      </c>
      <c r="P94" t="s">
        <v>524</v>
      </c>
      <c r="Q94">
        <v>34233</v>
      </c>
      <c r="R94" t="s">
        <v>27</v>
      </c>
      <c r="S94" s="10">
        <v>43.038605252492694</v>
      </c>
      <c r="T94">
        <v>34</v>
      </c>
    </row>
    <row r="95" spans="1:20" x14ac:dyDescent="0.3">
      <c r="A95">
        <v>1455</v>
      </c>
      <c r="B95" t="s">
        <v>47</v>
      </c>
      <c r="C95" t="s">
        <v>512</v>
      </c>
      <c r="D95" t="s">
        <v>525</v>
      </c>
      <c r="E95" t="s">
        <v>526</v>
      </c>
      <c r="F95" t="s">
        <v>53</v>
      </c>
      <c r="G95" t="s">
        <v>527</v>
      </c>
      <c r="H95" t="s">
        <v>22</v>
      </c>
      <c r="I95" t="s">
        <v>299</v>
      </c>
      <c r="J95" s="1">
        <v>433</v>
      </c>
      <c r="K95" s="1">
        <v>25.470588235294116</v>
      </c>
      <c r="L95" s="3">
        <v>17</v>
      </c>
      <c r="M95" t="s">
        <v>126</v>
      </c>
      <c r="N95" s="2">
        <v>43982</v>
      </c>
      <c r="O95" t="s">
        <v>196</v>
      </c>
      <c r="P95" t="s">
        <v>528</v>
      </c>
      <c r="Q95">
        <v>19141</v>
      </c>
      <c r="R95" t="s">
        <v>27</v>
      </c>
      <c r="S95" s="10">
        <v>30.29257618112122</v>
      </c>
      <c r="T95">
        <v>28</v>
      </c>
    </row>
    <row r="96" spans="1:20" x14ac:dyDescent="0.3">
      <c r="A96">
        <v>1081</v>
      </c>
      <c r="B96" t="s">
        <v>529</v>
      </c>
      <c r="C96" t="s">
        <v>530</v>
      </c>
      <c r="D96" t="s">
        <v>531</v>
      </c>
      <c r="E96" t="s">
        <v>532</v>
      </c>
      <c r="F96" t="s">
        <v>533</v>
      </c>
      <c r="G96" t="s">
        <v>495</v>
      </c>
      <c r="H96" t="s">
        <v>22</v>
      </c>
      <c r="I96" t="s">
        <v>55</v>
      </c>
      <c r="J96" s="1">
        <v>767</v>
      </c>
      <c r="K96" s="1">
        <v>29.5</v>
      </c>
      <c r="L96" s="3">
        <v>26</v>
      </c>
      <c r="M96" t="s">
        <v>447</v>
      </c>
      <c r="N96" s="2">
        <v>43984</v>
      </c>
      <c r="O96" t="s">
        <v>229</v>
      </c>
      <c r="P96" t="s">
        <v>534</v>
      </c>
      <c r="Q96">
        <v>45426</v>
      </c>
      <c r="R96" t="s">
        <v>27</v>
      </c>
      <c r="S96" s="10">
        <v>46.280965456781971</v>
      </c>
      <c r="T96">
        <v>51</v>
      </c>
    </row>
    <row r="97" spans="1:20" x14ac:dyDescent="0.3">
      <c r="A97">
        <v>1520</v>
      </c>
      <c r="B97" t="s">
        <v>535</v>
      </c>
      <c r="C97" t="s">
        <v>536</v>
      </c>
      <c r="D97" t="s">
        <v>537</v>
      </c>
      <c r="E97" t="s">
        <v>538</v>
      </c>
      <c r="F97" t="s">
        <v>539</v>
      </c>
      <c r="G97" t="s">
        <v>489</v>
      </c>
      <c r="H97" t="s">
        <v>22</v>
      </c>
      <c r="I97" t="s">
        <v>45</v>
      </c>
      <c r="J97" s="1">
        <v>456</v>
      </c>
      <c r="K97" s="1">
        <v>41.454545454545453</v>
      </c>
      <c r="L97" s="3">
        <v>11</v>
      </c>
      <c r="M97" t="s">
        <v>36</v>
      </c>
      <c r="N97" s="2">
        <v>43985</v>
      </c>
      <c r="O97" t="s">
        <v>37</v>
      </c>
      <c r="P97" t="s">
        <v>316</v>
      </c>
      <c r="Q97">
        <v>94110</v>
      </c>
      <c r="R97" t="s">
        <v>27</v>
      </c>
      <c r="S97" s="10">
        <v>16.812068365426729</v>
      </c>
      <c r="T97">
        <v>22</v>
      </c>
    </row>
    <row r="98" spans="1:20" x14ac:dyDescent="0.3">
      <c r="A98">
        <v>1650</v>
      </c>
      <c r="B98" t="s">
        <v>540</v>
      </c>
      <c r="C98" t="s">
        <v>541</v>
      </c>
      <c r="D98" t="s">
        <v>542</v>
      </c>
      <c r="E98" t="s">
        <v>543</v>
      </c>
      <c r="F98" t="s">
        <v>544</v>
      </c>
      <c r="G98" t="s">
        <v>545</v>
      </c>
      <c r="H98" t="s">
        <v>22</v>
      </c>
      <c r="I98" t="s">
        <v>23</v>
      </c>
      <c r="J98" s="1">
        <v>280</v>
      </c>
      <c r="K98" s="1">
        <v>46.666666666666664</v>
      </c>
      <c r="L98" s="3">
        <v>6</v>
      </c>
      <c r="M98" t="s">
        <v>447</v>
      </c>
      <c r="N98" s="2">
        <v>43987</v>
      </c>
      <c r="O98" t="s">
        <v>396</v>
      </c>
      <c r="P98" t="s">
        <v>546</v>
      </c>
      <c r="Q98">
        <v>97221</v>
      </c>
      <c r="R98" t="s">
        <v>27</v>
      </c>
      <c r="S98" s="10">
        <v>13.897719931108195</v>
      </c>
      <c r="T98">
        <v>11</v>
      </c>
    </row>
    <row r="99" spans="1:20" x14ac:dyDescent="0.3">
      <c r="A99">
        <v>1043</v>
      </c>
      <c r="B99" t="s">
        <v>102</v>
      </c>
      <c r="C99" t="s">
        <v>154</v>
      </c>
      <c r="D99" t="s">
        <v>547</v>
      </c>
      <c r="E99" t="s">
        <v>548</v>
      </c>
      <c r="F99" t="s">
        <v>549</v>
      </c>
      <c r="G99" t="s">
        <v>453</v>
      </c>
      <c r="H99" t="s">
        <v>34</v>
      </c>
      <c r="I99" t="s">
        <v>23</v>
      </c>
      <c r="J99" s="1">
        <v>442</v>
      </c>
      <c r="K99" s="1">
        <v>26</v>
      </c>
      <c r="L99" s="3">
        <v>17</v>
      </c>
      <c r="M99" t="s">
        <v>24</v>
      </c>
      <c r="N99" s="2">
        <v>43990</v>
      </c>
      <c r="O99" t="s">
        <v>300</v>
      </c>
      <c r="P99" t="s">
        <v>301</v>
      </c>
      <c r="Q99">
        <v>89140</v>
      </c>
      <c r="R99" t="s">
        <v>27</v>
      </c>
      <c r="S99" s="10">
        <v>31.017661388255267</v>
      </c>
      <c r="T99">
        <v>27</v>
      </c>
    </row>
    <row r="100" spans="1:20" x14ac:dyDescent="0.3">
      <c r="A100">
        <v>1095</v>
      </c>
      <c r="B100" t="s">
        <v>550</v>
      </c>
      <c r="C100" t="s">
        <v>551</v>
      </c>
      <c r="D100" t="s">
        <v>552</v>
      </c>
      <c r="E100" t="s">
        <v>553</v>
      </c>
      <c r="F100" t="s">
        <v>554</v>
      </c>
      <c r="G100" t="s">
        <v>555</v>
      </c>
      <c r="H100" t="s">
        <v>22</v>
      </c>
      <c r="I100" t="s">
        <v>55</v>
      </c>
      <c r="J100" s="1">
        <v>701</v>
      </c>
      <c r="K100" s="1">
        <v>38.944444444444443</v>
      </c>
      <c r="L100" s="3">
        <v>18</v>
      </c>
      <c r="M100" t="s">
        <v>126</v>
      </c>
      <c r="N100" s="2">
        <v>43991</v>
      </c>
      <c r="O100" t="s">
        <v>67</v>
      </c>
      <c r="P100" t="s">
        <v>334</v>
      </c>
      <c r="Q100">
        <v>77040</v>
      </c>
      <c r="R100" t="s">
        <v>27</v>
      </c>
      <c r="S100" s="10">
        <v>32.806791270580213</v>
      </c>
      <c r="T100">
        <v>27</v>
      </c>
    </row>
    <row r="101" spans="1:20" x14ac:dyDescent="0.3">
      <c r="A101">
        <v>1116</v>
      </c>
      <c r="B101" t="s">
        <v>49</v>
      </c>
      <c r="C101" t="s">
        <v>50</v>
      </c>
      <c r="D101" t="s">
        <v>51</v>
      </c>
      <c r="E101" t="s">
        <v>52</v>
      </c>
      <c r="F101" t="s">
        <v>53</v>
      </c>
      <c r="G101" t="s">
        <v>54</v>
      </c>
      <c r="H101" t="s">
        <v>22</v>
      </c>
      <c r="I101" t="s">
        <v>55</v>
      </c>
      <c r="J101" s="1">
        <v>388</v>
      </c>
      <c r="K101" s="1">
        <v>43.111111111111114</v>
      </c>
      <c r="L101" s="3">
        <v>9</v>
      </c>
      <c r="M101" t="s">
        <v>56</v>
      </c>
      <c r="N101" s="2">
        <v>43992</v>
      </c>
      <c r="O101" t="s">
        <v>57</v>
      </c>
      <c r="P101" t="s">
        <v>58</v>
      </c>
      <c r="Q101">
        <v>30096</v>
      </c>
      <c r="R101" t="s">
        <v>27</v>
      </c>
      <c r="S101" s="10">
        <v>13.360235140983447</v>
      </c>
      <c r="T101">
        <v>12</v>
      </c>
    </row>
    <row r="102" spans="1:20" x14ac:dyDescent="0.3">
      <c r="A102">
        <v>1298</v>
      </c>
      <c r="B102" t="s">
        <v>275</v>
      </c>
      <c r="C102" t="s">
        <v>340</v>
      </c>
      <c r="D102" t="s">
        <v>341</v>
      </c>
      <c r="E102" t="s">
        <v>342</v>
      </c>
      <c r="F102" t="s">
        <v>306</v>
      </c>
      <c r="G102" t="s">
        <v>180</v>
      </c>
      <c r="H102" t="s">
        <v>22</v>
      </c>
      <c r="I102" t="s">
        <v>236</v>
      </c>
      <c r="J102" s="1">
        <v>91</v>
      </c>
      <c r="K102" s="1">
        <v>45.5</v>
      </c>
      <c r="L102" s="3">
        <v>2</v>
      </c>
      <c r="M102" t="s">
        <v>343</v>
      </c>
      <c r="N102" s="2">
        <v>43992</v>
      </c>
      <c r="O102" t="s">
        <v>267</v>
      </c>
      <c r="P102" t="s">
        <v>344</v>
      </c>
      <c r="Q102">
        <v>32891</v>
      </c>
      <c r="R102" t="s">
        <v>27</v>
      </c>
      <c r="S102" s="10">
        <v>4.1826510319518198</v>
      </c>
      <c r="T102">
        <v>3</v>
      </c>
    </row>
    <row r="103" spans="1:20" x14ac:dyDescent="0.3">
      <c r="A103">
        <v>1989</v>
      </c>
      <c r="B103" t="s">
        <v>556</v>
      </c>
      <c r="C103" t="s">
        <v>557</v>
      </c>
      <c r="D103" t="s">
        <v>558</v>
      </c>
      <c r="E103" t="s">
        <v>559</v>
      </c>
      <c r="F103" t="s">
        <v>560</v>
      </c>
      <c r="G103" t="s">
        <v>555</v>
      </c>
      <c r="H103" t="s">
        <v>34</v>
      </c>
      <c r="I103" t="s">
        <v>65</v>
      </c>
      <c r="J103" s="1">
        <v>452</v>
      </c>
      <c r="K103" s="1">
        <v>41.090909090909093</v>
      </c>
      <c r="L103" s="3">
        <v>11</v>
      </c>
      <c r="M103" t="s">
        <v>36</v>
      </c>
      <c r="N103" s="2">
        <v>43993</v>
      </c>
      <c r="O103" t="s">
        <v>67</v>
      </c>
      <c r="P103" t="s">
        <v>561</v>
      </c>
      <c r="Q103">
        <v>77346</v>
      </c>
      <c r="R103" t="s">
        <v>27</v>
      </c>
      <c r="S103" s="10">
        <v>15.807733999508457</v>
      </c>
      <c r="T103">
        <v>24</v>
      </c>
    </row>
    <row r="104" spans="1:20" x14ac:dyDescent="0.3">
      <c r="A104">
        <v>1995</v>
      </c>
      <c r="B104" t="s">
        <v>562</v>
      </c>
      <c r="C104" t="s">
        <v>563</v>
      </c>
      <c r="D104" t="s">
        <v>564</v>
      </c>
      <c r="E104" t="s">
        <v>565</v>
      </c>
      <c r="F104" t="s">
        <v>566</v>
      </c>
      <c r="G104" t="s">
        <v>567</v>
      </c>
      <c r="H104" t="s">
        <v>22</v>
      </c>
      <c r="I104" t="s">
        <v>65</v>
      </c>
      <c r="J104" s="1">
        <v>719</v>
      </c>
      <c r="K104" s="1">
        <v>37.842105263157897</v>
      </c>
      <c r="L104" s="3">
        <v>19</v>
      </c>
      <c r="M104" t="s">
        <v>126</v>
      </c>
      <c r="N104" s="2">
        <v>43993</v>
      </c>
      <c r="O104" t="s">
        <v>568</v>
      </c>
      <c r="P104" t="s">
        <v>569</v>
      </c>
      <c r="Q104">
        <v>37939</v>
      </c>
      <c r="R104" t="s">
        <v>27</v>
      </c>
      <c r="S104" s="10">
        <v>29.532682381158075</v>
      </c>
      <c r="T104">
        <v>31</v>
      </c>
    </row>
    <row r="105" spans="1:20" x14ac:dyDescent="0.3">
      <c r="A105">
        <v>1212</v>
      </c>
      <c r="B105" t="s">
        <v>120</v>
      </c>
      <c r="C105" t="s">
        <v>121</v>
      </c>
      <c r="D105" t="s">
        <v>122</v>
      </c>
      <c r="E105" t="s">
        <v>123</v>
      </c>
      <c r="F105" t="s">
        <v>124</v>
      </c>
      <c r="G105" t="s">
        <v>125</v>
      </c>
      <c r="H105" t="s">
        <v>22</v>
      </c>
      <c r="I105" t="s">
        <v>65</v>
      </c>
      <c r="J105" s="1">
        <v>110</v>
      </c>
      <c r="K105" s="1">
        <v>27.5</v>
      </c>
      <c r="L105" s="3">
        <v>4</v>
      </c>
      <c r="M105" t="s">
        <v>126</v>
      </c>
      <c r="N105" s="2">
        <v>43994</v>
      </c>
      <c r="O105" t="s">
        <v>127</v>
      </c>
      <c r="P105" t="s">
        <v>128</v>
      </c>
      <c r="Q105">
        <v>6183</v>
      </c>
      <c r="R105" t="s">
        <v>27</v>
      </c>
      <c r="S105" s="10">
        <v>7.6524243892373045</v>
      </c>
      <c r="T105">
        <v>5</v>
      </c>
    </row>
    <row r="106" spans="1:20" x14ac:dyDescent="0.3">
      <c r="A106">
        <v>1683</v>
      </c>
      <c r="B106" t="s">
        <v>570</v>
      </c>
      <c r="C106" t="s">
        <v>571</v>
      </c>
      <c r="D106" t="s">
        <v>572</v>
      </c>
      <c r="E106" t="s">
        <v>573</v>
      </c>
      <c r="F106" t="s">
        <v>574</v>
      </c>
      <c r="G106" t="s">
        <v>125</v>
      </c>
      <c r="H106" t="s">
        <v>34</v>
      </c>
      <c r="I106" t="s">
        <v>23</v>
      </c>
      <c r="J106" s="1">
        <v>621</v>
      </c>
      <c r="K106" s="1">
        <v>36.529411764705884</v>
      </c>
      <c r="L106" s="3">
        <v>17</v>
      </c>
      <c r="M106" t="s">
        <v>244</v>
      </c>
      <c r="N106" s="2">
        <v>43994</v>
      </c>
      <c r="O106" t="s">
        <v>109</v>
      </c>
      <c r="P106" t="s">
        <v>386</v>
      </c>
      <c r="Q106">
        <v>70124</v>
      </c>
      <c r="R106" t="s">
        <v>27</v>
      </c>
      <c r="S106" s="10">
        <v>41.486536965049545</v>
      </c>
      <c r="T106">
        <v>27</v>
      </c>
    </row>
    <row r="107" spans="1:20" x14ac:dyDescent="0.3">
      <c r="A107">
        <v>1260</v>
      </c>
      <c r="B107" t="s">
        <v>352</v>
      </c>
      <c r="C107" t="s">
        <v>353</v>
      </c>
      <c r="D107" t="s">
        <v>354</v>
      </c>
      <c r="E107" t="s">
        <v>355</v>
      </c>
      <c r="F107" t="s">
        <v>356</v>
      </c>
      <c r="G107" t="s">
        <v>357</v>
      </c>
      <c r="H107" t="s">
        <v>34</v>
      </c>
      <c r="I107" t="s">
        <v>236</v>
      </c>
      <c r="J107" s="1">
        <v>511</v>
      </c>
      <c r="K107" s="1">
        <v>31.9375</v>
      </c>
      <c r="L107" s="3">
        <v>16</v>
      </c>
      <c r="M107" t="s">
        <v>36</v>
      </c>
      <c r="N107" s="2">
        <v>43995</v>
      </c>
      <c r="O107" t="s">
        <v>358</v>
      </c>
      <c r="P107" t="s">
        <v>359</v>
      </c>
      <c r="Q107">
        <v>99215</v>
      </c>
      <c r="R107" t="s">
        <v>27</v>
      </c>
      <c r="S107" s="10">
        <v>25.563854481781256</v>
      </c>
      <c r="T107">
        <v>32</v>
      </c>
    </row>
    <row r="108" spans="1:20" x14ac:dyDescent="0.3">
      <c r="A108">
        <v>1844</v>
      </c>
      <c r="B108" t="s">
        <v>16</v>
      </c>
      <c r="C108" t="s">
        <v>575</v>
      </c>
      <c r="D108" t="s">
        <v>576</v>
      </c>
      <c r="E108" t="s">
        <v>577</v>
      </c>
      <c r="F108" t="s">
        <v>578</v>
      </c>
      <c r="G108" t="s">
        <v>82</v>
      </c>
      <c r="H108" t="s">
        <v>22</v>
      </c>
      <c r="I108" t="s">
        <v>135</v>
      </c>
      <c r="J108" s="1">
        <v>437</v>
      </c>
      <c r="K108" s="1">
        <v>25.705882352941178</v>
      </c>
      <c r="L108" s="3">
        <v>17</v>
      </c>
      <c r="M108" t="s">
        <v>24</v>
      </c>
      <c r="N108" s="2">
        <v>43996</v>
      </c>
      <c r="O108" t="s">
        <v>136</v>
      </c>
      <c r="P108" t="s">
        <v>579</v>
      </c>
      <c r="Q108">
        <v>62723</v>
      </c>
      <c r="R108" t="s">
        <v>27</v>
      </c>
      <c r="S108" s="10">
        <v>25.392190187844605</v>
      </c>
      <c r="T108">
        <v>34</v>
      </c>
    </row>
    <row r="109" spans="1:20" x14ac:dyDescent="0.3">
      <c r="A109">
        <v>1095</v>
      </c>
      <c r="B109" t="s">
        <v>550</v>
      </c>
      <c r="C109" t="s">
        <v>551</v>
      </c>
      <c r="D109" t="s">
        <v>552</v>
      </c>
      <c r="E109" t="s">
        <v>553</v>
      </c>
      <c r="F109" t="s">
        <v>554</v>
      </c>
      <c r="G109" t="s">
        <v>555</v>
      </c>
      <c r="H109" t="s">
        <v>22</v>
      </c>
      <c r="I109" t="s">
        <v>55</v>
      </c>
      <c r="J109" s="1">
        <v>324</v>
      </c>
      <c r="K109" s="1">
        <v>32.4</v>
      </c>
      <c r="L109" s="3">
        <v>10</v>
      </c>
      <c r="M109" t="s">
        <v>126</v>
      </c>
      <c r="N109" s="2">
        <v>43999</v>
      </c>
      <c r="O109" t="s">
        <v>67</v>
      </c>
      <c r="P109" t="s">
        <v>334</v>
      </c>
      <c r="Q109">
        <v>77040</v>
      </c>
      <c r="R109" t="s">
        <v>27</v>
      </c>
      <c r="S109" s="10">
        <v>18.709340286806089</v>
      </c>
      <c r="T109">
        <v>18</v>
      </c>
    </row>
    <row r="110" spans="1:20" x14ac:dyDescent="0.3">
      <c r="A110">
        <v>1023</v>
      </c>
      <c r="B110" t="s">
        <v>580</v>
      </c>
      <c r="C110" t="s">
        <v>460</v>
      </c>
      <c r="D110" t="s">
        <v>581</v>
      </c>
      <c r="E110" t="s">
        <v>582</v>
      </c>
      <c r="F110" t="s">
        <v>364</v>
      </c>
      <c r="G110" t="s">
        <v>279</v>
      </c>
      <c r="H110" t="s">
        <v>34</v>
      </c>
      <c r="I110" t="s">
        <v>23</v>
      </c>
      <c r="J110" s="1">
        <v>344</v>
      </c>
      <c r="K110" s="1">
        <v>34.4</v>
      </c>
      <c r="L110" s="3">
        <v>10</v>
      </c>
      <c r="M110" t="s">
        <v>36</v>
      </c>
      <c r="N110" s="2">
        <v>44001</v>
      </c>
      <c r="O110" t="s">
        <v>229</v>
      </c>
      <c r="P110" t="s">
        <v>416</v>
      </c>
      <c r="Q110">
        <v>43210</v>
      </c>
      <c r="R110" t="s">
        <v>27</v>
      </c>
      <c r="S110" s="10">
        <v>21.084571391054805</v>
      </c>
      <c r="T110">
        <v>16</v>
      </c>
    </row>
    <row r="111" spans="1:20" x14ac:dyDescent="0.3">
      <c r="A111">
        <v>1170</v>
      </c>
      <c r="B111" t="s">
        <v>153</v>
      </c>
      <c r="C111" t="s">
        <v>154</v>
      </c>
      <c r="D111" t="s">
        <v>155</v>
      </c>
      <c r="E111" t="s">
        <v>156</v>
      </c>
      <c r="F111" t="s">
        <v>157</v>
      </c>
      <c r="G111" t="s">
        <v>158</v>
      </c>
      <c r="H111" t="s">
        <v>34</v>
      </c>
      <c r="I111" t="s">
        <v>65</v>
      </c>
      <c r="J111" s="1">
        <v>712</v>
      </c>
      <c r="K111" s="1">
        <v>35.6</v>
      </c>
      <c r="L111" s="3">
        <v>20</v>
      </c>
      <c r="M111" t="s">
        <v>24</v>
      </c>
      <c r="N111" s="2">
        <v>44001</v>
      </c>
      <c r="O111" t="s">
        <v>67</v>
      </c>
      <c r="P111" t="s">
        <v>159</v>
      </c>
      <c r="Q111">
        <v>88574</v>
      </c>
      <c r="R111" t="s">
        <v>27</v>
      </c>
      <c r="S111" s="10">
        <v>25.956265020466041</v>
      </c>
      <c r="T111">
        <v>45</v>
      </c>
    </row>
    <row r="112" spans="1:20" x14ac:dyDescent="0.3">
      <c r="A112">
        <v>1543</v>
      </c>
      <c r="B112" t="s">
        <v>161</v>
      </c>
      <c r="C112" t="s">
        <v>70</v>
      </c>
      <c r="D112" t="s">
        <v>583</v>
      </c>
      <c r="E112" t="s">
        <v>584</v>
      </c>
      <c r="F112" t="s">
        <v>585</v>
      </c>
      <c r="G112" t="s">
        <v>403</v>
      </c>
      <c r="H112" t="s">
        <v>34</v>
      </c>
      <c r="I112" t="s">
        <v>45</v>
      </c>
      <c r="J112" s="1">
        <v>916</v>
      </c>
      <c r="K112" s="1">
        <v>26.171428571428571</v>
      </c>
      <c r="L112" s="3">
        <v>35</v>
      </c>
      <c r="M112" t="s">
        <v>24</v>
      </c>
      <c r="N112" s="2">
        <v>44001</v>
      </c>
      <c r="O112" t="s">
        <v>165</v>
      </c>
      <c r="P112" t="s">
        <v>166</v>
      </c>
      <c r="Q112">
        <v>87180</v>
      </c>
      <c r="R112" t="s">
        <v>27</v>
      </c>
      <c r="S112" s="10">
        <v>79.396382643161999</v>
      </c>
      <c r="T112">
        <v>59</v>
      </c>
    </row>
    <row r="113" spans="1:20" x14ac:dyDescent="0.3">
      <c r="A113">
        <v>1020</v>
      </c>
      <c r="B113" t="s">
        <v>310</v>
      </c>
      <c r="C113" t="s">
        <v>311</v>
      </c>
      <c r="D113" t="s">
        <v>312</v>
      </c>
      <c r="E113" t="s">
        <v>313</v>
      </c>
      <c r="F113" t="s">
        <v>314</v>
      </c>
      <c r="G113" t="s">
        <v>315</v>
      </c>
      <c r="H113" t="s">
        <v>22</v>
      </c>
      <c r="I113" t="s">
        <v>23</v>
      </c>
      <c r="J113" s="1">
        <v>757</v>
      </c>
      <c r="K113" s="1">
        <v>42.055555555555557</v>
      </c>
      <c r="L113" s="3">
        <v>18</v>
      </c>
      <c r="M113" t="s">
        <v>36</v>
      </c>
      <c r="N113" s="2">
        <v>44003</v>
      </c>
      <c r="O113" t="s">
        <v>37</v>
      </c>
      <c r="P113" t="s">
        <v>316</v>
      </c>
      <c r="Q113">
        <v>94105</v>
      </c>
      <c r="R113" t="s">
        <v>27</v>
      </c>
      <c r="S113" s="10">
        <v>37.865040349621431</v>
      </c>
      <c r="T113">
        <v>39</v>
      </c>
    </row>
    <row r="114" spans="1:20" x14ac:dyDescent="0.3">
      <c r="A114">
        <v>1277</v>
      </c>
      <c r="B114" t="s">
        <v>222</v>
      </c>
      <c r="C114" t="s">
        <v>223</v>
      </c>
      <c r="D114" t="s">
        <v>224</v>
      </c>
      <c r="E114" t="s">
        <v>225</v>
      </c>
      <c r="F114" t="s">
        <v>226</v>
      </c>
      <c r="G114" t="s">
        <v>227</v>
      </c>
      <c r="H114" t="s">
        <v>34</v>
      </c>
      <c r="I114" t="s">
        <v>228</v>
      </c>
      <c r="J114" s="1">
        <v>632</v>
      </c>
      <c r="K114" s="1">
        <v>27.478260869565219</v>
      </c>
      <c r="L114" s="3">
        <v>23</v>
      </c>
      <c r="M114" t="s">
        <v>203</v>
      </c>
      <c r="N114" s="2">
        <v>44005</v>
      </c>
      <c r="O114" t="s">
        <v>229</v>
      </c>
      <c r="P114" t="s">
        <v>230</v>
      </c>
      <c r="Q114">
        <v>44310</v>
      </c>
      <c r="R114" t="s">
        <v>27</v>
      </c>
      <c r="S114" s="10">
        <v>29.322351653581471</v>
      </c>
      <c r="T114">
        <v>55</v>
      </c>
    </row>
    <row r="115" spans="1:20" x14ac:dyDescent="0.3">
      <c r="A115">
        <v>1358</v>
      </c>
      <c r="B115" t="s">
        <v>586</v>
      </c>
      <c r="C115" t="s">
        <v>587</v>
      </c>
      <c r="D115" t="s">
        <v>588</v>
      </c>
      <c r="E115" t="s">
        <v>589</v>
      </c>
      <c r="F115" t="s">
        <v>590</v>
      </c>
      <c r="G115" t="s">
        <v>107</v>
      </c>
      <c r="H115" t="s">
        <v>34</v>
      </c>
      <c r="I115" t="s">
        <v>35</v>
      </c>
      <c r="J115" s="1">
        <v>825</v>
      </c>
      <c r="K115" s="1">
        <v>45.833333333333336</v>
      </c>
      <c r="L115" s="3">
        <v>18</v>
      </c>
      <c r="M115" t="s">
        <v>36</v>
      </c>
      <c r="N115" s="2">
        <v>44005</v>
      </c>
      <c r="O115" t="s">
        <v>470</v>
      </c>
      <c r="P115" t="s">
        <v>358</v>
      </c>
      <c r="Q115">
        <v>20310</v>
      </c>
      <c r="R115" t="s">
        <v>27</v>
      </c>
      <c r="S115" s="10">
        <v>24.607754760856114</v>
      </c>
      <c r="T115">
        <v>27</v>
      </c>
    </row>
    <row r="116" spans="1:20" x14ac:dyDescent="0.3">
      <c r="A116">
        <v>1022</v>
      </c>
      <c r="B116" t="s">
        <v>591</v>
      </c>
      <c r="C116" t="s">
        <v>592</v>
      </c>
      <c r="D116" t="s">
        <v>593</v>
      </c>
      <c r="E116" t="s">
        <v>594</v>
      </c>
      <c r="F116" t="s">
        <v>595</v>
      </c>
      <c r="G116" t="s">
        <v>279</v>
      </c>
      <c r="H116" t="s">
        <v>34</v>
      </c>
      <c r="I116" t="s">
        <v>23</v>
      </c>
      <c r="J116" s="1">
        <v>820</v>
      </c>
      <c r="K116" s="1">
        <v>27.333333333333332</v>
      </c>
      <c r="L116" s="3">
        <v>30</v>
      </c>
      <c r="M116" t="s">
        <v>36</v>
      </c>
      <c r="N116" s="2">
        <v>44010</v>
      </c>
      <c r="O116" t="s">
        <v>470</v>
      </c>
      <c r="P116" t="s">
        <v>358</v>
      </c>
      <c r="Q116">
        <v>20430</v>
      </c>
      <c r="R116" t="s">
        <v>27</v>
      </c>
      <c r="S116" s="10">
        <v>73.06179149949611</v>
      </c>
      <c r="T116">
        <v>49</v>
      </c>
    </row>
    <row r="117" spans="1:20" x14ac:dyDescent="0.3">
      <c r="A117">
        <v>1092</v>
      </c>
      <c r="B117" t="s">
        <v>518</v>
      </c>
      <c r="C117" t="s">
        <v>519</v>
      </c>
      <c r="D117" t="s">
        <v>520</v>
      </c>
      <c r="E117" t="s">
        <v>521</v>
      </c>
      <c r="F117" t="s">
        <v>522</v>
      </c>
      <c r="G117" t="s">
        <v>523</v>
      </c>
      <c r="H117" t="s">
        <v>22</v>
      </c>
      <c r="I117" t="s">
        <v>55</v>
      </c>
      <c r="J117" s="1">
        <v>451</v>
      </c>
      <c r="K117" s="1">
        <v>26.529411764705884</v>
      </c>
      <c r="L117" s="3">
        <v>17</v>
      </c>
      <c r="M117" t="s">
        <v>343</v>
      </c>
      <c r="N117" s="2">
        <v>44012</v>
      </c>
      <c r="O117" t="s">
        <v>267</v>
      </c>
      <c r="P117" t="s">
        <v>524</v>
      </c>
      <c r="Q117">
        <v>34233</v>
      </c>
      <c r="R117" t="s">
        <v>27</v>
      </c>
      <c r="S117" s="10">
        <v>39.282657012059623</v>
      </c>
      <c r="T117">
        <v>28</v>
      </c>
    </row>
    <row r="118" spans="1:20" x14ac:dyDescent="0.3">
      <c r="A118">
        <v>1032</v>
      </c>
      <c r="B118" t="s">
        <v>412</v>
      </c>
      <c r="C118" t="s">
        <v>460</v>
      </c>
      <c r="D118" t="s">
        <v>596</v>
      </c>
      <c r="E118" t="s">
        <v>597</v>
      </c>
      <c r="F118" t="s">
        <v>544</v>
      </c>
      <c r="G118" t="s">
        <v>90</v>
      </c>
      <c r="H118" t="s">
        <v>34</v>
      </c>
      <c r="I118" t="s">
        <v>23</v>
      </c>
      <c r="J118" s="1">
        <v>140</v>
      </c>
      <c r="K118" s="1">
        <v>46.666666666666664</v>
      </c>
      <c r="L118" s="3">
        <v>3</v>
      </c>
      <c r="M118" t="s">
        <v>56</v>
      </c>
      <c r="N118" s="2">
        <v>44013</v>
      </c>
      <c r="O118" t="s">
        <v>196</v>
      </c>
      <c r="P118" t="s">
        <v>528</v>
      </c>
      <c r="Q118">
        <v>19104</v>
      </c>
      <c r="R118" t="s">
        <v>27</v>
      </c>
      <c r="S118" s="10">
        <v>6.2999177521775245</v>
      </c>
      <c r="T118">
        <v>5</v>
      </c>
    </row>
    <row r="119" spans="1:20" x14ac:dyDescent="0.3">
      <c r="A119">
        <v>1880</v>
      </c>
      <c r="B119" t="s">
        <v>129</v>
      </c>
      <c r="C119" t="s">
        <v>130</v>
      </c>
      <c r="D119" t="s">
        <v>131</v>
      </c>
      <c r="E119" t="s">
        <v>132</v>
      </c>
      <c r="F119" t="s">
        <v>133</v>
      </c>
      <c r="G119" t="s">
        <v>134</v>
      </c>
      <c r="H119" t="s">
        <v>22</v>
      </c>
      <c r="I119" t="s">
        <v>135</v>
      </c>
      <c r="J119" s="1">
        <v>725</v>
      </c>
      <c r="K119" s="1">
        <v>27.884615384615383</v>
      </c>
      <c r="L119" s="3">
        <v>26</v>
      </c>
      <c r="M119" t="s">
        <v>36</v>
      </c>
      <c r="N119" s="2">
        <v>44015</v>
      </c>
      <c r="O119" t="s">
        <v>136</v>
      </c>
      <c r="P119" t="s">
        <v>137</v>
      </c>
      <c r="Q119">
        <v>60614</v>
      </c>
      <c r="R119" t="s">
        <v>27</v>
      </c>
      <c r="S119" s="10">
        <v>59.302057994115572</v>
      </c>
      <c r="T119">
        <v>46</v>
      </c>
    </row>
    <row r="120" spans="1:20" x14ac:dyDescent="0.3">
      <c r="A120">
        <v>1468</v>
      </c>
      <c r="B120" t="s">
        <v>380</v>
      </c>
      <c r="C120" t="s">
        <v>381</v>
      </c>
      <c r="D120" t="s">
        <v>382</v>
      </c>
      <c r="E120" t="s">
        <v>383</v>
      </c>
      <c r="F120" t="s">
        <v>384</v>
      </c>
      <c r="G120" t="s">
        <v>385</v>
      </c>
      <c r="H120" t="s">
        <v>22</v>
      </c>
      <c r="I120" t="s">
        <v>65</v>
      </c>
      <c r="J120" s="1">
        <v>952</v>
      </c>
      <c r="K120" s="1">
        <v>43.272727272727273</v>
      </c>
      <c r="L120" s="3">
        <v>22</v>
      </c>
      <c r="M120" t="s">
        <v>46</v>
      </c>
      <c r="N120" s="2">
        <v>44016</v>
      </c>
      <c r="O120" t="s">
        <v>109</v>
      </c>
      <c r="P120" t="s">
        <v>386</v>
      </c>
      <c r="Q120">
        <v>70116</v>
      </c>
      <c r="R120" t="s">
        <v>27</v>
      </c>
      <c r="S120" s="10">
        <v>51.932600314070164</v>
      </c>
      <c r="T120">
        <v>50</v>
      </c>
    </row>
    <row r="121" spans="1:20" x14ac:dyDescent="0.3">
      <c r="A121">
        <v>1781</v>
      </c>
      <c r="B121" t="s">
        <v>598</v>
      </c>
      <c r="C121" t="s">
        <v>599</v>
      </c>
      <c r="D121" t="s">
        <v>600</v>
      </c>
      <c r="E121" t="s">
        <v>601</v>
      </c>
      <c r="F121" t="s">
        <v>602</v>
      </c>
      <c r="G121" t="s">
        <v>603</v>
      </c>
      <c r="H121" t="s">
        <v>34</v>
      </c>
      <c r="I121" t="s">
        <v>35</v>
      </c>
      <c r="J121" s="1">
        <v>665</v>
      </c>
      <c r="K121" s="1">
        <v>24.62962962962963</v>
      </c>
      <c r="L121" s="3">
        <v>27</v>
      </c>
      <c r="M121" t="s">
        <v>36</v>
      </c>
      <c r="N121" s="2">
        <v>44017</v>
      </c>
      <c r="O121" t="s">
        <v>470</v>
      </c>
      <c r="P121" t="s">
        <v>358</v>
      </c>
      <c r="Q121">
        <v>20238</v>
      </c>
      <c r="R121" t="s">
        <v>27</v>
      </c>
      <c r="S121" s="10">
        <v>34.880567552141684</v>
      </c>
      <c r="T121">
        <v>55</v>
      </c>
    </row>
    <row r="122" spans="1:20" x14ac:dyDescent="0.3">
      <c r="A122">
        <v>1851</v>
      </c>
      <c r="B122" t="s">
        <v>604</v>
      </c>
      <c r="C122" t="s">
        <v>358</v>
      </c>
      <c r="D122" t="s">
        <v>605</v>
      </c>
      <c r="E122" t="s">
        <v>606</v>
      </c>
      <c r="F122" t="s">
        <v>607</v>
      </c>
      <c r="G122" t="s">
        <v>194</v>
      </c>
      <c r="H122" t="s">
        <v>22</v>
      </c>
      <c r="I122" t="s">
        <v>65</v>
      </c>
      <c r="J122" s="1">
        <v>71</v>
      </c>
      <c r="K122" s="1">
        <v>23.666666666666668</v>
      </c>
      <c r="L122" s="3">
        <v>3</v>
      </c>
      <c r="M122" t="s">
        <v>343</v>
      </c>
      <c r="N122" s="2">
        <v>44017</v>
      </c>
      <c r="O122" t="s">
        <v>83</v>
      </c>
      <c r="P122" t="s">
        <v>351</v>
      </c>
      <c r="Q122">
        <v>11210</v>
      </c>
      <c r="R122" t="s">
        <v>27</v>
      </c>
      <c r="S122" s="10">
        <v>4.3821539446517841</v>
      </c>
      <c r="T122">
        <v>4</v>
      </c>
    </row>
    <row r="123" spans="1:20" x14ac:dyDescent="0.3">
      <c r="A123">
        <v>1547</v>
      </c>
      <c r="B123" t="s">
        <v>556</v>
      </c>
      <c r="C123" t="s">
        <v>608</v>
      </c>
      <c r="D123" t="s">
        <v>609</v>
      </c>
      <c r="E123" t="s">
        <v>610</v>
      </c>
      <c r="F123" t="s">
        <v>611</v>
      </c>
      <c r="G123" t="s">
        <v>158</v>
      </c>
      <c r="H123" t="s">
        <v>34</v>
      </c>
      <c r="I123" t="s">
        <v>23</v>
      </c>
      <c r="J123" s="1">
        <v>685</v>
      </c>
      <c r="K123" s="1">
        <v>36.05263157894737</v>
      </c>
      <c r="L123" s="3">
        <v>19</v>
      </c>
      <c r="M123" t="s">
        <v>126</v>
      </c>
      <c r="N123" s="2">
        <v>44019</v>
      </c>
      <c r="O123" t="s">
        <v>25</v>
      </c>
      <c r="P123" t="s">
        <v>612</v>
      </c>
      <c r="Q123">
        <v>48275</v>
      </c>
      <c r="R123" t="s">
        <v>27</v>
      </c>
      <c r="S123" s="10">
        <v>38.915666951330493</v>
      </c>
      <c r="T123">
        <v>38</v>
      </c>
    </row>
    <row r="124" spans="1:20" x14ac:dyDescent="0.3">
      <c r="A124">
        <v>1012</v>
      </c>
      <c r="B124" t="s">
        <v>598</v>
      </c>
      <c r="C124" t="s">
        <v>613</v>
      </c>
      <c r="D124" t="s">
        <v>614</v>
      </c>
      <c r="E124" t="s">
        <v>615</v>
      </c>
      <c r="F124" t="s">
        <v>616</v>
      </c>
      <c r="G124" t="s">
        <v>617</v>
      </c>
      <c r="H124" t="s">
        <v>34</v>
      </c>
      <c r="I124" t="s">
        <v>23</v>
      </c>
      <c r="J124" s="1">
        <v>463</v>
      </c>
      <c r="K124" s="1">
        <v>35.615384615384613</v>
      </c>
      <c r="L124" s="3">
        <v>13</v>
      </c>
      <c r="M124" t="s">
        <v>126</v>
      </c>
      <c r="N124" s="2">
        <v>44023</v>
      </c>
      <c r="O124" t="s">
        <v>67</v>
      </c>
      <c r="P124" t="s">
        <v>618</v>
      </c>
      <c r="Q124">
        <v>75037</v>
      </c>
      <c r="R124" t="s">
        <v>27</v>
      </c>
      <c r="S124" s="10">
        <v>30.36308219531896</v>
      </c>
      <c r="T124">
        <v>23</v>
      </c>
    </row>
    <row r="125" spans="1:20" x14ac:dyDescent="0.3">
      <c r="A125">
        <v>1298</v>
      </c>
      <c r="B125" t="s">
        <v>275</v>
      </c>
      <c r="C125" t="s">
        <v>340</v>
      </c>
      <c r="D125" t="s">
        <v>341</v>
      </c>
      <c r="E125" t="s">
        <v>342</v>
      </c>
      <c r="F125" t="s">
        <v>306</v>
      </c>
      <c r="G125" t="s">
        <v>180</v>
      </c>
      <c r="H125" t="s">
        <v>22</v>
      </c>
      <c r="I125" t="s">
        <v>236</v>
      </c>
      <c r="J125" s="1">
        <v>394</v>
      </c>
      <c r="K125" s="1">
        <v>43.777777777777779</v>
      </c>
      <c r="L125" s="3">
        <v>9</v>
      </c>
      <c r="M125" t="s">
        <v>343</v>
      </c>
      <c r="N125" s="2">
        <v>44024</v>
      </c>
      <c r="O125" t="s">
        <v>267</v>
      </c>
      <c r="P125" t="s">
        <v>344</v>
      </c>
      <c r="Q125">
        <v>32891</v>
      </c>
      <c r="R125" t="s">
        <v>27</v>
      </c>
      <c r="S125" s="10">
        <v>14.046514413764893</v>
      </c>
      <c r="T125">
        <v>13</v>
      </c>
    </row>
    <row r="126" spans="1:20" x14ac:dyDescent="0.3">
      <c r="A126">
        <v>1983</v>
      </c>
      <c r="B126" t="s">
        <v>619</v>
      </c>
      <c r="C126" t="s">
        <v>587</v>
      </c>
      <c r="D126" t="s">
        <v>620</v>
      </c>
      <c r="E126" t="s">
        <v>621</v>
      </c>
      <c r="F126" t="s">
        <v>622</v>
      </c>
      <c r="G126" t="s">
        <v>21</v>
      </c>
      <c r="H126" t="s">
        <v>22</v>
      </c>
      <c r="I126" t="s">
        <v>65</v>
      </c>
      <c r="J126" s="1">
        <v>322</v>
      </c>
      <c r="K126" s="1">
        <v>46</v>
      </c>
      <c r="L126" s="3">
        <v>7</v>
      </c>
      <c r="M126" t="s">
        <v>36</v>
      </c>
      <c r="N126" s="2">
        <v>44025</v>
      </c>
      <c r="O126" t="s">
        <v>623</v>
      </c>
      <c r="P126" t="s">
        <v>174</v>
      </c>
      <c r="Q126">
        <v>66112</v>
      </c>
      <c r="R126" t="s">
        <v>27</v>
      </c>
      <c r="S126" s="10">
        <v>12.649026793237468</v>
      </c>
      <c r="T126">
        <v>13</v>
      </c>
    </row>
    <row r="127" spans="1:20" x14ac:dyDescent="0.3">
      <c r="A127">
        <v>1587</v>
      </c>
      <c r="B127" t="s">
        <v>485</v>
      </c>
      <c r="C127" t="s">
        <v>624</v>
      </c>
      <c r="D127" t="s">
        <v>625</v>
      </c>
      <c r="E127" t="s">
        <v>626</v>
      </c>
      <c r="F127" t="s">
        <v>627</v>
      </c>
      <c r="G127" t="s">
        <v>116</v>
      </c>
      <c r="H127" t="s">
        <v>34</v>
      </c>
      <c r="I127" t="s">
        <v>366</v>
      </c>
      <c r="J127" s="1">
        <v>114</v>
      </c>
      <c r="K127" s="1">
        <v>38</v>
      </c>
      <c r="L127" s="3">
        <v>3</v>
      </c>
      <c r="M127" t="s">
        <v>36</v>
      </c>
      <c r="N127" s="2">
        <v>44026</v>
      </c>
      <c r="O127" t="s">
        <v>37</v>
      </c>
      <c r="P127" t="s">
        <v>372</v>
      </c>
      <c r="Q127">
        <v>90025</v>
      </c>
      <c r="R127" t="s">
        <v>27</v>
      </c>
      <c r="S127" s="10">
        <v>4.3379976627343417</v>
      </c>
      <c r="T127">
        <v>3</v>
      </c>
    </row>
    <row r="128" spans="1:20" x14ac:dyDescent="0.3">
      <c r="A128">
        <v>1991</v>
      </c>
      <c r="B128" t="s">
        <v>160</v>
      </c>
      <c r="C128" t="s">
        <v>161</v>
      </c>
      <c r="D128" t="s">
        <v>162</v>
      </c>
      <c r="E128" t="s">
        <v>163</v>
      </c>
      <c r="F128" t="s">
        <v>164</v>
      </c>
      <c r="G128" t="s">
        <v>44</v>
      </c>
      <c r="H128" t="s">
        <v>22</v>
      </c>
      <c r="I128" t="s">
        <v>65</v>
      </c>
      <c r="J128" s="1">
        <v>655</v>
      </c>
      <c r="K128" s="1">
        <v>38.529411764705884</v>
      </c>
      <c r="L128" s="3">
        <v>17</v>
      </c>
      <c r="M128" t="s">
        <v>36</v>
      </c>
      <c r="N128" s="2">
        <v>44026</v>
      </c>
      <c r="O128" t="s">
        <v>165</v>
      </c>
      <c r="P128" t="s">
        <v>166</v>
      </c>
      <c r="Q128">
        <v>87180</v>
      </c>
      <c r="R128" t="s">
        <v>27</v>
      </c>
      <c r="S128" s="10">
        <v>30.482173781988468</v>
      </c>
      <c r="T128">
        <v>21</v>
      </c>
    </row>
    <row r="129" spans="1:20" x14ac:dyDescent="0.3">
      <c r="A129">
        <v>1043</v>
      </c>
      <c r="B129" t="s">
        <v>102</v>
      </c>
      <c r="C129" t="s">
        <v>154</v>
      </c>
      <c r="D129" t="s">
        <v>547</v>
      </c>
      <c r="E129" t="s">
        <v>548</v>
      </c>
      <c r="F129" t="s">
        <v>549</v>
      </c>
      <c r="G129" t="s">
        <v>453</v>
      </c>
      <c r="H129" t="s">
        <v>34</v>
      </c>
      <c r="I129" t="s">
        <v>23</v>
      </c>
      <c r="J129" s="1">
        <v>550</v>
      </c>
      <c r="K129" s="1">
        <v>42.307692307692307</v>
      </c>
      <c r="L129" s="3">
        <v>13</v>
      </c>
      <c r="M129" t="s">
        <v>24</v>
      </c>
      <c r="N129" s="2">
        <v>44028</v>
      </c>
      <c r="O129" t="s">
        <v>300</v>
      </c>
      <c r="P129" t="s">
        <v>301</v>
      </c>
      <c r="Q129">
        <v>89140</v>
      </c>
      <c r="R129" t="s">
        <v>27</v>
      </c>
      <c r="S129" s="10">
        <v>25.925997937252941</v>
      </c>
      <c r="T129">
        <v>22</v>
      </c>
    </row>
    <row r="130" spans="1:20" x14ac:dyDescent="0.3">
      <c r="A130">
        <v>1722</v>
      </c>
      <c r="B130" t="s">
        <v>628</v>
      </c>
      <c r="C130" t="s">
        <v>629</v>
      </c>
      <c r="D130" t="s">
        <v>630</v>
      </c>
      <c r="E130" t="s">
        <v>631</v>
      </c>
      <c r="F130" t="s">
        <v>632</v>
      </c>
      <c r="G130" t="s">
        <v>633</v>
      </c>
      <c r="H130" t="s">
        <v>34</v>
      </c>
      <c r="I130" t="s">
        <v>23</v>
      </c>
      <c r="J130" s="1">
        <v>646</v>
      </c>
      <c r="K130" s="1">
        <v>29.363636363636363</v>
      </c>
      <c r="L130" s="3">
        <v>22</v>
      </c>
      <c r="M130" t="s">
        <v>447</v>
      </c>
      <c r="N130" s="2">
        <v>44028</v>
      </c>
      <c r="O130" t="s">
        <v>144</v>
      </c>
      <c r="P130" t="s">
        <v>634</v>
      </c>
      <c r="Q130">
        <v>80005</v>
      </c>
      <c r="R130" t="s">
        <v>27</v>
      </c>
      <c r="S130" s="10">
        <v>54.342717555925582</v>
      </c>
      <c r="T130">
        <v>46</v>
      </c>
    </row>
    <row r="131" spans="1:20" x14ac:dyDescent="0.3">
      <c r="A131">
        <v>1020</v>
      </c>
      <c r="B131" t="s">
        <v>310</v>
      </c>
      <c r="C131" t="s">
        <v>311</v>
      </c>
      <c r="D131" t="s">
        <v>312</v>
      </c>
      <c r="E131" t="s">
        <v>313</v>
      </c>
      <c r="F131" t="s">
        <v>314</v>
      </c>
      <c r="G131" t="s">
        <v>315</v>
      </c>
      <c r="H131" t="s">
        <v>22</v>
      </c>
      <c r="I131" t="s">
        <v>23</v>
      </c>
      <c r="J131" s="1">
        <v>345</v>
      </c>
      <c r="K131" s="1">
        <v>26.53846153846154</v>
      </c>
      <c r="L131" s="3">
        <v>13</v>
      </c>
      <c r="M131" t="s">
        <v>36</v>
      </c>
      <c r="N131" s="2">
        <v>44030</v>
      </c>
      <c r="O131" t="s">
        <v>37</v>
      </c>
      <c r="P131" t="s">
        <v>316</v>
      </c>
      <c r="Q131">
        <v>94105</v>
      </c>
      <c r="R131" t="s">
        <v>27</v>
      </c>
      <c r="S131" s="10">
        <v>22.898952924043236</v>
      </c>
      <c r="T131">
        <v>21</v>
      </c>
    </row>
    <row r="132" spans="1:20" x14ac:dyDescent="0.3">
      <c r="A132">
        <v>1081</v>
      </c>
      <c r="B132" t="s">
        <v>529</v>
      </c>
      <c r="C132" t="s">
        <v>530</v>
      </c>
      <c r="D132" t="s">
        <v>531</v>
      </c>
      <c r="E132" t="s">
        <v>532</v>
      </c>
      <c r="F132" t="s">
        <v>533</v>
      </c>
      <c r="G132" t="s">
        <v>495</v>
      </c>
      <c r="H132" t="s">
        <v>22</v>
      </c>
      <c r="I132" t="s">
        <v>55</v>
      </c>
      <c r="J132" s="1">
        <v>969</v>
      </c>
      <c r="K132" s="1">
        <v>31.258064516129032</v>
      </c>
      <c r="L132" s="3">
        <v>31</v>
      </c>
      <c r="M132" t="s">
        <v>447</v>
      </c>
      <c r="N132" s="2">
        <v>44030</v>
      </c>
      <c r="O132" t="s">
        <v>229</v>
      </c>
      <c r="P132" t="s">
        <v>534</v>
      </c>
      <c r="Q132">
        <v>45426</v>
      </c>
      <c r="R132" t="s">
        <v>27</v>
      </c>
      <c r="S132" s="10">
        <v>46.47041015838964</v>
      </c>
      <c r="T132">
        <v>52</v>
      </c>
    </row>
    <row r="133" spans="1:20" x14ac:dyDescent="0.3">
      <c r="A133">
        <v>1092</v>
      </c>
      <c r="B133" t="s">
        <v>518</v>
      </c>
      <c r="C133" t="s">
        <v>519</v>
      </c>
      <c r="D133" t="s">
        <v>520</v>
      </c>
      <c r="E133" t="s">
        <v>521</v>
      </c>
      <c r="F133" t="s">
        <v>522</v>
      </c>
      <c r="G133" t="s">
        <v>523</v>
      </c>
      <c r="H133" t="s">
        <v>22</v>
      </c>
      <c r="I133" t="s">
        <v>55</v>
      </c>
      <c r="J133" s="1">
        <v>639</v>
      </c>
      <c r="K133" s="1">
        <v>30.428571428571427</v>
      </c>
      <c r="L133" s="3">
        <v>21</v>
      </c>
      <c r="M133" t="s">
        <v>343</v>
      </c>
      <c r="N133" s="2">
        <v>44031</v>
      </c>
      <c r="O133" t="s">
        <v>267</v>
      </c>
      <c r="P133" t="s">
        <v>524</v>
      </c>
      <c r="Q133">
        <v>34233</v>
      </c>
      <c r="R133" t="s">
        <v>27</v>
      </c>
      <c r="S133" s="10">
        <v>42.312463862759124</v>
      </c>
      <c r="T133">
        <v>40</v>
      </c>
    </row>
    <row r="134" spans="1:20" x14ac:dyDescent="0.3">
      <c r="A134">
        <v>1460</v>
      </c>
      <c r="B134" t="s">
        <v>635</v>
      </c>
      <c r="C134" t="s">
        <v>491</v>
      </c>
      <c r="D134" t="s">
        <v>636</v>
      </c>
      <c r="E134" t="s">
        <v>637</v>
      </c>
      <c r="F134" t="s">
        <v>638</v>
      </c>
      <c r="G134" t="s">
        <v>107</v>
      </c>
      <c r="H134" t="s">
        <v>22</v>
      </c>
      <c r="I134" t="s">
        <v>117</v>
      </c>
      <c r="J134" s="1">
        <v>505</v>
      </c>
      <c r="K134" s="1">
        <v>33.666666666666664</v>
      </c>
      <c r="L134" s="3">
        <v>15</v>
      </c>
      <c r="M134" t="s">
        <v>447</v>
      </c>
      <c r="N134" s="2">
        <v>44031</v>
      </c>
      <c r="O134" t="s">
        <v>136</v>
      </c>
      <c r="P134" t="s">
        <v>579</v>
      </c>
      <c r="Q134">
        <v>62723</v>
      </c>
      <c r="R134" t="s">
        <v>27</v>
      </c>
      <c r="S134" s="10">
        <v>27.095332696682387</v>
      </c>
      <c r="T134">
        <v>23</v>
      </c>
    </row>
    <row r="135" spans="1:20" x14ac:dyDescent="0.3">
      <c r="A135">
        <v>1123</v>
      </c>
      <c r="B135" t="s">
        <v>231</v>
      </c>
      <c r="C135" t="s">
        <v>512</v>
      </c>
      <c r="D135" t="s">
        <v>639</v>
      </c>
      <c r="E135" t="s">
        <v>640</v>
      </c>
      <c r="F135" t="s">
        <v>638</v>
      </c>
      <c r="G135" t="s">
        <v>410</v>
      </c>
      <c r="H135" t="s">
        <v>34</v>
      </c>
      <c r="I135" t="s">
        <v>55</v>
      </c>
      <c r="J135" s="1">
        <v>180</v>
      </c>
      <c r="K135" s="1">
        <v>30</v>
      </c>
      <c r="L135" s="3">
        <v>6</v>
      </c>
      <c r="M135" t="s">
        <v>24</v>
      </c>
      <c r="N135" s="2">
        <v>44032</v>
      </c>
      <c r="O135" t="s">
        <v>267</v>
      </c>
      <c r="P135" t="s">
        <v>641</v>
      </c>
      <c r="Q135">
        <v>33673</v>
      </c>
      <c r="R135" t="s">
        <v>27</v>
      </c>
      <c r="S135" s="10">
        <v>11.717341234577949</v>
      </c>
      <c r="T135">
        <v>8</v>
      </c>
    </row>
    <row r="136" spans="1:20" x14ac:dyDescent="0.3">
      <c r="A136">
        <v>1615</v>
      </c>
      <c r="B136" t="s">
        <v>642</v>
      </c>
      <c r="C136" t="s">
        <v>86</v>
      </c>
      <c r="D136" t="s">
        <v>643</v>
      </c>
      <c r="E136" t="s">
        <v>644</v>
      </c>
      <c r="F136" t="s">
        <v>645</v>
      </c>
      <c r="G136" t="s">
        <v>646</v>
      </c>
      <c r="H136" t="s">
        <v>22</v>
      </c>
      <c r="I136" t="s">
        <v>228</v>
      </c>
      <c r="J136" s="1">
        <v>217</v>
      </c>
      <c r="K136" s="1">
        <v>27.125</v>
      </c>
      <c r="L136" s="3">
        <v>8</v>
      </c>
      <c r="M136" t="s">
        <v>56</v>
      </c>
      <c r="N136" s="2">
        <v>44032</v>
      </c>
      <c r="O136" t="s">
        <v>300</v>
      </c>
      <c r="P136" t="s">
        <v>301</v>
      </c>
      <c r="Q136">
        <v>89160</v>
      </c>
      <c r="R136" t="s">
        <v>27</v>
      </c>
      <c r="S136" s="10">
        <v>10.704400851917985</v>
      </c>
      <c r="T136">
        <v>12</v>
      </c>
    </row>
    <row r="137" spans="1:20" x14ac:dyDescent="0.3">
      <c r="A137">
        <v>1742</v>
      </c>
      <c r="B137" t="s">
        <v>529</v>
      </c>
      <c r="C137" t="s">
        <v>130</v>
      </c>
      <c r="D137" t="s">
        <v>647</v>
      </c>
      <c r="E137" t="s">
        <v>648</v>
      </c>
      <c r="F137" t="s">
        <v>649</v>
      </c>
      <c r="G137" t="s">
        <v>650</v>
      </c>
      <c r="H137" t="s">
        <v>22</v>
      </c>
      <c r="I137" t="s">
        <v>236</v>
      </c>
      <c r="J137" s="1">
        <v>926</v>
      </c>
      <c r="K137" s="1">
        <v>30.866666666666667</v>
      </c>
      <c r="L137" s="3">
        <v>30</v>
      </c>
      <c r="M137" t="s">
        <v>343</v>
      </c>
      <c r="N137" s="2">
        <v>44036</v>
      </c>
      <c r="O137" t="s">
        <v>67</v>
      </c>
      <c r="P137" t="s">
        <v>280</v>
      </c>
      <c r="Q137">
        <v>78215</v>
      </c>
      <c r="R137" t="s">
        <v>27</v>
      </c>
      <c r="S137" s="10">
        <v>48.169741434475583</v>
      </c>
      <c r="T137">
        <v>58</v>
      </c>
    </row>
    <row r="138" spans="1:20" x14ac:dyDescent="0.3">
      <c r="A138">
        <v>1841</v>
      </c>
      <c r="B138" t="s">
        <v>540</v>
      </c>
      <c r="C138" t="s">
        <v>651</v>
      </c>
      <c r="D138" t="s">
        <v>652</v>
      </c>
      <c r="E138" t="s">
        <v>653</v>
      </c>
      <c r="F138" t="s">
        <v>409</v>
      </c>
      <c r="G138" t="s">
        <v>483</v>
      </c>
      <c r="H138" t="s">
        <v>22</v>
      </c>
      <c r="I138" t="s">
        <v>98</v>
      </c>
      <c r="J138" s="1">
        <v>800</v>
      </c>
      <c r="K138" s="1">
        <v>40</v>
      </c>
      <c r="L138" s="3">
        <v>20</v>
      </c>
      <c r="M138" t="s">
        <v>36</v>
      </c>
      <c r="N138" s="2">
        <v>44036</v>
      </c>
      <c r="O138" t="s">
        <v>144</v>
      </c>
      <c r="P138" t="s">
        <v>145</v>
      </c>
      <c r="Q138">
        <v>80228</v>
      </c>
      <c r="R138" t="s">
        <v>27</v>
      </c>
      <c r="S138" s="10">
        <v>28.75224171465549</v>
      </c>
      <c r="T138">
        <v>39</v>
      </c>
    </row>
    <row r="139" spans="1:20" x14ac:dyDescent="0.3">
      <c r="A139">
        <v>1437</v>
      </c>
      <c r="B139" t="s">
        <v>654</v>
      </c>
      <c r="C139" t="s">
        <v>655</v>
      </c>
      <c r="D139" t="s">
        <v>656</v>
      </c>
      <c r="E139" t="s">
        <v>657</v>
      </c>
      <c r="F139" t="s">
        <v>658</v>
      </c>
      <c r="G139" t="s">
        <v>357</v>
      </c>
      <c r="H139" t="s">
        <v>34</v>
      </c>
      <c r="I139" t="s">
        <v>299</v>
      </c>
      <c r="J139" s="1">
        <v>33</v>
      </c>
      <c r="K139" s="1">
        <v>33</v>
      </c>
      <c r="L139" s="3">
        <v>1</v>
      </c>
      <c r="M139" t="s">
        <v>36</v>
      </c>
      <c r="N139" s="2">
        <v>44037</v>
      </c>
      <c r="O139" t="s">
        <v>300</v>
      </c>
      <c r="P139" t="s">
        <v>659</v>
      </c>
      <c r="Q139">
        <v>89505</v>
      </c>
      <c r="R139" t="s">
        <v>27</v>
      </c>
      <c r="S139" s="10">
        <v>1.8083044087972584</v>
      </c>
      <c r="T139">
        <v>1</v>
      </c>
    </row>
    <row r="140" spans="1:20" x14ac:dyDescent="0.3">
      <c r="A140">
        <v>1277</v>
      </c>
      <c r="B140" t="s">
        <v>222</v>
      </c>
      <c r="C140" t="s">
        <v>223</v>
      </c>
      <c r="D140" t="s">
        <v>224</v>
      </c>
      <c r="E140" t="s">
        <v>225</v>
      </c>
      <c r="F140" t="s">
        <v>226</v>
      </c>
      <c r="G140" t="s">
        <v>227</v>
      </c>
      <c r="H140" t="s">
        <v>34</v>
      </c>
      <c r="I140" t="s">
        <v>228</v>
      </c>
      <c r="J140" s="1">
        <v>93</v>
      </c>
      <c r="K140" s="1">
        <v>31</v>
      </c>
      <c r="L140" s="3">
        <v>3</v>
      </c>
      <c r="M140" t="s">
        <v>203</v>
      </c>
      <c r="N140" s="2">
        <v>44038</v>
      </c>
      <c r="O140" t="s">
        <v>229</v>
      </c>
      <c r="P140" t="s">
        <v>230</v>
      </c>
      <c r="Q140">
        <v>44310</v>
      </c>
      <c r="R140" t="s">
        <v>27</v>
      </c>
      <c r="S140" s="10">
        <v>6.1673049629344536</v>
      </c>
      <c r="T140">
        <v>3</v>
      </c>
    </row>
    <row r="141" spans="1:20" x14ac:dyDescent="0.3">
      <c r="A141">
        <v>1028</v>
      </c>
      <c r="B141" t="s">
        <v>660</v>
      </c>
      <c r="C141" t="s">
        <v>661</v>
      </c>
      <c r="D141" t="s">
        <v>662</v>
      </c>
      <c r="E141" t="s">
        <v>663</v>
      </c>
      <c r="F141" t="s">
        <v>664</v>
      </c>
      <c r="G141" t="s">
        <v>227</v>
      </c>
      <c r="H141" t="s">
        <v>22</v>
      </c>
      <c r="I141" t="s">
        <v>23</v>
      </c>
      <c r="J141" s="1">
        <v>598</v>
      </c>
      <c r="K141" s="1">
        <v>42.714285714285715</v>
      </c>
      <c r="L141" s="3">
        <v>14</v>
      </c>
      <c r="M141" t="s">
        <v>244</v>
      </c>
      <c r="N141" s="2">
        <v>44039</v>
      </c>
      <c r="O141" t="s">
        <v>67</v>
      </c>
      <c r="P141" t="s">
        <v>665</v>
      </c>
      <c r="Q141">
        <v>79705</v>
      </c>
      <c r="R141" t="s">
        <v>27</v>
      </c>
      <c r="S141" s="10">
        <v>21.534860043542363</v>
      </c>
      <c r="T141">
        <v>28</v>
      </c>
    </row>
    <row r="142" spans="1:20" x14ac:dyDescent="0.3">
      <c r="A142">
        <v>1116</v>
      </c>
      <c r="B142" t="s">
        <v>49</v>
      </c>
      <c r="C142" t="s">
        <v>50</v>
      </c>
      <c r="D142" t="s">
        <v>51</v>
      </c>
      <c r="E142" t="s">
        <v>52</v>
      </c>
      <c r="F142" t="s">
        <v>53</v>
      </c>
      <c r="G142" t="s">
        <v>54</v>
      </c>
      <c r="H142" t="s">
        <v>22</v>
      </c>
      <c r="I142" t="s">
        <v>55</v>
      </c>
      <c r="J142" s="1">
        <v>966</v>
      </c>
      <c r="K142" s="1">
        <v>32.200000000000003</v>
      </c>
      <c r="L142" s="3">
        <v>30</v>
      </c>
      <c r="M142" t="s">
        <v>56</v>
      </c>
      <c r="N142" s="2">
        <v>44041</v>
      </c>
      <c r="O142" t="s">
        <v>57</v>
      </c>
      <c r="P142" t="s">
        <v>58</v>
      </c>
      <c r="Q142">
        <v>30096</v>
      </c>
      <c r="R142" t="s">
        <v>27</v>
      </c>
      <c r="S142" s="10">
        <v>57.767978532979313</v>
      </c>
      <c r="T142">
        <v>53</v>
      </c>
    </row>
    <row r="143" spans="1:20" x14ac:dyDescent="0.3">
      <c r="A143">
        <v>1851</v>
      </c>
      <c r="B143" t="s">
        <v>604</v>
      </c>
      <c r="C143" t="s">
        <v>358</v>
      </c>
      <c r="D143" t="s">
        <v>605</v>
      </c>
      <c r="E143" t="s">
        <v>606</v>
      </c>
      <c r="F143" t="s">
        <v>607</v>
      </c>
      <c r="G143" t="s">
        <v>194</v>
      </c>
      <c r="H143" t="s">
        <v>22</v>
      </c>
      <c r="I143" t="s">
        <v>65</v>
      </c>
      <c r="J143" s="1">
        <v>912</v>
      </c>
      <c r="K143" s="1">
        <v>39.652173913043477</v>
      </c>
      <c r="L143" s="3">
        <v>23</v>
      </c>
      <c r="M143" t="s">
        <v>343</v>
      </c>
      <c r="N143" s="2">
        <v>44041</v>
      </c>
      <c r="O143" t="s">
        <v>83</v>
      </c>
      <c r="P143" t="s">
        <v>351</v>
      </c>
      <c r="Q143">
        <v>11210</v>
      </c>
      <c r="R143" t="s">
        <v>27</v>
      </c>
      <c r="S143" s="10">
        <v>42.592789560147949</v>
      </c>
      <c r="T143">
        <v>36</v>
      </c>
    </row>
    <row r="144" spans="1:20" x14ac:dyDescent="0.3">
      <c r="A144">
        <v>1950</v>
      </c>
      <c r="B144" t="s">
        <v>294</v>
      </c>
      <c r="C144" t="s">
        <v>666</v>
      </c>
      <c r="D144" t="s">
        <v>667</v>
      </c>
      <c r="E144" t="s">
        <v>668</v>
      </c>
      <c r="F144" t="s">
        <v>669</v>
      </c>
      <c r="G144" t="s">
        <v>670</v>
      </c>
      <c r="H144" t="s">
        <v>22</v>
      </c>
      <c r="I144" t="s">
        <v>266</v>
      </c>
      <c r="J144" s="1">
        <v>271</v>
      </c>
      <c r="K144" s="1">
        <v>24.636363636363637</v>
      </c>
      <c r="L144" s="3">
        <v>11</v>
      </c>
      <c r="M144" t="s">
        <v>203</v>
      </c>
      <c r="N144" s="2">
        <v>44043</v>
      </c>
      <c r="O144" t="s">
        <v>267</v>
      </c>
      <c r="P144" t="s">
        <v>671</v>
      </c>
      <c r="Q144">
        <v>33763</v>
      </c>
      <c r="R144" t="s">
        <v>27</v>
      </c>
      <c r="S144" s="10">
        <v>24.642372503346483</v>
      </c>
      <c r="T144">
        <v>24</v>
      </c>
    </row>
    <row r="145" spans="1:20" x14ac:dyDescent="0.3">
      <c r="A145">
        <v>1839</v>
      </c>
      <c r="B145" t="s">
        <v>672</v>
      </c>
      <c r="C145" t="s">
        <v>673</v>
      </c>
      <c r="D145" t="s">
        <v>674</v>
      </c>
      <c r="E145" t="s">
        <v>675</v>
      </c>
      <c r="F145" t="s">
        <v>676</v>
      </c>
      <c r="G145" t="s">
        <v>677</v>
      </c>
      <c r="H145" t="s">
        <v>22</v>
      </c>
      <c r="I145" t="s">
        <v>23</v>
      </c>
      <c r="J145" s="1">
        <v>936</v>
      </c>
      <c r="K145" s="1">
        <v>44.571428571428569</v>
      </c>
      <c r="L145" s="3">
        <v>21</v>
      </c>
      <c r="M145" t="s">
        <v>36</v>
      </c>
      <c r="N145" s="2">
        <v>44044</v>
      </c>
      <c r="O145" t="s">
        <v>196</v>
      </c>
      <c r="P145" t="s">
        <v>678</v>
      </c>
      <c r="Q145">
        <v>16510</v>
      </c>
      <c r="R145" t="s">
        <v>27</v>
      </c>
      <c r="S145" s="10">
        <v>49.029840016644307</v>
      </c>
      <c r="T145">
        <v>35</v>
      </c>
    </row>
    <row r="146" spans="1:20" x14ac:dyDescent="0.3">
      <c r="A146">
        <v>1017</v>
      </c>
      <c r="B146" t="s">
        <v>660</v>
      </c>
      <c r="C146" t="s">
        <v>679</v>
      </c>
      <c r="D146" t="s">
        <v>680</v>
      </c>
      <c r="E146" t="s">
        <v>681</v>
      </c>
      <c r="F146" t="s">
        <v>682</v>
      </c>
      <c r="G146" t="s">
        <v>446</v>
      </c>
      <c r="H146" t="s">
        <v>22</v>
      </c>
      <c r="I146" t="s">
        <v>23</v>
      </c>
      <c r="J146" s="1">
        <v>776</v>
      </c>
      <c r="K146" s="1">
        <v>28.74074074074074</v>
      </c>
      <c r="L146" s="3">
        <v>27</v>
      </c>
      <c r="M146" t="s">
        <v>36</v>
      </c>
      <c r="N146" s="2">
        <v>44045</v>
      </c>
      <c r="O146" t="s">
        <v>136</v>
      </c>
      <c r="P146" t="s">
        <v>137</v>
      </c>
      <c r="Q146">
        <v>60663</v>
      </c>
      <c r="R146" t="s">
        <v>27</v>
      </c>
      <c r="S146" s="10">
        <v>50.362618129106998</v>
      </c>
      <c r="T146">
        <v>46</v>
      </c>
    </row>
    <row r="147" spans="1:20" x14ac:dyDescent="0.3">
      <c r="A147">
        <v>1298</v>
      </c>
      <c r="B147" t="s">
        <v>275</v>
      </c>
      <c r="C147" t="s">
        <v>340</v>
      </c>
      <c r="D147" t="s">
        <v>341</v>
      </c>
      <c r="E147" t="s">
        <v>342</v>
      </c>
      <c r="F147" t="s">
        <v>306</v>
      </c>
      <c r="G147" t="s">
        <v>180</v>
      </c>
      <c r="H147" t="s">
        <v>22</v>
      </c>
      <c r="I147" t="s">
        <v>236</v>
      </c>
      <c r="J147" s="1">
        <v>303</v>
      </c>
      <c r="K147" s="1">
        <v>43.285714285714285</v>
      </c>
      <c r="L147" s="3">
        <v>7</v>
      </c>
      <c r="M147" t="s">
        <v>343</v>
      </c>
      <c r="N147" s="2">
        <v>44047</v>
      </c>
      <c r="O147" t="s">
        <v>267</v>
      </c>
      <c r="P147" t="s">
        <v>344</v>
      </c>
      <c r="Q147">
        <v>32891</v>
      </c>
      <c r="R147" t="s">
        <v>27</v>
      </c>
      <c r="S147" s="10">
        <v>9.3398883033188085</v>
      </c>
      <c r="T147">
        <v>14</v>
      </c>
    </row>
    <row r="148" spans="1:20" x14ac:dyDescent="0.3">
      <c r="A148">
        <v>1234</v>
      </c>
      <c r="B148" t="s">
        <v>59</v>
      </c>
      <c r="C148" t="s">
        <v>60</v>
      </c>
      <c r="D148" t="s">
        <v>61</v>
      </c>
      <c r="E148" t="s">
        <v>62</v>
      </c>
      <c r="F148" t="s">
        <v>63</v>
      </c>
      <c r="G148" t="s">
        <v>64</v>
      </c>
      <c r="H148" t="s">
        <v>34</v>
      </c>
      <c r="I148" t="s">
        <v>65</v>
      </c>
      <c r="J148" s="1">
        <v>185</v>
      </c>
      <c r="K148" s="1">
        <v>46.25</v>
      </c>
      <c r="L148" s="3">
        <v>4</v>
      </c>
      <c r="M148" t="s">
        <v>66</v>
      </c>
      <c r="N148" s="2">
        <v>44048</v>
      </c>
      <c r="O148" t="s">
        <v>67</v>
      </c>
      <c r="P148" t="s">
        <v>68</v>
      </c>
      <c r="Q148">
        <v>78710</v>
      </c>
      <c r="R148" t="s">
        <v>27</v>
      </c>
      <c r="S148" s="10">
        <v>9.4424416826338611</v>
      </c>
      <c r="T148">
        <v>7</v>
      </c>
    </row>
    <row r="149" spans="1:20" x14ac:dyDescent="0.3">
      <c r="A149">
        <v>1710</v>
      </c>
      <c r="B149" t="s">
        <v>167</v>
      </c>
      <c r="C149" t="s">
        <v>683</v>
      </c>
      <c r="D149" t="s">
        <v>684</v>
      </c>
      <c r="E149" t="s">
        <v>685</v>
      </c>
      <c r="F149" t="s">
        <v>394</v>
      </c>
      <c r="G149" t="s">
        <v>686</v>
      </c>
      <c r="H149" t="s">
        <v>22</v>
      </c>
      <c r="I149" t="s">
        <v>23</v>
      </c>
      <c r="J149" s="1">
        <v>865</v>
      </c>
      <c r="K149" s="1">
        <v>39.31818181818182</v>
      </c>
      <c r="L149" s="3">
        <v>22</v>
      </c>
      <c r="M149" t="s">
        <v>447</v>
      </c>
      <c r="N149" s="2">
        <v>44049</v>
      </c>
      <c r="O149" t="s">
        <v>496</v>
      </c>
      <c r="P149" t="s">
        <v>687</v>
      </c>
      <c r="Q149">
        <v>40293</v>
      </c>
      <c r="R149" t="s">
        <v>27</v>
      </c>
      <c r="S149" s="10">
        <v>42.746577018622723</v>
      </c>
      <c r="T149">
        <v>39</v>
      </c>
    </row>
    <row r="150" spans="1:20" x14ac:dyDescent="0.3">
      <c r="A150">
        <v>1489</v>
      </c>
      <c r="B150" t="s">
        <v>85</v>
      </c>
      <c r="C150" t="s">
        <v>86</v>
      </c>
      <c r="D150" t="s">
        <v>87</v>
      </c>
      <c r="E150" t="s">
        <v>88</v>
      </c>
      <c r="F150" t="s">
        <v>89</v>
      </c>
      <c r="G150" t="s">
        <v>90</v>
      </c>
      <c r="H150" t="s">
        <v>34</v>
      </c>
      <c r="I150" t="s">
        <v>23</v>
      </c>
      <c r="J150" s="1">
        <v>934</v>
      </c>
      <c r="K150" s="1">
        <v>34.592592592592595</v>
      </c>
      <c r="L150" s="3">
        <v>27</v>
      </c>
      <c r="M150" t="s">
        <v>66</v>
      </c>
      <c r="N150" s="2">
        <v>44050</v>
      </c>
      <c r="O150" t="s">
        <v>47</v>
      </c>
      <c r="P150" t="s">
        <v>91</v>
      </c>
      <c r="Q150">
        <v>23668</v>
      </c>
      <c r="R150" t="s">
        <v>27</v>
      </c>
      <c r="S150" s="10">
        <v>55.571025061120352</v>
      </c>
      <c r="T150">
        <v>51</v>
      </c>
    </row>
    <row r="151" spans="1:20" x14ac:dyDescent="0.3">
      <c r="A151">
        <v>1851</v>
      </c>
      <c r="B151" t="s">
        <v>604</v>
      </c>
      <c r="C151" t="s">
        <v>358</v>
      </c>
      <c r="D151" t="s">
        <v>605</v>
      </c>
      <c r="E151" t="s">
        <v>606</v>
      </c>
      <c r="F151" t="s">
        <v>607</v>
      </c>
      <c r="G151" t="s">
        <v>194</v>
      </c>
      <c r="H151" t="s">
        <v>22</v>
      </c>
      <c r="I151" t="s">
        <v>65</v>
      </c>
      <c r="J151" s="1">
        <v>367</v>
      </c>
      <c r="K151" s="1">
        <v>33.363636363636367</v>
      </c>
      <c r="L151" s="3">
        <v>11</v>
      </c>
      <c r="M151" t="s">
        <v>343</v>
      </c>
      <c r="N151" s="2">
        <v>44052</v>
      </c>
      <c r="O151" t="s">
        <v>83</v>
      </c>
      <c r="P151" t="s">
        <v>351</v>
      </c>
      <c r="Q151">
        <v>11210</v>
      </c>
      <c r="R151" t="s">
        <v>27</v>
      </c>
      <c r="S151" s="10">
        <v>18.238842584246377</v>
      </c>
      <c r="T151">
        <v>19</v>
      </c>
    </row>
    <row r="152" spans="1:20" x14ac:dyDescent="0.3">
      <c r="A152">
        <v>1851</v>
      </c>
      <c r="B152" t="s">
        <v>604</v>
      </c>
      <c r="C152" t="s">
        <v>358</v>
      </c>
      <c r="D152" t="s">
        <v>605</v>
      </c>
      <c r="E152" t="s">
        <v>606</v>
      </c>
      <c r="F152" t="s">
        <v>607</v>
      </c>
      <c r="G152" t="s">
        <v>194</v>
      </c>
      <c r="H152" t="s">
        <v>22</v>
      </c>
      <c r="I152" t="s">
        <v>65</v>
      </c>
      <c r="J152" s="1">
        <v>262</v>
      </c>
      <c r="K152" s="1">
        <v>43.666666666666664</v>
      </c>
      <c r="L152" s="3">
        <v>6</v>
      </c>
      <c r="M152" t="s">
        <v>343</v>
      </c>
      <c r="N152" s="2">
        <v>44058</v>
      </c>
      <c r="O152" t="s">
        <v>83</v>
      </c>
      <c r="P152" t="s">
        <v>351</v>
      </c>
      <c r="Q152">
        <v>11210</v>
      </c>
      <c r="R152" t="s">
        <v>27</v>
      </c>
      <c r="S152" s="10">
        <v>10.460458498962762</v>
      </c>
      <c r="T152">
        <v>10</v>
      </c>
    </row>
    <row r="153" spans="1:20" x14ac:dyDescent="0.3">
      <c r="A153">
        <v>1024</v>
      </c>
      <c r="B153" t="s">
        <v>688</v>
      </c>
      <c r="C153" t="s">
        <v>689</v>
      </c>
      <c r="D153" t="s">
        <v>690</v>
      </c>
      <c r="E153" t="s">
        <v>691</v>
      </c>
      <c r="F153" t="s">
        <v>692</v>
      </c>
      <c r="G153" t="s">
        <v>693</v>
      </c>
      <c r="H153" t="s">
        <v>22</v>
      </c>
      <c r="I153" t="s">
        <v>23</v>
      </c>
      <c r="J153" s="1">
        <v>533</v>
      </c>
      <c r="K153" s="1">
        <v>41</v>
      </c>
      <c r="L153" s="3">
        <v>13</v>
      </c>
      <c r="M153" t="s">
        <v>694</v>
      </c>
      <c r="N153" s="2">
        <v>44059</v>
      </c>
      <c r="O153" t="s">
        <v>127</v>
      </c>
      <c r="P153" t="s">
        <v>128</v>
      </c>
      <c r="Q153">
        <v>6145</v>
      </c>
      <c r="R153" t="s">
        <v>27</v>
      </c>
      <c r="S153" s="10">
        <v>30.068931358869133</v>
      </c>
      <c r="T153">
        <v>28</v>
      </c>
    </row>
    <row r="154" spans="1:20" x14ac:dyDescent="0.3">
      <c r="A154">
        <v>1170</v>
      </c>
      <c r="B154" t="s">
        <v>153</v>
      </c>
      <c r="C154" t="s">
        <v>154</v>
      </c>
      <c r="D154" t="s">
        <v>155</v>
      </c>
      <c r="E154" t="s">
        <v>156</v>
      </c>
      <c r="F154" t="s">
        <v>157</v>
      </c>
      <c r="G154" t="s">
        <v>158</v>
      </c>
      <c r="H154" t="s">
        <v>34</v>
      </c>
      <c r="I154" t="s">
        <v>65</v>
      </c>
      <c r="J154" s="1">
        <v>281</v>
      </c>
      <c r="K154" s="1">
        <v>31.222222222222221</v>
      </c>
      <c r="L154" s="3">
        <v>9</v>
      </c>
      <c r="M154" t="s">
        <v>24</v>
      </c>
      <c r="N154" s="2">
        <v>44059</v>
      </c>
      <c r="O154" t="s">
        <v>67</v>
      </c>
      <c r="P154" t="s">
        <v>159</v>
      </c>
      <c r="Q154">
        <v>88574</v>
      </c>
      <c r="R154" t="s">
        <v>27</v>
      </c>
      <c r="S154" s="10">
        <v>12.927722429401001</v>
      </c>
      <c r="T154">
        <v>13</v>
      </c>
    </row>
    <row r="155" spans="1:20" x14ac:dyDescent="0.3">
      <c r="A155">
        <v>1074</v>
      </c>
      <c r="B155" t="s">
        <v>695</v>
      </c>
      <c r="C155" t="s">
        <v>406</v>
      </c>
      <c r="D155" t="s">
        <v>696</v>
      </c>
      <c r="E155" t="s">
        <v>697</v>
      </c>
      <c r="F155" t="s">
        <v>698</v>
      </c>
      <c r="G155" t="s">
        <v>291</v>
      </c>
      <c r="H155" t="s">
        <v>34</v>
      </c>
      <c r="I155" t="s">
        <v>55</v>
      </c>
      <c r="J155" s="1">
        <v>202</v>
      </c>
      <c r="K155" s="1">
        <v>40.4</v>
      </c>
      <c r="L155" s="3">
        <v>5</v>
      </c>
      <c r="M155" t="s">
        <v>126</v>
      </c>
      <c r="N155" s="2">
        <v>44060</v>
      </c>
      <c r="O155" t="s">
        <v>267</v>
      </c>
      <c r="P155" t="s">
        <v>344</v>
      </c>
      <c r="Q155">
        <v>32803</v>
      </c>
      <c r="R155" t="s">
        <v>27</v>
      </c>
      <c r="S155" s="10">
        <v>8.3042273897571857</v>
      </c>
      <c r="T155">
        <v>10</v>
      </c>
    </row>
    <row r="156" spans="1:20" x14ac:dyDescent="0.3">
      <c r="A156">
        <v>1234</v>
      </c>
      <c r="B156" t="s">
        <v>59</v>
      </c>
      <c r="C156" t="s">
        <v>60</v>
      </c>
      <c r="D156" t="s">
        <v>61</v>
      </c>
      <c r="E156" t="s">
        <v>62</v>
      </c>
      <c r="F156" t="s">
        <v>63</v>
      </c>
      <c r="G156" t="s">
        <v>64</v>
      </c>
      <c r="H156" t="s">
        <v>34</v>
      </c>
      <c r="I156" t="s">
        <v>65</v>
      </c>
      <c r="J156" s="1">
        <v>818</v>
      </c>
      <c r="K156" s="1">
        <v>27.266666666666666</v>
      </c>
      <c r="L156" s="3">
        <v>30</v>
      </c>
      <c r="M156" t="s">
        <v>66</v>
      </c>
      <c r="N156" s="2">
        <v>44060</v>
      </c>
      <c r="O156" t="s">
        <v>67</v>
      </c>
      <c r="P156" t="s">
        <v>68</v>
      </c>
      <c r="Q156">
        <v>78710</v>
      </c>
      <c r="R156" t="s">
        <v>27</v>
      </c>
      <c r="S156" s="10">
        <v>68.233543385481497</v>
      </c>
      <c r="T156">
        <v>59</v>
      </c>
    </row>
    <row r="157" spans="1:20" x14ac:dyDescent="0.3">
      <c r="A157">
        <v>2000</v>
      </c>
      <c r="B157" t="s">
        <v>120</v>
      </c>
      <c r="C157" t="s">
        <v>68</v>
      </c>
      <c r="D157" t="s">
        <v>699</v>
      </c>
      <c r="E157" t="s">
        <v>700</v>
      </c>
      <c r="F157" t="s">
        <v>682</v>
      </c>
      <c r="G157" t="s">
        <v>701</v>
      </c>
      <c r="H157" t="s">
        <v>22</v>
      </c>
      <c r="I157" t="s">
        <v>366</v>
      </c>
      <c r="J157" s="1">
        <v>590</v>
      </c>
      <c r="K157" s="1">
        <v>29.5</v>
      </c>
      <c r="L157" s="3">
        <v>20</v>
      </c>
      <c r="M157" t="s">
        <v>66</v>
      </c>
      <c r="N157" s="2">
        <v>44061</v>
      </c>
      <c r="O157" t="s">
        <v>37</v>
      </c>
      <c r="P157" t="s">
        <v>448</v>
      </c>
      <c r="Q157">
        <v>94230</v>
      </c>
      <c r="R157" t="s">
        <v>27</v>
      </c>
      <c r="S157" s="10">
        <v>38.934908810125052</v>
      </c>
      <c r="T157">
        <v>41</v>
      </c>
    </row>
    <row r="158" spans="1:20" x14ac:dyDescent="0.3">
      <c r="A158">
        <v>1806</v>
      </c>
      <c r="B158" t="s">
        <v>702</v>
      </c>
      <c r="C158" t="s">
        <v>703</v>
      </c>
      <c r="D158" t="s">
        <v>704</v>
      </c>
      <c r="E158" t="s">
        <v>705</v>
      </c>
      <c r="F158" t="s">
        <v>706</v>
      </c>
      <c r="G158" t="s">
        <v>90</v>
      </c>
      <c r="H158" t="s">
        <v>22</v>
      </c>
      <c r="I158" t="s">
        <v>98</v>
      </c>
      <c r="J158" s="1">
        <v>312</v>
      </c>
      <c r="K158" s="1">
        <v>39</v>
      </c>
      <c r="L158" s="3">
        <v>8</v>
      </c>
      <c r="M158" t="s">
        <v>404</v>
      </c>
      <c r="N158" s="2">
        <v>44062</v>
      </c>
      <c r="O158" t="s">
        <v>67</v>
      </c>
      <c r="P158" t="s">
        <v>280</v>
      </c>
      <c r="Q158">
        <v>78265</v>
      </c>
      <c r="R158" t="s">
        <v>27</v>
      </c>
      <c r="S158" s="10">
        <v>12.222052355209458</v>
      </c>
      <c r="T158">
        <v>17</v>
      </c>
    </row>
    <row r="159" spans="1:20" x14ac:dyDescent="0.3">
      <c r="A159">
        <v>1927</v>
      </c>
      <c r="B159" t="s">
        <v>707</v>
      </c>
      <c r="C159" t="s">
        <v>708</v>
      </c>
      <c r="D159" t="s">
        <v>709</v>
      </c>
      <c r="E159" t="s">
        <v>710</v>
      </c>
      <c r="F159" t="s">
        <v>711</v>
      </c>
      <c r="G159" t="s">
        <v>712</v>
      </c>
      <c r="H159" t="s">
        <v>22</v>
      </c>
      <c r="I159" t="s">
        <v>266</v>
      </c>
      <c r="J159" s="1">
        <v>446</v>
      </c>
      <c r="K159" s="1">
        <v>44.6</v>
      </c>
      <c r="L159" s="3">
        <v>10</v>
      </c>
      <c r="M159" t="s">
        <v>36</v>
      </c>
      <c r="N159" s="2">
        <v>44062</v>
      </c>
      <c r="O159" t="s">
        <v>37</v>
      </c>
      <c r="P159" t="s">
        <v>448</v>
      </c>
      <c r="Q159">
        <v>94207</v>
      </c>
      <c r="R159" t="s">
        <v>27</v>
      </c>
      <c r="S159" s="10">
        <v>21.201590432510947</v>
      </c>
      <c r="T159">
        <v>13</v>
      </c>
    </row>
    <row r="160" spans="1:20" x14ac:dyDescent="0.3">
      <c r="A160">
        <v>1022</v>
      </c>
      <c r="B160" t="s">
        <v>591</v>
      </c>
      <c r="C160" t="s">
        <v>592</v>
      </c>
      <c r="D160" t="s">
        <v>593</v>
      </c>
      <c r="E160" t="s">
        <v>594</v>
      </c>
      <c r="F160" t="s">
        <v>595</v>
      </c>
      <c r="G160" t="s">
        <v>279</v>
      </c>
      <c r="H160" t="s">
        <v>34</v>
      </c>
      <c r="I160" t="s">
        <v>23</v>
      </c>
      <c r="J160" s="1">
        <v>390</v>
      </c>
      <c r="K160" s="1">
        <v>39</v>
      </c>
      <c r="L160" s="3">
        <v>10</v>
      </c>
      <c r="M160" t="s">
        <v>36</v>
      </c>
      <c r="N160" s="2">
        <v>44063</v>
      </c>
      <c r="O160" t="s">
        <v>470</v>
      </c>
      <c r="P160" t="s">
        <v>358</v>
      </c>
      <c r="Q160">
        <v>20430</v>
      </c>
      <c r="R160" t="s">
        <v>27</v>
      </c>
      <c r="S160" s="10">
        <v>24.543354102892113</v>
      </c>
      <c r="T160">
        <v>15</v>
      </c>
    </row>
    <row r="161" spans="1:20" x14ac:dyDescent="0.3">
      <c r="A161">
        <v>1020</v>
      </c>
      <c r="B161" t="s">
        <v>310</v>
      </c>
      <c r="C161" t="s">
        <v>311</v>
      </c>
      <c r="D161" t="s">
        <v>312</v>
      </c>
      <c r="E161" t="s">
        <v>313</v>
      </c>
      <c r="F161" t="s">
        <v>314</v>
      </c>
      <c r="G161" t="s">
        <v>315</v>
      </c>
      <c r="H161" t="s">
        <v>22</v>
      </c>
      <c r="I161" t="s">
        <v>23</v>
      </c>
      <c r="J161" s="1">
        <v>368</v>
      </c>
      <c r="K161" s="1">
        <v>28.307692307692307</v>
      </c>
      <c r="L161" s="3">
        <v>13</v>
      </c>
      <c r="M161" t="s">
        <v>36</v>
      </c>
      <c r="N161" s="2">
        <v>44064</v>
      </c>
      <c r="O161" t="s">
        <v>37</v>
      </c>
      <c r="P161" t="s">
        <v>316</v>
      </c>
      <c r="Q161">
        <v>94105</v>
      </c>
      <c r="R161" t="s">
        <v>27</v>
      </c>
      <c r="S161" s="10">
        <v>18.002244347356061</v>
      </c>
      <c r="T161">
        <v>20</v>
      </c>
    </row>
    <row r="162" spans="1:20" x14ac:dyDescent="0.3">
      <c r="A162">
        <v>1298</v>
      </c>
      <c r="B162" t="s">
        <v>275</v>
      </c>
      <c r="C162" t="s">
        <v>340</v>
      </c>
      <c r="D162" t="s">
        <v>341</v>
      </c>
      <c r="E162" t="s">
        <v>342</v>
      </c>
      <c r="F162" t="s">
        <v>306</v>
      </c>
      <c r="G162" t="s">
        <v>180</v>
      </c>
      <c r="H162" t="s">
        <v>22</v>
      </c>
      <c r="I162" t="s">
        <v>236</v>
      </c>
      <c r="J162" s="1">
        <v>146</v>
      </c>
      <c r="K162" s="1">
        <v>36.5</v>
      </c>
      <c r="L162" s="3">
        <v>4</v>
      </c>
      <c r="M162" t="s">
        <v>343</v>
      </c>
      <c r="N162" s="2">
        <v>44064</v>
      </c>
      <c r="O162" t="s">
        <v>267</v>
      </c>
      <c r="P162" t="s">
        <v>344</v>
      </c>
      <c r="Q162">
        <v>32891</v>
      </c>
      <c r="R162" t="s">
        <v>27</v>
      </c>
      <c r="S162" s="10">
        <v>9.0103075814421487</v>
      </c>
      <c r="T162">
        <v>4</v>
      </c>
    </row>
    <row r="163" spans="1:20" x14ac:dyDescent="0.3">
      <c r="A163">
        <v>1017</v>
      </c>
      <c r="B163" t="s">
        <v>660</v>
      </c>
      <c r="C163" t="s">
        <v>679</v>
      </c>
      <c r="D163" t="s">
        <v>680</v>
      </c>
      <c r="E163" t="s">
        <v>681</v>
      </c>
      <c r="F163" t="s">
        <v>682</v>
      </c>
      <c r="G163" t="s">
        <v>446</v>
      </c>
      <c r="H163" t="s">
        <v>22</v>
      </c>
      <c r="I163" t="s">
        <v>23</v>
      </c>
      <c r="J163" s="1">
        <v>338</v>
      </c>
      <c r="K163" s="1">
        <v>28.166666666666668</v>
      </c>
      <c r="L163" s="3">
        <v>12</v>
      </c>
      <c r="M163" t="s">
        <v>36</v>
      </c>
      <c r="N163" s="2">
        <v>44065</v>
      </c>
      <c r="O163" t="s">
        <v>136</v>
      </c>
      <c r="P163" t="s">
        <v>137</v>
      </c>
      <c r="Q163">
        <v>60663</v>
      </c>
      <c r="R163" t="s">
        <v>27</v>
      </c>
      <c r="S163" s="10">
        <v>22.425606100957918</v>
      </c>
      <c r="T163">
        <v>24</v>
      </c>
    </row>
    <row r="164" spans="1:20" x14ac:dyDescent="0.3">
      <c r="A164">
        <v>1020</v>
      </c>
      <c r="B164" t="s">
        <v>310</v>
      </c>
      <c r="C164" t="s">
        <v>311</v>
      </c>
      <c r="D164" t="s">
        <v>312</v>
      </c>
      <c r="E164" t="s">
        <v>313</v>
      </c>
      <c r="F164" t="s">
        <v>314</v>
      </c>
      <c r="G164" t="s">
        <v>315</v>
      </c>
      <c r="H164" t="s">
        <v>22</v>
      </c>
      <c r="I164" t="s">
        <v>23</v>
      </c>
      <c r="J164" s="1">
        <v>246</v>
      </c>
      <c r="K164" s="1">
        <v>41</v>
      </c>
      <c r="L164" s="3">
        <v>6</v>
      </c>
      <c r="M164" t="s">
        <v>36</v>
      </c>
      <c r="N164" s="2">
        <v>44069</v>
      </c>
      <c r="O164" t="s">
        <v>37</v>
      </c>
      <c r="P164" t="s">
        <v>316</v>
      </c>
      <c r="Q164">
        <v>94105</v>
      </c>
      <c r="R164" t="s">
        <v>27</v>
      </c>
      <c r="S164" s="10">
        <v>8.4866306115279411</v>
      </c>
      <c r="T164">
        <v>8</v>
      </c>
    </row>
    <row r="165" spans="1:20" x14ac:dyDescent="0.3">
      <c r="A165">
        <v>1403</v>
      </c>
      <c r="B165" t="s">
        <v>713</v>
      </c>
      <c r="C165" t="s">
        <v>714</v>
      </c>
      <c r="D165" t="s">
        <v>715</v>
      </c>
      <c r="E165" t="s">
        <v>716</v>
      </c>
      <c r="F165" t="s">
        <v>717</v>
      </c>
      <c r="G165" t="s">
        <v>371</v>
      </c>
      <c r="H165" t="s">
        <v>34</v>
      </c>
      <c r="I165" t="s">
        <v>75</v>
      </c>
      <c r="J165" s="1">
        <v>209</v>
      </c>
      <c r="K165" s="1">
        <v>34.833333333333336</v>
      </c>
      <c r="L165" s="3">
        <v>6</v>
      </c>
      <c r="M165" t="s">
        <v>126</v>
      </c>
      <c r="N165" s="2">
        <v>44071</v>
      </c>
      <c r="O165" t="s">
        <v>83</v>
      </c>
      <c r="P165" t="s">
        <v>718</v>
      </c>
      <c r="Q165">
        <v>11499</v>
      </c>
      <c r="R165" t="s">
        <v>27</v>
      </c>
      <c r="S165" s="10">
        <v>8.2355184546778979</v>
      </c>
      <c r="T165">
        <v>8</v>
      </c>
    </row>
    <row r="166" spans="1:20" x14ac:dyDescent="0.3">
      <c r="A166">
        <v>1992</v>
      </c>
      <c r="B166" t="s">
        <v>360</v>
      </c>
      <c r="C166" t="s">
        <v>719</v>
      </c>
      <c r="D166" t="s">
        <v>720</v>
      </c>
      <c r="E166" t="s">
        <v>721</v>
      </c>
      <c r="F166" t="s">
        <v>722</v>
      </c>
      <c r="G166" t="s">
        <v>142</v>
      </c>
      <c r="H166" t="s">
        <v>22</v>
      </c>
      <c r="I166" t="s">
        <v>65</v>
      </c>
      <c r="J166" s="1">
        <v>368</v>
      </c>
      <c r="K166" s="1">
        <v>33.454545454545453</v>
      </c>
      <c r="L166" s="3">
        <v>11</v>
      </c>
      <c r="M166" t="s">
        <v>36</v>
      </c>
      <c r="N166" s="2">
        <v>44072</v>
      </c>
      <c r="O166" t="s">
        <v>220</v>
      </c>
      <c r="P166" t="s">
        <v>723</v>
      </c>
      <c r="Q166">
        <v>47306</v>
      </c>
      <c r="R166" t="s">
        <v>27</v>
      </c>
      <c r="S166" s="10">
        <v>14.489449301927033</v>
      </c>
      <c r="T166">
        <v>16</v>
      </c>
    </row>
    <row r="167" spans="1:20" x14ac:dyDescent="0.3">
      <c r="A167">
        <v>1365</v>
      </c>
      <c r="B167" t="s">
        <v>471</v>
      </c>
      <c r="C167" t="s">
        <v>472</v>
      </c>
      <c r="D167" t="s">
        <v>473</v>
      </c>
      <c r="E167" t="s">
        <v>474</v>
      </c>
      <c r="F167" t="s">
        <v>475</v>
      </c>
      <c r="G167" t="s">
        <v>476</v>
      </c>
      <c r="H167" t="s">
        <v>34</v>
      </c>
      <c r="I167" t="s">
        <v>55</v>
      </c>
      <c r="J167" s="1">
        <v>773</v>
      </c>
      <c r="K167" s="1">
        <v>30.92</v>
      </c>
      <c r="L167" s="3">
        <v>25</v>
      </c>
      <c r="M167" t="s">
        <v>66</v>
      </c>
      <c r="N167" s="2">
        <v>44073</v>
      </c>
      <c r="O167" t="s">
        <v>267</v>
      </c>
      <c r="P167" t="s">
        <v>477</v>
      </c>
      <c r="Q167">
        <v>33261</v>
      </c>
      <c r="R167" t="s">
        <v>27</v>
      </c>
      <c r="S167" s="10">
        <v>37.415140740110573</v>
      </c>
      <c r="T167">
        <v>51</v>
      </c>
    </row>
    <row r="168" spans="1:20" x14ac:dyDescent="0.3">
      <c r="A168">
        <v>1025</v>
      </c>
      <c r="B168" t="s">
        <v>724</v>
      </c>
      <c r="C168" t="s">
        <v>725</v>
      </c>
      <c r="D168" t="s">
        <v>726</v>
      </c>
      <c r="E168" t="s">
        <v>727</v>
      </c>
      <c r="F168" t="s">
        <v>728</v>
      </c>
      <c r="G168" t="s">
        <v>307</v>
      </c>
      <c r="H168" t="s">
        <v>34</v>
      </c>
      <c r="I168" t="s">
        <v>23</v>
      </c>
      <c r="J168" s="1">
        <v>549</v>
      </c>
      <c r="K168" s="1">
        <v>45.75</v>
      </c>
      <c r="L168" s="3">
        <v>12</v>
      </c>
      <c r="M168" t="s">
        <v>195</v>
      </c>
      <c r="N168" s="2">
        <v>44074</v>
      </c>
      <c r="O168" t="s">
        <v>37</v>
      </c>
      <c r="P168" t="s">
        <v>316</v>
      </c>
      <c r="Q168">
        <v>94126</v>
      </c>
      <c r="R168" t="s">
        <v>27</v>
      </c>
      <c r="S168" s="10">
        <v>23.203264546440124</v>
      </c>
      <c r="T168">
        <v>15</v>
      </c>
    </row>
    <row r="169" spans="1:20" x14ac:dyDescent="0.3">
      <c r="A169">
        <v>1116</v>
      </c>
      <c r="B169" t="s">
        <v>49</v>
      </c>
      <c r="C169" t="s">
        <v>50</v>
      </c>
      <c r="D169" t="s">
        <v>51</v>
      </c>
      <c r="E169" t="s">
        <v>52</v>
      </c>
      <c r="F169" t="s">
        <v>53</v>
      </c>
      <c r="G169" t="s">
        <v>54</v>
      </c>
      <c r="H169" t="s">
        <v>22</v>
      </c>
      <c r="I169" t="s">
        <v>55</v>
      </c>
      <c r="J169" s="1">
        <v>772</v>
      </c>
      <c r="K169" s="1">
        <v>36.761904761904759</v>
      </c>
      <c r="L169" s="3">
        <v>21</v>
      </c>
      <c r="M169" t="s">
        <v>56</v>
      </c>
      <c r="N169" s="2">
        <v>44074</v>
      </c>
      <c r="O169" t="s">
        <v>57</v>
      </c>
      <c r="P169" t="s">
        <v>58</v>
      </c>
      <c r="Q169">
        <v>30096</v>
      </c>
      <c r="R169" t="s">
        <v>27</v>
      </c>
      <c r="S169" s="10">
        <v>49.322824618625837</v>
      </c>
      <c r="T169">
        <v>47</v>
      </c>
    </row>
    <row r="170" spans="1:20" x14ac:dyDescent="0.3">
      <c r="A170">
        <v>1809</v>
      </c>
      <c r="B170" t="s">
        <v>729</v>
      </c>
      <c r="C170" t="s">
        <v>730</v>
      </c>
      <c r="D170" t="s">
        <v>731</v>
      </c>
      <c r="E170" t="s">
        <v>732</v>
      </c>
      <c r="F170" t="s">
        <v>733</v>
      </c>
      <c r="G170" t="s">
        <v>516</v>
      </c>
      <c r="H170" t="s">
        <v>22</v>
      </c>
      <c r="I170" t="s">
        <v>23</v>
      </c>
      <c r="J170" s="1">
        <v>281</v>
      </c>
      <c r="K170" s="1">
        <v>28.1</v>
      </c>
      <c r="L170" s="3">
        <v>10</v>
      </c>
      <c r="M170" t="s">
        <v>143</v>
      </c>
      <c r="N170" s="2">
        <v>44074</v>
      </c>
      <c r="O170" t="s">
        <v>100</v>
      </c>
      <c r="P170" t="s">
        <v>734</v>
      </c>
      <c r="Q170">
        <v>50335</v>
      </c>
      <c r="R170" t="s">
        <v>27</v>
      </c>
      <c r="S170" s="10">
        <v>22.399296202062718</v>
      </c>
      <c r="T170">
        <v>18</v>
      </c>
    </row>
    <row r="171" spans="1:20" x14ac:dyDescent="0.3">
      <c r="A171">
        <v>1234</v>
      </c>
      <c r="B171" t="s">
        <v>59</v>
      </c>
      <c r="C171" t="s">
        <v>60</v>
      </c>
      <c r="D171" t="s">
        <v>61</v>
      </c>
      <c r="E171" t="s">
        <v>62</v>
      </c>
      <c r="F171" t="s">
        <v>63</v>
      </c>
      <c r="G171" t="s">
        <v>64</v>
      </c>
      <c r="H171" t="s">
        <v>34</v>
      </c>
      <c r="I171" t="s">
        <v>65</v>
      </c>
      <c r="J171" s="1">
        <v>274</v>
      </c>
      <c r="K171" s="1">
        <v>39.142857142857146</v>
      </c>
      <c r="L171" s="3">
        <v>7</v>
      </c>
      <c r="M171" t="s">
        <v>66</v>
      </c>
      <c r="N171" s="2">
        <v>44077</v>
      </c>
      <c r="O171" t="s">
        <v>67</v>
      </c>
      <c r="P171" t="s">
        <v>68</v>
      </c>
      <c r="Q171">
        <v>78710</v>
      </c>
      <c r="R171" t="s">
        <v>27</v>
      </c>
      <c r="S171" s="10">
        <v>14.339581296638995</v>
      </c>
      <c r="T171">
        <v>12</v>
      </c>
    </row>
    <row r="172" spans="1:20" x14ac:dyDescent="0.3">
      <c r="A172">
        <v>1433</v>
      </c>
      <c r="B172" t="s">
        <v>465</v>
      </c>
      <c r="C172" t="s">
        <v>466</v>
      </c>
      <c r="D172" t="s">
        <v>467</v>
      </c>
      <c r="E172" t="s">
        <v>468</v>
      </c>
      <c r="F172" t="s">
        <v>469</v>
      </c>
      <c r="G172" t="s">
        <v>459</v>
      </c>
      <c r="H172" t="s">
        <v>34</v>
      </c>
      <c r="I172" t="s">
        <v>135</v>
      </c>
      <c r="J172" s="1">
        <v>147</v>
      </c>
      <c r="K172" s="1">
        <v>36.75</v>
      </c>
      <c r="L172" s="3">
        <v>4</v>
      </c>
      <c r="M172" t="s">
        <v>56</v>
      </c>
      <c r="N172" s="2">
        <v>44078</v>
      </c>
      <c r="O172" t="s">
        <v>470</v>
      </c>
      <c r="P172" t="s">
        <v>358</v>
      </c>
      <c r="Q172">
        <v>20420</v>
      </c>
      <c r="R172" t="s">
        <v>27</v>
      </c>
      <c r="S172" s="10">
        <v>7.9095878884882094</v>
      </c>
      <c r="T172">
        <v>6</v>
      </c>
    </row>
    <row r="173" spans="1:20" x14ac:dyDescent="0.3">
      <c r="A173">
        <v>1298</v>
      </c>
      <c r="B173" t="s">
        <v>275</v>
      </c>
      <c r="C173" t="s">
        <v>340</v>
      </c>
      <c r="D173" t="s">
        <v>341</v>
      </c>
      <c r="E173" t="s">
        <v>342</v>
      </c>
      <c r="F173" t="s">
        <v>306</v>
      </c>
      <c r="G173" t="s">
        <v>180</v>
      </c>
      <c r="H173" t="s">
        <v>22</v>
      </c>
      <c r="I173" t="s">
        <v>236</v>
      </c>
      <c r="J173" s="1">
        <v>329</v>
      </c>
      <c r="K173" s="1">
        <v>41.125</v>
      </c>
      <c r="L173" s="3">
        <v>8</v>
      </c>
      <c r="M173" t="s">
        <v>343</v>
      </c>
      <c r="N173" s="2">
        <v>44079</v>
      </c>
      <c r="O173" t="s">
        <v>267</v>
      </c>
      <c r="P173" t="s">
        <v>344</v>
      </c>
      <c r="Q173">
        <v>32891</v>
      </c>
      <c r="R173" t="s">
        <v>27</v>
      </c>
      <c r="S173" s="10">
        <v>14.85124275553324</v>
      </c>
      <c r="T173">
        <v>17</v>
      </c>
    </row>
    <row r="174" spans="1:20" x14ac:dyDescent="0.3">
      <c r="A174">
        <v>1709</v>
      </c>
      <c r="B174" t="s">
        <v>735</v>
      </c>
      <c r="C174" t="s">
        <v>519</v>
      </c>
      <c r="D174" t="s">
        <v>736</v>
      </c>
      <c r="E174" t="s">
        <v>737</v>
      </c>
      <c r="F174" t="s">
        <v>738</v>
      </c>
      <c r="G174" t="s">
        <v>739</v>
      </c>
      <c r="H174" t="s">
        <v>34</v>
      </c>
      <c r="I174" t="s">
        <v>23</v>
      </c>
      <c r="J174" s="1">
        <v>719</v>
      </c>
      <c r="K174" s="1">
        <v>39.944444444444443</v>
      </c>
      <c r="L174" s="3">
        <v>18</v>
      </c>
      <c r="M174" t="s">
        <v>36</v>
      </c>
      <c r="N174" s="2">
        <v>44080</v>
      </c>
      <c r="O174" t="s">
        <v>196</v>
      </c>
      <c r="P174" t="s">
        <v>411</v>
      </c>
      <c r="Q174">
        <v>15266</v>
      </c>
      <c r="R174" t="s">
        <v>27</v>
      </c>
      <c r="S174" s="10">
        <v>25.91609117081234</v>
      </c>
      <c r="T174">
        <v>27</v>
      </c>
    </row>
    <row r="175" spans="1:20" x14ac:dyDescent="0.3">
      <c r="A175">
        <v>1170</v>
      </c>
      <c r="B175" t="s">
        <v>153</v>
      </c>
      <c r="C175" t="s">
        <v>154</v>
      </c>
      <c r="D175" t="s">
        <v>155</v>
      </c>
      <c r="E175" t="s">
        <v>156</v>
      </c>
      <c r="F175" t="s">
        <v>157</v>
      </c>
      <c r="G175" t="s">
        <v>158</v>
      </c>
      <c r="H175" t="s">
        <v>34</v>
      </c>
      <c r="I175" t="s">
        <v>65</v>
      </c>
      <c r="J175" s="1">
        <v>111</v>
      </c>
      <c r="K175" s="1">
        <v>37</v>
      </c>
      <c r="L175" s="3">
        <v>3</v>
      </c>
      <c r="M175" t="s">
        <v>24</v>
      </c>
      <c r="N175" s="2">
        <v>44081</v>
      </c>
      <c r="O175" t="s">
        <v>67</v>
      </c>
      <c r="P175" t="s">
        <v>159</v>
      </c>
      <c r="Q175">
        <v>88574</v>
      </c>
      <c r="R175" t="s">
        <v>27</v>
      </c>
      <c r="S175" s="10">
        <v>7.0227960537466751</v>
      </c>
      <c r="T175">
        <v>5</v>
      </c>
    </row>
    <row r="176" spans="1:20" x14ac:dyDescent="0.3">
      <c r="A176">
        <v>1277</v>
      </c>
      <c r="B176" t="s">
        <v>222</v>
      </c>
      <c r="C176" t="s">
        <v>223</v>
      </c>
      <c r="D176" t="s">
        <v>224</v>
      </c>
      <c r="E176" t="s">
        <v>225</v>
      </c>
      <c r="F176" t="s">
        <v>226</v>
      </c>
      <c r="G176" t="s">
        <v>227</v>
      </c>
      <c r="H176" t="s">
        <v>34</v>
      </c>
      <c r="I176" t="s">
        <v>228</v>
      </c>
      <c r="J176" s="1">
        <v>536</v>
      </c>
      <c r="K176" s="1">
        <v>35.733333333333334</v>
      </c>
      <c r="L176" s="3">
        <v>15</v>
      </c>
      <c r="M176" t="s">
        <v>203</v>
      </c>
      <c r="N176" s="2">
        <v>44082</v>
      </c>
      <c r="O176" t="s">
        <v>229</v>
      </c>
      <c r="P176" t="s">
        <v>230</v>
      </c>
      <c r="Q176">
        <v>44310</v>
      </c>
      <c r="R176" t="s">
        <v>27</v>
      </c>
      <c r="S176" s="10">
        <v>37.272525983716179</v>
      </c>
      <c r="T176">
        <v>28</v>
      </c>
    </row>
    <row r="177" spans="1:20" x14ac:dyDescent="0.3">
      <c r="A177">
        <v>1880</v>
      </c>
      <c r="B177" t="s">
        <v>129</v>
      </c>
      <c r="C177" t="s">
        <v>130</v>
      </c>
      <c r="D177" t="s">
        <v>131</v>
      </c>
      <c r="E177" t="s">
        <v>132</v>
      </c>
      <c r="F177" t="s">
        <v>133</v>
      </c>
      <c r="G177" t="s">
        <v>134</v>
      </c>
      <c r="H177" t="s">
        <v>22</v>
      </c>
      <c r="I177" t="s">
        <v>135</v>
      </c>
      <c r="J177" s="1">
        <v>814</v>
      </c>
      <c r="K177" s="1">
        <v>29.071428571428573</v>
      </c>
      <c r="L177" s="3">
        <v>28</v>
      </c>
      <c r="M177" t="s">
        <v>36</v>
      </c>
      <c r="N177" s="2">
        <v>44082</v>
      </c>
      <c r="O177" t="s">
        <v>136</v>
      </c>
      <c r="P177" t="s">
        <v>137</v>
      </c>
      <c r="Q177">
        <v>60614</v>
      </c>
      <c r="R177" t="s">
        <v>27</v>
      </c>
      <c r="S177" s="10">
        <v>62.055648322349498</v>
      </c>
      <c r="T177">
        <v>52</v>
      </c>
    </row>
    <row r="178" spans="1:20" x14ac:dyDescent="0.3">
      <c r="A178">
        <v>1880</v>
      </c>
      <c r="B178" t="s">
        <v>129</v>
      </c>
      <c r="C178" t="s">
        <v>130</v>
      </c>
      <c r="D178" t="s">
        <v>131</v>
      </c>
      <c r="E178" t="s">
        <v>132</v>
      </c>
      <c r="F178" t="s">
        <v>133</v>
      </c>
      <c r="G178" t="s">
        <v>134</v>
      </c>
      <c r="H178" t="s">
        <v>22</v>
      </c>
      <c r="I178" t="s">
        <v>135</v>
      </c>
      <c r="J178" s="1">
        <v>527</v>
      </c>
      <c r="K178" s="1">
        <v>35.133333333333333</v>
      </c>
      <c r="L178" s="3">
        <v>15</v>
      </c>
      <c r="M178" t="s">
        <v>36</v>
      </c>
      <c r="N178" s="2">
        <v>44082</v>
      </c>
      <c r="O178" t="s">
        <v>136</v>
      </c>
      <c r="P178" t="s">
        <v>137</v>
      </c>
      <c r="Q178">
        <v>60614</v>
      </c>
      <c r="R178" t="s">
        <v>27</v>
      </c>
      <c r="S178" s="10">
        <v>32.044262904083467</v>
      </c>
      <c r="T178">
        <v>33</v>
      </c>
    </row>
    <row r="179" spans="1:20" x14ac:dyDescent="0.3">
      <c r="A179">
        <v>1880</v>
      </c>
      <c r="B179" t="s">
        <v>129</v>
      </c>
      <c r="C179" t="s">
        <v>130</v>
      </c>
      <c r="D179" t="s">
        <v>131</v>
      </c>
      <c r="E179" t="s">
        <v>132</v>
      </c>
      <c r="F179" t="s">
        <v>133</v>
      </c>
      <c r="G179" t="s">
        <v>134</v>
      </c>
      <c r="H179" t="s">
        <v>22</v>
      </c>
      <c r="I179" t="s">
        <v>135</v>
      </c>
      <c r="J179" s="1">
        <v>288</v>
      </c>
      <c r="K179" s="1">
        <v>24</v>
      </c>
      <c r="L179" s="3">
        <v>12</v>
      </c>
      <c r="M179" t="s">
        <v>36</v>
      </c>
      <c r="N179" s="2">
        <v>44083</v>
      </c>
      <c r="O179" t="s">
        <v>136</v>
      </c>
      <c r="P179" t="s">
        <v>137</v>
      </c>
      <c r="Q179">
        <v>60614</v>
      </c>
      <c r="R179" t="s">
        <v>27</v>
      </c>
      <c r="S179" s="10">
        <v>27.944807251537863</v>
      </c>
      <c r="T179">
        <v>19</v>
      </c>
    </row>
    <row r="180" spans="1:20" x14ac:dyDescent="0.3">
      <c r="A180">
        <v>1020</v>
      </c>
      <c r="B180" t="s">
        <v>310</v>
      </c>
      <c r="C180" t="s">
        <v>311</v>
      </c>
      <c r="D180" t="s">
        <v>312</v>
      </c>
      <c r="E180" t="s">
        <v>313</v>
      </c>
      <c r="F180" t="s">
        <v>314</v>
      </c>
      <c r="G180" t="s">
        <v>315</v>
      </c>
      <c r="H180" t="s">
        <v>22</v>
      </c>
      <c r="I180" t="s">
        <v>23</v>
      </c>
      <c r="J180" s="1">
        <v>206</v>
      </c>
      <c r="K180" s="1">
        <v>41.2</v>
      </c>
      <c r="L180" s="3">
        <v>5</v>
      </c>
      <c r="M180" t="s">
        <v>36</v>
      </c>
      <c r="N180" s="2">
        <v>44084</v>
      </c>
      <c r="O180" t="s">
        <v>37</v>
      </c>
      <c r="P180" t="s">
        <v>316</v>
      </c>
      <c r="Q180">
        <v>94105</v>
      </c>
      <c r="R180" t="s">
        <v>27</v>
      </c>
      <c r="S180" s="10">
        <v>11.774313521021323</v>
      </c>
      <c r="T180">
        <v>8</v>
      </c>
    </row>
    <row r="181" spans="1:20" x14ac:dyDescent="0.3">
      <c r="A181">
        <v>1994</v>
      </c>
      <c r="B181" t="s">
        <v>740</v>
      </c>
      <c r="C181" t="s">
        <v>466</v>
      </c>
      <c r="D181" t="s">
        <v>741</v>
      </c>
      <c r="E181" t="s">
        <v>742</v>
      </c>
      <c r="F181" t="s">
        <v>743</v>
      </c>
      <c r="G181" t="s">
        <v>744</v>
      </c>
      <c r="H181" t="s">
        <v>34</v>
      </c>
      <c r="I181" t="s">
        <v>65</v>
      </c>
      <c r="J181" s="1">
        <v>657</v>
      </c>
      <c r="K181" s="1">
        <v>43.8</v>
      </c>
      <c r="L181" s="3">
        <v>15</v>
      </c>
      <c r="M181" t="s">
        <v>36</v>
      </c>
      <c r="N181" s="2">
        <v>44084</v>
      </c>
      <c r="O181" t="s">
        <v>136</v>
      </c>
      <c r="P181" t="s">
        <v>745</v>
      </c>
      <c r="Q181">
        <v>61651</v>
      </c>
      <c r="R181" t="s">
        <v>27</v>
      </c>
      <c r="S181" s="10">
        <v>23.124398489475983</v>
      </c>
      <c r="T181">
        <v>25</v>
      </c>
    </row>
    <row r="182" spans="1:20" x14ac:dyDescent="0.3">
      <c r="A182">
        <v>1119</v>
      </c>
      <c r="B182" t="s">
        <v>746</v>
      </c>
      <c r="C182" t="s">
        <v>747</v>
      </c>
      <c r="D182" t="s">
        <v>748</v>
      </c>
      <c r="E182" t="s">
        <v>749</v>
      </c>
      <c r="F182" t="s">
        <v>750</v>
      </c>
      <c r="G182" t="s">
        <v>617</v>
      </c>
      <c r="H182" t="s">
        <v>34</v>
      </c>
      <c r="I182" t="s">
        <v>55</v>
      </c>
      <c r="J182" s="1">
        <v>918</v>
      </c>
      <c r="K182" s="1">
        <v>36.72</v>
      </c>
      <c r="L182" s="3">
        <v>25</v>
      </c>
      <c r="M182" t="s">
        <v>36</v>
      </c>
      <c r="N182" s="2">
        <v>44085</v>
      </c>
      <c r="O182" t="s">
        <v>67</v>
      </c>
      <c r="P182" t="s">
        <v>751</v>
      </c>
      <c r="Q182">
        <v>76004</v>
      </c>
      <c r="R182" t="s">
        <v>27</v>
      </c>
      <c r="S182" s="10">
        <v>42.608179381031441</v>
      </c>
      <c r="T182">
        <v>45</v>
      </c>
    </row>
    <row r="183" spans="1:20" x14ac:dyDescent="0.3">
      <c r="A183">
        <v>1120</v>
      </c>
      <c r="B183" t="s">
        <v>752</v>
      </c>
      <c r="C183" t="s">
        <v>730</v>
      </c>
      <c r="D183" t="s">
        <v>753</v>
      </c>
      <c r="E183" t="s">
        <v>754</v>
      </c>
      <c r="F183" t="s">
        <v>755</v>
      </c>
      <c r="G183" t="s">
        <v>756</v>
      </c>
      <c r="H183" t="s">
        <v>22</v>
      </c>
      <c r="I183" t="s">
        <v>55</v>
      </c>
      <c r="J183" s="1">
        <v>1000</v>
      </c>
      <c r="K183" s="1">
        <v>27.027027027027028</v>
      </c>
      <c r="L183" s="3">
        <v>37</v>
      </c>
      <c r="M183" t="s">
        <v>56</v>
      </c>
      <c r="N183" s="2">
        <v>44089</v>
      </c>
      <c r="O183" t="s">
        <v>83</v>
      </c>
      <c r="P183" t="s">
        <v>511</v>
      </c>
      <c r="Q183">
        <v>10125</v>
      </c>
      <c r="R183" t="s">
        <v>27</v>
      </c>
      <c r="S183" s="10">
        <v>74.239842587263183</v>
      </c>
      <c r="T183">
        <v>76</v>
      </c>
    </row>
    <row r="184" spans="1:20" x14ac:dyDescent="0.3">
      <c r="A184">
        <v>1234</v>
      </c>
      <c r="B184" t="s">
        <v>59</v>
      </c>
      <c r="C184" t="s">
        <v>60</v>
      </c>
      <c r="D184" t="s">
        <v>61</v>
      </c>
      <c r="E184" t="s">
        <v>62</v>
      </c>
      <c r="F184" t="s">
        <v>63</v>
      </c>
      <c r="G184" t="s">
        <v>64</v>
      </c>
      <c r="H184" t="s">
        <v>34</v>
      </c>
      <c r="I184" t="s">
        <v>65</v>
      </c>
      <c r="J184" s="1">
        <v>892</v>
      </c>
      <c r="K184" s="1">
        <v>42.476190476190474</v>
      </c>
      <c r="L184" s="3">
        <v>21</v>
      </c>
      <c r="M184" t="s">
        <v>66</v>
      </c>
      <c r="N184" s="2">
        <v>44090</v>
      </c>
      <c r="O184" t="s">
        <v>67</v>
      </c>
      <c r="P184" t="s">
        <v>68</v>
      </c>
      <c r="Q184">
        <v>78710</v>
      </c>
      <c r="R184" t="s">
        <v>27</v>
      </c>
      <c r="S184" s="10">
        <v>52.494020165617613</v>
      </c>
      <c r="T184">
        <v>44</v>
      </c>
    </row>
    <row r="185" spans="1:20" x14ac:dyDescent="0.3">
      <c r="A185">
        <v>1777</v>
      </c>
      <c r="B185" t="s">
        <v>642</v>
      </c>
      <c r="C185" t="s">
        <v>381</v>
      </c>
      <c r="D185" t="s">
        <v>757</v>
      </c>
      <c r="E185" t="s">
        <v>758</v>
      </c>
      <c r="F185" t="s">
        <v>717</v>
      </c>
      <c r="G185" t="s">
        <v>265</v>
      </c>
      <c r="H185" t="s">
        <v>22</v>
      </c>
      <c r="I185" t="s">
        <v>35</v>
      </c>
      <c r="J185" s="1">
        <v>840</v>
      </c>
      <c r="K185" s="1">
        <v>35</v>
      </c>
      <c r="L185" s="3">
        <v>24</v>
      </c>
      <c r="M185" t="s">
        <v>36</v>
      </c>
      <c r="N185" s="2">
        <v>44090</v>
      </c>
      <c r="O185" t="s">
        <v>109</v>
      </c>
      <c r="P185" t="s">
        <v>759</v>
      </c>
      <c r="Q185">
        <v>70883</v>
      </c>
      <c r="R185" t="s">
        <v>27</v>
      </c>
      <c r="S185" s="10">
        <v>35.433736560728178</v>
      </c>
      <c r="T185">
        <v>48</v>
      </c>
    </row>
    <row r="186" spans="1:20" x14ac:dyDescent="0.3">
      <c r="A186">
        <v>1081</v>
      </c>
      <c r="B186" t="s">
        <v>529</v>
      </c>
      <c r="C186" t="s">
        <v>530</v>
      </c>
      <c r="D186" t="s">
        <v>531</v>
      </c>
      <c r="E186" t="s">
        <v>532</v>
      </c>
      <c r="F186" t="s">
        <v>533</v>
      </c>
      <c r="G186" t="s">
        <v>495</v>
      </c>
      <c r="H186" t="s">
        <v>22</v>
      </c>
      <c r="I186" t="s">
        <v>55</v>
      </c>
      <c r="J186" s="1">
        <v>198</v>
      </c>
      <c r="K186" s="1">
        <v>33</v>
      </c>
      <c r="L186" s="3">
        <v>6</v>
      </c>
      <c r="M186" t="s">
        <v>447</v>
      </c>
      <c r="N186" s="2">
        <v>44092</v>
      </c>
      <c r="O186" t="s">
        <v>229</v>
      </c>
      <c r="P186" t="s">
        <v>534</v>
      </c>
      <c r="Q186">
        <v>45426</v>
      </c>
      <c r="R186" t="s">
        <v>27</v>
      </c>
      <c r="S186" s="10">
        <v>7.6052997580989645</v>
      </c>
      <c r="T186">
        <v>9</v>
      </c>
    </row>
    <row r="187" spans="1:20" x14ac:dyDescent="0.3">
      <c r="A187">
        <v>1730</v>
      </c>
      <c r="B187" t="s">
        <v>275</v>
      </c>
      <c r="C187" t="s">
        <v>214</v>
      </c>
      <c r="D187" t="s">
        <v>760</v>
      </c>
      <c r="E187" t="s">
        <v>761</v>
      </c>
      <c r="F187" t="s">
        <v>602</v>
      </c>
      <c r="G187" t="s">
        <v>333</v>
      </c>
      <c r="H187" t="s">
        <v>22</v>
      </c>
      <c r="I187" t="s">
        <v>366</v>
      </c>
      <c r="J187" s="1">
        <v>699</v>
      </c>
      <c r="K187" s="1">
        <v>36.789473684210527</v>
      </c>
      <c r="L187" s="3">
        <v>19</v>
      </c>
      <c r="M187" t="s">
        <v>36</v>
      </c>
      <c r="N187" s="2">
        <v>44093</v>
      </c>
      <c r="O187" t="s">
        <v>762</v>
      </c>
      <c r="P187" t="s">
        <v>763</v>
      </c>
      <c r="Q187">
        <v>99517</v>
      </c>
      <c r="R187" t="s">
        <v>27</v>
      </c>
      <c r="S187" s="10">
        <v>41.018887018308114</v>
      </c>
      <c r="T187">
        <v>39</v>
      </c>
    </row>
    <row r="188" spans="1:20" x14ac:dyDescent="0.3">
      <c r="A188">
        <v>1043</v>
      </c>
      <c r="B188" t="s">
        <v>102</v>
      </c>
      <c r="C188" t="s">
        <v>154</v>
      </c>
      <c r="D188" t="s">
        <v>547</v>
      </c>
      <c r="E188" t="s">
        <v>548</v>
      </c>
      <c r="F188" t="s">
        <v>549</v>
      </c>
      <c r="G188" t="s">
        <v>453</v>
      </c>
      <c r="H188" t="s">
        <v>34</v>
      </c>
      <c r="I188" t="s">
        <v>23</v>
      </c>
      <c r="J188" s="1">
        <v>649</v>
      </c>
      <c r="K188" s="1">
        <v>28.217391304347824</v>
      </c>
      <c r="L188" s="3">
        <v>23</v>
      </c>
      <c r="M188" t="s">
        <v>24</v>
      </c>
      <c r="N188" s="2">
        <v>44098</v>
      </c>
      <c r="O188" t="s">
        <v>300</v>
      </c>
      <c r="P188" t="s">
        <v>301</v>
      </c>
      <c r="Q188">
        <v>89140</v>
      </c>
      <c r="R188" t="s">
        <v>27</v>
      </c>
      <c r="S188" s="10">
        <v>53.288336446172615</v>
      </c>
      <c r="T188">
        <v>37</v>
      </c>
    </row>
    <row r="189" spans="1:20" x14ac:dyDescent="0.3">
      <c r="A189">
        <v>1234</v>
      </c>
      <c r="B189" t="s">
        <v>59</v>
      </c>
      <c r="C189" t="s">
        <v>60</v>
      </c>
      <c r="D189" t="s">
        <v>61</v>
      </c>
      <c r="E189" t="s">
        <v>62</v>
      </c>
      <c r="F189" t="s">
        <v>63</v>
      </c>
      <c r="G189" t="s">
        <v>64</v>
      </c>
      <c r="H189" t="s">
        <v>34</v>
      </c>
      <c r="I189" t="s">
        <v>65</v>
      </c>
      <c r="J189" s="1">
        <v>38</v>
      </c>
      <c r="K189" s="1">
        <v>38</v>
      </c>
      <c r="L189" s="3">
        <v>1</v>
      </c>
      <c r="M189" t="s">
        <v>66</v>
      </c>
      <c r="N189" s="2">
        <v>44098</v>
      </c>
      <c r="O189" t="s">
        <v>67</v>
      </c>
      <c r="P189" t="s">
        <v>68</v>
      </c>
      <c r="Q189">
        <v>78710</v>
      </c>
      <c r="R189" t="s">
        <v>27</v>
      </c>
      <c r="S189" s="10">
        <v>1.5273208893851042</v>
      </c>
      <c r="T189">
        <v>1</v>
      </c>
    </row>
    <row r="190" spans="1:20" x14ac:dyDescent="0.3">
      <c r="A190">
        <v>1019</v>
      </c>
      <c r="B190" t="s">
        <v>764</v>
      </c>
      <c r="C190" t="s">
        <v>374</v>
      </c>
      <c r="D190" t="s">
        <v>765</v>
      </c>
      <c r="E190" t="s">
        <v>766</v>
      </c>
      <c r="F190" t="s">
        <v>554</v>
      </c>
      <c r="G190" t="s">
        <v>298</v>
      </c>
      <c r="H190" t="s">
        <v>22</v>
      </c>
      <c r="I190" t="s">
        <v>23</v>
      </c>
      <c r="J190" s="1">
        <v>841</v>
      </c>
      <c r="K190" s="1">
        <v>42.05</v>
      </c>
      <c r="L190" s="3">
        <v>20</v>
      </c>
      <c r="M190" t="s">
        <v>66</v>
      </c>
      <c r="N190" s="2">
        <v>44099</v>
      </c>
      <c r="O190" t="s">
        <v>767</v>
      </c>
      <c r="P190" t="s">
        <v>768</v>
      </c>
      <c r="Q190">
        <v>83705</v>
      </c>
      <c r="R190" t="s">
        <v>27</v>
      </c>
      <c r="S190" s="10">
        <v>30.206908601827195</v>
      </c>
      <c r="T190">
        <v>41</v>
      </c>
    </row>
    <row r="191" spans="1:20" x14ac:dyDescent="0.3">
      <c r="A191">
        <v>1436</v>
      </c>
      <c r="B191" t="s">
        <v>294</v>
      </c>
      <c r="C191" t="s">
        <v>248</v>
      </c>
      <c r="D191" t="s">
        <v>295</v>
      </c>
      <c r="E191" t="s">
        <v>296</v>
      </c>
      <c r="F191" t="s">
        <v>297</v>
      </c>
      <c r="G191" t="s">
        <v>298</v>
      </c>
      <c r="H191" t="s">
        <v>22</v>
      </c>
      <c r="I191" t="s">
        <v>299</v>
      </c>
      <c r="J191" s="1">
        <v>952</v>
      </c>
      <c r="K191" s="1">
        <v>25.72972972972973</v>
      </c>
      <c r="L191" s="3">
        <v>37</v>
      </c>
      <c r="M191" t="s">
        <v>36</v>
      </c>
      <c r="N191" s="2">
        <v>44100</v>
      </c>
      <c r="O191" t="s">
        <v>300</v>
      </c>
      <c r="P191" t="s">
        <v>301</v>
      </c>
      <c r="Q191">
        <v>89145</v>
      </c>
      <c r="R191" t="s">
        <v>27</v>
      </c>
      <c r="S191" s="10">
        <v>84.031689058927654</v>
      </c>
      <c r="T191">
        <v>74</v>
      </c>
    </row>
    <row r="192" spans="1:20" x14ac:dyDescent="0.3">
      <c r="A192">
        <v>1880</v>
      </c>
      <c r="B192" t="s">
        <v>129</v>
      </c>
      <c r="C192" t="s">
        <v>130</v>
      </c>
      <c r="D192" t="s">
        <v>131</v>
      </c>
      <c r="E192" t="s">
        <v>132</v>
      </c>
      <c r="F192" t="s">
        <v>133</v>
      </c>
      <c r="G192" t="s">
        <v>134</v>
      </c>
      <c r="H192" t="s">
        <v>22</v>
      </c>
      <c r="I192" t="s">
        <v>135</v>
      </c>
      <c r="J192" s="1">
        <v>618</v>
      </c>
      <c r="K192" s="1">
        <v>44.142857142857146</v>
      </c>
      <c r="L192" s="3">
        <v>14</v>
      </c>
      <c r="M192" t="s">
        <v>36</v>
      </c>
      <c r="N192" s="2">
        <v>44100</v>
      </c>
      <c r="O192" t="s">
        <v>136</v>
      </c>
      <c r="P192" t="s">
        <v>137</v>
      </c>
      <c r="Q192">
        <v>60614</v>
      </c>
      <c r="R192" t="s">
        <v>27</v>
      </c>
      <c r="S192" s="10">
        <v>23.478106703804528</v>
      </c>
      <c r="T192">
        <v>25</v>
      </c>
    </row>
    <row r="193" spans="1:20" x14ac:dyDescent="0.3">
      <c r="A193">
        <v>1585</v>
      </c>
      <c r="B193" t="s">
        <v>535</v>
      </c>
      <c r="C193" t="s">
        <v>769</v>
      </c>
      <c r="D193" t="s">
        <v>770</v>
      </c>
      <c r="E193" t="s">
        <v>771</v>
      </c>
      <c r="F193" t="s">
        <v>772</v>
      </c>
      <c r="G193" t="s">
        <v>385</v>
      </c>
      <c r="H193" t="s">
        <v>22</v>
      </c>
      <c r="I193" t="s">
        <v>299</v>
      </c>
      <c r="J193" s="1">
        <v>345</v>
      </c>
      <c r="K193" s="1">
        <v>31.363636363636363</v>
      </c>
      <c r="L193" s="3">
        <v>11</v>
      </c>
      <c r="M193" t="s">
        <v>36</v>
      </c>
      <c r="N193" s="2">
        <v>44101</v>
      </c>
      <c r="O193" t="s">
        <v>300</v>
      </c>
      <c r="P193" t="s">
        <v>773</v>
      </c>
      <c r="Q193">
        <v>89714</v>
      </c>
      <c r="R193" t="s">
        <v>27</v>
      </c>
      <c r="S193" s="10">
        <v>19.072694142467832</v>
      </c>
      <c r="T193">
        <v>15</v>
      </c>
    </row>
    <row r="194" spans="1:20" x14ac:dyDescent="0.3">
      <c r="A194">
        <v>1999</v>
      </c>
      <c r="B194" t="s">
        <v>412</v>
      </c>
      <c r="C194" t="s">
        <v>17</v>
      </c>
      <c r="D194" t="s">
        <v>413</v>
      </c>
      <c r="E194" t="s">
        <v>414</v>
      </c>
      <c r="F194" t="s">
        <v>415</v>
      </c>
      <c r="G194" t="s">
        <v>350</v>
      </c>
      <c r="H194" t="s">
        <v>34</v>
      </c>
      <c r="I194" t="s">
        <v>266</v>
      </c>
      <c r="J194" s="1">
        <v>488</v>
      </c>
      <c r="K194" s="1">
        <v>25.684210526315791</v>
      </c>
      <c r="L194" s="3">
        <v>19</v>
      </c>
      <c r="M194" t="s">
        <v>36</v>
      </c>
      <c r="N194" s="2">
        <v>44101</v>
      </c>
      <c r="O194" t="s">
        <v>57</v>
      </c>
      <c r="P194" t="s">
        <v>416</v>
      </c>
      <c r="Q194">
        <v>31914</v>
      </c>
      <c r="R194" t="s">
        <v>27</v>
      </c>
      <c r="S194" s="10">
        <v>29.680889304088495</v>
      </c>
      <c r="T194">
        <v>35</v>
      </c>
    </row>
    <row r="195" spans="1:20" x14ac:dyDescent="0.3">
      <c r="A195">
        <v>1234</v>
      </c>
      <c r="B195" t="s">
        <v>59</v>
      </c>
      <c r="C195" t="s">
        <v>60</v>
      </c>
      <c r="D195" t="s">
        <v>61</v>
      </c>
      <c r="E195" t="s">
        <v>62</v>
      </c>
      <c r="F195" t="s">
        <v>63</v>
      </c>
      <c r="G195" t="s">
        <v>64</v>
      </c>
      <c r="H195" t="s">
        <v>34</v>
      </c>
      <c r="I195" t="s">
        <v>65</v>
      </c>
      <c r="J195" s="1">
        <v>49</v>
      </c>
      <c r="K195" s="1">
        <v>49</v>
      </c>
      <c r="L195" s="3">
        <v>1</v>
      </c>
      <c r="M195" t="s">
        <v>66</v>
      </c>
      <c r="N195" s="2">
        <v>44102</v>
      </c>
      <c r="O195" t="s">
        <v>67</v>
      </c>
      <c r="P195" t="s">
        <v>68</v>
      </c>
      <c r="Q195">
        <v>78710</v>
      </c>
      <c r="R195" t="s">
        <v>27</v>
      </c>
      <c r="S195" s="10">
        <v>2.2150505049358009</v>
      </c>
      <c r="T195">
        <v>1</v>
      </c>
    </row>
    <row r="196" spans="1:20" x14ac:dyDescent="0.3">
      <c r="A196">
        <v>1937</v>
      </c>
      <c r="B196" t="s">
        <v>28</v>
      </c>
      <c r="C196" t="s">
        <v>714</v>
      </c>
      <c r="D196" t="s">
        <v>774</v>
      </c>
      <c r="E196" t="s">
        <v>775</v>
      </c>
      <c r="F196" t="s">
        <v>554</v>
      </c>
      <c r="G196" t="s">
        <v>739</v>
      </c>
      <c r="H196" t="s">
        <v>34</v>
      </c>
      <c r="I196" t="s">
        <v>98</v>
      </c>
      <c r="J196" s="1">
        <v>435</v>
      </c>
      <c r="K196" s="1">
        <v>27.1875</v>
      </c>
      <c r="L196" s="3">
        <v>16</v>
      </c>
      <c r="M196" t="s">
        <v>56</v>
      </c>
      <c r="N196" s="2">
        <v>44102</v>
      </c>
      <c r="O196" t="s">
        <v>470</v>
      </c>
      <c r="P196" t="s">
        <v>358</v>
      </c>
      <c r="Q196">
        <v>20231</v>
      </c>
      <c r="R196" t="s">
        <v>27</v>
      </c>
      <c r="S196" s="10">
        <v>23.998655566369553</v>
      </c>
      <c r="T196">
        <v>24</v>
      </c>
    </row>
    <row r="197" spans="1:20" x14ac:dyDescent="0.3">
      <c r="A197">
        <v>1365</v>
      </c>
      <c r="B197" t="s">
        <v>471</v>
      </c>
      <c r="C197" t="s">
        <v>472</v>
      </c>
      <c r="D197" t="s">
        <v>473</v>
      </c>
      <c r="E197" t="s">
        <v>474</v>
      </c>
      <c r="F197" t="s">
        <v>475</v>
      </c>
      <c r="G197" t="s">
        <v>476</v>
      </c>
      <c r="H197" t="s">
        <v>34</v>
      </c>
      <c r="I197" t="s">
        <v>55</v>
      </c>
      <c r="J197" s="1">
        <v>63</v>
      </c>
      <c r="K197" s="1">
        <v>31.5</v>
      </c>
      <c r="L197" s="3">
        <v>2</v>
      </c>
      <c r="M197" t="s">
        <v>66</v>
      </c>
      <c r="N197" s="2">
        <v>44103</v>
      </c>
      <c r="O197" t="s">
        <v>267</v>
      </c>
      <c r="P197" t="s">
        <v>477</v>
      </c>
      <c r="Q197">
        <v>33261</v>
      </c>
      <c r="R197" t="s">
        <v>27</v>
      </c>
      <c r="S197" s="10">
        <v>4.1778361118640461</v>
      </c>
      <c r="T197">
        <v>4</v>
      </c>
    </row>
    <row r="198" spans="1:20" x14ac:dyDescent="0.3">
      <c r="A198">
        <v>1646</v>
      </c>
      <c r="B198" t="s">
        <v>776</v>
      </c>
      <c r="C198" t="s">
        <v>777</v>
      </c>
      <c r="D198" t="s">
        <v>778</v>
      </c>
      <c r="E198" t="s">
        <v>779</v>
      </c>
      <c r="F198" t="s">
        <v>780</v>
      </c>
      <c r="G198" t="s">
        <v>781</v>
      </c>
      <c r="H198" t="s">
        <v>22</v>
      </c>
      <c r="I198" t="s">
        <v>23</v>
      </c>
      <c r="J198" s="1">
        <v>537</v>
      </c>
      <c r="K198" s="1">
        <v>41.307692307692307</v>
      </c>
      <c r="L198" s="3">
        <v>13</v>
      </c>
      <c r="M198" t="s">
        <v>36</v>
      </c>
      <c r="N198" s="2">
        <v>44106</v>
      </c>
      <c r="O198" t="s">
        <v>67</v>
      </c>
      <c r="P198" t="s">
        <v>782</v>
      </c>
      <c r="Q198">
        <v>79769</v>
      </c>
      <c r="R198" t="s">
        <v>27</v>
      </c>
      <c r="S198" s="10">
        <v>23.639992746325383</v>
      </c>
      <c r="T198">
        <v>27</v>
      </c>
    </row>
    <row r="199" spans="1:20" x14ac:dyDescent="0.3">
      <c r="A199">
        <v>1783</v>
      </c>
      <c r="B199" t="s">
        <v>302</v>
      </c>
      <c r="C199" t="s">
        <v>303</v>
      </c>
      <c r="D199" t="s">
        <v>304</v>
      </c>
      <c r="E199" t="s">
        <v>305</v>
      </c>
      <c r="F199" t="s">
        <v>306</v>
      </c>
      <c r="G199" t="s">
        <v>307</v>
      </c>
      <c r="H199" t="s">
        <v>34</v>
      </c>
      <c r="I199" t="s">
        <v>35</v>
      </c>
      <c r="J199" s="1">
        <v>953</v>
      </c>
      <c r="K199" s="1">
        <v>32.862068965517238</v>
      </c>
      <c r="L199" s="3">
        <v>29</v>
      </c>
      <c r="M199" t="s">
        <v>244</v>
      </c>
      <c r="N199" s="2">
        <v>44107</v>
      </c>
      <c r="O199" t="s">
        <v>308</v>
      </c>
      <c r="P199" t="s">
        <v>309</v>
      </c>
      <c r="Q199">
        <v>85715</v>
      </c>
      <c r="R199" t="s">
        <v>27</v>
      </c>
      <c r="S199" s="10">
        <v>71.953724715168278</v>
      </c>
      <c r="T199">
        <v>47</v>
      </c>
    </row>
    <row r="200" spans="1:20" x14ac:dyDescent="0.3">
      <c r="A200">
        <v>1020</v>
      </c>
      <c r="B200" t="s">
        <v>310</v>
      </c>
      <c r="C200" t="s">
        <v>311</v>
      </c>
      <c r="D200" t="s">
        <v>312</v>
      </c>
      <c r="E200" t="s">
        <v>313</v>
      </c>
      <c r="F200" t="s">
        <v>314</v>
      </c>
      <c r="G200" t="s">
        <v>315</v>
      </c>
      <c r="H200" t="s">
        <v>22</v>
      </c>
      <c r="I200" t="s">
        <v>23</v>
      </c>
      <c r="J200" s="1">
        <v>679</v>
      </c>
      <c r="K200" s="1">
        <v>32.333333333333336</v>
      </c>
      <c r="L200" s="3">
        <v>21</v>
      </c>
      <c r="M200" t="s">
        <v>36</v>
      </c>
      <c r="N200" s="2">
        <v>44110</v>
      </c>
      <c r="O200" t="s">
        <v>37</v>
      </c>
      <c r="P200" t="s">
        <v>316</v>
      </c>
      <c r="Q200">
        <v>94105</v>
      </c>
      <c r="R200" t="s">
        <v>27</v>
      </c>
      <c r="S200" s="10">
        <v>44.808168793688331</v>
      </c>
      <c r="T200">
        <v>47</v>
      </c>
    </row>
    <row r="201" spans="1:20" x14ac:dyDescent="0.3">
      <c r="A201">
        <v>1539</v>
      </c>
      <c r="B201" t="s">
        <v>556</v>
      </c>
      <c r="C201" t="s">
        <v>783</v>
      </c>
      <c r="D201" t="s">
        <v>784</v>
      </c>
      <c r="E201" t="s">
        <v>785</v>
      </c>
      <c r="F201" t="s">
        <v>185</v>
      </c>
      <c r="G201" t="s">
        <v>739</v>
      </c>
      <c r="H201" t="s">
        <v>34</v>
      </c>
      <c r="I201" t="s">
        <v>228</v>
      </c>
      <c r="J201" s="1">
        <v>140</v>
      </c>
      <c r="K201" s="1">
        <v>35</v>
      </c>
      <c r="L201" s="3">
        <v>4</v>
      </c>
      <c r="M201" t="s">
        <v>56</v>
      </c>
      <c r="N201" s="2">
        <v>44112</v>
      </c>
      <c r="O201" t="s">
        <v>67</v>
      </c>
      <c r="P201" t="s">
        <v>786</v>
      </c>
      <c r="Q201">
        <v>77343</v>
      </c>
      <c r="R201" t="s">
        <v>27</v>
      </c>
      <c r="S201" s="10">
        <v>7.3417791939110995</v>
      </c>
      <c r="T201">
        <v>7</v>
      </c>
    </row>
    <row r="202" spans="1:20" x14ac:dyDescent="0.3">
      <c r="A202">
        <v>1017</v>
      </c>
      <c r="B202" t="s">
        <v>660</v>
      </c>
      <c r="C202" t="s">
        <v>679</v>
      </c>
      <c r="D202" t="s">
        <v>680</v>
      </c>
      <c r="E202" t="s">
        <v>681</v>
      </c>
      <c r="F202" t="s">
        <v>682</v>
      </c>
      <c r="G202" t="s">
        <v>446</v>
      </c>
      <c r="H202" t="s">
        <v>22</v>
      </c>
      <c r="I202" t="s">
        <v>23</v>
      </c>
      <c r="J202" s="1">
        <v>23</v>
      </c>
      <c r="K202" s="1">
        <v>23</v>
      </c>
      <c r="L202" s="3">
        <v>1</v>
      </c>
      <c r="M202" t="s">
        <v>36</v>
      </c>
      <c r="N202" s="2">
        <v>44114</v>
      </c>
      <c r="O202" t="s">
        <v>136</v>
      </c>
      <c r="P202" t="s">
        <v>137</v>
      </c>
      <c r="Q202">
        <v>60663</v>
      </c>
      <c r="R202" t="s">
        <v>27</v>
      </c>
      <c r="S202" s="10">
        <v>1.3567687298057007</v>
      </c>
      <c r="T202">
        <v>2</v>
      </c>
    </row>
    <row r="203" spans="1:20" x14ac:dyDescent="0.3">
      <c r="A203">
        <v>1928</v>
      </c>
      <c r="B203" t="s">
        <v>59</v>
      </c>
      <c r="C203" t="s">
        <v>472</v>
      </c>
      <c r="D203" t="s">
        <v>787</v>
      </c>
      <c r="E203" t="s">
        <v>788</v>
      </c>
      <c r="F203" t="s">
        <v>789</v>
      </c>
      <c r="G203" t="s">
        <v>790</v>
      </c>
      <c r="H203" t="s">
        <v>34</v>
      </c>
      <c r="I203" t="s">
        <v>266</v>
      </c>
      <c r="J203" s="1">
        <v>778</v>
      </c>
      <c r="K203" s="1">
        <v>43.222222222222221</v>
      </c>
      <c r="L203" s="3">
        <v>18</v>
      </c>
      <c r="M203" t="s">
        <v>447</v>
      </c>
      <c r="N203" s="2">
        <v>44114</v>
      </c>
      <c r="O203" t="s">
        <v>57</v>
      </c>
      <c r="P203" t="s">
        <v>791</v>
      </c>
      <c r="Q203">
        <v>30336</v>
      </c>
      <c r="R203" t="s">
        <v>27</v>
      </c>
      <c r="S203" s="10">
        <v>35.037189265851246</v>
      </c>
      <c r="T203">
        <v>35</v>
      </c>
    </row>
    <row r="204" spans="1:20" x14ac:dyDescent="0.3">
      <c r="A204">
        <v>1677</v>
      </c>
      <c r="B204" t="s">
        <v>302</v>
      </c>
      <c r="C204" t="s">
        <v>281</v>
      </c>
      <c r="D204" t="s">
        <v>792</v>
      </c>
      <c r="E204" t="s">
        <v>793</v>
      </c>
      <c r="F204" t="s">
        <v>320</v>
      </c>
      <c r="G204" t="s">
        <v>116</v>
      </c>
      <c r="H204" t="s">
        <v>34</v>
      </c>
      <c r="I204" t="s">
        <v>23</v>
      </c>
      <c r="J204" s="1">
        <v>685</v>
      </c>
      <c r="K204" s="1">
        <v>40.294117647058826</v>
      </c>
      <c r="L204" s="3">
        <v>17</v>
      </c>
      <c r="M204" t="s">
        <v>343</v>
      </c>
      <c r="N204" s="2">
        <v>44116</v>
      </c>
      <c r="O204" t="s">
        <v>267</v>
      </c>
      <c r="P204" t="s">
        <v>641</v>
      </c>
      <c r="Q204">
        <v>33605</v>
      </c>
      <c r="R204" t="s">
        <v>27</v>
      </c>
      <c r="S204" s="10">
        <v>24.522769268643351</v>
      </c>
      <c r="T204">
        <v>28</v>
      </c>
    </row>
    <row r="205" spans="1:20" x14ac:dyDescent="0.3">
      <c r="A205">
        <v>1068</v>
      </c>
      <c r="B205" t="s">
        <v>794</v>
      </c>
      <c r="C205" t="s">
        <v>795</v>
      </c>
      <c r="D205" t="s">
        <v>796</v>
      </c>
      <c r="E205" t="s">
        <v>797</v>
      </c>
      <c r="F205" t="s">
        <v>560</v>
      </c>
      <c r="G205" t="s">
        <v>701</v>
      </c>
      <c r="H205" t="s">
        <v>22</v>
      </c>
      <c r="I205" t="s">
        <v>55</v>
      </c>
      <c r="J205" s="1">
        <v>147</v>
      </c>
      <c r="K205" s="1">
        <v>36.75</v>
      </c>
      <c r="L205" s="3">
        <v>4</v>
      </c>
      <c r="M205" t="s">
        <v>36</v>
      </c>
      <c r="N205" s="2">
        <v>44120</v>
      </c>
      <c r="O205" t="s">
        <v>623</v>
      </c>
      <c r="P205" t="s">
        <v>798</v>
      </c>
      <c r="Q205">
        <v>66606</v>
      </c>
      <c r="R205" t="s">
        <v>27</v>
      </c>
      <c r="S205" s="10">
        <v>5.4913641039620478</v>
      </c>
      <c r="T205">
        <v>5</v>
      </c>
    </row>
    <row r="206" spans="1:20" x14ac:dyDescent="0.3">
      <c r="A206">
        <v>1468</v>
      </c>
      <c r="B206" t="s">
        <v>380</v>
      </c>
      <c r="C206" t="s">
        <v>381</v>
      </c>
      <c r="D206" t="s">
        <v>382</v>
      </c>
      <c r="E206" t="s">
        <v>383</v>
      </c>
      <c r="F206" t="s">
        <v>384</v>
      </c>
      <c r="G206" t="s">
        <v>385</v>
      </c>
      <c r="H206" t="s">
        <v>22</v>
      </c>
      <c r="I206" t="s">
        <v>65</v>
      </c>
      <c r="J206" s="1">
        <v>580</v>
      </c>
      <c r="K206" s="1">
        <v>36.25</v>
      </c>
      <c r="L206" s="3">
        <v>16</v>
      </c>
      <c r="M206" t="s">
        <v>46</v>
      </c>
      <c r="N206" s="2">
        <v>44121</v>
      </c>
      <c r="O206" t="s">
        <v>109</v>
      </c>
      <c r="P206" t="s">
        <v>386</v>
      </c>
      <c r="Q206">
        <v>70116</v>
      </c>
      <c r="R206" t="s">
        <v>27</v>
      </c>
      <c r="S206" s="10">
        <v>21.543576736995668</v>
      </c>
      <c r="T206">
        <v>29</v>
      </c>
    </row>
    <row r="207" spans="1:20" x14ac:dyDescent="0.3">
      <c r="A207">
        <v>1551</v>
      </c>
      <c r="B207" t="s">
        <v>776</v>
      </c>
      <c r="C207" t="s">
        <v>571</v>
      </c>
      <c r="D207" t="s">
        <v>799</v>
      </c>
      <c r="E207" t="s">
        <v>800</v>
      </c>
      <c r="F207" t="s">
        <v>801</v>
      </c>
      <c r="G207" t="s">
        <v>64</v>
      </c>
      <c r="H207" t="s">
        <v>22</v>
      </c>
      <c r="I207" t="s">
        <v>135</v>
      </c>
      <c r="J207" s="1">
        <v>635</v>
      </c>
      <c r="K207" s="1">
        <v>37.352941176470587</v>
      </c>
      <c r="L207" s="3">
        <v>17</v>
      </c>
      <c r="M207" t="s">
        <v>24</v>
      </c>
      <c r="N207" s="2">
        <v>44123</v>
      </c>
      <c r="O207" t="s">
        <v>220</v>
      </c>
      <c r="P207" t="s">
        <v>328</v>
      </c>
      <c r="Q207">
        <v>47747</v>
      </c>
      <c r="R207" t="s">
        <v>27</v>
      </c>
      <c r="S207" s="10">
        <v>29.322719164582704</v>
      </c>
      <c r="T207">
        <v>24</v>
      </c>
    </row>
    <row r="208" spans="1:20" x14ac:dyDescent="0.3">
      <c r="A208">
        <v>1020</v>
      </c>
      <c r="B208" t="s">
        <v>310</v>
      </c>
      <c r="C208" t="s">
        <v>311</v>
      </c>
      <c r="D208" t="s">
        <v>312</v>
      </c>
      <c r="E208" t="s">
        <v>313</v>
      </c>
      <c r="F208" t="s">
        <v>314</v>
      </c>
      <c r="G208" t="s">
        <v>315</v>
      </c>
      <c r="H208" t="s">
        <v>22</v>
      </c>
      <c r="I208" t="s">
        <v>23</v>
      </c>
      <c r="J208" s="1">
        <v>835</v>
      </c>
      <c r="K208" s="1">
        <v>41.75</v>
      </c>
      <c r="L208" s="3">
        <v>20</v>
      </c>
      <c r="M208" t="s">
        <v>36</v>
      </c>
      <c r="N208" s="2">
        <v>44124</v>
      </c>
      <c r="O208" t="s">
        <v>37</v>
      </c>
      <c r="P208" t="s">
        <v>316</v>
      </c>
      <c r="Q208">
        <v>94105</v>
      </c>
      <c r="R208" t="s">
        <v>27</v>
      </c>
      <c r="S208" s="10">
        <v>48.40654246580538</v>
      </c>
      <c r="T208">
        <v>47</v>
      </c>
    </row>
    <row r="209" spans="1:20" x14ac:dyDescent="0.3">
      <c r="A209">
        <v>1771</v>
      </c>
      <c r="B209" t="s">
        <v>802</v>
      </c>
      <c r="C209" t="s">
        <v>803</v>
      </c>
      <c r="D209" t="s">
        <v>804</v>
      </c>
      <c r="E209" t="s">
        <v>805</v>
      </c>
      <c r="F209" t="s">
        <v>264</v>
      </c>
      <c r="G209" t="s">
        <v>806</v>
      </c>
      <c r="H209" t="s">
        <v>34</v>
      </c>
      <c r="I209" t="s">
        <v>35</v>
      </c>
      <c r="J209" s="1">
        <v>56</v>
      </c>
      <c r="K209" s="1">
        <v>28</v>
      </c>
      <c r="L209" s="3">
        <v>2</v>
      </c>
      <c r="M209" t="s">
        <v>36</v>
      </c>
      <c r="N209" s="2">
        <v>44124</v>
      </c>
      <c r="O209" t="s">
        <v>67</v>
      </c>
      <c r="P209" t="s">
        <v>68</v>
      </c>
      <c r="Q209">
        <v>78764</v>
      </c>
      <c r="R209" t="s">
        <v>27</v>
      </c>
      <c r="S209" s="10">
        <v>4.6917534818660132</v>
      </c>
      <c r="T209">
        <v>2</v>
      </c>
    </row>
    <row r="210" spans="1:20" x14ac:dyDescent="0.3">
      <c r="A210">
        <v>1092</v>
      </c>
      <c r="B210" t="s">
        <v>518</v>
      </c>
      <c r="C210" t="s">
        <v>519</v>
      </c>
      <c r="D210" t="s">
        <v>520</v>
      </c>
      <c r="E210" t="s">
        <v>521</v>
      </c>
      <c r="F210" t="s">
        <v>522</v>
      </c>
      <c r="G210" t="s">
        <v>523</v>
      </c>
      <c r="H210" t="s">
        <v>22</v>
      </c>
      <c r="I210" t="s">
        <v>55</v>
      </c>
      <c r="J210" s="1">
        <v>214</v>
      </c>
      <c r="K210" s="1">
        <v>42.8</v>
      </c>
      <c r="L210" s="3">
        <v>5</v>
      </c>
      <c r="M210" t="s">
        <v>343</v>
      </c>
      <c r="N210" s="2">
        <v>44125</v>
      </c>
      <c r="O210" t="s">
        <v>267</v>
      </c>
      <c r="P210" t="s">
        <v>524</v>
      </c>
      <c r="Q210">
        <v>34233</v>
      </c>
      <c r="R210" t="s">
        <v>27</v>
      </c>
      <c r="S210" s="10">
        <v>9.1204636766705391</v>
      </c>
      <c r="T210">
        <v>6</v>
      </c>
    </row>
    <row r="211" spans="1:20" x14ac:dyDescent="0.3">
      <c r="A211">
        <v>1144</v>
      </c>
      <c r="B211" t="s">
        <v>776</v>
      </c>
      <c r="C211" t="s">
        <v>747</v>
      </c>
      <c r="D211" t="s">
        <v>807</v>
      </c>
      <c r="E211" t="s">
        <v>808</v>
      </c>
      <c r="F211" t="s">
        <v>235</v>
      </c>
      <c r="G211" t="s">
        <v>677</v>
      </c>
      <c r="H211" t="s">
        <v>22</v>
      </c>
      <c r="I211" t="s">
        <v>35</v>
      </c>
      <c r="J211" s="1">
        <v>673</v>
      </c>
      <c r="K211" s="1">
        <v>33.65</v>
      </c>
      <c r="L211" s="3">
        <v>20</v>
      </c>
      <c r="M211" t="s">
        <v>66</v>
      </c>
      <c r="N211" s="2">
        <v>44126</v>
      </c>
      <c r="O211" t="s">
        <v>83</v>
      </c>
      <c r="P211" t="s">
        <v>809</v>
      </c>
      <c r="Q211">
        <v>11355</v>
      </c>
      <c r="R211" t="s">
        <v>27</v>
      </c>
      <c r="S211" s="10">
        <v>31.685771429969339</v>
      </c>
      <c r="T211">
        <v>41</v>
      </c>
    </row>
    <row r="212" spans="1:20" x14ac:dyDescent="0.3">
      <c r="A212">
        <v>1170</v>
      </c>
      <c r="B212" t="s">
        <v>153</v>
      </c>
      <c r="C212" t="s">
        <v>154</v>
      </c>
      <c r="D212" t="s">
        <v>155</v>
      </c>
      <c r="E212" t="s">
        <v>156</v>
      </c>
      <c r="F212" t="s">
        <v>157</v>
      </c>
      <c r="G212" t="s">
        <v>158</v>
      </c>
      <c r="H212" t="s">
        <v>34</v>
      </c>
      <c r="I212" t="s">
        <v>65</v>
      </c>
      <c r="J212" s="1">
        <v>1000</v>
      </c>
      <c r="K212" s="1">
        <v>34.482758620689658</v>
      </c>
      <c r="L212" s="3">
        <v>29</v>
      </c>
      <c r="M212" t="s">
        <v>24</v>
      </c>
      <c r="N212" s="2">
        <v>44126</v>
      </c>
      <c r="O212" t="s">
        <v>67</v>
      </c>
      <c r="P212" t="s">
        <v>159</v>
      </c>
      <c r="Q212">
        <v>88574</v>
      </c>
      <c r="R212" t="s">
        <v>27</v>
      </c>
      <c r="S212" s="10">
        <v>58.128076701844947</v>
      </c>
      <c r="T212">
        <v>48</v>
      </c>
    </row>
    <row r="213" spans="1:20" x14ac:dyDescent="0.3">
      <c r="A213">
        <v>1851</v>
      </c>
      <c r="B213" t="s">
        <v>604</v>
      </c>
      <c r="C213" t="s">
        <v>358</v>
      </c>
      <c r="D213" t="s">
        <v>605</v>
      </c>
      <c r="E213" t="s">
        <v>606</v>
      </c>
      <c r="F213" t="s">
        <v>607</v>
      </c>
      <c r="G213" t="s">
        <v>194</v>
      </c>
      <c r="H213" t="s">
        <v>22</v>
      </c>
      <c r="I213" t="s">
        <v>65</v>
      </c>
      <c r="J213" s="1">
        <v>183</v>
      </c>
      <c r="K213" s="1">
        <v>36.6</v>
      </c>
      <c r="L213" s="3">
        <v>5</v>
      </c>
      <c r="M213" t="s">
        <v>343</v>
      </c>
      <c r="N213" s="2">
        <v>44126</v>
      </c>
      <c r="O213" t="s">
        <v>83</v>
      </c>
      <c r="P213" t="s">
        <v>351</v>
      </c>
      <c r="Q213">
        <v>11210</v>
      </c>
      <c r="R213" t="s">
        <v>27</v>
      </c>
      <c r="S213" s="10">
        <v>10.490350769030508</v>
      </c>
      <c r="T213">
        <v>10</v>
      </c>
    </row>
    <row r="214" spans="1:20" x14ac:dyDescent="0.3">
      <c r="A214">
        <v>1020</v>
      </c>
      <c r="B214" t="s">
        <v>310</v>
      </c>
      <c r="C214" t="s">
        <v>311</v>
      </c>
      <c r="D214" t="s">
        <v>312</v>
      </c>
      <c r="E214" t="s">
        <v>313</v>
      </c>
      <c r="F214" t="s">
        <v>314</v>
      </c>
      <c r="G214" t="s">
        <v>315</v>
      </c>
      <c r="H214" t="s">
        <v>22</v>
      </c>
      <c r="I214" t="s">
        <v>23</v>
      </c>
      <c r="J214" s="1">
        <v>253</v>
      </c>
      <c r="K214" s="1">
        <v>36.142857142857146</v>
      </c>
      <c r="L214" s="3">
        <v>7</v>
      </c>
      <c r="M214" t="s">
        <v>36</v>
      </c>
      <c r="N214" s="2">
        <v>44128</v>
      </c>
      <c r="O214" t="s">
        <v>37</v>
      </c>
      <c r="P214" t="s">
        <v>316</v>
      </c>
      <c r="Q214">
        <v>94105</v>
      </c>
      <c r="R214" t="s">
        <v>27</v>
      </c>
      <c r="S214" s="10">
        <v>16.737394756447969</v>
      </c>
      <c r="T214">
        <v>11</v>
      </c>
    </row>
    <row r="215" spans="1:20" x14ac:dyDescent="0.3">
      <c r="A215">
        <v>1434</v>
      </c>
      <c r="B215" t="s">
        <v>380</v>
      </c>
      <c r="C215" t="s">
        <v>449</v>
      </c>
      <c r="D215" t="s">
        <v>450</v>
      </c>
      <c r="E215" t="s">
        <v>451</v>
      </c>
      <c r="F215" t="s">
        <v>452</v>
      </c>
      <c r="G215" t="s">
        <v>453</v>
      </c>
      <c r="H215" t="s">
        <v>22</v>
      </c>
      <c r="I215" t="s">
        <v>35</v>
      </c>
      <c r="J215" s="1">
        <v>957</v>
      </c>
      <c r="K215" s="1">
        <v>29</v>
      </c>
      <c r="L215" s="3">
        <v>33</v>
      </c>
      <c r="M215" t="s">
        <v>36</v>
      </c>
      <c r="N215" s="2">
        <v>44128</v>
      </c>
      <c r="O215" t="s">
        <v>118</v>
      </c>
      <c r="P215" t="s">
        <v>454</v>
      </c>
      <c r="Q215">
        <v>55436</v>
      </c>
      <c r="R215" t="s">
        <v>27</v>
      </c>
      <c r="S215" s="10">
        <v>73.365854603972878</v>
      </c>
      <c r="T215">
        <v>68</v>
      </c>
    </row>
    <row r="216" spans="1:20" x14ac:dyDescent="0.3">
      <c r="A216">
        <v>1851</v>
      </c>
      <c r="B216" t="s">
        <v>604</v>
      </c>
      <c r="C216" t="s">
        <v>358</v>
      </c>
      <c r="D216" t="s">
        <v>605</v>
      </c>
      <c r="E216" t="s">
        <v>606</v>
      </c>
      <c r="F216" t="s">
        <v>607</v>
      </c>
      <c r="G216" t="s">
        <v>194</v>
      </c>
      <c r="H216" t="s">
        <v>22</v>
      </c>
      <c r="I216" t="s">
        <v>65</v>
      </c>
      <c r="J216" s="1">
        <v>330</v>
      </c>
      <c r="K216" s="1">
        <v>27.5</v>
      </c>
      <c r="L216" s="3">
        <v>12</v>
      </c>
      <c r="M216" t="s">
        <v>343</v>
      </c>
      <c r="N216" s="2">
        <v>44128</v>
      </c>
      <c r="O216" t="s">
        <v>83</v>
      </c>
      <c r="P216" t="s">
        <v>351</v>
      </c>
      <c r="Q216">
        <v>11210</v>
      </c>
      <c r="R216" t="s">
        <v>27</v>
      </c>
      <c r="S216" s="10">
        <v>16.368487693304012</v>
      </c>
      <c r="T216">
        <v>16</v>
      </c>
    </row>
    <row r="217" spans="1:20" x14ac:dyDescent="0.3">
      <c r="A217">
        <v>1972</v>
      </c>
      <c r="B217" t="s">
        <v>810</v>
      </c>
      <c r="C217" t="s">
        <v>811</v>
      </c>
      <c r="D217" t="s">
        <v>812</v>
      </c>
      <c r="E217" t="s">
        <v>813</v>
      </c>
      <c r="F217" t="s">
        <v>814</v>
      </c>
      <c r="G217" t="s">
        <v>378</v>
      </c>
      <c r="H217" t="s">
        <v>34</v>
      </c>
      <c r="I217" t="s">
        <v>228</v>
      </c>
      <c r="J217" s="1">
        <v>224</v>
      </c>
      <c r="K217" s="1">
        <v>32</v>
      </c>
      <c r="L217" s="3">
        <v>7</v>
      </c>
      <c r="M217" t="s">
        <v>66</v>
      </c>
      <c r="N217" s="2">
        <v>44128</v>
      </c>
      <c r="O217" t="s">
        <v>211</v>
      </c>
      <c r="P217" t="s">
        <v>212</v>
      </c>
      <c r="Q217">
        <v>68524</v>
      </c>
      <c r="R217" t="s">
        <v>27</v>
      </c>
      <c r="S217" s="10">
        <v>11.192537203145465</v>
      </c>
      <c r="T217">
        <v>15</v>
      </c>
    </row>
    <row r="218" spans="1:20" x14ac:dyDescent="0.3">
      <c r="A218">
        <v>1365</v>
      </c>
      <c r="B218" t="s">
        <v>471</v>
      </c>
      <c r="C218" t="s">
        <v>472</v>
      </c>
      <c r="D218" t="s">
        <v>473</v>
      </c>
      <c r="E218" t="s">
        <v>474</v>
      </c>
      <c r="F218" t="s">
        <v>475</v>
      </c>
      <c r="G218" t="s">
        <v>476</v>
      </c>
      <c r="H218" t="s">
        <v>34</v>
      </c>
      <c r="I218" t="s">
        <v>55</v>
      </c>
      <c r="J218" s="1">
        <v>742</v>
      </c>
      <c r="K218" s="1">
        <v>30.916666666666668</v>
      </c>
      <c r="L218" s="3">
        <v>24</v>
      </c>
      <c r="M218" t="s">
        <v>66</v>
      </c>
      <c r="N218" s="2">
        <v>44134</v>
      </c>
      <c r="O218" t="s">
        <v>267</v>
      </c>
      <c r="P218" t="s">
        <v>477</v>
      </c>
      <c r="Q218">
        <v>33261</v>
      </c>
      <c r="R218" t="s">
        <v>27</v>
      </c>
      <c r="S218" s="10">
        <v>52.376303903952198</v>
      </c>
      <c r="T218">
        <v>51</v>
      </c>
    </row>
    <row r="219" spans="1:20" x14ac:dyDescent="0.3">
      <c r="A219">
        <v>1434</v>
      </c>
      <c r="B219" t="s">
        <v>380</v>
      </c>
      <c r="C219" t="s">
        <v>449</v>
      </c>
      <c r="D219" t="s">
        <v>450</v>
      </c>
      <c r="E219" t="s">
        <v>451</v>
      </c>
      <c r="F219" t="s">
        <v>452</v>
      </c>
      <c r="G219" t="s">
        <v>453</v>
      </c>
      <c r="H219" t="s">
        <v>22</v>
      </c>
      <c r="I219" t="s">
        <v>35</v>
      </c>
      <c r="J219" s="1">
        <v>708</v>
      </c>
      <c r="K219" s="1">
        <v>26.222222222222221</v>
      </c>
      <c r="L219" s="3">
        <v>27</v>
      </c>
      <c r="M219" t="s">
        <v>36</v>
      </c>
      <c r="N219" s="2">
        <v>44135</v>
      </c>
      <c r="O219" t="s">
        <v>118</v>
      </c>
      <c r="P219" t="s">
        <v>454</v>
      </c>
      <c r="Q219">
        <v>55436</v>
      </c>
      <c r="R219" t="s">
        <v>27</v>
      </c>
      <c r="S219" s="10">
        <v>62.984395637990822</v>
      </c>
      <c r="T219">
        <v>56</v>
      </c>
    </row>
    <row r="220" spans="1:20" x14ac:dyDescent="0.3">
      <c r="A220">
        <v>1020</v>
      </c>
      <c r="B220" t="s">
        <v>310</v>
      </c>
      <c r="C220" t="s">
        <v>311</v>
      </c>
      <c r="D220" t="s">
        <v>312</v>
      </c>
      <c r="E220" t="s">
        <v>313</v>
      </c>
      <c r="F220" t="s">
        <v>314</v>
      </c>
      <c r="G220" t="s">
        <v>315</v>
      </c>
      <c r="H220" t="s">
        <v>22</v>
      </c>
      <c r="I220" t="s">
        <v>23</v>
      </c>
      <c r="J220" s="1">
        <v>253</v>
      </c>
      <c r="K220" s="1">
        <v>25.3</v>
      </c>
      <c r="L220" s="3">
        <v>10</v>
      </c>
      <c r="M220" t="s">
        <v>36</v>
      </c>
      <c r="N220" s="2">
        <v>44136</v>
      </c>
      <c r="O220" t="s">
        <v>37</v>
      </c>
      <c r="P220" t="s">
        <v>316</v>
      </c>
      <c r="Q220">
        <v>94105</v>
      </c>
      <c r="R220" t="s">
        <v>27</v>
      </c>
      <c r="S220" s="10">
        <v>16.342839766267044</v>
      </c>
      <c r="T220">
        <v>15</v>
      </c>
    </row>
    <row r="221" spans="1:20" x14ac:dyDescent="0.3">
      <c r="A221">
        <v>1123</v>
      </c>
      <c r="B221" t="s">
        <v>231</v>
      </c>
      <c r="C221" t="s">
        <v>512</v>
      </c>
      <c r="D221" t="s">
        <v>639</v>
      </c>
      <c r="E221" t="s">
        <v>640</v>
      </c>
      <c r="F221" t="s">
        <v>638</v>
      </c>
      <c r="G221" t="s">
        <v>410</v>
      </c>
      <c r="H221" t="s">
        <v>34</v>
      </c>
      <c r="I221" t="s">
        <v>55</v>
      </c>
      <c r="J221" s="1">
        <v>548</v>
      </c>
      <c r="K221" s="1">
        <v>34.25</v>
      </c>
      <c r="L221" s="3">
        <v>16</v>
      </c>
      <c r="M221" t="s">
        <v>24</v>
      </c>
      <c r="N221" s="2">
        <v>44140</v>
      </c>
      <c r="O221" t="s">
        <v>267</v>
      </c>
      <c r="P221" t="s">
        <v>641</v>
      </c>
      <c r="Q221">
        <v>33673</v>
      </c>
      <c r="R221" t="s">
        <v>27</v>
      </c>
      <c r="S221" s="10">
        <v>24.189012160559614</v>
      </c>
      <c r="T221">
        <v>35</v>
      </c>
    </row>
    <row r="222" spans="1:20" x14ac:dyDescent="0.3">
      <c r="A222">
        <v>1851</v>
      </c>
      <c r="B222" t="s">
        <v>604</v>
      </c>
      <c r="C222" t="s">
        <v>358</v>
      </c>
      <c r="D222" t="s">
        <v>605</v>
      </c>
      <c r="E222" t="s">
        <v>606</v>
      </c>
      <c r="F222" t="s">
        <v>607</v>
      </c>
      <c r="G222" t="s">
        <v>194</v>
      </c>
      <c r="H222" t="s">
        <v>22</v>
      </c>
      <c r="I222" t="s">
        <v>65</v>
      </c>
      <c r="J222" s="1">
        <v>412</v>
      </c>
      <c r="K222" s="1">
        <v>27.466666666666665</v>
      </c>
      <c r="L222" s="3">
        <v>15</v>
      </c>
      <c r="M222" t="s">
        <v>343</v>
      </c>
      <c r="N222" s="2">
        <v>44142</v>
      </c>
      <c r="O222" t="s">
        <v>83</v>
      </c>
      <c r="P222" t="s">
        <v>351</v>
      </c>
      <c r="Q222">
        <v>11210</v>
      </c>
      <c r="R222" t="s">
        <v>27</v>
      </c>
      <c r="S222" s="10">
        <v>25.081010493901871</v>
      </c>
      <c r="T222">
        <v>20</v>
      </c>
    </row>
    <row r="223" spans="1:20" x14ac:dyDescent="0.3">
      <c r="A223">
        <v>1994</v>
      </c>
      <c r="B223" t="s">
        <v>740</v>
      </c>
      <c r="C223" t="s">
        <v>466</v>
      </c>
      <c r="D223" t="s">
        <v>741</v>
      </c>
      <c r="E223" t="s">
        <v>742</v>
      </c>
      <c r="F223" t="s">
        <v>743</v>
      </c>
      <c r="G223" t="s">
        <v>744</v>
      </c>
      <c r="H223" t="s">
        <v>34</v>
      </c>
      <c r="I223" t="s">
        <v>65</v>
      </c>
      <c r="J223" s="1">
        <v>808</v>
      </c>
      <c r="K223" s="1">
        <v>40.4</v>
      </c>
      <c r="L223" s="3">
        <v>20</v>
      </c>
      <c r="M223" t="s">
        <v>36</v>
      </c>
      <c r="N223" s="2">
        <v>44142</v>
      </c>
      <c r="O223" t="s">
        <v>136</v>
      </c>
      <c r="P223" t="s">
        <v>745</v>
      </c>
      <c r="Q223">
        <v>61651</v>
      </c>
      <c r="R223" t="s">
        <v>27</v>
      </c>
      <c r="S223" s="10">
        <v>37.707680386345309</v>
      </c>
      <c r="T223">
        <v>35</v>
      </c>
    </row>
    <row r="224" spans="1:20" x14ac:dyDescent="0.3">
      <c r="A224">
        <v>1234</v>
      </c>
      <c r="B224" t="s">
        <v>59</v>
      </c>
      <c r="C224" t="s">
        <v>60</v>
      </c>
      <c r="D224" t="s">
        <v>61</v>
      </c>
      <c r="E224" t="s">
        <v>62</v>
      </c>
      <c r="F224" t="s">
        <v>63</v>
      </c>
      <c r="G224" t="s">
        <v>64</v>
      </c>
      <c r="H224" t="s">
        <v>34</v>
      </c>
      <c r="I224" t="s">
        <v>65</v>
      </c>
      <c r="J224" s="1">
        <v>332</v>
      </c>
      <c r="K224" s="1">
        <v>36.888888888888886</v>
      </c>
      <c r="L224" s="3">
        <v>9</v>
      </c>
      <c r="M224" t="s">
        <v>66</v>
      </c>
      <c r="N224" s="2">
        <v>44143</v>
      </c>
      <c r="O224" t="s">
        <v>67</v>
      </c>
      <c r="P224" t="s">
        <v>68</v>
      </c>
      <c r="Q224">
        <v>78710</v>
      </c>
      <c r="R224" t="s">
        <v>27</v>
      </c>
      <c r="S224" s="10">
        <v>14.004814078326437</v>
      </c>
      <c r="T224">
        <v>15</v>
      </c>
    </row>
    <row r="225" spans="1:20" x14ac:dyDescent="0.3">
      <c r="A225">
        <v>1527</v>
      </c>
      <c r="B225" t="s">
        <v>160</v>
      </c>
      <c r="C225" t="s">
        <v>449</v>
      </c>
      <c r="D225" t="s">
        <v>815</v>
      </c>
      <c r="E225" t="s">
        <v>816</v>
      </c>
      <c r="F225" t="s">
        <v>817</v>
      </c>
      <c r="G225" t="s">
        <v>116</v>
      </c>
      <c r="H225" t="s">
        <v>22</v>
      </c>
      <c r="I225" t="s">
        <v>366</v>
      </c>
      <c r="J225" s="1">
        <v>421</v>
      </c>
      <c r="K225" s="1">
        <v>42.1</v>
      </c>
      <c r="L225" s="3">
        <v>10</v>
      </c>
      <c r="M225" t="s">
        <v>447</v>
      </c>
      <c r="N225" s="2">
        <v>44143</v>
      </c>
      <c r="O225" t="s">
        <v>47</v>
      </c>
      <c r="P225" t="s">
        <v>818</v>
      </c>
      <c r="Q225">
        <v>23324</v>
      </c>
      <c r="R225" t="s">
        <v>27</v>
      </c>
      <c r="S225" s="10">
        <v>23.282541354937809</v>
      </c>
      <c r="T225">
        <v>13</v>
      </c>
    </row>
    <row r="226" spans="1:20" x14ac:dyDescent="0.3">
      <c r="A226">
        <v>1564</v>
      </c>
      <c r="B226" t="s">
        <v>819</v>
      </c>
      <c r="C226" t="s">
        <v>730</v>
      </c>
      <c r="D226" t="s">
        <v>820</v>
      </c>
      <c r="E226" t="s">
        <v>821</v>
      </c>
      <c r="F226" t="s">
        <v>638</v>
      </c>
      <c r="G226" t="s">
        <v>116</v>
      </c>
      <c r="H226" t="s">
        <v>22</v>
      </c>
      <c r="I226" t="s">
        <v>45</v>
      </c>
      <c r="J226" s="1">
        <v>468</v>
      </c>
      <c r="K226" s="1">
        <v>27.529411764705884</v>
      </c>
      <c r="L226" s="3">
        <v>17</v>
      </c>
      <c r="M226" t="s">
        <v>126</v>
      </c>
      <c r="N226" s="2">
        <v>44143</v>
      </c>
      <c r="O226" t="s">
        <v>822</v>
      </c>
      <c r="P226" t="s">
        <v>823</v>
      </c>
      <c r="Q226">
        <v>72916</v>
      </c>
      <c r="R226" t="s">
        <v>27</v>
      </c>
      <c r="S226" s="10">
        <v>36.607624005546207</v>
      </c>
      <c r="T226">
        <v>34</v>
      </c>
    </row>
    <row r="227" spans="1:20" x14ac:dyDescent="0.3">
      <c r="A227">
        <v>1987</v>
      </c>
      <c r="B227" t="s">
        <v>352</v>
      </c>
      <c r="C227" t="s">
        <v>311</v>
      </c>
      <c r="D227" t="s">
        <v>824</v>
      </c>
      <c r="E227" t="s">
        <v>825</v>
      </c>
      <c r="F227" t="s">
        <v>826</v>
      </c>
      <c r="G227" t="s">
        <v>218</v>
      </c>
      <c r="H227" t="s">
        <v>34</v>
      </c>
      <c r="I227" t="s">
        <v>65</v>
      </c>
      <c r="J227" s="1">
        <v>546</v>
      </c>
      <c r="K227" s="1">
        <v>39</v>
      </c>
      <c r="L227" s="3">
        <v>14</v>
      </c>
      <c r="M227" t="s">
        <v>36</v>
      </c>
      <c r="N227" s="2">
        <v>44143</v>
      </c>
      <c r="O227" t="s">
        <v>187</v>
      </c>
      <c r="P227" t="s">
        <v>827</v>
      </c>
      <c r="Q227">
        <v>28305</v>
      </c>
      <c r="R227" t="s">
        <v>27</v>
      </c>
      <c r="S227" s="10">
        <v>21.906124229468496</v>
      </c>
      <c r="T227">
        <v>21</v>
      </c>
    </row>
    <row r="228" spans="1:20" x14ac:dyDescent="0.3">
      <c r="A228">
        <v>1039</v>
      </c>
      <c r="B228" t="s">
        <v>828</v>
      </c>
      <c r="C228" t="s">
        <v>154</v>
      </c>
      <c r="D228" t="s">
        <v>829</v>
      </c>
      <c r="E228" t="s">
        <v>830</v>
      </c>
      <c r="F228" t="s">
        <v>831</v>
      </c>
      <c r="G228" t="s">
        <v>832</v>
      </c>
      <c r="H228" t="s">
        <v>34</v>
      </c>
      <c r="I228" t="s">
        <v>23</v>
      </c>
      <c r="J228" s="1">
        <v>528</v>
      </c>
      <c r="K228" s="1">
        <v>40.615384615384613</v>
      </c>
      <c r="L228" s="3">
        <v>13</v>
      </c>
      <c r="M228" t="s">
        <v>244</v>
      </c>
      <c r="N228" s="2">
        <v>44149</v>
      </c>
      <c r="O228" t="s">
        <v>496</v>
      </c>
      <c r="P228" t="s">
        <v>687</v>
      </c>
      <c r="Q228">
        <v>40298</v>
      </c>
      <c r="R228" t="s">
        <v>27</v>
      </c>
      <c r="S228" s="10">
        <v>29.699542746370106</v>
      </c>
      <c r="T228">
        <v>25</v>
      </c>
    </row>
    <row r="229" spans="1:20" x14ac:dyDescent="0.3">
      <c r="A229">
        <v>1017</v>
      </c>
      <c r="B229" t="s">
        <v>660</v>
      </c>
      <c r="C229" t="s">
        <v>679</v>
      </c>
      <c r="D229" t="s">
        <v>680</v>
      </c>
      <c r="E229" t="s">
        <v>681</v>
      </c>
      <c r="F229" t="s">
        <v>682</v>
      </c>
      <c r="G229" t="s">
        <v>446</v>
      </c>
      <c r="H229" t="s">
        <v>22</v>
      </c>
      <c r="I229" t="s">
        <v>23</v>
      </c>
      <c r="J229" s="1">
        <v>961</v>
      </c>
      <c r="K229" s="1">
        <v>32.033333333333331</v>
      </c>
      <c r="L229" s="3">
        <v>30</v>
      </c>
      <c r="M229" t="s">
        <v>36</v>
      </c>
      <c r="N229" s="2">
        <v>44153</v>
      </c>
      <c r="O229" t="s">
        <v>136</v>
      </c>
      <c r="P229" t="s">
        <v>137</v>
      </c>
      <c r="Q229">
        <v>60663</v>
      </c>
      <c r="R229" t="s">
        <v>27</v>
      </c>
      <c r="S229" s="10">
        <v>66.197677019894911</v>
      </c>
      <c r="T229">
        <v>52</v>
      </c>
    </row>
    <row r="230" spans="1:20" x14ac:dyDescent="0.3">
      <c r="A230">
        <v>1812</v>
      </c>
      <c r="B230" t="s">
        <v>231</v>
      </c>
      <c r="C230" t="s">
        <v>232</v>
      </c>
      <c r="D230" t="s">
        <v>233</v>
      </c>
      <c r="E230" t="s">
        <v>234</v>
      </c>
      <c r="F230" t="s">
        <v>235</v>
      </c>
      <c r="G230" t="s">
        <v>74</v>
      </c>
      <c r="H230" t="s">
        <v>34</v>
      </c>
      <c r="I230" t="s">
        <v>236</v>
      </c>
      <c r="J230" s="1">
        <v>516</v>
      </c>
      <c r="K230" s="1">
        <v>39.692307692307693</v>
      </c>
      <c r="L230" s="3">
        <v>13</v>
      </c>
      <c r="M230" t="s">
        <v>126</v>
      </c>
      <c r="N230" s="2">
        <v>44154</v>
      </c>
      <c r="O230" t="s">
        <v>237</v>
      </c>
      <c r="P230" t="s">
        <v>238</v>
      </c>
      <c r="Q230">
        <v>35220</v>
      </c>
      <c r="R230" t="s">
        <v>27</v>
      </c>
      <c r="S230" s="10">
        <v>26.038486674996477</v>
      </c>
      <c r="T230">
        <v>28</v>
      </c>
    </row>
    <row r="231" spans="1:20" x14ac:dyDescent="0.3">
      <c r="A231">
        <v>1072</v>
      </c>
      <c r="B231" t="s">
        <v>77</v>
      </c>
      <c r="C231" t="s">
        <v>833</v>
      </c>
      <c r="D231" t="s">
        <v>834</v>
      </c>
      <c r="E231" t="s">
        <v>835</v>
      </c>
      <c r="F231" t="s">
        <v>836</v>
      </c>
      <c r="G231" t="s">
        <v>151</v>
      </c>
      <c r="H231" t="s">
        <v>22</v>
      </c>
      <c r="I231" t="s">
        <v>55</v>
      </c>
      <c r="J231" s="1">
        <v>922</v>
      </c>
      <c r="K231" s="1">
        <v>31.793103448275861</v>
      </c>
      <c r="L231" s="3">
        <v>29</v>
      </c>
      <c r="M231" t="s">
        <v>36</v>
      </c>
      <c r="N231" s="2">
        <v>44155</v>
      </c>
      <c r="O231" t="s">
        <v>57</v>
      </c>
      <c r="P231" t="s">
        <v>837</v>
      </c>
      <c r="Q231">
        <v>30245</v>
      </c>
      <c r="R231" t="s">
        <v>27</v>
      </c>
      <c r="S231" s="10">
        <v>71.92126481411546</v>
      </c>
      <c r="T231">
        <v>59</v>
      </c>
    </row>
    <row r="232" spans="1:20" x14ac:dyDescent="0.3">
      <c r="A232">
        <v>1780</v>
      </c>
      <c r="B232" t="s">
        <v>222</v>
      </c>
      <c r="C232" t="s">
        <v>303</v>
      </c>
      <c r="D232" t="s">
        <v>838</v>
      </c>
      <c r="E232" t="s">
        <v>839</v>
      </c>
      <c r="F232" t="s">
        <v>840</v>
      </c>
      <c r="G232" t="s">
        <v>516</v>
      </c>
      <c r="H232" t="s">
        <v>34</v>
      </c>
      <c r="I232" t="s">
        <v>35</v>
      </c>
      <c r="J232" s="1">
        <v>173</v>
      </c>
      <c r="K232" s="1">
        <v>34.6</v>
      </c>
      <c r="L232" s="3">
        <v>5</v>
      </c>
      <c r="M232" t="s">
        <v>24</v>
      </c>
      <c r="N232" s="2">
        <v>44155</v>
      </c>
      <c r="O232" t="s">
        <v>67</v>
      </c>
      <c r="P232" t="s">
        <v>841</v>
      </c>
      <c r="Q232">
        <v>75367</v>
      </c>
      <c r="R232" t="s">
        <v>27</v>
      </c>
      <c r="S232" s="10">
        <v>8.8504825871995063</v>
      </c>
      <c r="T232">
        <v>9</v>
      </c>
    </row>
    <row r="233" spans="1:20" x14ac:dyDescent="0.3">
      <c r="A233">
        <v>1298</v>
      </c>
      <c r="B233" t="s">
        <v>275</v>
      </c>
      <c r="C233" t="s">
        <v>340</v>
      </c>
      <c r="D233" t="s">
        <v>341</v>
      </c>
      <c r="E233" t="s">
        <v>342</v>
      </c>
      <c r="F233" t="s">
        <v>306</v>
      </c>
      <c r="G233" t="s">
        <v>180</v>
      </c>
      <c r="H233" t="s">
        <v>22</v>
      </c>
      <c r="I233" t="s">
        <v>236</v>
      </c>
      <c r="J233" s="1">
        <v>251</v>
      </c>
      <c r="K233" s="1">
        <v>41.833333333333336</v>
      </c>
      <c r="L233" s="3">
        <v>6</v>
      </c>
      <c r="M233" t="s">
        <v>343</v>
      </c>
      <c r="N233" s="2">
        <v>44156</v>
      </c>
      <c r="O233" t="s">
        <v>267</v>
      </c>
      <c r="P233" t="s">
        <v>344</v>
      </c>
      <c r="Q233">
        <v>32891</v>
      </c>
      <c r="R233" t="s">
        <v>27</v>
      </c>
      <c r="S233" s="10">
        <v>11.626780516262375</v>
      </c>
      <c r="T233">
        <v>10</v>
      </c>
    </row>
    <row r="234" spans="1:20" x14ac:dyDescent="0.3">
      <c r="A234">
        <v>1588</v>
      </c>
      <c r="B234" t="s">
        <v>842</v>
      </c>
      <c r="C234" t="s">
        <v>843</v>
      </c>
      <c r="D234" t="s">
        <v>844</v>
      </c>
      <c r="E234" t="s">
        <v>845</v>
      </c>
      <c r="F234" t="s">
        <v>846</v>
      </c>
      <c r="G234" t="s">
        <v>506</v>
      </c>
      <c r="H234" t="s">
        <v>34</v>
      </c>
      <c r="I234" t="s">
        <v>435</v>
      </c>
      <c r="J234" s="1">
        <v>997</v>
      </c>
      <c r="K234" s="1">
        <v>41.541666666666664</v>
      </c>
      <c r="L234" s="3">
        <v>24</v>
      </c>
      <c r="M234" t="s">
        <v>36</v>
      </c>
      <c r="N234" s="2">
        <v>44156</v>
      </c>
      <c r="O234" t="s">
        <v>83</v>
      </c>
      <c r="P234" t="s">
        <v>351</v>
      </c>
      <c r="Q234">
        <v>11205</v>
      </c>
      <c r="R234" t="s">
        <v>27</v>
      </c>
      <c r="S234" s="10">
        <v>45.830343135972306</v>
      </c>
      <c r="T234">
        <v>51</v>
      </c>
    </row>
    <row r="235" spans="1:20" x14ac:dyDescent="0.3">
      <c r="A235">
        <v>1298</v>
      </c>
      <c r="B235" t="s">
        <v>275</v>
      </c>
      <c r="C235" t="s">
        <v>340</v>
      </c>
      <c r="D235" t="s">
        <v>341</v>
      </c>
      <c r="E235" t="s">
        <v>342</v>
      </c>
      <c r="F235" t="s">
        <v>306</v>
      </c>
      <c r="G235" t="s">
        <v>180</v>
      </c>
      <c r="H235" t="s">
        <v>22</v>
      </c>
      <c r="I235" t="s">
        <v>236</v>
      </c>
      <c r="J235" s="1">
        <v>70</v>
      </c>
      <c r="K235" s="1">
        <v>35</v>
      </c>
      <c r="L235" s="3">
        <v>2</v>
      </c>
      <c r="M235" t="s">
        <v>343</v>
      </c>
      <c r="N235" s="2">
        <v>44157</v>
      </c>
      <c r="O235" t="s">
        <v>267</v>
      </c>
      <c r="P235" t="s">
        <v>344</v>
      </c>
      <c r="Q235">
        <v>32891</v>
      </c>
      <c r="R235" t="s">
        <v>27</v>
      </c>
      <c r="S235" s="10">
        <v>3.9715928835545853</v>
      </c>
      <c r="T235">
        <v>3</v>
      </c>
    </row>
    <row r="236" spans="1:20" x14ac:dyDescent="0.3">
      <c r="A236">
        <v>1714</v>
      </c>
      <c r="B236" t="s">
        <v>842</v>
      </c>
      <c r="C236" t="s">
        <v>695</v>
      </c>
      <c r="D236" t="s">
        <v>847</v>
      </c>
      <c r="E236" t="s">
        <v>848</v>
      </c>
      <c r="F236" t="s">
        <v>849</v>
      </c>
      <c r="G236" t="s">
        <v>806</v>
      </c>
      <c r="H236" t="s">
        <v>34</v>
      </c>
      <c r="I236" t="s">
        <v>23</v>
      </c>
      <c r="J236" s="1">
        <v>933</v>
      </c>
      <c r="K236" s="1">
        <v>34.555555555555557</v>
      </c>
      <c r="L236" s="3">
        <v>27</v>
      </c>
      <c r="M236" t="s">
        <v>36</v>
      </c>
      <c r="N236" s="2">
        <v>44157</v>
      </c>
      <c r="O236" t="s">
        <v>83</v>
      </c>
      <c r="P236" t="s">
        <v>850</v>
      </c>
      <c r="Q236">
        <v>10705</v>
      </c>
      <c r="R236" t="s">
        <v>27</v>
      </c>
      <c r="S236" s="10">
        <v>43.18678837943478</v>
      </c>
      <c r="T236">
        <v>63</v>
      </c>
    </row>
    <row r="237" spans="1:20" x14ac:dyDescent="0.3">
      <c r="A237">
        <v>1362</v>
      </c>
      <c r="B237" t="s">
        <v>294</v>
      </c>
      <c r="C237" t="s">
        <v>679</v>
      </c>
      <c r="D237" t="s">
        <v>851</v>
      </c>
      <c r="E237" t="s">
        <v>852</v>
      </c>
      <c r="F237" t="s">
        <v>853</v>
      </c>
      <c r="G237" t="s">
        <v>854</v>
      </c>
      <c r="H237" t="s">
        <v>22</v>
      </c>
      <c r="I237" t="s">
        <v>55</v>
      </c>
      <c r="J237" s="1">
        <v>860</v>
      </c>
      <c r="K237" s="1">
        <v>26.875</v>
      </c>
      <c r="L237" s="3">
        <v>32</v>
      </c>
      <c r="M237" t="s">
        <v>24</v>
      </c>
      <c r="N237" s="2">
        <v>44160</v>
      </c>
      <c r="O237" t="s">
        <v>196</v>
      </c>
      <c r="P237" t="s">
        <v>855</v>
      </c>
      <c r="Q237">
        <v>17105</v>
      </c>
      <c r="R237" t="s">
        <v>27</v>
      </c>
      <c r="S237" s="10">
        <v>53.836826432970319</v>
      </c>
      <c r="T237">
        <v>72</v>
      </c>
    </row>
    <row r="238" spans="1:20" x14ac:dyDescent="0.3">
      <c r="A238">
        <v>1365</v>
      </c>
      <c r="B238" t="s">
        <v>471</v>
      </c>
      <c r="C238" t="s">
        <v>472</v>
      </c>
      <c r="D238" t="s">
        <v>473</v>
      </c>
      <c r="E238" t="s">
        <v>474</v>
      </c>
      <c r="F238" t="s">
        <v>475</v>
      </c>
      <c r="G238" t="s">
        <v>476</v>
      </c>
      <c r="H238" t="s">
        <v>34</v>
      </c>
      <c r="I238" t="s">
        <v>55</v>
      </c>
      <c r="J238" s="1">
        <v>333</v>
      </c>
      <c r="K238" s="1">
        <v>33.299999999999997</v>
      </c>
      <c r="L238" s="3">
        <v>10</v>
      </c>
      <c r="M238" t="s">
        <v>66</v>
      </c>
      <c r="N238" s="2">
        <v>44162</v>
      </c>
      <c r="O238" t="s">
        <v>267</v>
      </c>
      <c r="P238" t="s">
        <v>477</v>
      </c>
      <c r="Q238">
        <v>33261</v>
      </c>
      <c r="R238" t="s">
        <v>27</v>
      </c>
      <c r="S238" s="10">
        <v>12.872378868158762</v>
      </c>
      <c r="T238">
        <v>21</v>
      </c>
    </row>
    <row r="239" spans="1:20" x14ac:dyDescent="0.3">
      <c r="A239">
        <v>1716</v>
      </c>
      <c r="B239" t="s">
        <v>16</v>
      </c>
      <c r="C239" t="s">
        <v>232</v>
      </c>
      <c r="D239" t="s">
        <v>856</v>
      </c>
      <c r="E239" t="s">
        <v>857</v>
      </c>
      <c r="F239" t="s">
        <v>858</v>
      </c>
      <c r="G239" t="s">
        <v>712</v>
      </c>
      <c r="H239" t="s">
        <v>22</v>
      </c>
      <c r="I239" t="s">
        <v>23</v>
      </c>
      <c r="J239" s="1">
        <v>864</v>
      </c>
      <c r="K239" s="1">
        <v>30.857142857142858</v>
      </c>
      <c r="L239" s="3">
        <v>28</v>
      </c>
      <c r="M239" t="s">
        <v>143</v>
      </c>
      <c r="N239" s="2">
        <v>44164</v>
      </c>
      <c r="O239" t="s">
        <v>859</v>
      </c>
      <c r="P239" t="s">
        <v>860</v>
      </c>
      <c r="Q239">
        <v>20709</v>
      </c>
      <c r="R239" t="s">
        <v>27</v>
      </c>
      <c r="S239" s="10">
        <v>53.318303025507049</v>
      </c>
      <c r="T239">
        <v>51</v>
      </c>
    </row>
    <row r="240" spans="1:20" x14ac:dyDescent="0.3">
      <c r="A240">
        <v>1935</v>
      </c>
      <c r="B240" t="s">
        <v>507</v>
      </c>
      <c r="C240" t="s">
        <v>861</v>
      </c>
      <c r="D240" t="s">
        <v>862</v>
      </c>
      <c r="E240" t="s">
        <v>863</v>
      </c>
      <c r="F240" t="s">
        <v>864</v>
      </c>
      <c r="G240" t="s">
        <v>865</v>
      </c>
      <c r="H240" t="s">
        <v>34</v>
      </c>
      <c r="I240" t="s">
        <v>135</v>
      </c>
      <c r="J240" s="1">
        <v>705</v>
      </c>
      <c r="K240" s="1">
        <v>41.470588235294116</v>
      </c>
      <c r="L240" s="3">
        <v>17</v>
      </c>
      <c r="M240" t="s">
        <v>36</v>
      </c>
      <c r="N240" s="2">
        <v>44166</v>
      </c>
      <c r="O240" t="s">
        <v>866</v>
      </c>
      <c r="P240" t="s">
        <v>867</v>
      </c>
      <c r="Q240">
        <v>57198</v>
      </c>
      <c r="R240" t="s">
        <v>27</v>
      </c>
      <c r="S240" s="10">
        <v>37.841304565519749</v>
      </c>
      <c r="T240">
        <v>36</v>
      </c>
    </row>
    <row r="241" spans="1:20" x14ac:dyDescent="0.3">
      <c r="A241">
        <v>1019</v>
      </c>
      <c r="B241" t="s">
        <v>764</v>
      </c>
      <c r="C241" t="s">
        <v>374</v>
      </c>
      <c r="D241" t="s">
        <v>765</v>
      </c>
      <c r="E241" t="s">
        <v>766</v>
      </c>
      <c r="F241" t="s">
        <v>554</v>
      </c>
      <c r="G241" t="s">
        <v>298</v>
      </c>
      <c r="H241" t="s">
        <v>22</v>
      </c>
      <c r="I241" t="s">
        <v>23</v>
      </c>
      <c r="J241" s="1">
        <v>346</v>
      </c>
      <c r="K241" s="1">
        <v>31.454545454545453</v>
      </c>
      <c r="L241" s="3">
        <v>11</v>
      </c>
      <c r="M241" t="s">
        <v>66</v>
      </c>
      <c r="N241" s="2">
        <v>44168</v>
      </c>
      <c r="O241" t="s">
        <v>767</v>
      </c>
      <c r="P241" t="s">
        <v>768</v>
      </c>
      <c r="Q241">
        <v>83705</v>
      </c>
      <c r="R241" t="s">
        <v>27</v>
      </c>
      <c r="S241" s="10">
        <v>25.635819894948824</v>
      </c>
      <c r="T241">
        <v>22</v>
      </c>
    </row>
    <row r="242" spans="1:20" x14ac:dyDescent="0.3">
      <c r="A242">
        <v>1298</v>
      </c>
      <c r="B242" t="s">
        <v>275</v>
      </c>
      <c r="C242" t="s">
        <v>340</v>
      </c>
      <c r="D242" t="s">
        <v>341</v>
      </c>
      <c r="E242" t="s">
        <v>342</v>
      </c>
      <c r="F242" t="s">
        <v>306</v>
      </c>
      <c r="G242" t="s">
        <v>180</v>
      </c>
      <c r="H242" t="s">
        <v>22</v>
      </c>
      <c r="I242" t="s">
        <v>236</v>
      </c>
      <c r="J242" s="1">
        <v>568</v>
      </c>
      <c r="K242" s="1">
        <v>35.5</v>
      </c>
      <c r="L242" s="3">
        <v>16</v>
      </c>
      <c r="M242" t="s">
        <v>343</v>
      </c>
      <c r="N242" s="2">
        <v>44168</v>
      </c>
      <c r="O242" t="s">
        <v>267</v>
      </c>
      <c r="P242" t="s">
        <v>344</v>
      </c>
      <c r="Q242">
        <v>32891</v>
      </c>
      <c r="R242" t="s">
        <v>27</v>
      </c>
      <c r="S242" s="10">
        <v>23.130196919976136</v>
      </c>
      <c r="T242">
        <v>25</v>
      </c>
    </row>
    <row r="243" spans="1:20" x14ac:dyDescent="0.3">
      <c r="A243">
        <v>1643</v>
      </c>
      <c r="B243" t="s">
        <v>619</v>
      </c>
      <c r="C243" t="s">
        <v>599</v>
      </c>
      <c r="D243" t="s">
        <v>868</v>
      </c>
      <c r="E243" t="s">
        <v>869</v>
      </c>
      <c r="F243" t="s">
        <v>43</v>
      </c>
      <c r="G243" t="s">
        <v>428</v>
      </c>
      <c r="H243" t="s">
        <v>22</v>
      </c>
      <c r="I243" t="s">
        <v>23</v>
      </c>
      <c r="J243" s="1">
        <v>337</v>
      </c>
      <c r="K243" s="1">
        <v>33.700000000000003</v>
      </c>
      <c r="L243" s="3">
        <v>10</v>
      </c>
      <c r="M243" t="s">
        <v>36</v>
      </c>
      <c r="N243" s="2">
        <v>44168</v>
      </c>
      <c r="O243" t="s">
        <v>37</v>
      </c>
      <c r="P243" t="s">
        <v>870</v>
      </c>
      <c r="Q243">
        <v>92153</v>
      </c>
      <c r="R243" t="s">
        <v>27</v>
      </c>
      <c r="S243" s="10">
        <v>18.408596968597909</v>
      </c>
      <c r="T243">
        <v>19</v>
      </c>
    </row>
    <row r="244" spans="1:20" x14ac:dyDescent="0.3">
      <c r="A244">
        <v>1849</v>
      </c>
      <c r="B244" t="s">
        <v>871</v>
      </c>
      <c r="C244" t="s">
        <v>872</v>
      </c>
      <c r="D244" t="s">
        <v>873</v>
      </c>
      <c r="E244" t="s">
        <v>874</v>
      </c>
      <c r="F244" t="s">
        <v>772</v>
      </c>
      <c r="G244" t="s">
        <v>476</v>
      </c>
      <c r="H244" t="s">
        <v>22</v>
      </c>
      <c r="I244" t="s">
        <v>55</v>
      </c>
      <c r="J244" s="1">
        <v>626</v>
      </c>
      <c r="K244" s="1">
        <v>41.733333333333334</v>
      </c>
      <c r="L244" s="3">
        <v>15</v>
      </c>
      <c r="M244" t="s">
        <v>36</v>
      </c>
      <c r="N244" s="2">
        <v>44168</v>
      </c>
      <c r="O244" t="s">
        <v>187</v>
      </c>
      <c r="P244" t="s">
        <v>875</v>
      </c>
      <c r="Q244">
        <v>27264</v>
      </c>
      <c r="R244" t="s">
        <v>27</v>
      </c>
      <c r="S244" s="10">
        <v>28.465934882808245</v>
      </c>
      <c r="T244">
        <v>19</v>
      </c>
    </row>
    <row r="245" spans="1:20" x14ac:dyDescent="0.3">
      <c r="A245">
        <v>1998</v>
      </c>
      <c r="B245" t="s">
        <v>111</v>
      </c>
      <c r="C245" t="s">
        <v>112</v>
      </c>
      <c r="D245" t="s">
        <v>113</v>
      </c>
      <c r="E245" t="s">
        <v>114</v>
      </c>
      <c r="F245" t="s">
        <v>115</v>
      </c>
      <c r="G245" t="s">
        <v>116</v>
      </c>
      <c r="H245" t="s">
        <v>34</v>
      </c>
      <c r="I245" t="s">
        <v>117</v>
      </c>
      <c r="J245" s="1">
        <v>235</v>
      </c>
      <c r="K245" s="1">
        <v>29.375</v>
      </c>
      <c r="L245" s="3">
        <v>8</v>
      </c>
      <c r="M245" t="s">
        <v>36</v>
      </c>
      <c r="N245" s="2">
        <v>44168</v>
      </c>
      <c r="O245" t="s">
        <v>118</v>
      </c>
      <c r="P245" t="s">
        <v>119</v>
      </c>
      <c r="Q245">
        <v>55146</v>
      </c>
      <c r="R245" t="s">
        <v>27</v>
      </c>
      <c r="S245" s="10">
        <v>19.439697378204524</v>
      </c>
      <c r="T245">
        <v>17</v>
      </c>
    </row>
    <row r="246" spans="1:20" x14ac:dyDescent="0.3">
      <c r="A246">
        <v>1365</v>
      </c>
      <c r="B246" t="s">
        <v>471</v>
      </c>
      <c r="C246" t="s">
        <v>472</v>
      </c>
      <c r="D246" t="s">
        <v>473</v>
      </c>
      <c r="E246" t="s">
        <v>474</v>
      </c>
      <c r="F246" t="s">
        <v>475</v>
      </c>
      <c r="G246" t="s">
        <v>476</v>
      </c>
      <c r="H246" t="s">
        <v>34</v>
      </c>
      <c r="I246" t="s">
        <v>55</v>
      </c>
      <c r="J246" s="1">
        <v>121</v>
      </c>
      <c r="K246" s="1">
        <v>24.2</v>
      </c>
      <c r="L246" s="3">
        <v>5</v>
      </c>
      <c r="M246" t="s">
        <v>66</v>
      </c>
      <c r="N246" s="2">
        <v>44170</v>
      </c>
      <c r="O246" t="s">
        <v>267</v>
      </c>
      <c r="P246" t="s">
        <v>477</v>
      </c>
      <c r="Q246">
        <v>33261</v>
      </c>
      <c r="R246" t="s">
        <v>27</v>
      </c>
      <c r="S246" s="10">
        <v>9.7711851778675314</v>
      </c>
      <c r="T246">
        <v>9</v>
      </c>
    </row>
    <row r="247" spans="1:20" x14ac:dyDescent="0.3">
      <c r="A247">
        <v>1952</v>
      </c>
      <c r="B247" t="s">
        <v>876</v>
      </c>
      <c r="C247" t="s">
        <v>269</v>
      </c>
      <c r="D247" t="s">
        <v>877</v>
      </c>
      <c r="E247" t="s">
        <v>878</v>
      </c>
      <c r="F247" t="s">
        <v>879</v>
      </c>
      <c r="G247" t="s">
        <v>151</v>
      </c>
      <c r="H247" t="s">
        <v>22</v>
      </c>
      <c r="I247" t="s">
        <v>23</v>
      </c>
      <c r="J247" s="1">
        <v>414</v>
      </c>
      <c r="K247" s="1">
        <v>31.846153846153847</v>
      </c>
      <c r="L247" s="3">
        <v>13</v>
      </c>
      <c r="M247" t="s">
        <v>126</v>
      </c>
      <c r="N247" s="2">
        <v>44170</v>
      </c>
      <c r="O247" t="s">
        <v>25</v>
      </c>
      <c r="P247" t="s">
        <v>880</v>
      </c>
      <c r="Q247">
        <v>48930</v>
      </c>
      <c r="R247" t="s">
        <v>27</v>
      </c>
      <c r="S247" s="10">
        <v>21.723909476606821</v>
      </c>
      <c r="T247">
        <v>25</v>
      </c>
    </row>
    <row r="248" spans="1:20" x14ac:dyDescent="0.3">
      <c r="A248">
        <v>1987</v>
      </c>
      <c r="B248" t="s">
        <v>352</v>
      </c>
      <c r="C248" t="s">
        <v>311</v>
      </c>
      <c r="D248" t="s">
        <v>824</v>
      </c>
      <c r="E248" t="s">
        <v>825</v>
      </c>
      <c r="F248" t="s">
        <v>826</v>
      </c>
      <c r="G248" t="s">
        <v>218</v>
      </c>
      <c r="H248" t="s">
        <v>34</v>
      </c>
      <c r="I248" t="s">
        <v>65</v>
      </c>
      <c r="J248" s="1">
        <v>733</v>
      </c>
      <c r="K248" s="1">
        <v>45.8125</v>
      </c>
      <c r="L248" s="3">
        <v>16</v>
      </c>
      <c r="M248" t="s">
        <v>36</v>
      </c>
      <c r="N248" s="2">
        <v>44172</v>
      </c>
      <c r="O248" t="s">
        <v>187</v>
      </c>
      <c r="P248" t="s">
        <v>827</v>
      </c>
      <c r="Q248">
        <v>28305</v>
      </c>
      <c r="R248" t="s">
        <v>27</v>
      </c>
      <c r="S248" s="10">
        <v>29.285819084490718</v>
      </c>
      <c r="T248">
        <v>23</v>
      </c>
    </row>
    <row r="249" spans="1:20" x14ac:dyDescent="0.3">
      <c r="A249">
        <v>1170</v>
      </c>
      <c r="B249" t="s">
        <v>153</v>
      </c>
      <c r="C249" t="s">
        <v>154</v>
      </c>
      <c r="D249" t="s">
        <v>155</v>
      </c>
      <c r="E249" t="s">
        <v>156</v>
      </c>
      <c r="F249" t="s">
        <v>157</v>
      </c>
      <c r="G249" t="s">
        <v>158</v>
      </c>
      <c r="H249" t="s">
        <v>34</v>
      </c>
      <c r="I249" t="s">
        <v>65</v>
      </c>
      <c r="J249" s="1">
        <v>773</v>
      </c>
      <c r="K249" s="1">
        <v>36.80952380952381</v>
      </c>
      <c r="L249" s="3">
        <v>21</v>
      </c>
      <c r="M249" t="s">
        <v>24</v>
      </c>
      <c r="N249" s="2">
        <v>44174</v>
      </c>
      <c r="O249" t="s">
        <v>67</v>
      </c>
      <c r="P249" t="s">
        <v>159</v>
      </c>
      <c r="Q249">
        <v>88574</v>
      </c>
      <c r="R249" t="s">
        <v>27</v>
      </c>
      <c r="S249" s="10">
        <v>45.385652927696206</v>
      </c>
      <c r="T249">
        <v>49</v>
      </c>
    </row>
    <row r="250" spans="1:20" x14ac:dyDescent="0.3">
      <c r="A250">
        <v>1433</v>
      </c>
      <c r="B250" t="s">
        <v>465</v>
      </c>
      <c r="C250" t="s">
        <v>466</v>
      </c>
      <c r="D250" t="s">
        <v>467</v>
      </c>
      <c r="E250" t="s">
        <v>468</v>
      </c>
      <c r="F250" t="s">
        <v>469</v>
      </c>
      <c r="G250" t="s">
        <v>459</v>
      </c>
      <c r="H250" t="s">
        <v>34</v>
      </c>
      <c r="I250" t="s">
        <v>135</v>
      </c>
      <c r="J250" s="1">
        <v>411</v>
      </c>
      <c r="K250" s="1">
        <v>27.4</v>
      </c>
      <c r="L250" s="3">
        <v>15</v>
      </c>
      <c r="M250" t="s">
        <v>56</v>
      </c>
      <c r="N250" s="2">
        <v>44175</v>
      </c>
      <c r="O250" t="s">
        <v>470</v>
      </c>
      <c r="P250" t="s">
        <v>358</v>
      </c>
      <c r="Q250">
        <v>20420</v>
      </c>
      <c r="R250" t="s">
        <v>27</v>
      </c>
      <c r="S250" s="10">
        <v>21.672116277826259</v>
      </c>
      <c r="T250">
        <v>22</v>
      </c>
    </row>
    <row r="251" spans="1:20" x14ac:dyDescent="0.3">
      <c r="A251">
        <v>1298</v>
      </c>
      <c r="B251" t="s">
        <v>275</v>
      </c>
      <c r="C251" t="s">
        <v>340</v>
      </c>
      <c r="D251" t="s">
        <v>341</v>
      </c>
      <c r="E251" t="s">
        <v>342</v>
      </c>
      <c r="F251" t="s">
        <v>306</v>
      </c>
      <c r="G251" t="s">
        <v>180</v>
      </c>
      <c r="H251" t="s">
        <v>22</v>
      </c>
      <c r="I251" t="s">
        <v>236</v>
      </c>
      <c r="J251" s="1">
        <v>581</v>
      </c>
      <c r="K251" s="1">
        <v>38.733333333333334</v>
      </c>
      <c r="L251" s="3">
        <v>15</v>
      </c>
      <c r="M251" t="s">
        <v>343</v>
      </c>
      <c r="N251" s="2">
        <v>44178</v>
      </c>
      <c r="O251" t="s">
        <v>267</v>
      </c>
      <c r="P251" t="s">
        <v>344</v>
      </c>
      <c r="Q251">
        <v>32891</v>
      </c>
      <c r="R251" t="s">
        <v>27</v>
      </c>
      <c r="S251" s="10">
        <v>23.730298350073568</v>
      </c>
      <c r="T251">
        <v>27</v>
      </c>
    </row>
    <row r="252" spans="1:20" x14ac:dyDescent="0.3">
      <c r="A252">
        <v>1019</v>
      </c>
      <c r="B252" t="s">
        <v>764</v>
      </c>
      <c r="C252" t="s">
        <v>374</v>
      </c>
      <c r="D252" t="s">
        <v>765</v>
      </c>
      <c r="E252" t="s">
        <v>766</v>
      </c>
      <c r="F252" t="s">
        <v>554</v>
      </c>
      <c r="G252" t="s">
        <v>298</v>
      </c>
      <c r="H252" t="s">
        <v>22</v>
      </c>
      <c r="I252" t="s">
        <v>23</v>
      </c>
      <c r="J252" s="1">
        <v>231</v>
      </c>
      <c r="K252" s="1">
        <v>46.2</v>
      </c>
      <c r="L252" s="3">
        <v>5</v>
      </c>
      <c r="M252" t="s">
        <v>66</v>
      </c>
      <c r="N252" s="2">
        <v>44183</v>
      </c>
      <c r="O252" t="s">
        <v>767</v>
      </c>
      <c r="P252" t="s">
        <v>768</v>
      </c>
      <c r="Q252">
        <v>83705</v>
      </c>
      <c r="R252" t="s">
        <v>27</v>
      </c>
      <c r="S252" s="10">
        <v>7.5080199782127712</v>
      </c>
      <c r="T252">
        <v>7</v>
      </c>
    </row>
    <row r="253" spans="1:20" x14ac:dyDescent="0.3">
      <c r="A253">
        <v>1034</v>
      </c>
      <c r="B253" t="s">
        <v>724</v>
      </c>
      <c r="C253" t="s">
        <v>881</v>
      </c>
      <c r="D253" t="s">
        <v>882</v>
      </c>
      <c r="E253" t="s">
        <v>883</v>
      </c>
      <c r="F253" t="s">
        <v>884</v>
      </c>
      <c r="G253" t="s">
        <v>885</v>
      </c>
      <c r="H253" t="s">
        <v>34</v>
      </c>
      <c r="I253" t="s">
        <v>23</v>
      </c>
      <c r="J253" s="1">
        <v>968</v>
      </c>
      <c r="K253" s="1">
        <v>38.72</v>
      </c>
      <c r="L253" s="3">
        <v>25</v>
      </c>
      <c r="M253" t="s">
        <v>24</v>
      </c>
      <c r="N253" s="2">
        <v>44186</v>
      </c>
      <c r="O253" t="s">
        <v>245</v>
      </c>
      <c r="P253" t="s">
        <v>886</v>
      </c>
      <c r="Q253">
        <v>74108</v>
      </c>
      <c r="R253" t="s">
        <v>27</v>
      </c>
      <c r="S253" s="10">
        <v>55.543519799982555</v>
      </c>
      <c r="T253">
        <v>47</v>
      </c>
    </row>
    <row r="254" spans="1:20" x14ac:dyDescent="0.3">
      <c r="A254">
        <v>1782</v>
      </c>
      <c r="B254" t="s">
        <v>887</v>
      </c>
      <c r="C254" t="s">
        <v>708</v>
      </c>
      <c r="D254" t="s">
        <v>888</v>
      </c>
      <c r="E254" t="s">
        <v>889</v>
      </c>
      <c r="F254" t="s">
        <v>890</v>
      </c>
      <c r="G254" t="s">
        <v>265</v>
      </c>
      <c r="H254" t="s">
        <v>22</v>
      </c>
      <c r="I254" t="s">
        <v>35</v>
      </c>
      <c r="J254" s="1">
        <v>44</v>
      </c>
      <c r="K254" s="1">
        <v>44</v>
      </c>
      <c r="L254" s="3">
        <v>1</v>
      </c>
      <c r="M254" t="s">
        <v>143</v>
      </c>
      <c r="N254" s="2">
        <v>44187</v>
      </c>
      <c r="O254" t="s">
        <v>623</v>
      </c>
      <c r="P254" t="s">
        <v>891</v>
      </c>
      <c r="Q254">
        <v>66210</v>
      </c>
      <c r="R254" t="s">
        <v>27</v>
      </c>
      <c r="S254" s="10">
        <v>1.9794162986856401</v>
      </c>
      <c r="T254">
        <v>1</v>
      </c>
    </row>
    <row r="255" spans="1:20" x14ac:dyDescent="0.3">
      <c r="A255">
        <v>1984</v>
      </c>
      <c r="B255" t="s">
        <v>892</v>
      </c>
      <c r="C255" t="s">
        <v>893</v>
      </c>
      <c r="D255" t="s">
        <v>894</v>
      </c>
      <c r="E255" t="s">
        <v>895</v>
      </c>
      <c r="F255" t="s">
        <v>896</v>
      </c>
      <c r="G255" t="s">
        <v>712</v>
      </c>
      <c r="H255" t="s">
        <v>22</v>
      </c>
      <c r="I255" t="s">
        <v>65</v>
      </c>
      <c r="J255" s="1">
        <v>314</v>
      </c>
      <c r="K255" s="1">
        <v>44.857142857142854</v>
      </c>
      <c r="L255" s="3">
        <v>7</v>
      </c>
      <c r="M255" t="s">
        <v>66</v>
      </c>
      <c r="N255" s="2">
        <v>44188</v>
      </c>
      <c r="O255" t="s">
        <v>173</v>
      </c>
      <c r="P255" t="s">
        <v>579</v>
      </c>
      <c r="Q255">
        <v>65810</v>
      </c>
      <c r="R255" t="s">
        <v>27</v>
      </c>
      <c r="S255" s="10">
        <v>10.258983426598006</v>
      </c>
      <c r="T255">
        <v>9</v>
      </c>
    </row>
    <row r="256" spans="1:20" x14ac:dyDescent="0.3">
      <c r="A256">
        <v>1552</v>
      </c>
      <c r="B256" t="s">
        <v>794</v>
      </c>
      <c r="C256" t="s">
        <v>897</v>
      </c>
      <c r="D256" t="s">
        <v>898</v>
      </c>
      <c r="E256" t="s">
        <v>899</v>
      </c>
      <c r="F256" t="s">
        <v>900</v>
      </c>
      <c r="G256" t="s">
        <v>82</v>
      </c>
      <c r="H256" t="s">
        <v>22</v>
      </c>
      <c r="I256" t="s">
        <v>55</v>
      </c>
      <c r="J256" s="1">
        <v>928</v>
      </c>
      <c r="K256" s="1">
        <v>38.666666666666664</v>
      </c>
      <c r="L256" s="3">
        <v>24</v>
      </c>
      <c r="M256" t="s">
        <v>36</v>
      </c>
      <c r="N256" s="2">
        <v>44191</v>
      </c>
      <c r="O256" t="s">
        <v>37</v>
      </c>
      <c r="P256" t="s">
        <v>870</v>
      </c>
      <c r="Q256">
        <v>92145</v>
      </c>
      <c r="R256" t="s">
        <v>27</v>
      </c>
      <c r="S256" s="10">
        <v>57.969700491775519</v>
      </c>
      <c r="T256">
        <v>47</v>
      </c>
    </row>
    <row r="257" spans="1:20" x14ac:dyDescent="0.3">
      <c r="A257">
        <v>1980</v>
      </c>
      <c r="B257" t="s">
        <v>901</v>
      </c>
      <c r="C257" t="s">
        <v>747</v>
      </c>
      <c r="D257" t="s">
        <v>902</v>
      </c>
      <c r="E257" t="s">
        <v>903</v>
      </c>
      <c r="F257" t="s">
        <v>904</v>
      </c>
      <c r="G257" t="s">
        <v>781</v>
      </c>
      <c r="H257" t="s">
        <v>34</v>
      </c>
      <c r="I257" t="s">
        <v>65</v>
      </c>
      <c r="J257" s="1">
        <v>320</v>
      </c>
      <c r="K257" s="1">
        <v>35.555555555555557</v>
      </c>
      <c r="L257" s="3">
        <v>9</v>
      </c>
      <c r="M257" t="s">
        <v>36</v>
      </c>
      <c r="N257" s="2">
        <v>44192</v>
      </c>
      <c r="O257" t="s">
        <v>37</v>
      </c>
      <c r="P257" t="s">
        <v>905</v>
      </c>
      <c r="Q257">
        <v>95138</v>
      </c>
      <c r="R257" t="s">
        <v>27</v>
      </c>
      <c r="S257" s="10">
        <v>15.891520215110237</v>
      </c>
      <c r="T257">
        <v>14</v>
      </c>
    </row>
    <row r="258" spans="1:20" x14ac:dyDescent="0.3">
      <c r="A258">
        <v>1594</v>
      </c>
      <c r="B258" t="s">
        <v>794</v>
      </c>
      <c r="C258" t="s">
        <v>906</v>
      </c>
      <c r="D258" t="s">
        <v>907</v>
      </c>
      <c r="E258" t="s">
        <v>908</v>
      </c>
      <c r="F258" t="s">
        <v>377</v>
      </c>
      <c r="G258" t="s">
        <v>909</v>
      </c>
      <c r="H258" t="s">
        <v>22</v>
      </c>
      <c r="I258" t="s">
        <v>117</v>
      </c>
      <c r="J258" s="1">
        <v>847</v>
      </c>
      <c r="K258" s="1">
        <v>40.333333333333336</v>
      </c>
      <c r="L258" s="3">
        <v>21</v>
      </c>
      <c r="M258" t="s">
        <v>36</v>
      </c>
      <c r="N258" s="2">
        <v>44196</v>
      </c>
      <c r="O258" t="s">
        <v>173</v>
      </c>
      <c r="P258" t="s">
        <v>174</v>
      </c>
      <c r="Q258">
        <v>64125</v>
      </c>
      <c r="R258" t="s">
        <v>27</v>
      </c>
      <c r="S258" s="10">
        <v>42.781594956621277</v>
      </c>
      <c r="T258">
        <v>34</v>
      </c>
    </row>
    <row r="259" spans="1:20" x14ac:dyDescent="0.3">
      <c r="A259">
        <v>1016</v>
      </c>
      <c r="B259" t="s">
        <v>910</v>
      </c>
      <c r="C259" t="s">
        <v>130</v>
      </c>
      <c r="D259" t="s">
        <v>911</v>
      </c>
      <c r="E259" t="s">
        <v>912</v>
      </c>
      <c r="F259" t="s">
        <v>722</v>
      </c>
      <c r="G259" t="s">
        <v>913</v>
      </c>
      <c r="H259" t="s">
        <v>34</v>
      </c>
      <c r="I259" t="s">
        <v>23</v>
      </c>
      <c r="J259" s="1">
        <v>610</v>
      </c>
      <c r="K259" s="1">
        <v>25.416666666666668</v>
      </c>
      <c r="L259" s="3">
        <v>24</v>
      </c>
      <c r="M259" t="s">
        <v>36</v>
      </c>
      <c r="N259" s="2">
        <v>44198</v>
      </c>
      <c r="O259" t="s">
        <v>396</v>
      </c>
      <c r="P259" t="s">
        <v>546</v>
      </c>
      <c r="Q259">
        <v>97296</v>
      </c>
      <c r="R259" t="s">
        <v>27</v>
      </c>
      <c r="S259" s="10">
        <v>52.121109803608178</v>
      </c>
      <c r="T259">
        <v>57</v>
      </c>
    </row>
    <row r="260" spans="1:20" x14ac:dyDescent="0.3">
      <c r="A260">
        <v>1365</v>
      </c>
      <c r="B260" t="s">
        <v>471</v>
      </c>
      <c r="C260" t="s">
        <v>472</v>
      </c>
      <c r="D260" t="s">
        <v>473</v>
      </c>
      <c r="E260" t="s">
        <v>474</v>
      </c>
      <c r="F260" t="s">
        <v>475</v>
      </c>
      <c r="G260" t="s">
        <v>476</v>
      </c>
      <c r="H260" t="s">
        <v>34</v>
      </c>
      <c r="I260" t="s">
        <v>55</v>
      </c>
      <c r="J260" s="1">
        <v>508</v>
      </c>
      <c r="K260" s="1">
        <v>25.4</v>
      </c>
      <c r="L260" s="3">
        <v>20</v>
      </c>
      <c r="M260" t="s">
        <v>66</v>
      </c>
      <c r="N260" s="2">
        <v>44200</v>
      </c>
      <c r="O260" t="s">
        <v>267</v>
      </c>
      <c r="P260" t="s">
        <v>477</v>
      </c>
      <c r="Q260">
        <v>33261</v>
      </c>
      <c r="R260" t="s">
        <v>27</v>
      </c>
      <c r="S260" s="10">
        <v>28.10134672178124</v>
      </c>
      <c r="T260">
        <v>39</v>
      </c>
    </row>
    <row r="261" spans="1:20" x14ac:dyDescent="0.3">
      <c r="A261">
        <v>1365</v>
      </c>
      <c r="B261" t="s">
        <v>471</v>
      </c>
      <c r="C261" t="s">
        <v>472</v>
      </c>
      <c r="D261" t="s">
        <v>473</v>
      </c>
      <c r="E261" t="s">
        <v>474</v>
      </c>
      <c r="F261" t="s">
        <v>475</v>
      </c>
      <c r="G261" t="s">
        <v>476</v>
      </c>
      <c r="H261" t="s">
        <v>34</v>
      </c>
      <c r="I261" t="s">
        <v>55</v>
      </c>
      <c r="J261" s="1">
        <v>400</v>
      </c>
      <c r="K261" s="1">
        <v>36.363636363636367</v>
      </c>
      <c r="L261" s="3">
        <v>11</v>
      </c>
      <c r="M261" t="s">
        <v>66</v>
      </c>
      <c r="N261" s="2">
        <v>44203</v>
      </c>
      <c r="O261" t="s">
        <v>267</v>
      </c>
      <c r="P261" t="s">
        <v>477</v>
      </c>
      <c r="Q261">
        <v>33261</v>
      </c>
      <c r="R261" t="s">
        <v>27</v>
      </c>
      <c r="S261" s="10">
        <v>21.364441528944049</v>
      </c>
      <c r="T261">
        <v>24</v>
      </c>
    </row>
    <row r="262" spans="1:20" x14ac:dyDescent="0.3">
      <c r="A262">
        <v>1783</v>
      </c>
      <c r="B262" t="s">
        <v>302</v>
      </c>
      <c r="C262" t="s">
        <v>303</v>
      </c>
      <c r="D262" t="s">
        <v>304</v>
      </c>
      <c r="E262" t="s">
        <v>305</v>
      </c>
      <c r="F262" t="s">
        <v>306</v>
      </c>
      <c r="G262" t="s">
        <v>307</v>
      </c>
      <c r="H262" t="s">
        <v>34</v>
      </c>
      <c r="I262" t="s">
        <v>35</v>
      </c>
      <c r="J262" s="1">
        <v>66</v>
      </c>
      <c r="K262" s="1">
        <v>66</v>
      </c>
      <c r="L262" s="3">
        <v>1</v>
      </c>
      <c r="M262" t="s">
        <v>244</v>
      </c>
      <c r="N262" s="2">
        <v>44203</v>
      </c>
      <c r="O262" t="s">
        <v>308</v>
      </c>
      <c r="P262" t="s">
        <v>309</v>
      </c>
      <c r="Q262">
        <v>85715</v>
      </c>
      <c r="R262" t="s">
        <v>27</v>
      </c>
      <c r="S262" s="10">
        <v>2.0023912271571658</v>
      </c>
      <c r="T262">
        <v>2</v>
      </c>
    </row>
    <row r="263" spans="1:20" x14ac:dyDescent="0.3">
      <c r="A263">
        <v>1076</v>
      </c>
      <c r="B263" t="s">
        <v>455</v>
      </c>
      <c r="C263" t="s">
        <v>914</v>
      </c>
      <c r="D263" t="s">
        <v>915</v>
      </c>
      <c r="E263" t="s">
        <v>916</v>
      </c>
      <c r="F263" t="s">
        <v>917</v>
      </c>
      <c r="G263" t="s">
        <v>918</v>
      </c>
      <c r="H263" t="s">
        <v>22</v>
      </c>
      <c r="I263" t="s">
        <v>55</v>
      </c>
      <c r="J263" s="1">
        <v>401</v>
      </c>
      <c r="K263" s="1">
        <v>36.454545454545453</v>
      </c>
      <c r="L263" s="3">
        <v>11</v>
      </c>
      <c r="M263" t="s">
        <v>36</v>
      </c>
      <c r="N263" s="2">
        <v>44204</v>
      </c>
      <c r="O263" t="s">
        <v>187</v>
      </c>
      <c r="P263" t="s">
        <v>919</v>
      </c>
      <c r="Q263">
        <v>28055</v>
      </c>
      <c r="R263" t="s">
        <v>27</v>
      </c>
      <c r="S263" s="10">
        <v>22.869392316745348</v>
      </c>
      <c r="T263">
        <v>19</v>
      </c>
    </row>
    <row r="264" spans="1:20" x14ac:dyDescent="0.3">
      <c r="A264">
        <v>1020</v>
      </c>
      <c r="B264" t="s">
        <v>310</v>
      </c>
      <c r="C264" t="s">
        <v>311</v>
      </c>
      <c r="D264" t="s">
        <v>312</v>
      </c>
      <c r="E264" t="s">
        <v>313</v>
      </c>
      <c r="F264" t="s">
        <v>314</v>
      </c>
      <c r="G264" t="s">
        <v>315</v>
      </c>
      <c r="H264" t="s">
        <v>22</v>
      </c>
      <c r="I264" t="s">
        <v>23</v>
      </c>
      <c r="J264" s="1">
        <v>255</v>
      </c>
      <c r="K264" s="1">
        <v>42.5</v>
      </c>
      <c r="L264" s="3">
        <v>6</v>
      </c>
      <c r="M264" t="s">
        <v>36</v>
      </c>
      <c r="N264" s="2">
        <v>44206</v>
      </c>
      <c r="O264" t="s">
        <v>37</v>
      </c>
      <c r="P264" t="s">
        <v>316</v>
      </c>
      <c r="Q264">
        <v>94105</v>
      </c>
      <c r="R264" t="s">
        <v>27</v>
      </c>
      <c r="S264" s="10">
        <v>13.12856092071635</v>
      </c>
      <c r="T264">
        <v>9</v>
      </c>
    </row>
    <row r="265" spans="1:20" x14ac:dyDescent="0.3">
      <c r="A265">
        <v>1170</v>
      </c>
      <c r="B265" t="s">
        <v>153</v>
      </c>
      <c r="C265" t="s">
        <v>154</v>
      </c>
      <c r="D265" t="s">
        <v>155</v>
      </c>
      <c r="E265" t="s">
        <v>156</v>
      </c>
      <c r="F265" t="s">
        <v>157</v>
      </c>
      <c r="G265" t="s">
        <v>158</v>
      </c>
      <c r="H265" t="s">
        <v>34</v>
      </c>
      <c r="I265" t="s">
        <v>65</v>
      </c>
      <c r="J265" s="1">
        <v>81</v>
      </c>
      <c r="K265" s="1">
        <v>40.5</v>
      </c>
      <c r="L265" s="3">
        <v>2</v>
      </c>
      <c r="M265" t="s">
        <v>24</v>
      </c>
      <c r="N265" s="2">
        <v>44206</v>
      </c>
      <c r="O265" t="s">
        <v>67</v>
      </c>
      <c r="P265" t="s">
        <v>159</v>
      </c>
      <c r="Q265">
        <v>88574</v>
      </c>
      <c r="R265" t="s">
        <v>27</v>
      </c>
      <c r="S265" s="10">
        <v>4.9579297084721121</v>
      </c>
      <c r="T265">
        <v>3</v>
      </c>
    </row>
    <row r="266" spans="1:20" x14ac:dyDescent="0.3">
      <c r="A266">
        <v>1998</v>
      </c>
      <c r="B266" t="s">
        <v>111</v>
      </c>
      <c r="C266" t="s">
        <v>112</v>
      </c>
      <c r="D266" t="s">
        <v>113</v>
      </c>
      <c r="E266" t="s">
        <v>114</v>
      </c>
      <c r="F266" t="s">
        <v>115</v>
      </c>
      <c r="G266" t="s">
        <v>116</v>
      </c>
      <c r="H266" t="s">
        <v>34</v>
      </c>
      <c r="I266" t="s">
        <v>117</v>
      </c>
      <c r="J266" s="1">
        <v>785</v>
      </c>
      <c r="K266" s="1">
        <v>43.611111111111114</v>
      </c>
      <c r="L266" s="3">
        <v>18</v>
      </c>
      <c r="M266" t="s">
        <v>36</v>
      </c>
      <c r="N266" s="2">
        <v>44206</v>
      </c>
      <c r="O266" t="s">
        <v>118</v>
      </c>
      <c r="P266" t="s">
        <v>119</v>
      </c>
      <c r="Q266">
        <v>55146</v>
      </c>
      <c r="R266" t="s">
        <v>27</v>
      </c>
      <c r="S266" s="10">
        <v>43.44679833800182</v>
      </c>
      <c r="T266">
        <v>22</v>
      </c>
    </row>
    <row r="267" spans="1:20" x14ac:dyDescent="0.3">
      <c r="A267">
        <v>1276</v>
      </c>
      <c r="B267" t="s">
        <v>310</v>
      </c>
      <c r="C267" t="s">
        <v>920</v>
      </c>
      <c r="D267" t="s">
        <v>921</v>
      </c>
      <c r="E267" t="s">
        <v>922</v>
      </c>
      <c r="F267" t="s">
        <v>923</v>
      </c>
      <c r="G267" t="s">
        <v>506</v>
      </c>
      <c r="H267" t="s">
        <v>22</v>
      </c>
      <c r="I267" t="s">
        <v>55</v>
      </c>
      <c r="J267" s="1">
        <v>63</v>
      </c>
      <c r="K267" s="1">
        <v>31.5</v>
      </c>
      <c r="L267" s="3">
        <v>2</v>
      </c>
      <c r="M267" t="s">
        <v>343</v>
      </c>
      <c r="N267" s="2">
        <v>44208</v>
      </c>
      <c r="O267" t="s">
        <v>83</v>
      </c>
      <c r="P267" t="s">
        <v>511</v>
      </c>
      <c r="Q267">
        <v>10079</v>
      </c>
      <c r="R267" t="s">
        <v>27</v>
      </c>
      <c r="S267" s="10">
        <v>3.4974779316989322</v>
      </c>
      <c r="T267">
        <v>3</v>
      </c>
    </row>
    <row r="268" spans="1:20" x14ac:dyDescent="0.3">
      <c r="A268">
        <v>1021</v>
      </c>
      <c r="B268" t="s">
        <v>16</v>
      </c>
      <c r="C268" t="s">
        <v>17</v>
      </c>
      <c r="D268" t="s">
        <v>18</v>
      </c>
      <c r="E268" t="s">
        <v>19</v>
      </c>
      <c r="F268" t="s">
        <v>20</v>
      </c>
      <c r="G268" t="s">
        <v>21</v>
      </c>
      <c r="H268" t="s">
        <v>22</v>
      </c>
      <c r="I268" t="s">
        <v>23</v>
      </c>
      <c r="J268" s="1">
        <v>626</v>
      </c>
      <c r="K268" s="1">
        <v>32.94736842105263</v>
      </c>
      <c r="L268" s="3">
        <v>19</v>
      </c>
      <c r="M268" t="s">
        <v>24</v>
      </c>
      <c r="N268" s="2">
        <v>44210</v>
      </c>
      <c r="O268" t="s">
        <v>25</v>
      </c>
      <c r="P268" t="s">
        <v>26</v>
      </c>
      <c r="Q268">
        <v>48555</v>
      </c>
      <c r="R268" t="s">
        <v>27</v>
      </c>
      <c r="S268" s="10">
        <v>27.767546019272586</v>
      </c>
      <c r="T268">
        <v>37</v>
      </c>
    </row>
    <row r="269" spans="1:20" x14ac:dyDescent="0.3">
      <c r="A269">
        <v>1944</v>
      </c>
      <c r="B269" t="s">
        <v>380</v>
      </c>
      <c r="C269" t="s">
        <v>198</v>
      </c>
      <c r="D269" t="s">
        <v>924</v>
      </c>
      <c r="E269" t="s">
        <v>925</v>
      </c>
      <c r="F269" t="s">
        <v>926</v>
      </c>
      <c r="G269" t="s">
        <v>506</v>
      </c>
      <c r="H269" t="s">
        <v>22</v>
      </c>
      <c r="I269" t="s">
        <v>135</v>
      </c>
      <c r="J269" s="1">
        <v>345</v>
      </c>
      <c r="K269" s="1">
        <v>28.75</v>
      </c>
      <c r="L269" s="3">
        <v>12</v>
      </c>
      <c r="M269" t="s">
        <v>244</v>
      </c>
      <c r="N269" s="2">
        <v>44210</v>
      </c>
      <c r="O269" t="s">
        <v>229</v>
      </c>
      <c r="P269" t="s">
        <v>927</v>
      </c>
      <c r="Q269">
        <v>45238</v>
      </c>
      <c r="R269" t="s">
        <v>27</v>
      </c>
      <c r="S269" s="10">
        <v>22.142077405534501</v>
      </c>
      <c r="T269">
        <v>24</v>
      </c>
    </row>
    <row r="270" spans="1:20" x14ac:dyDescent="0.3">
      <c r="A270">
        <v>1092</v>
      </c>
      <c r="B270" t="s">
        <v>518</v>
      </c>
      <c r="C270" t="s">
        <v>519</v>
      </c>
      <c r="D270" t="s">
        <v>520</v>
      </c>
      <c r="E270" t="s">
        <v>521</v>
      </c>
      <c r="F270" t="s">
        <v>522</v>
      </c>
      <c r="G270" t="s">
        <v>523</v>
      </c>
      <c r="H270" t="s">
        <v>22</v>
      </c>
      <c r="I270" t="s">
        <v>55</v>
      </c>
      <c r="J270" s="1">
        <v>29</v>
      </c>
      <c r="K270" s="1">
        <v>29</v>
      </c>
      <c r="L270" s="3">
        <v>1</v>
      </c>
      <c r="M270" t="s">
        <v>343</v>
      </c>
      <c r="N270" s="2">
        <v>44211</v>
      </c>
      <c r="O270" t="s">
        <v>267</v>
      </c>
      <c r="P270" t="s">
        <v>524</v>
      </c>
      <c r="Q270">
        <v>34233</v>
      </c>
      <c r="R270" t="s">
        <v>27</v>
      </c>
      <c r="S270" s="10">
        <v>1.6755118791657087</v>
      </c>
      <c r="T270">
        <v>2</v>
      </c>
    </row>
    <row r="271" spans="1:20" x14ac:dyDescent="0.3">
      <c r="A271">
        <v>1022</v>
      </c>
      <c r="B271" t="s">
        <v>591</v>
      </c>
      <c r="C271" t="s">
        <v>592</v>
      </c>
      <c r="D271" t="s">
        <v>593</v>
      </c>
      <c r="E271" t="s">
        <v>594</v>
      </c>
      <c r="F271" t="s">
        <v>595</v>
      </c>
      <c r="G271" t="s">
        <v>279</v>
      </c>
      <c r="H271" t="s">
        <v>34</v>
      </c>
      <c r="I271" t="s">
        <v>23</v>
      </c>
      <c r="J271" s="1">
        <v>267</v>
      </c>
      <c r="K271" s="1">
        <v>29.666666666666668</v>
      </c>
      <c r="L271" s="3">
        <v>9</v>
      </c>
      <c r="M271" t="s">
        <v>36</v>
      </c>
      <c r="N271" s="2">
        <v>44214</v>
      </c>
      <c r="O271" t="s">
        <v>470</v>
      </c>
      <c r="P271" t="s">
        <v>358</v>
      </c>
      <c r="Q271">
        <v>20430</v>
      </c>
      <c r="R271" t="s">
        <v>27</v>
      </c>
      <c r="S271" s="10">
        <v>17.158889526373326</v>
      </c>
      <c r="T271">
        <v>16</v>
      </c>
    </row>
    <row r="272" spans="1:20" x14ac:dyDescent="0.3">
      <c r="A272">
        <v>1464</v>
      </c>
      <c r="B272" t="s">
        <v>928</v>
      </c>
      <c r="C272" t="s">
        <v>929</v>
      </c>
      <c r="D272" t="s">
        <v>930</v>
      </c>
      <c r="E272" t="s">
        <v>931</v>
      </c>
      <c r="F272" t="s">
        <v>904</v>
      </c>
      <c r="G272" t="s">
        <v>932</v>
      </c>
      <c r="H272" t="s">
        <v>22</v>
      </c>
      <c r="I272" t="s">
        <v>75</v>
      </c>
      <c r="J272" s="1">
        <v>310</v>
      </c>
      <c r="K272" s="1">
        <v>28.181818181818183</v>
      </c>
      <c r="L272" s="3">
        <v>11</v>
      </c>
      <c r="M272" t="s">
        <v>36</v>
      </c>
      <c r="N272" s="2">
        <v>44214</v>
      </c>
      <c r="O272" t="s">
        <v>568</v>
      </c>
      <c r="P272" t="s">
        <v>933</v>
      </c>
      <c r="Q272">
        <v>37205</v>
      </c>
      <c r="R272" t="s">
        <v>27</v>
      </c>
      <c r="S272" s="10">
        <v>24.061918136125527</v>
      </c>
      <c r="T272">
        <v>20</v>
      </c>
    </row>
    <row r="273" spans="1:20" x14ac:dyDescent="0.3">
      <c r="A273">
        <v>1812</v>
      </c>
      <c r="B273" t="s">
        <v>231</v>
      </c>
      <c r="C273" t="s">
        <v>232</v>
      </c>
      <c r="D273" t="s">
        <v>233</v>
      </c>
      <c r="E273" t="s">
        <v>234</v>
      </c>
      <c r="F273" t="s">
        <v>235</v>
      </c>
      <c r="G273" t="s">
        <v>74</v>
      </c>
      <c r="H273" t="s">
        <v>34</v>
      </c>
      <c r="I273" t="s">
        <v>236</v>
      </c>
      <c r="J273" s="1">
        <v>755</v>
      </c>
      <c r="K273" s="1">
        <v>26.03448275862069</v>
      </c>
      <c r="L273" s="3">
        <v>29</v>
      </c>
      <c r="M273" t="s">
        <v>126</v>
      </c>
      <c r="N273" s="2">
        <v>44214</v>
      </c>
      <c r="O273" t="s">
        <v>237</v>
      </c>
      <c r="P273" t="s">
        <v>238</v>
      </c>
      <c r="Q273">
        <v>35220</v>
      </c>
      <c r="R273" t="s">
        <v>27</v>
      </c>
      <c r="S273" s="10">
        <v>40.588115104490498</v>
      </c>
      <c r="T273">
        <v>66</v>
      </c>
    </row>
    <row r="274" spans="1:20" x14ac:dyDescent="0.3">
      <c r="A274">
        <v>1408</v>
      </c>
      <c r="B274" t="s">
        <v>828</v>
      </c>
      <c r="C274" t="s">
        <v>897</v>
      </c>
      <c r="D274" t="s">
        <v>934</v>
      </c>
      <c r="E274" t="s">
        <v>935</v>
      </c>
      <c r="F274" t="s">
        <v>936</v>
      </c>
      <c r="G274" t="s">
        <v>937</v>
      </c>
      <c r="H274" t="s">
        <v>34</v>
      </c>
      <c r="I274" t="s">
        <v>236</v>
      </c>
      <c r="J274" s="1">
        <v>787</v>
      </c>
      <c r="K274" s="1">
        <v>41.421052631578945</v>
      </c>
      <c r="L274" s="3">
        <v>19</v>
      </c>
      <c r="M274" t="s">
        <v>36</v>
      </c>
      <c r="N274" s="2">
        <v>44216</v>
      </c>
      <c r="O274" t="s">
        <v>67</v>
      </c>
      <c r="P274" t="s">
        <v>938</v>
      </c>
      <c r="Q274">
        <v>76598</v>
      </c>
      <c r="R274" t="s">
        <v>27</v>
      </c>
      <c r="S274" s="10">
        <v>29.076317940112489</v>
      </c>
      <c r="T274">
        <v>27</v>
      </c>
    </row>
    <row r="275" spans="1:20" x14ac:dyDescent="0.3">
      <c r="A275">
        <v>1407</v>
      </c>
      <c r="B275" t="s">
        <v>59</v>
      </c>
      <c r="C275" t="s">
        <v>939</v>
      </c>
      <c r="D275" t="s">
        <v>940</v>
      </c>
      <c r="E275" t="s">
        <v>941</v>
      </c>
      <c r="F275" t="s">
        <v>942</v>
      </c>
      <c r="G275" t="s">
        <v>943</v>
      </c>
      <c r="H275" t="s">
        <v>34</v>
      </c>
      <c r="I275" t="s">
        <v>98</v>
      </c>
      <c r="J275" s="1">
        <v>687</v>
      </c>
      <c r="K275" s="1">
        <v>36.157894736842103</v>
      </c>
      <c r="L275" s="3">
        <v>19</v>
      </c>
      <c r="M275" t="s">
        <v>404</v>
      </c>
      <c r="N275" s="2">
        <v>44218</v>
      </c>
      <c r="O275" t="s">
        <v>37</v>
      </c>
      <c r="P275" t="s">
        <v>870</v>
      </c>
      <c r="Q275">
        <v>92153</v>
      </c>
      <c r="R275" t="s">
        <v>27</v>
      </c>
      <c r="S275" s="10">
        <v>37.909314093413954</v>
      </c>
      <c r="T275">
        <v>38</v>
      </c>
    </row>
    <row r="276" spans="1:20" x14ac:dyDescent="0.3">
      <c r="A276">
        <v>1724</v>
      </c>
      <c r="B276" t="s">
        <v>550</v>
      </c>
      <c r="C276" t="s">
        <v>944</v>
      </c>
      <c r="D276" t="s">
        <v>945</v>
      </c>
      <c r="E276" t="s">
        <v>946</v>
      </c>
      <c r="F276" t="s">
        <v>947</v>
      </c>
      <c r="G276" t="s">
        <v>948</v>
      </c>
      <c r="H276" t="s">
        <v>22</v>
      </c>
      <c r="I276" t="s">
        <v>35</v>
      </c>
      <c r="J276" s="1">
        <v>674</v>
      </c>
      <c r="K276" s="1">
        <v>30.636363636363637</v>
      </c>
      <c r="L276" s="3">
        <v>22</v>
      </c>
      <c r="M276" t="s">
        <v>203</v>
      </c>
      <c r="N276" s="2">
        <v>44219</v>
      </c>
      <c r="O276" t="s">
        <v>67</v>
      </c>
      <c r="P276" t="s">
        <v>841</v>
      </c>
      <c r="Q276">
        <v>75221</v>
      </c>
      <c r="R276" t="s">
        <v>27</v>
      </c>
      <c r="S276" s="10">
        <v>29.027139583991751</v>
      </c>
      <c r="T276">
        <v>48</v>
      </c>
    </row>
    <row r="277" spans="1:20" x14ac:dyDescent="0.3">
      <c r="A277">
        <v>1170</v>
      </c>
      <c r="B277" t="s">
        <v>153</v>
      </c>
      <c r="C277" t="s">
        <v>154</v>
      </c>
      <c r="D277" t="s">
        <v>155</v>
      </c>
      <c r="E277" t="s">
        <v>156</v>
      </c>
      <c r="F277" t="s">
        <v>157</v>
      </c>
      <c r="G277" t="s">
        <v>158</v>
      </c>
      <c r="H277" t="s">
        <v>34</v>
      </c>
      <c r="I277" t="s">
        <v>65</v>
      </c>
      <c r="J277" s="1">
        <v>341</v>
      </c>
      <c r="K277" s="1">
        <v>42.625</v>
      </c>
      <c r="L277" s="3">
        <v>8</v>
      </c>
      <c r="M277" t="s">
        <v>24</v>
      </c>
      <c r="N277" s="2">
        <v>44228</v>
      </c>
      <c r="O277" t="s">
        <v>67</v>
      </c>
      <c r="P277" t="s">
        <v>159</v>
      </c>
      <c r="Q277">
        <v>88574</v>
      </c>
      <c r="R277" t="s">
        <v>27</v>
      </c>
      <c r="S277" s="10">
        <v>16.007175965931236</v>
      </c>
      <c r="T277">
        <v>12</v>
      </c>
    </row>
    <row r="278" spans="1:20" x14ac:dyDescent="0.3">
      <c r="A278">
        <v>1770</v>
      </c>
      <c r="B278" t="s">
        <v>310</v>
      </c>
      <c r="C278" t="s">
        <v>541</v>
      </c>
      <c r="D278" t="s">
        <v>949</v>
      </c>
      <c r="E278" t="s">
        <v>950</v>
      </c>
      <c r="F278" t="s">
        <v>193</v>
      </c>
      <c r="G278" t="s">
        <v>951</v>
      </c>
      <c r="H278" t="s">
        <v>22</v>
      </c>
      <c r="I278" t="s">
        <v>35</v>
      </c>
      <c r="J278" s="1">
        <v>471</v>
      </c>
      <c r="K278" s="1">
        <v>26.166666666666668</v>
      </c>
      <c r="L278" s="3">
        <v>18</v>
      </c>
      <c r="M278" t="s">
        <v>447</v>
      </c>
      <c r="N278" s="2">
        <v>44229</v>
      </c>
      <c r="O278" t="s">
        <v>952</v>
      </c>
      <c r="P278" t="s">
        <v>953</v>
      </c>
      <c r="Q278">
        <v>8608</v>
      </c>
      <c r="R278" t="s">
        <v>27</v>
      </c>
      <c r="S278" s="10">
        <v>30.351621744893677</v>
      </c>
      <c r="T278">
        <v>26</v>
      </c>
    </row>
    <row r="279" spans="1:20" x14ac:dyDescent="0.3">
      <c r="A279">
        <v>1298</v>
      </c>
      <c r="B279" t="s">
        <v>275</v>
      </c>
      <c r="C279" t="s">
        <v>340</v>
      </c>
      <c r="D279" t="s">
        <v>341</v>
      </c>
      <c r="E279" t="s">
        <v>342</v>
      </c>
      <c r="F279" t="s">
        <v>306</v>
      </c>
      <c r="G279" t="s">
        <v>180</v>
      </c>
      <c r="H279" t="s">
        <v>22</v>
      </c>
      <c r="I279" t="s">
        <v>236</v>
      </c>
      <c r="J279" s="1">
        <v>465</v>
      </c>
      <c r="K279" s="1">
        <v>27.352941176470587</v>
      </c>
      <c r="L279" s="3">
        <v>17</v>
      </c>
      <c r="M279" t="s">
        <v>343</v>
      </c>
      <c r="N279" s="2">
        <v>44234</v>
      </c>
      <c r="O279" t="s">
        <v>267</v>
      </c>
      <c r="P279" t="s">
        <v>344</v>
      </c>
      <c r="Q279">
        <v>32891</v>
      </c>
      <c r="R279" t="s">
        <v>27</v>
      </c>
      <c r="S279" s="10">
        <v>38.540007393314596</v>
      </c>
      <c r="T279">
        <v>27</v>
      </c>
    </row>
    <row r="280" spans="1:20" x14ac:dyDescent="0.3">
      <c r="A280">
        <v>1996</v>
      </c>
      <c r="B280" t="s">
        <v>167</v>
      </c>
      <c r="C280" t="s">
        <v>168</v>
      </c>
      <c r="D280" t="s">
        <v>169</v>
      </c>
      <c r="E280" t="s">
        <v>170</v>
      </c>
      <c r="F280" t="s">
        <v>171</v>
      </c>
      <c r="G280" t="s">
        <v>172</v>
      </c>
      <c r="H280" t="s">
        <v>22</v>
      </c>
      <c r="I280" t="s">
        <v>65</v>
      </c>
      <c r="J280" s="1">
        <v>514</v>
      </c>
      <c r="K280" s="1">
        <v>32.125</v>
      </c>
      <c r="L280" s="3">
        <v>16</v>
      </c>
      <c r="M280" t="s">
        <v>24</v>
      </c>
      <c r="N280" s="2">
        <v>44235</v>
      </c>
      <c r="O280" t="s">
        <v>173</v>
      </c>
      <c r="P280" t="s">
        <v>174</v>
      </c>
      <c r="Q280">
        <v>64160</v>
      </c>
      <c r="R280" t="s">
        <v>27</v>
      </c>
      <c r="S280" s="10">
        <v>34.095717485315632</v>
      </c>
      <c r="T280">
        <v>25</v>
      </c>
    </row>
    <row r="281" spans="1:20" x14ac:dyDescent="0.3">
      <c r="A281">
        <v>1092</v>
      </c>
      <c r="B281" t="s">
        <v>518</v>
      </c>
      <c r="C281" t="s">
        <v>519</v>
      </c>
      <c r="D281" t="s">
        <v>520</v>
      </c>
      <c r="E281" t="s">
        <v>521</v>
      </c>
      <c r="F281" t="s">
        <v>522</v>
      </c>
      <c r="G281" t="s">
        <v>523</v>
      </c>
      <c r="H281" t="s">
        <v>22</v>
      </c>
      <c r="I281" t="s">
        <v>55</v>
      </c>
      <c r="J281" s="1">
        <v>513</v>
      </c>
      <c r="K281" s="1">
        <v>42.75</v>
      </c>
      <c r="L281" s="3">
        <v>12</v>
      </c>
      <c r="M281" t="s">
        <v>343</v>
      </c>
      <c r="N281" s="2">
        <v>44236</v>
      </c>
      <c r="O281" t="s">
        <v>267</v>
      </c>
      <c r="P281" t="s">
        <v>524</v>
      </c>
      <c r="Q281">
        <v>34233</v>
      </c>
      <c r="R281" t="s">
        <v>27</v>
      </c>
      <c r="S281" s="10">
        <v>24.522913668469471</v>
      </c>
      <c r="T281">
        <v>18</v>
      </c>
    </row>
    <row r="282" spans="1:20" x14ac:dyDescent="0.3">
      <c r="A282">
        <v>1612</v>
      </c>
      <c r="B282" t="s">
        <v>746</v>
      </c>
      <c r="C282" t="s">
        <v>50</v>
      </c>
      <c r="D282" t="s">
        <v>954</v>
      </c>
      <c r="E282" t="s">
        <v>955</v>
      </c>
      <c r="F282" t="s">
        <v>956</v>
      </c>
      <c r="G282" t="s">
        <v>957</v>
      </c>
      <c r="H282" t="s">
        <v>34</v>
      </c>
      <c r="I282" t="s">
        <v>135</v>
      </c>
      <c r="J282" s="1">
        <v>804</v>
      </c>
      <c r="K282" s="1">
        <v>30.923076923076923</v>
      </c>
      <c r="L282" s="3">
        <v>26</v>
      </c>
      <c r="M282" t="s">
        <v>244</v>
      </c>
      <c r="N282" s="2">
        <v>44236</v>
      </c>
      <c r="O282" t="s">
        <v>958</v>
      </c>
      <c r="P282" t="s">
        <v>959</v>
      </c>
      <c r="Q282">
        <v>29319</v>
      </c>
      <c r="R282" t="s">
        <v>27</v>
      </c>
      <c r="S282" s="10">
        <v>50.052254044486908</v>
      </c>
      <c r="T282">
        <v>56</v>
      </c>
    </row>
    <row r="283" spans="1:20" x14ac:dyDescent="0.3">
      <c r="A283">
        <v>1092</v>
      </c>
      <c r="B283" t="s">
        <v>518</v>
      </c>
      <c r="C283" t="s">
        <v>519</v>
      </c>
      <c r="D283" t="s">
        <v>520</v>
      </c>
      <c r="E283" t="s">
        <v>521</v>
      </c>
      <c r="F283" t="s">
        <v>522</v>
      </c>
      <c r="G283" t="s">
        <v>523</v>
      </c>
      <c r="H283" t="s">
        <v>22</v>
      </c>
      <c r="I283" t="s">
        <v>55</v>
      </c>
      <c r="J283" s="1">
        <v>958</v>
      </c>
      <c r="K283" s="1">
        <v>27.37142857142857</v>
      </c>
      <c r="L283" s="3">
        <v>35</v>
      </c>
      <c r="M283" t="s">
        <v>343</v>
      </c>
      <c r="N283" s="2">
        <v>44237</v>
      </c>
      <c r="O283" t="s">
        <v>267</v>
      </c>
      <c r="P283" t="s">
        <v>524</v>
      </c>
      <c r="Q283">
        <v>34233</v>
      </c>
      <c r="R283" t="s">
        <v>27</v>
      </c>
      <c r="S283" s="10">
        <v>55.650017672181249</v>
      </c>
      <c r="T283">
        <v>72</v>
      </c>
    </row>
    <row r="284" spans="1:20" x14ac:dyDescent="0.3">
      <c r="A284">
        <v>1707</v>
      </c>
      <c r="B284" t="s">
        <v>175</v>
      </c>
      <c r="C284" t="s">
        <v>666</v>
      </c>
      <c r="D284" t="s">
        <v>960</v>
      </c>
      <c r="E284" t="s">
        <v>961</v>
      </c>
      <c r="F284" t="s">
        <v>402</v>
      </c>
      <c r="G284" t="s">
        <v>962</v>
      </c>
      <c r="H284" t="s">
        <v>34</v>
      </c>
      <c r="I284" t="s">
        <v>23</v>
      </c>
      <c r="J284" s="1">
        <v>412</v>
      </c>
      <c r="K284" s="1">
        <v>29.428571428571427</v>
      </c>
      <c r="L284" s="3">
        <v>14</v>
      </c>
      <c r="M284" t="s">
        <v>244</v>
      </c>
      <c r="N284" s="2">
        <v>44237</v>
      </c>
      <c r="O284" t="s">
        <v>144</v>
      </c>
      <c r="P284" t="s">
        <v>145</v>
      </c>
      <c r="Q284">
        <v>80223</v>
      </c>
      <c r="R284" t="s">
        <v>27</v>
      </c>
      <c r="S284" s="10">
        <v>29.64733365340113</v>
      </c>
      <c r="T284">
        <v>18</v>
      </c>
    </row>
    <row r="285" spans="1:20" x14ac:dyDescent="0.3">
      <c r="A285">
        <v>1593</v>
      </c>
      <c r="B285" t="s">
        <v>794</v>
      </c>
      <c r="C285" t="s">
        <v>963</v>
      </c>
      <c r="D285" t="s">
        <v>964</v>
      </c>
      <c r="E285" t="s">
        <v>965</v>
      </c>
      <c r="F285" t="s">
        <v>966</v>
      </c>
      <c r="G285" t="s">
        <v>967</v>
      </c>
      <c r="H285" t="s">
        <v>22</v>
      </c>
      <c r="I285" t="s">
        <v>117</v>
      </c>
      <c r="J285" s="1">
        <v>546</v>
      </c>
      <c r="K285" s="1">
        <v>27.3</v>
      </c>
      <c r="L285" s="3">
        <v>20</v>
      </c>
      <c r="M285" t="s">
        <v>36</v>
      </c>
      <c r="N285" s="2">
        <v>44239</v>
      </c>
      <c r="O285" t="s">
        <v>267</v>
      </c>
      <c r="P285" t="s">
        <v>968</v>
      </c>
      <c r="Q285">
        <v>33715</v>
      </c>
      <c r="R285" t="s">
        <v>27</v>
      </c>
      <c r="S285" s="10">
        <v>37.660724683880318</v>
      </c>
      <c r="T285">
        <v>34</v>
      </c>
    </row>
    <row r="286" spans="1:20" x14ac:dyDescent="0.3">
      <c r="A286">
        <v>1298</v>
      </c>
      <c r="B286" t="s">
        <v>275</v>
      </c>
      <c r="C286" t="s">
        <v>340</v>
      </c>
      <c r="D286" t="s">
        <v>341</v>
      </c>
      <c r="E286" t="s">
        <v>342</v>
      </c>
      <c r="F286" t="s">
        <v>306</v>
      </c>
      <c r="G286" t="s">
        <v>180</v>
      </c>
      <c r="H286" t="s">
        <v>22</v>
      </c>
      <c r="I286" t="s">
        <v>236</v>
      </c>
      <c r="J286" s="1">
        <v>684</v>
      </c>
      <c r="K286" s="1">
        <v>32.571428571428569</v>
      </c>
      <c r="L286" s="3">
        <v>21</v>
      </c>
      <c r="M286" t="s">
        <v>343</v>
      </c>
      <c r="N286" s="2">
        <v>44241</v>
      </c>
      <c r="O286" t="s">
        <v>267</v>
      </c>
      <c r="P286" t="s">
        <v>344</v>
      </c>
      <c r="Q286">
        <v>32891</v>
      </c>
      <c r="R286" t="s">
        <v>27</v>
      </c>
      <c r="S286" s="10">
        <v>43.621427580593327</v>
      </c>
      <c r="T286">
        <v>43</v>
      </c>
    </row>
    <row r="287" spans="1:20" x14ac:dyDescent="0.3">
      <c r="A287">
        <v>1277</v>
      </c>
      <c r="B287" t="s">
        <v>222</v>
      </c>
      <c r="C287" t="s">
        <v>223</v>
      </c>
      <c r="D287" t="s">
        <v>224</v>
      </c>
      <c r="E287" t="s">
        <v>225</v>
      </c>
      <c r="F287" t="s">
        <v>226</v>
      </c>
      <c r="G287" t="s">
        <v>227</v>
      </c>
      <c r="H287" t="s">
        <v>34</v>
      </c>
      <c r="I287" t="s">
        <v>228</v>
      </c>
      <c r="J287" s="1">
        <v>385</v>
      </c>
      <c r="K287" s="1">
        <v>38.5</v>
      </c>
      <c r="L287" s="3">
        <v>10</v>
      </c>
      <c r="M287" t="s">
        <v>203</v>
      </c>
      <c r="N287" s="2">
        <v>44242</v>
      </c>
      <c r="O287" t="s">
        <v>229</v>
      </c>
      <c r="P287" t="s">
        <v>230</v>
      </c>
      <c r="Q287">
        <v>44310</v>
      </c>
      <c r="R287" t="s">
        <v>27</v>
      </c>
      <c r="S287" s="10">
        <v>23.548155611467795</v>
      </c>
      <c r="T287">
        <v>19</v>
      </c>
    </row>
    <row r="288" spans="1:20" x14ac:dyDescent="0.3">
      <c r="A288">
        <v>1298</v>
      </c>
      <c r="B288" t="s">
        <v>275</v>
      </c>
      <c r="C288" t="s">
        <v>340</v>
      </c>
      <c r="D288" t="s">
        <v>341</v>
      </c>
      <c r="E288" t="s">
        <v>342</v>
      </c>
      <c r="F288" t="s">
        <v>306</v>
      </c>
      <c r="G288" t="s">
        <v>180</v>
      </c>
      <c r="H288" t="s">
        <v>22</v>
      </c>
      <c r="I288" t="s">
        <v>236</v>
      </c>
      <c r="J288" s="1">
        <v>306</v>
      </c>
      <c r="K288" s="1">
        <v>34</v>
      </c>
      <c r="L288" s="3">
        <v>9</v>
      </c>
      <c r="M288" t="s">
        <v>343</v>
      </c>
      <c r="N288" s="2">
        <v>44242</v>
      </c>
      <c r="O288" t="s">
        <v>267</v>
      </c>
      <c r="P288" t="s">
        <v>344</v>
      </c>
      <c r="Q288">
        <v>32891</v>
      </c>
      <c r="R288" t="s">
        <v>27</v>
      </c>
      <c r="S288" s="10">
        <v>20.156156082952435</v>
      </c>
      <c r="T288">
        <v>19</v>
      </c>
    </row>
    <row r="289" spans="1:20" x14ac:dyDescent="0.3">
      <c r="A289">
        <v>1021</v>
      </c>
      <c r="B289" t="s">
        <v>16</v>
      </c>
      <c r="C289" t="s">
        <v>17</v>
      </c>
      <c r="D289" t="s">
        <v>18</v>
      </c>
      <c r="E289" t="s">
        <v>19</v>
      </c>
      <c r="F289" t="s">
        <v>20</v>
      </c>
      <c r="G289" t="s">
        <v>21</v>
      </c>
      <c r="H289" t="s">
        <v>22</v>
      </c>
      <c r="I289" t="s">
        <v>23</v>
      </c>
      <c r="J289" s="1">
        <v>310</v>
      </c>
      <c r="K289" s="1">
        <v>25.833333333333332</v>
      </c>
      <c r="L289" s="3">
        <v>12</v>
      </c>
      <c r="M289" t="s">
        <v>24</v>
      </c>
      <c r="N289" s="2">
        <v>44243</v>
      </c>
      <c r="O289" t="s">
        <v>25</v>
      </c>
      <c r="P289" t="s">
        <v>26</v>
      </c>
      <c r="Q289">
        <v>48555</v>
      </c>
      <c r="R289" t="s">
        <v>27</v>
      </c>
      <c r="S289" s="10">
        <v>28.970411605234325</v>
      </c>
      <c r="T289">
        <v>21</v>
      </c>
    </row>
    <row r="290" spans="1:20" x14ac:dyDescent="0.3">
      <c r="A290">
        <v>1359</v>
      </c>
      <c r="B290" t="s">
        <v>969</v>
      </c>
      <c r="C290" t="s">
        <v>442</v>
      </c>
      <c r="D290" t="s">
        <v>970</v>
      </c>
      <c r="E290" t="s">
        <v>971</v>
      </c>
      <c r="F290" t="s">
        <v>972</v>
      </c>
      <c r="G290" t="s">
        <v>973</v>
      </c>
      <c r="H290" t="s">
        <v>34</v>
      </c>
      <c r="I290" t="s">
        <v>228</v>
      </c>
      <c r="J290" s="1">
        <v>793</v>
      </c>
      <c r="K290" s="1">
        <v>41.736842105263158</v>
      </c>
      <c r="L290" s="3">
        <v>19</v>
      </c>
      <c r="M290" t="s">
        <v>66</v>
      </c>
      <c r="N290" s="2">
        <v>44243</v>
      </c>
      <c r="O290" t="s">
        <v>67</v>
      </c>
      <c r="P290" t="s">
        <v>334</v>
      </c>
      <c r="Q290">
        <v>77293</v>
      </c>
      <c r="R290" t="s">
        <v>27</v>
      </c>
      <c r="S290" s="10">
        <v>35.29683736431744</v>
      </c>
      <c r="T290">
        <v>32</v>
      </c>
    </row>
    <row r="291" spans="1:20" x14ac:dyDescent="0.3">
      <c r="A291">
        <v>1489</v>
      </c>
      <c r="B291" t="s">
        <v>85</v>
      </c>
      <c r="C291" t="s">
        <v>86</v>
      </c>
      <c r="D291" t="s">
        <v>87</v>
      </c>
      <c r="E291" t="s">
        <v>88</v>
      </c>
      <c r="F291" t="s">
        <v>89</v>
      </c>
      <c r="G291" t="s">
        <v>90</v>
      </c>
      <c r="H291" t="s">
        <v>34</v>
      </c>
      <c r="I291" t="s">
        <v>23</v>
      </c>
      <c r="J291" s="1">
        <v>140</v>
      </c>
      <c r="K291" s="1">
        <v>46.666666666666664</v>
      </c>
      <c r="L291" s="3">
        <v>3</v>
      </c>
      <c r="M291" t="s">
        <v>66</v>
      </c>
      <c r="N291" s="2">
        <v>44243</v>
      </c>
      <c r="O291" t="s">
        <v>47</v>
      </c>
      <c r="P291" t="s">
        <v>91</v>
      </c>
      <c r="Q291">
        <v>23668</v>
      </c>
      <c r="R291" t="s">
        <v>27</v>
      </c>
      <c r="S291" s="10">
        <v>6.8187376460890405</v>
      </c>
      <c r="T291">
        <v>4</v>
      </c>
    </row>
    <row r="292" spans="1:20" x14ac:dyDescent="0.3">
      <c r="A292">
        <v>1991</v>
      </c>
      <c r="B292" t="s">
        <v>160</v>
      </c>
      <c r="C292" t="s">
        <v>161</v>
      </c>
      <c r="D292" t="s">
        <v>162</v>
      </c>
      <c r="E292" t="s">
        <v>163</v>
      </c>
      <c r="F292" t="s">
        <v>164</v>
      </c>
      <c r="G292" t="s">
        <v>44</v>
      </c>
      <c r="H292" t="s">
        <v>22</v>
      </c>
      <c r="I292" t="s">
        <v>65</v>
      </c>
      <c r="J292" s="1">
        <v>850</v>
      </c>
      <c r="K292" s="1">
        <v>42.5</v>
      </c>
      <c r="L292" s="3">
        <v>20</v>
      </c>
      <c r="M292" t="s">
        <v>36</v>
      </c>
      <c r="N292" s="2">
        <v>44243</v>
      </c>
      <c r="O292" t="s">
        <v>165</v>
      </c>
      <c r="P292" t="s">
        <v>166</v>
      </c>
      <c r="Q292">
        <v>87180</v>
      </c>
      <c r="R292" t="s">
        <v>27</v>
      </c>
      <c r="S292" s="10">
        <v>45.482105377570349</v>
      </c>
      <c r="T292">
        <v>32</v>
      </c>
    </row>
    <row r="293" spans="1:20" x14ac:dyDescent="0.3">
      <c r="A293">
        <v>1553</v>
      </c>
      <c r="B293" t="s">
        <v>507</v>
      </c>
      <c r="C293" t="s">
        <v>974</v>
      </c>
      <c r="D293" t="s">
        <v>975</v>
      </c>
      <c r="E293" t="s">
        <v>976</v>
      </c>
      <c r="F293" t="s">
        <v>977</v>
      </c>
      <c r="G293" t="s">
        <v>854</v>
      </c>
      <c r="H293" t="s">
        <v>34</v>
      </c>
      <c r="I293" t="s">
        <v>236</v>
      </c>
      <c r="J293" s="1">
        <v>236</v>
      </c>
      <c r="K293" s="1">
        <v>33.714285714285715</v>
      </c>
      <c r="L293" s="3">
        <v>7</v>
      </c>
      <c r="M293" t="s">
        <v>24</v>
      </c>
      <c r="N293" s="2">
        <v>44245</v>
      </c>
      <c r="O293" t="s">
        <v>67</v>
      </c>
      <c r="P293" t="s">
        <v>429</v>
      </c>
      <c r="Q293">
        <v>78470</v>
      </c>
      <c r="R293" t="s">
        <v>27</v>
      </c>
      <c r="S293" s="10">
        <v>15.552311647292299</v>
      </c>
      <c r="T293">
        <v>9</v>
      </c>
    </row>
    <row r="294" spans="1:20" x14ac:dyDescent="0.3">
      <c r="A294">
        <v>1745</v>
      </c>
      <c r="B294" t="s">
        <v>231</v>
      </c>
      <c r="C294" t="s">
        <v>978</v>
      </c>
      <c r="D294" t="s">
        <v>979</v>
      </c>
      <c r="E294" t="s">
        <v>980</v>
      </c>
      <c r="F294" t="s">
        <v>981</v>
      </c>
      <c r="G294" t="s">
        <v>395</v>
      </c>
      <c r="H294" t="s">
        <v>34</v>
      </c>
      <c r="I294" t="s">
        <v>65</v>
      </c>
      <c r="J294" s="1">
        <v>663</v>
      </c>
      <c r="K294" s="1">
        <v>36.833333333333336</v>
      </c>
      <c r="L294" s="3">
        <v>18</v>
      </c>
      <c r="M294" t="s">
        <v>56</v>
      </c>
      <c r="N294" s="2">
        <v>44248</v>
      </c>
      <c r="O294" t="s">
        <v>982</v>
      </c>
      <c r="P294" t="s">
        <v>983</v>
      </c>
      <c r="Q294">
        <v>96820</v>
      </c>
      <c r="R294" t="s">
        <v>27</v>
      </c>
      <c r="S294" s="10">
        <v>24.757800000621966</v>
      </c>
      <c r="T294">
        <v>34</v>
      </c>
    </row>
    <row r="295" spans="1:20" x14ac:dyDescent="0.3">
      <c r="A295">
        <v>1977</v>
      </c>
      <c r="B295" t="s">
        <v>608</v>
      </c>
      <c r="C295" t="s">
        <v>472</v>
      </c>
      <c r="D295" t="s">
        <v>984</v>
      </c>
      <c r="E295" t="s">
        <v>985</v>
      </c>
      <c r="F295" t="s">
        <v>986</v>
      </c>
      <c r="G295" t="s">
        <v>987</v>
      </c>
      <c r="H295" t="s">
        <v>34</v>
      </c>
      <c r="I295" t="s">
        <v>65</v>
      </c>
      <c r="J295" s="1">
        <v>935</v>
      </c>
      <c r="K295" s="1">
        <v>42.5</v>
      </c>
      <c r="L295" s="3">
        <v>22</v>
      </c>
      <c r="M295" t="s">
        <v>66</v>
      </c>
      <c r="N295" s="2">
        <v>44248</v>
      </c>
      <c r="O295" t="s">
        <v>37</v>
      </c>
      <c r="P295" t="s">
        <v>988</v>
      </c>
      <c r="Q295">
        <v>92717</v>
      </c>
      <c r="R295" t="s">
        <v>27</v>
      </c>
      <c r="S295" s="10">
        <v>34.540653360068639</v>
      </c>
      <c r="T295">
        <v>50</v>
      </c>
    </row>
    <row r="296" spans="1:20" x14ac:dyDescent="0.3">
      <c r="A296">
        <v>1116</v>
      </c>
      <c r="B296" t="s">
        <v>49</v>
      </c>
      <c r="C296" t="s">
        <v>50</v>
      </c>
      <c r="D296" t="s">
        <v>51</v>
      </c>
      <c r="E296" t="s">
        <v>52</v>
      </c>
      <c r="F296" t="s">
        <v>53</v>
      </c>
      <c r="G296" t="s">
        <v>54</v>
      </c>
      <c r="H296" t="s">
        <v>22</v>
      </c>
      <c r="I296" t="s">
        <v>55</v>
      </c>
      <c r="J296" s="1">
        <v>441</v>
      </c>
      <c r="K296" s="1">
        <v>40.090909090909093</v>
      </c>
      <c r="L296" s="3">
        <v>11</v>
      </c>
      <c r="M296" t="s">
        <v>56</v>
      </c>
      <c r="N296" s="2">
        <v>44249</v>
      </c>
      <c r="O296" t="s">
        <v>57</v>
      </c>
      <c r="P296" t="s">
        <v>58</v>
      </c>
      <c r="Q296">
        <v>30096</v>
      </c>
      <c r="R296" t="s">
        <v>27</v>
      </c>
      <c r="S296" s="10">
        <v>22.773059250687147</v>
      </c>
      <c r="T296">
        <v>19</v>
      </c>
    </row>
    <row r="297" spans="1:20" x14ac:dyDescent="0.3">
      <c r="A297">
        <v>1715</v>
      </c>
      <c r="B297" t="s">
        <v>189</v>
      </c>
      <c r="C297" t="s">
        <v>989</v>
      </c>
      <c r="D297" t="s">
        <v>990</v>
      </c>
      <c r="E297" t="s">
        <v>991</v>
      </c>
      <c r="F297" t="s">
        <v>992</v>
      </c>
      <c r="G297" t="s">
        <v>701</v>
      </c>
      <c r="H297" t="s">
        <v>34</v>
      </c>
      <c r="I297" t="s">
        <v>23</v>
      </c>
      <c r="J297" s="1">
        <v>444</v>
      </c>
      <c r="K297" s="1">
        <v>44.4</v>
      </c>
      <c r="L297" s="3">
        <v>10</v>
      </c>
      <c r="M297" t="s">
        <v>99</v>
      </c>
      <c r="N297" s="2">
        <v>44249</v>
      </c>
      <c r="O297" t="s">
        <v>993</v>
      </c>
      <c r="P297" t="s">
        <v>994</v>
      </c>
      <c r="Q297">
        <v>25326</v>
      </c>
      <c r="R297" t="s">
        <v>27</v>
      </c>
      <c r="S297" s="10">
        <v>15.178271328423524</v>
      </c>
      <c r="T297">
        <v>17</v>
      </c>
    </row>
    <row r="298" spans="1:20" x14ac:dyDescent="0.3">
      <c r="A298">
        <v>1170</v>
      </c>
      <c r="B298" t="s">
        <v>153</v>
      </c>
      <c r="C298" t="s">
        <v>154</v>
      </c>
      <c r="D298" t="s">
        <v>155</v>
      </c>
      <c r="E298" t="s">
        <v>156</v>
      </c>
      <c r="F298" t="s">
        <v>157</v>
      </c>
      <c r="G298" t="s">
        <v>158</v>
      </c>
      <c r="H298" t="s">
        <v>34</v>
      </c>
      <c r="I298" t="s">
        <v>65</v>
      </c>
      <c r="J298" s="1">
        <v>301</v>
      </c>
      <c r="K298" s="1">
        <v>37.625</v>
      </c>
      <c r="L298" s="3">
        <v>8</v>
      </c>
      <c r="M298" t="s">
        <v>24</v>
      </c>
      <c r="N298" s="2">
        <v>44250</v>
      </c>
      <c r="O298" t="s">
        <v>67</v>
      </c>
      <c r="P298" t="s">
        <v>159</v>
      </c>
      <c r="Q298">
        <v>88574</v>
      </c>
      <c r="R298" t="s">
        <v>27</v>
      </c>
      <c r="S298" s="10">
        <v>18.298313459245744</v>
      </c>
      <c r="T298">
        <v>10</v>
      </c>
    </row>
    <row r="299" spans="1:20" x14ac:dyDescent="0.3">
      <c r="A299">
        <v>1212</v>
      </c>
      <c r="B299" t="s">
        <v>120</v>
      </c>
      <c r="C299" t="s">
        <v>121</v>
      </c>
      <c r="D299" t="s">
        <v>122</v>
      </c>
      <c r="E299" t="s">
        <v>123</v>
      </c>
      <c r="F299" t="s">
        <v>124</v>
      </c>
      <c r="G299" t="s">
        <v>125</v>
      </c>
      <c r="H299" t="s">
        <v>22</v>
      </c>
      <c r="I299" t="s">
        <v>65</v>
      </c>
      <c r="J299" s="1">
        <v>227</v>
      </c>
      <c r="K299" s="1">
        <v>37.833333333333336</v>
      </c>
      <c r="L299" s="3">
        <v>6</v>
      </c>
      <c r="M299" t="s">
        <v>126</v>
      </c>
      <c r="N299" s="2">
        <v>44253</v>
      </c>
      <c r="O299" t="s">
        <v>127</v>
      </c>
      <c r="P299" t="s">
        <v>128</v>
      </c>
      <c r="Q299">
        <v>6183</v>
      </c>
      <c r="R299" t="s">
        <v>27</v>
      </c>
      <c r="S299" s="10">
        <v>8.5021979640269798</v>
      </c>
      <c r="T299">
        <v>9</v>
      </c>
    </row>
    <row r="300" spans="1:20" x14ac:dyDescent="0.3">
      <c r="A300">
        <v>1081</v>
      </c>
      <c r="B300" t="s">
        <v>529</v>
      </c>
      <c r="C300" t="s">
        <v>530</v>
      </c>
      <c r="D300" t="s">
        <v>531</v>
      </c>
      <c r="E300" t="s">
        <v>532</v>
      </c>
      <c r="F300" t="s">
        <v>533</v>
      </c>
      <c r="G300" t="s">
        <v>495</v>
      </c>
      <c r="H300" t="s">
        <v>22</v>
      </c>
      <c r="I300" t="s">
        <v>55</v>
      </c>
      <c r="J300" s="1">
        <v>531</v>
      </c>
      <c r="K300" s="1">
        <v>37.928571428571431</v>
      </c>
      <c r="L300" s="3">
        <v>14</v>
      </c>
      <c r="M300" t="s">
        <v>447</v>
      </c>
      <c r="N300" s="2">
        <v>44255</v>
      </c>
      <c r="O300" t="s">
        <v>229</v>
      </c>
      <c r="P300" t="s">
        <v>534</v>
      </c>
      <c r="Q300">
        <v>45426</v>
      </c>
      <c r="R300" t="s">
        <v>27</v>
      </c>
      <c r="S300" s="10">
        <v>18.284252661551125</v>
      </c>
      <c r="T300">
        <v>25</v>
      </c>
    </row>
    <row r="301" spans="1:20" x14ac:dyDescent="0.3">
      <c r="A301">
        <v>1550</v>
      </c>
      <c r="B301" t="s">
        <v>995</v>
      </c>
      <c r="C301" t="s">
        <v>996</v>
      </c>
      <c r="D301" t="s">
        <v>997</v>
      </c>
      <c r="E301" t="s">
        <v>998</v>
      </c>
      <c r="F301" t="s">
        <v>488</v>
      </c>
      <c r="G301" t="s">
        <v>790</v>
      </c>
      <c r="H301" t="s">
        <v>22</v>
      </c>
      <c r="I301" t="s">
        <v>435</v>
      </c>
      <c r="J301" s="1">
        <v>147</v>
      </c>
      <c r="K301" s="1">
        <v>36.75</v>
      </c>
      <c r="L301" s="3">
        <v>4</v>
      </c>
      <c r="M301" t="s">
        <v>36</v>
      </c>
      <c r="N301" s="2">
        <v>44256</v>
      </c>
      <c r="O301" t="s">
        <v>267</v>
      </c>
      <c r="P301" t="s">
        <v>999</v>
      </c>
      <c r="Q301">
        <v>32225</v>
      </c>
      <c r="R301" t="s">
        <v>27</v>
      </c>
      <c r="S301" s="10">
        <v>9.9504555311662397</v>
      </c>
      <c r="T301">
        <v>4</v>
      </c>
    </row>
    <row r="302" spans="1:20" x14ac:dyDescent="0.3">
      <c r="A302">
        <v>1260</v>
      </c>
      <c r="B302" t="s">
        <v>352</v>
      </c>
      <c r="C302" t="s">
        <v>353</v>
      </c>
      <c r="D302" t="s">
        <v>354</v>
      </c>
      <c r="E302" t="s">
        <v>355</v>
      </c>
      <c r="F302" t="s">
        <v>356</v>
      </c>
      <c r="G302" t="s">
        <v>357</v>
      </c>
      <c r="H302" t="s">
        <v>34</v>
      </c>
      <c r="I302" t="s">
        <v>236</v>
      </c>
      <c r="J302" s="1">
        <v>459</v>
      </c>
      <c r="K302" s="1">
        <v>28.6875</v>
      </c>
      <c r="L302" s="3">
        <v>16</v>
      </c>
      <c r="M302" t="s">
        <v>36</v>
      </c>
      <c r="N302" s="2">
        <v>44258</v>
      </c>
      <c r="O302" t="s">
        <v>358</v>
      </c>
      <c r="P302" t="s">
        <v>359</v>
      </c>
      <c r="Q302">
        <v>99215</v>
      </c>
      <c r="R302" t="s">
        <v>27</v>
      </c>
      <c r="S302" s="10">
        <v>28.284136600840117</v>
      </c>
      <c r="T302">
        <v>28</v>
      </c>
    </row>
    <row r="303" spans="1:20" x14ac:dyDescent="0.3">
      <c r="A303">
        <v>1454</v>
      </c>
      <c r="B303" t="s">
        <v>213</v>
      </c>
      <c r="C303" t="s">
        <v>1000</v>
      </c>
      <c r="D303" t="s">
        <v>1001</v>
      </c>
      <c r="E303" t="s">
        <v>1002</v>
      </c>
      <c r="F303" t="s">
        <v>595</v>
      </c>
      <c r="G303" t="s">
        <v>603</v>
      </c>
      <c r="H303" t="s">
        <v>22</v>
      </c>
      <c r="I303" t="s">
        <v>117</v>
      </c>
      <c r="J303" s="1">
        <v>19</v>
      </c>
      <c r="K303" s="1">
        <v>19</v>
      </c>
      <c r="L303" s="3">
        <v>1</v>
      </c>
      <c r="M303" t="s">
        <v>36</v>
      </c>
      <c r="N303" s="2">
        <v>44259</v>
      </c>
      <c r="O303" t="s">
        <v>25</v>
      </c>
      <c r="P303" t="s">
        <v>1003</v>
      </c>
      <c r="Q303">
        <v>48335</v>
      </c>
      <c r="R303" t="s">
        <v>27</v>
      </c>
      <c r="S303" s="10">
        <v>1.6338826279863135</v>
      </c>
      <c r="T303">
        <v>2</v>
      </c>
    </row>
    <row r="304" spans="1:20" x14ac:dyDescent="0.3">
      <c r="A304">
        <v>1435</v>
      </c>
      <c r="B304" t="s">
        <v>189</v>
      </c>
      <c r="C304" t="s">
        <v>190</v>
      </c>
      <c r="D304" t="s">
        <v>191</v>
      </c>
      <c r="E304" t="s">
        <v>192</v>
      </c>
      <c r="F304" t="s">
        <v>193</v>
      </c>
      <c r="G304" t="s">
        <v>194</v>
      </c>
      <c r="H304" t="s">
        <v>34</v>
      </c>
      <c r="I304" t="s">
        <v>35</v>
      </c>
      <c r="J304" s="1">
        <v>674</v>
      </c>
      <c r="K304" s="1">
        <v>29.304347826086957</v>
      </c>
      <c r="L304" s="3">
        <v>23</v>
      </c>
      <c r="M304" t="s">
        <v>195</v>
      </c>
      <c r="N304" s="2">
        <v>44263</v>
      </c>
      <c r="O304" t="s">
        <v>196</v>
      </c>
      <c r="P304" t="s">
        <v>197</v>
      </c>
      <c r="Q304">
        <v>19605</v>
      </c>
      <c r="R304" t="s">
        <v>27</v>
      </c>
      <c r="S304" s="10">
        <v>31.178480655213697</v>
      </c>
      <c r="T304">
        <v>47</v>
      </c>
    </row>
    <row r="305" spans="1:20" x14ac:dyDescent="0.3">
      <c r="A305">
        <v>1453</v>
      </c>
      <c r="B305" t="s">
        <v>398</v>
      </c>
      <c r="C305" t="s">
        <v>655</v>
      </c>
      <c r="D305" t="s">
        <v>1004</v>
      </c>
      <c r="E305" t="s">
        <v>1005</v>
      </c>
      <c r="F305" t="s">
        <v>1006</v>
      </c>
      <c r="G305" t="s">
        <v>1007</v>
      </c>
      <c r="H305" t="s">
        <v>22</v>
      </c>
      <c r="I305" t="s">
        <v>75</v>
      </c>
      <c r="J305" s="1">
        <v>294</v>
      </c>
      <c r="K305" s="1">
        <v>42</v>
      </c>
      <c r="L305" s="3">
        <v>7</v>
      </c>
      <c r="M305" t="s">
        <v>36</v>
      </c>
      <c r="N305" s="2">
        <v>44264</v>
      </c>
      <c r="O305" t="s">
        <v>37</v>
      </c>
      <c r="P305" t="s">
        <v>448</v>
      </c>
      <c r="Q305">
        <v>94263</v>
      </c>
      <c r="R305" t="s">
        <v>27</v>
      </c>
      <c r="S305" s="10">
        <v>11.682181298351715</v>
      </c>
      <c r="T305">
        <v>10</v>
      </c>
    </row>
    <row r="306" spans="1:20" x14ac:dyDescent="0.3">
      <c r="A306">
        <v>1783</v>
      </c>
      <c r="B306" t="s">
        <v>302</v>
      </c>
      <c r="C306" t="s">
        <v>303</v>
      </c>
      <c r="D306" t="s">
        <v>304</v>
      </c>
      <c r="E306" t="s">
        <v>305</v>
      </c>
      <c r="F306" t="s">
        <v>306</v>
      </c>
      <c r="G306" t="s">
        <v>307</v>
      </c>
      <c r="H306" t="s">
        <v>34</v>
      </c>
      <c r="I306" t="s">
        <v>35</v>
      </c>
      <c r="J306" s="1">
        <v>439</v>
      </c>
      <c r="K306" s="1">
        <v>39.909090909090907</v>
      </c>
      <c r="L306" s="3">
        <v>11</v>
      </c>
      <c r="M306" t="s">
        <v>244</v>
      </c>
      <c r="N306" s="2">
        <v>44270</v>
      </c>
      <c r="O306" t="s">
        <v>308</v>
      </c>
      <c r="P306" t="s">
        <v>309</v>
      </c>
      <c r="Q306">
        <v>85715</v>
      </c>
      <c r="R306" t="s">
        <v>27</v>
      </c>
      <c r="S306" s="10">
        <v>19.532047055589345</v>
      </c>
      <c r="T306">
        <v>15</v>
      </c>
    </row>
    <row r="307" spans="1:20" x14ac:dyDescent="0.3">
      <c r="A307">
        <v>1017</v>
      </c>
      <c r="B307" t="s">
        <v>660</v>
      </c>
      <c r="C307" t="s">
        <v>679</v>
      </c>
      <c r="D307" t="s">
        <v>680</v>
      </c>
      <c r="E307" t="s">
        <v>681</v>
      </c>
      <c r="F307" t="s">
        <v>682</v>
      </c>
      <c r="G307" t="s">
        <v>446</v>
      </c>
      <c r="H307" t="s">
        <v>22</v>
      </c>
      <c r="I307" t="s">
        <v>23</v>
      </c>
      <c r="J307" s="1">
        <v>311</v>
      </c>
      <c r="K307" s="1">
        <v>38.875</v>
      </c>
      <c r="L307" s="3">
        <v>8</v>
      </c>
      <c r="M307" t="s">
        <v>36</v>
      </c>
      <c r="N307" s="2">
        <v>44271</v>
      </c>
      <c r="O307" t="s">
        <v>136</v>
      </c>
      <c r="P307" t="s">
        <v>137</v>
      </c>
      <c r="Q307">
        <v>60663</v>
      </c>
      <c r="R307" t="s">
        <v>27</v>
      </c>
      <c r="S307" s="10">
        <v>19.428242194984872</v>
      </c>
      <c r="T307">
        <v>15</v>
      </c>
    </row>
    <row r="308" spans="1:20" x14ac:dyDescent="0.3">
      <c r="A308">
        <v>1017</v>
      </c>
      <c r="B308" t="s">
        <v>660</v>
      </c>
      <c r="C308" t="s">
        <v>679</v>
      </c>
      <c r="D308" t="s">
        <v>680</v>
      </c>
      <c r="E308" t="s">
        <v>681</v>
      </c>
      <c r="F308" t="s">
        <v>682</v>
      </c>
      <c r="G308" t="s">
        <v>446</v>
      </c>
      <c r="H308" t="s">
        <v>22</v>
      </c>
      <c r="I308" t="s">
        <v>23</v>
      </c>
      <c r="J308" s="1">
        <v>364</v>
      </c>
      <c r="K308" s="1">
        <v>36.4</v>
      </c>
      <c r="L308" s="3">
        <v>10</v>
      </c>
      <c r="M308" t="s">
        <v>36</v>
      </c>
      <c r="N308" s="2">
        <v>44272</v>
      </c>
      <c r="O308" t="s">
        <v>136</v>
      </c>
      <c r="P308" t="s">
        <v>137</v>
      </c>
      <c r="Q308">
        <v>60663</v>
      </c>
      <c r="R308" t="s">
        <v>27</v>
      </c>
      <c r="S308" s="10">
        <v>21.452784306280144</v>
      </c>
      <c r="T308">
        <v>20</v>
      </c>
    </row>
    <row r="309" spans="1:20" x14ac:dyDescent="0.3">
      <c r="A309">
        <v>1298</v>
      </c>
      <c r="B309" t="s">
        <v>275</v>
      </c>
      <c r="C309" t="s">
        <v>340</v>
      </c>
      <c r="D309" t="s">
        <v>341</v>
      </c>
      <c r="E309" t="s">
        <v>342</v>
      </c>
      <c r="F309" t="s">
        <v>306</v>
      </c>
      <c r="G309" t="s">
        <v>180</v>
      </c>
      <c r="H309" t="s">
        <v>22</v>
      </c>
      <c r="I309" t="s">
        <v>236</v>
      </c>
      <c r="J309" s="1">
        <v>459</v>
      </c>
      <c r="K309" s="1">
        <v>38.25</v>
      </c>
      <c r="L309" s="3">
        <v>12</v>
      </c>
      <c r="M309" t="s">
        <v>343</v>
      </c>
      <c r="N309" s="2">
        <v>44272</v>
      </c>
      <c r="O309" t="s">
        <v>267</v>
      </c>
      <c r="P309" t="s">
        <v>344</v>
      </c>
      <c r="Q309">
        <v>32891</v>
      </c>
      <c r="R309" t="s">
        <v>27</v>
      </c>
      <c r="S309" s="10">
        <v>23.574068304006826</v>
      </c>
      <c r="T309">
        <v>25</v>
      </c>
    </row>
    <row r="310" spans="1:20" x14ac:dyDescent="0.3">
      <c r="A310">
        <v>1017</v>
      </c>
      <c r="B310" t="s">
        <v>660</v>
      </c>
      <c r="C310" t="s">
        <v>679</v>
      </c>
      <c r="D310" t="s">
        <v>680</v>
      </c>
      <c r="E310" t="s">
        <v>681</v>
      </c>
      <c r="F310" t="s">
        <v>682</v>
      </c>
      <c r="G310" t="s">
        <v>446</v>
      </c>
      <c r="H310" t="s">
        <v>22</v>
      </c>
      <c r="I310" t="s">
        <v>23</v>
      </c>
      <c r="J310" s="1">
        <v>291</v>
      </c>
      <c r="K310" s="1">
        <v>26.454545454545453</v>
      </c>
      <c r="L310" s="3">
        <v>11</v>
      </c>
      <c r="M310" t="s">
        <v>36</v>
      </c>
      <c r="N310" s="2">
        <v>44274</v>
      </c>
      <c r="O310" t="s">
        <v>136</v>
      </c>
      <c r="P310" t="s">
        <v>137</v>
      </c>
      <c r="Q310">
        <v>60663</v>
      </c>
      <c r="R310" t="s">
        <v>27</v>
      </c>
      <c r="S310" s="10">
        <v>23.183045591243392</v>
      </c>
      <c r="T310">
        <v>21</v>
      </c>
    </row>
    <row r="311" spans="1:20" x14ac:dyDescent="0.3">
      <c r="A311">
        <v>1737</v>
      </c>
      <c r="B311" t="s">
        <v>598</v>
      </c>
      <c r="C311" t="s">
        <v>139</v>
      </c>
      <c r="D311" t="s">
        <v>1008</v>
      </c>
      <c r="E311" t="s">
        <v>1009</v>
      </c>
      <c r="F311" t="s">
        <v>1010</v>
      </c>
      <c r="G311" t="s">
        <v>1011</v>
      </c>
      <c r="H311" t="s">
        <v>34</v>
      </c>
      <c r="I311" t="s">
        <v>135</v>
      </c>
      <c r="J311" s="1">
        <v>17</v>
      </c>
      <c r="K311" s="1">
        <v>17</v>
      </c>
      <c r="L311" s="3">
        <v>1</v>
      </c>
      <c r="M311" t="s">
        <v>203</v>
      </c>
      <c r="N311" s="2">
        <v>44274</v>
      </c>
      <c r="O311" t="s">
        <v>37</v>
      </c>
      <c r="P311" t="s">
        <v>1012</v>
      </c>
      <c r="Q311">
        <v>93291</v>
      </c>
      <c r="R311" t="s">
        <v>27</v>
      </c>
      <c r="S311" s="10">
        <v>1.4863143488747461</v>
      </c>
      <c r="T311">
        <v>1</v>
      </c>
    </row>
    <row r="312" spans="1:20" x14ac:dyDescent="0.3">
      <c r="A312">
        <v>1084</v>
      </c>
      <c r="B312" t="s">
        <v>175</v>
      </c>
      <c r="C312" t="s">
        <v>176</v>
      </c>
      <c r="D312" t="s">
        <v>177</v>
      </c>
      <c r="E312" t="s">
        <v>178</v>
      </c>
      <c r="F312" t="s">
        <v>179</v>
      </c>
      <c r="G312" t="s">
        <v>180</v>
      </c>
      <c r="H312" t="s">
        <v>34</v>
      </c>
      <c r="I312" t="s">
        <v>55</v>
      </c>
      <c r="J312" s="1">
        <v>145</v>
      </c>
      <c r="K312" s="1">
        <v>29</v>
      </c>
      <c r="L312" s="3">
        <v>5</v>
      </c>
      <c r="M312" t="s">
        <v>36</v>
      </c>
      <c r="N312" s="2">
        <v>44278</v>
      </c>
      <c r="O312" t="s">
        <v>181</v>
      </c>
      <c r="P312" t="s">
        <v>182</v>
      </c>
      <c r="Q312">
        <v>2453</v>
      </c>
      <c r="R312" t="s">
        <v>27</v>
      </c>
      <c r="S312" s="10">
        <v>9.2533041665652558</v>
      </c>
      <c r="T312">
        <v>10</v>
      </c>
    </row>
    <row r="313" spans="1:20" x14ac:dyDescent="0.3">
      <c r="A313">
        <v>1698</v>
      </c>
      <c r="B313" t="s">
        <v>672</v>
      </c>
      <c r="C313" t="s">
        <v>978</v>
      </c>
      <c r="D313" t="s">
        <v>1013</v>
      </c>
      <c r="E313" t="s">
        <v>1014</v>
      </c>
      <c r="F313" t="s">
        <v>1015</v>
      </c>
      <c r="G313" t="s">
        <v>1016</v>
      </c>
      <c r="H313" t="s">
        <v>22</v>
      </c>
      <c r="I313" t="s">
        <v>23</v>
      </c>
      <c r="J313" s="1">
        <v>55</v>
      </c>
      <c r="K313" s="1">
        <v>55</v>
      </c>
      <c r="L313" s="3">
        <v>1</v>
      </c>
      <c r="M313" t="s">
        <v>66</v>
      </c>
      <c r="N313" s="2">
        <v>44282</v>
      </c>
      <c r="O313" t="s">
        <v>181</v>
      </c>
      <c r="P313" t="s">
        <v>1017</v>
      </c>
      <c r="Q313">
        <v>1605</v>
      </c>
      <c r="R313" t="s">
        <v>27</v>
      </c>
      <c r="S313" s="10">
        <v>2.019402632256488</v>
      </c>
      <c r="T313">
        <v>1</v>
      </c>
    </row>
    <row r="314" spans="1:20" x14ac:dyDescent="0.3">
      <c r="A314">
        <v>1721</v>
      </c>
      <c r="B314" t="s">
        <v>914</v>
      </c>
      <c r="C314" t="s">
        <v>592</v>
      </c>
      <c r="D314" t="s">
        <v>1018</v>
      </c>
      <c r="E314" t="s">
        <v>1019</v>
      </c>
      <c r="F314" t="s">
        <v>1020</v>
      </c>
      <c r="G314" t="s">
        <v>227</v>
      </c>
      <c r="H314" t="s">
        <v>34</v>
      </c>
      <c r="I314" t="s">
        <v>23</v>
      </c>
      <c r="J314" s="1">
        <v>962</v>
      </c>
      <c r="K314" s="1">
        <v>38.479999999999997</v>
      </c>
      <c r="L314" s="3">
        <v>25</v>
      </c>
      <c r="M314" t="s">
        <v>66</v>
      </c>
      <c r="N314" s="2">
        <v>44284</v>
      </c>
      <c r="O314" t="s">
        <v>470</v>
      </c>
      <c r="P314" t="s">
        <v>358</v>
      </c>
      <c r="Q314">
        <v>20520</v>
      </c>
      <c r="R314" t="s">
        <v>27</v>
      </c>
      <c r="S314" s="10">
        <v>40.645651065541813</v>
      </c>
      <c r="T314">
        <v>37</v>
      </c>
    </row>
    <row r="315" spans="1:20" x14ac:dyDescent="0.3">
      <c r="A315">
        <v>1880</v>
      </c>
      <c r="B315" t="s">
        <v>129</v>
      </c>
      <c r="C315" t="s">
        <v>130</v>
      </c>
      <c r="D315" t="s">
        <v>131</v>
      </c>
      <c r="E315" t="s">
        <v>132</v>
      </c>
      <c r="F315" t="s">
        <v>133</v>
      </c>
      <c r="G315" t="s">
        <v>134</v>
      </c>
      <c r="H315" t="s">
        <v>22</v>
      </c>
      <c r="I315" t="s">
        <v>135</v>
      </c>
      <c r="J315" s="1">
        <v>441</v>
      </c>
      <c r="K315" s="1">
        <v>33.92307692307692</v>
      </c>
      <c r="L315" s="3">
        <v>13</v>
      </c>
      <c r="M315" t="s">
        <v>36</v>
      </c>
      <c r="N315" s="2">
        <v>44286</v>
      </c>
      <c r="O315" t="s">
        <v>136</v>
      </c>
      <c r="P315" t="s">
        <v>137</v>
      </c>
      <c r="Q315">
        <v>60614</v>
      </c>
      <c r="R315" t="s">
        <v>27</v>
      </c>
      <c r="S315" s="10">
        <v>28.233149796593437</v>
      </c>
      <c r="T315">
        <v>24</v>
      </c>
    </row>
    <row r="316" spans="1:20" x14ac:dyDescent="0.3">
      <c r="A316">
        <v>1436</v>
      </c>
      <c r="B316" t="s">
        <v>294</v>
      </c>
      <c r="C316" t="s">
        <v>248</v>
      </c>
      <c r="D316" t="s">
        <v>295</v>
      </c>
      <c r="E316" t="s">
        <v>296</v>
      </c>
      <c r="F316" t="s">
        <v>297</v>
      </c>
      <c r="G316" t="s">
        <v>298</v>
      </c>
      <c r="H316" t="s">
        <v>22</v>
      </c>
      <c r="I316" t="s">
        <v>299</v>
      </c>
      <c r="J316" s="1">
        <v>601</v>
      </c>
      <c r="K316" s="1">
        <v>40.06666666666667</v>
      </c>
      <c r="L316" s="3">
        <v>15</v>
      </c>
      <c r="M316" t="s">
        <v>36</v>
      </c>
      <c r="N316" s="2">
        <v>44287</v>
      </c>
      <c r="O316" t="s">
        <v>300</v>
      </c>
      <c r="P316" t="s">
        <v>301</v>
      </c>
      <c r="Q316">
        <v>89145</v>
      </c>
      <c r="R316" t="s">
        <v>27</v>
      </c>
      <c r="S316" s="10">
        <v>31.459006967132183</v>
      </c>
      <c r="T316">
        <v>18</v>
      </c>
    </row>
    <row r="317" spans="1:20" x14ac:dyDescent="0.3">
      <c r="A317">
        <v>1603</v>
      </c>
      <c r="B317" t="s">
        <v>471</v>
      </c>
      <c r="C317" t="s">
        <v>78</v>
      </c>
      <c r="D317" t="s">
        <v>1021</v>
      </c>
      <c r="E317" t="s">
        <v>1022</v>
      </c>
      <c r="F317" t="s">
        <v>682</v>
      </c>
      <c r="G317" t="s">
        <v>476</v>
      </c>
      <c r="H317" t="s">
        <v>34</v>
      </c>
      <c r="I317" t="s">
        <v>435</v>
      </c>
      <c r="J317" s="1">
        <v>987</v>
      </c>
      <c r="K317" s="1">
        <v>29.90909090909091</v>
      </c>
      <c r="L317" s="3">
        <v>33</v>
      </c>
      <c r="M317" t="s">
        <v>244</v>
      </c>
      <c r="N317" s="2">
        <v>44287</v>
      </c>
      <c r="O317" t="s">
        <v>173</v>
      </c>
      <c r="P317" t="s">
        <v>174</v>
      </c>
      <c r="Q317">
        <v>64187</v>
      </c>
      <c r="R317" t="s">
        <v>27</v>
      </c>
      <c r="S317" s="10">
        <v>43.014045391293493</v>
      </c>
      <c r="T317">
        <v>67</v>
      </c>
    </row>
    <row r="318" spans="1:20" x14ac:dyDescent="0.3">
      <c r="A318">
        <v>1699</v>
      </c>
      <c r="B318" t="s">
        <v>507</v>
      </c>
      <c r="C318" t="s">
        <v>1023</v>
      </c>
      <c r="D318" t="s">
        <v>1024</v>
      </c>
      <c r="E318" t="s">
        <v>1025</v>
      </c>
      <c r="F318" t="s">
        <v>1026</v>
      </c>
      <c r="G318" t="s">
        <v>617</v>
      </c>
      <c r="H318" t="s">
        <v>34</v>
      </c>
      <c r="I318" t="s">
        <v>23</v>
      </c>
      <c r="J318" s="1">
        <v>361</v>
      </c>
      <c r="K318" s="1">
        <v>40.111111111111114</v>
      </c>
      <c r="L318" s="3">
        <v>9</v>
      </c>
      <c r="M318" t="s">
        <v>36</v>
      </c>
      <c r="N318" s="2">
        <v>44287</v>
      </c>
      <c r="O318" t="s">
        <v>993</v>
      </c>
      <c r="P318" t="s">
        <v>1027</v>
      </c>
      <c r="Q318">
        <v>25716</v>
      </c>
      <c r="R318" t="s">
        <v>27</v>
      </c>
      <c r="S318" s="10">
        <v>13.516412981701752</v>
      </c>
      <c r="T318">
        <v>13</v>
      </c>
    </row>
    <row r="319" spans="1:20" x14ac:dyDescent="0.3">
      <c r="A319">
        <v>1812</v>
      </c>
      <c r="B319" t="s">
        <v>231</v>
      </c>
      <c r="C319" t="s">
        <v>232</v>
      </c>
      <c r="D319" t="s">
        <v>233</v>
      </c>
      <c r="E319" t="s">
        <v>234</v>
      </c>
      <c r="F319" t="s">
        <v>235</v>
      </c>
      <c r="G319" t="s">
        <v>74</v>
      </c>
      <c r="H319" t="s">
        <v>34</v>
      </c>
      <c r="I319" t="s">
        <v>236</v>
      </c>
      <c r="J319" s="1">
        <v>314</v>
      </c>
      <c r="K319" s="1">
        <v>34.888888888888886</v>
      </c>
      <c r="L319" s="3">
        <v>9</v>
      </c>
      <c r="M319" t="s">
        <v>126</v>
      </c>
      <c r="N319" s="2">
        <v>44289</v>
      </c>
      <c r="O319" t="s">
        <v>237</v>
      </c>
      <c r="P319" t="s">
        <v>238</v>
      </c>
      <c r="Q319">
        <v>35220</v>
      </c>
      <c r="R319" t="s">
        <v>27</v>
      </c>
      <c r="S319" s="10">
        <v>11.543538249853086</v>
      </c>
      <c r="T319">
        <v>12</v>
      </c>
    </row>
    <row r="320" spans="1:20" x14ac:dyDescent="0.3">
      <c r="A320">
        <v>1757</v>
      </c>
      <c r="B320" t="s">
        <v>1028</v>
      </c>
      <c r="C320" t="s">
        <v>499</v>
      </c>
      <c r="D320" t="s">
        <v>1029</v>
      </c>
      <c r="E320" t="s">
        <v>1030</v>
      </c>
      <c r="F320" t="s">
        <v>1031</v>
      </c>
      <c r="G320" t="s">
        <v>1032</v>
      </c>
      <c r="H320" t="s">
        <v>22</v>
      </c>
      <c r="I320" t="s">
        <v>117</v>
      </c>
      <c r="J320" s="1">
        <v>875</v>
      </c>
      <c r="K320" s="1">
        <v>25.735294117647058</v>
      </c>
      <c r="L320" s="3">
        <v>34</v>
      </c>
      <c r="M320" t="s">
        <v>36</v>
      </c>
      <c r="N320" s="2">
        <v>44293</v>
      </c>
      <c r="O320" t="s">
        <v>173</v>
      </c>
      <c r="P320" t="s">
        <v>174</v>
      </c>
      <c r="Q320">
        <v>64193</v>
      </c>
      <c r="R320" t="s">
        <v>27</v>
      </c>
      <c r="S320" s="10">
        <v>81.673690701460629</v>
      </c>
      <c r="T320">
        <v>75</v>
      </c>
    </row>
    <row r="321" spans="1:20" x14ac:dyDescent="0.3">
      <c r="A321">
        <v>1015</v>
      </c>
      <c r="B321" t="s">
        <v>1033</v>
      </c>
      <c r="C321" t="s">
        <v>1034</v>
      </c>
      <c r="D321" t="s">
        <v>1035</v>
      </c>
      <c r="E321" t="s">
        <v>1036</v>
      </c>
      <c r="F321" t="s">
        <v>858</v>
      </c>
      <c r="G321" t="s">
        <v>315</v>
      </c>
      <c r="H321" t="s">
        <v>34</v>
      </c>
      <c r="I321" t="s">
        <v>23</v>
      </c>
      <c r="J321" s="1">
        <v>552</v>
      </c>
      <c r="K321" s="1">
        <v>39.428571428571431</v>
      </c>
      <c r="L321" s="3">
        <v>14</v>
      </c>
      <c r="M321" t="s">
        <v>36</v>
      </c>
      <c r="N321" s="2">
        <v>44294</v>
      </c>
      <c r="O321" t="s">
        <v>181</v>
      </c>
      <c r="P321" t="s">
        <v>1037</v>
      </c>
      <c r="Q321">
        <v>1905</v>
      </c>
      <c r="R321" t="s">
        <v>27</v>
      </c>
      <c r="S321" s="10">
        <v>29.865358063027351</v>
      </c>
      <c r="T321">
        <v>29</v>
      </c>
    </row>
    <row r="322" spans="1:20" x14ac:dyDescent="0.3">
      <c r="A322">
        <v>1084</v>
      </c>
      <c r="B322" t="s">
        <v>175</v>
      </c>
      <c r="C322" t="s">
        <v>176</v>
      </c>
      <c r="D322" t="s">
        <v>177</v>
      </c>
      <c r="E322" t="s">
        <v>178</v>
      </c>
      <c r="F322" t="s">
        <v>179</v>
      </c>
      <c r="G322" t="s">
        <v>180</v>
      </c>
      <c r="H322" t="s">
        <v>34</v>
      </c>
      <c r="I322" t="s">
        <v>55</v>
      </c>
      <c r="J322" s="1">
        <v>164</v>
      </c>
      <c r="K322" s="1">
        <v>32.799999999999997</v>
      </c>
      <c r="L322" s="3">
        <v>5</v>
      </c>
      <c r="M322" t="s">
        <v>36</v>
      </c>
      <c r="N322" s="2">
        <v>44295</v>
      </c>
      <c r="O322" t="s">
        <v>181</v>
      </c>
      <c r="P322" t="s">
        <v>182</v>
      </c>
      <c r="Q322">
        <v>2453</v>
      </c>
      <c r="R322" t="s">
        <v>27</v>
      </c>
      <c r="S322" s="10">
        <v>8.9390632099654059</v>
      </c>
      <c r="T322">
        <v>10</v>
      </c>
    </row>
    <row r="323" spans="1:20" x14ac:dyDescent="0.3">
      <c r="A323">
        <v>1436</v>
      </c>
      <c r="B323" t="s">
        <v>294</v>
      </c>
      <c r="C323" t="s">
        <v>248</v>
      </c>
      <c r="D323" t="s">
        <v>295</v>
      </c>
      <c r="E323" t="s">
        <v>296</v>
      </c>
      <c r="F323" t="s">
        <v>297</v>
      </c>
      <c r="G323" t="s">
        <v>298</v>
      </c>
      <c r="H323" t="s">
        <v>22</v>
      </c>
      <c r="I323" t="s">
        <v>299</v>
      </c>
      <c r="J323" s="1">
        <v>959</v>
      </c>
      <c r="K323" s="1">
        <v>36.884615384615387</v>
      </c>
      <c r="L323" s="3">
        <v>26</v>
      </c>
      <c r="M323" t="s">
        <v>36</v>
      </c>
      <c r="N323" s="2">
        <v>44296</v>
      </c>
      <c r="O323" t="s">
        <v>300</v>
      </c>
      <c r="P323" t="s">
        <v>301</v>
      </c>
      <c r="Q323">
        <v>89145</v>
      </c>
      <c r="R323" t="s">
        <v>27</v>
      </c>
      <c r="S323" s="10">
        <v>35.345819812200908</v>
      </c>
      <c r="T323">
        <v>43</v>
      </c>
    </row>
    <row r="324" spans="1:20" x14ac:dyDescent="0.3">
      <c r="A324">
        <v>1436</v>
      </c>
      <c r="B324" t="s">
        <v>294</v>
      </c>
      <c r="C324" t="s">
        <v>248</v>
      </c>
      <c r="D324" t="s">
        <v>295</v>
      </c>
      <c r="E324" t="s">
        <v>296</v>
      </c>
      <c r="F324" t="s">
        <v>297</v>
      </c>
      <c r="G324" t="s">
        <v>298</v>
      </c>
      <c r="H324" t="s">
        <v>22</v>
      </c>
      <c r="I324" t="s">
        <v>299</v>
      </c>
      <c r="J324" s="1">
        <v>662</v>
      </c>
      <c r="K324" s="1">
        <v>26.48</v>
      </c>
      <c r="L324" s="3">
        <v>25</v>
      </c>
      <c r="M324" t="s">
        <v>36</v>
      </c>
      <c r="N324" s="2">
        <v>44298</v>
      </c>
      <c r="O324" t="s">
        <v>300</v>
      </c>
      <c r="P324" t="s">
        <v>301</v>
      </c>
      <c r="Q324">
        <v>89145</v>
      </c>
      <c r="R324" t="s">
        <v>27</v>
      </c>
      <c r="S324" s="10">
        <v>53.833154284277029</v>
      </c>
      <c r="T324">
        <v>55</v>
      </c>
    </row>
    <row r="325" spans="1:20" x14ac:dyDescent="0.3">
      <c r="A325">
        <v>1996</v>
      </c>
      <c r="B325" t="s">
        <v>167</v>
      </c>
      <c r="C325" t="s">
        <v>168</v>
      </c>
      <c r="D325" t="s">
        <v>169</v>
      </c>
      <c r="E325" t="s">
        <v>170</v>
      </c>
      <c r="F325" t="s">
        <v>171</v>
      </c>
      <c r="G325" t="s">
        <v>172</v>
      </c>
      <c r="H325" t="s">
        <v>22</v>
      </c>
      <c r="I325" t="s">
        <v>65</v>
      </c>
      <c r="J325" s="1">
        <v>366</v>
      </c>
      <c r="K325" s="1">
        <v>36.6</v>
      </c>
      <c r="L325" s="3">
        <v>10</v>
      </c>
      <c r="M325" t="s">
        <v>24</v>
      </c>
      <c r="N325" s="2">
        <v>44300</v>
      </c>
      <c r="O325" t="s">
        <v>173</v>
      </c>
      <c r="P325" t="s">
        <v>174</v>
      </c>
      <c r="Q325">
        <v>64160</v>
      </c>
      <c r="R325" t="s">
        <v>27</v>
      </c>
      <c r="S325" s="10">
        <v>23.788631822435274</v>
      </c>
      <c r="T325">
        <v>13</v>
      </c>
    </row>
    <row r="326" spans="1:20" x14ac:dyDescent="0.3">
      <c r="A326">
        <v>1997</v>
      </c>
      <c r="B326" t="s">
        <v>1038</v>
      </c>
      <c r="C326" t="s">
        <v>1039</v>
      </c>
      <c r="D326" t="s">
        <v>1040</v>
      </c>
      <c r="E326" t="s">
        <v>1041</v>
      </c>
      <c r="F326" t="s">
        <v>1042</v>
      </c>
      <c r="G326" t="s">
        <v>756</v>
      </c>
      <c r="H326" t="s">
        <v>22</v>
      </c>
      <c r="I326" t="s">
        <v>236</v>
      </c>
      <c r="J326" s="1">
        <v>836</v>
      </c>
      <c r="K326" s="1">
        <v>39.80952380952381</v>
      </c>
      <c r="L326" s="3">
        <v>21</v>
      </c>
      <c r="M326" t="s">
        <v>36</v>
      </c>
      <c r="N326" s="2">
        <v>44301</v>
      </c>
      <c r="O326" t="s">
        <v>83</v>
      </c>
      <c r="P326" t="s">
        <v>511</v>
      </c>
      <c r="Q326">
        <v>10155</v>
      </c>
      <c r="R326" t="s">
        <v>27</v>
      </c>
      <c r="S326" s="10">
        <v>50.354472880325915</v>
      </c>
      <c r="T326">
        <v>44</v>
      </c>
    </row>
    <row r="327" spans="1:20" x14ac:dyDescent="0.3">
      <c r="A327">
        <v>1298</v>
      </c>
      <c r="B327" t="s">
        <v>275</v>
      </c>
      <c r="C327" t="s">
        <v>340</v>
      </c>
      <c r="D327" t="s">
        <v>341</v>
      </c>
      <c r="E327" t="s">
        <v>342</v>
      </c>
      <c r="F327" t="s">
        <v>306</v>
      </c>
      <c r="G327" t="s">
        <v>180</v>
      </c>
      <c r="H327" t="s">
        <v>22</v>
      </c>
      <c r="I327" t="s">
        <v>236</v>
      </c>
      <c r="J327" s="1">
        <v>689</v>
      </c>
      <c r="K327" s="1">
        <v>34.450000000000003</v>
      </c>
      <c r="L327" s="3">
        <v>20</v>
      </c>
      <c r="M327" t="s">
        <v>343</v>
      </c>
      <c r="N327" s="2">
        <v>44302</v>
      </c>
      <c r="O327" t="s">
        <v>267</v>
      </c>
      <c r="P327" t="s">
        <v>344</v>
      </c>
      <c r="Q327">
        <v>32891</v>
      </c>
      <c r="R327" t="s">
        <v>27</v>
      </c>
      <c r="S327" s="10">
        <v>45.496453570309171</v>
      </c>
      <c r="T327">
        <v>34</v>
      </c>
    </row>
    <row r="328" spans="1:20" x14ac:dyDescent="0.3">
      <c r="A328">
        <v>1298</v>
      </c>
      <c r="B328" t="s">
        <v>275</v>
      </c>
      <c r="C328" t="s">
        <v>340</v>
      </c>
      <c r="D328" t="s">
        <v>341</v>
      </c>
      <c r="E328" t="s">
        <v>342</v>
      </c>
      <c r="F328" t="s">
        <v>306</v>
      </c>
      <c r="G328" t="s">
        <v>180</v>
      </c>
      <c r="H328" t="s">
        <v>22</v>
      </c>
      <c r="I328" t="s">
        <v>236</v>
      </c>
      <c r="J328" s="1">
        <v>413</v>
      </c>
      <c r="K328" s="1">
        <v>37.545454545454547</v>
      </c>
      <c r="L328" s="3">
        <v>11</v>
      </c>
      <c r="M328" t="s">
        <v>343</v>
      </c>
      <c r="N328" s="2">
        <v>44304</v>
      </c>
      <c r="O328" t="s">
        <v>267</v>
      </c>
      <c r="P328" t="s">
        <v>344</v>
      </c>
      <c r="Q328">
        <v>32891</v>
      </c>
      <c r="R328" t="s">
        <v>27</v>
      </c>
      <c r="S328" s="10">
        <v>27.476031021921901</v>
      </c>
      <c r="T328">
        <v>14</v>
      </c>
    </row>
    <row r="329" spans="1:20" x14ac:dyDescent="0.3">
      <c r="A329">
        <v>1298</v>
      </c>
      <c r="B329" t="s">
        <v>275</v>
      </c>
      <c r="C329" t="s">
        <v>340</v>
      </c>
      <c r="D329" t="s">
        <v>341</v>
      </c>
      <c r="E329" t="s">
        <v>342</v>
      </c>
      <c r="F329" t="s">
        <v>306</v>
      </c>
      <c r="G329" t="s">
        <v>180</v>
      </c>
      <c r="H329" t="s">
        <v>22</v>
      </c>
      <c r="I329" t="s">
        <v>236</v>
      </c>
      <c r="J329" s="1">
        <v>649</v>
      </c>
      <c r="K329" s="1">
        <v>38.176470588235297</v>
      </c>
      <c r="L329" s="3">
        <v>17</v>
      </c>
      <c r="M329" t="s">
        <v>343</v>
      </c>
      <c r="N329" s="2">
        <v>44304</v>
      </c>
      <c r="O329" t="s">
        <v>267</v>
      </c>
      <c r="P329" t="s">
        <v>344</v>
      </c>
      <c r="Q329">
        <v>32891</v>
      </c>
      <c r="R329" t="s">
        <v>27</v>
      </c>
      <c r="S329" s="10">
        <v>32.199326186114135</v>
      </c>
      <c r="T329">
        <v>26</v>
      </c>
    </row>
    <row r="330" spans="1:20" x14ac:dyDescent="0.3">
      <c r="A330">
        <v>1409</v>
      </c>
      <c r="B330" t="s">
        <v>1043</v>
      </c>
      <c r="C330" t="s">
        <v>714</v>
      </c>
      <c r="D330" t="s">
        <v>1044</v>
      </c>
      <c r="E330" t="s">
        <v>1045</v>
      </c>
      <c r="F330" t="s">
        <v>32</v>
      </c>
      <c r="G330" t="s">
        <v>865</v>
      </c>
      <c r="H330" t="s">
        <v>34</v>
      </c>
      <c r="I330" t="s">
        <v>117</v>
      </c>
      <c r="J330" s="1">
        <v>835</v>
      </c>
      <c r="K330" s="1">
        <v>26.09375</v>
      </c>
      <c r="L330" s="3">
        <v>32</v>
      </c>
      <c r="M330" t="s">
        <v>343</v>
      </c>
      <c r="N330" s="2">
        <v>44305</v>
      </c>
      <c r="O330" t="s">
        <v>952</v>
      </c>
      <c r="P330" t="s">
        <v>1038</v>
      </c>
      <c r="Q330">
        <v>7208</v>
      </c>
      <c r="R330" t="s">
        <v>27</v>
      </c>
      <c r="S330" s="10">
        <v>72.869927997697204</v>
      </c>
      <c r="T330">
        <v>50</v>
      </c>
    </row>
    <row r="331" spans="1:20" x14ac:dyDescent="0.3">
      <c r="A331">
        <v>1783</v>
      </c>
      <c r="B331" t="s">
        <v>302</v>
      </c>
      <c r="C331" t="s">
        <v>303</v>
      </c>
      <c r="D331" t="s">
        <v>304</v>
      </c>
      <c r="E331" t="s">
        <v>305</v>
      </c>
      <c r="F331" t="s">
        <v>306</v>
      </c>
      <c r="G331" t="s">
        <v>307</v>
      </c>
      <c r="H331" t="s">
        <v>34</v>
      </c>
      <c r="I331" t="s">
        <v>35</v>
      </c>
      <c r="J331" s="1">
        <v>415</v>
      </c>
      <c r="K331" s="1">
        <v>34.583333333333336</v>
      </c>
      <c r="L331" s="3">
        <v>12</v>
      </c>
      <c r="M331" t="s">
        <v>244</v>
      </c>
      <c r="N331" s="2">
        <v>44307</v>
      </c>
      <c r="O331" t="s">
        <v>308</v>
      </c>
      <c r="P331" t="s">
        <v>309</v>
      </c>
      <c r="Q331">
        <v>85715</v>
      </c>
      <c r="R331" t="s">
        <v>27</v>
      </c>
      <c r="S331" s="10">
        <v>20.678343209107229</v>
      </c>
      <c r="T331">
        <v>19</v>
      </c>
    </row>
    <row r="332" spans="1:20" x14ac:dyDescent="0.3">
      <c r="A332">
        <v>1026</v>
      </c>
      <c r="B332" t="s">
        <v>77</v>
      </c>
      <c r="C332" t="s">
        <v>78</v>
      </c>
      <c r="D332" t="s">
        <v>79</v>
      </c>
      <c r="E332" t="s">
        <v>80</v>
      </c>
      <c r="F332" t="s">
        <v>81</v>
      </c>
      <c r="G332" t="s">
        <v>82</v>
      </c>
      <c r="H332" t="s">
        <v>22</v>
      </c>
      <c r="I332" t="s">
        <v>23</v>
      </c>
      <c r="J332" s="1">
        <v>717</v>
      </c>
      <c r="K332" s="1">
        <v>28.68</v>
      </c>
      <c r="L332" s="3">
        <v>25</v>
      </c>
      <c r="M332" t="s">
        <v>36</v>
      </c>
      <c r="N332" s="2">
        <v>44310</v>
      </c>
      <c r="O332" t="s">
        <v>83</v>
      </c>
      <c r="P332" t="s">
        <v>84</v>
      </c>
      <c r="Q332">
        <v>10469</v>
      </c>
      <c r="R332" t="s">
        <v>27</v>
      </c>
      <c r="S332" s="10">
        <v>37.832132038514295</v>
      </c>
      <c r="T332">
        <v>43</v>
      </c>
    </row>
    <row r="333" spans="1:20" x14ac:dyDescent="0.3">
      <c r="A333">
        <v>1090</v>
      </c>
      <c r="B333" t="s">
        <v>1046</v>
      </c>
      <c r="C333" t="s">
        <v>406</v>
      </c>
      <c r="D333" t="s">
        <v>1047</v>
      </c>
      <c r="E333" t="s">
        <v>1048</v>
      </c>
      <c r="F333" t="s">
        <v>539</v>
      </c>
      <c r="G333" t="s">
        <v>951</v>
      </c>
      <c r="H333" t="s">
        <v>22</v>
      </c>
      <c r="I333" t="s">
        <v>55</v>
      </c>
      <c r="J333" s="1">
        <v>619</v>
      </c>
      <c r="K333" s="1">
        <v>36.411764705882355</v>
      </c>
      <c r="L333" s="3">
        <v>17</v>
      </c>
      <c r="M333" t="s">
        <v>66</v>
      </c>
      <c r="N333" s="2">
        <v>44311</v>
      </c>
      <c r="O333" t="s">
        <v>196</v>
      </c>
      <c r="P333" t="s">
        <v>528</v>
      </c>
      <c r="Q333">
        <v>19136</v>
      </c>
      <c r="R333" t="s">
        <v>27</v>
      </c>
      <c r="S333" s="10">
        <v>31.193639142952559</v>
      </c>
      <c r="T333">
        <v>33</v>
      </c>
    </row>
    <row r="334" spans="1:20" x14ac:dyDescent="0.3">
      <c r="A334">
        <v>1584</v>
      </c>
      <c r="B334" t="s">
        <v>1049</v>
      </c>
      <c r="C334" t="s">
        <v>406</v>
      </c>
      <c r="D334" t="s">
        <v>1050</v>
      </c>
      <c r="E334" t="s">
        <v>1051</v>
      </c>
      <c r="F334" t="s">
        <v>595</v>
      </c>
      <c r="G334" t="s">
        <v>670</v>
      </c>
      <c r="H334" t="s">
        <v>22</v>
      </c>
      <c r="I334" t="s">
        <v>117</v>
      </c>
      <c r="J334" s="1">
        <v>546</v>
      </c>
      <c r="K334" s="1">
        <v>42</v>
      </c>
      <c r="L334" s="3">
        <v>13</v>
      </c>
      <c r="M334" t="s">
        <v>56</v>
      </c>
      <c r="N334" s="2">
        <v>44313</v>
      </c>
      <c r="O334" t="s">
        <v>37</v>
      </c>
      <c r="P334" t="s">
        <v>372</v>
      </c>
      <c r="Q334">
        <v>90005</v>
      </c>
      <c r="R334" t="s">
        <v>27</v>
      </c>
      <c r="S334" s="10">
        <v>29.14665615862393</v>
      </c>
      <c r="T334">
        <v>27</v>
      </c>
    </row>
    <row r="335" spans="1:20" x14ac:dyDescent="0.3">
      <c r="A335">
        <v>1774</v>
      </c>
      <c r="B335" t="s">
        <v>1052</v>
      </c>
      <c r="C335" t="s">
        <v>725</v>
      </c>
      <c r="D335" t="s">
        <v>1053</v>
      </c>
      <c r="E335" t="s">
        <v>1054</v>
      </c>
      <c r="F335" t="s">
        <v>1055</v>
      </c>
      <c r="G335" t="s">
        <v>1056</v>
      </c>
      <c r="H335" t="s">
        <v>22</v>
      </c>
      <c r="I335" t="s">
        <v>35</v>
      </c>
      <c r="J335" s="1">
        <v>978</v>
      </c>
      <c r="K335" s="1">
        <v>25.736842105263158</v>
      </c>
      <c r="L335" s="3">
        <v>38</v>
      </c>
      <c r="M335" t="s">
        <v>36</v>
      </c>
      <c r="N335" s="2">
        <v>44313</v>
      </c>
      <c r="O335" t="s">
        <v>83</v>
      </c>
      <c r="P335" t="s">
        <v>511</v>
      </c>
      <c r="Q335">
        <v>10004</v>
      </c>
      <c r="R335" t="s">
        <v>27</v>
      </c>
      <c r="S335" s="10">
        <v>67.761252170425877</v>
      </c>
      <c r="T335">
        <v>66</v>
      </c>
    </row>
    <row r="336" spans="1:20" x14ac:dyDescent="0.3">
      <c r="A336">
        <v>1026</v>
      </c>
      <c r="B336" t="s">
        <v>77</v>
      </c>
      <c r="C336" t="s">
        <v>78</v>
      </c>
      <c r="D336" t="s">
        <v>79</v>
      </c>
      <c r="E336" t="s">
        <v>80</v>
      </c>
      <c r="F336" t="s">
        <v>81</v>
      </c>
      <c r="G336" t="s">
        <v>82</v>
      </c>
      <c r="H336" t="s">
        <v>22</v>
      </c>
      <c r="I336" t="s">
        <v>23</v>
      </c>
      <c r="J336" s="1">
        <v>42</v>
      </c>
      <c r="K336" s="1">
        <v>21</v>
      </c>
      <c r="L336" s="3">
        <v>2</v>
      </c>
      <c r="M336" t="s">
        <v>36</v>
      </c>
      <c r="N336" s="2">
        <v>44315</v>
      </c>
      <c r="O336" t="s">
        <v>83</v>
      </c>
      <c r="P336" t="s">
        <v>84</v>
      </c>
      <c r="Q336">
        <v>10469</v>
      </c>
      <c r="R336" t="s">
        <v>27</v>
      </c>
      <c r="S336" s="10">
        <v>4.2111388117900059</v>
      </c>
      <c r="T336">
        <v>2</v>
      </c>
    </row>
    <row r="337" spans="1:20" x14ac:dyDescent="0.3">
      <c r="A337">
        <v>1402</v>
      </c>
      <c r="B337" t="s">
        <v>901</v>
      </c>
      <c r="C337" t="s">
        <v>777</v>
      </c>
      <c r="D337" t="s">
        <v>1057</v>
      </c>
      <c r="E337" t="s">
        <v>1058</v>
      </c>
      <c r="F337" t="s">
        <v>1059</v>
      </c>
      <c r="G337" t="s">
        <v>365</v>
      </c>
      <c r="H337" t="s">
        <v>34</v>
      </c>
      <c r="I337" t="s">
        <v>435</v>
      </c>
      <c r="J337" s="1">
        <v>229</v>
      </c>
      <c r="K337" s="1">
        <v>28.625</v>
      </c>
      <c r="L337" s="3">
        <v>8</v>
      </c>
      <c r="M337" t="s">
        <v>126</v>
      </c>
      <c r="N337" s="2">
        <v>44317</v>
      </c>
      <c r="O337" t="s">
        <v>267</v>
      </c>
      <c r="P337" t="s">
        <v>968</v>
      </c>
      <c r="Q337">
        <v>33715</v>
      </c>
      <c r="R337" t="s">
        <v>27</v>
      </c>
      <c r="S337" s="10">
        <v>18.946877941477378</v>
      </c>
      <c r="T337">
        <v>10</v>
      </c>
    </row>
    <row r="338" spans="1:20" x14ac:dyDescent="0.3">
      <c r="A338">
        <v>1435</v>
      </c>
      <c r="B338" t="s">
        <v>189</v>
      </c>
      <c r="C338" t="s">
        <v>190</v>
      </c>
      <c r="D338" t="s">
        <v>191</v>
      </c>
      <c r="E338" t="s">
        <v>192</v>
      </c>
      <c r="F338" t="s">
        <v>193</v>
      </c>
      <c r="G338" t="s">
        <v>194</v>
      </c>
      <c r="H338" t="s">
        <v>34</v>
      </c>
      <c r="I338" t="s">
        <v>35</v>
      </c>
      <c r="J338" s="1">
        <v>722</v>
      </c>
      <c r="K338" s="1">
        <v>32.81818181818182</v>
      </c>
      <c r="L338" s="3">
        <v>22</v>
      </c>
      <c r="M338" t="s">
        <v>195</v>
      </c>
      <c r="N338" s="2">
        <v>44318</v>
      </c>
      <c r="O338" t="s">
        <v>196</v>
      </c>
      <c r="P338" t="s">
        <v>197</v>
      </c>
      <c r="Q338">
        <v>19605</v>
      </c>
      <c r="R338" t="s">
        <v>27</v>
      </c>
      <c r="S338" s="10">
        <v>48.323712233750037</v>
      </c>
      <c r="T338">
        <v>47</v>
      </c>
    </row>
    <row r="339" spans="1:20" x14ac:dyDescent="0.3">
      <c r="A339">
        <v>1170</v>
      </c>
      <c r="B339" t="s">
        <v>153</v>
      </c>
      <c r="C339" t="s">
        <v>154</v>
      </c>
      <c r="D339" t="s">
        <v>155</v>
      </c>
      <c r="E339" t="s">
        <v>156</v>
      </c>
      <c r="F339" t="s">
        <v>157</v>
      </c>
      <c r="G339" t="s">
        <v>158</v>
      </c>
      <c r="H339" t="s">
        <v>34</v>
      </c>
      <c r="I339" t="s">
        <v>65</v>
      </c>
      <c r="J339" s="1">
        <v>742</v>
      </c>
      <c r="K339" s="1">
        <v>39.05263157894737</v>
      </c>
      <c r="L339" s="3">
        <v>19</v>
      </c>
      <c r="M339" t="s">
        <v>24</v>
      </c>
      <c r="N339" s="2">
        <v>44320</v>
      </c>
      <c r="O339" t="s">
        <v>67</v>
      </c>
      <c r="P339" t="s">
        <v>159</v>
      </c>
      <c r="Q339">
        <v>88574</v>
      </c>
      <c r="R339" t="s">
        <v>27</v>
      </c>
      <c r="S339" s="10">
        <v>37.911232765006815</v>
      </c>
      <c r="T339">
        <v>31</v>
      </c>
    </row>
    <row r="340" spans="1:20" x14ac:dyDescent="0.3">
      <c r="A340">
        <v>1880</v>
      </c>
      <c r="B340" t="s">
        <v>129</v>
      </c>
      <c r="C340" t="s">
        <v>130</v>
      </c>
      <c r="D340" t="s">
        <v>131</v>
      </c>
      <c r="E340" t="s">
        <v>132</v>
      </c>
      <c r="F340" t="s">
        <v>133</v>
      </c>
      <c r="G340" t="s">
        <v>134</v>
      </c>
      <c r="H340" t="s">
        <v>22</v>
      </c>
      <c r="I340" t="s">
        <v>135</v>
      </c>
      <c r="J340" s="1">
        <v>530</v>
      </c>
      <c r="K340" s="1">
        <v>27.894736842105264</v>
      </c>
      <c r="L340" s="3">
        <v>19</v>
      </c>
      <c r="M340" t="s">
        <v>36</v>
      </c>
      <c r="N340" s="2">
        <v>44321</v>
      </c>
      <c r="O340" t="s">
        <v>136</v>
      </c>
      <c r="P340" t="s">
        <v>137</v>
      </c>
      <c r="Q340">
        <v>60614</v>
      </c>
      <c r="R340" t="s">
        <v>27</v>
      </c>
      <c r="S340" s="10">
        <v>32.348171998155934</v>
      </c>
      <c r="T340">
        <v>35</v>
      </c>
    </row>
    <row r="341" spans="1:20" x14ac:dyDescent="0.3">
      <c r="A341">
        <v>1436</v>
      </c>
      <c r="B341" t="s">
        <v>294</v>
      </c>
      <c r="C341" t="s">
        <v>248</v>
      </c>
      <c r="D341" t="s">
        <v>295</v>
      </c>
      <c r="E341" t="s">
        <v>296</v>
      </c>
      <c r="F341" t="s">
        <v>297</v>
      </c>
      <c r="G341" t="s">
        <v>298</v>
      </c>
      <c r="H341" t="s">
        <v>22</v>
      </c>
      <c r="I341" t="s">
        <v>299</v>
      </c>
      <c r="J341" s="1">
        <v>995</v>
      </c>
      <c r="K341" s="1">
        <v>38.269230769230766</v>
      </c>
      <c r="L341" s="3">
        <v>26</v>
      </c>
      <c r="M341" t="s">
        <v>36</v>
      </c>
      <c r="N341" s="2">
        <v>44322</v>
      </c>
      <c r="O341" t="s">
        <v>300</v>
      </c>
      <c r="P341" t="s">
        <v>301</v>
      </c>
      <c r="Q341">
        <v>89145</v>
      </c>
      <c r="R341" t="s">
        <v>27</v>
      </c>
      <c r="S341" s="10">
        <v>44.866801843768251</v>
      </c>
      <c r="T341">
        <v>54</v>
      </c>
    </row>
    <row r="342" spans="1:20" x14ac:dyDescent="0.3">
      <c r="A342">
        <v>1996</v>
      </c>
      <c r="B342" t="s">
        <v>167</v>
      </c>
      <c r="C342" t="s">
        <v>168</v>
      </c>
      <c r="D342" t="s">
        <v>169</v>
      </c>
      <c r="E342" t="s">
        <v>170</v>
      </c>
      <c r="F342" t="s">
        <v>171</v>
      </c>
      <c r="G342" t="s">
        <v>172</v>
      </c>
      <c r="H342" t="s">
        <v>22</v>
      </c>
      <c r="I342" t="s">
        <v>65</v>
      </c>
      <c r="J342" s="1">
        <v>788</v>
      </c>
      <c r="K342" s="1">
        <v>34.260869565217391</v>
      </c>
      <c r="L342" s="3">
        <v>23</v>
      </c>
      <c r="M342" t="s">
        <v>24</v>
      </c>
      <c r="N342" s="2">
        <v>44325</v>
      </c>
      <c r="O342" t="s">
        <v>173</v>
      </c>
      <c r="P342" t="s">
        <v>174</v>
      </c>
      <c r="Q342">
        <v>64160</v>
      </c>
      <c r="R342" t="s">
        <v>27</v>
      </c>
      <c r="S342" s="10">
        <v>49.169791226620632</v>
      </c>
      <c r="T342">
        <v>43</v>
      </c>
    </row>
    <row r="343" spans="1:20" x14ac:dyDescent="0.3">
      <c r="A343">
        <v>1026</v>
      </c>
      <c r="B343" t="s">
        <v>77</v>
      </c>
      <c r="C343" t="s">
        <v>78</v>
      </c>
      <c r="D343" t="s">
        <v>79</v>
      </c>
      <c r="E343" t="s">
        <v>80</v>
      </c>
      <c r="F343" t="s">
        <v>81</v>
      </c>
      <c r="G343" t="s">
        <v>82</v>
      </c>
      <c r="H343" t="s">
        <v>22</v>
      </c>
      <c r="I343" t="s">
        <v>23</v>
      </c>
      <c r="J343" s="1">
        <v>208</v>
      </c>
      <c r="K343" s="1">
        <v>34.666666666666664</v>
      </c>
      <c r="L343" s="3">
        <v>6</v>
      </c>
      <c r="M343" t="s">
        <v>36</v>
      </c>
      <c r="N343" s="2">
        <v>44326</v>
      </c>
      <c r="O343" t="s">
        <v>83</v>
      </c>
      <c r="P343" t="s">
        <v>84</v>
      </c>
      <c r="Q343">
        <v>10469</v>
      </c>
      <c r="R343" t="s">
        <v>27</v>
      </c>
      <c r="S343" s="10">
        <v>10.714548576400034</v>
      </c>
      <c r="T343">
        <v>11</v>
      </c>
    </row>
    <row r="344" spans="1:20" x14ac:dyDescent="0.3">
      <c r="A344">
        <v>1022</v>
      </c>
      <c r="B344" t="s">
        <v>591</v>
      </c>
      <c r="C344" t="s">
        <v>592</v>
      </c>
      <c r="D344" t="s">
        <v>593</v>
      </c>
      <c r="E344" t="s">
        <v>594</v>
      </c>
      <c r="F344" t="s">
        <v>595</v>
      </c>
      <c r="G344" t="s">
        <v>279</v>
      </c>
      <c r="H344" t="s">
        <v>34</v>
      </c>
      <c r="I344" t="s">
        <v>23</v>
      </c>
      <c r="J344" s="1">
        <v>501</v>
      </c>
      <c r="K344" s="1">
        <v>45.545454545454547</v>
      </c>
      <c r="L344" s="3">
        <v>11</v>
      </c>
      <c r="M344" t="s">
        <v>36</v>
      </c>
      <c r="N344" s="2">
        <v>44330</v>
      </c>
      <c r="O344" t="s">
        <v>470</v>
      </c>
      <c r="P344" t="s">
        <v>358</v>
      </c>
      <c r="Q344">
        <v>20430</v>
      </c>
      <c r="R344" t="s">
        <v>27</v>
      </c>
      <c r="S344" s="10">
        <v>27.203449850897311</v>
      </c>
      <c r="T344">
        <v>15</v>
      </c>
    </row>
    <row r="345" spans="1:20" x14ac:dyDescent="0.3">
      <c r="A345">
        <v>1468</v>
      </c>
      <c r="B345" t="s">
        <v>380</v>
      </c>
      <c r="C345" t="s">
        <v>381</v>
      </c>
      <c r="D345" t="s">
        <v>382</v>
      </c>
      <c r="E345" t="s">
        <v>383</v>
      </c>
      <c r="F345" t="s">
        <v>384</v>
      </c>
      <c r="G345" t="s">
        <v>385</v>
      </c>
      <c r="H345" t="s">
        <v>22</v>
      </c>
      <c r="I345" t="s">
        <v>65</v>
      </c>
      <c r="J345" s="1">
        <v>296</v>
      </c>
      <c r="K345" s="1">
        <v>37</v>
      </c>
      <c r="L345" s="3">
        <v>8</v>
      </c>
      <c r="M345" t="s">
        <v>46</v>
      </c>
      <c r="N345" s="2">
        <v>44330</v>
      </c>
      <c r="O345" t="s">
        <v>109</v>
      </c>
      <c r="P345" t="s">
        <v>386</v>
      </c>
      <c r="Q345">
        <v>70116</v>
      </c>
      <c r="R345" t="s">
        <v>27</v>
      </c>
      <c r="S345" s="10">
        <v>16.675792658110357</v>
      </c>
      <c r="T345">
        <v>14</v>
      </c>
    </row>
    <row r="346" spans="1:20" x14ac:dyDescent="0.3">
      <c r="A346">
        <v>1984</v>
      </c>
      <c r="B346" t="s">
        <v>892</v>
      </c>
      <c r="C346" t="s">
        <v>893</v>
      </c>
      <c r="D346" t="s">
        <v>894</v>
      </c>
      <c r="E346" t="s">
        <v>895</v>
      </c>
      <c r="F346" t="s">
        <v>896</v>
      </c>
      <c r="G346" t="s">
        <v>712</v>
      </c>
      <c r="H346" t="s">
        <v>22</v>
      </c>
      <c r="I346" t="s">
        <v>65</v>
      </c>
      <c r="J346" s="1">
        <v>805</v>
      </c>
      <c r="K346" s="1">
        <v>33.541666666666664</v>
      </c>
      <c r="L346" s="3">
        <v>24</v>
      </c>
      <c r="M346" t="s">
        <v>66</v>
      </c>
      <c r="N346" s="2">
        <v>44330</v>
      </c>
      <c r="O346" t="s">
        <v>173</v>
      </c>
      <c r="P346" t="s">
        <v>579</v>
      </c>
      <c r="Q346">
        <v>65810</v>
      </c>
      <c r="R346" t="s">
        <v>27</v>
      </c>
      <c r="S346" s="10">
        <v>44.076530886459892</v>
      </c>
      <c r="T346">
        <v>45</v>
      </c>
    </row>
    <row r="347" spans="1:20" x14ac:dyDescent="0.3">
      <c r="A347">
        <v>1017</v>
      </c>
      <c r="B347" t="s">
        <v>660</v>
      </c>
      <c r="C347" t="s">
        <v>679</v>
      </c>
      <c r="D347" t="s">
        <v>680</v>
      </c>
      <c r="E347" t="s">
        <v>681</v>
      </c>
      <c r="F347" t="s">
        <v>682</v>
      </c>
      <c r="G347" t="s">
        <v>446</v>
      </c>
      <c r="H347" t="s">
        <v>22</v>
      </c>
      <c r="I347" t="s">
        <v>23</v>
      </c>
      <c r="J347" s="1">
        <v>881</v>
      </c>
      <c r="K347" s="1">
        <v>44.05</v>
      </c>
      <c r="L347" s="3">
        <v>20</v>
      </c>
      <c r="M347" t="s">
        <v>36</v>
      </c>
      <c r="N347" s="2">
        <v>44332</v>
      </c>
      <c r="O347" t="s">
        <v>136</v>
      </c>
      <c r="P347" t="s">
        <v>137</v>
      </c>
      <c r="Q347">
        <v>60663</v>
      </c>
      <c r="R347" t="s">
        <v>27</v>
      </c>
      <c r="S347" s="10">
        <v>26.911140990139657</v>
      </c>
      <c r="T347">
        <v>28</v>
      </c>
    </row>
    <row r="348" spans="1:20" x14ac:dyDescent="0.3">
      <c r="A348">
        <v>1489</v>
      </c>
      <c r="B348" t="s">
        <v>85</v>
      </c>
      <c r="C348" t="s">
        <v>86</v>
      </c>
      <c r="D348" t="s">
        <v>87</v>
      </c>
      <c r="E348" t="s">
        <v>88</v>
      </c>
      <c r="F348" t="s">
        <v>89</v>
      </c>
      <c r="G348" t="s">
        <v>90</v>
      </c>
      <c r="H348" t="s">
        <v>34</v>
      </c>
      <c r="I348" t="s">
        <v>23</v>
      </c>
      <c r="J348" s="1">
        <v>455</v>
      </c>
      <c r="K348" s="1">
        <v>26.764705882352942</v>
      </c>
      <c r="L348" s="3">
        <v>17</v>
      </c>
      <c r="M348" t="s">
        <v>66</v>
      </c>
      <c r="N348" s="2">
        <v>44332</v>
      </c>
      <c r="O348" t="s">
        <v>47</v>
      </c>
      <c r="P348" t="s">
        <v>91</v>
      </c>
      <c r="Q348">
        <v>23668</v>
      </c>
      <c r="R348" t="s">
        <v>27</v>
      </c>
      <c r="S348" s="10">
        <v>28.515024784559646</v>
      </c>
      <c r="T348">
        <v>32</v>
      </c>
    </row>
    <row r="349" spans="1:20" x14ac:dyDescent="0.3">
      <c r="A349">
        <v>1020</v>
      </c>
      <c r="B349" t="s">
        <v>310</v>
      </c>
      <c r="C349" t="s">
        <v>311</v>
      </c>
      <c r="D349" t="s">
        <v>312</v>
      </c>
      <c r="E349" t="s">
        <v>313</v>
      </c>
      <c r="F349" t="s">
        <v>314</v>
      </c>
      <c r="G349" t="s">
        <v>315</v>
      </c>
      <c r="H349" t="s">
        <v>22</v>
      </c>
      <c r="I349" t="s">
        <v>23</v>
      </c>
      <c r="J349" s="1">
        <v>674</v>
      </c>
      <c r="K349" s="1">
        <v>42.125</v>
      </c>
      <c r="L349" s="3">
        <v>16</v>
      </c>
      <c r="M349" t="s">
        <v>36</v>
      </c>
      <c r="N349" s="2">
        <v>44333</v>
      </c>
      <c r="O349" t="s">
        <v>37</v>
      </c>
      <c r="P349" t="s">
        <v>316</v>
      </c>
      <c r="Q349">
        <v>94105</v>
      </c>
      <c r="R349" t="s">
        <v>27</v>
      </c>
      <c r="S349" s="10">
        <v>23.012321816633783</v>
      </c>
      <c r="T349">
        <v>33</v>
      </c>
    </row>
    <row r="350" spans="1:20" x14ac:dyDescent="0.3">
      <c r="A350">
        <v>1277</v>
      </c>
      <c r="B350" t="s">
        <v>222</v>
      </c>
      <c r="C350" t="s">
        <v>223</v>
      </c>
      <c r="D350" t="s">
        <v>224</v>
      </c>
      <c r="E350" t="s">
        <v>225</v>
      </c>
      <c r="F350" t="s">
        <v>226</v>
      </c>
      <c r="G350" t="s">
        <v>227</v>
      </c>
      <c r="H350" t="s">
        <v>34</v>
      </c>
      <c r="I350" t="s">
        <v>228</v>
      </c>
      <c r="J350" s="1">
        <v>310</v>
      </c>
      <c r="K350" s="1">
        <v>44.285714285714285</v>
      </c>
      <c r="L350" s="3">
        <v>7</v>
      </c>
      <c r="M350" t="s">
        <v>203</v>
      </c>
      <c r="N350" s="2">
        <v>44333</v>
      </c>
      <c r="O350" t="s">
        <v>229</v>
      </c>
      <c r="P350" t="s">
        <v>230</v>
      </c>
      <c r="Q350">
        <v>44310</v>
      </c>
      <c r="R350" t="s">
        <v>27</v>
      </c>
      <c r="S350" s="10">
        <v>10.553159765482198</v>
      </c>
      <c r="T350">
        <v>14</v>
      </c>
    </row>
    <row r="351" spans="1:20" x14ac:dyDescent="0.3">
      <c r="A351">
        <v>1610</v>
      </c>
      <c r="B351" t="s">
        <v>1060</v>
      </c>
      <c r="C351" t="s">
        <v>689</v>
      </c>
      <c r="D351" t="s">
        <v>1061</v>
      </c>
      <c r="E351" t="s">
        <v>1062</v>
      </c>
      <c r="F351" t="s">
        <v>1063</v>
      </c>
      <c r="G351" t="s">
        <v>1056</v>
      </c>
      <c r="H351" t="s">
        <v>34</v>
      </c>
      <c r="I351" t="s">
        <v>435</v>
      </c>
      <c r="J351" s="1">
        <v>568</v>
      </c>
      <c r="K351" s="1">
        <v>35.5</v>
      </c>
      <c r="L351" s="3">
        <v>16</v>
      </c>
      <c r="M351" t="s">
        <v>126</v>
      </c>
      <c r="N351" s="2">
        <v>44333</v>
      </c>
      <c r="O351" t="s">
        <v>144</v>
      </c>
      <c r="P351" t="s">
        <v>1064</v>
      </c>
      <c r="Q351">
        <v>80920</v>
      </c>
      <c r="R351" t="s">
        <v>27</v>
      </c>
      <c r="S351" s="10">
        <v>20.019120989724001</v>
      </c>
      <c r="T351">
        <v>30</v>
      </c>
    </row>
    <row r="352" spans="1:20" x14ac:dyDescent="0.3">
      <c r="A352">
        <v>1118</v>
      </c>
      <c r="B352" t="s">
        <v>1052</v>
      </c>
      <c r="C352" t="s">
        <v>121</v>
      </c>
      <c r="D352" t="s">
        <v>1065</v>
      </c>
      <c r="E352" t="s">
        <v>1066</v>
      </c>
      <c r="F352" t="s">
        <v>1067</v>
      </c>
      <c r="G352" t="s">
        <v>82</v>
      </c>
      <c r="H352" t="s">
        <v>22</v>
      </c>
      <c r="I352" t="s">
        <v>55</v>
      </c>
      <c r="J352" s="1">
        <v>725</v>
      </c>
      <c r="K352" s="1">
        <v>45.3125</v>
      </c>
      <c r="L352" s="3">
        <v>16</v>
      </c>
      <c r="M352" t="s">
        <v>36</v>
      </c>
      <c r="N352" s="2">
        <v>44338</v>
      </c>
      <c r="O352" t="s">
        <v>229</v>
      </c>
      <c r="P352" t="s">
        <v>1068</v>
      </c>
      <c r="Q352">
        <v>44760</v>
      </c>
      <c r="R352" t="s">
        <v>27</v>
      </c>
      <c r="S352" s="10">
        <v>39.183460315049714</v>
      </c>
      <c r="T352">
        <v>32</v>
      </c>
    </row>
    <row r="353" spans="1:20" x14ac:dyDescent="0.3">
      <c r="A353">
        <v>1437</v>
      </c>
      <c r="B353" t="s">
        <v>654</v>
      </c>
      <c r="C353" t="s">
        <v>655</v>
      </c>
      <c r="D353" t="s">
        <v>656</v>
      </c>
      <c r="E353" t="s">
        <v>657</v>
      </c>
      <c r="F353" t="s">
        <v>658</v>
      </c>
      <c r="G353" t="s">
        <v>357</v>
      </c>
      <c r="H353" t="s">
        <v>34</v>
      </c>
      <c r="I353" t="s">
        <v>299</v>
      </c>
      <c r="J353" s="1">
        <v>687</v>
      </c>
      <c r="K353" s="1">
        <v>25.444444444444443</v>
      </c>
      <c r="L353" s="3">
        <v>27</v>
      </c>
      <c r="M353" t="s">
        <v>36</v>
      </c>
      <c r="N353" s="2">
        <v>44342</v>
      </c>
      <c r="O353" t="s">
        <v>300</v>
      </c>
      <c r="P353" t="s">
        <v>659</v>
      </c>
      <c r="Q353">
        <v>89505</v>
      </c>
      <c r="R353" t="s">
        <v>27</v>
      </c>
      <c r="S353" s="10">
        <v>66.103769907088534</v>
      </c>
      <c r="T353">
        <v>55</v>
      </c>
    </row>
    <row r="354" spans="1:20" x14ac:dyDescent="0.3">
      <c r="A354">
        <v>1997</v>
      </c>
      <c r="B354" t="s">
        <v>1038</v>
      </c>
      <c r="C354" t="s">
        <v>1039</v>
      </c>
      <c r="D354" t="s">
        <v>1040</v>
      </c>
      <c r="E354" t="s">
        <v>1041</v>
      </c>
      <c r="F354" t="s">
        <v>1042</v>
      </c>
      <c r="G354" t="s">
        <v>756</v>
      </c>
      <c r="H354" t="s">
        <v>22</v>
      </c>
      <c r="I354" t="s">
        <v>236</v>
      </c>
      <c r="J354" s="1">
        <v>551</v>
      </c>
      <c r="K354" s="1">
        <v>32.411764705882355</v>
      </c>
      <c r="L354" s="3">
        <v>17</v>
      </c>
      <c r="M354" t="s">
        <v>36</v>
      </c>
      <c r="N354" s="2">
        <v>44342</v>
      </c>
      <c r="O354" t="s">
        <v>83</v>
      </c>
      <c r="P354" t="s">
        <v>511</v>
      </c>
      <c r="Q354">
        <v>10155</v>
      </c>
      <c r="R354" t="s">
        <v>27</v>
      </c>
      <c r="S354" s="10">
        <v>24.138779707423197</v>
      </c>
      <c r="T354">
        <v>29</v>
      </c>
    </row>
    <row r="355" spans="1:20" x14ac:dyDescent="0.3">
      <c r="A355">
        <v>1298</v>
      </c>
      <c r="B355" t="s">
        <v>275</v>
      </c>
      <c r="C355" t="s">
        <v>340</v>
      </c>
      <c r="D355" t="s">
        <v>341</v>
      </c>
      <c r="E355" t="s">
        <v>342</v>
      </c>
      <c r="F355" t="s">
        <v>306</v>
      </c>
      <c r="G355" t="s">
        <v>180</v>
      </c>
      <c r="H355" t="s">
        <v>22</v>
      </c>
      <c r="I355" t="s">
        <v>236</v>
      </c>
      <c r="J355" s="1">
        <v>133</v>
      </c>
      <c r="K355" s="1">
        <v>44.333333333333336</v>
      </c>
      <c r="L355" s="3">
        <v>3</v>
      </c>
      <c r="M355" t="s">
        <v>343</v>
      </c>
      <c r="N355" s="2">
        <v>44343</v>
      </c>
      <c r="O355" t="s">
        <v>267</v>
      </c>
      <c r="P355" t="s">
        <v>344</v>
      </c>
      <c r="Q355">
        <v>32891</v>
      </c>
      <c r="R355" t="s">
        <v>27</v>
      </c>
      <c r="S355" s="10">
        <v>6.5031946497357103</v>
      </c>
      <c r="T355">
        <v>3</v>
      </c>
    </row>
    <row r="356" spans="1:20" x14ac:dyDescent="0.3">
      <c r="A356">
        <v>1930</v>
      </c>
      <c r="B356" t="s">
        <v>1069</v>
      </c>
      <c r="C356" t="s">
        <v>199</v>
      </c>
      <c r="D356" t="s">
        <v>1070</v>
      </c>
      <c r="E356" t="s">
        <v>1071</v>
      </c>
      <c r="F356" t="s">
        <v>1072</v>
      </c>
      <c r="G356" t="s">
        <v>298</v>
      </c>
      <c r="H356" t="s">
        <v>22</v>
      </c>
      <c r="I356" t="s">
        <v>135</v>
      </c>
      <c r="J356" s="1">
        <v>613</v>
      </c>
      <c r="K356" s="1">
        <v>36.058823529411768</v>
      </c>
      <c r="L356" s="3">
        <v>17</v>
      </c>
      <c r="M356" t="s">
        <v>36</v>
      </c>
      <c r="N356" s="2">
        <v>44350</v>
      </c>
      <c r="O356" t="s">
        <v>993</v>
      </c>
      <c r="P356" t="s">
        <v>994</v>
      </c>
      <c r="Q356">
        <v>25362</v>
      </c>
      <c r="R356" t="s">
        <v>27</v>
      </c>
      <c r="S356" s="10">
        <v>32.726730594750457</v>
      </c>
      <c r="T356">
        <v>22</v>
      </c>
    </row>
    <row r="357" spans="1:20" x14ac:dyDescent="0.3">
      <c r="A357">
        <v>1019</v>
      </c>
      <c r="B357" t="s">
        <v>764</v>
      </c>
      <c r="C357" t="s">
        <v>374</v>
      </c>
      <c r="D357" t="s">
        <v>765</v>
      </c>
      <c r="E357" t="s">
        <v>766</v>
      </c>
      <c r="F357" t="s">
        <v>554</v>
      </c>
      <c r="G357" t="s">
        <v>298</v>
      </c>
      <c r="H357" t="s">
        <v>22</v>
      </c>
      <c r="I357" t="s">
        <v>23</v>
      </c>
      <c r="J357" s="1">
        <v>936</v>
      </c>
      <c r="K357" s="1">
        <v>34.666666666666664</v>
      </c>
      <c r="L357" s="3">
        <v>27</v>
      </c>
      <c r="M357" t="s">
        <v>66</v>
      </c>
      <c r="N357" s="2">
        <v>44353</v>
      </c>
      <c r="O357" t="s">
        <v>767</v>
      </c>
      <c r="P357" t="s">
        <v>768</v>
      </c>
      <c r="Q357">
        <v>83705</v>
      </c>
      <c r="R357" t="s">
        <v>27</v>
      </c>
      <c r="S357" s="10">
        <v>58.139936348453148</v>
      </c>
      <c r="T357">
        <v>55</v>
      </c>
    </row>
    <row r="358" spans="1:20" x14ac:dyDescent="0.3">
      <c r="A358">
        <v>1994</v>
      </c>
      <c r="B358" t="s">
        <v>740</v>
      </c>
      <c r="C358" t="s">
        <v>466</v>
      </c>
      <c r="D358" t="s">
        <v>741</v>
      </c>
      <c r="E358" t="s">
        <v>742</v>
      </c>
      <c r="F358" t="s">
        <v>743</v>
      </c>
      <c r="G358" t="s">
        <v>744</v>
      </c>
      <c r="H358" t="s">
        <v>34</v>
      </c>
      <c r="I358" t="s">
        <v>65</v>
      </c>
      <c r="J358" s="1">
        <v>249</v>
      </c>
      <c r="K358" s="1">
        <v>35.571428571428569</v>
      </c>
      <c r="L358" s="3">
        <v>7</v>
      </c>
      <c r="M358" t="s">
        <v>36</v>
      </c>
      <c r="N358" s="2">
        <v>44356</v>
      </c>
      <c r="O358" t="s">
        <v>136</v>
      </c>
      <c r="P358" t="s">
        <v>745</v>
      </c>
      <c r="Q358">
        <v>61651</v>
      </c>
      <c r="R358" t="s">
        <v>27</v>
      </c>
      <c r="S358" s="10">
        <v>10.148865355711434</v>
      </c>
      <c r="T358">
        <v>9</v>
      </c>
    </row>
    <row r="359" spans="1:20" x14ac:dyDescent="0.3">
      <c r="A359">
        <v>1081</v>
      </c>
      <c r="B359" t="s">
        <v>529</v>
      </c>
      <c r="C359" t="s">
        <v>530</v>
      </c>
      <c r="D359" t="s">
        <v>531</v>
      </c>
      <c r="E359" t="s">
        <v>532</v>
      </c>
      <c r="F359" t="s">
        <v>533</v>
      </c>
      <c r="G359" t="s">
        <v>495</v>
      </c>
      <c r="H359" t="s">
        <v>22</v>
      </c>
      <c r="I359" t="s">
        <v>55</v>
      </c>
      <c r="J359" s="1">
        <v>533</v>
      </c>
      <c r="K359" s="1">
        <v>33.3125</v>
      </c>
      <c r="L359" s="3">
        <v>16</v>
      </c>
      <c r="M359" t="s">
        <v>447</v>
      </c>
      <c r="N359" s="2">
        <v>44363</v>
      </c>
      <c r="O359" t="s">
        <v>229</v>
      </c>
      <c r="P359" t="s">
        <v>534</v>
      </c>
      <c r="Q359">
        <v>45426</v>
      </c>
      <c r="R359" t="s">
        <v>27</v>
      </c>
      <c r="S359" s="10">
        <v>33.701623552621193</v>
      </c>
      <c r="T359">
        <v>35</v>
      </c>
    </row>
    <row r="360" spans="1:20" x14ac:dyDescent="0.3">
      <c r="A360">
        <v>1648</v>
      </c>
      <c r="B360" t="s">
        <v>322</v>
      </c>
      <c r="C360" t="s">
        <v>1073</v>
      </c>
      <c r="D360" t="s">
        <v>1074</v>
      </c>
      <c r="E360" t="s">
        <v>1075</v>
      </c>
      <c r="F360" t="s">
        <v>1076</v>
      </c>
      <c r="G360" t="s">
        <v>937</v>
      </c>
      <c r="H360" t="s">
        <v>22</v>
      </c>
      <c r="I360" t="s">
        <v>23</v>
      </c>
      <c r="J360" s="1">
        <v>339</v>
      </c>
      <c r="K360" s="1">
        <v>30.818181818181817</v>
      </c>
      <c r="L360" s="3">
        <v>11</v>
      </c>
      <c r="M360" t="s">
        <v>36</v>
      </c>
      <c r="N360" s="2">
        <v>44363</v>
      </c>
      <c r="O360" t="s">
        <v>822</v>
      </c>
      <c r="P360" t="s">
        <v>1077</v>
      </c>
      <c r="Q360">
        <v>71914</v>
      </c>
      <c r="R360" t="s">
        <v>27</v>
      </c>
      <c r="S360" s="10">
        <v>21.452713236857562</v>
      </c>
      <c r="T360">
        <v>19</v>
      </c>
    </row>
    <row r="361" spans="1:20" x14ac:dyDescent="0.3">
      <c r="A361">
        <v>1668</v>
      </c>
      <c r="B361" t="s">
        <v>1078</v>
      </c>
      <c r="C361" t="s">
        <v>1079</v>
      </c>
      <c r="D361" t="s">
        <v>1080</v>
      </c>
      <c r="E361" t="s">
        <v>1081</v>
      </c>
      <c r="F361" t="s">
        <v>273</v>
      </c>
      <c r="G361" t="s">
        <v>1082</v>
      </c>
      <c r="H361" t="s">
        <v>22</v>
      </c>
      <c r="I361" t="s">
        <v>23</v>
      </c>
      <c r="J361" s="1">
        <v>12</v>
      </c>
      <c r="K361" s="1">
        <v>12</v>
      </c>
      <c r="L361" s="3">
        <v>1</v>
      </c>
      <c r="M361" t="s">
        <v>99</v>
      </c>
      <c r="N361" s="2">
        <v>44363</v>
      </c>
      <c r="O361" t="s">
        <v>67</v>
      </c>
      <c r="P361" t="s">
        <v>159</v>
      </c>
      <c r="Q361">
        <v>79977</v>
      </c>
      <c r="R361" t="s">
        <v>27</v>
      </c>
      <c r="S361" s="10">
        <v>1.7190918950087875</v>
      </c>
      <c r="T361">
        <v>2</v>
      </c>
    </row>
    <row r="362" spans="1:20" x14ac:dyDescent="0.3">
      <c r="A362">
        <v>1095</v>
      </c>
      <c r="B362" t="s">
        <v>550</v>
      </c>
      <c r="C362" t="s">
        <v>551</v>
      </c>
      <c r="D362" t="s">
        <v>552</v>
      </c>
      <c r="E362" t="s">
        <v>553</v>
      </c>
      <c r="F362" t="s">
        <v>554</v>
      </c>
      <c r="G362" t="s">
        <v>555</v>
      </c>
      <c r="H362" t="s">
        <v>22</v>
      </c>
      <c r="I362" t="s">
        <v>55</v>
      </c>
      <c r="J362" s="1">
        <v>246</v>
      </c>
      <c r="K362" s="1">
        <v>41</v>
      </c>
      <c r="L362" s="3">
        <v>6</v>
      </c>
      <c r="M362" t="s">
        <v>126</v>
      </c>
      <c r="N362" s="2">
        <v>44364</v>
      </c>
      <c r="O362" t="s">
        <v>67</v>
      </c>
      <c r="P362" t="s">
        <v>334</v>
      </c>
      <c r="Q362">
        <v>77040</v>
      </c>
      <c r="R362" t="s">
        <v>27</v>
      </c>
      <c r="S362" s="10">
        <v>13.892088150061021</v>
      </c>
      <c r="T362">
        <v>12</v>
      </c>
    </row>
    <row r="363" spans="1:20" x14ac:dyDescent="0.3">
      <c r="A363">
        <v>1468</v>
      </c>
      <c r="B363" t="s">
        <v>380</v>
      </c>
      <c r="C363" t="s">
        <v>381</v>
      </c>
      <c r="D363" t="s">
        <v>382</v>
      </c>
      <c r="E363" t="s">
        <v>383</v>
      </c>
      <c r="F363" t="s">
        <v>384</v>
      </c>
      <c r="G363" t="s">
        <v>385</v>
      </c>
      <c r="H363" t="s">
        <v>22</v>
      </c>
      <c r="I363" t="s">
        <v>65</v>
      </c>
      <c r="J363" s="1">
        <v>160</v>
      </c>
      <c r="K363" s="1">
        <v>32</v>
      </c>
      <c r="L363" s="3">
        <v>5</v>
      </c>
      <c r="M363" t="s">
        <v>46</v>
      </c>
      <c r="N363" s="2">
        <v>44364</v>
      </c>
      <c r="O363" t="s">
        <v>109</v>
      </c>
      <c r="P363" t="s">
        <v>386</v>
      </c>
      <c r="Q363">
        <v>70116</v>
      </c>
      <c r="R363" t="s">
        <v>27</v>
      </c>
      <c r="S363" s="10">
        <v>11.256773422877529</v>
      </c>
      <c r="T363">
        <v>7</v>
      </c>
    </row>
    <row r="364" spans="1:20" x14ac:dyDescent="0.3">
      <c r="A364">
        <v>1017</v>
      </c>
      <c r="B364" t="s">
        <v>660</v>
      </c>
      <c r="C364" t="s">
        <v>679</v>
      </c>
      <c r="D364" t="s">
        <v>680</v>
      </c>
      <c r="E364" t="s">
        <v>681</v>
      </c>
      <c r="F364" t="s">
        <v>682</v>
      </c>
      <c r="G364" t="s">
        <v>446</v>
      </c>
      <c r="H364" t="s">
        <v>22</v>
      </c>
      <c r="I364" t="s">
        <v>23</v>
      </c>
      <c r="J364" s="1">
        <v>728</v>
      </c>
      <c r="K364" s="1">
        <v>33.090909090909093</v>
      </c>
      <c r="L364" s="3">
        <v>22</v>
      </c>
      <c r="M364" t="s">
        <v>36</v>
      </c>
      <c r="N364" s="2">
        <v>44367</v>
      </c>
      <c r="O364" t="s">
        <v>136</v>
      </c>
      <c r="P364" t="s">
        <v>137</v>
      </c>
      <c r="Q364">
        <v>60663</v>
      </c>
      <c r="R364" t="s">
        <v>27</v>
      </c>
      <c r="S364" s="10">
        <v>51.411437018715219</v>
      </c>
      <c r="T364">
        <v>44</v>
      </c>
    </row>
    <row r="365" spans="1:20" x14ac:dyDescent="0.3">
      <c r="A365">
        <v>1212</v>
      </c>
      <c r="B365" t="s">
        <v>120</v>
      </c>
      <c r="C365" t="s">
        <v>121</v>
      </c>
      <c r="D365" t="s">
        <v>122</v>
      </c>
      <c r="E365" t="s">
        <v>123</v>
      </c>
      <c r="F365" t="s">
        <v>124</v>
      </c>
      <c r="G365" t="s">
        <v>125</v>
      </c>
      <c r="H365" t="s">
        <v>22</v>
      </c>
      <c r="I365" t="s">
        <v>65</v>
      </c>
      <c r="J365" s="1">
        <v>122</v>
      </c>
      <c r="K365" s="1">
        <v>30.5</v>
      </c>
      <c r="L365" s="3">
        <v>4</v>
      </c>
      <c r="M365" t="s">
        <v>126</v>
      </c>
      <c r="N365" s="2">
        <v>44372</v>
      </c>
      <c r="O365" t="s">
        <v>127</v>
      </c>
      <c r="P365" t="s">
        <v>128</v>
      </c>
      <c r="Q365">
        <v>6183</v>
      </c>
      <c r="R365" t="s">
        <v>27</v>
      </c>
      <c r="S365" s="10">
        <v>8.6849101671716618</v>
      </c>
      <c r="T365">
        <v>6</v>
      </c>
    </row>
    <row r="366" spans="1:20" x14ac:dyDescent="0.3">
      <c r="A366">
        <v>1365</v>
      </c>
      <c r="B366" t="s">
        <v>471</v>
      </c>
      <c r="C366" t="s">
        <v>472</v>
      </c>
      <c r="D366" t="s">
        <v>473</v>
      </c>
      <c r="E366" t="s">
        <v>474</v>
      </c>
      <c r="F366" t="s">
        <v>475</v>
      </c>
      <c r="G366" t="s">
        <v>476</v>
      </c>
      <c r="H366" t="s">
        <v>34</v>
      </c>
      <c r="I366" t="s">
        <v>55</v>
      </c>
      <c r="J366" s="1">
        <v>191</v>
      </c>
      <c r="K366" s="1">
        <v>38.200000000000003</v>
      </c>
      <c r="L366" s="3">
        <v>5</v>
      </c>
      <c r="M366" t="s">
        <v>66</v>
      </c>
      <c r="N366" s="2">
        <v>44373</v>
      </c>
      <c r="O366" t="s">
        <v>267</v>
      </c>
      <c r="P366" t="s">
        <v>477</v>
      </c>
      <c r="Q366">
        <v>33261</v>
      </c>
      <c r="R366" t="s">
        <v>27</v>
      </c>
      <c r="S366" s="10">
        <v>6.5399301025461751</v>
      </c>
      <c r="T366">
        <v>10</v>
      </c>
    </row>
    <row r="367" spans="1:20" x14ac:dyDescent="0.3">
      <c r="A367">
        <v>1970</v>
      </c>
      <c r="B367" t="s">
        <v>490</v>
      </c>
      <c r="C367" t="s">
        <v>1083</v>
      </c>
      <c r="D367" t="s">
        <v>1084</v>
      </c>
      <c r="E367" t="s">
        <v>1085</v>
      </c>
      <c r="F367" t="s">
        <v>1086</v>
      </c>
      <c r="G367" t="s">
        <v>134</v>
      </c>
      <c r="H367" t="s">
        <v>34</v>
      </c>
      <c r="I367" t="s">
        <v>65</v>
      </c>
      <c r="J367" s="1">
        <v>551</v>
      </c>
      <c r="K367" s="1">
        <v>26.238095238095237</v>
      </c>
      <c r="L367" s="3">
        <v>21</v>
      </c>
      <c r="M367" t="s">
        <v>36</v>
      </c>
      <c r="N367" s="2">
        <v>44375</v>
      </c>
      <c r="O367" t="s">
        <v>470</v>
      </c>
      <c r="P367" t="s">
        <v>358</v>
      </c>
      <c r="Q367">
        <v>20088</v>
      </c>
      <c r="R367" t="s">
        <v>27</v>
      </c>
      <c r="S367" s="10">
        <v>32.427545032537324</v>
      </c>
      <c r="T367">
        <v>37</v>
      </c>
    </row>
    <row r="368" spans="1:20" x14ac:dyDescent="0.3">
      <c r="A368">
        <v>1298</v>
      </c>
      <c r="B368" t="s">
        <v>275</v>
      </c>
      <c r="C368" t="s">
        <v>340</v>
      </c>
      <c r="D368" t="s">
        <v>341</v>
      </c>
      <c r="E368" t="s">
        <v>342</v>
      </c>
      <c r="F368" t="s">
        <v>306</v>
      </c>
      <c r="G368" t="s">
        <v>180</v>
      </c>
      <c r="H368" t="s">
        <v>22</v>
      </c>
      <c r="I368" t="s">
        <v>236</v>
      </c>
      <c r="J368" s="1">
        <v>661</v>
      </c>
      <c r="K368" s="1">
        <v>33.049999999999997</v>
      </c>
      <c r="L368" s="3">
        <v>20</v>
      </c>
      <c r="M368" t="s">
        <v>343</v>
      </c>
      <c r="N368" s="2">
        <v>44376</v>
      </c>
      <c r="O368" t="s">
        <v>267</v>
      </c>
      <c r="P368" t="s">
        <v>344</v>
      </c>
      <c r="Q368">
        <v>32891</v>
      </c>
      <c r="R368" t="s">
        <v>27</v>
      </c>
      <c r="S368" s="10">
        <v>45.931176756706776</v>
      </c>
      <c r="T368">
        <v>31</v>
      </c>
    </row>
    <row r="369" spans="1:20" x14ac:dyDescent="0.3">
      <c r="A369">
        <v>1559</v>
      </c>
      <c r="B369" t="s">
        <v>608</v>
      </c>
      <c r="C369" t="s">
        <v>608</v>
      </c>
      <c r="D369" t="s">
        <v>1087</v>
      </c>
      <c r="E369" t="s">
        <v>1088</v>
      </c>
      <c r="F369" t="s">
        <v>1089</v>
      </c>
      <c r="G369" t="s">
        <v>918</v>
      </c>
      <c r="H369" t="s">
        <v>34</v>
      </c>
      <c r="I369" t="s">
        <v>236</v>
      </c>
      <c r="J369" s="1">
        <v>841</v>
      </c>
      <c r="K369" s="1">
        <v>33.64</v>
      </c>
      <c r="L369" s="3">
        <v>25</v>
      </c>
      <c r="M369" t="s">
        <v>126</v>
      </c>
      <c r="N369" s="2">
        <v>44378</v>
      </c>
      <c r="O369" t="s">
        <v>83</v>
      </c>
      <c r="P369" t="s">
        <v>1090</v>
      </c>
      <c r="Q369">
        <v>13505</v>
      </c>
      <c r="R369" t="s">
        <v>27</v>
      </c>
      <c r="S369" s="10">
        <v>50.508993498655187</v>
      </c>
      <c r="T369">
        <v>53</v>
      </c>
    </row>
    <row r="370" spans="1:20" x14ac:dyDescent="0.3">
      <c r="A370">
        <v>1689</v>
      </c>
      <c r="B370" t="s">
        <v>1091</v>
      </c>
      <c r="C370" t="s">
        <v>1079</v>
      </c>
      <c r="D370" t="s">
        <v>1092</v>
      </c>
      <c r="E370" t="s">
        <v>1093</v>
      </c>
      <c r="F370" t="s">
        <v>314</v>
      </c>
      <c r="G370" t="s">
        <v>422</v>
      </c>
      <c r="H370" t="s">
        <v>34</v>
      </c>
      <c r="I370" t="s">
        <v>23</v>
      </c>
      <c r="J370" s="1">
        <v>610</v>
      </c>
      <c r="K370" s="1">
        <v>43.571428571428569</v>
      </c>
      <c r="L370" s="3">
        <v>14</v>
      </c>
      <c r="M370" t="s">
        <v>66</v>
      </c>
      <c r="N370" s="2">
        <v>44378</v>
      </c>
      <c r="O370" t="s">
        <v>300</v>
      </c>
      <c r="P370" t="s">
        <v>773</v>
      </c>
      <c r="Q370">
        <v>89714</v>
      </c>
      <c r="R370" t="s">
        <v>27</v>
      </c>
      <c r="S370" s="10">
        <v>34.702138026993964</v>
      </c>
      <c r="T370">
        <v>20</v>
      </c>
    </row>
    <row r="371" spans="1:20" x14ac:dyDescent="0.3">
      <c r="A371">
        <v>1277</v>
      </c>
      <c r="B371" t="s">
        <v>222</v>
      </c>
      <c r="C371" t="s">
        <v>223</v>
      </c>
      <c r="D371" t="s">
        <v>224</v>
      </c>
      <c r="E371" t="s">
        <v>225</v>
      </c>
      <c r="F371" t="s">
        <v>226</v>
      </c>
      <c r="G371" t="s">
        <v>227</v>
      </c>
      <c r="H371" t="s">
        <v>34</v>
      </c>
      <c r="I371" t="s">
        <v>228</v>
      </c>
      <c r="J371" s="1">
        <v>377</v>
      </c>
      <c r="K371" s="1">
        <v>41.888888888888886</v>
      </c>
      <c r="L371" s="3">
        <v>9</v>
      </c>
      <c r="M371" t="s">
        <v>203</v>
      </c>
      <c r="N371" s="2">
        <v>44379</v>
      </c>
      <c r="O371" t="s">
        <v>229</v>
      </c>
      <c r="P371" t="s">
        <v>230</v>
      </c>
      <c r="Q371">
        <v>44310</v>
      </c>
      <c r="R371" t="s">
        <v>27</v>
      </c>
      <c r="S371" s="10">
        <v>18.150723000184485</v>
      </c>
      <c r="T371">
        <v>19</v>
      </c>
    </row>
    <row r="372" spans="1:20" x14ac:dyDescent="0.3">
      <c r="A372">
        <v>1920</v>
      </c>
      <c r="B372" t="s">
        <v>1094</v>
      </c>
      <c r="C372" t="s">
        <v>60</v>
      </c>
      <c r="D372" t="s">
        <v>1095</v>
      </c>
      <c r="E372" t="s">
        <v>1096</v>
      </c>
      <c r="F372" t="s">
        <v>1097</v>
      </c>
      <c r="G372" t="s">
        <v>885</v>
      </c>
      <c r="H372" t="s">
        <v>22</v>
      </c>
      <c r="I372" t="s">
        <v>228</v>
      </c>
      <c r="J372" s="1">
        <v>579</v>
      </c>
      <c r="K372" s="1">
        <v>44.53846153846154</v>
      </c>
      <c r="L372" s="3">
        <v>13</v>
      </c>
      <c r="M372" t="s">
        <v>447</v>
      </c>
      <c r="N372" s="2">
        <v>44381</v>
      </c>
      <c r="O372" t="s">
        <v>83</v>
      </c>
      <c r="P372" t="s">
        <v>511</v>
      </c>
      <c r="Q372">
        <v>10099</v>
      </c>
      <c r="R372" t="s">
        <v>27</v>
      </c>
      <c r="S372" s="10">
        <v>22.47009321098626</v>
      </c>
      <c r="T372">
        <v>18</v>
      </c>
    </row>
    <row r="373" spans="1:20" x14ac:dyDescent="0.3">
      <c r="A373">
        <v>1043</v>
      </c>
      <c r="B373" t="s">
        <v>102</v>
      </c>
      <c r="C373" t="s">
        <v>154</v>
      </c>
      <c r="D373" t="s">
        <v>547</v>
      </c>
      <c r="E373" t="s">
        <v>548</v>
      </c>
      <c r="F373" t="s">
        <v>549</v>
      </c>
      <c r="G373" t="s">
        <v>453</v>
      </c>
      <c r="H373" t="s">
        <v>34</v>
      </c>
      <c r="I373" t="s">
        <v>23</v>
      </c>
      <c r="J373" s="1">
        <v>810</v>
      </c>
      <c r="K373" s="1">
        <v>27</v>
      </c>
      <c r="L373" s="3">
        <v>30</v>
      </c>
      <c r="M373" t="s">
        <v>24</v>
      </c>
      <c r="N373" s="2">
        <v>44384</v>
      </c>
      <c r="O373" t="s">
        <v>300</v>
      </c>
      <c r="P373" t="s">
        <v>301</v>
      </c>
      <c r="Q373">
        <v>89140</v>
      </c>
      <c r="R373" t="s">
        <v>27</v>
      </c>
      <c r="S373" s="10">
        <v>46.670372406372763</v>
      </c>
      <c r="T373">
        <v>55</v>
      </c>
    </row>
    <row r="374" spans="1:20" x14ac:dyDescent="0.3">
      <c r="A374">
        <v>1001</v>
      </c>
      <c r="B374" t="s">
        <v>269</v>
      </c>
      <c r="C374" t="s">
        <v>270</v>
      </c>
      <c r="D374" t="s">
        <v>271</v>
      </c>
      <c r="E374" t="s">
        <v>272</v>
      </c>
      <c r="F374" t="s">
        <v>273</v>
      </c>
      <c r="G374" t="s">
        <v>274</v>
      </c>
      <c r="H374" t="s">
        <v>34</v>
      </c>
      <c r="I374" t="s">
        <v>23</v>
      </c>
      <c r="J374" s="1">
        <v>80</v>
      </c>
      <c r="K374" s="1">
        <v>40</v>
      </c>
      <c r="L374" s="3">
        <v>2</v>
      </c>
      <c r="M374" t="s">
        <v>126</v>
      </c>
      <c r="N374" s="2">
        <v>44385</v>
      </c>
      <c r="O374" t="s">
        <v>67</v>
      </c>
      <c r="P374" t="s">
        <v>159</v>
      </c>
      <c r="Q374">
        <v>88563</v>
      </c>
      <c r="R374" t="s">
        <v>27</v>
      </c>
      <c r="S374" s="10">
        <v>2.6492085693739611</v>
      </c>
      <c r="T374">
        <v>3</v>
      </c>
    </row>
    <row r="375" spans="1:20" x14ac:dyDescent="0.3">
      <c r="A375">
        <v>1017</v>
      </c>
      <c r="B375" t="s">
        <v>660</v>
      </c>
      <c r="C375" t="s">
        <v>679</v>
      </c>
      <c r="D375" t="s">
        <v>680</v>
      </c>
      <c r="E375" t="s">
        <v>681</v>
      </c>
      <c r="F375" t="s">
        <v>682</v>
      </c>
      <c r="G375" t="s">
        <v>446</v>
      </c>
      <c r="H375" t="s">
        <v>22</v>
      </c>
      <c r="I375" t="s">
        <v>23</v>
      </c>
      <c r="J375" s="1">
        <v>778</v>
      </c>
      <c r="K375" s="1">
        <v>28.814814814814813</v>
      </c>
      <c r="L375" s="3">
        <v>27</v>
      </c>
      <c r="M375" t="s">
        <v>36</v>
      </c>
      <c r="N375" s="2">
        <v>44385</v>
      </c>
      <c r="O375" t="s">
        <v>136</v>
      </c>
      <c r="P375" t="s">
        <v>137</v>
      </c>
      <c r="Q375">
        <v>60663</v>
      </c>
      <c r="R375" t="s">
        <v>27</v>
      </c>
      <c r="S375" s="10">
        <v>39.476508448388721</v>
      </c>
      <c r="T375">
        <v>39</v>
      </c>
    </row>
    <row r="376" spans="1:20" x14ac:dyDescent="0.3">
      <c r="A376">
        <v>1468</v>
      </c>
      <c r="B376" t="s">
        <v>380</v>
      </c>
      <c r="C376" t="s">
        <v>381</v>
      </c>
      <c r="D376" t="s">
        <v>382</v>
      </c>
      <c r="E376" t="s">
        <v>383</v>
      </c>
      <c r="F376" t="s">
        <v>384</v>
      </c>
      <c r="G376" t="s">
        <v>385</v>
      </c>
      <c r="H376" t="s">
        <v>22</v>
      </c>
      <c r="I376" t="s">
        <v>65</v>
      </c>
      <c r="J376" s="1">
        <v>178</v>
      </c>
      <c r="K376" s="1">
        <v>35.6</v>
      </c>
      <c r="L376" s="3">
        <v>5</v>
      </c>
      <c r="M376" t="s">
        <v>46</v>
      </c>
      <c r="N376" s="2">
        <v>44386</v>
      </c>
      <c r="O376" t="s">
        <v>109</v>
      </c>
      <c r="P376" t="s">
        <v>386</v>
      </c>
      <c r="Q376">
        <v>70116</v>
      </c>
      <c r="R376" t="s">
        <v>27</v>
      </c>
      <c r="S376" s="10">
        <v>8.2953247443681875</v>
      </c>
      <c r="T376">
        <v>10</v>
      </c>
    </row>
    <row r="377" spans="1:20" x14ac:dyDescent="0.3">
      <c r="A377">
        <v>1992</v>
      </c>
      <c r="B377" t="s">
        <v>360</v>
      </c>
      <c r="C377" t="s">
        <v>719</v>
      </c>
      <c r="D377" t="s">
        <v>720</v>
      </c>
      <c r="E377" t="s">
        <v>721</v>
      </c>
      <c r="F377" t="s">
        <v>722</v>
      </c>
      <c r="G377" t="s">
        <v>142</v>
      </c>
      <c r="H377" t="s">
        <v>22</v>
      </c>
      <c r="I377" t="s">
        <v>65</v>
      </c>
      <c r="J377" s="1">
        <v>819</v>
      </c>
      <c r="K377" s="1">
        <v>30.333333333333332</v>
      </c>
      <c r="L377" s="3">
        <v>27</v>
      </c>
      <c r="M377" t="s">
        <v>36</v>
      </c>
      <c r="N377" s="2">
        <v>44389</v>
      </c>
      <c r="O377" t="s">
        <v>220</v>
      </c>
      <c r="P377" t="s">
        <v>723</v>
      </c>
      <c r="Q377">
        <v>47306</v>
      </c>
      <c r="R377" t="s">
        <v>27</v>
      </c>
      <c r="S377" s="10">
        <v>48.533772055843727</v>
      </c>
      <c r="T377">
        <v>46</v>
      </c>
    </row>
    <row r="378" spans="1:20" x14ac:dyDescent="0.3">
      <c r="A378">
        <v>1523</v>
      </c>
      <c r="B378" t="s">
        <v>1098</v>
      </c>
      <c r="C378" t="s">
        <v>154</v>
      </c>
      <c r="D378" t="s">
        <v>1099</v>
      </c>
      <c r="E378" t="s">
        <v>1100</v>
      </c>
      <c r="F378" t="s">
        <v>463</v>
      </c>
      <c r="G378" t="s">
        <v>357</v>
      </c>
      <c r="H378" t="s">
        <v>34</v>
      </c>
      <c r="I378" t="s">
        <v>435</v>
      </c>
      <c r="J378" s="1">
        <v>535</v>
      </c>
      <c r="K378" s="1">
        <v>35.666666666666664</v>
      </c>
      <c r="L378" s="3">
        <v>15</v>
      </c>
      <c r="M378" t="s">
        <v>36</v>
      </c>
      <c r="N378" s="2">
        <v>44391</v>
      </c>
      <c r="O378" t="s">
        <v>67</v>
      </c>
      <c r="P378" t="s">
        <v>841</v>
      </c>
      <c r="Q378">
        <v>75387</v>
      </c>
      <c r="R378" t="s">
        <v>27</v>
      </c>
      <c r="S378" s="10">
        <v>35.53693845999576</v>
      </c>
      <c r="T378">
        <v>26</v>
      </c>
    </row>
    <row r="379" spans="1:20" x14ac:dyDescent="0.3">
      <c r="A379">
        <v>1039</v>
      </c>
      <c r="B379" t="s">
        <v>828</v>
      </c>
      <c r="C379" t="s">
        <v>154</v>
      </c>
      <c r="D379" t="s">
        <v>829</v>
      </c>
      <c r="E379" t="s">
        <v>830</v>
      </c>
      <c r="F379" t="s">
        <v>831</v>
      </c>
      <c r="G379" t="s">
        <v>832</v>
      </c>
      <c r="H379" t="s">
        <v>34</v>
      </c>
      <c r="I379" t="s">
        <v>23</v>
      </c>
      <c r="J379" s="1">
        <v>657</v>
      </c>
      <c r="K379" s="1">
        <v>34.578947368421055</v>
      </c>
      <c r="L379" s="3">
        <v>19</v>
      </c>
      <c r="M379" t="s">
        <v>244</v>
      </c>
      <c r="N379" s="2">
        <v>44392</v>
      </c>
      <c r="O379" t="s">
        <v>496</v>
      </c>
      <c r="P379" t="s">
        <v>687</v>
      </c>
      <c r="Q379">
        <v>40298</v>
      </c>
      <c r="R379" t="s">
        <v>27</v>
      </c>
      <c r="S379" s="10">
        <v>39.023124084243861</v>
      </c>
      <c r="T379">
        <v>40</v>
      </c>
    </row>
    <row r="380" spans="1:20" x14ac:dyDescent="0.3">
      <c r="A380">
        <v>1597</v>
      </c>
      <c r="B380" t="s">
        <v>111</v>
      </c>
      <c r="C380" t="s">
        <v>1073</v>
      </c>
      <c r="D380" t="s">
        <v>1101</v>
      </c>
      <c r="E380" t="s">
        <v>1102</v>
      </c>
      <c r="F380" t="s">
        <v>1103</v>
      </c>
      <c r="G380" t="s">
        <v>1104</v>
      </c>
      <c r="H380" t="s">
        <v>34</v>
      </c>
      <c r="I380" t="s">
        <v>117</v>
      </c>
      <c r="J380" s="1">
        <v>330</v>
      </c>
      <c r="K380" s="1">
        <v>36.666666666666664</v>
      </c>
      <c r="L380" s="3">
        <v>9</v>
      </c>
      <c r="M380" t="s">
        <v>36</v>
      </c>
      <c r="N380" s="2">
        <v>44392</v>
      </c>
      <c r="O380" t="s">
        <v>57</v>
      </c>
      <c r="P380" t="s">
        <v>1105</v>
      </c>
      <c r="Q380">
        <v>30066</v>
      </c>
      <c r="R380" t="s">
        <v>27</v>
      </c>
      <c r="S380" s="10">
        <v>19.523998461103115</v>
      </c>
      <c r="T380">
        <v>15</v>
      </c>
    </row>
    <row r="381" spans="1:20" x14ac:dyDescent="0.3">
      <c r="A381">
        <v>1607</v>
      </c>
      <c r="B381" t="s">
        <v>69</v>
      </c>
      <c r="C381" t="s">
        <v>1106</v>
      </c>
      <c r="D381" t="s">
        <v>1107</v>
      </c>
      <c r="E381" t="s">
        <v>1108</v>
      </c>
      <c r="F381" t="s">
        <v>1109</v>
      </c>
      <c r="G381" t="s">
        <v>1110</v>
      </c>
      <c r="H381" t="s">
        <v>22</v>
      </c>
      <c r="I381" t="s">
        <v>236</v>
      </c>
      <c r="J381" s="1">
        <v>73</v>
      </c>
      <c r="K381" s="1">
        <v>36.5</v>
      </c>
      <c r="L381" s="3">
        <v>2</v>
      </c>
      <c r="M381" t="s">
        <v>343</v>
      </c>
      <c r="N381" s="2">
        <v>44395</v>
      </c>
      <c r="O381" t="s">
        <v>67</v>
      </c>
      <c r="P381" t="s">
        <v>429</v>
      </c>
      <c r="Q381">
        <v>78410</v>
      </c>
      <c r="R381" t="s">
        <v>27</v>
      </c>
      <c r="S381" s="10">
        <v>4.1448490155375577</v>
      </c>
      <c r="T381">
        <v>2</v>
      </c>
    </row>
    <row r="382" spans="1:20" x14ac:dyDescent="0.3">
      <c r="A382">
        <v>1684</v>
      </c>
      <c r="B382" t="s">
        <v>498</v>
      </c>
      <c r="C382" t="s">
        <v>311</v>
      </c>
      <c r="D382" t="s">
        <v>1111</v>
      </c>
      <c r="E382" t="s">
        <v>1112</v>
      </c>
      <c r="F382" t="s">
        <v>981</v>
      </c>
      <c r="G382" t="s">
        <v>865</v>
      </c>
      <c r="H382" t="s">
        <v>34</v>
      </c>
      <c r="I382" t="s">
        <v>23</v>
      </c>
      <c r="J382" s="1">
        <v>841</v>
      </c>
      <c r="K382" s="1">
        <v>38.227272727272727</v>
      </c>
      <c r="L382" s="3">
        <v>22</v>
      </c>
      <c r="M382" t="s">
        <v>126</v>
      </c>
      <c r="N382" s="2">
        <v>44395</v>
      </c>
      <c r="O382" t="s">
        <v>173</v>
      </c>
      <c r="P382" t="s">
        <v>1113</v>
      </c>
      <c r="Q382">
        <v>63116</v>
      </c>
      <c r="R382" t="s">
        <v>27</v>
      </c>
      <c r="S382" s="10">
        <v>48.274559723274059</v>
      </c>
      <c r="T382">
        <v>39</v>
      </c>
    </row>
    <row r="383" spans="1:20" x14ac:dyDescent="0.3">
      <c r="A383">
        <v>1747</v>
      </c>
      <c r="B383" t="s">
        <v>423</v>
      </c>
      <c r="C383" t="s">
        <v>1079</v>
      </c>
      <c r="D383" t="s">
        <v>1114</v>
      </c>
      <c r="E383" t="s">
        <v>1115</v>
      </c>
      <c r="F383" t="s">
        <v>1116</v>
      </c>
      <c r="G383" t="s">
        <v>1117</v>
      </c>
      <c r="H383" t="s">
        <v>22</v>
      </c>
      <c r="I383" t="s">
        <v>35</v>
      </c>
      <c r="J383" s="1">
        <v>641</v>
      </c>
      <c r="K383" s="1">
        <v>30.523809523809526</v>
      </c>
      <c r="L383" s="3">
        <v>21</v>
      </c>
      <c r="M383" t="s">
        <v>36</v>
      </c>
      <c r="N383" s="2">
        <v>44398</v>
      </c>
      <c r="O383" t="s">
        <v>67</v>
      </c>
      <c r="P383" t="s">
        <v>334</v>
      </c>
      <c r="Q383">
        <v>77250</v>
      </c>
      <c r="R383" t="s">
        <v>27</v>
      </c>
      <c r="S383" s="10">
        <v>52.04359618797637</v>
      </c>
      <c r="T383">
        <v>33</v>
      </c>
    </row>
    <row r="384" spans="1:20" x14ac:dyDescent="0.3">
      <c r="A384">
        <v>1077</v>
      </c>
      <c r="B384" t="s">
        <v>1118</v>
      </c>
      <c r="C384" t="s">
        <v>1119</v>
      </c>
      <c r="D384" t="s">
        <v>1120</v>
      </c>
      <c r="E384" t="s">
        <v>1121</v>
      </c>
      <c r="F384" t="s">
        <v>1122</v>
      </c>
      <c r="G384" t="s">
        <v>1123</v>
      </c>
      <c r="H384" t="s">
        <v>34</v>
      </c>
      <c r="I384" t="s">
        <v>55</v>
      </c>
      <c r="J384" s="1">
        <v>26</v>
      </c>
      <c r="K384" s="1">
        <v>26</v>
      </c>
      <c r="L384" s="3">
        <v>1</v>
      </c>
      <c r="M384" t="s">
        <v>36</v>
      </c>
      <c r="N384" s="2">
        <v>44400</v>
      </c>
      <c r="O384" t="s">
        <v>187</v>
      </c>
      <c r="P384" t="s">
        <v>827</v>
      </c>
      <c r="Q384">
        <v>28305</v>
      </c>
      <c r="R384" t="s">
        <v>27</v>
      </c>
      <c r="S384" s="10">
        <v>2.495177045424338</v>
      </c>
      <c r="T384">
        <v>2</v>
      </c>
    </row>
    <row r="385" spans="1:20" x14ac:dyDescent="0.3">
      <c r="A385">
        <v>1298</v>
      </c>
      <c r="B385" t="s">
        <v>275</v>
      </c>
      <c r="C385" t="s">
        <v>340</v>
      </c>
      <c r="D385" t="s">
        <v>341</v>
      </c>
      <c r="E385" t="s">
        <v>342</v>
      </c>
      <c r="F385" t="s">
        <v>306</v>
      </c>
      <c r="G385" t="s">
        <v>180</v>
      </c>
      <c r="H385" t="s">
        <v>22</v>
      </c>
      <c r="I385" t="s">
        <v>236</v>
      </c>
      <c r="J385" s="1">
        <v>507</v>
      </c>
      <c r="K385" s="1">
        <v>36.214285714285715</v>
      </c>
      <c r="L385" s="3">
        <v>14</v>
      </c>
      <c r="M385" t="s">
        <v>343</v>
      </c>
      <c r="N385" s="2">
        <v>44400</v>
      </c>
      <c r="O385" t="s">
        <v>267</v>
      </c>
      <c r="P385" t="s">
        <v>344</v>
      </c>
      <c r="Q385">
        <v>32891</v>
      </c>
      <c r="R385" t="s">
        <v>27</v>
      </c>
      <c r="S385" s="10">
        <v>28.548160824146908</v>
      </c>
      <c r="T385">
        <v>23</v>
      </c>
    </row>
    <row r="386" spans="1:20" x14ac:dyDescent="0.3">
      <c r="A386">
        <v>1773</v>
      </c>
      <c r="B386" t="s">
        <v>1124</v>
      </c>
      <c r="C386" t="s">
        <v>323</v>
      </c>
      <c r="D386" t="s">
        <v>1125</v>
      </c>
      <c r="E386" t="s">
        <v>1126</v>
      </c>
      <c r="F386" t="s">
        <v>164</v>
      </c>
      <c r="G386" t="s">
        <v>333</v>
      </c>
      <c r="H386" t="s">
        <v>34</v>
      </c>
      <c r="I386" t="s">
        <v>35</v>
      </c>
      <c r="J386" s="1">
        <v>195</v>
      </c>
      <c r="K386" s="1">
        <v>24.375</v>
      </c>
      <c r="L386" s="3">
        <v>8</v>
      </c>
      <c r="M386" t="s">
        <v>36</v>
      </c>
      <c r="N386" s="2">
        <v>44400</v>
      </c>
      <c r="O386" t="s">
        <v>196</v>
      </c>
      <c r="P386" t="s">
        <v>528</v>
      </c>
      <c r="Q386">
        <v>19125</v>
      </c>
      <c r="R386" t="s">
        <v>27</v>
      </c>
      <c r="S386" s="10">
        <v>10.00444918503015</v>
      </c>
      <c r="T386">
        <v>10</v>
      </c>
    </row>
    <row r="387" spans="1:20" x14ac:dyDescent="0.3">
      <c r="A387">
        <v>1958</v>
      </c>
      <c r="B387" t="s">
        <v>1127</v>
      </c>
      <c r="C387" t="s">
        <v>311</v>
      </c>
      <c r="D387" t="s">
        <v>1128</v>
      </c>
      <c r="E387" t="s">
        <v>1129</v>
      </c>
      <c r="F387" t="s">
        <v>1130</v>
      </c>
      <c r="G387" t="s">
        <v>378</v>
      </c>
      <c r="H387" t="s">
        <v>22</v>
      </c>
      <c r="I387" t="s">
        <v>266</v>
      </c>
      <c r="J387" s="1">
        <v>146</v>
      </c>
      <c r="K387" s="1">
        <v>36.5</v>
      </c>
      <c r="L387" s="3">
        <v>4</v>
      </c>
      <c r="M387" t="s">
        <v>447</v>
      </c>
      <c r="N387" s="2">
        <v>44400</v>
      </c>
      <c r="O387" t="s">
        <v>196</v>
      </c>
      <c r="P387" t="s">
        <v>528</v>
      </c>
      <c r="Q387">
        <v>19196</v>
      </c>
      <c r="R387" t="s">
        <v>27</v>
      </c>
      <c r="S387" s="10">
        <v>8.1534535390237419</v>
      </c>
      <c r="T387">
        <v>6</v>
      </c>
    </row>
    <row r="388" spans="1:20" x14ac:dyDescent="0.3">
      <c r="A388">
        <v>1449</v>
      </c>
      <c r="B388" t="s">
        <v>398</v>
      </c>
      <c r="C388" t="s">
        <v>1106</v>
      </c>
      <c r="D388" t="s">
        <v>1131</v>
      </c>
      <c r="E388" t="s">
        <v>1132</v>
      </c>
      <c r="F388" t="s">
        <v>1133</v>
      </c>
      <c r="G388" t="s">
        <v>227</v>
      </c>
      <c r="H388" t="s">
        <v>22</v>
      </c>
      <c r="I388" t="s">
        <v>35</v>
      </c>
      <c r="J388" s="1">
        <v>96</v>
      </c>
      <c r="K388" s="1">
        <v>32</v>
      </c>
      <c r="L388" s="3">
        <v>3</v>
      </c>
      <c r="M388" t="s">
        <v>36</v>
      </c>
      <c r="N388" s="2">
        <v>44401</v>
      </c>
      <c r="O388" t="s">
        <v>568</v>
      </c>
      <c r="P388" t="s">
        <v>933</v>
      </c>
      <c r="Q388">
        <v>37220</v>
      </c>
      <c r="R388" t="s">
        <v>27</v>
      </c>
      <c r="S388" s="10">
        <v>6.8300420080067958</v>
      </c>
      <c r="T388">
        <v>5</v>
      </c>
    </row>
    <row r="389" spans="1:20" x14ac:dyDescent="0.3">
      <c r="A389">
        <v>1259</v>
      </c>
      <c r="B389" t="s">
        <v>111</v>
      </c>
      <c r="C389" t="s">
        <v>1134</v>
      </c>
      <c r="D389" t="s">
        <v>1135</v>
      </c>
      <c r="E389" t="s">
        <v>1136</v>
      </c>
      <c r="F389" t="s">
        <v>251</v>
      </c>
      <c r="G389" t="s">
        <v>151</v>
      </c>
      <c r="H389" t="s">
        <v>34</v>
      </c>
      <c r="I389" t="s">
        <v>98</v>
      </c>
      <c r="J389" s="1">
        <v>242</v>
      </c>
      <c r="K389" s="1">
        <v>34.571428571428569</v>
      </c>
      <c r="L389" s="3">
        <v>7</v>
      </c>
      <c r="M389" t="s">
        <v>36</v>
      </c>
      <c r="N389" s="2">
        <v>44403</v>
      </c>
      <c r="O389" t="s">
        <v>267</v>
      </c>
      <c r="P389" t="s">
        <v>1137</v>
      </c>
      <c r="Q389">
        <v>33811</v>
      </c>
      <c r="R389" t="s">
        <v>27</v>
      </c>
      <c r="S389" s="10">
        <v>11.155297079344885</v>
      </c>
      <c r="T389">
        <v>11</v>
      </c>
    </row>
    <row r="390" spans="1:20" x14ac:dyDescent="0.3">
      <c r="A390">
        <v>1966</v>
      </c>
      <c r="B390" t="s">
        <v>1094</v>
      </c>
      <c r="C390" t="s">
        <v>1138</v>
      </c>
      <c r="D390" t="s">
        <v>1139</v>
      </c>
      <c r="E390" t="s">
        <v>1140</v>
      </c>
      <c r="F390" t="s">
        <v>750</v>
      </c>
      <c r="G390" t="s">
        <v>279</v>
      </c>
      <c r="H390" t="s">
        <v>22</v>
      </c>
      <c r="I390" t="s">
        <v>135</v>
      </c>
      <c r="J390" s="1">
        <v>59</v>
      </c>
      <c r="K390" s="1">
        <v>29.5</v>
      </c>
      <c r="L390" s="3">
        <v>2</v>
      </c>
      <c r="M390" t="s">
        <v>56</v>
      </c>
      <c r="N390" s="2">
        <v>44403</v>
      </c>
      <c r="O390" t="s">
        <v>187</v>
      </c>
      <c r="P390" t="s">
        <v>188</v>
      </c>
      <c r="Q390">
        <v>28247</v>
      </c>
      <c r="R390" t="s">
        <v>27</v>
      </c>
      <c r="S390" s="10">
        <v>3.4102955766363818</v>
      </c>
      <c r="T390">
        <v>2</v>
      </c>
    </row>
    <row r="391" spans="1:20" x14ac:dyDescent="0.3">
      <c r="A391">
        <v>1988</v>
      </c>
      <c r="B391" t="s">
        <v>550</v>
      </c>
      <c r="C391" t="s">
        <v>1141</v>
      </c>
      <c r="D391" t="s">
        <v>1142</v>
      </c>
      <c r="E391" t="s">
        <v>1143</v>
      </c>
      <c r="F391" t="s">
        <v>1144</v>
      </c>
      <c r="G391" t="s">
        <v>483</v>
      </c>
      <c r="H391" t="s">
        <v>22</v>
      </c>
      <c r="I391" t="s">
        <v>65</v>
      </c>
      <c r="J391" s="1">
        <v>691</v>
      </c>
      <c r="K391" s="1">
        <v>27.64</v>
      </c>
      <c r="L391" s="3">
        <v>25</v>
      </c>
      <c r="M391" t="s">
        <v>36</v>
      </c>
      <c r="N391" s="2">
        <v>44403</v>
      </c>
      <c r="O391" t="s">
        <v>127</v>
      </c>
      <c r="P391" t="s">
        <v>1145</v>
      </c>
      <c r="Q391">
        <v>6912</v>
      </c>
      <c r="R391" t="s">
        <v>27</v>
      </c>
      <c r="S391" s="10">
        <v>39.157861970682504</v>
      </c>
      <c r="T391">
        <v>45</v>
      </c>
    </row>
    <row r="392" spans="1:20" x14ac:dyDescent="0.3">
      <c r="A392">
        <v>1095</v>
      </c>
      <c r="B392" t="s">
        <v>550</v>
      </c>
      <c r="C392" t="s">
        <v>551</v>
      </c>
      <c r="D392" t="s">
        <v>552</v>
      </c>
      <c r="E392" t="s">
        <v>553</v>
      </c>
      <c r="F392" t="s">
        <v>554</v>
      </c>
      <c r="G392" t="s">
        <v>555</v>
      </c>
      <c r="H392" t="s">
        <v>22</v>
      </c>
      <c r="I392" t="s">
        <v>55</v>
      </c>
      <c r="J392" s="1">
        <v>152</v>
      </c>
      <c r="K392" s="1">
        <v>30.4</v>
      </c>
      <c r="L392" s="3">
        <v>5</v>
      </c>
      <c r="M392" t="s">
        <v>126</v>
      </c>
      <c r="N392" s="2">
        <v>44404</v>
      </c>
      <c r="O392" t="s">
        <v>67</v>
      </c>
      <c r="P392" t="s">
        <v>334</v>
      </c>
      <c r="Q392">
        <v>77040</v>
      </c>
      <c r="R392" t="s">
        <v>27</v>
      </c>
      <c r="S392" s="10">
        <v>6.3621344344580084</v>
      </c>
      <c r="T392">
        <v>6</v>
      </c>
    </row>
    <row r="393" spans="1:20" x14ac:dyDescent="0.3">
      <c r="A393">
        <v>1084</v>
      </c>
      <c r="B393" t="s">
        <v>175</v>
      </c>
      <c r="C393" t="s">
        <v>176</v>
      </c>
      <c r="D393" t="s">
        <v>177</v>
      </c>
      <c r="E393" t="s">
        <v>178</v>
      </c>
      <c r="F393" t="s">
        <v>179</v>
      </c>
      <c r="G393" t="s">
        <v>180</v>
      </c>
      <c r="H393" t="s">
        <v>34</v>
      </c>
      <c r="I393" t="s">
        <v>55</v>
      </c>
      <c r="J393" s="1">
        <v>629</v>
      </c>
      <c r="K393" s="1">
        <v>28.59090909090909</v>
      </c>
      <c r="L393" s="3">
        <v>22</v>
      </c>
      <c r="M393" t="s">
        <v>36</v>
      </c>
      <c r="N393" s="2">
        <v>44405</v>
      </c>
      <c r="O393" t="s">
        <v>181</v>
      </c>
      <c r="P393" t="s">
        <v>182</v>
      </c>
      <c r="Q393">
        <v>2453</v>
      </c>
      <c r="R393" t="s">
        <v>27</v>
      </c>
      <c r="S393" s="10">
        <v>39.966258436987687</v>
      </c>
      <c r="T393">
        <v>43</v>
      </c>
    </row>
    <row r="394" spans="1:20" x14ac:dyDescent="0.3">
      <c r="A394">
        <v>1298</v>
      </c>
      <c r="B394" t="s">
        <v>275</v>
      </c>
      <c r="C394" t="s">
        <v>340</v>
      </c>
      <c r="D394" t="s">
        <v>341</v>
      </c>
      <c r="E394" t="s">
        <v>342</v>
      </c>
      <c r="F394" t="s">
        <v>306</v>
      </c>
      <c r="G394" t="s">
        <v>180</v>
      </c>
      <c r="H394" t="s">
        <v>22</v>
      </c>
      <c r="I394" t="s">
        <v>236</v>
      </c>
      <c r="J394" s="1">
        <v>879</v>
      </c>
      <c r="K394" s="1">
        <v>25.852941176470587</v>
      </c>
      <c r="L394" s="3">
        <v>34</v>
      </c>
      <c r="M394" t="s">
        <v>343</v>
      </c>
      <c r="N394" s="2">
        <v>44405</v>
      </c>
      <c r="O394" t="s">
        <v>267</v>
      </c>
      <c r="P394" t="s">
        <v>344</v>
      </c>
      <c r="Q394">
        <v>32891</v>
      </c>
      <c r="R394" t="s">
        <v>27</v>
      </c>
      <c r="S394" s="10">
        <v>61.782099754969984</v>
      </c>
      <c r="T394">
        <v>74</v>
      </c>
    </row>
    <row r="395" spans="1:20" x14ac:dyDescent="0.3">
      <c r="A395">
        <v>1994</v>
      </c>
      <c r="B395" t="s">
        <v>740</v>
      </c>
      <c r="C395" t="s">
        <v>466</v>
      </c>
      <c r="D395" t="s">
        <v>741</v>
      </c>
      <c r="E395" t="s">
        <v>742</v>
      </c>
      <c r="F395" t="s">
        <v>743</v>
      </c>
      <c r="G395" t="s">
        <v>744</v>
      </c>
      <c r="H395" t="s">
        <v>34</v>
      </c>
      <c r="I395" t="s">
        <v>65</v>
      </c>
      <c r="J395" s="1">
        <v>598</v>
      </c>
      <c r="K395" s="1">
        <v>42.714285714285715</v>
      </c>
      <c r="L395" s="3">
        <v>14</v>
      </c>
      <c r="M395" t="s">
        <v>36</v>
      </c>
      <c r="N395" s="2">
        <v>44405</v>
      </c>
      <c r="O395" t="s">
        <v>136</v>
      </c>
      <c r="P395" t="s">
        <v>745</v>
      </c>
      <c r="Q395">
        <v>61651</v>
      </c>
      <c r="R395" t="s">
        <v>27</v>
      </c>
      <c r="S395" s="10">
        <v>22.162740205365242</v>
      </c>
      <c r="T395">
        <v>20</v>
      </c>
    </row>
    <row r="396" spans="1:20" x14ac:dyDescent="0.3">
      <c r="A396">
        <v>1298</v>
      </c>
      <c r="B396" t="s">
        <v>275</v>
      </c>
      <c r="C396" t="s">
        <v>340</v>
      </c>
      <c r="D396" t="s">
        <v>341</v>
      </c>
      <c r="E396" t="s">
        <v>342</v>
      </c>
      <c r="F396" t="s">
        <v>306</v>
      </c>
      <c r="G396" t="s">
        <v>180</v>
      </c>
      <c r="H396" t="s">
        <v>22</v>
      </c>
      <c r="I396" t="s">
        <v>236</v>
      </c>
      <c r="J396" s="1">
        <v>616</v>
      </c>
      <c r="K396" s="1">
        <v>32.421052631578945</v>
      </c>
      <c r="L396" s="3">
        <v>19</v>
      </c>
      <c r="M396" t="s">
        <v>343</v>
      </c>
      <c r="N396" s="2">
        <v>44408</v>
      </c>
      <c r="O396" t="s">
        <v>267</v>
      </c>
      <c r="P396" t="s">
        <v>344</v>
      </c>
      <c r="Q396">
        <v>32891</v>
      </c>
      <c r="R396" t="s">
        <v>27</v>
      </c>
      <c r="S396" s="10">
        <v>44.900418026579487</v>
      </c>
      <c r="T396">
        <v>33</v>
      </c>
    </row>
    <row r="397" spans="1:20" x14ac:dyDescent="0.3">
      <c r="A397">
        <v>1234</v>
      </c>
      <c r="B397" t="s">
        <v>59</v>
      </c>
      <c r="C397" t="s">
        <v>60</v>
      </c>
      <c r="D397" t="s">
        <v>61</v>
      </c>
      <c r="E397" t="s">
        <v>62</v>
      </c>
      <c r="F397" t="s">
        <v>63</v>
      </c>
      <c r="G397" t="s">
        <v>64</v>
      </c>
      <c r="H397" t="s">
        <v>34</v>
      </c>
      <c r="I397" t="s">
        <v>65</v>
      </c>
      <c r="J397" s="1">
        <v>545</v>
      </c>
      <c r="K397" s="1">
        <v>45.416666666666664</v>
      </c>
      <c r="L397" s="3">
        <v>12</v>
      </c>
      <c r="M397" t="s">
        <v>66</v>
      </c>
      <c r="N397" s="2">
        <v>44409</v>
      </c>
      <c r="O397" t="s">
        <v>67</v>
      </c>
      <c r="P397" t="s">
        <v>68</v>
      </c>
      <c r="Q397">
        <v>78710</v>
      </c>
      <c r="R397" t="s">
        <v>27</v>
      </c>
      <c r="S397" s="10">
        <v>28.744542222215117</v>
      </c>
      <c r="T397">
        <v>23</v>
      </c>
    </row>
    <row r="398" spans="1:20" x14ac:dyDescent="0.3">
      <c r="A398">
        <v>1933</v>
      </c>
      <c r="B398" t="s">
        <v>231</v>
      </c>
      <c r="C398" t="s">
        <v>1146</v>
      </c>
      <c r="D398" t="s">
        <v>1147</v>
      </c>
      <c r="E398" t="s">
        <v>1148</v>
      </c>
      <c r="F398" t="s">
        <v>1149</v>
      </c>
      <c r="G398" t="s">
        <v>180</v>
      </c>
      <c r="H398" t="s">
        <v>34</v>
      </c>
      <c r="I398" t="s">
        <v>65</v>
      </c>
      <c r="J398" s="1">
        <v>890</v>
      </c>
      <c r="K398" s="1">
        <v>32.962962962962962</v>
      </c>
      <c r="L398" s="3">
        <v>27</v>
      </c>
      <c r="M398" t="s">
        <v>36</v>
      </c>
      <c r="N398" s="2">
        <v>44409</v>
      </c>
      <c r="O398" t="s">
        <v>181</v>
      </c>
      <c r="P398" t="s">
        <v>1150</v>
      </c>
      <c r="Q398">
        <v>1813</v>
      </c>
      <c r="R398" t="s">
        <v>27</v>
      </c>
      <c r="S398" s="10">
        <v>52.846542680873974</v>
      </c>
      <c r="T398">
        <v>60</v>
      </c>
    </row>
    <row r="399" spans="1:20" x14ac:dyDescent="0.3">
      <c r="A399">
        <v>1277</v>
      </c>
      <c r="B399" t="s">
        <v>222</v>
      </c>
      <c r="C399" t="s">
        <v>223</v>
      </c>
      <c r="D399" t="s">
        <v>224</v>
      </c>
      <c r="E399" t="s">
        <v>225</v>
      </c>
      <c r="F399" t="s">
        <v>226</v>
      </c>
      <c r="G399" t="s">
        <v>227</v>
      </c>
      <c r="H399" t="s">
        <v>34</v>
      </c>
      <c r="I399" t="s">
        <v>228</v>
      </c>
      <c r="J399" s="1">
        <v>685</v>
      </c>
      <c r="K399" s="1">
        <v>28.541666666666668</v>
      </c>
      <c r="L399" s="3">
        <v>24</v>
      </c>
      <c r="M399" t="s">
        <v>203</v>
      </c>
      <c r="N399" s="2">
        <v>44410</v>
      </c>
      <c r="O399" t="s">
        <v>229</v>
      </c>
      <c r="P399" t="s">
        <v>230</v>
      </c>
      <c r="Q399">
        <v>44310</v>
      </c>
      <c r="R399" t="s">
        <v>27</v>
      </c>
      <c r="S399" s="10">
        <v>44.788382921986248</v>
      </c>
      <c r="T399">
        <v>34</v>
      </c>
    </row>
    <row r="400" spans="1:20" x14ac:dyDescent="0.3">
      <c r="A400">
        <v>1020</v>
      </c>
      <c r="B400" t="s">
        <v>310</v>
      </c>
      <c r="C400" t="s">
        <v>311</v>
      </c>
      <c r="D400" t="s">
        <v>312</v>
      </c>
      <c r="E400" t="s">
        <v>313</v>
      </c>
      <c r="F400" t="s">
        <v>314</v>
      </c>
      <c r="G400" t="s">
        <v>315</v>
      </c>
      <c r="H400" t="s">
        <v>22</v>
      </c>
      <c r="I400" t="s">
        <v>23</v>
      </c>
      <c r="J400" s="1">
        <v>582</v>
      </c>
      <c r="K400" s="1">
        <v>26.454545454545453</v>
      </c>
      <c r="L400" s="3">
        <v>22</v>
      </c>
      <c r="M400" t="s">
        <v>36</v>
      </c>
      <c r="N400" s="2">
        <v>44411</v>
      </c>
      <c r="O400" t="s">
        <v>37</v>
      </c>
      <c r="P400" t="s">
        <v>316</v>
      </c>
      <c r="Q400">
        <v>94105</v>
      </c>
      <c r="R400" t="s">
        <v>27</v>
      </c>
      <c r="S400" s="10">
        <v>33.887245544368803</v>
      </c>
      <c r="T400">
        <v>45</v>
      </c>
    </row>
    <row r="401" spans="1:20" x14ac:dyDescent="0.3">
      <c r="A401">
        <v>1880</v>
      </c>
      <c r="B401" t="s">
        <v>129</v>
      </c>
      <c r="C401" t="s">
        <v>130</v>
      </c>
      <c r="D401" t="s">
        <v>131</v>
      </c>
      <c r="E401" t="s">
        <v>132</v>
      </c>
      <c r="F401" t="s">
        <v>133</v>
      </c>
      <c r="G401" t="s">
        <v>134</v>
      </c>
      <c r="H401" t="s">
        <v>22</v>
      </c>
      <c r="I401" t="s">
        <v>135</v>
      </c>
      <c r="J401" s="1">
        <v>692</v>
      </c>
      <c r="K401" s="1">
        <v>34.6</v>
      </c>
      <c r="L401" s="3">
        <v>20</v>
      </c>
      <c r="M401" t="s">
        <v>36</v>
      </c>
      <c r="N401" s="2">
        <v>44411</v>
      </c>
      <c r="O401" t="s">
        <v>136</v>
      </c>
      <c r="P401" t="s">
        <v>137</v>
      </c>
      <c r="Q401">
        <v>60614</v>
      </c>
      <c r="R401" t="s">
        <v>27</v>
      </c>
      <c r="S401" s="10">
        <v>35.594843405225141</v>
      </c>
      <c r="T401">
        <v>41</v>
      </c>
    </row>
    <row r="402" spans="1:20" x14ac:dyDescent="0.3">
      <c r="A402">
        <v>1812</v>
      </c>
      <c r="B402" t="s">
        <v>231</v>
      </c>
      <c r="C402" t="s">
        <v>232</v>
      </c>
      <c r="D402" t="s">
        <v>233</v>
      </c>
      <c r="E402" t="s">
        <v>234</v>
      </c>
      <c r="F402" t="s">
        <v>235</v>
      </c>
      <c r="G402" t="s">
        <v>74</v>
      </c>
      <c r="H402" t="s">
        <v>34</v>
      </c>
      <c r="I402" t="s">
        <v>236</v>
      </c>
      <c r="J402" s="1">
        <v>523</v>
      </c>
      <c r="K402" s="1">
        <v>43.583333333333336</v>
      </c>
      <c r="L402" s="3">
        <v>12</v>
      </c>
      <c r="M402" t="s">
        <v>126</v>
      </c>
      <c r="N402" s="2">
        <v>44412</v>
      </c>
      <c r="O402" t="s">
        <v>237</v>
      </c>
      <c r="P402" t="s">
        <v>238</v>
      </c>
      <c r="Q402">
        <v>35220</v>
      </c>
      <c r="R402" t="s">
        <v>27</v>
      </c>
      <c r="S402" s="10">
        <v>28.170790468112436</v>
      </c>
      <c r="T402">
        <v>22</v>
      </c>
    </row>
    <row r="403" spans="1:20" x14ac:dyDescent="0.3">
      <c r="A403">
        <v>1095</v>
      </c>
      <c r="B403" t="s">
        <v>550</v>
      </c>
      <c r="C403" t="s">
        <v>551</v>
      </c>
      <c r="D403" t="s">
        <v>552</v>
      </c>
      <c r="E403" t="s">
        <v>553</v>
      </c>
      <c r="F403" t="s">
        <v>554</v>
      </c>
      <c r="G403" t="s">
        <v>555</v>
      </c>
      <c r="H403" t="s">
        <v>22</v>
      </c>
      <c r="I403" t="s">
        <v>55</v>
      </c>
      <c r="J403" s="1">
        <v>265</v>
      </c>
      <c r="K403" s="1">
        <v>29.444444444444443</v>
      </c>
      <c r="L403" s="3">
        <v>9</v>
      </c>
      <c r="M403" t="s">
        <v>126</v>
      </c>
      <c r="N403" s="2">
        <v>44414</v>
      </c>
      <c r="O403" t="s">
        <v>67</v>
      </c>
      <c r="P403" t="s">
        <v>334</v>
      </c>
      <c r="Q403">
        <v>77040</v>
      </c>
      <c r="R403" t="s">
        <v>27</v>
      </c>
      <c r="S403" s="10">
        <v>13.127115569017366</v>
      </c>
      <c r="T403">
        <v>16</v>
      </c>
    </row>
    <row r="404" spans="1:20" x14ac:dyDescent="0.3">
      <c r="A404">
        <v>1466</v>
      </c>
      <c r="B404" t="s">
        <v>529</v>
      </c>
      <c r="C404" t="s">
        <v>1151</v>
      </c>
      <c r="D404" t="s">
        <v>1152</v>
      </c>
      <c r="E404" t="s">
        <v>1153</v>
      </c>
      <c r="F404" t="s">
        <v>1154</v>
      </c>
      <c r="G404" t="s">
        <v>21</v>
      </c>
      <c r="H404" t="s">
        <v>22</v>
      </c>
      <c r="I404" t="s">
        <v>366</v>
      </c>
      <c r="J404" s="1">
        <v>617</v>
      </c>
      <c r="K404" s="1">
        <v>29.38095238095238</v>
      </c>
      <c r="L404" s="3">
        <v>21</v>
      </c>
      <c r="M404" t="s">
        <v>36</v>
      </c>
      <c r="N404" s="2">
        <v>44415</v>
      </c>
      <c r="O404" t="s">
        <v>568</v>
      </c>
      <c r="P404" t="s">
        <v>569</v>
      </c>
      <c r="Q404">
        <v>37919</v>
      </c>
      <c r="R404" t="s">
        <v>27</v>
      </c>
      <c r="S404" s="10">
        <v>43.923111416739928</v>
      </c>
      <c r="T404">
        <v>35</v>
      </c>
    </row>
    <row r="405" spans="1:20" x14ac:dyDescent="0.3">
      <c r="A405">
        <v>1942</v>
      </c>
      <c r="B405" t="s">
        <v>247</v>
      </c>
      <c r="C405" t="s">
        <v>1155</v>
      </c>
      <c r="D405" t="s">
        <v>1156</v>
      </c>
      <c r="E405" t="s">
        <v>1157</v>
      </c>
      <c r="F405" t="s">
        <v>896</v>
      </c>
      <c r="G405" t="s">
        <v>64</v>
      </c>
      <c r="H405" t="s">
        <v>22</v>
      </c>
      <c r="I405" t="s">
        <v>35</v>
      </c>
      <c r="J405" s="1">
        <v>732</v>
      </c>
      <c r="K405" s="1">
        <v>38.526315789473685</v>
      </c>
      <c r="L405" s="3">
        <v>19</v>
      </c>
      <c r="M405" t="s">
        <v>447</v>
      </c>
      <c r="N405" s="2">
        <v>44415</v>
      </c>
      <c r="O405" t="s">
        <v>229</v>
      </c>
      <c r="P405" t="s">
        <v>1158</v>
      </c>
      <c r="Q405">
        <v>44125</v>
      </c>
      <c r="R405" t="s">
        <v>27</v>
      </c>
      <c r="S405" s="10">
        <v>27.145180349995819</v>
      </c>
      <c r="T405">
        <v>31</v>
      </c>
    </row>
    <row r="406" spans="1:20" x14ac:dyDescent="0.3">
      <c r="A406">
        <v>1560</v>
      </c>
      <c r="B406" t="s">
        <v>871</v>
      </c>
      <c r="C406" t="s">
        <v>1159</v>
      </c>
      <c r="D406" t="s">
        <v>1160</v>
      </c>
      <c r="E406" t="s">
        <v>1161</v>
      </c>
      <c r="F406" t="s">
        <v>427</v>
      </c>
      <c r="G406" t="s">
        <v>865</v>
      </c>
      <c r="H406" t="s">
        <v>22</v>
      </c>
      <c r="I406" t="s">
        <v>65</v>
      </c>
      <c r="J406" s="1">
        <v>763</v>
      </c>
      <c r="K406" s="1">
        <v>27.25</v>
      </c>
      <c r="L406" s="3">
        <v>28</v>
      </c>
      <c r="M406" t="s">
        <v>126</v>
      </c>
      <c r="N406" s="2">
        <v>44417</v>
      </c>
      <c r="O406" t="s">
        <v>67</v>
      </c>
      <c r="P406" t="s">
        <v>1162</v>
      </c>
      <c r="Q406">
        <v>79159</v>
      </c>
      <c r="R406" t="s">
        <v>27</v>
      </c>
      <c r="S406" s="10">
        <v>57.733304839248824</v>
      </c>
      <c r="T406">
        <v>61</v>
      </c>
    </row>
    <row r="407" spans="1:20" x14ac:dyDescent="0.3">
      <c r="A407">
        <v>1783</v>
      </c>
      <c r="B407" t="s">
        <v>302</v>
      </c>
      <c r="C407" t="s">
        <v>303</v>
      </c>
      <c r="D407" t="s">
        <v>304</v>
      </c>
      <c r="E407" t="s">
        <v>305</v>
      </c>
      <c r="F407" t="s">
        <v>306</v>
      </c>
      <c r="G407" t="s">
        <v>307</v>
      </c>
      <c r="H407" t="s">
        <v>34</v>
      </c>
      <c r="I407" t="s">
        <v>35</v>
      </c>
      <c r="J407" s="1">
        <v>680</v>
      </c>
      <c r="K407" s="1">
        <v>29.565217391304348</v>
      </c>
      <c r="L407" s="3">
        <v>23</v>
      </c>
      <c r="M407" t="s">
        <v>244</v>
      </c>
      <c r="N407" s="2">
        <v>44418</v>
      </c>
      <c r="O407" t="s">
        <v>308</v>
      </c>
      <c r="P407" t="s">
        <v>309</v>
      </c>
      <c r="Q407">
        <v>85715</v>
      </c>
      <c r="R407" t="s">
        <v>27</v>
      </c>
      <c r="S407" s="10">
        <v>29.625910408703803</v>
      </c>
      <c r="T407">
        <v>41</v>
      </c>
    </row>
    <row r="408" spans="1:20" x14ac:dyDescent="0.3">
      <c r="A408">
        <v>1992</v>
      </c>
      <c r="B408" t="s">
        <v>360</v>
      </c>
      <c r="C408" t="s">
        <v>719</v>
      </c>
      <c r="D408" t="s">
        <v>720</v>
      </c>
      <c r="E408" t="s">
        <v>721</v>
      </c>
      <c r="F408" t="s">
        <v>722</v>
      </c>
      <c r="G408" t="s">
        <v>142</v>
      </c>
      <c r="H408" t="s">
        <v>22</v>
      </c>
      <c r="I408" t="s">
        <v>65</v>
      </c>
      <c r="J408" s="1">
        <v>402</v>
      </c>
      <c r="K408" s="1">
        <v>30.923076923076923</v>
      </c>
      <c r="L408" s="3">
        <v>13</v>
      </c>
      <c r="M408" t="s">
        <v>36</v>
      </c>
      <c r="N408" s="2">
        <v>44418</v>
      </c>
      <c r="O408" t="s">
        <v>220</v>
      </c>
      <c r="P408" t="s">
        <v>723</v>
      </c>
      <c r="Q408">
        <v>47306</v>
      </c>
      <c r="R408" t="s">
        <v>27</v>
      </c>
      <c r="S408" s="10">
        <v>19.019254999092471</v>
      </c>
      <c r="T408">
        <v>16</v>
      </c>
    </row>
    <row r="409" spans="1:20" x14ac:dyDescent="0.3">
      <c r="A409">
        <v>1566</v>
      </c>
      <c r="B409" t="s">
        <v>1163</v>
      </c>
      <c r="C409" t="s">
        <v>1164</v>
      </c>
      <c r="D409" t="s">
        <v>1165</v>
      </c>
      <c r="E409" t="s">
        <v>1166</v>
      </c>
      <c r="F409" t="s">
        <v>115</v>
      </c>
      <c r="G409" t="s">
        <v>701</v>
      </c>
      <c r="H409" t="s">
        <v>22</v>
      </c>
      <c r="I409" t="s">
        <v>35</v>
      </c>
      <c r="J409" s="1">
        <v>608</v>
      </c>
      <c r="K409" s="1">
        <v>43.428571428571431</v>
      </c>
      <c r="L409" s="3">
        <v>14</v>
      </c>
      <c r="M409" t="s">
        <v>66</v>
      </c>
      <c r="N409" s="2">
        <v>44421</v>
      </c>
      <c r="O409" t="s">
        <v>767</v>
      </c>
      <c r="P409" t="s">
        <v>768</v>
      </c>
      <c r="Q409">
        <v>83722</v>
      </c>
      <c r="R409" t="s">
        <v>27</v>
      </c>
      <c r="S409" s="10">
        <v>32.090492299767405</v>
      </c>
      <c r="T409">
        <v>24</v>
      </c>
    </row>
    <row r="410" spans="1:20" x14ac:dyDescent="0.3">
      <c r="A410">
        <v>1633</v>
      </c>
      <c r="B410" t="s">
        <v>160</v>
      </c>
      <c r="C410" t="s">
        <v>168</v>
      </c>
      <c r="D410" t="s">
        <v>1167</v>
      </c>
      <c r="E410" t="s">
        <v>1168</v>
      </c>
      <c r="F410" t="s">
        <v>96</v>
      </c>
      <c r="G410" t="s">
        <v>357</v>
      </c>
      <c r="H410" t="s">
        <v>22</v>
      </c>
      <c r="I410" t="s">
        <v>23</v>
      </c>
      <c r="J410" s="1">
        <v>499</v>
      </c>
      <c r="K410" s="1">
        <v>33.266666666666666</v>
      </c>
      <c r="L410" s="3">
        <v>15</v>
      </c>
      <c r="M410" t="s">
        <v>99</v>
      </c>
      <c r="N410" s="2">
        <v>44421</v>
      </c>
      <c r="O410" t="s">
        <v>37</v>
      </c>
      <c r="P410" t="s">
        <v>1169</v>
      </c>
      <c r="Q410">
        <v>94064</v>
      </c>
      <c r="R410" t="s">
        <v>27</v>
      </c>
      <c r="S410" s="10">
        <v>35.867481743290824</v>
      </c>
      <c r="T410">
        <v>23</v>
      </c>
    </row>
    <row r="411" spans="1:20" x14ac:dyDescent="0.3">
      <c r="A411">
        <v>1783</v>
      </c>
      <c r="B411" t="s">
        <v>302</v>
      </c>
      <c r="C411" t="s">
        <v>303</v>
      </c>
      <c r="D411" t="s">
        <v>304</v>
      </c>
      <c r="E411" t="s">
        <v>305</v>
      </c>
      <c r="F411" t="s">
        <v>306</v>
      </c>
      <c r="G411" t="s">
        <v>307</v>
      </c>
      <c r="H411" t="s">
        <v>34</v>
      </c>
      <c r="I411" t="s">
        <v>35</v>
      </c>
      <c r="J411" s="1">
        <v>695</v>
      </c>
      <c r="K411" s="1">
        <v>28.958333333333332</v>
      </c>
      <c r="L411" s="3">
        <v>24</v>
      </c>
      <c r="M411" t="s">
        <v>244</v>
      </c>
      <c r="N411" s="2">
        <v>44421</v>
      </c>
      <c r="O411" t="s">
        <v>308</v>
      </c>
      <c r="P411" t="s">
        <v>309</v>
      </c>
      <c r="Q411">
        <v>85715</v>
      </c>
      <c r="R411" t="s">
        <v>27</v>
      </c>
      <c r="S411" s="10">
        <v>55.735511737472095</v>
      </c>
      <c r="T411">
        <v>45</v>
      </c>
    </row>
    <row r="412" spans="1:20" x14ac:dyDescent="0.3">
      <c r="A412">
        <v>1095</v>
      </c>
      <c r="B412" t="s">
        <v>550</v>
      </c>
      <c r="C412" t="s">
        <v>551</v>
      </c>
      <c r="D412" t="s">
        <v>552</v>
      </c>
      <c r="E412" t="s">
        <v>553</v>
      </c>
      <c r="F412" t="s">
        <v>554</v>
      </c>
      <c r="G412" t="s">
        <v>555</v>
      </c>
      <c r="H412" t="s">
        <v>22</v>
      </c>
      <c r="I412" t="s">
        <v>55</v>
      </c>
      <c r="J412" s="1">
        <v>622</v>
      </c>
      <c r="K412" s="1">
        <v>32.736842105263158</v>
      </c>
      <c r="L412" s="3">
        <v>19</v>
      </c>
      <c r="M412" t="s">
        <v>126</v>
      </c>
      <c r="N412" s="2">
        <v>44422</v>
      </c>
      <c r="O412" t="s">
        <v>67</v>
      </c>
      <c r="P412" t="s">
        <v>334</v>
      </c>
      <c r="Q412">
        <v>77040</v>
      </c>
      <c r="R412" t="s">
        <v>27</v>
      </c>
      <c r="S412" s="10">
        <v>39.145050259369768</v>
      </c>
      <c r="T412">
        <v>24</v>
      </c>
    </row>
    <row r="413" spans="1:20" x14ac:dyDescent="0.3">
      <c r="A413">
        <v>1931</v>
      </c>
      <c r="B413" t="s">
        <v>1170</v>
      </c>
      <c r="C413" t="s">
        <v>1171</v>
      </c>
      <c r="D413" t="s">
        <v>1172</v>
      </c>
      <c r="E413" t="s">
        <v>1173</v>
      </c>
      <c r="F413" t="s">
        <v>692</v>
      </c>
      <c r="G413" t="s">
        <v>327</v>
      </c>
      <c r="H413" t="s">
        <v>22</v>
      </c>
      <c r="I413" t="s">
        <v>75</v>
      </c>
      <c r="J413" s="1">
        <v>608</v>
      </c>
      <c r="K413" s="1">
        <v>30.4</v>
      </c>
      <c r="L413" s="3">
        <v>20</v>
      </c>
      <c r="M413" t="s">
        <v>694</v>
      </c>
      <c r="N413" s="2">
        <v>44422</v>
      </c>
      <c r="O413" t="s">
        <v>25</v>
      </c>
      <c r="P413" t="s">
        <v>1174</v>
      </c>
      <c r="Q413">
        <v>49510</v>
      </c>
      <c r="R413" t="s">
        <v>27</v>
      </c>
      <c r="S413" s="10">
        <v>30.755511910552311</v>
      </c>
      <c r="T413">
        <v>36</v>
      </c>
    </row>
    <row r="414" spans="1:20" x14ac:dyDescent="0.3">
      <c r="A414">
        <v>1991</v>
      </c>
      <c r="B414" t="s">
        <v>160</v>
      </c>
      <c r="C414" t="s">
        <v>161</v>
      </c>
      <c r="D414" t="s">
        <v>162</v>
      </c>
      <c r="E414" t="s">
        <v>163</v>
      </c>
      <c r="F414" t="s">
        <v>164</v>
      </c>
      <c r="G414" t="s">
        <v>44</v>
      </c>
      <c r="H414" t="s">
        <v>22</v>
      </c>
      <c r="I414" t="s">
        <v>65</v>
      </c>
      <c r="J414" s="1">
        <v>302</v>
      </c>
      <c r="K414" s="1">
        <v>43.142857142857146</v>
      </c>
      <c r="L414" s="3">
        <v>7</v>
      </c>
      <c r="M414" t="s">
        <v>36</v>
      </c>
      <c r="N414" s="2">
        <v>44424</v>
      </c>
      <c r="O414" t="s">
        <v>165</v>
      </c>
      <c r="P414" t="s">
        <v>166</v>
      </c>
      <c r="Q414">
        <v>87180</v>
      </c>
      <c r="R414" t="s">
        <v>27</v>
      </c>
      <c r="S414" s="10">
        <v>16.611832162953117</v>
      </c>
      <c r="T414">
        <v>12</v>
      </c>
    </row>
    <row r="415" spans="1:20" x14ac:dyDescent="0.3">
      <c r="A415">
        <v>1021</v>
      </c>
      <c r="B415" t="s">
        <v>16</v>
      </c>
      <c r="C415" t="s">
        <v>17</v>
      </c>
      <c r="D415" t="s">
        <v>18</v>
      </c>
      <c r="E415" t="s">
        <v>19</v>
      </c>
      <c r="F415" t="s">
        <v>20</v>
      </c>
      <c r="G415" t="s">
        <v>21</v>
      </c>
      <c r="H415" t="s">
        <v>22</v>
      </c>
      <c r="I415" t="s">
        <v>23</v>
      </c>
      <c r="J415" s="1">
        <v>164</v>
      </c>
      <c r="K415" s="1">
        <v>27.333333333333332</v>
      </c>
      <c r="L415" s="3">
        <v>6</v>
      </c>
      <c r="M415" t="s">
        <v>24</v>
      </c>
      <c r="N415" s="2">
        <v>44425</v>
      </c>
      <c r="O415" t="s">
        <v>25</v>
      </c>
      <c r="P415" t="s">
        <v>26</v>
      </c>
      <c r="Q415">
        <v>48555</v>
      </c>
      <c r="R415" t="s">
        <v>27</v>
      </c>
      <c r="S415" s="10">
        <v>10.104290468295009</v>
      </c>
      <c r="T415">
        <v>12</v>
      </c>
    </row>
    <row r="416" spans="1:20" x14ac:dyDescent="0.3">
      <c r="A416">
        <v>1544</v>
      </c>
      <c r="B416" t="s">
        <v>1175</v>
      </c>
      <c r="C416" t="s">
        <v>1176</v>
      </c>
      <c r="D416" t="s">
        <v>1177</v>
      </c>
      <c r="E416" t="s">
        <v>1178</v>
      </c>
      <c r="F416" t="s">
        <v>789</v>
      </c>
      <c r="G416" t="s">
        <v>97</v>
      </c>
      <c r="H416" t="s">
        <v>22</v>
      </c>
      <c r="I416" t="s">
        <v>98</v>
      </c>
      <c r="J416" s="1">
        <v>969</v>
      </c>
      <c r="K416" s="1">
        <v>38.76</v>
      </c>
      <c r="L416" s="3">
        <v>25</v>
      </c>
      <c r="M416" t="s">
        <v>36</v>
      </c>
      <c r="N416" s="2">
        <v>44425</v>
      </c>
      <c r="O416" t="s">
        <v>1179</v>
      </c>
      <c r="P416" t="s">
        <v>1180</v>
      </c>
      <c r="Q416">
        <v>19886</v>
      </c>
      <c r="R416" t="s">
        <v>27</v>
      </c>
      <c r="S416" s="10">
        <v>57.350022737930082</v>
      </c>
      <c r="T416">
        <v>37</v>
      </c>
    </row>
    <row r="417" spans="1:20" x14ac:dyDescent="0.3">
      <c r="A417">
        <v>1399</v>
      </c>
      <c r="B417" t="s">
        <v>1049</v>
      </c>
      <c r="C417" t="s">
        <v>1181</v>
      </c>
      <c r="D417" t="s">
        <v>1182</v>
      </c>
      <c r="E417" t="s">
        <v>1183</v>
      </c>
      <c r="F417" t="s">
        <v>1184</v>
      </c>
      <c r="G417" t="s">
        <v>365</v>
      </c>
      <c r="H417" t="s">
        <v>22</v>
      </c>
      <c r="I417" t="s">
        <v>435</v>
      </c>
      <c r="J417" s="1">
        <v>212</v>
      </c>
      <c r="K417" s="1">
        <v>35.333333333333336</v>
      </c>
      <c r="L417" s="3">
        <v>6</v>
      </c>
      <c r="M417" t="s">
        <v>36</v>
      </c>
      <c r="N417" s="2">
        <v>44426</v>
      </c>
      <c r="O417" t="s">
        <v>37</v>
      </c>
      <c r="P417" t="s">
        <v>1185</v>
      </c>
      <c r="Q417">
        <v>95219</v>
      </c>
      <c r="R417" t="s">
        <v>27</v>
      </c>
      <c r="S417" s="10">
        <v>9.1667879326054518</v>
      </c>
      <c r="T417">
        <v>12</v>
      </c>
    </row>
    <row r="418" spans="1:20" x14ac:dyDescent="0.3">
      <c r="A418">
        <v>1558</v>
      </c>
      <c r="B418" t="s">
        <v>189</v>
      </c>
      <c r="C418" t="s">
        <v>679</v>
      </c>
      <c r="D418" t="s">
        <v>1186</v>
      </c>
      <c r="E418" t="s">
        <v>1187</v>
      </c>
      <c r="F418" t="s">
        <v>1188</v>
      </c>
      <c r="G418" t="s">
        <v>1189</v>
      </c>
      <c r="H418" t="s">
        <v>34</v>
      </c>
      <c r="I418" t="s">
        <v>228</v>
      </c>
      <c r="J418" s="1">
        <v>464</v>
      </c>
      <c r="K418" s="1">
        <v>35.692307692307693</v>
      </c>
      <c r="L418" s="3">
        <v>13</v>
      </c>
      <c r="M418" t="s">
        <v>203</v>
      </c>
      <c r="N418" s="2">
        <v>44426</v>
      </c>
      <c r="O418" t="s">
        <v>47</v>
      </c>
      <c r="P418" t="s">
        <v>751</v>
      </c>
      <c r="Q418">
        <v>22217</v>
      </c>
      <c r="R418" t="s">
        <v>27</v>
      </c>
      <c r="S418" s="10">
        <v>28.372905054696275</v>
      </c>
      <c r="T418">
        <v>19</v>
      </c>
    </row>
    <row r="419" spans="1:20" x14ac:dyDescent="0.3">
      <c r="A419">
        <v>1212</v>
      </c>
      <c r="B419" t="s">
        <v>120</v>
      </c>
      <c r="C419" t="s">
        <v>121</v>
      </c>
      <c r="D419" t="s">
        <v>122</v>
      </c>
      <c r="E419" t="s">
        <v>123</v>
      </c>
      <c r="F419" t="s">
        <v>124</v>
      </c>
      <c r="G419" t="s">
        <v>125</v>
      </c>
      <c r="H419" t="s">
        <v>22</v>
      </c>
      <c r="I419" t="s">
        <v>65</v>
      </c>
      <c r="J419" s="1">
        <v>600</v>
      </c>
      <c r="K419" s="1">
        <v>33.333333333333336</v>
      </c>
      <c r="L419" s="3">
        <v>18</v>
      </c>
      <c r="M419" t="s">
        <v>126</v>
      </c>
      <c r="N419" s="2">
        <v>44429</v>
      </c>
      <c r="O419" t="s">
        <v>127</v>
      </c>
      <c r="P419" t="s">
        <v>128</v>
      </c>
      <c r="Q419">
        <v>6183</v>
      </c>
      <c r="R419" t="s">
        <v>27</v>
      </c>
      <c r="S419" s="10">
        <v>38.44017539839988</v>
      </c>
      <c r="T419">
        <v>35</v>
      </c>
    </row>
    <row r="420" spans="1:20" x14ac:dyDescent="0.3">
      <c r="A420">
        <v>1434</v>
      </c>
      <c r="B420" t="s">
        <v>380</v>
      </c>
      <c r="C420" t="s">
        <v>449</v>
      </c>
      <c r="D420" t="s">
        <v>450</v>
      </c>
      <c r="E420" t="s">
        <v>451</v>
      </c>
      <c r="F420" t="s">
        <v>452</v>
      </c>
      <c r="G420" t="s">
        <v>453</v>
      </c>
      <c r="H420" t="s">
        <v>22</v>
      </c>
      <c r="I420" t="s">
        <v>35</v>
      </c>
      <c r="J420" s="1">
        <v>257</v>
      </c>
      <c r="K420" s="1">
        <v>32.125</v>
      </c>
      <c r="L420" s="3">
        <v>8</v>
      </c>
      <c r="M420" t="s">
        <v>36</v>
      </c>
      <c r="N420" s="2">
        <v>44429</v>
      </c>
      <c r="O420" t="s">
        <v>118</v>
      </c>
      <c r="P420" t="s">
        <v>454</v>
      </c>
      <c r="Q420">
        <v>55436</v>
      </c>
      <c r="R420" t="s">
        <v>27</v>
      </c>
      <c r="S420" s="10">
        <v>14.141996569802302</v>
      </c>
      <c r="T420">
        <v>14</v>
      </c>
    </row>
    <row r="421" spans="1:20" x14ac:dyDescent="0.3">
      <c r="A421">
        <v>1620</v>
      </c>
      <c r="B421" t="s">
        <v>77</v>
      </c>
      <c r="C421" t="s">
        <v>795</v>
      </c>
      <c r="D421" t="s">
        <v>1190</v>
      </c>
      <c r="E421" t="s">
        <v>1191</v>
      </c>
      <c r="F421" t="s">
        <v>1192</v>
      </c>
      <c r="G421" t="s">
        <v>1056</v>
      </c>
      <c r="H421" t="s">
        <v>22</v>
      </c>
      <c r="I421" t="s">
        <v>23</v>
      </c>
      <c r="J421" s="1">
        <v>451</v>
      </c>
      <c r="K421" s="1">
        <v>34.692307692307693</v>
      </c>
      <c r="L421" s="3">
        <v>13</v>
      </c>
      <c r="M421" t="s">
        <v>126</v>
      </c>
      <c r="N421" s="2">
        <v>44429</v>
      </c>
      <c r="O421" t="s">
        <v>83</v>
      </c>
      <c r="P421" t="s">
        <v>511</v>
      </c>
      <c r="Q421">
        <v>10270</v>
      </c>
      <c r="R421" t="s">
        <v>27</v>
      </c>
      <c r="S421" s="10">
        <v>28.625126894331625</v>
      </c>
      <c r="T421">
        <v>24</v>
      </c>
    </row>
    <row r="422" spans="1:20" x14ac:dyDescent="0.3">
      <c r="A422">
        <v>1638</v>
      </c>
      <c r="B422" t="s">
        <v>910</v>
      </c>
      <c r="C422" t="s">
        <v>1193</v>
      </c>
      <c r="D422" t="s">
        <v>1194</v>
      </c>
      <c r="E422" t="s">
        <v>1195</v>
      </c>
      <c r="F422" t="s">
        <v>1196</v>
      </c>
      <c r="G422" t="s">
        <v>527</v>
      </c>
      <c r="H422" t="s">
        <v>34</v>
      </c>
      <c r="I422" t="s">
        <v>23</v>
      </c>
      <c r="J422" s="1">
        <v>383</v>
      </c>
      <c r="K422" s="1">
        <v>38.299999999999997</v>
      </c>
      <c r="L422" s="3">
        <v>10</v>
      </c>
      <c r="M422" t="s">
        <v>66</v>
      </c>
      <c r="N422" s="2">
        <v>44429</v>
      </c>
      <c r="O422" t="s">
        <v>118</v>
      </c>
      <c r="P422" t="s">
        <v>454</v>
      </c>
      <c r="Q422">
        <v>55470</v>
      </c>
      <c r="R422" t="s">
        <v>27</v>
      </c>
      <c r="S422" s="10">
        <v>19.544084340208791</v>
      </c>
      <c r="T422">
        <v>22</v>
      </c>
    </row>
    <row r="423" spans="1:20" x14ac:dyDescent="0.3">
      <c r="A423">
        <v>1017</v>
      </c>
      <c r="B423" t="s">
        <v>660</v>
      </c>
      <c r="C423" t="s">
        <v>679</v>
      </c>
      <c r="D423" t="s">
        <v>680</v>
      </c>
      <c r="E423" t="s">
        <v>681</v>
      </c>
      <c r="F423" t="s">
        <v>682</v>
      </c>
      <c r="G423" t="s">
        <v>446</v>
      </c>
      <c r="H423" t="s">
        <v>22</v>
      </c>
      <c r="I423" t="s">
        <v>23</v>
      </c>
      <c r="J423" s="1">
        <v>341</v>
      </c>
      <c r="K423" s="1">
        <v>31</v>
      </c>
      <c r="L423" s="3">
        <v>11</v>
      </c>
      <c r="M423" t="s">
        <v>36</v>
      </c>
      <c r="N423" s="2">
        <v>44432</v>
      </c>
      <c r="O423" t="s">
        <v>136</v>
      </c>
      <c r="P423" t="s">
        <v>137</v>
      </c>
      <c r="Q423">
        <v>60663</v>
      </c>
      <c r="R423" t="s">
        <v>27</v>
      </c>
      <c r="S423" s="10">
        <v>21.956796468729411</v>
      </c>
      <c r="T423">
        <v>23</v>
      </c>
    </row>
    <row r="424" spans="1:20" x14ac:dyDescent="0.3">
      <c r="A424">
        <v>1277</v>
      </c>
      <c r="B424" t="s">
        <v>222</v>
      </c>
      <c r="C424" t="s">
        <v>223</v>
      </c>
      <c r="D424" t="s">
        <v>224</v>
      </c>
      <c r="E424" t="s">
        <v>225</v>
      </c>
      <c r="F424" t="s">
        <v>226</v>
      </c>
      <c r="G424" t="s">
        <v>227</v>
      </c>
      <c r="H424" t="s">
        <v>34</v>
      </c>
      <c r="I424" t="s">
        <v>228</v>
      </c>
      <c r="J424" s="1">
        <v>582</v>
      </c>
      <c r="K424" s="1">
        <v>38.799999999999997</v>
      </c>
      <c r="L424" s="3">
        <v>15</v>
      </c>
      <c r="M424" t="s">
        <v>203</v>
      </c>
      <c r="N424" s="2">
        <v>44433</v>
      </c>
      <c r="O424" t="s">
        <v>229</v>
      </c>
      <c r="P424" t="s">
        <v>230</v>
      </c>
      <c r="Q424">
        <v>44310</v>
      </c>
      <c r="R424" t="s">
        <v>27</v>
      </c>
      <c r="S424" s="10">
        <v>35.348549122803831</v>
      </c>
      <c r="T424">
        <v>30</v>
      </c>
    </row>
    <row r="425" spans="1:20" x14ac:dyDescent="0.3">
      <c r="A425">
        <v>1845</v>
      </c>
      <c r="B425" t="s">
        <v>1197</v>
      </c>
      <c r="C425" t="s">
        <v>303</v>
      </c>
      <c r="D425" t="s">
        <v>1198</v>
      </c>
      <c r="E425" t="s">
        <v>1199</v>
      </c>
      <c r="F425" t="s">
        <v>1192</v>
      </c>
      <c r="G425" t="s">
        <v>948</v>
      </c>
      <c r="H425" t="s">
        <v>22</v>
      </c>
      <c r="I425" t="s">
        <v>75</v>
      </c>
      <c r="J425" s="1">
        <v>468</v>
      </c>
      <c r="K425" s="1">
        <v>31.2</v>
      </c>
      <c r="L425" s="3">
        <v>15</v>
      </c>
      <c r="M425" t="s">
        <v>36</v>
      </c>
      <c r="N425" s="2">
        <v>44433</v>
      </c>
      <c r="O425" t="s">
        <v>67</v>
      </c>
      <c r="P425" t="s">
        <v>334</v>
      </c>
      <c r="Q425">
        <v>77212</v>
      </c>
      <c r="R425" t="s">
        <v>27</v>
      </c>
      <c r="S425" s="10">
        <v>21.433049195272012</v>
      </c>
      <c r="T425">
        <v>25</v>
      </c>
    </row>
    <row r="426" spans="1:20" x14ac:dyDescent="0.3">
      <c r="A426">
        <v>1579</v>
      </c>
      <c r="B426" t="s">
        <v>287</v>
      </c>
      <c r="C426" t="s">
        <v>68</v>
      </c>
      <c r="D426" t="s">
        <v>1200</v>
      </c>
      <c r="E426" t="s">
        <v>1201</v>
      </c>
      <c r="F426" t="s">
        <v>1202</v>
      </c>
      <c r="G426" t="s">
        <v>202</v>
      </c>
      <c r="H426" t="s">
        <v>34</v>
      </c>
      <c r="I426" t="s">
        <v>299</v>
      </c>
      <c r="J426" s="1">
        <v>43</v>
      </c>
      <c r="K426" s="1">
        <v>21.5</v>
      </c>
      <c r="L426" s="3">
        <v>2</v>
      </c>
      <c r="M426" t="s">
        <v>126</v>
      </c>
      <c r="N426" s="2">
        <v>44434</v>
      </c>
      <c r="O426" t="s">
        <v>187</v>
      </c>
      <c r="P426" t="s">
        <v>188</v>
      </c>
      <c r="Q426">
        <v>28225</v>
      </c>
      <c r="R426" t="s">
        <v>27</v>
      </c>
      <c r="S426" s="10">
        <v>4.3534422840776541</v>
      </c>
      <c r="T426">
        <v>3</v>
      </c>
    </row>
    <row r="427" spans="1:20" x14ac:dyDescent="0.3">
      <c r="A427">
        <v>1027</v>
      </c>
      <c r="B427" t="s">
        <v>1203</v>
      </c>
      <c r="C427" t="s">
        <v>1204</v>
      </c>
      <c r="D427" t="s">
        <v>1205</v>
      </c>
      <c r="E427" t="s">
        <v>1206</v>
      </c>
      <c r="F427" t="s">
        <v>421</v>
      </c>
      <c r="G427" t="s">
        <v>603</v>
      </c>
      <c r="H427" t="s">
        <v>34</v>
      </c>
      <c r="I427" t="s">
        <v>23</v>
      </c>
      <c r="J427" s="1">
        <v>776</v>
      </c>
      <c r="K427" s="1">
        <v>36.952380952380949</v>
      </c>
      <c r="L427" s="3">
        <v>21</v>
      </c>
      <c r="M427" t="s">
        <v>36</v>
      </c>
      <c r="N427" s="2">
        <v>44435</v>
      </c>
      <c r="O427" t="s">
        <v>173</v>
      </c>
      <c r="P427" t="s">
        <v>1207</v>
      </c>
      <c r="Q427">
        <v>64082</v>
      </c>
      <c r="R427" t="s">
        <v>27</v>
      </c>
      <c r="S427" s="10">
        <v>38.388492160507482</v>
      </c>
      <c r="T427">
        <v>42</v>
      </c>
    </row>
    <row r="428" spans="1:20" x14ac:dyDescent="0.3">
      <c r="A428">
        <v>1402</v>
      </c>
      <c r="B428" t="s">
        <v>901</v>
      </c>
      <c r="C428" t="s">
        <v>777</v>
      </c>
      <c r="D428" t="s">
        <v>1057</v>
      </c>
      <c r="E428" t="s">
        <v>1058</v>
      </c>
      <c r="F428" t="s">
        <v>1059</v>
      </c>
      <c r="G428" t="s">
        <v>365</v>
      </c>
      <c r="H428" t="s">
        <v>34</v>
      </c>
      <c r="I428" t="s">
        <v>435</v>
      </c>
      <c r="J428" s="1">
        <v>66</v>
      </c>
      <c r="K428" s="1">
        <v>33</v>
      </c>
      <c r="L428" s="3">
        <v>2</v>
      </c>
      <c r="M428" t="s">
        <v>126</v>
      </c>
      <c r="N428" s="2">
        <v>44435</v>
      </c>
      <c r="O428" t="s">
        <v>267</v>
      </c>
      <c r="P428" t="s">
        <v>968</v>
      </c>
      <c r="Q428">
        <v>33715</v>
      </c>
      <c r="R428" t="s">
        <v>27</v>
      </c>
      <c r="S428" s="10">
        <v>4.7653401648069984</v>
      </c>
      <c r="T428">
        <v>3</v>
      </c>
    </row>
    <row r="429" spans="1:20" x14ac:dyDescent="0.3">
      <c r="A429">
        <v>1437</v>
      </c>
      <c r="B429" t="s">
        <v>654</v>
      </c>
      <c r="C429" t="s">
        <v>655</v>
      </c>
      <c r="D429" t="s">
        <v>656</v>
      </c>
      <c r="E429" t="s">
        <v>657</v>
      </c>
      <c r="F429" t="s">
        <v>658</v>
      </c>
      <c r="G429" t="s">
        <v>357</v>
      </c>
      <c r="H429" t="s">
        <v>34</v>
      </c>
      <c r="I429" t="s">
        <v>299</v>
      </c>
      <c r="J429" s="1">
        <v>169</v>
      </c>
      <c r="K429" s="1">
        <v>33.799999999999997</v>
      </c>
      <c r="L429" s="3">
        <v>5</v>
      </c>
      <c r="M429" t="s">
        <v>36</v>
      </c>
      <c r="N429" s="2">
        <v>44436</v>
      </c>
      <c r="O429" t="s">
        <v>300</v>
      </c>
      <c r="P429" t="s">
        <v>659</v>
      </c>
      <c r="Q429">
        <v>89505</v>
      </c>
      <c r="R429" t="s">
        <v>27</v>
      </c>
      <c r="S429" s="10">
        <v>8.0586254714129559</v>
      </c>
      <c r="T429">
        <v>9</v>
      </c>
    </row>
    <row r="430" spans="1:20" x14ac:dyDescent="0.3">
      <c r="A430">
        <v>1020</v>
      </c>
      <c r="B430" t="s">
        <v>310</v>
      </c>
      <c r="C430" t="s">
        <v>311</v>
      </c>
      <c r="D430" t="s">
        <v>312</v>
      </c>
      <c r="E430" t="s">
        <v>313</v>
      </c>
      <c r="F430" t="s">
        <v>314</v>
      </c>
      <c r="G430" t="s">
        <v>315</v>
      </c>
      <c r="H430" t="s">
        <v>22</v>
      </c>
      <c r="I430" t="s">
        <v>23</v>
      </c>
      <c r="J430" s="1">
        <v>303</v>
      </c>
      <c r="K430" s="1">
        <v>43.285714285714285</v>
      </c>
      <c r="L430" s="3">
        <v>7</v>
      </c>
      <c r="M430" t="s">
        <v>36</v>
      </c>
      <c r="N430" s="2">
        <v>44437</v>
      </c>
      <c r="O430" t="s">
        <v>37</v>
      </c>
      <c r="P430" t="s">
        <v>316</v>
      </c>
      <c r="Q430">
        <v>94105</v>
      </c>
      <c r="R430" t="s">
        <v>27</v>
      </c>
      <c r="S430" s="10">
        <v>9.7741413921622957</v>
      </c>
      <c r="T430">
        <v>14</v>
      </c>
    </row>
    <row r="431" spans="1:20" x14ac:dyDescent="0.3">
      <c r="A431">
        <v>1081</v>
      </c>
      <c r="B431" t="s">
        <v>529</v>
      </c>
      <c r="C431" t="s">
        <v>530</v>
      </c>
      <c r="D431" t="s">
        <v>531</v>
      </c>
      <c r="E431" t="s">
        <v>532</v>
      </c>
      <c r="F431" t="s">
        <v>533</v>
      </c>
      <c r="G431" t="s">
        <v>495</v>
      </c>
      <c r="H431" t="s">
        <v>22</v>
      </c>
      <c r="I431" t="s">
        <v>55</v>
      </c>
      <c r="J431" s="1">
        <v>845</v>
      </c>
      <c r="K431" s="1">
        <v>36.739130434782609</v>
      </c>
      <c r="L431" s="3">
        <v>23</v>
      </c>
      <c r="M431" t="s">
        <v>447</v>
      </c>
      <c r="N431" s="2">
        <v>44441</v>
      </c>
      <c r="O431" t="s">
        <v>229</v>
      </c>
      <c r="P431" t="s">
        <v>534</v>
      </c>
      <c r="Q431">
        <v>45426</v>
      </c>
      <c r="R431" t="s">
        <v>27</v>
      </c>
      <c r="S431" s="10">
        <v>34.742852789200185</v>
      </c>
      <c r="T431">
        <v>36</v>
      </c>
    </row>
    <row r="432" spans="1:20" x14ac:dyDescent="0.3">
      <c r="A432">
        <v>1298</v>
      </c>
      <c r="B432" t="s">
        <v>275</v>
      </c>
      <c r="C432" t="s">
        <v>340</v>
      </c>
      <c r="D432" t="s">
        <v>341</v>
      </c>
      <c r="E432" t="s">
        <v>342</v>
      </c>
      <c r="F432" t="s">
        <v>306</v>
      </c>
      <c r="G432" t="s">
        <v>180</v>
      </c>
      <c r="H432" t="s">
        <v>22</v>
      </c>
      <c r="I432" t="s">
        <v>236</v>
      </c>
      <c r="J432" s="1">
        <v>696</v>
      </c>
      <c r="K432" s="1">
        <v>30.260869565217391</v>
      </c>
      <c r="L432" s="3">
        <v>23</v>
      </c>
      <c r="M432" t="s">
        <v>343</v>
      </c>
      <c r="N432" s="2">
        <v>44441</v>
      </c>
      <c r="O432" t="s">
        <v>267</v>
      </c>
      <c r="P432" t="s">
        <v>344</v>
      </c>
      <c r="Q432">
        <v>32891</v>
      </c>
      <c r="R432" t="s">
        <v>27</v>
      </c>
      <c r="S432" s="10">
        <v>52.189094058687736</v>
      </c>
      <c r="T432">
        <v>39</v>
      </c>
    </row>
    <row r="433" spans="1:20" x14ac:dyDescent="0.3">
      <c r="A433">
        <v>1410</v>
      </c>
      <c r="B433" t="s">
        <v>417</v>
      </c>
      <c r="C433" t="s">
        <v>541</v>
      </c>
      <c r="D433" t="s">
        <v>1208</v>
      </c>
      <c r="E433" t="s">
        <v>1209</v>
      </c>
      <c r="F433" t="s">
        <v>1210</v>
      </c>
      <c r="G433" t="s">
        <v>603</v>
      </c>
      <c r="H433" t="s">
        <v>34</v>
      </c>
      <c r="I433" t="s">
        <v>45</v>
      </c>
      <c r="J433" s="1">
        <v>815</v>
      </c>
      <c r="K433" s="1">
        <v>42.89473684210526</v>
      </c>
      <c r="L433" s="3">
        <v>19</v>
      </c>
      <c r="M433" t="s">
        <v>694</v>
      </c>
      <c r="N433" s="2">
        <v>44444</v>
      </c>
      <c r="O433" t="s">
        <v>67</v>
      </c>
      <c r="P433" t="s">
        <v>280</v>
      </c>
      <c r="Q433">
        <v>78230</v>
      </c>
      <c r="R433" t="s">
        <v>27</v>
      </c>
      <c r="S433" s="10">
        <v>32.710711656908948</v>
      </c>
      <c r="T433">
        <v>26</v>
      </c>
    </row>
    <row r="434" spans="1:20" x14ac:dyDescent="0.3">
      <c r="A434">
        <v>1765</v>
      </c>
      <c r="B434" t="s">
        <v>586</v>
      </c>
      <c r="C434" t="s">
        <v>1211</v>
      </c>
      <c r="D434" t="s">
        <v>1212</v>
      </c>
      <c r="E434" t="s">
        <v>1213</v>
      </c>
      <c r="F434" t="s">
        <v>494</v>
      </c>
      <c r="G434" t="s">
        <v>453</v>
      </c>
      <c r="H434" t="s">
        <v>34</v>
      </c>
      <c r="I434" t="s">
        <v>117</v>
      </c>
      <c r="J434" s="1">
        <v>188</v>
      </c>
      <c r="K434" s="1">
        <v>47</v>
      </c>
      <c r="L434" s="3">
        <v>4</v>
      </c>
      <c r="M434" t="s">
        <v>404</v>
      </c>
      <c r="N434" s="2">
        <v>44445</v>
      </c>
      <c r="O434" t="s">
        <v>211</v>
      </c>
      <c r="P434" t="s">
        <v>1214</v>
      </c>
      <c r="Q434">
        <v>68179</v>
      </c>
      <c r="R434" t="s">
        <v>27</v>
      </c>
      <c r="S434" s="10">
        <v>7.0753418870299436</v>
      </c>
      <c r="T434">
        <v>5</v>
      </c>
    </row>
    <row r="435" spans="1:20" x14ac:dyDescent="0.3">
      <c r="A435">
        <v>1026</v>
      </c>
      <c r="B435" t="s">
        <v>77</v>
      </c>
      <c r="C435" t="s">
        <v>78</v>
      </c>
      <c r="D435" t="s">
        <v>79</v>
      </c>
      <c r="E435" t="s">
        <v>80</v>
      </c>
      <c r="F435" t="s">
        <v>81</v>
      </c>
      <c r="G435" t="s">
        <v>82</v>
      </c>
      <c r="H435" t="s">
        <v>22</v>
      </c>
      <c r="I435" t="s">
        <v>23</v>
      </c>
      <c r="J435" s="1">
        <v>817</v>
      </c>
      <c r="K435" s="1">
        <v>29.178571428571427</v>
      </c>
      <c r="L435" s="3">
        <v>28</v>
      </c>
      <c r="M435" t="s">
        <v>36</v>
      </c>
      <c r="N435" s="2">
        <v>44451</v>
      </c>
      <c r="O435" t="s">
        <v>83</v>
      </c>
      <c r="P435" t="s">
        <v>84</v>
      </c>
      <c r="Q435">
        <v>10469</v>
      </c>
      <c r="R435" t="s">
        <v>27</v>
      </c>
      <c r="S435" s="10">
        <v>39.012531883059538</v>
      </c>
      <c r="T435">
        <v>53</v>
      </c>
    </row>
    <row r="436" spans="1:20" x14ac:dyDescent="0.3">
      <c r="A436">
        <v>1089</v>
      </c>
      <c r="B436" t="s">
        <v>1215</v>
      </c>
      <c r="C436" t="s">
        <v>1216</v>
      </c>
      <c r="D436" t="s">
        <v>1217</v>
      </c>
      <c r="E436" t="s">
        <v>1218</v>
      </c>
      <c r="F436" t="s">
        <v>682</v>
      </c>
      <c r="G436" t="s">
        <v>483</v>
      </c>
      <c r="H436" t="s">
        <v>34</v>
      </c>
      <c r="I436" t="s">
        <v>55</v>
      </c>
      <c r="J436" s="1">
        <v>164</v>
      </c>
      <c r="K436" s="1">
        <v>41</v>
      </c>
      <c r="L436" s="3">
        <v>4</v>
      </c>
      <c r="M436" t="s">
        <v>36</v>
      </c>
      <c r="N436" s="2">
        <v>44451</v>
      </c>
      <c r="O436" t="s">
        <v>67</v>
      </c>
      <c r="P436" t="s">
        <v>429</v>
      </c>
      <c r="Q436">
        <v>78410</v>
      </c>
      <c r="R436" t="s">
        <v>27</v>
      </c>
      <c r="S436" s="10">
        <v>8.8652694965328198</v>
      </c>
      <c r="T436">
        <v>7</v>
      </c>
    </row>
    <row r="437" spans="1:20" x14ac:dyDescent="0.3">
      <c r="A437">
        <v>1997</v>
      </c>
      <c r="B437" t="s">
        <v>1038</v>
      </c>
      <c r="C437" t="s">
        <v>1039</v>
      </c>
      <c r="D437" t="s">
        <v>1040</v>
      </c>
      <c r="E437" t="s">
        <v>1041</v>
      </c>
      <c r="F437" t="s">
        <v>1042</v>
      </c>
      <c r="G437" t="s">
        <v>756</v>
      </c>
      <c r="H437" t="s">
        <v>22</v>
      </c>
      <c r="I437" t="s">
        <v>236</v>
      </c>
      <c r="J437" s="1">
        <v>404</v>
      </c>
      <c r="K437" s="1">
        <v>28.857142857142858</v>
      </c>
      <c r="L437" s="3">
        <v>14</v>
      </c>
      <c r="M437" t="s">
        <v>36</v>
      </c>
      <c r="N437" s="2">
        <v>44451</v>
      </c>
      <c r="O437" t="s">
        <v>83</v>
      </c>
      <c r="P437" t="s">
        <v>511</v>
      </c>
      <c r="Q437">
        <v>10155</v>
      </c>
      <c r="R437" t="s">
        <v>27</v>
      </c>
      <c r="S437" s="10">
        <v>25.370905493324248</v>
      </c>
      <c r="T437">
        <v>29</v>
      </c>
    </row>
    <row r="438" spans="1:20" x14ac:dyDescent="0.3">
      <c r="A438">
        <v>1001</v>
      </c>
      <c r="B438" t="s">
        <v>269</v>
      </c>
      <c r="C438" t="s">
        <v>270</v>
      </c>
      <c r="D438" t="s">
        <v>271</v>
      </c>
      <c r="E438" t="s">
        <v>272</v>
      </c>
      <c r="F438" t="s">
        <v>273</v>
      </c>
      <c r="G438" t="s">
        <v>274</v>
      </c>
      <c r="H438" t="s">
        <v>34</v>
      </c>
      <c r="I438" t="s">
        <v>23</v>
      </c>
      <c r="J438" s="1">
        <v>798</v>
      </c>
      <c r="K438" s="1">
        <v>24.9375</v>
      </c>
      <c r="L438" s="3">
        <v>32</v>
      </c>
      <c r="M438" t="s">
        <v>126</v>
      </c>
      <c r="N438" s="2">
        <v>44452</v>
      </c>
      <c r="O438" t="s">
        <v>67</v>
      </c>
      <c r="P438" t="s">
        <v>159</v>
      </c>
      <c r="Q438">
        <v>88563</v>
      </c>
      <c r="R438" t="s">
        <v>27</v>
      </c>
      <c r="S438" s="10">
        <v>41.441661357737956</v>
      </c>
      <c r="T438">
        <v>58</v>
      </c>
    </row>
    <row r="439" spans="1:20" x14ac:dyDescent="0.3">
      <c r="A439">
        <v>1746</v>
      </c>
      <c r="B439" t="s">
        <v>221</v>
      </c>
      <c r="C439" t="s">
        <v>154</v>
      </c>
      <c r="D439" t="s">
        <v>1219</v>
      </c>
      <c r="E439" t="s">
        <v>1220</v>
      </c>
      <c r="F439" t="s">
        <v>1221</v>
      </c>
      <c r="G439" t="s">
        <v>937</v>
      </c>
      <c r="H439" t="s">
        <v>34</v>
      </c>
      <c r="I439" t="s">
        <v>55</v>
      </c>
      <c r="J439" s="1">
        <v>495</v>
      </c>
      <c r="K439" s="1">
        <v>33</v>
      </c>
      <c r="L439" s="3">
        <v>15</v>
      </c>
      <c r="M439" t="s">
        <v>99</v>
      </c>
      <c r="N439" s="2">
        <v>44452</v>
      </c>
      <c r="O439" t="s">
        <v>37</v>
      </c>
      <c r="P439" t="s">
        <v>372</v>
      </c>
      <c r="Q439">
        <v>90015</v>
      </c>
      <c r="R439" t="s">
        <v>27</v>
      </c>
      <c r="S439" s="10">
        <v>25.466978333791292</v>
      </c>
      <c r="T439">
        <v>26</v>
      </c>
    </row>
    <row r="440" spans="1:20" x14ac:dyDescent="0.3">
      <c r="A440">
        <v>1144</v>
      </c>
      <c r="B440" t="s">
        <v>776</v>
      </c>
      <c r="C440" t="s">
        <v>747</v>
      </c>
      <c r="D440" t="s">
        <v>807</v>
      </c>
      <c r="E440" t="s">
        <v>808</v>
      </c>
      <c r="F440" t="s">
        <v>235</v>
      </c>
      <c r="G440" t="s">
        <v>677</v>
      </c>
      <c r="H440" t="s">
        <v>22</v>
      </c>
      <c r="I440" t="s">
        <v>35</v>
      </c>
      <c r="J440" s="1">
        <v>946</v>
      </c>
      <c r="K440" s="1">
        <v>27.028571428571428</v>
      </c>
      <c r="L440" s="3">
        <v>35</v>
      </c>
      <c r="M440" t="s">
        <v>66</v>
      </c>
      <c r="N440" s="2">
        <v>44455</v>
      </c>
      <c r="O440" t="s">
        <v>83</v>
      </c>
      <c r="P440" t="s">
        <v>809</v>
      </c>
      <c r="Q440">
        <v>11355</v>
      </c>
      <c r="R440" t="s">
        <v>27</v>
      </c>
      <c r="S440" s="10">
        <v>73.460618229657499</v>
      </c>
      <c r="T440">
        <v>80</v>
      </c>
    </row>
    <row r="441" spans="1:20" x14ac:dyDescent="0.3">
      <c r="A441">
        <v>1754</v>
      </c>
      <c r="B441" t="s">
        <v>1222</v>
      </c>
      <c r="C441" t="s">
        <v>1223</v>
      </c>
      <c r="D441" t="s">
        <v>1224</v>
      </c>
      <c r="E441" t="s">
        <v>1225</v>
      </c>
      <c r="F441" t="s">
        <v>469</v>
      </c>
      <c r="G441" t="s">
        <v>350</v>
      </c>
      <c r="H441" t="s">
        <v>34</v>
      </c>
      <c r="I441" t="s">
        <v>266</v>
      </c>
      <c r="J441" s="1">
        <v>606</v>
      </c>
      <c r="K441" s="1">
        <v>31.894736842105264</v>
      </c>
      <c r="L441" s="3">
        <v>19</v>
      </c>
      <c r="M441" t="s">
        <v>36</v>
      </c>
      <c r="N441" s="2">
        <v>44455</v>
      </c>
      <c r="O441" t="s">
        <v>181</v>
      </c>
      <c r="P441" t="s">
        <v>1226</v>
      </c>
      <c r="Q441">
        <v>2142</v>
      </c>
      <c r="R441" t="s">
        <v>27</v>
      </c>
      <c r="S441" s="10">
        <v>24.864014641775928</v>
      </c>
      <c r="T441">
        <v>32</v>
      </c>
    </row>
    <row r="442" spans="1:20" x14ac:dyDescent="0.3">
      <c r="A442">
        <v>1812</v>
      </c>
      <c r="B442" t="s">
        <v>231</v>
      </c>
      <c r="C442" t="s">
        <v>232</v>
      </c>
      <c r="D442" t="s">
        <v>233</v>
      </c>
      <c r="E442" t="s">
        <v>234</v>
      </c>
      <c r="F442" t="s">
        <v>235</v>
      </c>
      <c r="G442" t="s">
        <v>74</v>
      </c>
      <c r="H442" t="s">
        <v>34</v>
      </c>
      <c r="I442" t="s">
        <v>236</v>
      </c>
      <c r="J442" s="1">
        <v>261</v>
      </c>
      <c r="K442" s="1">
        <v>37.285714285714285</v>
      </c>
      <c r="L442" s="3">
        <v>7</v>
      </c>
      <c r="M442" t="s">
        <v>126</v>
      </c>
      <c r="N442" s="2">
        <v>44458</v>
      </c>
      <c r="O442" t="s">
        <v>237</v>
      </c>
      <c r="P442" t="s">
        <v>238</v>
      </c>
      <c r="Q442">
        <v>35220</v>
      </c>
      <c r="R442" t="s">
        <v>27</v>
      </c>
      <c r="S442" s="10">
        <v>12.4244529615657</v>
      </c>
      <c r="T442">
        <v>15</v>
      </c>
    </row>
    <row r="443" spans="1:20" x14ac:dyDescent="0.3">
      <c r="A443">
        <v>1975</v>
      </c>
      <c r="B443" t="s">
        <v>287</v>
      </c>
      <c r="C443" t="s">
        <v>431</v>
      </c>
      <c r="D443" t="s">
        <v>1227</v>
      </c>
      <c r="E443" t="s">
        <v>1228</v>
      </c>
      <c r="F443" t="s">
        <v>1188</v>
      </c>
      <c r="G443" t="s">
        <v>1229</v>
      </c>
      <c r="H443" t="s">
        <v>34</v>
      </c>
      <c r="I443" t="s">
        <v>65</v>
      </c>
      <c r="J443" s="1">
        <v>435</v>
      </c>
      <c r="K443" s="1">
        <v>43.5</v>
      </c>
      <c r="L443" s="3">
        <v>10</v>
      </c>
      <c r="M443" t="s">
        <v>36</v>
      </c>
      <c r="N443" s="2">
        <v>44459</v>
      </c>
      <c r="O443" t="s">
        <v>1230</v>
      </c>
      <c r="P443" t="s">
        <v>1231</v>
      </c>
      <c r="Q443">
        <v>58207</v>
      </c>
      <c r="R443" t="s">
        <v>27</v>
      </c>
      <c r="S443" s="10">
        <v>16.967336945485311</v>
      </c>
      <c r="T443">
        <v>13</v>
      </c>
    </row>
    <row r="444" spans="1:20" x14ac:dyDescent="0.3">
      <c r="A444">
        <v>1123</v>
      </c>
      <c r="B444" t="s">
        <v>231</v>
      </c>
      <c r="C444" t="s">
        <v>512</v>
      </c>
      <c r="D444" t="s">
        <v>639</v>
      </c>
      <c r="E444" t="s">
        <v>640</v>
      </c>
      <c r="F444" t="s">
        <v>638</v>
      </c>
      <c r="G444" t="s">
        <v>410</v>
      </c>
      <c r="H444" t="s">
        <v>34</v>
      </c>
      <c r="I444" t="s">
        <v>55</v>
      </c>
      <c r="J444" s="1">
        <v>962</v>
      </c>
      <c r="K444" s="1">
        <v>32.06666666666667</v>
      </c>
      <c r="L444" s="3">
        <v>30</v>
      </c>
      <c r="M444" t="s">
        <v>24</v>
      </c>
      <c r="N444" s="2">
        <v>44462</v>
      </c>
      <c r="O444" t="s">
        <v>267</v>
      </c>
      <c r="P444" t="s">
        <v>641</v>
      </c>
      <c r="Q444">
        <v>33673</v>
      </c>
      <c r="R444" t="s">
        <v>27</v>
      </c>
      <c r="S444" s="10">
        <v>64.907704476404177</v>
      </c>
      <c r="T444">
        <v>67</v>
      </c>
    </row>
    <row r="445" spans="1:20" x14ac:dyDescent="0.3">
      <c r="A445">
        <v>1406</v>
      </c>
      <c r="B445" t="s">
        <v>746</v>
      </c>
      <c r="C445" t="s">
        <v>783</v>
      </c>
      <c r="D445" t="s">
        <v>1232</v>
      </c>
      <c r="E445" t="s">
        <v>1233</v>
      </c>
      <c r="F445" t="s">
        <v>278</v>
      </c>
      <c r="G445" t="s">
        <v>918</v>
      </c>
      <c r="H445" t="s">
        <v>34</v>
      </c>
      <c r="I445" t="s">
        <v>45</v>
      </c>
      <c r="J445" s="1">
        <v>980</v>
      </c>
      <c r="K445" s="1">
        <v>33.793103448275865</v>
      </c>
      <c r="L445" s="3">
        <v>29</v>
      </c>
      <c r="M445" t="s">
        <v>126</v>
      </c>
      <c r="N445" s="2">
        <v>44465</v>
      </c>
      <c r="O445" t="s">
        <v>47</v>
      </c>
      <c r="P445" t="s">
        <v>1234</v>
      </c>
      <c r="Q445">
        <v>24040</v>
      </c>
      <c r="R445" t="s">
        <v>27</v>
      </c>
      <c r="S445" s="10">
        <v>72.390904855246433</v>
      </c>
      <c r="T445">
        <v>49</v>
      </c>
    </row>
    <row r="446" spans="1:20" x14ac:dyDescent="0.3">
      <c r="A446">
        <v>1625</v>
      </c>
      <c r="B446" t="s">
        <v>1124</v>
      </c>
      <c r="C446" t="s">
        <v>1235</v>
      </c>
      <c r="D446" t="s">
        <v>1236</v>
      </c>
      <c r="E446" t="s">
        <v>1237</v>
      </c>
      <c r="F446" t="s">
        <v>923</v>
      </c>
      <c r="G446" t="s">
        <v>1238</v>
      </c>
      <c r="H446" t="s">
        <v>34</v>
      </c>
      <c r="I446" t="s">
        <v>23</v>
      </c>
      <c r="J446" s="1">
        <v>495</v>
      </c>
      <c r="K446" s="1">
        <v>38.07692307692308</v>
      </c>
      <c r="L446" s="3">
        <v>13</v>
      </c>
      <c r="M446" t="s">
        <v>219</v>
      </c>
      <c r="N446" s="2">
        <v>44465</v>
      </c>
      <c r="O446" t="s">
        <v>267</v>
      </c>
      <c r="P446" t="s">
        <v>1239</v>
      </c>
      <c r="Q446">
        <v>34479</v>
      </c>
      <c r="R446" t="s">
        <v>27</v>
      </c>
      <c r="S446" s="10">
        <v>29.092970916035572</v>
      </c>
      <c r="T446">
        <v>28</v>
      </c>
    </row>
    <row r="447" spans="1:20" x14ac:dyDescent="0.3">
      <c r="A447">
        <v>1812</v>
      </c>
      <c r="B447" t="s">
        <v>231</v>
      </c>
      <c r="C447" t="s">
        <v>232</v>
      </c>
      <c r="D447" t="s">
        <v>233</v>
      </c>
      <c r="E447" t="s">
        <v>234</v>
      </c>
      <c r="F447" t="s">
        <v>235</v>
      </c>
      <c r="G447" t="s">
        <v>74</v>
      </c>
      <c r="H447" t="s">
        <v>34</v>
      </c>
      <c r="I447" t="s">
        <v>236</v>
      </c>
      <c r="J447" s="1">
        <v>670</v>
      </c>
      <c r="K447" s="1">
        <v>44.666666666666664</v>
      </c>
      <c r="L447" s="3">
        <v>15</v>
      </c>
      <c r="M447" t="s">
        <v>126</v>
      </c>
      <c r="N447" s="2">
        <v>44469</v>
      </c>
      <c r="O447" t="s">
        <v>237</v>
      </c>
      <c r="P447" t="s">
        <v>238</v>
      </c>
      <c r="Q447">
        <v>35220</v>
      </c>
      <c r="R447" t="s">
        <v>27</v>
      </c>
      <c r="S447" s="10">
        <v>33.907710064354795</v>
      </c>
      <c r="T447">
        <v>22</v>
      </c>
    </row>
    <row r="448" spans="1:20" x14ac:dyDescent="0.3">
      <c r="A448">
        <v>1212</v>
      </c>
      <c r="B448" t="s">
        <v>120</v>
      </c>
      <c r="C448" t="s">
        <v>121</v>
      </c>
      <c r="D448" t="s">
        <v>122</v>
      </c>
      <c r="E448" t="s">
        <v>123</v>
      </c>
      <c r="F448" t="s">
        <v>124</v>
      </c>
      <c r="G448" t="s">
        <v>125</v>
      </c>
      <c r="H448" t="s">
        <v>22</v>
      </c>
      <c r="I448" t="s">
        <v>65</v>
      </c>
      <c r="J448" s="1">
        <v>531</v>
      </c>
      <c r="K448" s="1">
        <v>29.5</v>
      </c>
      <c r="L448" s="3">
        <v>18</v>
      </c>
      <c r="M448" t="s">
        <v>126</v>
      </c>
      <c r="N448" s="2">
        <v>44472</v>
      </c>
      <c r="O448" t="s">
        <v>127</v>
      </c>
      <c r="P448" t="s">
        <v>128</v>
      </c>
      <c r="Q448">
        <v>6183</v>
      </c>
      <c r="R448" t="s">
        <v>27</v>
      </c>
      <c r="S448" s="10">
        <v>24.968491651808147</v>
      </c>
      <c r="T448">
        <v>24</v>
      </c>
    </row>
    <row r="449" spans="1:20" x14ac:dyDescent="0.3">
      <c r="A449">
        <v>1170</v>
      </c>
      <c r="B449" t="s">
        <v>153</v>
      </c>
      <c r="C449" t="s">
        <v>154</v>
      </c>
      <c r="D449" t="s">
        <v>155</v>
      </c>
      <c r="E449" t="s">
        <v>156</v>
      </c>
      <c r="F449" t="s">
        <v>157</v>
      </c>
      <c r="G449" t="s">
        <v>158</v>
      </c>
      <c r="H449" t="s">
        <v>34</v>
      </c>
      <c r="I449" t="s">
        <v>65</v>
      </c>
      <c r="J449" s="1">
        <v>140</v>
      </c>
      <c r="K449" s="1">
        <v>46.666666666666664</v>
      </c>
      <c r="L449" s="3">
        <v>3</v>
      </c>
      <c r="M449" t="s">
        <v>24</v>
      </c>
      <c r="N449" s="2">
        <v>44478</v>
      </c>
      <c r="O449" t="s">
        <v>67</v>
      </c>
      <c r="P449" t="s">
        <v>159</v>
      </c>
      <c r="Q449">
        <v>88574</v>
      </c>
      <c r="R449" t="s">
        <v>27</v>
      </c>
      <c r="S449" s="10">
        <v>7.4398433645985493</v>
      </c>
      <c r="T449">
        <v>3</v>
      </c>
    </row>
    <row r="450" spans="1:20" x14ac:dyDescent="0.3">
      <c r="A450">
        <v>1468</v>
      </c>
      <c r="B450" t="s">
        <v>380</v>
      </c>
      <c r="C450" t="s">
        <v>381</v>
      </c>
      <c r="D450" t="s">
        <v>382</v>
      </c>
      <c r="E450" t="s">
        <v>383</v>
      </c>
      <c r="F450" t="s">
        <v>384</v>
      </c>
      <c r="G450" t="s">
        <v>385</v>
      </c>
      <c r="H450" t="s">
        <v>22</v>
      </c>
      <c r="I450" t="s">
        <v>65</v>
      </c>
      <c r="J450" s="1">
        <v>413</v>
      </c>
      <c r="K450" s="1">
        <v>41.3</v>
      </c>
      <c r="L450" s="3">
        <v>10</v>
      </c>
      <c r="M450" t="s">
        <v>46</v>
      </c>
      <c r="N450" s="2">
        <v>44478</v>
      </c>
      <c r="O450" t="s">
        <v>109</v>
      </c>
      <c r="P450" t="s">
        <v>386</v>
      </c>
      <c r="Q450">
        <v>70116</v>
      </c>
      <c r="R450" t="s">
        <v>27</v>
      </c>
      <c r="S450" s="10">
        <v>17.786965961447766</v>
      </c>
      <c r="T450">
        <v>16</v>
      </c>
    </row>
    <row r="451" spans="1:20" x14ac:dyDescent="0.3">
      <c r="A451">
        <v>1167</v>
      </c>
      <c r="B451" t="s">
        <v>1240</v>
      </c>
      <c r="C451" t="s">
        <v>1039</v>
      </c>
      <c r="D451" t="s">
        <v>1241</v>
      </c>
      <c r="E451" t="s">
        <v>1242</v>
      </c>
      <c r="F451" t="s">
        <v>1243</v>
      </c>
      <c r="G451" t="s">
        <v>885</v>
      </c>
      <c r="H451" t="s">
        <v>34</v>
      </c>
      <c r="I451" t="s">
        <v>35</v>
      </c>
      <c r="J451" s="1">
        <v>203</v>
      </c>
      <c r="K451" s="1">
        <v>29</v>
      </c>
      <c r="L451" s="3">
        <v>7</v>
      </c>
      <c r="M451" t="s">
        <v>447</v>
      </c>
      <c r="N451" s="2">
        <v>44480</v>
      </c>
      <c r="O451" t="s">
        <v>358</v>
      </c>
      <c r="P451" t="s">
        <v>1244</v>
      </c>
      <c r="Q451">
        <v>98417</v>
      </c>
      <c r="R451" t="s">
        <v>27</v>
      </c>
      <c r="S451" s="10">
        <v>10.660262601178715</v>
      </c>
      <c r="T451">
        <v>14</v>
      </c>
    </row>
    <row r="452" spans="1:20" x14ac:dyDescent="0.3">
      <c r="A452">
        <v>1688</v>
      </c>
      <c r="B452" t="s">
        <v>102</v>
      </c>
      <c r="C452" t="s">
        <v>1134</v>
      </c>
      <c r="D452" t="s">
        <v>1245</v>
      </c>
      <c r="E452" t="s">
        <v>1246</v>
      </c>
      <c r="F452" t="s">
        <v>1196</v>
      </c>
      <c r="G452" t="s">
        <v>125</v>
      </c>
      <c r="H452" t="s">
        <v>34</v>
      </c>
      <c r="I452" t="s">
        <v>23</v>
      </c>
      <c r="J452" s="1">
        <v>102</v>
      </c>
      <c r="K452" s="1">
        <v>34</v>
      </c>
      <c r="L452" s="3">
        <v>3</v>
      </c>
      <c r="M452" t="s">
        <v>24</v>
      </c>
      <c r="N452" s="2">
        <v>44480</v>
      </c>
      <c r="O452" t="s">
        <v>37</v>
      </c>
      <c r="P452" t="s">
        <v>1247</v>
      </c>
      <c r="Q452">
        <v>93150</v>
      </c>
      <c r="R452" t="s">
        <v>27</v>
      </c>
      <c r="S452" s="10">
        <v>6.8412465768754043</v>
      </c>
      <c r="T452">
        <v>3</v>
      </c>
    </row>
    <row r="453" spans="1:20" x14ac:dyDescent="0.3">
      <c r="A453">
        <v>1019</v>
      </c>
      <c r="B453" t="s">
        <v>764</v>
      </c>
      <c r="C453" t="s">
        <v>374</v>
      </c>
      <c r="D453" t="s">
        <v>765</v>
      </c>
      <c r="E453" t="s">
        <v>766</v>
      </c>
      <c r="F453" t="s">
        <v>554</v>
      </c>
      <c r="G453" t="s">
        <v>298</v>
      </c>
      <c r="H453" t="s">
        <v>22</v>
      </c>
      <c r="I453" t="s">
        <v>23</v>
      </c>
      <c r="J453" s="1">
        <v>117</v>
      </c>
      <c r="K453" s="1">
        <v>39</v>
      </c>
      <c r="L453" s="3">
        <v>3</v>
      </c>
      <c r="M453" t="s">
        <v>66</v>
      </c>
      <c r="N453" s="2">
        <v>44481</v>
      </c>
      <c r="O453" t="s">
        <v>767</v>
      </c>
      <c r="P453" t="s">
        <v>768</v>
      </c>
      <c r="Q453">
        <v>83705</v>
      </c>
      <c r="R453" t="s">
        <v>27</v>
      </c>
      <c r="S453" s="10">
        <v>5.2863476062821615</v>
      </c>
      <c r="T453">
        <v>4</v>
      </c>
    </row>
    <row r="454" spans="1:20" x14ac:dyDescent="0.3">
      <c r="A454">
        <v>1538</v>
      </c>
      <c r="B454" t="s">
        <v>1248</v>
      </c>
      <c r="C454" t="s">
        <v>651</v>
      </c>
      <c r="D454" t="s">
        <v>1249</v>
      </c>
      <c r="E454" t="s">
        <v>1250</v>
      </c>
      <c r="F454" t="s">
        <v>1251</v>
      </c>
      <c r="G454" t="s">
        <v>1252</v>
      </c>
      <c r="H454" t="s">
        <v>34</v>
      </c>
      <c r="I454" t="s">
        <v>299</v>
      </c>
      <c r="J454" s="1">
        <v>292</v>
      </c>
      <c r="K454" s="1">
        <v>36.5</v>
      </c>
      <c r="L454" s="3">
        <v>8</v>
      </c>
      <c r="M454" t="s">
        <v>126</v>
      </c>
      <c r="N454" s="2">
        <v>44482</v>
      </c>
      <c r="O454" t="s">
        <v>267</v>
      </c>
      <c r="P454" t="s">
        <v>441</v>
      </c>
      <c r="Q454">
        <v>32314</v>
      </c>
      <c r="R454" t="s">
        <v>27</v>
      </c>
      <c r="S454" s="10">
        <v>18.378511108212464</v>
      </c>
      <c r="T454">
        <v>11</v>
      </c>
    </row>
    <row r="455" spans="1:20" x14ac:dyDescent="0.3">
      <c r="A455">
        <v>1945</v>
      </c>
      <c r="B455" t="s">
        <v>724</v>
      </c>
      <c r="C455" t="s">
        <v>1253</v>
      </c>
      <c r="D455" t="s">
        <v>1254</v>
      </c>
      <c r="E455" t="s">
        <v>1255</v>
      </c>
      <c r="F455" t="s">
        <v>1256</v>
      </c>
      <c r="G455" t="s">
        <v>516</v>
      </c>
      <c r="H455" t="s">
        <v>34</v>
      </c>
      <c r="I455" t="s">
        <v>228</v>
      </c>
      <c r="J455" s="1">
        <v>633</v>
      </c>
      <c r="K455" s="1">
        <v>26.375</v>
      </c>
      <c r="L455" s="3">
        <v>24</v>
      </c>
      <c r="M455" t="s">
        <v>56</v>
      </c>
      <c r="N455" s="2">
        <v>44482</v>
      </c>
      <c r="O455" t="s">
        <v>37</v>
      </c>
      <c r="P455" t="s">
        <v>870</v>
      </c>
      <c r="Q455">
        <v>92160</v>
      </c>
      <c r="R455" t="s">
        <v>27</v>
      </c>
      <c r="S455" s="10">
        <v>47.49966330999073</v>
      </c>
      <c r="T455">
        <v>35</v>
      </c>
    </row>
    <row r="456" spans="1:20" x14ac:dyDescent="0.3">
      <c r="A456">
        <v>1851</v>
      </c>
      <c r="B456" t="s">
        <v>604</v>
      </c>
      <c r="C456" t="s">
        <v>358</v>
      </c>
      <c r="D456" t="s">
        <v>605</v>
      </c>
      <c r="E456" t="s">
        <v>606</v>
      </c>
      <c r="F456" t="s">
        <v>607</v>
      </c>
      <c r="G456" t="s">
        <v>194</v>
      </c>
      <c r="H456" t="s">
        <v>22</v>
      </c>
      <c r="I456" t="s">
        <v>65</v>
      </c>
      <c r="J456" s="1">
        <v>42</v>
      </c>
      <c r="K456" s="1">
        <v>42</v>
      </c>
      <c r="L456" s="3">
        <v>1</v>
      </c>
      <c r="M456" t="s">
        <v>343</v>
      </c>
      <c r="N456" s="2">
        <v>44487</v>
      </c>
      <c r="O456" t="s">
        <v>83</v>
      </c>
      <c r="P456" t="s">
        <v>351</v>
      </c>
      <c r="Q456">
        <v>11210</v>
      </c>
      <c r="R456" t="s">
        <v>27</v>
      </c>
      <c r="S456" s="10">
        <v>2.355326700982852</v>
      </c>
      <c r="T456">
        <v>2</v>
      </c>
    </row>
    <row r="457" spans="1:20" x14ac:dyDescent="0.3">
      <c r="A457">
        <v>1123</v>
      </c>
      <c r="B457" t="s">
        <v>231</v>
      </c>
      <c r="C457" t="s">
        <v>512</v>
      </c>
      <c r="D457" t="s">
        <v>639</v>
      </c>
      <c r="E457" t="s">
        <v>640</v>
      </c>
      <c r="F457" t="s">
        <v>638</v>
      </c>
      <c r="G457" t="s">
        <v>410</v>
      </c>
      <c r="H457" t="s">
        <v>34</v>
      </c>
      <c r="I457" t="s">
        <v>55</v>
      </c>
      <c r="J457" s="1">
        <v>796</v>
      </c>
      <c r="K457" s="1">
        <v>41.89473684210526</v>
      </c>
      <c r="L457" s="3">
        <v>19</v>
      </c>
      <c r="M457" t="s">
        <v>24</v>
      </c>
      <c r="N457" s="2">
        <v>44489</v>
      </c>
      <c r="O457" t="s">
        <v>267</v>
      </c>
      <c r="P457" t="s">
        <v>641</v>
      </c>
      <c r="Q457">
        <v>33673</v>
      </c>
      <c r="R457" t="s">
        <v>27</v>
      </c>
      <c r="S457" s="10">
        <v>26.201428371839135</v>
      </c>
      <c r="T457">
        <v>26</v>
      </c>
    </row>
    <row r="458" spans="1:20" x14ac:dyDescent="0.3">
      <c r="A458">
        <v>1039</v>
      </c>
      <c r="B458" t="s">
        <v>828</v>
      </c>
      <c r="C458" t="s">
        <v>154</v>
      </c>
      <c r="D458" t="s">
        <v>829</v>
      </c>
      <c r="E458" t="s">
        <v>830</v>
      </c>
      <c r="F458" t="s">
        <v>831</v>
      </c>
      <c r="G458" t="s">
        <v>832</v>
      </c>
      <c r="H458" t="s">
        <v>34</v>
      </c>
      <c r="I458" t="s">
        <v>23</v>
      </c>
      <c r="J458" s="1">
        <v>518</v>
      </c>
      <c r="K458" s="1">
        <v>39.846153846153847</v>
      </c>
      <c r="L458" s="3">
        <v>13</v>
      </c>
      <c r="M458" t="s">
        <v>244</v>
      </c>
      <c r="N458" s="2">
        <v>44495</v>
      </c>
      <c r="O458" t="s">
        <v>496</v>
      </c>
      <c r="P458" t="s">
        <v>687</v>
      </c>
      <c r="Q458">
        <v>40298</v>
      </c>
      <c r="R458" t="s">
        <v>27</v>
      </c>
      <c r="S458" s="10">
        <v>26.000862494848509</v>
      </c>
      <c r="T458">
        <v>23</v>
      </c>
    </row>
    <row r="459" spans="1:20" x14ac:dyDescent="0.3">
      <c r="A459">
        <v>1260</v>
      </c>
      <c r="B459" t="s">
        <v>352</v>
      </c>
      <c r="C459" t="s">
        <v>353</v>
      </c>
      <c r="D459" t="s">
        <v>354</v>
      </c>
      <c r="E459" t="s">
        <v>355</v>
      </c>
      <c r="F459" t="s">
        <v>356</v>
      </c>
      <c r="G459" t="s">
        <v>357</v>
      </c>
      <c r="H459" t="s">
        <v>34</v>
      </c>
      <c r="I459" t="s">
        <v>236</v>
      </c>
      <c r="J459" s="1">
        <v>91</v>
      </c>
      <c r="K459" s="1">
        <v>45.5</v>
      </c>
      <c r="L459" s="3">
        <v>2</v>
      </c>
      <c r="M459" t="s">
        <v>36</v>
      </c>
      <c r="N459" s="2">
        <v>44499</v>
      </c>
      <c r="O459" t="s">
        <v>358</v>
      </c>
      <c r="P459" t="s">
        <v>359</v>
      </c>
      <c r="Q459">
        <v>99215</v>
      </c>
      <c r="R459" t="s">
        <v>27</v>
      </c>
      <c r="S459" s="10">
        <v>3.2243711023053385</v>
      </c>
      <c r="T459">
        <v>4</v>
      </c>
    </row>
    <row r="460" spans="1:20" x14ac:dyDescent="0.3">
      <c r="A460">
        <v>1403</v>
      </c>
      <c r="B460" t="s">
        <v>713</v>
      </c>
      <c r="C460" t="s">
        <v>714</v>
      </c>
      <c r="D460" t="s">
        <v>715</v>
      </c>
      <c r="E460" t="s">
        <v>716</v>
      </c>
      <c r="F460" t="s">
        <v>717</v>
      </c>
      <c r="G460" t="s">
        <v>371</v>
      </c>
      <c r="H460" t="s">
        <v>34</v>
      </c>
      <c r="I460" t="s">
        <v>75</v>
      </c>
      <c r="J460" s="1">
        <v>614</v>
      </c>
      <c r="K460" s="1">
        <v>29.238095238095237</v>
      </c>
      <c r="L460" s="3">
        <v>21</v>
      </c>
      <c r="M460" t="s">
        <v>126</v>
      </c>
      <c r="N460" s="2">
        <v>44502</v>
      </c>
      <c r="O460" t="s">
        <v>83</v>
      </c>
      <c r="P460" t="s">
        <v>718</v>
      </c>
      <c r="Q460">
        <v>11499</v>
      </c>
      <c r="R460" t="s">
        <v>27</v>
      </c>
      <c r="S460" s="10">
        <v>27.799110269255291</v>
      </c>
      <c r="T460">
        <v>50</v>
      </c>
    </row>
    <row r="461" spans="1:20" x14ac:dyDescent="0.3">
      <c r="A461">
        <v>1880</v>
      </c>
      <c r="B461" t="s">
        <v>129</v>
      </c>
      <c r="C461" t="s">
        <v>130</v>
      </c>
      <c r="D461" t="s">
        <v>131</v>
      </c>
      <c r="E461" t="s">
        <v>132</v>
      </c>
      <c r="F461" t="s">
        <v>133</v>
      </c>
      <c r="G461" t="s">
        <v>134</v>
      </c>
      <c r="H461" t="s">
        <v>22</v>
      </c>
      <c r="I461" t="s">
        <v>135</v>
      </c>
      <c r="J461" s="1">
        <v>944</v>
      </c>
      <c r="K461" s="1">
        <v>26.971428571428572</v>
      </c>
      <c r="L461" s="3">
        <v>35</v>
      </c>
      <c r="M461" t="s">
        <v>36</v>
      </c>
      <c r="N461" s="2">
        <v>44503</v>
      </c>
      <c r="O461" t="s">
        <v>136</v>
      </c>
      <c r="P461" t="s">
        <v>137</v>
      </c>
      <c r="Q461">
        <v>60614</v>
      </c>
      <c r="R461" t="s">
        <v>27</v>
      </c>
      <c r="S461" s="10">
        <v>83.403137187451236</v>
      </c>
      <c r="T461">
        <v>84</v>
      </c>
    </row>
    <row r="462" spans="1:20" x14ac:dyDescent="0.3">
      <c r="A462">
        <v>1092</v>
      </c>
      <c r="B462" t="s">
        <v>518</v>
      </c>
      <c r="C462" t="s">
        <v>519</v>
      </c>
      <c r="D462" t="s">
        <v>520</v>
      </c>
      <c r="E462" t="s">
        <v>521</v>
      </c>
      <c r="F462" t="s">
        <v>522</v>
      </c>
      <c r="G462" t="s">
        <v>523</v>
      </c>
      <c r="H462" t="s">
        <v>22</v>
      </c>
      <c r="I462" t="s">
        <v>55</v>
      </c>
      <c r="J462" s="1">
        <v>428</v>
      </c>
      <c r="K462" s="1">
        <v>28.533333333333335</v>
      </c>
      <c r="L462" s="3">
        <v>15</v>
      </c>
      <c r="M462" t="s">
        <v>343</v>
      </c>
      <c r="N462" s="2">
        <v>44504</v>
      </c>
      <c r="O462" t="s">
        <v>267</v>
      </c>
      <c r="P462" t="s">
        <v>524</v>
      </c>
      <c r="Q462">
        <v>34233</v>
      </c>
      <c r="R462" t="s">
        <v>27</v>
      </c>
      <c r="S462" s="10">
        <v>27.895480794109183</v>
      </c>
      <c r="T462">
        <v>31</v>
      </c>
    </row>
    <row r="463" spans="1:20" x14ac:dyDescent="0.3">
      <c r="A463">
        <v>1298</v>
      </c>
      <c r="B463" t="s">
        <v>275</v>
      </c>
      <c r="C463" t="s">
        <v>340</v>
      </c>
      <c r="D463" t="s">
        <v>341</v>
      </c>
      <c r="E463" t="s">
        <v>342</v>
      </c>
      <c r="F463" t="s">
        <v>306</v>
      </c>
      <c r="G463" t="s">
        <v>180</v>
      </c>
      <c r="H463" t="s">
        <v>22</v>
      </c>
      <c r="I463" t="s">
        <v>236</v>
      </c>
      <c r="J463" s="1">
        <v>154</v>
      </c>
      <c r="K463" s="1">
        <v>38.5</v>
      </c>
      <c r="L463" s="3">
        <v>4</v>
      </c>
      <c r="M463" t="s">
        <v>343</v>
      </c>
      <c r="N463" s="2">
        <v>44505</v>
      </c>
      <c r="O463" t="s">
        <v>267</v>
      </c>
      <c r="P463" t="s">
        <v>344</v>
      </c>
      <c r="Q463">
        <v>32891</v>
      </c>
      <c r="R463" t="s">
        <v>27</v>
      </c>
      <c r="S463" s="10">
        <v>9.8015192624862344</v>
      </c>
      <c r="T463">
        <v>5</v>
      </c>
    </row>
    <row r="464" spans="1:20" x14ac:dyDescent="0.3">
      <c r="A464">
        <v>1365</v>
      </c>
      <c r="B464" t="s">
        <v>471</v>
      </c>
      <c r="C464" t="s">
        <v>472</v>
      </c>
      <c r="D464" t="s">
        <v>473</v>
      </c>
      <c r="E464" t="s">
        <v>474</v>
      </c>
      <c r="F464" t="s">
        <v>475</v>
      </c>
      <c r="G464" t="s">
        <v>476</v>
      </c>
      <c r="H464" t="s">
        <v>34</v>
      </c>
      <c r="I464" t="s">
        <v>55</v>
      </c>
      <c r="J464" s="1">
        <v>661</v>
      </c>
      <c r="K464" s="1">
        <v>36.722222222222221</v>
      </c>
      <c r="L464" s="3">
        <v>18</v>
      </c>
      <c r="M464" t="s">
        <v>66</v>
      </c>
      <c r="N464" s="2">
        <v>44505</v>
      </c>
      <c r="O464" t="s">
        <v>267</v>
      </c>
      <c r="P464" t="s">
        <v>477</v>
      </c>
      <c r="Q464">
        <v>33261</v>
      </c>
      <c r="R464" t="s">
        <v>27</v>
      </c>
      <c r="S464" s="10">
        <v>36.136504739747352</v>
      </c>
      <c r="T464">
        <v>24</v>
      </c>
    </row>
    <row r="465" spans="1:20" x14ac:dyDescent="0.3">
      <c r="A465">
        <v>1017</v>
      </c>
      <c r="B465" t="s">
        <v>660</v>
      </c>
      <c r="C465" t="s">
        <v>679</v>
      </c>
      <c r="D465" t="s">
        <v>680</v>
      </c>
      <c r="E465" t="s">
        <v>681</v>
      </c>
      <c r="F465" t="s">
        <v>682</v>
      </c>
      <c r="G465" t="s">
        <v>446</v>
      </c>
      <c r="H465" t="s">
        <v>22</v>
      </c>
      <c r="I465" t="s">
        <v>23</v>
      </c>
      <c r="J465" s="1">
        <v>524</v>
      </c>
      <c r="K465" s="1">
        <v>40.307692307692307</v>
      </c>
      <c r="L465" s="3">
        <v>13</v>
      </c>
      <c r="M465" t="s">
        <v>36</v>
      </c>
      <c r="N465" s="2">
        <v>44508</v>
      </c>
      <c r="O465" t="s">
        <v>136</v>
      </c>
      <c r="P465" t="s">
        <v>137</v>
      </c>
      <c r="Q465">
        <v>60663</v>
      </c>
      <c r="R465" t="s">
        <v>27</v>
      </c>
      <c r="S465" s="10">
        <v>28.231607283815279</v>
      </c>
      <c r="T465">
        <v>20</v>
      </c>
    </row>
    <row r="466" spans="1:20" x14ac:dyDescent="0.3">
      <c r="A466">
        <v>1415</v>
      </c>
      <c r="B466" t="s">
        <v>660</v>
      </c>
      <c r="C466" t="s">
        <v>1257</v>
      </c>
      <c r="D466" t="s">
        <v>1258</v>
      </c>
      <c r="E466" t="s">
        <v>1259</v>
      </c>
      <c r="F466" t="s">
        <v>1260</v>
      </c>
      <c r="G466" t="s">
        <v>1261</v>
      </c>
      <c r="H466" t="s">
        <v>22</v>
      </c>
      <c r="I466" t="s">
        <v>266</v>
      </c>
      <c r="J466" s="1">
        <v>235</v>
      </c>
      <c r="K466" s="1">
        <v>29.375</v>
      </c>
      <c r="L466" s="3">
        <v>8</v>
      </c>
      <c r="M466" t="s">
        <v>126</v>
      </c>
      <c r="N466" s="2">
        <v>44509</v>
      </c>
      <c r="O466" t="s">
        <v>623</v>
      </c>
      <c r="P466" t="s">
        <v>891</v>
      </c>
      <c r="Q466">
        <v>66286</v>
      </c>
      <c r="R466" t="s">
        <v>27</v>
      </c>
      <c r="S466" s="10">
        <v>10.566580582420801</v>
      </c>
      <c r="T466">
        <v>11</v>
      </c>
    </row>
    <row r="467" spans="1:20" x14ac:dyDescent="0.3">
      <c r="A467">
        <v>1092</v>
      </c>
      <c r="B467" t="s">
        <v>518</v>
      </c>
      <c r="C467" t="s">
        <v>519</v>
      </c>
      <c r="D467" t="s">
        <v>520</v>
      </c>
      <c r="E467" t="s">
        <v>521</v>
      </c>
      <c r="F467" t="s">
        <v>522</v>
      </c>
      <c r="G467" t="s">
        <v>523</v>
      </c>
      <c r="H467" t="s">
        <v>22</v>
      </c>
      <c r="I467" t="s">
        <v>55</v>
      </c>
      <c r="J467" s="1">
        <v>564</v>
      </c>
      <c r="K467" s="1">
        <v>37.6</v>
      </c>
      <c r="L467" s="3">
        <v>15</v>
      </c>
      <c r="M467" t="s">
        <v>343</v>
      </c>
      <c r="N467" s="2">
        <v>44511</v>
      </c>
      <c r="O467" t="s">
        <v>267</v>
      </c>
      <c r="P467" t="s">
        <v>524</v>
      </c>
      <c r="Q467">
        <v>34233</v>
      </c>
      <c r="R467" t="s">
        <v>27</v>
      </c>
      <c r="S467" s="10">
        <v>36.721292378800683</v>
      </c>
      <c r="T467">
        <v>20</v>
      </c>
    </row>
    <row r="468" spans="1:20" x14ac:dyDescent="0.3">
      <c r="A468">
        <v>1043</v>
      </c>
      <c r="B468" t="s">
        <v>102</v>
      </c>
      <c r="C468" t="s">
        <v>154</v>
      </c>
      <c r="D468" t="s">
        <v>547</v>
      </c>
      <c r="E468" t="s">
        <v>548</v>
      </c>
      <c r="F468" t="s">
        <v>549</v>
      </c>
      <c r="G468" t="s">
        <v>453</v>
      </c>
      <c r="H468" t="s">
        <v>34</v>
      </c>
      <c r="I468" t="s">
        <v>23</v>
      </c>
      <c r="J468" s="1">
        <v>419</v>
      </c>
      <c r="K468" s="1">
        <v>29.928571428571427</v>
      </c>
      <c r="L468" s="3">
        <v>14</v>
      </c>
      <c r="M468" t="s">
        <v>24</v>
      </c>
      <c r="N468" s="2">
        <v>44514</v>
      </c>
      <c r="O468" t="s">
        <v>300</v>
      </c>
      <c r="P468" t="s">
        <v>301</v>
      </c>
      <c r="Q468">
        <v>89140</v>
      </c>
      <c r="R468" t="s">
        <v>27</v>
      </c>
      <c r="S468" s="10">
        <v>23.690315072779256</v>
      </c>
      <c r="T468">
        <v>27</v>
      </c>
    </row>
    <row r="469" spans="1:20" x14ac:dyDescent="0.3">
      <c r="A469">
        <v>1092</v>
      </c>
      <c r="B469" t="s">
        <v>518</v>
      </c>
      <c r="C469" t="s">
        <v>519</v>
      </c>
      <c r="D469" t="s">
        <v>520</v>
      </c>
      <c r="E469" t="s">
        <v>521</v>
      </c>
      <c r="F469" t="s">
        <v>522</v>
      </c>
      <c r="G469" t="s">
        <v>523</v>
      </c>
      <c r="H469" t="s">
        <v>22</v>
      </c>
      <c r="I469" t="s">
        <v>55</v>
      </c>
      <c r="J469" s="1">
        <v>22</v>
      </c>
      <c r="K469" s="1">
        <v>22</v>
      </c>
      <c r="L469" s="3">
        <v>1</v>
      </c>
      <c r="M469" t="s">
        <v>343</v>
      </c>
      <c r="N469" s="2">
        <v>44514</v>
      </c>
      <c r="O469" t="s">
        <v>267</v>
      </c>
      <c r="P469" t="s">
        <v>524</v>
      </c>
      <c r="Q469">
        <v>34233</v>
      </c>
      <c r="R469" t="s">
        <v>27</v>
      </c>
      <c r="S469" s="10">
        <v>2.4338998702881791</v>
      </c>
      <c r="T469">
        <v>1</v>
      </c>
    </row>
    <row r="470" spans="1:20" x14ac:dyDescent="0.3">
      <c r="A470">
        <v>1019</v>
      </c>
      <c r="B470" t="s">
        <v>764</v>
      </c>
      <c r="C470" t="s">
        <v>374</v>
      </c>
      <c r="D470" t="s">
        <v>765</v>
      </c>
      <c r="E470" t="s">
        <v>766</v>
      </c>
      <c r="F470" t="s">
        <v>554</v>
      </c>
      <c r="G470" t="s">
        <v>298</v>
      </c>
      <c r="H470" t="s">
        <v>22</v>
      </c>
      <c r="I470" t="s">
        <v>23</v>
      </c>
      <c r="J470" s="1">
        <v>997</v>
      </c>
      <c r="K470" s="1">
        <v>31.15625</v>
      </c>
      <c r="L470" s="3">
        <v>32</v>
      </c>
      <c r="M470" t="s">
        <v>66</v>
      </c>
      <c r="N470" s="2">
        <v>44515</v>
      </c>
      <c r="O470" t="s">
        <v>767</v>
      </c>
      <c r="P470" t="s">
        <v>768</v>
      </c>
      <c r="Q470">
        <v>83705</v>
      </c>
      <c r="R470" t="s">
        <v>27</v>
      </c>
      <c r="S470" s="10">
        <v>74.609468273463989</v>
      </c>
      <c r="T470">
        <v>52</v>
      </c>
    </row>
    <row r="471" spans="1:20" x14ac:dyDescent="0.3">
      <c r="A471">
        <v>1450</v>
      </c>
      <c r="B471" t="s">
        <v>160</v>
      </c>
      <c r="C471" t="s">
        <v>1262</v>
      </c>
      <c r="D471" t="s">
        <v>1263</v>
      </c>
      <c r="E471" t="s">
        <v>1264</v>
      </c>
      <c r="F471" t="s">
        <v>1265</v>
      </c>
      <c r="G471" t="s">
        <v>832</v>
      </c>
      <c r="H471" t="s">
        <v>22</v>
      </c>
      <c r="I471" t="s">
        <v>266</v>
      </c>
      <c r="J471" s="1">
        <v>885</v>
      </c>
      <c r="K471" s="1">
        <v>42.142857142857146</v>
      </c>
      <c r="L471" s="3">
        <v>21</v>
      </c>
      <c r="M471" t="s">
        <v>56</v>
      </c>
      <c r="N471" s="2">
        <v>44518</v>
      </c>
      <c r="O471" t="s">
        <v>1179</v>
      </c>
      <c r="P471" t="s">
        <v>1266</v>
      </c>
      <c r="Q471">
        <v>19725</v>
      </c>
      <c r="R471" t="s">
        <v>27</v>
      </c>
      <c r="S471" s="10">
        <v>29.629384680032185</v>
      </c>
      <c r="T471">
        <v>33</v>
      </c>
    </row>
    <row r="472" spans="1:20" x14ac:dyDescent="0.3">
      <c r="A472">
        <v>1922</v>
      </c>
      <c r="B472" t="s">
        <v>1267</v>
      </c>
      <c r="C472" t="s">
        <v>1216</v>
      </c>
      <c r="D472" t="s">
        <v>1268</v>
      </c>
      <c r="E472" t="s">
        <v>1269</v>
      </c>
      <c r="F472" t="s">
        <v>349</v>
      </c>
      <c r="G472" t="s">
        <v>1270</v>
      </c>
      <c r="H472" t="s">
        <v>22</v>
      </c>
      <c r="I472" t="s">
        <v>366</v>
      </c>
      <c r="J472" s="1">
        <v>758</v>
      </c>
      <c r="K472" s="1">
        <v>25.266666666666666</v>
      </c>
      <c r="L472" s="3">
        <v>30</v>
      </c>
      <c r="M472" t="s">
        <v>143</v>
      </c>
      <c r="N472" s="2">
        <v>44518</v>
      </c>
      <c r="O472" t="s">
        <v>267</v>
      </c>
      <c r="P472" t="s">
        <v>1271</v>
      </c>
      <c r="Q472">
        <v>32511</v>
      </c>
      <c r="R472" t="s">
        <v>27</v>
      </c>
      <c r="S472" s="10">
        <v>47.878891062214521</v>
      </c>
      <c r="T472">
        <v>60</v>
      </c>
    </row>
    <row r="473" spans="1:20" x14ac:dyDescent="0.3">
      <c r="A473">
        <v>1144</v>
      </c>
      <c r="B473" t="s">
        <v>776</v>
      </c>
      <c r="C473" t="s">
        <v>747</v>
      </c>
      <c r="D473" t="s">
        <v>807</v>
      </c>
      <c r="E473" t="s">
        <v>808</v>
      </c>
      <c r="F473" t="s">
        <v>235</v>
      </c>
      <c r="G473" t="s">
        <v>677</v>
      </c>
      <c r="H473" t="s">
        <v>22</v>
      </c>
      <c r="I473" t="s">
        <v>35</v>
      </c>
      <c r="J473" s="1">
        <v>237</v>
      </c>
      <c r="K473" s="1">
        <v>39.5</v>
      </c>
      <c r="L473" s="3">
        <v>6</v>
      </c>
      <c r="M473" t="s">
        <v>66</v>
      </c>
      <c r="N473" s="2">
        <v>44519</v>
      </c>
      <c r="O473" t="s">
        <v>83</v>
      </c>
      <c r="P473" t="s">
        <v>809</v>
      </c>
      <c r="Q473">
        <v>11355</v>
      </c>
      <c r="R473" t="s">
        <v>27</v>
      </c>
      <c r="S473" s="10">
        <v>7.948615956668168</v>
      </c>
      <c r="T473">
        <v>11</v>
      </c>
    </row>
    <row r="474" spans="1:20" x14ac:dyDescent="0.3">
      <c r="A474">
        <v>1021</v>
      </c>
      <c r="B474" t="s">
        <v>16</v>
      </c>
      <c r="C474" t="s">
        <v>17</v>
      </c>
      <c r="D474" t="s">
        <v>18</v>
      </c>
      <c r="E474" t="s">
        <v>19</v>
      </c>
      <c r="F474" t="s">
        <v>20</v>
      </c>
      <c r="G474" t="s">
        <v>21</v>
      </c>
      <c r="H474" t="s">
        <v>22</v>
      </c>
      <c r="I474" t="s">
        <v>23</v>
      </c>
      <c r="J474" s="1">
        <v>174</v>
      </c>
      <c r="K474" s="1">
        <v>34.799999999999997</v>
      </c>
      <c r="L474" s="3">
        <v>5</v>
      </c>
      <c r="M474" t="s">
        <v>24</v>
      </c>
      <c r="N474" s="2">
        <v>44520</v>
      </c>
      <c r="O474" t="s">
        <v>25</v>
      </c>
      <c r="P474" t="s">
        <v>26</v>
      </c>
      <c r="Q474">
        <v>48555</v>
      </c>
      <c r="R474" t="s">
        <v>27</v>
      </c>
      <c r="S474" s="10">
        <v>11.594791462563245</v>
      </c>
      <c r="T474">
        <v>8</v>
      </c>
    </row>
    <row r="475" spans="1:20" x14ac:dyDescent="0.3">
      <c r="A475">
        <v>1073</v>
      </c>
      <c r="B475" t="s">
        <v>352</v>
      </c>
      <c r="C475" t="s">
        <v>65</v>
      </c>
      <c r="D475" t="s">
        <v>1272</v>
      </c>
      <c r="E475" t="s">
        <v>1273</v>
      </c>
      <c r="F475" t="s">
        <v>1274</v>
      </c>
      <c r="G475" t="s">
        <v>453</v>
      </c>
      <c r="H475" t="s">
        <v>34</v>
      </c>
      <c r="I475" t="s">
        <v>55</v>
      </c>
      <c r="J475" s="1">
        <v>697</v>
      </c>
      <c r="K475" s="1">
        <v>26.807692307692307</v>
      </c>
      <c r="L475" s="3">
        <v>26</v>
      </c>
      <c r="M475" t="s">
        <v>66</v>
      </c>
      <c r="N475" s="2">
        <v>44522</v>
      </c>
      <c r="O475" t="s">
        <v>37</v>
      </c>
      <c r="P475" t="s">
        <v>1185</v>
      </c>
      <c r="Q475">
        <v>95210</v>
      </c>
      <c r="R475" t="s">
        <v>27</v>
      </c>
      <c r="S475" s="10">
        <v>63.709577275408179</v>
      </c>
      <c r="T475">
        <v>48</v>
      </c>
    </row>
    <row r="476" spans="1:20" x14ac:dyDescent="0.3">
      <c r="A476">
        <v>1448</v>
      </c>
      <c r="B476" t="s">
        <v>746</v>
      </c>
      <c r="C476" t="s">
        <v>50</v>
      </c>
      <c r="D476" t="s">
        <v>1275</v>
      </c>
      <c r="E476" t="s">
        <v>1276</v>
      </c>
      <c r="F476" t="s">
        <v>1277</v>
      </c>
      <c r="G476" t="s">
        <v>315</v>
      </c>
      <c r="H476" t="s">
        <v>34</v>
      </c>
      <c r="I476" t="s">
        <v>117</v>
      </c>
      <c r="J476" s="1">
        <v>824</v>
      </c>
      <c r="K476" s="1">
        <v>29.428571428571427</v>
      </c>
      <c r="L476" s="3">
        <v>28</v>
      </c>
      <c r="M476" t="s">
        <v>36</v>
      </c>
      <c r="N476" s="2">
        <v>44526</v>
      </c>
      <c r="O476" t="s">
        <v>67</v>
      </c>
      <c r="P476" t="s">
        <v>841</v>
      </c>
      <c r="Q476">
        <v>75372</v>
      </c>
      <c r="R476" t="s">
        <v>27</v>
      </c>
      <c r="S476" s="10">
        <v>69.304940021616986</v>
      </c>
      <c r="T476">
        <v>64</v>
      </c>
    </row>
    <row r="477" spans="1:20" x14ac:dyDescent="0.3">
      <c r="A477">
        <v>1697</v>
      </c>
      <c r="B477" t="s">
        <v>160</v>
      </c>
      <c r="C477" t="s">
        <v>1134</v>
      </c>
      <c r="D477" t="s">
        <v>1278</v>
      </c>
      <c r="E477" t="s">
        <v>1279</v>
      </c>
      <c r="F477" t="s">
        <v>1280</v>
      </c>
      <c r="G477" t="s">
        <v>1281</v>
      </c>
      <c r="H477" t="s">
        <v>22</v>
      </c>
      <c r="I477" t="s">
        <v>23</v>
      </c>
      <c r="J477" s="1">
        <v>650</v>
      </c>
      <c r="K477" s="1">
        <v>27.083333333333332</v>
      </c>
      <c r="L477" s="3">
        <v>24</v>
      </c>
      <c r="M477" t="s">
        <v>24</v>
      </c>
      <c r="N477" s="2">
        <v>44528</v>
      </c>
      <c r="O477" t="s">
        <v>229</v>
      </c>
      <c r="P477" t="s">
        <v>1282</v>
      </c>
      <c r="Q477">
        <v>43699</v>
      </c>
      <c r="R477" t="s">
        <v>27</v>
      </c>
      <c r="S477" s="10">
        <v>31.591029466418206</v>
      </c>
      <c r="T477">
        <v>50</v>
      </c>
    </row>
    <row r="478" spans="1:20" x14ac:dyDescent="0.3">
      <c r="A478">
        <v>1019</v>
      </c>
      <c r="B478" t="s">
        <v>764</v>
      </c>
      <c r="C478" t="s">
        <v>374</v>
      </c>
      <c r="D478" t="s">
        <v>765</v>
      </c>
      <c r="E478" t="s">
        <v>766</v>
      </c>
      <c r="F478" t="s">
        <v>554</v>
      </c>
      <c r="G478" t="s">
        <v>298</v>
      </c>
      <c r="H478" t="s">
        <v>22</v>
      </c>
      <c r="I478" t="s">
        <v>23</v>
      </c>
      <c r="J478" s="1">
        <v>906</v>
      </c>
      <c r="K478" s="1">
        <v>34.846153846153847</v>
      </c>
      <c r="L478" s="3">
        <v>26</v>
      </c>
      <c r="M478" t="s">
        <v>66</v>
      </c>
      <c r="N478" s="2">
        <v>44531</v>
      </c>
      <c r="O478" t="s">
        <v>767</v>
      </c>
      <c r="P478" t="s">
        <v>768</v>
      </c>
      <c r="Q478">
        <v>83705</v>
      </c>
      <c r="R478" t="s">
        <v>27</v>
      </c>
      <c r="S478" s="10">
        <v>34.232242459900547</v>
      </c>
      <c r="T478">
        <v>37</v>
      </c>
    </row>
    <row r="479" spans="1:20" x14ac:dyDescent="0.3">
      <c r="A479">
        <v>1963</v>
      </c>
      <c r="B479" t="s">
        <v>672</v>
      </c>
      <c r="C479" t="s">
        <v>1138</v>
      </c>
      <c r="D479" t="s">
        <v>1283</v>
      </c>
      <c r="E479" t="s">
        <v>1284</v>
      </c>
      <c r="F479" t="s">
        <v>1285</v>
      </c>
      <c r="G479" t="s">
        <v>1286</v>
      </c>
      <c r="H479" t="s">
        <v>22</v>
      </c>
      <c r="I479" t="s">
        <v>35</v>
      </c>
      <c r="J479" s="1">
        <v>735</v>
      </c>
      <c r="K479" s="1">
        <v>33.409090909090907</v>
      </c>
      <c r="L479" s="3">
        <v>22</v>
      </c>
      <c r="M479" t="s">
        <v>447</v>
      </c>
      <c r="N479" s="2">
        <v>44531</v>
      </c>
      <c r="O479" t="s">
        <v>993</v>
      </c>
      <c r="P479" t="s">
        <v>1027</v>
      </c>
      <c r="Q479">
        <v>25709</v>
      </c>
      <c r="R479" t="s">
        <v>27</v>
      </c>
      <c r="S479" s="10">
        <v>33.028473624457597</v>
      </c>
      <c r="T479">
        <v>47</v>
      </c>
    </row>
    <row r="480" spans="1:20" x14ac:dyDescent="0.3">
      <c r="A480">
        <v>1020</v>
      </c>
      <c r="B480" t="s">
        <v>310</v>
      </c>
      <c r="C480" t="s">
        <v>311</v>
      </c>
      <c r="D480" t="s">
        <v>312</v>
      </c>
      <c r="E480" t="s">
        <v>313</v>
      </c>
      <c r="F480" t="s">
        <v>314</v>
      </c>
      <c r="G480" t="s">
        <v>315</v>
      </c>
      <c r="H480" t="s">
        <v>22</v>
      </c>
      <c r="I480" t="s">
        <v>23</v>
      </c>
      <c r="J480" s="1">
        <v>175</v>
      </c>
      <c r="K480" s="1">
        <v>29.166666666666668</v>
      </c>
      <c r="L480" s="3">
        <v>6</v>
      </c>
      <c r="M480" t="s">
        <v>36</v>
      </c>
      <c r="N480" s="2">
        <v>44533</v>
      </c>
      <c r="O480" t="s">
        <v>37</v>
      </c>
      <c r="P480" t="s">
        <v>316</v>
      </c>
      <c r="Q480">
        <v>94105</v>
      </c>
      <c r="R480" t="s">
        <v>27</v>
      </c>
      <c r="S480" s="10">
        <v>11.540645513190235</v>
      </c>
      <c r="T480">
        <v>11</v>
      </c>
    </row>
    <row r="481" spans="1:20" x14ac:dyDescent="0.3">
      <c r="A481">
        <v>1467</v>
      </c>
      <c r="B481" t="s">
        <v>1033</v>
      </c>
      <c r="C481" t="s">
        <v>1287</v>
      </c>
      <c r="D481" t="s">
        <v>1288</v>
      </c>
      <c r="E481" t="s">
        <v>1289</v>
      </c>
      <c r="F481" t="s">
        <v>733</v>
      </c>
      <c r="G481" t="s">
        <v>459</v>
      </c>
      <c r="H481" t="s">
        <v>34</v>
      </c>
      <c r="I481" t="s">
        <v>108</v>
      </c>
      <c r="J481" s="1">
        <v>910</v>
      </c>
      <c r="K481" s="1">
        <v>25.277777777777779</v>
      </c>
      <c r="L481" s="3">
        <v>36</v>
      </c>
      <c r="M481" t="s">
        <v>36</v>
      </c>
      <c r="N481" s="2">
        <v>44534</v>
      </c>
      <c r="O481" t="s">
        <v>37</v>
      </c>
      <c r="P481" t="s">
        <v>1290</v>
      </c>
      <c r="Q481">
        <v>93778</v>
      </c>
      <c r="R481" t="s">
        <v>27</v>
      </c>
      <c r="S481" s="10">
        <v>83.875753941905586</v>
      </c>
      <c r="T481">
        <v>61</v>
      </c>
    </row>
    <row r="482" spans="1:20" x14ac:dyDescent="0.3">
      <c r="A482">
        <v>1514</v>
      </c>
      <c r="B482" t="s">
        <v>1291</v>
      </c>
      <c r="C482" t="s">
        <v>358</v>
      </c>
      <c r="D482" t="s">
        <v>1292</v>
      </c>
      <c r="E482" t="s">
        <v>1293</v>
      </c>
      <c r="F482" t="s">
        <v>1116</v>
      </c>
      <c r="G482" t="s">
        <v>701</v>
      </c>
      <c r="H482" t="s">
        <v>22</v>
      </c>
      <c r="I482" t="s">
        <v>75</v>
      </c>
      <c r="J482" s="1">
        <v>822</v>
      </c>
      <c r="K482" s="1">
        <v>41.1</v>
      </c>
      <c r="L482" s="3">
        <v>20</v>
      </c>
      <c r="M482" t="s">
        <v>404</v>
      </c>
      <c r="N482" s="2">
        <v>44535</v>
      </c>
      <c r="O482" t="s">
        <v>37</v>
      </c>
      <c r="P482" t="s">
        <v>1294</v>
      </c>
      <c r="Q482">
        <v>94913</v>
      </c>
      <c r="R482" t="s">
        <v>27</v>
      </c>
      <c r="S482" s="10">
        <v>25.193841649631324</v>
      </c>
      <c r="T482">
        <v>48</v>
      </c>
    </row>
    <row r="483" spans="1:20" x14ac:dyDescent="0.3">
      <c r="A483">
        <v>1880</v>
      </c>
      <c r="B483" t="s">
        <v>129</v>
      </c>
      <c r="C483" t="s">
        <v>130</v>
      </c>
      <c r="D483" t="s">
        <v>131</v>
      </c>
      <c r="E483" t="s">
        <v>132</v>
      </c>
      <c r="F483" t="s">
        <v>133</v>
      </c>
      <c r="G483" t="s">
        <v>134</v>
      </c>
      <c r="H483" t="s">
        <v>22</v>
      </c>
      <c r="I483" t="s">
        <v>135</v>
      </c>
      <c r="J483" s="1">
        <v>137</v>
      </c>
      <c r="K483" s="1">
        <v>34.25</v>
      </c>
      <c r="L483" s="3">
        <v>4</v>
      </c>
      <c r="M483" t="s">
        <v>36</v>
      </c>
      <c r="N483" s="2">
        <v>44535</v>
      </c>
      <c r="O483" t="s">
        <v>136</v>
      </c>
      <c r="P483" t="s">
        <v>137</v>
      </c>
      <c r="Q483">
        <v>60614</v>
      </c>
      <c r="R483" t="s">
        <v>27</v>
      </c>
      <c r="S483" s="10">
        <v>6.093799300038631</v>
      </c>
      <c r="T483">
        <v>4</v>
      </c>
    </row>
    <row r="484" spans="1:20" x14ac:dyDescent="0.3">
      <c r="A484">
        <v>1170</v>
      </c>
      <c r="B484" t="s">
        <v>153</v>
      </c>
      <c r="C484" t="s">
        <v>154</v>
      </c>
      <c r="D484" t="s">
        <v>155</v>
      </c>
      <c r="E484" t="s">
        <v>156</v>
      </c>
      <c r="F484" t="s">
        <v>157</v>
      </c>
      <c r="G484" t="s">
        <v>158</v>
      </c>
      <c r="H484" t="s">
        <v>34</v>
      </c>
      <c r="I484" t="s">
        <v>65</v>
      </c>
      <c r="J484" s="1">
        <v>833</v>
      </c>
      <c r="K484" s="1">
        <v>36.217391304347828</v>
      </c>
      <c r="L484" s="3">
        <v>23</v>
      </c>
      <c r="M484" t="s">
        <v>24</v>
      </c>
      <c r="N484" s="2">
        <v>44536</v>
      </c>
      <c r="O484" t="s">
        <v>67</v>
      </c>
      <c r="P484" t="s">
        <v>159</v>
      </c>
      <c r="Q484">
        <v>88574</v>
      </c>
      <c r="R484" t="s">
        <v>27</v>
      </c>
      <c r="S484" s="10">
        <v>37.940548313112608</v>
      </c>
      <c r="T484">
        <v>48</v>
      </c>
    </row>
    <row r="485" spans="1:20" x14ac:dyDescent="0.3">
      <c r="A485">
        <v>1639</v>
      </c>
      <c r="B485" t="s">
        <v>642</v>
      </c>
      <c r="C485" t="s">
        <v>1295</v>
      </c>
      <c r="D485" t="s">
        <v>1296</v>
      </c>
      <c r="E485" t="s">
        <v>1297</v>
      </c>
      <c r="F485" t="s">
        <v>89</v>
      </c>
      <c r="G485" t="s">
        <v>545</v>
      </c>
      <c r="H485" t="s">
        <v>22</v>
      </c>
      <c r="I485" t="s">
        <v>23</v>
      </c>
      <c r="J485" s="1">
        <v>791</v>
      </c>
      <c r="K485" s="1">
        <v>26.366666666666667</v>
      </c>
      <c r="L485" s="3">
        <v>30</v>
      </c>
      <c r="M485" t="s">
        <v>404</v>
      </c>
      <c r="N485" s="2">
        <v>44536</v>
      </c>
      <c r="O485" t="s">
        <v>237</v>
      </c>
      <c r="P485" t="s">
        <v>1298</v>
      </c>
      <c r="Q485">
        <v>36622</v>
      </c>
      <c r="R485" t="s">
        <v>27</v>
      </c>
      <c r="S485" s="10">
        <v>40.443553828500278</v>
      </c>
      <c r="T485">
        <v>46</v>
      </c>
    </row>
    <row r="486" spans="1:20" x14ac:dyDescent="0.3">
      <c r="A486">
        <v>1712</v>
      </c>
      <c r="B486" t="s">
        <v>129</v>
      </c>
      <c r="C486" t="s">
        <v>1181</v>
      </c>
      <c r="D486" t="s">
        <v>1299</v>
      </c>
      <c r="E486" t="s">
        <v>1300</v>
      </c>
      <c r="F486" t="s">
        <v>849</v>
      </c>
      <c r="G486" t="s">
        <v>951</v>
      </c>
      <c r="H486" t="s">
        <v>22</v>
      </c>
      <c r="I486" t="s">
        <v>23</v>
      </c>
      <c r="J486" s="1">
        <v>215</v>
      </c>
      <c r="K486" s="1">
        <v>26.875</v>
      </c>
      <c r="L486" s="3">
        <v>8</v>
      </c>
      <c r="M486" t="s">
        <v>203</v>
      </c>
      <c r="N486" s="2">
        <v>44537</v>
      </c>
      <c r="O486" t="s">
        <v>37</v>
      </c>
      <c r="P486" t="s">
        <v>1301</v>
      </c>
      <c r="Q486">
        <v>91199</v>
      </c>
      <c r="R486" t="s">
        <v>27</v>
      </c>
      <c r="S486" s="10">
        <v>15.42727020519939</v>
      </c>
      <c r="T486">
        <v>10</v>
      </c>
    </row>
    <row r="487" spans="1:20" x14ac:dyDescent="0.3">
      <c r="A487">
        <v>1981</v>
      </c>
      <c r="B487" t="s">
        <v>345</v>
      </c>
      <c r="C487" t="s">
        <v>651</v>
      </c>
      <c r="D487" t="s">
        <v>1302</v>
      </c>
      <c r="E487" t="s">
        <v>1303</v>
      </c>
      <c r="F487" t="s">
        <v>1063</v>
      </c>
      <c r="G487" t="s">
        <v>1304</v>
      </c>
      <c r="H487" t="s">
        <v>34</v>
      </c>
      <c r="I487" t="s">
        <v>65</v>
      </c>
      <c r="J487" s="1">
        <v>198</v>
      </c>
      <c r="K487" s="1">
        <v>28.285714285714285</v>
      </c>
      <c r="L487" s="3">
        <v>7</v>
      </c>
      <c r="M487" t="s">
        <v>56</v>
      </c>
      <c r="N487" s="2">
        <v>44537</v>
      </c>
      <c r="O487" t="s">
        <v>470</v>
      </c>
      <c r="P487" t="s">
        <v>358</v>
      </c>
      <c r="Q487">
        <v>20409</v>
      </c>
      <c r="R487" t="s">
        <v>27</v>
      </c>
      <c r="S487" s="10">
        <v>11.752593621756056</v>
      </c>
      <c r="T487">
        <v>9</v>
      </c>
    </row>
    <row r="488" spans="1:20" x14ac:dyDescent="0.3">
      <c r="A488">
        <v>1212</v>
      </c>
      <c r="B488" t="s">
        <v>120</v>
      </c>
      <c r="C488" t="s">
        <v>121</v>
      </c>
      <c r="D488" t="s">
        <v>122</v>
      </c>
      <c r="E488" t="s">
        <v>123</v>
      </c>
      <c r="F488" t="s">
        <v>124</v>
      </c>
      <c r="G488" t="s">
        <v>125</v>
      </c>
      <c r="H488" t="s">
        <v>22</v>
      </c>
      <c r="I488" t="s">
        <v>65</v>
      </c>
      <c r="J488" s="1">
        <v>407</v>
      </c>
      <c r="K488" s="1">
        <v>29.071428571428573</v>
      </c>
      <c r="L488" s="3">
        <v>14</v>
      </c>
      <c r="M488" t="s">
        <v>126</v>
      </c>
      <c r="N488" s="2">
        <v>44538</v>
      </c>
      <c r="O488" t="s">
        <v>127</v>
      </c>
      <c r="P488" t="s">
        <v>128</v>
      </c>
      <c r="Q488">
        <v>6183</v>
      </c>
      <c r="R488" t="s">
        <v>27</v>
      </c>
      <c r="S488" s="10">
        <v>22.88260884861333</v>
      </c>
      <c r="T488">
        <v>27</v>
      </c>
    </row>
    <row r="489" spans="1:20" x14ac:dyDescent="0.3">
      <c r="A489">
        <v>1489</v>
      </c>
      <c r="B489" t="s">
        <v>85</v>
      </c>
      <c r="C489" t="s">
        <v>86</v>
      </c>
      <c r="D489" t="s">
        <v>87</v>
      </c>
      <c r="E489" t="s">
        <v>88</v>
      </c>
      <c r="F489" t="s">
        <v>89</v>
      </c>
      <c r="G489" t="s">
        <v>90</v>
      </c>
      <c r="H489" t="s">
        <v>34</v>
      </c>
      <c r="I489" t="s">
        <v>23</v>
      </c>
      <c r="J489" s="1">
        <v>596</v>
      </c>
      <c r="K489" s="1">
        <v>35.058823529411768</v>
      </c>
      <c r="L489" s="3">
        <v>17</v>
      </c>
      <c r="M489" t="s">
        <v>66</v>
      </c>
      <c r="N489" s="2">
        <v>44538</v>
      </c>
      <c r="O489" t="s">
        <v>47</v>
      </c>
      <c r="P489" t="s">
        <v>91</v>
      </c>
      <c r="Q489">
        <v>23668</v>
      </c>
      <c r="R489" t="s">
        <v>27</v>
      </c>
      <c r="S489" s="10">
        <v>41.458796508652959</v>
      </c>
      <c r="T489">
        <v>36</v>
      </c>
    </row>
    <row r="490" spans="1:20" x14ac:dyDescent="0.3">
      <c r="A490">
        <v>1234</v>
      </c>
      <c r="B490" t="s">
        <v>59</v>
      </c>
      <c r="C490" t="s">
        <v>60</v>
      </c>
      <c r="D490" t="s">
        <v>61</v>
      </c>
      <c r="E490" t="s">
        <v>62</v>
      </c>
      <c r="F490" t="s">
        <v>63</v>
      </c>
      <c r="G490" t="s">
        <v>64</v>
      </c>
      <c r="H490" t="s">
        <v>34</v>
      </c>
      <c r="I490" t="s">
        <v>65</v>
      </c>
      <c r="J490" s="1">
        <v>814</v>
      </c>
      <c r="K490" s="1">
        <v>27.133333333333333</v>
      </c>
      <c r="L490" s="3">
        <v>30</v>
      </c>
      <c r="M490" t="s">
        <v>66</v>
      </c>
      <c r="N490" s="2">
        <v>44540</v>
      </c>
      <c r="O490" t="s">
        <v>67</v>
      </c>
      <c r="P490" t="s">
        <v>68</v>
      </c>
      <c r="Q490">
        <v>78710</v>
      </c>
      <c r="R490" t="s">
        <v>27</v>
      </c>
      <c r="S490" s="10">
        <v>73.888835672393668</v>
      </c>
      <c r="T490">
        <v>66</v>
      </c>
    </row>
    <row r="491" spans="1:20" x14ac:dyDescent="0.3">
      <c r="A491">
        <v>1644</v>
      </c>
      <c r="B491" t="s">
        <v>702</v>
      </c>
      <c r="C491" t="s">
        <v>1305</v>
      </c>
      <c r="D491" t="s">
        <v>1306</v>
      </c>
      <c r="E491" t="s">
        <v>1307</v>
      </c>
      <c r="F491" t="s">
        <v>452</v>
      </c>
      <c r="G491" t="s">
        <v>951</v>
      </c>
      <c r="H491" t="s">
        <v>22</v>
      </c>
      <c r="I491" t="s">
        <v>23</v>
      </c>
      <c r="J491" s="1">
        <v>813</v>
      </c>
      <c r="K491" s="1">
        <v>38.714285714285715</v>
      </c>
      <c r="L491" s="3">
        <v>21</v>
      </c>
      <c r="M491" t="s">
        <v>36</v>
      </c>
      <c r="N491" s="2">
        <v>44540</v>
      </c>
      <c r="O491" t="s">
        <v>57</v>
      </c>
      <c r="P491" t="s">
        <v>1308</v>
      </c>
      <c r="Q491">
        <v>30905</v>
      </c>
      <c r="R491" t="s">
        <v>27</v>
      </c>
      <c r="S491" s="10">
        <v>34.23387980627502</v>
      </c>
      <c r="T491">
        <v>32</v>
      </c>
    </row>
    <row r="492" spans="1:20" x14ac:dyDescent="0.3">
      <c r="A492">
        <v>1851</v>
      </c>
      <c r="B492" t="s">
        <v>604</v>
      </c>
      <c r="C492" t="s">
        <v>358</v>
      </c>
      <c r="D492" t="s">
        <v>605</v>
      </c>
      <c r="E492" t="s">
        <v>606</v>
      </c>
      <c r="F492" t="s">
        <v>607</v>
      </c>
      <c r="G492" t="s">
        <v>194</v>
      </c>
      <c r="H492" t="s">
        <v>22</v>
      </c>
      <c r="I492" t="s">
        <v>65</v>
      </c>
      <c r="J492" s="1">
        <v>48</v>
      </c>
      <c r="K492" s="1">
        <v>24</v>
      </c>
      <c r="L492" s="3">
        <v>2</v>
      </c>
      <c r="M492" t="s">
        <v>343</v>
      </c>
      <c r="N492" s="2">
        <v>44545</v>
      </c>
      <c r="O492" t="s">
        <v>83</v>
      </c>
      <c r="P492" t="s">
        <v>351</v>
      </c>
      <c r="Q492">
        <v>11210</v>
      </c>
      <c r="R492" t="s">
        <v>27</v>
      </c>
      <c r="S492" s="10">
        <v>3.104773671491643</v>
      </c>
      <c r="T492">
        <v>4</v>
      </c>
    </row>
    <row r="493" spans="1:20" x14ac:dyDescent="0.3">
      <c r="A493">
        <v>1783</v>
      </c>
      <c r="B493" t="s">
        <v>302</v>
      </c>
      <c r="C493" t="s">
        <v>303</v>
      </c>
      <c r="D493" t="s">
        <v>304</v>
      </c>
      <c r="E493" t="s">
        <v>305</v>
      </c>
      <c r="F493" t="s">
        <v>306</v>
      </c>
      <c r="G493" t="s">
        <v>307</v>
      </c>
      <c r="H493" t="s">
        <v>34</v>
      </c>
      <c r="I493" t="s">
        <v>35</v>
      </c>
      <c r="J493" s="1">
        <v>668</v>
      </c>
      <c r="K493" s="1">
        <v>27.833333333333332</v>
      </c>
      <c r="L493" s="3">
        <v>24</v>
      </c>
      <c r="M493" t="s">
        <v>244</v>
      </c>
      <c r="N493" s="2">
        <v>44548</v>
      </c>
      <c r="O493" t="s">
        <v>308</v>
      </c>
      <c r="P493" t="s">
        <v>309</v>
      </c>
      <c r="Q493">
        <v>85715</v>
      </c>
      <c r="R493" t="s">
        <v>27</v>
      </c>
      <c r="S493" s="10">
        <v>38.684403063456585</v>
      </c>
      <c r="T493">
        <v>40</v>
      </c>
    </row>
    <row r="494" spans="1:20" x14ac:dyDescent="0.3">
      <c r="A494">
        <v>1298</v>
      </c>
      <c r="B494" t="s">
        <v>275</v>
      </c>
      <c r="C494" t="s">
        <v>340</v>
      </c>
      <c r="D494" t="s">
        <v>341</v>
      </c>
      <c r="E494" t="s">
        <v>342</v>
      </c>
      <c r="F494" t="s">
        <v>306</v>
      </c>
      <c r="G494" t="s">
        <v>180</v>
      </c>
      <c r="H494" t="s">
        <v>22</v>
      </c>
      <c r="I494" t="s">
        <v>236</v>
      </c>
      <c r="J494" s="1">
        <v>987</v>
      </c>
      <c r="K494" s="1">
        <v>26.675675675675677</v>
      </c>
      <c r="L494" s="3">
        <v>37</v>
      </c>
      <c r="M494" t="s">
        <v>343</v>
      </c>
      <c r="N494" s="2">
        <v>44551</v>
      </c>
      <c r="O494" t="s">
        <v>267</v>
      </c>
      <c r="P494" t="s">
        <v>344</v>
      </c>
      <c r="Q494">
        <v>32891</v>
      </c>
      <c r="R494" t="s">
        <v>27</v>
      </c>
      <c r="S494" s="10">
        <v>74.710192533209479</v>
      </c>
      <c r="T494">
        <v>80</v>
      </c>
    </row>
    <row r="495" spans="1:20" x14ac:dyDescent="0.3">
      <c r="A495">
        <v>1614</v>
      </c>
      <c r="B495" t="s">
        <v>764</v>
      </c>
      <c r="C495" t="s">
        <v>358</v>
      </c>
      <c r="D495" t="s">
        <v>1309</v>
      </c>
      <c r="E495" t="s">
        <v>1310</v>
      </c>
      <c r="F495" t="s">
        <v>1311</v>
      </c>
      <c r="G495" t="s">
        <v>1312</v>
      </c>
      <c r="H495" t="s">
        <v>22</v>
      </c>
      <c r="I495" t="s">
        <v>98</v>
      </c>
      <c r="J495" s="1">
        <v>615</v>
      </c>
      <c r="K495" s="1">
        <v>38.4375</v>
      </c>
      <c r="L495" s="3">
        <v>16</v>
      </c>
      <c r="M495" t="s">
        <v>404</v>
      </c>
      <c r="N495" s="2">
        <v>44552</v>
      </c>
      <c r="O495" t="s">
        <v>1230</v>
      </c>
      <c r="P495" t="s">
        <v>1313</v>
      </c>
      <c r="Q495">
        <v>58505</v>
      </c>
      <c r="R495" t="s">
        <v>27</v>
      </c>
      <c r="S495" s="10">
        <v>36.049895294019947</v>
      </c>
      <c r="T495">
        <v>27</v>
      </c>
    </row>
    <row r="496" spans="1:20" x14ac:dyDescent="0.3">
      <c r="A496">
        <v>1728</v>
      </c>
      <c r="B496" t="s">
        <v>335</v>
      </c>
      <c r="C496" t="s">
        <v>1314</v>
      </c>
      <c r="D496" t="s">
        <v>1315</v>
      </c>
      <c r="E496" t="s">
        <v>1316</v>
      </c>
      <c r="F496" t="s">
        <v>1317</v>
      </c>
      <c r="G496" t="s">
        <v>1318</v>
      </c>
      <c r="H496" t="s">
        <v>22</v>
      </c>
      <c r="I496" t="s">
        <v>236</v>
      </c>
      <c r="J496" s="1">
        <v>864</v>
      </c>
      <c r="K496" s="1">
        <v>32</v>
      </c>
      <c r="L496" s="3">
        <v>27</v>
      </c>
      <c r="M496" t="s">
        <v>447</v>
      </c>
      <c r="N496" s="2">
        <v>44552</v>
      </c>
      <c r="O496" t="s">
        <v>859</v>
      </c>
      <c r="P496" t="s">
        <v>1319</v>
      </c>
      <c r="Q496">
        <v>21211</v>
      </c>
      <c r="R496" t="s">
        <v>27</v>
      </c>
      <c r="S496" s="10">
        <v>42.235141186944993</v>
      </c>
      <c r="T496">
        <v>61</v>
      </c>
    </row>
    <row r="497" spans="1:20" x14ac:dyDescent="0.3">
      <c r="A497">
        <v>1946</v>
      </c>
      <c r="B497" t="s">
        <v>1033</v>
      </c>
      <c r="C497" t="s">
        <v>336</v>
      </c>
      <c r="D497" t="s">
        <v>1320</v>
      </c>
      <c r="E497" t="s">
        <v>1321</v>
      </c>
      <c r="F497" t="s">
        <v>817</v>
      </c>
      <c r="G497" t="s">
        <v>410</v>
      </c>
      <c r="H497" t="s">
        <v>34</v>
      </c>
      <c r="I497" t="s">
        <v>75</v>
      </c>
      <c r="J497" s="1">
        <v>663</v>
      </c>
      <c r="K497" s="1">
        <v>44.2</v>
      </c>
      <c r="L497" s="3">
        <v>15</v>
      </c>
      <c r="M497" t="s">
        <v>36</v>
      </c>
      <c r="N497" s="2">
        <v>44552</v>
      </c>
      <c r="O497" t="s">
        <v>67</v>
      </c>
      <c r="P497" t="s">
        <v>334</v>
      </c>
      <c r="Q497">
        <v>77234</v>
      </c>
      <c r="R497" t="s">
        <v>27</v>
      </c>
      <c r="S497" s="10">
        <v>23.670717271217352</v>
      </c>
      <c r="T497">
        <v>25</v>
      </c>
    </row>
    <row r="498" spans="1:20" x14ac:dyDescent="0.3">
      <c r="A498">
        <v>1743</v>
      </c>
      <c r="B498" t="s">
        <v>138</v>
      </c>
      <c r="C498" t="s">
        <v>336</v>
      </c>
      <c r="D498" t="s">
        <v>1322</v>
      </c>
      <c r="E498" t="s">
        <v>1323</v>
      </c>
      <c r="F498" t="s">
        <v>1324</v>
      </c>
      <c r="G498" t="s">
        <v>1325</v>
      </c>
      <c r="H498" t="s">
        <v>34</v>
      </c>
      <c r="I498" t="s">
        <v>35</v>
      </c>
      <c r="J498" s="1">
        <v>248</v>
      </c>
      <c r="K498" s="1">
        <v>41.333333333333336</v>
      </c>
      <c r="L498" s="3">
        <v>6</v>
      </c>
      <c r="M498" t="s">
        <v>404</v>
      </c>
      <c r="N498" s="2">
        <v>44553</v>
      </c>
      <c r="O498" t="s">
        <v>83</v>
      </c>
      <c r="P498" t="s">
        <v>1326</v>
      </c>
      <c r="Q498">
        <v>14905</v>
      </c>
      <c r="R498" t="s">
        <v>27</v>
      </c>
      <c r="S498" s="10">
        <v>14.347393446317922</v>
      </c>
      <c r="T498">
        <v>12</v>
      </c>
    </row>
    <row r="499" spans="1:20" x14ac:dyDescent="0.3">
      <c r="A499">
        <v>1043</v>
      </c>
      <c r="B499" t="s">
        <v>102</v>
      </c>
      <c r="C499" t="s">
        <v>154</v>
      </c>
      <c r="D499" t="s">
        <v>547</v>
      </c>
      <c r="E499" t="s">
        <v>548</v>
      </c>
      <c r="F499" t="s">
        <v>549</v>
      </c>
      <c r="G499" t="s">
        <v>453</v>
      </c>
      <c r="H499" t="s">
        <v>34</v>
      </c>
      <c r="I499" t="s">
        <v>23</v>
      </c>
      <c r="J499" s="1">
        <v>787</v>
      </c>
      <c r="K499" s="1">
        <v>27.137931034482758</v>
      </c>
      <c r="L499" s="3">
        <v>29</v>
      </c>
      <c r="M499" t="s">
        <v>24</v>
      </c>
      <c r="N499" s="2">
        <v>44554</v>
      </c>
      <c r="O499" t="s">
        <v>300</v>
      </c>
      <c r="P499" t="s">
        <v>301</v>
      </c>
      <c r="Q499">
        <v>89140</v>
      </c>
      <c r="R499" t="s">
        <v>27</v>
      </c>
      <c r="S499" s="10">
        <v>49.179983835677056</v>
      </c>
      <c r="T499">
        <v>44</v>
      </c>
    </row>
    <row r="500" spans="1:20" x14ac:dyDescent="0.3">
      <c r="A500">
        <v>1022</v>
      </c>
      <c r="B500" t="s">
        <v>591</v>
      </c>
      <c r="C500" t="s">
        <v>592</v>
      </c>
      <c r="D500" t="s">
        <v>593</v>
      </c>
      <c r="E500" t="s">
        <v>594</v>
      </c>
      <c r="F500" t="s">
        <v>595</v>
      </c>
      <c r="G500" t="s">
        <v>279</v>
      </c>
      <c r="H500" t="s">
        <v>34</v>
      </c>
      <c r="I500" t="s">
        <v>23</v>
      </c>
      <c r="J500" s="1">
        <v>766</v>
      </c>
      <c r="K500" s="1">
        <v>27.357142857142858</v>
      </c>
      <c r="L500" s="3">
        <v>28</v>
      </c>
      <c r="M500" t="s">
        <v>36</v>
      </c>
      <c r="N500" s="2">
        <v>44557</v>
      </c>
      <c r="O500" t="s">
        <v>470</v>
      </c>
      <c r="P500" t="s">
        <v>358</v>
      </c>
      <c r="Q500">
        <v>20430</v>
      </c>
      <c r="R500" t="s">
        <v>27</v>
      </c>
      <c r="S500" s="10">
        <v>44.483531645856488</v>
      </c>
      <c r="T500">
        <v>46</v>
      </c>
    </row>
    <row r="501" spans="1:20" x14ac:dyDescent="0.3">
      <c r="A501">
        <v>1020</v>
      </c>
      <c r="B501" t="s">
        <v>310</v>
      </c>
      <c r="C501" t="s">
        <v>311</v>
      </c>
      <c r="D501" t="s">
        <v>312</v>
      </c>
      <c r="E501" t="s">
        <v>313</v>
      </c>
      <c r="F501" t="s">
        <v>314</v>
      </c>
      <c r="G501" t="s">
        <v>315</v>
      </c>
      <c r="H501" t="s">
        <v>22</v>
      </c>
      <c r="I501" t="s">
        <v>23</v>
      </c>
      <c r="J501" s="1">
        <v>279</v>
      </c>
      <c r="K501" s="1">
        <v>31</v>
      </c>
      <c r="L501" s="3">
        <v>9</v>
      </c>
      <c r="M501" t="s">
        <v>36</v>
      </c>
      <c r="N501" s="2">
        <v>44559</v>
      </c>
      <c r="O501" t="s">
        <v>37</v>
      </c>
      <c r="P501" t="s">
        <v>316</v>
      </c>
      <c r="Q501">
        <v>94105</v>
      </c>
      <c r="R501" t="s">
        <v>27</v>
      </c>
      <c r="S501" s="10">
        <v>15.98771295607869</v>
      </c>
      <c r="T501">
        <v>17</v>
      </c>
    </row>
    <row r="502" spans="1:20" x14ac:dyDescent="0.3">
      <c r="A502">
        <v>1576</v>
      </c>
      <c r="B502" t="s">
        <v>628</v>
      </c>
      <c r="C502" t="s">
        <v>1023</v>
      </c>
      <c r="D502" t="s">
        <v>1327</v>
      </c>
      <c r="E502" t="s">
        <v>1328</v>
      </c>
      <c r="F502" t="s">
        <v>1329</v>
      </c>
      <c r="G502" t="s">
        <v>1330</v>
      </c>
      <c r="H502" t="s">
        <v>34</v>
      </c>
      <c r="I502" t="s">
        <v>117</v>
      </c>
      <c r="J502" s="1">
        <v>366</v>
      </c>
      <c r="K502" s="1">
        <v>26.142857142857142</v>
      </c>
      <c r="L502" s="3">
        <v>14</v>
      </c>
      <c r="M502" t="s">
        <v>66</v>
      </c>
      <c r="N502" s="2">
        <v>44560</v>
      </c>
      <c r="O502" t="s">
        <v>67</v>
      </c>
      <c r="P502" t="s">
        <v>1331</v>
      </c>
      <c r="Q502">
        <v>78682</v>
      </c>
      <c r="R502" t="s">
        <v>27</v>
      </c>
      <c r="S502" s="10">
        <v>30.624312398548774</v>
      </c>
      <c r="T502">
        <v>27</v>
      </c>
    </row>
    <row r="503" spans="1:20" x14ac:dyDescent="0.3">
      <c r="A503">
        <v>1768</v>
      </c>
      <c r="B503" t="s">
        <v>1332</v>
      </c>
      <c r="C503" t="s">
        <v>1333</v>
      </c>
      <c r="D503" t="s">
        <v>1334</v>
      </c>
      <c r="E503" t="s">
        <v>1335</v>
      </c>
      <c r="F503" t="s">
        <v>150</v>
      </c>
      <c r="G503" t="s">
        <v>545</v>
      </c>
      <c r="H503" t="s">
        <v>34</v>
      </c>
      <c r="I503" t="s">
        <v>35</v>
      </c>
      <c r="J503" s="1">
        <v>405</v>
      </c>
      <c r="K503" s="1">
        <v>36.81818181818182</v>
      </c>
      <c r="L503" s="3">
        <v>11</v>
      </c>
      <c r="M503" t="s">
        <v>36</v>
      </c>
      <c r="N503" s="2">
        <v>44561</v>
      </c>
      <c r="O503" t="s">
        <v>958</v>
      </c>
      <c r="P503" t="s">
        <v>1336</v>
      </c>
      <c r="Q503">
        <v>29615</v>
      </c>
      <c r="R503" t="s">
        <v>27</v>
      </c>
      <c r="S503" s="10">
        <v>24.089179579558234</v>
      </c>
      <c r="T503">
        <v>21</v>
      </c>
    </row>
    <row r="504" spans="1:20" x14ac:dyDescent="0.3">
      <c r="A504">
        <v>1298</v>
      </c>
      <c r="B504" t="s">
        <v>275</v>
      </c>
      <c r="C504" t="s">
        <v>340</v>
      </c>
      <c r="D504" t="s">
        <v>341</v>
      </c>
      <c r="E504" t="s">
        <v>342</v>
      </c>
      <c r="F504" t="s">
        <v>306</v>
      </c>
      <c r="G504" t="s">
        <v>180</v>
      </c>
      <c r="H504" t="s">
        <v>22</v>
      </c>
      <c r="I504" t="s">
        <v>236</v>
      </c>
      <c r="J504" s="1">
        <v>442</v>
      </c>
      <c r="K504" s="1">
        <v>27.625</v>
      </c>
      <c r="L504" s="3">
        <v>16</v>
      </c>
      <c r="M504" t="s">
        <v>343</v>
      </c>
      <c r="N504" s="2">
        <v>44562</v>
      </c>
      <c r="O504" t="s">
        <v>267</v>
      </c>
      <c r="P504" t="s">
        <v>344</v>
      </c>
      <c r="Q504">
        <v>32891</v>
      </c>
      <c r="R504" t="s">
        <v>27</v>
      </c>
      <c r="S504" s="10">
        <v>31.465677423723328</v>
      </c>
      <c r="T504">
        <v>32</v>
      </c>
    </row>
    <row r="505" spans="1:20" x14ac:dyDescent="0.3">
      <c r="A505">
        <v>1541</v>
      </c>
      <c r="B505" t="s">
        <v>387</v>
      </c>
      <c r="C505" t="s">
        <v>1337</v>
      </c>
      <c r="D505" t="s">
        <v>1338</v>
      </c>
      <c r="E505" t="s">
        <v>1339</v>
      </c>
      <c r="F505" t="s">
        <v>179</v>
      </c>
      <c r="G505" t="s">
        <v>315</v>
      </c>
      <c r="H505" t="s">
        <v>34</v>
      </c>
      <c r="I505" t="s">
        <v>45</v>
      </c>
      <c r="J505" s="1">
        <v>272</v>
      </c>
      <c r="K505" s="1">
        <v>45.333333333333336</v>
      </c>
      <c r="L505" s="3">
        <v>6</v>
      </c>
      <c r="M505" t="s">
        <v>36</v>
      </c>
      <c r="N505" s="2">
        <v>44564</v>
      </c>
      <c r="O505" t="s">
        <v>229</v>
      </c>
      <c r="P505" t="s">
        <v>416</v>
      </c>
      <c r="Q505">
        <v>43268</v>
      </c>
      <c r="R505" t="s">
        <v>27</v>
      </c>
      <c r="S505" s="10">
        <v>14.048558978983788</v>
      </c>
      <c r="T505">
        <v>10</v>
      </c>
    </row>
    <row r="506" spans="1:20" x14ac:dyDescent="0.3">
      <c r="A506">
        <v>1043</v>
      </c>
      <c r="B506" t="s">
        <v>102</v>
      </c>
      <c r="C506" t="s">
        <v>154</v>
      </c>
      <c r="D506" t="s">
        <v>547</v>
      </c>
      <c r="E506" t="s">
        <v>548</v>
      </c>
      <c r="F506" t="s">
        <v>549</v>
      </c>
      <c r="G506" t="s">
        <v>453</v>
      </c>
      <c r="H506" t="s">
        <v>34</v>
      </c>
      <c r="I506" t="s">
        <v>23</v>
      </c>
      <c r="J506" s="1">
        <v>85</v>
      </c>
      <c r="K506" s="1">
        <v>28.333333333333332</v>
      </c>
      <c r="L506" s="3">
        <v>3</v>
      </c>
      <c r="M506" t="s">
        <v>24</v>
      </c>
      <c r="N506" s="2">
        <v>44566</v>
      </c>
      <c r="O506" t="s">
        <v>300</v>
      </c>
      <c r="P506" t="s">
        <v>301</v>
      </c>
      <c r="Q506">
        <v>89140</v>
      </c>
      <c r="R506" t="s">
        <v>27</v>
      </c>
      <c r="S506" s="10">
        <v>4.5490329900172437</v>
      </c>
      <c r="T506">
        <v>5</v>
      </c>
    </row>
    <row r="507" spans="1:20" x14ac:dyDescent="0.3">
      <c r="A507">
        <v>1783</v>
      </c>
      <c r="B507" t="s">
        <v>302</v>
      </c>
      <c r="C507" t="s">
        <v>303</v>
      </c>
      <c r="D507" t="s">
        <v>304</v>
      </c>
      <c r="E507" t="s">
        <v>305</v>
      </c>
      <c r="F507" t="s">
        <v>306</v>
      </c>
      <c r="G507" t="s">
        <v>307</v>
      </c>
      <c r="H507" t="s">
        <v>34</v>
      </c>
      <c r="I507" t="s">
        <v>35</v>
      </c>
      <c r="J507" s="1">
        <v>393</v>
      </c>
      <c r="K507" s="1">
        <v>43.666666666666664</v>
      </c>
      <c r="L507" s="3">
        <v>9</v>
      </c>
      <c r="M507" t="s">
        <v>244</v>
      </c>
      <c r="N507" s="2">
        <v>44566</v>
      </c>
      <c r="O507" t="s">
        <v>308</v>
      </c>
      <c r="P507" t="s">
        <v>309</v>
      </c>
      <c r="Q507">
        <v>85715</v>
      </c>
      <c r="R507" t="s">
        <v>27</v>
      </c>
      <c r="S507" s="10">
        <v>16.318567791243311</v>
      </c>
      <c r="T507">
        <v>16</v>
      </c>
    </row>
    <row r="508" spans="1:20" x14ac:dyDescent="0.3">
      <c r="A508">
        <v>1298</v>
      </c>
      <c r="B508" t="s">
        <v>275</v>
      </c>
      <c r="C508" t="s">
        <v>340</v>
      </c>
      <c r="D508" t="s">
        <v>341</v>
      </c>
      <c r="E508" t="s">
        <v>342</v>
      </c>
      <c r="F508" t="s">
        <v>306</v>
      </c>
      <c r="G508" t="s">
        <v>180</v>
      </c>
      <c r="H508" t="s">
        <v>22</v>
      </c>
      <c r="I508" t="s">
        <v>236</v>
      </c>
      <c r="J508" s="1">
        <v>478</v>
      </c>
      <c r="K508" s="1">
        <v>43.454545454545453</v>
      </c>
      <c r="L508" s="3">
        <v>11</v>
      </c>
      <c r="M508" t="s">
        <v>343</v>
      </c>
      <c r="N508" s="2">
        <v>44567</v>
      </c>
      <c r="O508" t="s">
        <v>267</v>
      </c>
      <c r="P508" t="s">
        <v>344</v>
      </c>
      <c r="Q508">
        <v>32891</v>
      </c>
      <c r="R508" t="s">
        <v>27</v>
      </c>
      <c r="S508" s="10">
        <v>14.102549773526682</v>
      </c>
      <c r="T508">
        <v>19</v>
      </c>
    </row>
    <row r="509" spans="1:20" x14ac:dyDescent="0.3">
      <c r="A509">
        <v>1489</v>
      </c>
      <c r="B509" t="s">
        <v>85</v>
      </c>
      <c r="C509" t="s">
        <v>86</v>
      </c>
      <c r="D509" t="s">
        <v>87</v>
      </c>
      <c r="E509" t="s">
        <v>88</v>
      </c>
      <c r="F509" t="s">
        <v>89</v>
      </c>
      <c r="G509" t="s">
        <v>90</v>
      </c>
      <c r="H509" t="s">
        <v>34</v>
      </c>
      <c r="I509" t="s">
        <v>23</v>
      </c>
      <c r="J509" s="1">
        <v>955</v>
      </c>
      <c r="K509" s="1">
        <v>36.730769230769234</v>
      </c>
      <c r="L509" s="3">
        <v>26</v>
      </c>
      <c r="M509" t="s">
        <v>66</v>
      </c>
      <c r="N509" s="2">
        <v>44567</v>
      </c>
      <c r="O509" t="s">
        <v>47</v>
      </c>
      <c r="P509" t="s">
        <v>91</v>
      </c>
      <c r="Q509">
        <v>23668</v>
      </c>
      <c r="R509" t="s">
        <v>27</v>
      </c>
      <c r="S509" s="10">
        <v>62.703269519552613</v>
      </c>
      <c r="T509">
        <v>43</v>
      </c>
    </row>
    <row r="510" spans="1:20" x14ac:dyDescent="0.3">
      <c r="A510">
        <v>1679</v>
      </c>
      <c r="B510" t="s">
        <v>1340</v>
      </c>
      <c r="C510" t="s">
        <v>1341</v>
      </c>
      <c r="D510" t="s">
        <v>1342</v>
      </c>
      <c r="E510" t="s">
        <v>1343</v>
      </c>
      <c r="F510" t="s">
        <v>981</v>
      </c>
      <c r="G510" t="s">
        <v>913</v>
      </c>
      <c r="H510" t="s">
        <v>34</v>
      </c>
      <c r="I510" t="s">
        <v>23</v>
      </c>
      <c r="J510" s="1">
        <v>397</v>
      </c>
      <c r="K510" s="1">
        <v>28.357142857142858</v>
      </c>
      <c r="L510" s="3">
        <v>14</v>
      </c>
      <c r="M510" t="s">
        <v>36</v>
      </c>
      <c r="N510" s="2">
        <v>44570</v>
      </c>
      <c r="O510" t="s">
        <v>762</v>
      </c>
      <c r="P510" t="s">
        <v>1344</v>
      </c>
      <c r="Q510">
        <v>99709</v>
      </c>
      <c r="R510" t="s">
        <v>27</v>
      </c>
      <c r="S510" s="10">
        <v>34.748129847443572</v>
      </c>
      <c r="T510">
        <v>30</v>
      </c>
    </row>
    <row r="511" spans="1:20" x14ac:dyDescent="0.3">
      <c r="A511">
        <v>1850</v>
      </c>
      <c r="B511" t="s">
        <v>802</v>
      </c>
      <c r="C511" t="s">
        <v>1345</v>
      </c>
      <c r="D511" t="s">
        <v>1346</v>
      </c>
      <c r="E511" t="s">
        <v>1347</v>
      </c>
      <c r="F511" t="s">
        <v>1348</v>
      </c>
      <c r="G511" t="s">
        <v>357</v>
      </c>
      <c r="H511" t="s">
        <v>34</v>
      </c>
      <c r="I511" t="s">
        <v>266</v>
      </c>
      <c r="J511" s="1">
        <v>328</v>
      </c>
      <c r="K511" s="1">
        <v>36.444444444444443</v>
      </c>
      <c r="L511" s="3">
        <v>9</v>
      </c>
      <c r="M511" t="s">
        <v>36</v>
      </c>
      <c r="N511" s="2">
        <v>44571</v>
      </c>
      <c r="O511" t="s">
        <v>196</v>
      </c>
      <c r="P511" t="s">
        <v>1349</v>
      </c>
      <c r="Q511">
        <v>17605</v>
      </c>
      <c r="R511" t="s">
        <v>27</v>
      </c>
      <c r="S511" s="10">
        <v>18.895814819049416</v>
      </c>
      <c r="T511">
        <v>14</v>
      </c>
    </row>
    <row r="512" spans="1:20" x14ac:dyDescent="0.3">
      <c r="A512">
        <v>2000</v>
      </c>
      <c r="B512" t="s">
        <v>120</v>
      </c>
      <c r="C512" t="s">
        <v>68</v>
      </c>
      <c r="D512" t="s">
        <v>699</v>
      </c>
      <c r="E512" t="s">
        <v>700</v>
      </c>
      <c r="F512" t="s">
        <v>682</v>
      </c>
      <c r="G512" t="s">
        <v>701</v>
      </c>
      <c r="H512" t="s">
        <v>22</v>
      </c>
      <c r="I512" t="s">
        <v>366</v>
      </c>
      <c r="J512" s="1">
        <v>116</v>
      </c>
      <c r="K512" s="1">
        <v>38.666666666666664</v>
      </c>
      <c r="L512" s="3">
        <v>3</v>
      </c>
      <c r="M512" t="s">
        <v>66</v>
      </c>
      <c r="N512" s="2">
        <v>44572</v>
      </c>
      <c r="O512" t="s">
        <v>37</v>
      </c>
      <c r="P512" t="s">
        <v>448</v>
      </c>
      <c r="Q512">
        <v>94230</v>
      </c>
      <c r="R512" t="s">
        <v>27</v>
      </c>
      <c r="S512" s="10">
        <v>5.4928010805546243</v>
      </c>
      <c r="T512">
        <v>5</v>
      </c>
    </row>
    <row r="513" spans="1:20" x14ac:dyDescent="0.3">
      <c r="A513">
        <v>1577</v>
      </c>
      <c r="B513" t="s">
        <v>660</v>
      </c>
      <c r="C513" t="s">
        <v>1000</v>
      </c>
      <c r="D513" t="s">
        <v>1350</v>
      </c>
      <c r="E513" t="s">
        <v>1351</v>
      </c>
      <c r="F513" t="s">
        <v>840</v>
      </c>
      <c r="G513" t="s">
        <v>967</v>
      </c>
      <c r="H513" t="s">
        <v>22</v>
      </c>
      <c r="I513" t="s">
        <v>299</v>
      </c>
      <c r="J513" s="1">
        <v>579</v>
      </c>
      <c r="K513" s="1">
        <v>30.473684210526315</v>
      </c>
      <c r="L513" s="3">
        <v>19</v>
      </c>
      <c r="M513" t="s">
        <v>447</v>
      </c>
      <c r="N513" s="2">
        <v>44575</v>
      </c>
      <c r="O513" t="s">
        <v>144</v>
      </c>
      <c r="P513" t="s">
        <v>145</v>
      </c>
      <c r="Q513">
        <v>80217</v>
      </c>
      <c r="R513" t="s">
        <v>27</v>
      </c>
      <c r="S513" s="10">
        <v>28.62060722521835</v>
      </c>
      <c r="T513">
        <v>25</v>
      </c>
    </row>
    <row r="514" spans="1:20" x14ac:dyDescent="0.3">
      <c r="A514">
        <v>1166</v>
      </c>
      <c r="B514" t="s">
        <v>518</v>
      </c>
      <c r="C514" t="s">
        <v>1164</v>
      </c>
      <c r="D514" t="s">
        <v>1352</v>
      </c>
      <c r="E514" t="s">
        <v>1353</v>
      </c>
      <c r="F514" t="s">
        <v>106</v>
      </c>
      <c r="G514" t="s">
        <v>21</v>
      </c>
      <c r="H514" t="s">
        <v>22</v>
      </c>
      <c r="I514" t="s">
        <v>35</v>
      </c>
      <c r="J514" s="1">
        <v>228</v>
      </c>
      <c r="K514" s="1">
        <v>32.571428571428569</v>
      </c>
      <c r="L514" s="3">
        <v>7</v>
      </c>
      <c r="M514" t="s">
        <v>126</v>
      </c>
      <c r="N514" s="2">
        <v>44578</v>
      </c>
      <c r="O514" t="s">
        <v>267</v>
      </c>
      <c r="P514" t="s">
        <v>1354</v>
      </c>
      <c r="Q514">
        <v>32605</v>
      </c>
      <c r="R514" t="s">
        <v>27</v>
      </c>
      <c r="S514" s="10">
        <v>16.545075989579999</v>
      </c>
      <c r="T514">
        <v>10</v>
      </c>
    </row>
    <row r="515" spans="1:20" x14ac:dyDescent="0.3">
      <c r="A515">
        <v>1851</v>
      </c>
      <c r="B515" t="s">
        <v>604</v>
      </c>
      <c r="C515" t="s">
        <v>358</v>
      </c>
      <c r="D515" t="s">
        <v>605</v>
      </c>
      <c r="E515" t="s">
        <v>606</v>
      </c>
      <c r="F515" t="s">
        <v>607</v>
      </c>
      <c r="G515" t="s">
        <v>194</v>
      </c>
      <c r="H515" t="s">
        <v>22</v>
      </c>
      <c r="I515" t="s">
        <v>65</v>
      </c>
      <c r="J515" s="1">
        <v>341</v>
      </c>
      <c r="K515" s="1">
        <v>37.888888888888886</v>
      </c>
      <c r="L515" s="3">
        <v>9</v>
      </c>
      <c r="M515" t="s">
        <v>343</v>
      </c>
      <c r="N515" s="2">
        <v>44581</v>
      </c>
      <c r="O515" t="s">
        <v>83</v>
      </c>
      <c r="P515" t="s">
        <v>351</v>
      </c>
      <c r="Q515">
        <v>11210</v>
      </c>
      <c r="R515" t="s">
        <v>27</v>
      </c>
      <c r="S515" s="10">
        <v>18.635138083351563</v>
      </c>
      <c r="T515">
        <v>11</v>
      </c>
    </row>
    <row r="516" spans="1:20" x14ac:dyDescent="0.3">
      <c r="A516">
        <v>1880</v>
      </c>
      <c r="B516" t="s">
        <v>129</v>
      </c>
      <c r="C516" t="s">
        <v>130</v>
      </c>
      <c r="D516" t="s">
        <v>131</v>
      </c>
      <c r="E516" t="s">
        <v>132</v>
      </c>
      <c r="F516" t="s">
        <v>133</v>
      </c>
      <c r="G516" t="s">
        <v>134</v>
      </c>
      <c r="H516" t="s">
        <v>22</v>
      </c>
      <c r="I516" t="s">
        <v>135</v>
      </c>
      <c r="J516" s="1">
        <v>547</v>
      </c>
      <c r="K516" s="1">
        <v>42.07692307692308</v>
      </c>
      <c r="L516" s="3">
        <v>13</v>
      </c>
      <c r="M516" t="s">
        <v>36</v>
      </c>
      <c r="N516" s="2">
        <v>44583</v>
      </c>
      <c r="O516" t="s">
        <v>136</v>
      </c>
      <c r="P516" t="s">
        <v>137</v>
      </c>
      <c r="Q516">
        <v>60614</v>
      </c>
      <c r="R516" t="s">
        <v>27</v>
      </c>
      <c r="S516" s="10">
        <v>28.880902702035598</v>
      </c>
      <c r="T516">
        <v>23</v>
      </c>
    </row>
    <row r="517" spans="1:20" x14ac:dyDescent="0.3">
      <c r="A517">
        <v>1116</v>
      </c>
      <c r="B517" t="s">
        <v>49</v>
      </c>
      <c r="C517" t="s">
        <v>50</v>
      </c>
      <c r="D517" t="s">
        <v>51</v>
      </c>
      <c r="E517" t="s">
        <v>52</v>
      </c>
      <c r="F517" t="s">
        <v>53</v>
      </c>
      <c r="G517" t="s">
        <v>54</v>
      </c>
      <c r="H517" t="s">
        <v>22</v>
      </c>
      <c r="I517" t="s">
        <v>55</v>
      </c>
      <c r="J517" s="1">
        <v>451</v>
      </c>
      <c r="K517" s="1">
        <v>37.583333333333336</v>
      </c>
      <c r="L517" s="3">
        <v>12</v>
      </c>
      <c r="M517" t="s">
        <v>56</v>
      </c>
      <c r="N517" s="2">
        <v>44585</v>
      </c>
      <c r="O517" t="s">
        <v>57</v>
      </c>
      <c r="P517" t="s">
        <v>58</v>
      </c>
      <c r="Q517">
        <v>30096</v>
      </c>
      <c r="R517" t="s">
        <v>27</v>
      </c>
      <c r="S517" s="10">
        <v>21.422387928642458</v>
      </c>
      <c r="T517">
        <v>20</v>
      </c>
    </row>
    <row r="518" spans="1:20" x14ac:dyDescent="0.3">
      <c r="A518">
        <v>1363</v>
      </c>
      <c r="B518" t="s">
        <v>507</v>
      </c>
      <c r="C518" t="s">
        <v>1355</v>
      </c>
      <c r="D518" t="s">
        <v>1356</v>
      </c>
      <c r="E518" t="s">
        <v>1357</v>
      </c>
      <c r="F518" t="s">
        <v>1358</v>
      </c>
      <c r="G518" t="s">
        <v>1359</v>
      </c>
      <c r="H518" t="s">
        <v>34</v>
      </c>
      <c r="I518" t="s">
        <v>55</v>
      </c>
      <c r="J518" s="1">
        <v>987</v>
      </c>
      <c r="K518" s="1">
        <v>41.125</v>
      </c>
      <c r="L518" s="3">
        <v>24</v>
      </c>
      <c r="M518" t="s">
        <v>126</v>
      </c>
      <c r="N518" s="2">
        <v>44586</v>
      </c>
      <c r="O518" t="s">
        <v>993</v>
      </c>
      <c r="P518" t="s">
        <v>994</v>
      </c>
      <c r="Q518">
        <v>25313</v>
      </c>
      <c r="R518" t="s">
        <v>27</v>
      </c>
      <c r="S518" s="10">
        <v>30.380085439312101</v>
      </c>
      <c r="T518">
        <v>47</v>
      </c>
    </row>
    <row r="519" spans="1:20" x14ac:dyDescent="0.3">
      <c r="A519">
        <v>1436</v>
      </c>
      <c r="B519" t="s">
        <v>294</v>
      </c>
      <c r="C519" t="s">
        <v>248</v>
      </c>
      <c r="D519" t="s">
        <v>295</v>
      </c>
      <c r="E519" t="s">
        <v>296</v>
      </c>
      <c r="F519" t="s">
        <v>297</v>
      </c>
      <c r="G519" t="s">
        <v>298</v>
      </c>
      <c r="H519" t="s">
        <v>22</v>
      </c>
      <c r="I519" t="s">
        <v>299</v>
      </c>
      <c r="J519" s="1">
        <v>616</v>
      </c>
      <c r="K519" s="1">
        <v>41.06666666666667</v>
      </c>
      <c r="L519" s="3">
        <v>15</v>
      </c>
      <c r="M519" t="s">
        <v>36</v>
      </c>
      <c r="N519" s="2">
        <v>44587</v>
      </c>
      <c r="O519" t="s">
        <v>300</v>
      </c>
      <c r="P519" t="s">
        <v>301</v>
      </c>
      <c r="Q519">
        <v>89145</v>
      </c>
      <c r="R519" t="s">
        <v>27</v>
      </c>
      <c r="S519" s="10">
        <v>19.22550803084847</v>
      </c>
      <c r="T519">
        <v>30</v>
      </c>
    </row>
    <row r="520" spans="1:20" x14ac:dyDescent="0.3">
      <c r="A520">
        <v>1764</v>
      </c>
      <c r="B520" t="s">
        <v>478</v>
      </c>
      <c r="C520" t="s">
        <v>340</v>
      </c>
      <c r="D520" t="s">
        <v>1360</v>
      </c>
      <c r="E520" t="s">
        <v>1361</v>
      </c>
      <c r="F520" t="s">
        <v>306</v>
      </c>
      <c r="G520" t="s">
        <v>1362</v>
      </c>
      <c r="H520" t="s">
        <v>34</v>
      </c>
      <c r="I520" t="s">
        <v>35</v>
      </c>
      <c r="J520" s="1">
        <v>95</v>
      </c>
      <c r="K520" s="1">
        <v>31.666666666666668</v>
      </c>
      <c r="L520" s="3">
        <v>3</v>
      </c>
      <c r="M520" t="s">
        <v>36</v>
      </c>
      <c r="N520" s="2">
        <v>44587</v>
      </c>
      <c r="O520" t="s">
        <v>83</v>
      </c>
      <c r="P520" t="s">
        <v>351</v>
      </c>
      <c r="Q520">
        <v>11215</v>
      </c>
      <c r="R520" t="s">
        <v>27</v>
      </c>
      <c r="S520" s="10">
        <v>6.717128207715124</v>
      </c>
      <c r="T520">
        <v>4</v>
      </c>
    </row>
    <row r="521" spans="1:20" x14ac:dyDescent="0.3">
      <c r="A521">
        <v>1629</v>
      </c>
      <c r="B521" t="s">
        <v>175</v>
      </c>
      <c r="C521" t="s">
        <v>1305</v>
      </c>
      <c r="D521" t="s">
        <v>1363</v>
      </c>
      <c r="E521" t="s">
        <v>1364</v>
      </c>
      <c r="F521" t="s">
        <v>1365</v>
      </c>
      <c r="G521" t="s">
        <v>172</v>
      </c>
      <c r="H521" t="s">
        <v>34</v>
      </c>
      <c r="I521" t="s">
        <v>23</v>
      </c>
      <c r="J521" s="1">
        <v>203</v>
      </c>
      <c r="K521" s="1">
        <v>29</v>
      </c>
      <c r="L521" s="3">
        <v>7</v>
      </c>
      <c r="M521" t="s">
        <v>66</v>
      </c>
      <c r="N521" s="2">
        <v>44590</v>
      </c>
      <c r="O521" t="s">
        <v>245</v>
      </c>
      <c r="P521" t="s">
        <v>886</v>
      </c>
      <c r="Q521">
        <v>74116</v>
      </c>
      <c r="R521" t="s">
        <v>27</v>
      </c>
      <c r="S521" s="10">
        <v>12.702256262153144</v>
      </c>
      <c r="T521">
        <v>10</v>
      </c>
    </row>
    <row r="522" spans="1:20" x14ac:dyDescent="0.3">
      <c r="A522">
        <v>1144</v>
      </c>
      <c r="B522" t="s">
        <v>776</v>
      </c>
      <c r="C522" t="s">
        <v>747</v>
      </c>
      <c r="D522" t="s">
        <v>807</v>
      </c>
      <c r="E522" t="s">
        <v>808</v>
      </c>
      <c r="F522" t="s">
        <v>235</v>
      </c>
      <c r="G522" t="s">
        <v>677</v>
      </c>
      <c r="H522" t="s">
        <v>22</v>
      </c>
      <c r="I522" t="s">
        <v>35</v>
      </c>
      <c r="J522" s="1">
        <v>128</v>
      </c>
      <c r="K522" s="1">
        <v>32</v>
      </c>
      <c r="L522" s="3">
        <v>4</v>
      </c>
      <c r="M522" t="s">
        <v>66</v>
      </c>
      <c r="N522" s="2">
        <v>44591</v>
      </c>
      <c r="O522" t="s">
        <v>83</v>
      </c>
      <c r="P522" t="s">
        <v>809</v>
      </c>
      <c r="Q522">
        <v>11355</v>
      </c>
      <c r="R522" t="s">
        <v>27</v>
      </c>
      <c r="S522" s="10">
        <v>6.8789854852594328</v>
      </c>
      <c r="T522">
        <v>4</v>
      </c>
    </row>
    <row r="523" spans="1:20" x14ac:dyDescent="0.3">
      <c r="A523">
        <v>1170</v>
      </c>
      <c r="B523" t="s">
        <v>153</v>
      </c>
      <c r="C523" t="s">
        <v>154</v>
      </c>
      <c r="D523" t="s">
        <v>155</v>
      </c>
      <c r="E523" t="s">
        <v>156</v>
      </c>
      <c r="F523" t="s">
        <v>157</v>
      </c>
      <c r="G523" t="s">
        <v>158</v>
      </c>
      <c r="H523" t="s">
        <v>34</v>
      </c>
      <c r="I523" t="s">
        <v>65</v>
      </c>
      <c r="J523" s="1">
        <v>213</v>
      </c>
      <c r="K523" s="1">
        <v>26.625</v>
      </c>
      <c r="L523" s="3">
        <v>8</v>
      </c>
      <c r="M523" t="s">
        <v>24</v>
      </c>
      <c r="N523" s="2">
        <v>44591</v>
      </c>
      <c r="O523" t="s">
        <v>67</v>
      </c>
      <c r="P523" t="s">
        <v>159</v>
      </c>
      <c r="Q523">
        <v>88574</v>
      </c>
      <c r="R523" t="s">
        <v>27</v>
      </c>
      <c r="S523" s="10">
        <v>12.945941998504352</v>
      </c>
      <c r="T523">
        <v>15</v>
      </c>
    </row>
    <row r="524" spans="1:20" x14ac:dyDescent="0.3">
      <c r="A524">
        <v>1521</v>
      </c>
      <c r="B524" t="s">
        <v>604</v>
      </c>
      <c r="C524" t="s">
        <v>1366</v>
      </c>
      <c r="D524" t="s">
        <v>1367</v>
      </c>
      <c r="E524" t="s">
        <v>1368</v>
      </c>
      <c r="F524" t="s">
        <v>1369</v>
      </c>
      <c r="G524" t="s">
        <v>790</v>
      </c>
      <c r="H524" t="s">
        <v>22</v>
      </c>
      <c r="I524" t="s">
        <v>236</v>
      </c>
      <c r="J524" s="1">
        <v>58</v>
      </c>
      <c r="K524" s="1">
        <v>29</v>
      </c>
      <c r="L524" s="3">
        <v>2</v>
      </c>
      <c r="M524" t="s">
        <v>36</v>
      </c>
      <c r="N524" s="2">
        <v>44593</v>
      </c>
      <c r="O524" t="s">
        <v>57</v>
      </c>
      <c r="P524" t="s">
        <v>791</v>
      </c>
      <c r="Q524">
        <v>30311</v>
      </c>
      <c r="R524" t="s">
        <v>27</v>
      </c>
      <c r="S524" s="10">
        <v>3.7235792859775558</v>
      </c>
      <c r="T524">
        <v>2</v>
      </c>
    </row>
    <row r="525" spans="1:20" x14ac:dyDescent="0.3">
      <c r="A525">
        <v>1234</v>
      </c>
      <c r="B525" t="s">
        <v>59</v>
      </c>
      <c r="C525" t="s">
        <v>60</v>
      </c>
      <c r="D525" t="s">
        <v>61</v>
      </c>
      <c r="E525" t="s">
        <v>62</v>
      </c>
      <c r="F525" t="s">
        <v>63</v>
      </c>
      <c r="G525" t="s">
        <v>64</v>
      </c>
      <c r="H525" t="s">
        <v>34</v>
      </c>
      <c r="I525" t="s">
        <v>65</v>
      </c>
      <c r="J525" s="1">
        <v>424</v>
      </c>
      <c r="K525" s="1">
        <v>24.941176470588236</v>
      </c>
      <c r="L525" s="3">
        <v>17</v>
      </c>
      <c r="M525" t="s">
        <v>66</v>
      </c>
      <c r="N525" s="2">
        <v>44595</v>
      </c>
      <c r="O525" t="s">
        <v>67</v>
      </c>
      <c r="P525" t="s">
        <v>68</v>
      </c>
      <c r="Q525">
        <v>78710</v>
      </c>
      <c r="R525" t="s">
        <v>27</v>
      </c>
      <c r="S525" s="10">
        <v>31.989675806779754</v>
      </c>
      <c r="T525">
        <v>36</v>
      </c>
    </row>
    <row r="526" spans="1:20" x14ac:dyDescent="0.3">
      <c r="A526">
        <v>1489</v>
      </c>
      <c r="B526" t="s">
        <v>85</v>
      </c>
      <c r="C526" t="s">
        <v>86</v>
      </c>
      <c r="D526" t="s">
        <v>87</v>
      </c>
      <c r="E526" t="s">
        <v>88</v>
      </c>
      <c r="F526" t="s">
        <v>89</v>
      </c>
      <c r="G526" t="s">
        <v>90</v>
      </c>
      <c r="H526" t="s">
        <v>34</v>
      </c>
      <c r="I526" t="s">
        <v>23</v>
      </c>
      <c r="J526" s="1">
        <v>516</v>
      </c>
      <c r="K526" s="1">
        <v>39.692307692307693</v>
      </c>
      <c r="L526" s="3">
        <v>13</v>
      </c>
      <c r="M526" t="s">
        <v>66</v>
      </c>
      <c r="N526" s="2">
        <v>44599</v>
      </c>
      <c r="O526" t="s">
        <v>47</v>
      </c>
      <c r="P526" t="s">
        <v>91</v>
      </c>
      <c r="Q526">
        <v>23668</v>
      </c>
      <c r="R526" t="s">
        <v>27</v>
      </c>
      <c r="S526" s="10">
        <v>18.25177450040011</v>
      </c>
      <c r="T526">
        <v>21</v>
      </c>
    </row>
    <row r="527" spans="1:20" x14ac:dyDescent="0.3">
      <c r="A527">
        <v>1116</v>
      </c>
      <c r="B527" t="s">
        <v>49</v>
      </c>
      <c r="C527" t="s">
        <v>50</v>
      </c>
      <c r="D527" t="s">
        <v>51</v>
      </c>
      <c r="E527" t="s">
        <v>52</v>
      </c>
      <c r="F527" t="s">
        <v>53</v>
      </c>
      <c r="G527" t="s">
        <v>54</v>
      </c>
      <c r="H527" t="s">
        <v>22</v>
      </c>
      <c r="I527" t="s">
        <v>55</v>
      </c>
      <c r="J527" s="1">
        <v>73</v>
      </c>
      <c r="K527" s="1">
        <v>24.333333333333332</v>
      </c>
      <c r="L527" s="3">
        <v>3</v>
      </c>
      <c r="M527" t="s">
        <v>56</v>
      </c>
      <c r="N527" s="2">
        <v>44601</v>
      </c>
      <c r="O527" t="s">
        <v>57</v>
      </c>
      <c r="P527" t="s">
        <v>58</v>
      </c>
      <c r="Q527">
        <v>30096</v>
      </c>
      <c r="R527" t="s">
        <v>27</v>
      </c>
      <c r="S527" s="10">
        <v>7.2236710463039877</v>
      </c>
      <c r="T527">
        <v>4</v>
      </c>
    </row>
    <row r="528" spans="1:20" x14ac:dyDescent="0.3">
      <c r="A528">
        <v>1170</v>
      </c>
      <c r="B528" t="s">
        <v>153</v>
      </c>
      <c r="C528" t="s">
        <v>154</v>
      </c>
      <c r="D528" t="s">
        <v>155</v>
      </c>
      <c r="E528" t="s">
        <v>156</v>
      </c>
      <c r="F528" t="s">
        <v>157</v>
      </c>
      <c r="G528" t="s">
        <v>158</v>
      </c>
      <c r="H528" t="s">
        <v>34</v>
      </c>
      <c r="I528" t="s">
        <v>65</v>
      </c>
      <c r="J528" s="1">
        <v>146</v>
      </c>
      <c r="K528" s="1">
        <v>36.5</v>
      </c>
      <c r="L528" s="3">
        <v>4</v>
      </c>
      <c r="M528" t="s">
        <v>24</v>
      </c>
      <c r="N528" s="2">
        <v>44601</v>
      </c>
      <c r="O528" t="s">
        <v>67</v>
      </c>
      <c r="P528" t="s">
        <v>159</v>
      </c>
      <c r="Q528">
        <v>88574</v>
      </c>
      <c r="R528" t="s">
        <v>27</v>
      </c>
      <c r="S528" s="10">
        <v>9.101907586331178</v>
      </c>
      <c r="T528">
        <v>4</v>
      </c>
    </row>
    <row r="529" spans="1:20" x14ac:dyDescent="0.3">
      <c r="A529">
        <v>1513</v>
      </c>
      <c r="B529" t="s">
        <v>556</v>
      </c>
      <c r="C529" t="s">
        <v>1370</v>
      </c>
      <c r="D529" t="s">
        <v>1371</v>
      </c>
      <c r="E529" t="s">
        <v>1372</v>
      </c>
      <c r="F529" t="s">
        <v>1097</v>
      </c>
      <c r="G529" t="s">
        <v>1238</v>
      </c>
      <c r="H529" t="s">
        <v>34</v>
      </c>
      <c r="I529" t="s">
        <v>366</v>
      </c>
      <c r="J529" s="1">
        <v>59</v>
      </c>
      <c r="K529" s="1">
        <v>29.5</v>
      </c>
      <c r="L529" s="3">
        <v>2</v>
      </c>
      <c r="M529" t="s">
        <v>46</v>
      </c>
      <c r="N529" s="2">
        <v>44602</v>
      </c>
      <c r="O529" t="s">
        <v>47</v>
      </c>
      <c r="P529" t="s">
        <v>48</v>
      </c>
      <c r="Q529">
        <v>23289</v>
      </c>
      <c r="R529" t="s">
        <v>27</v>
      </c>
      <c r="S529" s="10">
        <v>2.9544336736205787</v>
      </c>
      <c r="T529">
        <v>3</v>
      </c>
    </row>
    <row r="530" spans="1:20" x14ac:dyDescent="0.3">
      <c r="A530">
        <v>1994</v>
      </c>
      <c r="B530" t="s">
        <v>740</v>
      </c>
      <c r="C530" t="s">
        <v>466</v>
      </c>
      <c r="D530" t="s">
        <v>741</v>
      </c>
      <c r="E530" t="s">
        <v>742</v>
      </c>
      <c r="F530" t="s">
        <v>743</v>
      </c>
      <c r="G530" t="s">
        <v>744</v>
      </c>
      <c r="H530" t="s">
        <v>34</v>
      </c>
      <c r="I530" t="s">
        <v>65</v>
      </c>
      <c r="J530" s="1">
        <v>197</v>
      </c>
      <c r="K530" s="1">
        <v>24.625</v>
      </c>
      <c r="L530" s="3">
        <v>8</v>
      </c>
      <c r="M530" t="s">
        <v>36</v>
      </c>
      <c r="N530" s="2">
        <v>44605</v>
      </c>
      <c r="O530" t="s">
        <v>136</v>
      </c>
      <c r="P530" t="s">
        <v>745</v>
      </c>
      <c r="Q530">
        <v>61651</v>
      </c>
      <c r="R530" t="s">
        <v>27</v>
      </c>
      <c r="S530" s="10">
        <v>11.414478726110337</v>
      </c>
      <c r="T530">
        <v>10</v>
      </c>
    </row>
    <row r="531" spans="1:20" x14ac:dyDescent="0.3">
      <c r="A531">
        <v>1095</v>
      </c>
      <c r="B531" t="s">
        <v>550</v>
      </c>
      <c r="C531" t="s">
        <v>551</v>
      </c>
      <c r="D531" t="s">
        <v>552</v>
      </c>
      <c r="E531" t="s">
        <v>553</v>
      </c>
      <c r="F531" t="s">
        <v>554</v>
      </c>
      <c r="G531" t="s">
        <v>555</v>
      </c>
      <c r="H531" t="s">
        <v>22</v>
      </c>
      <c r="I531" t="s">
        <v>55</v>
      </c>
      <c r="J531" s="1">
        <v>538</v>
      </c>
      <c r="K531" s="1">
        <v>35.866666666666667</v>
      </c>
      <c r="L531" s="3">
        <v>15</v>
      </c>
      <c r="M531" t="s">
        <v>126</v>
      </c>
      <c r="N531" s="2">
        <v>44607</v>
      </c>
      <c r="O531" t="s">
        <v>67</v>
      </c>
      <c r="P531" t="s">
        <v>334</v>
      </c>
      <c r="Q531">
        <v>77040</v>
      </c>
      <c r="R531" t="s">
        <v>27</v>
      </c>
      <c r="S531" s="10">
        <v>20.251889191313438</v>
      </c>
      <c r="T531">
        <v>20</v>
      </c>
    </row>
    <row r="532" spans="1:20" x14ac:dyDescent="0.3">
      <c r="A532">
        <v>1017</v>
      </c>
      <c r="B532" t="s">
        <v>660</v>
      </c>
      <c r="C532" t="s">
        <v>679</v>
      </c>
      <c r="D532" t="s">
        <v>680</v>
      </c>
      <c r="E532" t="s">
        <v>681</v>
      </c>
      <c r="F532" t="s">
        <v>682</v>
      </c>
      <c r="G532" t="s">
        <v>446</v>
      </c>
      <c r="H532" t="s">
        <v>22</v>
      </c>
      <c r="I532" t="s">
        <v>23</v>
      </c>
      <c r="J532" s="1">
        <v>650</v>
      </c>
      <c r="K532" s="1">
        <v>29.545454545454547</v>
      </c>
      <c r="L532" s="3">
        <v>22</v>
      </c>
      <c r="M532" t="s">
        <v>36</v>
      </c>
      <c r="N532" s="2">
        <v>44609</v>
      </c>
      <c r="O532" t="s">
        <v>136</v>
      </c>
      <c r="P532" t="s">
        <v>137</v>
      </c>
      <c r="Q532">
        <v>60663</v>
      </c>
      <c r="R532" t="s">
        <v>27</v>
      </c>
      <c r="S532" s="10">
        <v>37.453811004174284</v>
      </c>
      <c r="T532">
        <v>48</v>
      </c>
    </row>
    <row r="533" spans="1:20" x14ac:dyDescent="0.3">
      <c r="A533">
        <v>1851</v>
      </c>
      <c r="B533" t="s">
        <v>604</v>
      </c>
      <c r="C533" t="s">
        <v>358</v>
      </c>
      <c r="D533" t="s">
        <v>605</v>
      </c>
      <c r="E533" t="s">
        <v>606</v>
      </c>
      <c r="F533" t="s">
        <v>607</v>
      </c>
      <c r="G533" t="s">
        <v>194</v>
      </c>
      <c r="H533" t="s">
        <v>22</v>
      </c>
      <c r="I533" t="s">
        <v>65</v>
      </c>
      <c r="J533" s="1">
        <v>709</v>
      </c>
      <c r="K533" s="1">
        <v>35.450000000000003</v>
      </c>
      <c r="L533" s="3">
        <v>20</v>
      </c>
      <c r="M533" t="s">
        <v>343</v>
      </c>
      <c r="N533" s="2">
        <v>44612</v>
      </c>
      <c r="O533" t="s">
        <v>83</v>
      </c>
      <c r="P533" t="s">
        <v>351</v>
      </c>
      <c r="Q533">
        <v>11210</v>
      </c>
      <c r="R533" t="s">
        <v>27</v>
      </c>
      <c r="S533" s="10">
        <v>41.24371769916749</v>
      </c>
      <c r="T533">
        <v>46</v>
      </c>
    </row>
    <row r="534" spans="1:20" x14ac:dyDescent="0.3">
      <c r="A534">
        <v>1542</v>
      </c>
      <c r="B534" t="s">
        <v>161</v>
      </c>
      <c r="C534" t="s">
        <v>1083</v>
      </c>
      <c r="D534" t="s">
        <v>1373</v>
      </c>
      <c r="E534" t="s">
        <v>1374</v>
      </c>
      <c r="F534" t="s">
        <v>1311</v>
      </c>
      <c r="G534" t="s">
        <v>909</v>
      </c>
      <c r="H534" t="s">
        <v>34</v>
      </c>
      <c r="I534" t="s">
        <v>45</v>
      </c>
      <c r="J534" s="1">
        <v>831</v>
      </c>
      <c r="K534" s="1">
        <v>31.96153846153846</v>
      </c>
      <c r="L534" s="3">
        <v>26</v>
      </c>
      <c r="M534" t="s">
        <v>219</v>
      </c>
      <c r="N534" s="2">
        <v>44614</v>
      </c>
      <c r="O534" t="s">
        <v>267</v>
      </c>
      <c r="P534" t="s">
        <v>344</v>
      </c>
      <c r="Q534">
        <v>32885</v>
      </c>
      <c r="R534" t="s">
        <v>27</v>
      </c>
      <c r="S534" s="10">
        <v>43.627778586397177</v>
      </c>
      <c r="T534">
        <v>48</v>
      </c>
    </row>
    <row r="535" spans="1:20" x14ac:dyDescent="0.3">
      <c r="A535">
        <v>1433</v>
      </c>
      <c r="B535" t="s">
        <v>465</v>
      </c>
      <c r="C535" t="s">
        <v>466</v>
      </c>
      <c r="D535" t="s">
        <v>467</v>
      </c>
      <c r="E535" t="s">
        <v>468</v>
      </c>
      <c r="F535" t="s">
        <v>469</v>
      </c>
      <c r="G535" t="s">
        <v>459</v>
      </c>
      <c r="H535" t="s">
        <v>34</v>
      </c>
      <c r="I535" t="s">
        <v>135</v>
      </c>
      <c r="J535" s="1">
        <v>679</v>
      </c>
      <c r="K535" s="1">
        <v>25.148148148148149</v>
      </c>
      <c r="L535" s="3">
        <v>27</v>
      </c>
      <c r="M535" t="s">
        <v>56</v>
      </c>
      <c r="N535" s="2">
        <v>44616</v>
      </c>
      <c r="O535" t="s">
        <v>470</v>
      </c>
      <c r="P535" t="s">
        <v>358</v>
      </c>
      <c r="Q535">
        <v>20420</v>
      </c>
      <c r="R535" t="s">
        <v>27</v>
      </c>
      <c r="S535" s="10">
        <v>55.445758076403003</v>
      </c>
      <c r="T535">
        <v>56</v>
      </c>
    </row>
    <row r="536" spans="1:20" x14ac:dyDescent="0.3">
      <c r="A536">
        <v>1880</v>
      </c>
      <c r="B536" t="s">
        <v>129</v>
      </c>
      <c r="C536" t="s">
        <v>130</v>
      </c>
      <c r="D536" t="s">
        <v>131</v>
      </c>
      <c r="E536" t="s">
        <v>132</v>
      </c>
      <c r="F536" t="s">
        <v>133</v>
      </c>
      <c r="G536" t="s">
        <v>134</v>
      </c>
      <c r="H536" t="s">
        <v>22</v>
      </c>
      <c r="I536" t="s">
        <v>135</v>
      </c>
      <c r="J536" s="1">
        <v>557</v>
      </c>
      <c r="K536" s="1">
        <v>37.133333333333333</v>
      </c>
      <c r="L536" s="3">
        <v>15</v>
      </c>
      <c r="M536" t="s">
        <v>36</v>
      </c>
      <c r="N536" s="2">
        <v>44620</v>
      </c>
      <c r="O536" t="s">
        <v>136</v>
      </c>
      <c r="P536" t="s">
        <v>137</v>
      </c>
      <c r="Q536">
        <v>60614</v>
      </c>
      <c r="R536" t="s">
        <v>27</v>
      </c>
      <c r="S536" s="10">
        <v>25.79182180372969</v>
      </c>
      <c r="T536">
        <v>26</v>
      </c>
    </row>
    <row r="537" spans="1:20" x14ac:dyDescent="0.3">
      <c r="A537">
        <v>1017</v>
      </c>
      <c r="B537" t="s">
        <v>660</v>
      </c>
      <c r="C537" t="s">
        <v>679</v>
      </c>
      <c r="D537" t="s">
        <v>680</v>
      </c>
      <c r="E537" t="s">
        <v>681</v>
      </c>
      <c r="F537" t="s">
        <v>682</v>
      </c>
      <c r="G537" t="s">
        <v>446</v>
      </c>
      <c r="H537" t="s">
        <v>22</v>
      </c>
      <c r="I537" t="s">
        <v>23</v>
      </c>
      <c r="J537" s="1">
        <v>846</v>
      </c>
      <c r="K537" s="1">
        <v>38.454545454545453</v>
      </c>
      <c r="L537" s="3">
        <v>22</v>
      </c>
      <c r="M537" t="s">
        <v>36</v>
      </c>
      <c r="N537" s="2">
        <v>44624</v>
      </c>
      <c r="O537" t="s">
        <v>136</v>
      </c>
      <c r="P537" t="s">
        <v>137</v>
      </c>
      <c r="Q537">
        <v>60663</v>
      </c>
      <c r="R537" t="s">
        <v>27</v>
      </c>
      <c r="S537" s="10">
        <v>32.133625621669722</v>
      </c>
      <c r="T537">
        <v>37</v>
      </c>
    </row>
    <row r="538" spans="1:20" x14ac:dyDescent="0.3">
      <c r="A538">
        <v>1605</v>
      </c>
      <c r="B538" t="s">
        <v>740</v>
      </c>
      <c r="C538" t="s">
        <v>689</v>
      </c>
      <c r="D538" t="s">
        <v>1375</v>
      </c>
      <c r="E538" t="s">
        <v>1376</v>
      </c>
      <c r="F538" t="s">
        <v>1377</v>
      </c>
      <c r="G538" t="s">
        <v>650</v>
      </c>
      <c r="H538" t="s">
        <v>34</v>
      </c>
      <c r="I538" t="s">
        <v>135</v>
      </c>
      <c r="J538" s="1">
        <v>751</v>
      </c>
      <c r="K538" s="1">
        <v>32.652173913043477</v>
      </c>
      <c r="L538" s="3">
        <v>23</v>
      </c>
      <c r="M538" t="s">
        <v>404</v>
      </c>
      <c r="N538" s="2">
        <v>44624</v>
      </c>
      <c r="O538" t="s">
        <v>220</v>
      </c>
      <c r="P538" t="s">
        <v>1378</v>
      </c>
      <c r="Q538">
        <v>46247</v>
      </c>
      <c r="R538" t="s">
        <v>27</v>
      </c>
      <c r="S538" s="10">
        <v>46.42516793122369</v>
      </c>
      <c r="T538">
        <v>45</v>
      </c>
    </row>
    <row r="539" spans="1:20" x14ac:dyDescent="0.3">
      <c r="A539">
        <v>1986</v>
      </c>
      <c r="B539" t="s">
        <v>1379</v>
      </c>
      <c r="C539" t="s">
        <v>281</v>
      </c>
      <c r="D539" t="s">
        <v>1380</v>
      </c>
      <c r="E539" t="s">
        <v>1381</v>
      </c>
      <c r="F539" t="s">
        <v>150</v>
      </c>
      <c r="G539" t="s">
        <v>918</v>
      </c>
      <c r="H539" t="s">
        <v>34</v>
      </c>
      <c r="I539" t="s">
        <v>65</v>
      </c>
      <c r="J539" s="1">
        <v>165</v>
      </c>
      <c r="K539" s="1">
        <v>33</v>
      </c>
      <c r="L539" s="3">
        <v>5</v>
      </c>
      <c r="M539" t="s">
        <v>143</v>
      </c>
      <c r="N539" s="2">
        <v>44624</v>
      </c>
      <c r="O539" t="s">
        <v>67</v>
      </c>
      <c r="P539" t="s">
        <v>334</v>
      </c>
      <c r="Q539">
        <v>77010</v>
      </c>
      <c r="R539" t="s">
        <v>27</v>
      </c>
      <c r="S539" s="10">
        <v>8.0632312463781304</v>
      </c>
      <c r="T539">
        <v>8</v>
      </c>
    </row>
    <row r="540" spans="1:20" x14ac:dyDescent="0.3">
      <c r="A540">
        <v>1361</v>
      </c>
      <c r="B540" t="s">
        <v>175</v>
      </c>
      <c r="C540" t="s">
        <v>311</v>
      </c>
      <c r="D540" t="s">
        <v>1382</v>
      </c>
      <c r="E540" t="s">
        <v>1383</v>
      </c>
      <c r="F540" t="s">
        <v>1086</v>
      </c>
      <c r="G540" t="s">
        <v>1110</v>
      </c>
      <c r="H540" t="s">
        <v>34</v>
      </c>
      <c r="I540" t="s">
        <v>266</v>
      </c>
      <c r="J540" s="1">
        <v>421</v>
      </c>
      <c r="K540" s="1">
        <v>30.071428571428573</v>
      </c>
      <c r="L540" s="3">
        <v>14</v>
      </c>
      <c r="M540" t="s">
        <v>36</v>
      </c>
      <c r="N540" s="2">
        <v>44627</v>
      </c>
      <c r="O540" t="s">
        <v>25</v>
      </c>
      <c r="P540" t="s">
        <v>1384</v>
      </c>
      <c r="Q540">
        <v>49444</v>
      </c>
      <c r="R540" t="s">
        <v>27</v>
      </c>
      <c r="S540" s="10">
        <v>33.627893582879757</v>
      </c>
      <c r="T540">
        <v>31</v>
      </c>
    </row>
    <row r="541" spans="1:20" x14ac:dyDescent="0.3">
      <c r="A541">
        <v>1622</v>
      </c>
      <c r="B541" t="s">
        <v>1385</v>
      </c>
      <c r="C541" t="s">
        <v>1386</v>
      </c>
      <c r="D541" t="s">
        <v>1387</v>
      </c>
      <c r="E541" t="s">
        <v>1388</v>
      </c>
      <c r="F541" t="s">
        <v>1389</v>
      </c>
      <c r="G541" t="s">
        <v>180</v>
      </c>
      <c r="H541" t="s">
        <v>22</v>
      </c>
      <c r="I541" t="s">
        <v>23</v>
      </c>
      <c r="J541" s="1">
        <v>180</v>
      </c>
      <c r="K541" s="1">
        <v>36</v>
      </c>
      <c r="L541" s="3">
        <v>5</v>
      </c>
      <c r="M541" t="s">
        <v>447</v>
      </c>
      <c r="N541" s="2">
        <v>44627</v>
      </c>
      <c r="O541" t="s">
        <v>173</v>
      </c>
      <c r="P541" t="s">
        <v>174</v>
      </c>
      <c r="Q541">
        <v>64190</v>
      </c>
      <c r="R541" t="s">
        <v>27</v>
      </c>
      <c r="S541" s="10">
        <v>11.386573086393463</v>
      </c>
      <c r="T541">
        <v>9</v>
      </c>
    </row>
    <row r="542" spans="1:20" x14ac:dyDescent="0.3">
      <c r="A542">
        <v>1434</v>
      </c>
      <c r="B542" t="s">
        <v>380</v>
      </c>
      <c r="C542" t="s">
        <v>449</v>
      </c>
      <c r="D542" t="s">
        <v>450</v>
      </c>
      <c r="E542" t="s">
        <v>451</v>
      </c>
      <c r="F542" t="s">
        <v>452</v>
      </c>
      <c r="G542" t="s">
        <v>453</v>
      </c>
      <c r="H542" t="s">
        <v>22</v>
      </c>
      <c r="I542" t="s">
        <v>35</v>
      </c>
      <c r="J542" s="1">
        <v>543</v>
      </c>
      <c r="K542" s="1">
        <v>38.785714285714285</v>
      </c>
      <c r="L542" s="3">
        <v>14</v>
      </c>
      <c r="M542" t="s">
        <v>36</v>
      </c>
      <c r="N542" s="2">
        <v>44629</v>
      </c>
      <c r="O542" t="s">
        <v>118</v>
      </c>
      <c r="P542" t="s">
        <v>454</v>
      </c>
      <c r="Q542">
        <v>55436</v>
      </c>
      <c r="R542" t="s">
        <v>27</v>
      </c>
      <c r="S542" s="10">
        <v>34.990317827276947</v>
      </c>
      <c r="T542">
        <v>29</v>
      </c>
    </row>
    <row r="543" spans="1:20" x14ac:dyDescent="0.3">
      <c r="A543">
        <v>1298</v>
      </c>
      <c r="B543" t="s">
        <v>275</v>
      </c>
      <c r="C543" t="s">
        <v>340</v>
      </c>
      <c r="D543" t="s">
        <v>341</v>
      </c>
      <c r="E543" t="s">
        <v>342</v>
      </c>
      <c r="F543" t="s">
        <v>306</v>
      </c>
      <c r="G543" t="s">
        <v>180</v>
      </c>
      <c r="H543" t="s">
        <v>22</v>
      </c>
      <c r="I543" t="s">
        <v>236</v>
      </c>
      <c r="J543" s="1">
        <v>542</v>
      </c>
      <c r="K543" s="1">
        <v>36.133333333333333</v>
      </c>
      <c r="L543" s="3">
        <v>15</v>
      </c>
      <c r="M543" t="s">
        <v>343</v>
      </c>
      <c r="N543" s="2">
        <v>44630</v>
      </c>
      <c r="O543" t="s">
        <v>267</v>
      </c>
      <c r="P543" t="s">
        <v>344</v>
      </c>
      <c r="Q543">
        <v>32891</v>
      </c>
      <c r="R543" t="s">
        <v>27</v>
      </c>
      <c r="S543" s="10">
        <v>25.530786101809973</v>
      </c>
      <c r="T543">
        <v>18</v>
      </c>
    </row>
    <row r="544" spans="1:20" x14ac:dyDescent="0.3">
      <c r="A544">
        <v>1653</v>
      </c>
      <c r="B544" t="s">
        <v>688</v>
      </c>
      <c r="C544" t="s">
        <v>1119</v>
      </c>
      <c r="D544" t="s">
        <v>1390</v>
      </c>
      <c r="E544" t="s">
        <v>1391</v>
      </c>
      <c r="F544" t="s">
        <v>81</v>
      </c>
      <c r="G544" t="s">
        <v>158</v>
      </c>
      <c r="H544" t="s">
        <v>22</v>
      </c>
      <c r="I544" t="s">
        <v>23</v>
      </c>
      <c r="J544" s="1">
        <v>922</v>
      </c>
      <c r="K544" s="1">
        <v>31.793103448275861</v>
      </c>
      <c r="L544" s="3">
        <v>29</v>
      </c>
      <c r="M544" t="s">
        <v>36</v>
      </c>
      <c r="N544" s="2">
        <v>44632</v>
      </c>
      <c r="O544" t="s">
        <v>300</v>
      </c>
      <c r="P544" t="s">
        <v>1392</v>
      </c>
      <c r="Q544">
        <v>89436</v>
      </c>
      <c r="R544" t="s">
        <v>27</v>
      </c>
      <c r="S544" s="10">
        <v>53.315886569992294</v>
      </c>
      <c r="T544">
        <v>50</v>
      </c>
    </row>
    <row r="545" spans="1:20" x14ac:dyDescent="0.3">
      <c r="A545">
        <v>1365</v>
      </c>
      <c r="B545" t="s">
        <v>471</v>
      </c>
      <c r="C545" t="s">
        <v>472</v>
      </c>
      <c r="D545" t="s">
        <v>473</v>
      </c>
      <c r="E545" t="s">
        <v>474</v>
      </c>
      <c r="F545" t="s">
        <v>475</v>
      </c>
      <c r="G545" t="s">
        <v>476</v>
      </c>
      <c r="H545" t="s">
        <v>34</v>
      </c>
      <c r="I545" t="s">
        <v>55</v>
      </c>
      <c r="J545" s="1">
        <v>824</v>
      </c>
      <c r="K545" s="1">
        <v>25.75</v>
      </c>
      <c r="L545" s="3">
        <v>32</v>
      </c>
      <c r="M545" t="s">
        <v>66</v>
      </c>
      <c r="N545" s="2">
        <v>44634</v>
      </c>
      <c r="O545" t="s">
        <v>267</v>
      </c>
      <c r="P545" t="s">
        <v>477</v>
      </c>
      <c r="Q545">
        <v>33261</v>
      </c>
      <c r="R545" t="s">
        <v>27</v>
      </c>
      <c r="S545" s="10">
        <v>46.324471553623411</v>
      </c>
      <c r="T545">
        <v>55</v>
      </c>
    </row>
    <row r="546" spans="1:20" x14ac:dyDescent="0.3">
      <c r="A546">
        <v>1851</v>
      </c>
      <c r="B546" t="s">
        <v>604</v>
      </c>
      <c r="C546" t="s">
        <v>358</v>
      </c>
      <c r="D546" t="s">
        <v>605</v>
      </c>
      <c r="E546" t="s">
        <v>606</v>
      </c>
      <c r="F546" t="s">
        <v>607</v>
      </c>
      <c r="G546" t="s">
        <v>194</v>
      </c>
      <c r="H546" t="s">
        <v>22</v>
      </c>
      <c r="I546" t="s">
        <v>65</v>
      </c>
      <c r="J546" s="1">
        <v>551</v>
      </c>
      <c r="K546" s="1">
        <v>34.4375</v>
      </c>
      <c r="L546" s="3">
        <v>16</v>
      </c>
      <c r="M546" t="s">
        <v>343</v>
      </c>
      <c r="N546" s="2">
        <v>44634</v>
      </c>
      <c r="O546" t="s">
        <v>83</v>
      </c>
      <c r="P546" t="s">
        <v>351</v>
      </c>
      <c r="Q546">
        <v>11210</v>
      </c>
      <c r="R546" t="s">
        <v>27</v>
      </c>
      <c r="S546" s="10">
        <v>31.93190173628313</v>
      </c>
      <c r="T546">
        <v>33</v>
      </c>
    </row>
    <row r="547" spans="1:20" x14ac:dyDescent="0.3">
      <c r="A547">
        <v>1993</v>
      </c>
      <c r="B547" t="s">
        <v>198</v>
      </c>
      <c r="C547" t="s">
        <v>1393</v>
      </c>
      <c r="D547" t="s">
        <v>1394</v>
      </c>
      <c r="E547" t="s">
        <v>1395</v>
      </c>
      <c r="F547" t="s">
        <v>1396</v>
      </c>
      <c r="G547" t="s">
        <v>285</v>
      </c>
      <c r="H547" t="s">
        <v>22</v>
      </c>
      <c r="I547" t="s">
        <v>65</v>
      </c>
      <c r="J547" s="1">
        <v>52</v>
      </c>
      <c r="K547" s="1">
        <v>52</v>
      </c>
      <c r="L547" s="3">
        <v>1</v>
      </c>
      <c r="M547" t="s">
        <v>143</v>
      </c>
      <c r="N547" s="2">
        <v>44635</v>
      </c>
      <c r="O547" t="s">
        <v>100</v>
      </c>
      <c r="P547" t="s">
        <v>734</v>
      </c>
      <c r="Q547">
        <v>50369</v>
      </c>
      <c r="R547" t="s">
        <v>27</v>
      </c>
      <c r="S547" s="10">
        <v>1.7458189956554442</v>
      </c>
      <c r="T547">
        <v>2</v>
      </c>
    </row>
    <row r="548" spans="1:20" x14ac:dyDescent="0.3">
      <c r="A548">
        <v>1406</v>
      </c>
      <c r="B548" t="s">
        <v>746</v>
      </c>
      <c r="C548" t="s">
        <v>783</v>
      </c>
      <c r="D548" t="s">
        <v>1232</v>
      </c>
      <c r="E548" t="s">
        <v>1233</v>
      </c>
      <c r="F548" t="s">
        <v>278</v>
      </c>
      <c r="G548" t="s">
        <v>918</v>
      </c>
      <c r="H548" t="s">
        <v>34</v>
      </c>
      <c r="I548" t="s">
        <v>45</v>
      </c>
      <c r="J548" s="1">
        <v>815</v>
      </c>
      <c r="K548" s="1">
        <v>38.80952380952381</v>
      </c>
      <c r="L548" s="3">
        <v>21</v>
      </c>
      <c r="M548" t="s">
        <v>126</v>
      </c>
      <c r="N548" s="2">
        <v>44636</v>
      </c>
      <c r="O548" t="s">
        <v>47</v>
      </c>
      <c r="P548" t="s">
        <v>1234</v>
      </c>
      <c r="Q548">
        <v>24040</v>
      </c>
      <c r="R548" t="s">
        <v>27</v>
      </c>
      <c r="S548" s="10">
        <v>36.139915313832887</v>
      </c>
      <c r="T548">
        <v>40</v>
      </c>
    </row>
    <row r="549" spans="1:20" x14ac:dyDescent="0.3">
      <c r="A549">
        <v>1212</v>
      </c>
      <c r="B549" t="s">
        <v>120</v>
      </c>
      <c r="C549" t="s">
        <v>121</v>
      </c>
      <c r="D549" t="s">
        <v>122</v>
      </c>
      <c r="E549" t="s">
        <v>123</v>
      </c>
      <c r="F549" t="s">
        <v>124</v>
      </c>
      <c r="G549" t="s">
        <v>125</v>
      </c>
      <c r="H549" t="s">
        <v>22</v>
      </c>
      <c r="I549" t="s">
        <v>65</v>
      </c>
      <c r="J549" s="1">
        <v>194</v>
      </c>
      <c r="K549" s="1">
        <v>38.799999999999997</v>
      </c>
      <c r="L549" s="3">
        <v>5</v>
      </c>
      <c r="M549" t="s">
        <v>126</v>
      </c>
      <c r="N549" s="2">
        <v>44638</v>
      </c>
      <c r="O549" t="s">
        <v>127</v>
      </c>
      <c r="P549" t="s">
        <v>128</v>
      </c>
      <c r="Q549">
        <v>6183</v>
      </c>
      <c r="R549" t="s">
        <v>27</v>
      </c>
      <c r="S549" s="10">
        <v>7.5339004636266882</v>
      </c>
      <c r="T549">
        <v>7</v>
      </c>
    </row>
    <row r="550" spans="1:20" x14ac:dyDescent="0.3">
      <c r="A550">
        <v>1595</v>
      </c>
      <c r="B550" t="s">
        <v>1397</v>
      </c>
      <c r="C550" t="s">
        <v>1216</v>
      </c>
      <c r="D550" t="s">
        <v>1398</v>
      </c>
      <c r="E550" t="s">
        <v>1399</v>
      </c>
      <c r="F550" t="s">
        <v>986</v>
      </c>
      <c r="G550" t="s">
        <v>44</v>
      </c>
      <c r="H550" t="s">
        <v>22</v>
      </c>
      <c r="I550" t="s">
        <v>98</v>
      </c>
      <c r="J550" s="1">
        <v>190</v>
      </c>
      <c r="K550" s="1">
        <v>27.142857142857142</v>
      </c>
      <c r="L550" s="3">
        <v>7</v>
      </c>
      <c r="M550" t="s">
        <v>36</v>
      </c>
      <c r="N550" s="2">
        <v>44639</v>
      </c>
      <c r="O550" t="s">
        <v>267</v>
      </c>
      <c r="P550" t="s">
        <v>1400</v>
      </c>
      <c r="Q550">
        <v>33884</v>
      </c>
      <c r="R550" t="s">
        <v>27</v>
      </c>
      <c r="S550" s="10">
        <v>10.588937835349062</v>
      </c>
      <c r="T550">
        <v>15</v>
      </c>
    </row>
    <row r="551" spans="1:20" x14ac:dyDescent="0.3">
      <c r="A551">
        <v>1851</v>
      </c>
      <c r="B551" t="s">
        <v>604</v>
      </c>
      <c r="C551" t="s">
        <v>358</v>
      </c>
      <c r="D551" t="s">
        <v>605</v>
      </c>
      <c r="E551" t="s">
        <v>606</v>
      </c>
      <c r="F551" t="s">
        <v>607</v>
      </c>
      <c r="G551" t="s">
        <v>194</v>
      </c>
      <c r="H551" t="s">
        <v>22</v>
      </c>
      <c r="I551" t="s">
        <v>65</v>
      </c>
      <c r="J551" s="1">
        <v>994</v>
      </c>
      <c r="K551" s="1">
        <v>35.5</v>
      </c>
      <c r="L551" s="3">
        <v>28</v>
      </c>
      <c r="M551" t="s">
        <v>343</v>
      </c>
      <c r="N551" s="2">
        <v>44639</v>
      </c>
      <c r="O551" t="s">
        <v>83</v>
      </c>
      <c r="P551" t="s">
        <v>351</v>
      </c>
      <c r="Q551">
        <v>11210</v>
      </c>
      <c r="R551" t="s">
        <v>27</v>
      </c>
      <c r="S551" s="10">
        <v>41.623774533297834</v>
      </c>
      <c r="T551">
        <v>42</v>
      </c>
    </row>
    <row r="552" spans="1:20" x14ac:dyDescent="0.3">
      <c r="A552">
        <v>1545</v>
      </c>
      <c r="B552" t="s">
        <v>1163</v>
      </c>
      <c r="C552" t="s">
        <v>449</v>
      </c>
      <c r="D552" t="s">
        <v>1401</v>
      </c>
      <c r="E552" t="s">
        <v>1402</v>
      </c>
      <c r="F552" t="s">
        <v>326</v>
      </c>
      <c r="G552" t="s">
        <v>832</v>
      </c>
      <c r="H552" t="s">
        <v>22</v>
      </c>
      <c r="I552" t="s">
        <v>65</v>
      </c>
      <c r="J552" s="1">
        <v>570</v>
      </c>
      <c r="K552" s="1">
        <v>38</v>
      </c>
      <c r="L552" s="3">
        <v>15</v>
      </c>
      <c r="M552" t="s">
        <v>66</v>
      </c>
      <c r="N552" s="2">
        <v>44641</v>
      </c>
      <c r="O552" t="s">
        <v>67</v>
      </c>
      <c r="P552" t="s">
        <v>280</v>
      </c>
      <c r="Q552">
        <v>78265</v>
      </c>
      <c r="R552" t="s">
        <v>27</v>
      </c>
      <c r="S552" s="10">
        <v>19.522752496300811</v>
      </c>
      <c r="T552">
        <v>26</v>
      </c>
    </row>
    <row r="553" spans="1:20" x14ac:dyDescent="0.3">
      <c r="A553">
        <v>1435</v>
      </c>
      <c r="B553" t="s">
        <v>189</v>
      </c>
      <c r="C553" t="s">
        <v>190</v>
      </c>
      <c r="D553" t="s">
        <v>191</v>
      </c>
      <c r="E553" t="s">
        <v>192</v>
      </c>
      <c r="F553" t="s">
        <v>193</v>
      </c>
      <c r="G553" t="s">
        <v>194</v>
      </c>
      <c r="H553" t="s">
        <v>34</v>
      </c>
      <c r="I553" t="s">
        <v>35</v>
      </c>
      <c r="J553" s="1">
        <v>219</v>
      </c>
      <c r="K553" s="1">
        <v>31.285714285714285</v>
      </c>
      <c r="L553" s="3">
        <v>7</v>
      </c>
      <c r="M553" t="s">
        <v>195</v>
      </c>
      <c r="N553" s="2">
        <v>44642</v>
      </c>
      <c r="O553" t="s">
        <v>196</v>
      </c>
      <c r="P553" t="s">
        <v>197</v>
      </c>
      <c r="Q553">
        <v>19605</v>
      </c>
      <c r="R553" t="s">
        <v>27</v>
      </c>
      <c r="S553" s="10">
        <v>9.5730131017322471</v>
      </c>
      <c r="T553">
        <v>14</v>
      </c>
    </row>
    <row r="554" spans="1:20" x14ac:dyDescent="0.3">
      <c r="A554">
        <v>1039</v>
      </c>
      <c r="B554" t="s">
        <v>828</v>
      </c>
      <c r="C554" t="s">
        <v>154</v>
      </c>
      <c r="D554" t="s">
        <v>829</v>
      </c>
      <c r="E554" t="s">
        <v>830</v>
      </c>
      <c r="F554" t="s">
        <v>831</v>
      </c>
      <c r="G554" t="s">
        <v>832</v>
      </c>
      <c r="H554" t="s">
        <v>34</v>
      </c>
      <c r="I554" t="s">
        <v>23</v>
      </c>
      <c r="J554" s="1">
        <v>273</v>
      </c>
      <c r="K554" s="1">
        <v>27.3</v>
      </c>
      <c r="L554" s="3">
        <v>10</v>
      </c>
      <c r="M554" t="s">
        <v>244</v>
      </c>
      <c r="N554" s="2">
        <v>44643</v>
      </c>
      <c r="O554" t="s">
        <v>496</v>
      </c>
      <c r="P554" t="s">
        <v>687</v>
      </c>
      <c r="Q554">
        <v>40298</v>
      </c>
      <c r="R554" t="s">
        <v>27</v>
      </c>
      <c r="S554" s="10">
        <v>18.308710873419717</v>
      </c>
      <c r="T554">
        <v>13</v>
      </c>
    </row>
    <row r="555" spans="1:20" x14ac:dyDescent="0.3">
      <c r="A555">
        <v>1554</v>
      </c>
      <c r="B555" t="s">
        <v>1403</v>
      </c>
      <c r="C555" t="s">
        <v>914</v>
      </c>
      <c r="D555" t="s">
        <v>1404</v>
      </c>
      <c r="E555" t="s">
        <v>1405</v>
      </c>
      <c r="F555" t="s">
        <v>1406</v>
      </c>
      <c r="G555" t="s">
        <v>686</v>
      </c>
      <c r="H555" t="s">
        <v>22</v>
      </c>
      <c r="I555" t="s">
        <v>299</v>
      </c>
      <c r="J555" s="1">
        <v>251</v>
      </c>
      <c r="K555" s="1">
        <v>41.833333333333336</v>
      </c>
      <c r="L555" s="3">
        <v>6</v>
      </c>
      <c r="M555" t="s">
        <v>36</v>
      </c>
      <c r="N555" s="2">
        <v>44647</v>
      </c>
      <c r="O555" t="s">
        <v>37</v>
      </c>
      <c r="P555" t="s">
        <v>448</v>
      </c>
      <c r="Q555">
        <v>95813</v>
      </c>
      <c r="R555" t="s">
        <v>27</v>
      </c>
      <c r="S555" s="10">
        <v>8.3275889938812782</v>
      </c>
      <c r="T555">
        <v>12</v>
      </c>
    </row>
    <row r="556" spans="1:20" x14ac:dyDescent="0.3">
      <c r="A556">
        <v>1988</v>
      </c>
      <c r="B556" t="s">
        <v>550</v>
      </c>
      <c r="C556" t="s">
        <v>1141</v>
      </c>
      <c r="D556" t="s">
        <v>1142</v>
      </c>
      <c r="E556" t="s">
        <v>1143</v>
      </c>
      <c r="F556" t="s">
        <v>1144</v>
      </c>
      <c r="G556" t="s">
        <v>483</v>
      </c>
      <c r="H556" t="s">
        <v>22</v>
      </c>
      <c r="I556" t="s">
        <v>65</v>
      </c>
      <c r="J556" s="1">
        <v>412</v>
      </c>
      <c r="K556" s="1">
        <v>37.454545454545453</v>
      </c>
      <c r="L556" s="3">
        <v>11</v>
      </c>
      <c r="M556" t="s">
        <v>36</v>
      </c>
      <c r="N556" s="2">
        <v>44648</v>
      </c>
      <c r="O556" t="s">
        <v>127</v>
      </c>
      <c r="P556" t="s">
        <v>1145</v>
      </c>
      <c r="Q556">
        <v>6912</v>
      </c>
      <c r="R556" t="s">
        <v>27</v>
      </c>
      <c r="S556" s="10">
        <v>23.848912389311845</v>
      </c>
      <c r="T556">
        <v>23</v>
      </c>
    </row>
    <row r="557" spans="1:20" x14ac:dyDescent="0.3">
      <c r="A557">
        <v>1020</v>
      </c>
      <c r="B557" t="s">
        <v>310</v>
      </c>
      <c r="C557" t="s">
        <v>311</v>
      </c>
      <c r="D557" t="s">
        <v>312</v>
      </c>
      <c r="E557" t="s">
        <v>313</v>
      </c>
      <c r="F557" t="s">
        <v>314</v>
      </c>
      <c r="G557" t="s">
        <v>315</v>
      </c>
      <c r="H557" t="s">
        <v>22</v>
      </c>
      <c r="I557" t="s">
        <v>23</v>
      </c>
      <c r="J557" s="1">
        <v>218</v>
      </c>
      <c r="K557" s="1">
        <v>31.142857142857142</v>
      </c>
      <c r="L557" s="3">
        <v>7</v>
      </c>
      <c r="M557" t="s">
        <v>36</v>
      </c>
      <c r="N557" s="2">
        <v>44649</v>
      </c>
      <c r="O557" t="s">
        <v>37</v>
      </c>
      <c r="P557" t="s">
        <v>316</v>
      </c>
      <c r="Q557">
        <v>94105</v>
      </c>
      <c r="R557" t="s">
        <v>27</v>
      </c>
      <c r="S557" s="10">
        <v>14.261016399204092</v>
      </c>
      <c r="T557">
        <v>15</v>
      </c>
    </row>
    <row r="558" spans="1:20" x14ac:dyDescent="0.3">
      <c r="A558">
        <v>1170</v>
      </c>
      <c r="B558" t="s">
        <v>153</v>
      </c>
      <c r="C558" t="s">
        <v>154</v>
      </c>
      <c r="D558" t="s">
        <v>155</v>
      </c>
      <c r="E558" t="s">
        <v>156</v>
      </c>
      <c r="F558" t="s">
        <v>157</v>
      </c>
      <c r="G558" t="s">
        <v>158</v>
      </c>
      <c r="H558" t="s">
        <v>34</v>
      </c>
      <c r="I558" t="s">
        <v>65</v>
      </c>
      <c r="J558" s="1">
        <v>677</v>
      </c>
      <c r="K558" s="1">
        <v>37.611111111111114</v>
      </c>
      <c r="L558" s="3">
        <v>18</v>
      </c>
      <c r="M558" t="s">
        <v>24</v>
      </c>
      <c r="N558" s="2">
        <v>44649</v>
      </c>
      <c r="O558" t="s">
        <v>67</v>
      </c>
      <c r="P558" t="s">
        <v>159</v>
      </c>
      <c r="Q558">
        <v>88574</v>
      </c>
      <c r="R558" t="s">
        <v>27</v>
      </c>
      <c r="S558" s="10">
        <v>26.742616245056897</v>
      </c>
      <c r="T558">
        <v>39</v>
      </c>
    </row>
    <row r="559" spans="1:20" x14ac:dyDescent="0.3">
      <c r="A559">
        <v>1636</v>
      </c>
      <c r="B559" t="s">
        <v>1240</v>
      </c>
      <c r="C559" t="s">
        <v>248</v>
      </c>
      <c r="D559" t="s">
        <v>1407</v>
      </c>
      <c r="E559" t="s">
        <v>1408</v>
      </c>
      <c r="F559" t="s">
        <v>43</v>
      </c>
      <c r="G559" t="s">
        <v>1409</v>
      </c>
      <c r="H559" t="s">
        <v>34</v>
      </c>
      <c r="I559" t="s">
        <v>23</v>
      </c>
      <c r="J559" s="1">
        <v>367</v>
      </c>
      <c r="K559" s="1">
        <v>28.23076923076923</v>
      </c>
      <c r="L559" s="3">
        <v>13</v>
      </c>
      <c r="M559" t="s">
        <v>66</v>
      </c>
      <c r="N559" s="2">
        <v>44649</v>
      </c>
      <c r="O559" t="s">
        <v>37</v>
      </c>
      <c r="P559" t="s">
        <v>1410</v>
      </c>
      <c r="Q559">
        <v>92822</v>
      </c>
      <c r="R559" t="s">
        <v>27</v>
      </c>
      <c r="S559" s="10">
        <v>18.667349032283656</v>
      </c>
      <c r="T559">
        <v>16</v>
      </c>
    </row>
    <row r="560" spans="1:20" x14ac:dyDescent="0.3">
      <c r="A560">
        <v>1674</v>
      </c>
      <c r="B560" t="s">
        <v>49</v>
      </c>
      <c r="C560" t="s">
        <v>353</v>
      </c>
      <c r="D560" t="s">
        <v>1411</v>
      </c>
      <c r="E560" t="s">
        <v>1412</v>
      </c>
      <c r="F560" t="s">
        <v>1413</v>
      </c>
      <c r="G560" t="s">
        <v>854</v>
      </c>
      <c r="H560" t="s">
        <v>22</v>
      </c>
      <c r="I560" t="s">
        <v>23</v>
      </c>
      <c r="J560" s="1">
        <v>546</v>
      </c>
      <c r="K560" s="1">
        <v>30.333333333333332</v>
      </c>
      <c r="L560" s="3">
        <v>18</v>
      </c>
      <c r="M560" t="s">
        <v>36</v>
      </c>
      <c r="N560" s="2">
        <v>44650</v>
      </c>
      <c r="O560" t="s">
        <v>568</v>
      </c>
      <c r="P560" t="s">
        <v>1414</v>
      </c>
      <c r="Q560">
        <v>38161</v>
      </c>
      <c r="R560" t="s">
        <v>27</v>
      </c>
      <c r="S560" s="10">
        <v>23.502276231375792</v>
      </c>
      <c r="T560">
        <v>38</v>
      </c>
    </row>
    <row r="561" spans="1:20" x14ac:dyDescent="0.3">
      <c r="A561">
        <v>1843</v>
      </c>
      <c r="B561" t="s">
        <v>213</v>
      </c>
      <c r="C561" t="s">
        <v>1415</v>
      </c>
      <c r="D561" t="s">
        <v>1416</v>
      </c>
      <c r="E561" t="s">
        <v>1417</v>
      </c>
      <c r="F561" t="s">
        <v>384</v>
      </c>
      <c r="G561" t="s">
        <v>739</v>
      </c>
      <c r="H561" t="s">
        <v>22</v>
      </c>
      <c r="I561" t="s">
        <v>266</v>
      </c>
      <c r="J561" s="1">
        <v>726</v>
      </c>
      <c r="K561" s="1">
        <v>38.210526315789473</v>
      </c>
      <c r="L561" s="3">
        <v>19</v>
      </c>
      <c r="M561" t="s">
        <v>36</v>
      </c>
      <c r="N561" s="2">
        <v>44651</v>
      </c>
      <c r="O561" t="s">
        <v>220</v>
      </c>
      <c r="P561" t="s">
        <v>1378</v>
      </c>
      <c r="Q561">
        <v>46247</v>
      </c>
      <c r="R561" t="s">
        <v>27</v>
      </c>
      <c r="S561" s="10">
        <v>38.882913418981168</v>
      </c>
      <c r="T561">
        <v>30</v>
      </c>
    </row>
    <row r="562" spans="1:20" x14ac:dyDescent="0.3">
      <c r="A562">
        <v>1020</v>
      </c>
      <c r="B562" t="s">
        <v>310</v>
      </c>
      <c r="C562" t="s">
        <v>311</v>
      </c>
      <c r="D562" t="s">
        <v>312</v>
      </c>
      <c r="E562" t="s">
        <v>313</v>
      </c>
      <c r="F562" t="s">
        <v>314</v>
      </c>
      <c r="G562" t="s">
        <v>315</v>
      </c>
      <c r="H562" t="s">
        <v>22</v>
      </c>
      <c r="I562" t="s">
        <v>23</v>
      </c>
      <c r="J562" s="1">
        <v>424</v>
      </c>
      <c r="K562" s="1">
        <v>38.545454545454547</v>
      </c>
      <c r="L562" s="3">
        <v>11</v>
      </c>
      <c r="M562" t="s">
        <v>36</v>
      </c>
      <c r="N562" s="2">
        <v>44652</v>
      </c>
      <c r="O562" t="s">
        <v>37</v>
      </c>
      <c r="P562" t="s">
        <v>316</v>
      </c>
      <c r="Q562">
        <v>94105</v>
      </c>
      <c r="R562" t="s">
        <v>27</v>
      </c>
      <c r="S562" s="10">
        <v>23.086200303858128</v>
      </c>
      <c r="T562">
        <v>21</v>
      </c>
    </row>
    <row r="563" spans="1:20" x14ac:dyDescent="0.3">
      <c r="A563">
        <v>1081</v>
      </c>
      <c r="B563" t="s">
        <v>529</v>
      </c>
      <c r="C563" t="s">
        <v>530</v>
      </c>
      <c r="D563" t="s">
        <v>531</v>
      </c>
      <c r="E563" t="s">
        <v>532</v>
      </c>
      <c r="F563" t="s">
        <v>533</v>
      </c>
      <c r="G563" t="s">
        <v>495</v>
      </c>
      <c r="H563" t="s">
        <v>22</v>
      </c>
      <c r="I563" t="s">
        <v>55</v>
      </c>
      <c r="J563" s="1">
        <v>243</v>
      </c>
      <c r="K563" s="1">
        <v>34.714285714285715</v>
      </c>
      <c r="L563" s="3">
        <v>7</v>
      </c>
      <c r="M563" t="s">
        <v>447</v>
      </c>
      <c r="N563" s="2">
        <v>44653</v>
      </c>
      <c r="O563" t="s">
        <v>229</v>
      </c>
      <c r="P563" t="s">
        <v>534</v>
      </c>
      <c r="Q563">
        <v>45426</v>
      </c>
      <c r="R563" t="s">
        <v>27</v>
      </c>
      <c r="S563" s="10">
        <v>11.1998859025414</v>
      </c>
      <c r="T563">
        <v>13</v>
      </c>
    </row>
    <row r="564" spans="1:20" x14ac:dyDescent="0.3">
      <c r="A564">
        <v>1144</v>
      </c>
      <c r="B564" t="s">
        <v>776</v>
      </c>
      <c r="C564" t="s">
        <v>747</v>
      </c>
      <c r="D564" t="s">
        <v>807</v>
      </c>
      <c r="E564" t="s">
        <v>808</v>
      </c>
      <c r="F564" t="s">
        <v>235</v>
      </c>
      <c r="G564" t="s">
        <v>677</v>
      </c>
      <c r="H564" t="s">
        <v>22</v>
      </c>
      <c r="I564" t="s">
        <v>35</v>
      </c>
      <c r="J564" s="1">
        <v>266</v>
      </c>
      <c r="K564" s="1">
        <v>44.333333333333336</v>
      </c>
      <c r="L564" s="3">
        <v>6</v>
      </c>
      <c r="M564" t="s">
        <v>66</v>
      </c>
      <c r="N564" s="2">
        <v>44658</v>
      </c>
      <c r="O564" t="s">
        <v>83</v>
      </c>
      <c r="P564" t="s">
        <v>809</v>
      </c>
      <c r="Q564">
        <v>11355</v>
      </c>
      <c r="R564" t="s">
        <v>27</v>
      </c>
      <c r="S564" s="10">
        <v>12.538185522269261</v>
      </c>
      <c r="T564">
        <v>8</v>
      </c>
    </row>
    <row r="565" spans="1:20" x14ac:dyDescent="0.3">
      <c r="A565">
        <v>1686</v>
      </c>
      <c r="B565" t="s">
        <v>1403</v>
      </c>
      <c r="C565" t="s">
        <v>1418</v>
      </c>
      <c r="D565" t="s">
        <v>1419</v>
      </c>
      <c r="E565" t="s">
        <v>1420</v>
      </c>
      <c r="F565" t="s">
        <v>1421</v>
      </c>
      <c r="G565" t="s">
        <v>1422</v>
      </c>
      <c r="H565" t="s">
        <v>22</v>
      </c>
      <c r="I565" t="s">
        <v>23</v>
      </c>
      <c r="J565" s="1">
        <v>445</v>
      </c>
      <c r="K565" s="1">
        <v>24.722222222222221</v>
      </c>
      <c r="L565" s="3">
        <v>18</v>
      </c>
      <c r="M565" t="s">
        <v>694</v>
      </c>
      <c r="N565" s="2">
        <v>44661</v>
      </c>
      <c r="O565" t="s">
        <v>229</v>
      </c>
      <c r="P565" t="s">
        <v>1423</v>
      </c>
      <c r="Q565">
        <v>45807</v>
      </c>
      <c r="R565" t="s">
        <v>27</v>
      </c>
      <c r="S565" s="10">
        <v>35.78293246958561</v>
      </c>
      <c r="T565">
        <v>32</v>
      </c>
    </row>
    <row r="566" spans="1:20" x14ac:dyDescent="0.3">
      <c r="A566">
        <v>1812</v>
      </c>
      <c r="B566" t="s">
        <v>231</v>
      </c>
      <c r="C566" t="s">
        <v>232</v>
      </c>
      <c r="D566" t="s">
        <v>233</v>
      </c>
      <c r="E566" t="s">
        <v>234</v>
      </c>
      <c r="F566" t="s">
        <v>235</v>
      </c>
      <c r="G566" t="s">
        <v>74</v>
      </c>
      <c r="H566" t="s">
        <v>34</v>
      </c>
      <c r="I566" t="s">
        <v>236</v>
      </c>
      <c r="J566" s="1">
        <v>651</v>
      </c>
      <c r="K566" s="1">
        <v>31</v>
      </c>
      <c r="L566" s="3">
        <v>21</v>
      </c>
      <c r="M566" t="s">
        <v>126</v>
      </c>
      <c r="N566" s="2">
        <v>44662</v>
      </c>
      <c r="O566" t="s">
        <v>237</v>
      </c>
      <c r="P566" t="s">
        <v>238</v>
      </c>
      <c r="Q566">
        <v>35220</v>
      </c>
      <c r="R566" t="s">
        <v>27</v>
      </c>
      <c r="S566" s="10">
        <v>47.479779639929603</v>
      </c>
      <c r="T566">
        <v>34</v>
      </c>
    </row>
    <row r="567" spans="1:20" x14ac:dyDescent="0.3">
      <c r="A567">
        <v>1017</v>
      </c>
      <c r="B567" t="s">
        <v>660</v>
      </c>
      <c r="C567" t="s">
        <v>679</v>
      </c>
      <c r="D567" t="s">
        <v>680</v>
      </c>
      <c r="E567" t="s">
        <v>681</v>
      </c>
      <c r="F567" t="s">
        <v>682</v>
      </c>
      <c r="G567" t="s">
        <v>446</v>
      </c>
      <c r="H567" t="s">
        <v>22</v>
      </c>
      <c r="I567" t="s">
        <v>23</v>
      </c>
      <c r="J567" s="1">
        <v>562</v>
      </c>
      <c r="K567" s="1">
        <v>33.058823529411768</v>
      </c>
      <c r="L567" s="3">
        <v>17</v>
      </c>
      <c r="M567" t="s">
        <v>36</v>
      </c>
      <c r="N567" s="2">
        <v>44663</v>
      </c>
      <c r="O567" t="s">
        <v>136</v>
      </c>
      <c r="P567" t="s">
        <v>137</v>
      </c>
      <c r="Q567">
        <v>60663</v>
      </c>
      <c r="R567" t="s">
        <v>27</v>
      </c>
      <c r="S567" s="10">
        <v>39.234082843224286</v>
      </c>
      <c r="T567">
        <v>24</v>
      </c>
    </row>
    <row r="568" spans="1:20" x14ac:dyDescent="0.3">
      <c r="A568">
        <v>1599</v>
      </c>
      <c r="B568" t="s">
        <v>346</v>
      </c>
      <c r="C568" t="s">
        <v>1083</v>
      </c>
      <c r="D568" t="s">
        <v>1424</v>
      </c>
      <c r="E568" t="s">
        <v>1425</v>
      </c>
      <c r="F568" t="s">
        <v>463</v>
      </c>
      <c r="G568" t="s">
        <v>1189</v>
      </c>
      <c r="H568" t="s">
        <v>22</v>
      </c>
      <c r="I568" t="s">
        <v>366</v>
      </c>
      <c r="J568" s="1">
        <v>703</v>
      </c>
      <c r="K568" s="1">
        <v>33.476190476190474</v>
      </c>
      <c r="L568" s="3">
        <v>21</v>
      </c>
      <c r="M568" t="s">
        <v>99</v>
      </c>
      <c r="N568" s="2">
        <v>44663</v>
      </c>
      <c r="O568" t="s">
        <v>67</v>
      </c>
      <c r="P568" t="s">
        <v>334</v>
      </c>
      <c r="Q568">
        <v>77075</v>
      </c>
      <c r="R568" t="s">
        <v>27</v>
      </c>
      <c r="S568" s="10">
        <v>50.242038483028651</v>
      </c>
      <c r="T568">
        <v>43</v>
      </c>
    </row>
    <row r="569" spans="1:20" x14ac:dyDescent="0.3">
      <c r="A569">
        <v>1365</v>
      </c>
      <c r="B569" t="s">
        <v>471</v>
      </c>
      <c r="C569" t="s">
        <v>472</v>
      </c>
      <c r="D569" t="s">
        <v>473</v>
      </c>
      <c r="E569" t="s">
        <v>474</v>
      </c>
      <c r="F569" t="s">
        <v>475</v>
      </c>
      <c r="G569" t="s">
        <v>476</v>
      </c>
      <c r="H569" t="s">
        <v>34</v>
      </c>
      <c r="I569" t="s">
        <v>55</v>
      </c>
      <c r="J569" s="1">
        <v>442</v>
      </c>
      <c r="K569" s="1">
        <v>44.2</v>
      </c>
      <c r="L569" s="3">
        <v>10</v>
      </c>
      <c r="M569" t="s">
        <v>66</v>
      </c>
      <c r="N569" s="2">
        <v>44664</v>
      </c>
      <c r="O569" t="s">
        <v>267</v>
      </c>
      <c r="P569" t="s">
        <v>477</v>
      </c>
      <c r="Q569">
        <v>33261</v>
      </c>
      <c r="R569" t="s">
        <v>27</v>
      </c>
      <c r="S569" s="10">
        <v>20.110450217774538</v>
      </c>
      <c r="T569">
        <v>18</v>
      </c>
    </row>
    <row r="570" spans="1:20" x14ac:dyDescent="0.3">
      <c r="A570">
        <v>1459</v>
      </c>
      <c r="B570" t="s">
        <v>380</v>
      </c>
      <c r="C570" t="s">
        <v>311</v>
      </c>
      <c r="D570" t="s">
        <v>1426</v>
      </c>
      <c r="E570" t="s">
        <v>1427</v>
      </c>
      <c r="F570" t="s">
        <v>482</v>
      </c>
      <c r="G570" t="s">
        <v>279</v>
      </c>
      <c r="H570" t="s">
        <v>22</v>
      </c>
      <c r="I570" t="s">
        <v>75</v>
      </c>
      <c r="J570" s="1">
        <v>27</v>
      </c>
      <c r="K570" s="1">
        <v>27</v>
      </c>
      <c r="L570" s="3">
        <v>1</v>
      </c>
      <c r="M570" t="s">
        <v>244</v>
      </c>
      <c r="N570" s="2">
        <v>44665</v>
      </c>
      <c r="O570" t="s">
        <v>83</v>
      </c>
      <c r="P570" t="s">
        <v>1428</v>
      </c>
      <c r="Q570">
        <v>11854</v>
      </c>
      <c r="R570" t="s">
        <v>27</v>
      </c>
      <c r="S570" s="10">
        <v>1.5814250538941577</v>
      </c>
      <c r="T570">
        <v>1</v>
      </c>
    </row>
    <row r="571" spans="1:20" x14ac:dyDescent="0.3">
      <c r="A571">
        <v>1026</v>
      </c>
      <c r="B571" t="s">
        <v>77</v>
      </c>
      <c r="C571" t="s">
        <v>78</v>
      </c>
      <c r="D571" t="s">
        <v>79</v>
      </c>
      <c r="E571" t="s">
        <v>80</v>
      </c>
      <c r="F571" t="s">
        <v>81</v>
      </c>
      <c r="G571" t="s">
        <v>82</v>
      </c>
      <c r="H571" t="s">
        <v>22</v>
      </c>
      <c r="I571" t="s">
        <v>23</v>
      </c>
      <c r="J571" s="1">
        <v>95</v>
      </c>
      <c r="K571" s="1">
        <v>31.666666666666668</v>
      </c>
      <c r="L571" s="3">
        <v>3</v>
      </c>
      <c r="M571" t="s">
        <v>36</v>
      </c>
      <c r="N571" s="2">
        <v>44666</v>
      </c>
      <c r="O571" t="s">
        <v>83</v>
      </c>
      <c r="P571" t="s">
        <v>84</v>
      </c>
      <c r="Q571">
        <v>10469</v>
      </c>
      <c r="R571" t="s">
        <v>27</v>
      </c>
      <c r="S571" s="10">
        <v>5.3587822738562654</v>
      </c>
      <c r="T571">
        <v>4</v>
      </c>
    </row>
    <row r="572" spans="1:20" x14ac:dyDescent="0.3">
      <c r="A572">
        <v>1084</v>
      </c>
      <c r="B572" t="s">
        <v>175</v>
      </c>
      <c r="C572" t="s">
        <v>176</v>
      </c>
      <c r="D572" t="s">
        <v>177</v>
      </c>
      <c r="E572" t="s">
        <v>178</v>
      </c>
      <c r="F572" t="s">
        <v>179</v>
      </c>
      <c r="G572" t="s">
        <v>180</v>
      </c>
      <c r="H572" t="s">
        <v>34</v>
      </c>
      <c r="I572" t="s">
        <v>55</v>
      </c>
      <c r="J572" s="1">
        <v>308</v>
      </c>
      <c r="K572" s="1">
        <v>44</v>
      </c>
      <c r="L572" s="3">
        <v>7</v>
      </c>
      <c r="M572" t="s">
        <v>36</v>
      </c>
      <c r="N572" s="2">
        <v>44666</v>
      </c>
      <c r="O572" t="s">
        <v>181</v>
      </c>
      <c r="P572" t="s">
        <v>182</v>
      </c>
      <c r="Q572">
        <v>2453</v>
      </c>
      <c r="R572" t="s">
        <v>27</v>
      </c>
      <c r="S572" s="10">
        <v>12.747390889616973</v>
      </c>
      <c r="T572">
        <v>9</v>
      </c>
    </row>
    <row r="573" spans="1:20" x14ac:dyDescent="0.3">
      <c r="A573">
        <v>1701</v>
      </c>
      <c r="B573" t="s">
        <v>269</v>
      </c>
      <c r="C573" t="s">
        <v>317</v>
      </c>
      <c r="D573" t="s">
        <v>1429</v>
      </c>
      <c r="E573" t="s">
        <v>1430</v>
      </c>
      <c r="F573" t="s">
        <v>986</v>
      </c>
      <c r="G573" t="s">
        <v>172</v>
      </c>
      <c r="H573" t="s">
        <v>34</v>
      </c>
      <c r="I573" t="s">
        <v>23</v>
      </c>
      <c r="J573" s="1">
        <v>126</v>
      </c>
      <c r="K573" s="1">
        <v>31.5</v>
      </c>
      <c r="L573" s="3">
        <v>4</v>
      </c>
      <c r="M573" t="s">
        <v>447</v>
      </c>
      <c r="N573" s="2">
        <v>44666</v>
      </c>
      <c r="O573" t="s">
        <v>37</v>
      </c>
      <c r="P573" t="s">
        <v>1431</v>
      </c>
      <c r="Q573">
        <v>90610</v>
      </c>
      <c r="R573" t="s">
        <v>27</v>
      </c>
      <c r="S573" s="10">
        <v>8.8537980907468032</v>
      </c>
      <c r="T573">
        <v>6</v>
      </c>
    </row>
    <row r="574" spans="1:20" x14ac:dyDescent="0.3">
      <c r="A574">
        <v>1590</v>
      </c>
      <c r="B574" t="s">
        <v>1403</v>
      </c>
      <c r="C574" t="s">
        <v>963</v>
      </c>
      <c r="D574" t="s">
        <v>1432</v>
      </c>
      <c r="E574" t="s">
        <v>1433</v>
      </c>
      <c r="F574" t="s">
        <v>879</v>
      </c>
      <c r="G574" t="s">
        <v>1434</v>
      </c>
      <c r="H574" t="s">
        <v>22</v>
      </c>
      <c r="I574" t="s">
        <v>366</v>
      </c>
      <c r="J574" s="1">
        <v>560</v>
      </c>
      <c r="K574" s="1">
        <v>43.07692307692308</v>
      </c>
      <c r="L574" s="3">
        <v>13</v>
      </c>
      <c r="M574" t="s">
        <v>46</v>
      </c>
      <c r="N574" s="2">
        <v>44667</v>
      </c>
      <c r="O574" t="s">
        <v>470</v>
      </c>
      <c r="P574" t="s">
        <v>358</v>
      </c>
      <c r="Q574">
        <v>20225</v>
      </c>
      <c r="R574" t="s">
        <v>27</v>
      </c>
      <c r="S574" s="10">
        <v>30.455122152604069</v>
      </c>
      <c r="T574">
        <v>23</v>
      </c>
    </row>
    <row r="575" spans="1:20" x14ac:dyDescent="0.3">
      <c r="A575">
        <v>1170</v>
      </c>
      <c r="B575" t="s">
        <v>153</v>
      </c>
      <c r="C575" t="s">
        <v>154</v>
      </c>
      <c r="D575" t="s">
        <v>155</v>
      </c>
      <c r="E575" t="s">
        <v>156</v>
      </c>
      <c r="F575" t="s">
        <v>157</v>
      </c>
      <c r="G575" t="s">
        <v>158</v>
      </c>
      <c r="H575" t="s">
        <v>34</v>
      </c>
      <c r="I575" t="s">
        <v>65</v>
      </c>
      <c r="J575" s="1">
        <v>676</v>
      </c>
      <c r="K575" s="1">
        <v>29.391304347826086</v>
      </c>
      <c r="L575" s="3">
        <v>23</v>
      </c>
      <c r="M575" t="s">
        <v>24</v>
      </c>
      <c r="N575" s="2">
        <v>44668</v>
      </c>
      <c r="O575" t="s">
        <v>67</v>
      </c>
      <c r="P575" t="s">
        <v>159</v>
      </c>
      <c r="Q575">
        <v>88574</v>
      </c>
      <c r="R575" t="s">
        <v>27</v>
      </c>
      <c r="S575" s="10">
        <v>50.941414456283347</v>
      </c>
      <c r="T575">
        <v>45</v>
      </c>
    </row>
    <row r="576" spans="1:20" x14ac:dyDescent="0.3">
      <c r="A576">
        <v>1170</v>
      </c>
      <c r="B576" t="s">
        <v>153</v>
      </c>
      <c r="C576" t="s">
        <v>154</v>
      </c>
      <c r="D576" t="s">
        <v>155</v>
      </c>
      <c r="E576" t="s">
        <v>156</v>
      </c>
      <c r="F576" t="s">
        <v>157</v>
      </c>
      <c r="G576" t="s">
        <v>158</v>
      </c>
      <c r="H576" t="s">
        <v>34</v>
      </c>
      <c r="I576" t="s">
        <v>65</v>
      </c>
      <c r="J576" s="1">
        <v>240</v>
      </c>
      <c r="K576" s="1">
        <v>30</v>
      </c>
      <c r="L576" s="3">
        <v>8</v>
      </c>
      <c r="M576" t="s">
        <v>24</v>
      </c>
      <c r="N576" s="2">
        <v>44669</v>
      </c>
      <c r="O576" t="s">
        <v>67</v>
      </c>
      <c r="P576" t="s">
        <v>159</v>
      </c>
      <c r="Q576">
        <v>88574</v>
      </c>
      <c r="R576" t="s">
        <v>27</v>
      </c>
      <c r="S576" s="10">
        <v>14.700611592895676</v>
      </c>
      <c r="T576">
        <v>15</v>
      </c>
    </row>
    <row r="577" spans="1:20" x14ac:dyDescent="0.3">
      <c r="A577">
        <v>1669</v>
      </c>
      <c r="B577" t="s">
        <v>619</v>
      </c>
      <c r="C577" t="s">
        <v>661</v>
      </c>
      <c r="D577" t="s">
        <v>1435</v>
      </c>
      <c r="E577" t="s">
        <v>1436</v>
      </c>
      <c r="F577" t="s">
        <v>1437</v>
      </c>
      <c r="G577" t="s">
        <v>365</v>
      </c>
      <c r="H577" t="s">
        <v>22</v>
      </c>
      <c r="I577" t="s">
        <v>23</v>
      </c>
      <c r="J577" s="1">
        <v>155</v>
      </c>
      <c r="K577" s="1">
        <v>25.833333333333332</v>
      </c>
      <c r="L577" s="3">
        <v>6</v>
      </c>
      <c r="M577" t="s">
        <v>447</v>
      </c>
      <c r="N577" s="2">
        <v>44669</v>
      </c>
      <c r="O577" t="s">
        <v>37</v>
      </c>
      <c r="P577" t="s">
        <v>1438</v>
      </c>
      <c r="Q577">
        <v>93034</v>
      </c>
      <c r="R577" t="s">
        <v>27</v>
      </c>
      <c r="S577" s="10">
        <v>11.830967649623558</v>
      </c>
      <c r="T577">
        <v>9</v>
      </c>
    </row>
    <row r="578" spans="1:20" x14ac:dyDescent="0.3">
      <c r="A578">
        <v>1021</v>
      </c>
      <c r="B578" t="s">
        <v>16</v>
      </c>
      <c r="C578" t="s">
        <v>17</v>
      </c>
      <c r="D578" t="s">
        <v>18</v>
      </c>
      <c r="E578" t="s">
        <v>19</v>
      </c>
      <c r="F578" t="s">
        <v>20</v>
      </c>
      <c r="G578" t="s">
        <v>21</v>
      </c>
      <c r="H578" t="s">
        <v>22</v>
      </c>
      <c r="I578" t="s">
        <v>23</v>
      </c>
      <c r="J578" s="1">
        <v>157</v>
      </c>
      <c r="K578" s="1">
        <v>31.4</v>
      </c>
      <c r="L578" s="3">
        <v>5</v>
      </c>
      <c r="M578" t="s">
        <v>24</v>
      </c>
      <c r="N578" s="2">
        <v>44671</v>
      </c>
      <c r="O578" t="s">
        <v>25</v>
      </c>
      <c r="P578" t="s">
        <v>26</v>
      </c>
      <c r="Q578">
        <v>48555</v>
      </c>
      <c r="R578" t="s">
        <v>27</v>
      </c>
      <c r="S578" s="10">
        <v>6.7763035766489734</v>
      </c>
      <c r="T578">
        <v>10</v>
      </c>
    </row>
    <row r="579" spans="1:20" x14ac:dyDescent="0.3">
      <c r="A579">
        <v>1399</v>
      </c>
      <c r="B579" t="s">
        <v>1049</v>
      </c>
      <c r="C579" t="s">
        <v>1181</v>
      </c>
      <c r="D579" t="s">
        <v>1182</v>
      </c>
      <c r="E579" t="s">
        <v>1183</v>
      </c>
      <c r="F579" t="s">
        <v>1184</v>
      </c>
      <c r="G579" t="s">
        <v>365</v>
      </c>
      <c r="H579" t="s">
        <v>22</v>
      </c>
      <c r="I579" t="s">
        <v>435</v>
      </c>
      <c r="J579" s="1">
        <v>732</v>
      </c>
      <c r="K579" s="1">
        <v>36.6</v>
      </c>
      <c r="L579" s="3">
        <v>20</v>
      </c>
      <c r="M579" t="s">
        <v>36</v>
      </c>
      <c r="N579" s="2">
        <v>44672</v>
      </c>
      <c r="O579" t="s">
        <v>37</v>
      </c>
      <c r="P579" t="s">
        <v>1185</v>
      </c>
      <c r="Q579">
        <v>95219</v>
      </c>
      <c r="R579" t="s">
        <v>27</v>
      </c>
      <c r="S579" s="10">
        <v>45.263935177527621</v>
      </c>
      <c r="T579">
        <v>29</v>
      </c>
    </row>
    <row r="580" spans="1:20" x14ac:dyDescent="0.3">
      <c r="A580">
        <v>1020</v>
      </c>
      <c r="B580" t="s">
        <v>310</v>
      </c>
      <c r="C580" t="s">
        <v>311</v>
      </c>
      <c r="D580" t="s">
        <v>312</v>
      </c>
      <c r="E580" t="s">
        <v>313</v>
      </c>
      <c r="F580" t="s">
        <v>314</v>
      </c>
      <c r="G580" t="s">
        <v>315</v>
      </c>
      <c r="H580" t="s">
        <v>22</v>
      </c>
      <c r="I580" t="s">
        <v>23</v>
      </c>
      <c r="J580" s="1">
        <v>412</v>
      </c>
      <c r="K580" s="1">
        <v>31.692307692307693</v>
      </c>
      <c r="L580" s="3">
        <v>13</v>
      </c>
      <c r="M580" t="s">
        <v>36</v>
      </c>
      <c r="N580" s="2">
        <v>44673</v>
      </c>
      <c r="O580" t="s">
        <v>37</v>
      </c>
      <c r="P580" t="s">
        <v>316</v>
      </c>
      <c r="Q580">
        <v>94105</v>
      </c>
      <c r="R580" t="s">
        <v>27</v>
      </c>
      <c r="S580" s="10">
        <v>30.700406808848879</v>
      </c>
      <c r="T580">
        <v>21</v>
      </c>
    </row>
    <row r="581" spans="1:20" x14ac:dyDescent="0.3">
      <c r="A581">
        <v>1468</v>
      </c>
      <c r="B581" t="s">
        <v>380</v>
      </c>
      <c r="C581" t="s">
        <v>381</v>
      </c>
      <c r="D581" t="s">
        <v>382</v>
      </c>
      <c r="E581" t="s">
        <v>383</v>
      </c>
      <c r="F581" t="s">
        <v>384</v>
      </c>
      <c r="G581" t="s">
        <v>385</v>
      </c>
      <c r="H581" t="s">
        <v>22</v>
      </c>
      <c r="I581" t="s">
        <v>65</v>
      </c>
      <c r="J581" s="1">
        <v>353</v>
      </c>
      <c r="K581" s="1">
        <v>35.299999999999997</v>
      </c>
      <c r="L581" s="3">
        <v>10</v>
      </c>
      <c r="M581" t="s">
        <v>46</v>
      </c>
      <c r="N581" s="2">
        <v>44674</v>
      </c>
      <c r="O581" t="s">
        <v>109</v>
      </c>
      <c r="P581" t="s">
        <v>386</v>
      </c>
      <c r="Q581">
        <v>70116</v>
      </c>
      <c r="R581" t="s">
        <v>27</v>
      </c>
      <c r="S581" s="10">
        <v>23.516980698185151</v>
      </c>
      <c r="T581">
        <v>20</v>
      </c>
    </row>
    <row r="582" spans="1:20" x14ac:dyDescent="0.3">
      <c r="A582">
        <v>1983</v>
      </c>
      <c r="B582" t="s">
        <v>619</v>
      </c>
      <c r="C582" t="s">
        <v>587</v>
      </c>
      <c r="D582" t="s">
        <v>620</v>
      </c>
      <c r="E582" t="s">
        <v>621</v>
      </c>
      <c r="F582" t="s">
        <v>622</v>
      </c>
      <c r="G582" t="s">
        <v>21</v>
      </c>
      <c r="H582" t="s">
        <v>22</v>
      </c>
      <c r="I582" t="s">
        <v>65</v>
      </c>
      <c r="J582" s="1">
        <v>321</v>
      </c>
      <c r="K582" s="1">
        <v>35.666666666666664</v>
      </c>
      <c r="L582" s="3">
        <v>9</v>
      </c>
      <c r="M582" t="s">
        <v>36</v>
      </c>
      <c r="N582" s="2">
        <v>44675</v>
      </c>
      <c r="O582" t="s">
        <v>623</v>
      </c>
      <c r="P582" t="s">
        <v>174</v>
      </c>
      <c r="Q582">
        <v>66112</v>
      </c>
      <c r="R582" t="s">
        <v>27</v>
      </c>
      <c r="S582" s="10">
        <v>12.711058645474475</v>
      </c>
      <c r="T582">
        <v>12</v>
      </c>
    </row>
    <row r="583" spans="1:20" x14ac:dyDescent="0.3">
      <c r="A583">
        <v>1468</v>
      </c>
      <c r="B583" t="s">
        <v>380</v>
      </c>
      <c r="C583" t="s">
        <v>381</v>
      </c>
      <c r="D583" t="s">
        <v>382</v>
      </c>
      <c r="E583" t="s">
        <v>383</v>
      </c>
      <c r="F583" t="s">
        <v>384</v>
      </c>
      <c r="G583" t="s">
        <v>385</v>
      </c>
      <c r="H583" t="s">
        <v>22</v>
      </c>
      <c r="I583" t="s">
        <v>65</v>
      </c>
      <c r="J583" s="1">
        <v>622</v>
      </c>
      <c r="K583" s="1">
        <v>44.428571428571431</v>
      </c>
      <c r="L583" s="3">
        <v>14</v>
      </c>
      <c r="M583" t="s">
        <v>46</v>
      </c>
      <c r="N583" s="2">
        <v>44676</v>
      </c>
      <c r="O583" t="s">
        <v>109</v>
      </c>
      <c r="P583" t="s">
        <v>386</v>
      </c>
      <c r="Q583">
        <v>70116</v>
      </c>
      <c r="R583" t="s">
        <v>27</v>
      </c>
      <c r="S583" s="10">
        <v>24.542219818610803</v>
      </c>
      <c r="T583">
        <v>19</v>
      </c>
    </row>
    <row r="584" spans="1:20" x14ac:dyDescent="0.3">
      <c r="A584">
        <v>1277</v>
      </c>
      <c r="B584" t="s">
        <v>222</v>
      </c>
      <c r="C584" t="s">
        <v>223</v>
      </c>
      <c r="D584" t="s">
        <v>224</v>
      </c>
      <c r="E584" t="s">
        <v>225</v>
      </c>
      <c r="F584" t="s">
        <v>226</v>
      </c>
      <c r="G584" t="s">
        <v>227</v>
      </c>
      <c r="H584" t="s">
        <v>34</v>
      </c>
      <c r="I584" t="s">
        <v>228</v>
      </c>
      <c r="J584" s="1">
        <v>801</v>
      </c>
      <c r="K584" s="1">
        <v>27.620689655172413</v>
      </c>
      <c r="L584" s="3">
        <v>29</v>
      </c>
      <c r="M584" t="s">
        <v>203</v>
      </c>
      <c r="N584" s="2">
        <v>44680</v>
      </c>
      <c r="O584" t="s">
        <v>229</v>
      </c>
      <c r="P584" t="s">
        <v>230</v>
      </c>
      <c r="Q584">
        <v>44310</v>
      </c>
      <c r="R584" t="s">
        <v>27</v>
      </c>
      <c r="S584" s="10">
        <v>63.618854190361048</v>
      </c>
      <c r="T584">
        <v>49</v>
      </c>
    </row>
    <row r="585" spans="1:20" x14ac:dyDescent="0.3">
      <c r="A585">
        <v>1812</v>
      </c>
      <c r="B585" t="s">
        <v>231</v>
      </c>
      <c r="C585" t="s">
        <v>232</v>
      </c>
      <c r="D585" t="s">
        <v>233</v>
      </c>
      <c r="E585" t="s">
        <v>234</v>
      </c>
      <c r="F585" t="s">
        <v>235</v>
      </c>
      <c r="G585" t="s">
        <v>74</v>
      </c>
      <c r="H585" t="s">
        <v>34</v>
      </c>
      <c r="I585" t="s">
        <v>236</v>
      </c>
      <c r="J585" s="1">
        <v>954</v>
      </c>
      <c r="K585" s="1">
        <v>31.8</v>
      </c>
      <c r="L585" s="3">
        <v>30</v>
      </c>
      <c r="M585" t="s">
        <v>126</v>
      </c>
      <c r="N585" s="2">
        <v>44681</v>
      </c>
      <c r="O585" t="s">
        <v>237</v>
      </c>
      <c r="P585" t="s">
        <v>238</v>
      </c>
      <c r="Q585">
        <v>35220</v>
      </c>
      <c r="R585" t="s">
        <v>27</v>
      </c>
      <c r="S585" s="10">
        <v>49.614957453754648</v>
      </c>
      <c r="T585">
        <v>46</v>
      </c>
    </row>
    <row r="586" spans="1:20" x14ac:dyDescent="0.3">
      <c r="A586">
        <v>1458</v>
      </c>
      <c r="B586" t="s">
        <v>735</v>
      </c>
      <c r="C586" t="s">
        <v>1439</v>
      </c>
      <c r="D586" t="s">
        <v>1440</v>
      </c>
      <c r="E586" t="s">
        <v>1441</v>
      </c>
      <c r="F586" t="s">
        <v>1188</v>
      </c>
      <c r="G586" t="s">
        <v>918</v>
      </c>
      <c r="H586" t="s">
        <v>34</v>
      </c>
      <c r="I586" t="s">
        <v>55</v>
      </c>
      <c r="J586" s="1">
        <v>554</v>
      </c>
      <c r="K586" s="1">
        <v>30.777777777777779</v>
      </c>
      <c r="L586" s="3">
        <v>18</v>
      </c>
      <c r="M586" t="s">
        <v>66</v>
      </c>
      <c r="N586" s="2">
        <v>44683</v>
      </c>
      <c r="O586" t="s">
        <v>37</v>
      </c>
      <c r="P586" t="s">
        <v>372</v>
      </c>
      <c r="Q586">
        <v>90076</v>
      </c>
      <c r="R586" t="s">
        <v>27</v>
      </c>
      <c r="S586" s="10">
        <v>39.806404757682195</v>
      </c>
      <c r="T586">
        <v>26</v>
      </c>
    </row>
    <row r="587" spans="1:20" x14ac:dyDescent="0.3">
      <c r="A587">
        <v>1017</v>
      </c>
      <c r="B587" t="s">
        <v>660</v>
      </c>
      <c r="C587" t="s">
        <v>679</v>
      </c>
      <c r="D587" t="s">
        <v>680</v>
      </c>
      <c r="E587" t="s">
        <v>681</v>
      </c>
      <c r="F587" t="s">
        <v>682</v>
      </c>
      <c r="G587" t="s">
        <v>446</v>
      </c>
      <c r="H587" t="s">
        <v>22</v>
      </c>
      <c r="I587" t="s">
        <v>23</v>
      </c>
      <c r="J587" s="1">
        <v>889</v>
      </c>
      <c r="K587" s="1">
        <v>28.677419354838708</v>
      </c>
      <c r="L587" s="3">
        <v>31</v>
      </c>
      <c r="M587" t="s">
        <v>36</v>
      </c>
      <c r="N587" s="2">
        <v>44686</v>
      </c>
      <c r="O587" t="s">
        <v>136</v>
      </c>
      <c r="P587" t="s">
        <v>137</v>
      </c>
      <c r="Q587">
        <v>60663</v>
      </c>
      <c r="R587" t="s">
        <v>27</v>
      </c>
      <c r="S587" s="10">
        <v>68.651150621665849</v>
      </c>
      <c r="T587">
        <v>55</v>
      </c>
    </row>
    <row r="588" spans="1:20" x14ac:dyDescent="0.3">
      <c r="A588">
        <v>1736</v>
      </c>
      <c r="B588" t="s">
        <v>1442</v>
      </c>
      <c r="C588" t="s">
        <v>329</v>
      </c>
      <c r="D588" t="s">
        <v>1443</v>
      </c>
      <c r="E588" t="s">
        <v>1444</v>
      </c>
      <c r="F588" t="s">
        <v>96</v>
      </c>
      <c r="G588" t="s">
        <v>885</v>
      </c>
      <c r="H588" t="s">
        <v>22</v>
      </c>
      <c r="I588" t="s">
        <v>366</v>
      </c>
      <c r="J588" s="1">
        <v>745</v>
      </c>
      <c r="K588" s="1">
        <v>26.607142857142858</v>
      </c>
      <c r="L588" s="3">
        <v>28</v>
      </c>
      <c r="M588" t="s">
        <v>36</v>
      </c>
      <c r="N588" s="2">
        <v>44688</v>
      </c>
      <c r="O588" t="s">
        <v>267</v>
      </c>
      <c r="P588" t="s">
        <v>671</v>
      </c>
      <c r="Q588">
        <v>34620</v>
      </c>
      <c r="R588" t="s">
        <v>27</v>
      </c>
      <c r="S588" s="10">
        <v>60.758647442365344</v>
      </c>
      <c r="T588">
        <v>50</v>
      </c>
    </row>
    <row r="589" spans="1:20" x14ac:dyDescent="0.3">
      <c r="A589">
        <v>1557</v>
      </c>
      <c r="B589" t="s">
        <v>146</v>
      </c>
      <c r="C589" t="s">
        <v>1445</v>
      </c>
      <c r="D589" t="s">
        <v>1446</v>
      </c>
      <c r="E589" t="s">
        <v>1447</v>
      </c>
      <c r="F589" t="s">
        <v>849</v>
      </c>
      <c r="G589" t="s">
        <v>506</v>
      </c>
      <c r="H589" t="s">
        <v>34</v>
      </c>
      <c r="I589" t="s">
        <v>75</v>
      </c>
      <c r="J589" s="1">
        <v>202</v>
      </c>
      <c r="K589" s="1">
        <v>33.666666666666664</v>
      </c>
      <c r="L589" s="3">
        <v>6</v>
      </c>
      <c r="M589" t="s">
        <v>244</v>
      </c>
      <c r="N589" s="2">
        <v>44689</v>
      </c>
      <c r="O589" t="s">
        <v>83</v>
      </c>
      <c r="P589" t="s">
        <v>511</v>
      </c>
      <c r="Q589">
        <v>10260</v>
      </c>
      <c r="R589" t="s">
        <v>27</v>
      </c>
      <c r="S589" s="10">
        <v>13.238668834582555</v>
      </c>
      <c r="T589">
        <v>11</v>
      </c>
    </row>
    <row r="590" spans="1:20" x14ac:dyDescent="0.3">
      <c r="A590">
        <v>1616</v>
      </c>
      <c r="B590" t="s">
        <v>222</v>
      </c>
      <c r="C590" t="s">
        <v>655</v>
      </c>
      <c r="D590" t="s">
        <v>1448</v>
      </c>
      <c r="E590" t="s">
        <v>1449</v>
      </c>
      <c r="F590" t="s">
        <v>1450</v>
      </c>
      <c r="G590" t="s">
        <v>523</v>
      </c>
      <c r="H590" t="s">
        <v>34</v>
      </c>
      <c r="I590" t="s">
        <v>135</v>
      </c>
      <c r="J590" s="1">
        <v>368</v>
      </c>
      <c r="K590" s="1">
        <v>40.888888888888886</v>
      </c>
      <c r="L590" s="3">
        <v>9</v>
      </c>
      <c r="M590" t="s">
        <v>36</v>
      </c>
      <c r="N590" s="2">
        <v>44690</v>
      </c>
      <c r="O590" t="s">
        <v>144</v>
      </c>
      <c r="P590" t="s">
        <v>1064</v>
      </c>
      <c r="Q590">
        <v>80935</v>
      </c>
      <c r="R590" t="s">
        <v>27</v>
      </c>
      <c r="S590" s="10">
        <v>15.2330653454563</v>
      </c>
      <c r="T590">
        <v>11</v>
      </c>
    </row>
    <row r="591" spans="1:20" x14ac:dyDescent="0.3">
      <c r="A591">
        <v>1986</v>
      </c>
      <c r="B591" t="s">
        <v>1379</v>
      </c>
      <c r="C591" t="s">
        <v>281</v>
      </c>
      <c r="D591" t="s">
        <v>1380</v>
      </c>
      <c r="E591" t="s">
        <v>1381</v>
      </c>
      <c r="F591" t="s">
        <v>150</v>
      </c>
      <c r="G591" t="s">
        <v>918</v>
      </c>
      <c r="H591" t="s">
        <v>34</v>
      </c>
      <c r="I591" t="s">
        <v>65</v>
      </c>
      <c r="J591" s="1">
        <v>777</v>
      </c>
      <c r="K591" s="1">
        <v>45.705882352941174</v>
      </c>
      <c r="L591" s="3">
        <v>17</v>
      </c>
      <c r="M591" t="s">
        <v>143</v>
      </c>
      <c r="N591" s="2">
        <v>44692</v>
      </c>
      <c r="O591" t="s">
        <v>67</v>
      </c>
      <c r="P591" t="s">
        <v>334</v>
      </c>
      <c r="Q591">
        <v>77010</v>
      </c>
      <c r="R591" t="s">
        <v>27</v>
      </c>
      <c r="S591" s="10">
        <v>32.147834805662555</v>
      </c>
      <c r="T591">
        <v>33</v>
      </c>
    </row>
    <row r="592" spans="1:20" x14ac:dyDescent="0.3">
      <c r="A592">
        <v>1451</v>
      </c>
      <c r="B592" t="s">
        <v>1451</v>
      </c>
      <c r="C592" t="s">
        <v>1287</v>
      </c>
      <c r="D592" t="s">
        <v>1452</v>
      </c>
      <c r="E592" t="s">
        <v>1453</v>
      </c>
      <c r="F592" t="s">
        <v>1454</v>
      </c>
      <c r="G592" t="s">
        <v>1455</v>
      </c>
      <c r="H592" t="s">
        <v>34</v>
      </c>
      <c r="I592" t="s">
        <v>435</v>
      </c>
      <c r="J592" s="1">
        <v>458</v>
      </c>
      <c r="K592" s="1">
        <v>41.636363636363633</v>
      </c>
      <c r="L592" s="3">
        <v>11</v>
      </c>
      <c r="M592" t="s">
        <v>36</v>
      </c>
      <c r="N592" s="2">
        <v>44694</v>
      </c>
      <c r="O592" t="s">
        <v>37</v>
      </c>
      <c r="P592" t="s">
        <v>372</v>
      </c>
      <c r="Q592">
        <v>90045</v>
      </c>
      <c r="R592" t="s">
        <v>27</v>
      </c>
      <c r="S592" s="10">
        <v>24.164102416203477</v>
      </c>
      <c r="T592">
        <v>20</v>
      </c>
    </row>
    <row r="593" spans="1:20" x14ac:dyDescent="0.3">
      <c r="A593">
        <v>1084</v>
      </c>
      <c r="B593" t="s">
        <v>175</v>
      </c>
      <c r="C593" t="s">
        <v>176</v>
      </c>
      <c r="D593" t="s">
        <v>177</v>
      </c>
      <c r="E593" t="s">
        <v>178</v>
      </c>
      <c r="F593" t="s">
        <v>179</v>
      </c>
      <c r="G593" t="s">
        <v>180</v>
      </c>
      <c r="H593" t="s">
        <v>34</v>
      </c>
      <c r="I593" t="s">
        <v>55</v>
      </c>
      <c r="J593" s="1">
        <v>638</v>
      </c>
      <c r="K593" s="1">
        <v>31.9</v>
      </c>
      <c r="L593" s="3">
        <v>20</v>
      </c>
      <c r="M593" t="s">
        <v>36</v>
      </c>
      <c r="N593" s="2">
        <v>44695</v>
      </c>
      <c r="O593" t="s">
        <v>181</v>
      </c>
      <c r="P593" t="s">
        <v>182</v>
      </c>
      <c r="Q593">
        <v>2453</v>
      </c>
      <c r="R593" t="s">
        <v>27</v>
      </c>
      <c r="S593" s="10">
        <v>48.497192998070474</v>
      </c>
      <c r="T593">
        <v>43</v>
      </c>
    </row>
    <row r="594" spans="1:20" x14ac:dyDescent="0.3">
      <c r="A594">
        <v>1365</v>
      </c>
      <c r="B594" t="s">
        <v>471</v>
      </c>
      <c r="C594" t="s">
        <v>472</v>
      </c>
      <c r="D594" t="s">
        <v>473</v>
      </c>
      <c r="E594" t="s">
        <v>474</v>
      </c>
      <c r="F594" t="s">
        <v>475</v>
      </c>
      <c r="G594" t="s">
        <v>476</v>
      </c>
      <c r="H594" t="s">
        <v>34</v>
      </c>
      <c r="I594" t="s">
        <v>55</v>
      </c>
      <c r="J594" s="1">
        <v>583</v>
      </c>
      <c r="K594" s="1">
        <v>30.684210526315791</v>
      </c>
      <c r="L594" s="3">
        <v>19</v>
      </c>
      <c r="M594" t="s">
        <v>66</v>
      </c>
      <c r="N594" s="2">
        <v>44695</v>
      </c>
      <c r="O594" t="s">
        <v>267</v>
      </c>
      <c r="P594" t="s">
        <v>477</v>
      </c>
      <c r="Q594">
        <v>33261</v>
      </c>
      <c r="R594" t="s">
        <v>27</v>
      </c>
      <c r="S594" s="10">
        <v>47.010596724455418</v>
      </c>
      <c r="T594">
        <v>39</v>
      </c>
    </row>
    <row r="595" spans="1:20" x14ac:dyDescent="0.3">
      <c r="A595">
        <v>1365</v>
      </c>
      <c r="B595" t="s">
        <v>471</v>
      </c>
      <c r="C595" t="s">
        <v>472</v>
      </c>
      <c r="D595" t="s">
        <v>473</v>
      </c>
      <c r="E595" t="s">
        <v>474</v>
      </c>
      <c r="F595" t="s">
        <v>475</v>
      </c>
      <c r="G595" t="s">
        <v>476</v>
      </c>
      <c r="H595" t="s">
        <v>34</v>
      </c>
      <c r="I595" t="s">
        <v>55</v>
      </c>
      <c r="J595" s="1">
        <v>956</v>
      </c>
      <c r="K595" s="1">
        <v>38.24</v>
      </c>
      <c r="L595" s="3">
        <v>25</v>
      </c>
      <c r="M595" t="s">
        <v>66</v>
      </c>
      <c r="N595" s="2">
        <v>44697</v>
      </c>
      <c r="O595" t="s">
        <v>267</v>
      </c>
      <c r="P595" t="s">
        <v>477</v>
      </c>
      <c r="Q595">
        <v>33261</v>
      </c>
      <c r="R595" t="s">
        <v>27</v>
      </c>
      <c r="S595" s="10">
        <v>35.48050992662094</v>
      </c>
      <c r="T595">
        <v>56</v>
      </c>
    </row>
    <row r="596" spans="1:20" x14ac:dyDescent="0.3">
      <c r="A596">
        <v>1020</v>
      </c>
      <c r="B596" t="s">
        <v>310</v>
      </c>
      <c r="C596" t="s">
        <v>311</v>
      </c>
      <c r="D596" t="s">
        <v>312</v>
      </c>
      <c r="E596" t="s">
        <v>313</v>
      </c>
      <c r="F596" t="s">
        <v>314</v>
      </c>
      <c r="G596" t="s">
        <v>315</v>
      </c>
      <c r="H596" t="s">
        <v>22</v>
      </c>
      <c r="I596" t="s">
        <v>23</v>
      </c>
      <c r="J596" s="1">
        <v>459</v>
      </c>
      <c r="K596" s="1">
        <v>41.727272727272727</v>
      </c>
      <c r="L596" s="3">
        <v>11</v>
      </c>
      <c r="M596" t="s">
        <v>36</v>
      </c>
      <c r="N596" s="2">
        <v>44701</v>
      </c>
      <c r="O596" t="s">
        <v>37</v>
      </c>
      <c r="P596" t="s">
        <v>316</v>
      </c>
      <c r="Q596">
        <v>94105</v>
      </c>
      <c r="R596" t="s">
        <v>27</v>
      </c>
      <c r="S596" s="10">
        <v>25.763978089988207</v>
      </c>
      <c r="T596">
        <v>23</v>
      </c>
    </row>
    <row r="597" spans="1:20" x14ac:dyDescent="0.3">
      <c r="A597">
        <v>1026</v>
      </c>
      <c r="B597" t="s">
        <v>77</v>
      </c>
      <c r="C597" t="s">
        <v>78</v>
      </c>
      <c r="D597" t="s">
        <v>79</v>
      </c>
      <c r="E597" t="s">
        <v>80</v>
      </c>
      <c r="F597" t="s">
        <v>81</v>
      </c>
      <c r="G597" t="s">
        <v>82</v>
      </c>
      <c r="H597" t="s">
        <v>22</v>
      </c>
      <c r="I597" t="s">
        <v>23</v>
      </c>
      <c r="J597" s="1">
        <v>745</v>
      </c>
      <c r="K597" s="1">
        <v>41.388888888888886</v>
      </c>
      <c r="L597" s="3">
        <v>18</v>
      </c>
      <c r="M597" t="s">
        <v>36</v>
      </c>
      <c r="N597" s="2">
        <v>44701</v>
      </c>
      <c r="O597" t="s">
        <v>83</v>
      </c>
      <c r="P597" t="s">
        <v>84</v>
      </c>
      <c r="Q597">
        <v>10469</v>
      </c>
      <c r="R597" t="s">
        <v>27</v>
      </c>
      <c r="S597" s="10">
        <v>27.378926126214704</v>
      </c>
      <c r="T597">
        <v>30</v>
      </c>
    </row>
    <row r="598" spans="1:20" x14ac:dyDescent="0.3">
      <c r="A598">
        <v>1661</v>
      </c>
      <c r="B598" t="s">
        <v>608</v>
      </c>
      <c r="C598" t="s">
        <v>1456</v>
      </c>
      <c r="D598" t="s">
        <v>1457</v>
      </c>
      <c r="E598" t="s">
        <v>1458</v>
      </c>
      <c r="F598" t="s">
        <v>193</v>
      </c>
      <c r="G598" t="s">
        <v>854</v>
      </c>
      <c r="H598" t="s">
        <v>34</v>
      </c>
      <c r="I598" t="s">
        <v>23</v>
      </c>
      <c r="J598" s="1">
        <v>57</v>
      </c>
      <c r="K598" s="1">
        <v>28.5</v>
      </c>
      <c r="L598" s="3">
        <v>2</v>
      </c>
      <c r="M598" t="s">
        <v>694</v>
      </c>
      <c r="N598" s="2">
        <v>44702</v>
      </c>
      <c r="O598" t="s">
        <v>109</v>
      </c>
      <c r="P598" t="s">
        <v>759</v>
      </c>
      <c r="Q598">
        <v>70815</v>
      </c>
      <c r="R598" t="s">
        <v>27</v>
      </c>
      <c r="S598" s="10">
        <v>4.3162855148202928</v>
      </c>
      <c r="T598">
        <v>3</v>
      </c>
    </row>
    <row r="599" spans="1:20" x14ac:dyDescent="0.3">
      <c r="A599">
        <v>1170</v>
      </c>
      <c r="B599" t="s">
        <v>153</v>
      </c>
      <c r="C599" t="s">
        <v>154</v>
      </c>
      <c r="D599" t="s">
        <v>155</v>
      </c>
      <c r="E599" t="s">
        <v>156</v>
      </c>
      <c r="F599" t="s">
        <v>157</v>
      </c>
      <c r="G599" t="s">
        <v>158</v>
      </c>
      <c r="H599" t="s">
        <v>34</v>
      </c>
      <c r="I599" t="s">
        <v>65</v>
      </c>
      <c r="J599" s="1">
        <v>984</v>
      </c>
      <c r="K599" s="1">
        <v>30.75</v>
      </c>
      <c r="L599" s="3">
        <v>32</v>
      </c>
      <c r="M599" t="s">
        <v>24</v>
      </c>
      <c r="N599" s="2">
        <v>44706</v>
      </c>
      <c r="O599" t="s">
        <v>67</v>
      </c>
      <c r="P599" t="s">
        <v>159</v>
      </c>
      <c r="Q599">
        <v>88574</v>
      </c>
      <c r="R599" t="s">
        <v>27</v>
      </c>
      <c r="S599" s="10">
        <v>66.094120867538876</v>
      </c>
      <c r="T599">
        <v>72</v>
      </c>
    </row>
    <row r="600" spans="1:20" x14ac:dyDescent="0.3">
      <c r="A600">
        <v>1170</v>
      </c>
      <c r="B600" t="s">
        <v>153</v>
      </c>
      <c r="C600" t="s">
        <v>154</v>
      </c>
      <c r="D600" t="s">
        <v>155</v>
      </c>
      <c r="E600" t="s">
        <v>156</v>
      </c>
      <c r="F600" t="s">
        <v>157</v>
      </c>
      <c r="G600" t="s">
        <v>158</v>
      </c>
      <c r="H600" t="s">
        <v>34</v>
      </c>
      <c r="I600" t="s">
        <v>65</v>
      </c>
      <c r="J600" s="1">
        <v>391</v>
      </c>
      <c r="K600" s="1">
        <v>39.1</v>
      </c>
      <c r="L600" s="3">
        <v>10</v>
      </c>
      <c r="M600" t="s">
        <v>24</v>
      </c>
      <c r="N600" s="2">
        <v>44707</v>
      </c>
      <c r="O600" t="s">
        <v>67</v>
      </c>
      <c r="P600" t="s">
        <v>159</v>
      </c>
      <c r="Q600">
        <v>88574</v>
      </c>
      <c r="R600" t="s">
        <v>27</v>
      </c>
      <c r="S600" s="10">
        <v>22.283953115489368</v>
      </c>
      <c r="T600">
        <v>20</v>
      </c>
    </row>
    <row r="601" spans="1:20" x14ac:dyDescent="0.3">
      <c r="A601">
        <v>1548</v>
      </c>
      <c r="B601" t="s">
        <v>1451</v>
      </c>
      <c r="C601" t="s">
        <v>29</v>
      </c>
      <c r="D601" t="s">
        <v>1459</v>
      </c>
      <c r="E601" t="s">
        <v>1460</v>
      </c>
      <c r="F601" t="s">
        <v>1461</v>
      </c>
      <c r="G601" t="s">
        <v>1462</v>
      </c>
      <c r="H601" t="s">
        <v>34</v>
      </c>
      <c r="I601" t="s">
        <v>98</v>
      </c>
      <c r="J601" s="1">
        <v>294</v>
      </c>
      <c r="K601" s="1">
        <v>32.666666666666664</v>
      </c>
      <c r="L601" s="3">
        <v>9</v>
      </c>
      <c r="M601" t="s">
        <v>36</v>
      </c>
      <c r="N601" s="2">
        <v>44707</v>
      </c>
      <c r="O601" t="s">
        <v>396</v>
      </c>
      <c r="P601" t="s">
        <v>1463</v>
      </c>
      <c r="Q601">
        <v>97075</v>
      </c>
      <c r="R601" t="s">
        <v>27</v>
      </c>
      <c r="S601" s="10">
        <v>12.194517644930359</v>
      </c>
      <c r="T601">
        <v>19</v>
      </c>
    </row>
    <row r="602" spans="1:20" x14ac:dyDescent="0.3">
      <c r="A602">
        <v>1409</v>
      </c>
      <c r="B602" t="s">
        <v>1043</v>
      </c>
      <c r="C602" t="s">
        <v>714</v>
      </c>
      <c r="D602" t="s">
        <v>1044</v>
      </c>
      <c r="E602" t="s">
        <v>1045</v>
      </c>
      <c r="F602" t="s">
        <v>32</v>
      </c>
      <c r="G602" t="s">
        <v>865</v>
      </c>
      <c r="H602" t="s">
        <v>34</v>
      </c>
      <c r="I602" t="s">
        <v>117</v>
      </c>
      <c r="J602" s="1">
        <v>935</v>
      </c>
      <c r="K602" s="1">
        <v>42.5</v>
      </c>
      <c r="L602" s="3">
        <v>22</v>
      </c>
      <c r="M602" t="s">
        <v>343</v>
      </c>
      <c r="N602" s="2">
        <v>44708</v>
      </c>
      <c r="O602" t="s">
        <v>952</v>
      </c>
      <c r="P602" t="s">
        <v>1038</v>
      </c>
      <c r="Q602">
        <v>7208</v>
      </c>
      <c r="R602" t="s">
        <v>27</v>
      </c>
      <c r="S602" s="10">
        <v>37.520005031651351</v>
      </c>
      <c r="T602">
        <v>39</v>
      </c>
    </row>
    <row r="603" spans="1:20" x14ac:dyDescent="0.3">
      <c r="A603">
        <v>1123</v>
      </c>
      <c r="B603" t="s">
        <v>231</v>
      </c>
      <c r="C603" t="s">
        <v>512</v>
      </c>
      <c r="D603" t="s">
        <v>639</v>
      </c>
      <c r="E603" t="s">
        <v>640</v>
      </c>
      <c r="F603" t="s">
        <v>638</v>
      </c>
      <c r="G603" t="s">
        <v>410</v>
      </c>
      <c r="H603" t="s">
        <v>34</v>
      </c>
      <c r="I603" t="s">
        <v>55</v>
      </c>
      <c r="J603" s="1">
        <v>457</v>
      </c>
      <c r="K603" s="1">
        <v>41.545454545454547</v>
      </c>
      <c r="L603" s="3">
        <v>11</v>
      </c>
      <c r="M603" t="s">
        <v>24</v>
      </c>
      <c r="N603" s="2">
        <v>44712</v>
      </c>
      <c r="O603" t="s">
        <v>267</v>
      </c>
      <c r="P603" t="s">
        <v>641</v>
      </c>
      <c r="Q603">
        <v>33673</v>
      </c>
      <c r="R603" t="s">
        <v>27</v>
      </c>
      <c r="S603" s="10">
        <v>26.101661426686867</v>
      </c>
      <c r="T603">
        <v>15</v>
      </c>
    </row>
    <row r="604" spans="1:20" x14ac:dyDescent="0.3">
      <c r="A604">
        <v>1116</v>
      </c>
      <c r="B604" t="s">
        <v>49</v>
      </c>
      <c r="C604" t="s">
        <v>50</v>
      </c>
      <c r="D604" t="s">
        <v>51</v>
      </c>
      <c r="E604" t="s">
        <v>52</v>
      </c>
      <c r="F604" t="s">
        <v>53</v>
      </c>
      <c r="G604" t="s">
        <v>54</v>
      </c>
      <c r="H604" t="s">
        <v>22</v>
      </c>
      <c r="I604" t="s">
        <v>55</v>
      </c>
      <c r="J604" s="1">
        <v>675</v>
      </c>
      <c r="K604" s="1">
        <v>25</v>
      </c>
      <c r="L604" s="3">
        <v>27</v>
      </c>
      <c r="M604" t="s">
        <v>56</v>
      </c>
      <c r="N604" s="2">
        <v>44713</v>
      </c>
      <c r="O604" t="s">
        <v>57</v>
      </c>
      <c r="P604" t="s">
        <v>58</v>
      </c>
      <c r="Q604">
        <v>30096</v>
      </c>
      <c r="R604" t="s">
        <v>27</v>
      </c>
      <c r="S604" s="10">
        <v>45.701295303218281</v>
      </c>
      <c r="T604">
        <v>64</v>
      </c>
    </row>
    <row r="605" spans="1:20" x14ac:dyDescent="0.3">
      <c r="A605">
        <v>1993</v>
      </c>
      <c r="B605" t="s">
        <v>198</v>
      </c>
      <c r="C605" t="s">
        <v>1393</v>
      </c>
      <c r="D605" t="s">
        <v>1394</v>
      </c>
      <c r="E605" t="s">
        <v>1395</v>
      </c>
      <c r="F605" t="s">
        <v>1396</v>
      </c>
      <c r="G605" t="s">
        <v>285</v>
      </c>
      <c r="H605" t="s">
        <v>22</v>
      </c>
      <c r="I605" t="s">
        <v>65</v>
      </c>
      <c r="J605" s="1">
        <v>192</v>
      </c>
      <c r="K605" s="1">
        <v>38.4</v>
      </c>
      <c r="L605" s="3">
        <v>5</v>
      </c>
      <c r="M605" t="s">
        <v>143</v>
      </c>
      <c r="N605" s="2">
        <v>44714</v>
      </c>
      <c r="O605" t="s">
        <v>100</v>
      </c>
      <c r="P605" t="s">
        <v>734</v>
      </c>
      <c r="Q605">
        <v>50369</v>
      </c>
      <c r="R605" t="s">
        <v>27</v>
      </c>
      <c r="S605" s="10">
        <v>11.792330491645583</v>
      </c>
      <c r="T605">
        <v>7</v>
      </c>
    </row>
    <row r="606" spans="1:20" x14ac:dyDescent="0.3">
      <c r="A606">
        <v>1457</v>
      </c>
      <c r="B606" t="s">
        <v>1464</v>
      </c>
      <c r="C606" t="s">
        <v>86</v>
      </c>
      <c r="D606" t="s">
        <v>1465</v>
      </c>
      <c r="E606" t="s">
        <v>1466</v>
      </c>
      <c r="F606" t="s">
        <v>96</v>
      </c>
      <c r="G606" t="s">
        <v>395</v>
      </c>
      <c r="H606" t="s">
        <v>34</v>
      </c>
      <c r="I606" t="s">
        <v>75</v>
      </c>
      <c r="J606" s="1">
        <v>33</v>
      </c>
      <c r="K606" s="1">
        <v>33</v>
      </c>
      <c r="L606" s="3">
        <v>1</v>
      </c>
      <c r="M606" t="s">
        <v>66</v>
      </c>
      <c r="N606" s="2">
        <v>44715</v>
      </c>
      <c r="O606" t="s">
        <v>229</v>
      </c>
      <c r="P606" t="s">
        <v>230</v>
      </c>
      <c r="Q606">
        <v>44321</v>
      </c>
      <c r="R606" t="s">
        <v>27</v>
      </c>
      <c r="S606" s="10">
        <v>1.621131500702927</v>
      </c>
      <c r="T606">
        <v>2</v>
      </c>
    </row>
    <row r="607" spans="1:20" x14ac:dyDescent="0.3">
      <c r="A607">
        <v>1086</v>
      </c>
      <c r="B607" t="s">
        <v>1043</v>
      </c>
      <c r="C607" t="s">
        <v>1467</v>
      </c>
      <c r="D607" t="s">
        <v>1468</v>
      </c>
      <c r="E607" t="s">
        <v>1469</v>
      </c>
      <c r="F607" t="s">
        <v>1470</v>
      </c>
      <c r="G607" t="s">
        <v>1016</v>
      </c>
      <c r="H607" t="s">
        <v>34</v>
      </c>
      <c r="I607" t="s">
        <v>55</v>
      </c>
      <c r="J607" s="1">
        <v>124</v>
      </c>
      <c r="K607" s="1">
        <v>31</v>
      </c>
      <c r="L607" s="3">
        <v>4</v>
      </c>
      <c r="M607" t="s">
        <v>36</v>
      </c>
      <c r="N607" s="2">
        <v>44718</v>
      </c>
      <c r="O607" t="s">
        <v>127</v>
      </c>
      <c r="P607" t="s">
        <v>1471</v>
      </c>
      <c r="Q607">
        <v>6816</v>
      </c>
      <c r="R607" t="s">
        <v>27</v>
      </c>
      <c r="S607" s="10">
        <v>6.8821108127796737</v>
      </c>
      <c r="T607">
        <v>7</v>
      </c>
    </row>
    <row r="608" spans="1:20" x14ac:dyDescent="0.3">
      <c r="A608">
        <v>1540</v>
      </c>
      <c r="B608" t="s">
        <v>695</v>
      </c>
      <c r="C608" t="s">
        <v>1472</v>
      </c>
      <c r="D608" t="s">
        <v>1473</v>
      </c>
      <c r="E608" t="s">
        <v>1474</v>
      </c>
      <c r="F608" t="s">
        <v>814</v>
      </c>
      <c r="G608" t="s">
        <v>1281</v>
      </c>
      <c r="H608" t="s">
        <v>34</v>
      </c>
      <c r="I608" t="s">
        <v>435</v>
      </c>
      <c r="J608" s="1">
        <v>296</v>
      </c>
      <c r="K608" s="1">
        <v>26.90909090909091</v>
      </c>
      <c r="L608" s="3">
        <v>11</v>
      </c>
      <c r="M608" t="s">
        <v>36</v>
      </c>
      <c r="N608" s="2">
        <v>44722</v>
      </c>
      <c r="O608" t="s">
        <v>37</v>
      </c>
      <c r="P608" t="s">
        <v>988</v>
      </c>
      <c r="Q608">
        <v>92612</v>
      </c>
      <c r="R608" t="s">
        <v>27</v>
      </c>
      <c r="S608" s="10">
        <v>26.160660775988546</v>
      </c>
      <c r="T608">
        <v>17</v>
      </c>
    </row>
    <row r="609" spans="1:20" x14ac:dyDescent="0.3">
      <c r="A609">
        <v>1095</v>
      </c>
      <c r="B609" t="s">
        <v>550</v>
      </c>
      <c r="C609" t="s">
        <v>551</v>
      </c>
      <c r="D609" t="s">
        <v>552</v>
      </c>
      <c r="E609" t="s">
        <v>553</v>
      </c>
      <c r="F609" t="s">
        <v>554</v>
      </c>
      <c r="G609" t="s">
        <v>555</v>
      </c>
      <c r="H609" t="s">
        <v>22</v>
      </c>
      <c r="I609" t="s">
        <v>55</v>
      </c>
      <c r="J609" s="1">
        <v>985</v>
      </c>
      <c r="K609" s="1">
        <v>39.4</v>
      </c>
      <c r="L609" s="3">
        <v>25</v>
      </c>
      <c r="M609" t="s">
        <v>126</v>
      </c>
      <c r="N609" s="2">
        <v>44723</v>
      </c>
      <c r="O609" t="s">
        <v>67</v>
      </c>
      <c r="P609" t="s">
        <v>334</v>
      </c>
      <c r="Q609">
        <v>77040</v>
      </c>
      <c r="R609" t="s">
        <v>27</v>
      </c>
      <c r="S609" s="10">
        <v>51.965067529153707</v>
      </c>
      <c r="T609">
        <v>36</v>
      </c>
    </row>
    <row r="610" spans="1:20" x14ac:dyDescent="0.3">
      <c r="A610">
        <v>1851</v>
      </c>
      <c r="B610" t="s">
        <v>604</v>
      </c>
      <c r="C610" t="s">
        <v>358</v>
      </c>
      <c r="D610" t="s">
        <v>605</v>
      </c>
      <c r="E610" t="s">
        <v>606</v>
      </c>
      <c r="F610" t="s">
        <v>607</v>
      </c>
      <c r="G610" t="s">
        <v>194</v>
      </c>
      <c r="H610" t="s">
        <v>22</v>
      </c>
      <c r="I610" t="s">
        <v>65</v>
      </c>
      <c r="J610" s="1">
        <v>623</v>
      </c>
      <c r="K610" s="1">
        <v>24.92</v>
      </c>
      <c r="L610" s="3">
        <v>25</v>
      </c>
      <c r="M610" t="s">
        <v>343</v>
      </c>
      <c r="N610" s="2">
        <v>44723</v>
      </c>
      <c r="O610" t="s">
        <v>83</v>
      </c>
      <c r="P610" t="s">
        <v>351</v>
      </c>
      <c r="Q610">
        <v>11210</v>
      </c>
      <c r="R610" t="s">
        <v>27</v>
      </c>
      <c r="S610" s="10">
        <v>46.592168142524272</v>
      </c>
      <c r="T610">
        <v>55</v>
      </c>
    </row>
    <row r="611" spans="1:20" x14ac:dyDescent="0.3">
      <c r="A611">
        <v>1081</v>
      </c>
      <c r="B611" t="s">
        <v>529</v>
      </c>
      <c r="C611" t="s">
        <v>530</v>
      </c>
      <c r="D611" t="s">
        <v>531</v>
      </c>
      <c r="E611" t="s">
        <v>532</v>
      </c>
      <c r="F611" t="s">
        <v>533</v>
      </c>
      <c r="G611" t="s">
        <v>495</v>
      </c>
      <c r="H611" t="s">
        <v>22</v>
      </c>
      <c r="I611" t="s">
        <v>55</v>
      </c>
      <c r="J611" s="1">
        <v>297</v>
      </c>
      <c r="K611" s="1">
        <v>33</v>
      </c>
      <c r="L611" s="3">
        <v>9</v>
      </c>
      <c r="M611" t="s">
        <v>447</v>
      </c>
      <c r="N611" s="2">
        <v>44725</v>
      </c>
      <c r="O611" t="s">
        <v>229</v>
      </c>
      <c r="P611" t="s">
        <v>534</v>
      </c>
      <c r="Q611">
        <v>45426</v>
      </c>
      <c r="R611" t="s">
        <v>27</v>
      </c>
      <c r="S611" s="10">
        <v>16.110836244335786</v>
      </c>
      <c r="T611">
        <v>19</v>
      </c>
    </row>
    <row r="612" spans="1:20" x14ac:dyDescent="0.3">
      <c r="A612">
        <v>1628</v>
      </c>
      <c r="B612" t="s">
        <v>92</v>
      </c>
      <c r="C612" t="s">
        <v>147</v>
      </c>
      <c r="D612" t="s">
        <v>1475</v>
      </c>
      <c r="E612" t="s">
        <v>1476</v>
      </c>
      <c r="F612" t="s">
        <v>1477</v>
      </c>
      <c r="G612" t="s">
        <v>410</v>
      </c>
      <c r="H612" t="s">
        <v>22</v>
      </c>
      <c r="I612" t="s">
        <v>23</v>
      </c>
      <c r="J612" s="1">
        <v>727</v>
      </c>
      <c r="K612" s="1">
        <v>29.08</v>
      </c>
      <c r="L612" s="3">
        <v>25</v>
      </c>
      <c r="M612" t="s">
        <v>56</v>
      </c>
      <c r="N612" s="2">
        <v>44726</v>
      </c>
      <c r="O612" t="s">
        <v>181</v>
      </c>
      <c r="P612" t="s">
        <v>1478</v>
      </c>
      <c r="Q612">
        <v>2109</v>
      </c>
      <c r="R612" t="s">
        <v>27</v>
      </c>
      <c r="S612" s="10">
        <v>32.570814115316246</v>
      </c>
      <c r="T612">
        <v>40</v>
      </c>
    </row>
    <row r="613" spans="1:20" x14ac:dyDescent="0.3">
      <c r="A613">
        <v>1949</v>
      </c>
      <c r="B613" t="s">
        <v>1479</v>
      </c>
      <c r="C613" t="s">
        <v>944</v>
      </c>
      <c r="D613" t="s">
        <v>1480</v>
      </c>
      <c r="E613" t="s">
        <v>1481</v>
      </c>
      <c r="F613" t="s">
        <v>1482</v>
      </c>
      <c r="G613" t="s">
        <v>378</v>
      </c>
      <c r="H613" t="s">
        <v>22</v>
      </c>
      <c r="I613" t="s">
        <v>236</v>
      </c>
      <c r="J613" s="1">
        <v>76</v>
      </c>
      <c r="K613" s="1">
        <v>38</v>
      </c>
      <c r="L613" s="3">
        <v>2</v>
      </c>
      <c r="M613" t="s">
        <v>404</v>
      </c>
      <c r="N613" s="2">
        <v>44729</v>
      </c>
      <c r="O613" t="s">
        <v>358</v>
      </c>
      <c r="P613" t="s">
        <v>1244</v>
      </c>
      <c r="Q613">
        <v>98405</v>
      </c>
      <c r="R613" t="s">
        <v>27</v>
      </c>
      <c r="S613" s="10">
        <v>2.988801895344078</v>
      </c>
      <c r="T613">
        <v>3</v>
      </c>
    </row>
    <row r="614" spans="1:20" x14ac:dyDescent="0.3">
      <c r="A614">
        <v>1095</v>
      </c>
      <c r="B614" t="s">
        <v>550</v>
      </c>
      <c r="C614" t="s">
        <v>551</v>
      </c>
      <c r="D614" t="s">
        <v>552</v>
      </c>
      <c r="E614" t="s">
        <v>553</v>
      </c>
      <c r="F614" t="s">
        <v>554</v>
      </c>
      <c r="G614" t="s">
        <v>555</v>
      </c>
      <c r="H614" t="s">
        <v>22</v>
      </c>
      <c r="I614" t="s">
        <v>55</v>
      </c>
      <c r="J614" s="1">
        <v>457</v>
      </c>
      <c r="K614" s="1">
        <v>28.5625</v>
      </c>
      <c r="L614" s="3">
        <v>16</v>
      </c>
      <c r="M614" t="s">
        <v>126</v>
      </c>
      <c r="N614" s="2">
        <v>44731</v>
      </c>
      <c r="O614" t="s">
        <v>67</v>
      </c>
      <c r="P614" t="s">
        <v>334</v>
      </c>
      <c r="Q614">
        <v>77040</v>
      </c>
      <c r="R614" t="s">
        <v>27</v>
      </c>
      <c r="S614" s="10">
        <v>31.258306204805532</v>
      </c>
      <c r="T614">
        <v>28</v>
      </c>
    </row>
    <row r="615" spans="1:20" x14ac:dyDescent="0.3">
      <c r="A615">
        <v>1670</v>
      </c>
      <c r="B615" t="s">
        <v>892</v>
      </c>
      <c r="C615" t="s">
        <v>1483</v>
      </c>
      <c r="D615" t="s">
        <v>1484</v>
      </c>
      <c r="E615" t="s">
        <v>1485</v>
      </c>
      <c r="F615" t="s">
        <v>1486</v>
      </c>
      <c r="G615" t="s">
        <v>957</v>
      </c>
      <c r="H615" t="s">
        <v>22</v>
      </c>
      <c r="I615" t="s">
        <v>23</v>
      </c>
      <c r="J615" s="1">
        <v>757</v>
      </c>
      <c r="K615" s="1">
        <v>34.409090909090907</v>
      </c>
      <c r="L615" s="3">
        <v>22</v>
      </c>
      <c r="M615" t="s">
        <v>24</v>
      </c>
      <c r="N615" s="2">
        <v>44731</v>
      </c>
      <c r="O615" t="s">
        <v>67</v>
      </c>
      <c r="P615" t="s">
        <v>334</v>
      </c>
      <c r="Q615">
        <v>77070</v>
      </c>
      <c r="R615" t="s">
        <v>27</v>
      </c>
      <c r="S615" s="10">
        <v>35.597960169724054</v>
      </c>
      <c r="T615">
        <v>38</v>
      </c>
    </row>
    <row r="616" spans="1:20" x14ac:dyDescent="0.3">
      <c r="A616">
        <v>1626</v>
      </c>
      <c r="B616" t="s">
        <v>175</v>
      </c>
      <c r="C616" t="s">
        <v>893</v>
      </c>
      <c r="D616" t="s">
        <v>1487</v>
      </c>
      <c r="E616" t="s">
        <v>1488</v>
      </c>
      <c r="F616" t="s">
        <v>1489</v>
      </c>
      <c r="G616" t="s">
        <v>327</v>
      </c>
      <c r="H616" t="s">
        <v>34</v>
      </c>
      <c r="I616" t="s">
        <v>23</v>
      </c>
      <c r="J616" s="1">
        <v>323</v>
      </c>
      <c r="K616" s="1">
        <v>26.916666666666668</v>
      </c>
      <c r="L616" s="3">
        <v>12</v>
      </c>
      <c r="M616" t="s">
        <v>36</v>
      </c>
      <c r="N616" s="2">
        <v>44733</v>
      </c>
      <c r="O616" t="s">
        <v>267</v>
      </c>
      <c r="P616" t="s">
        <v>1271</v>
      </c>
      <c r="Q616">
        <v>32526</v>
      </c>
      <c r="R616" t="s">
        <v>27</v>
      </c>
      <c r="S616" s="10">
        <v>20.624907454773638</v>
      </c>
      <c r="T616">
        <v>16</v>
      </c>
    </row>
    <row r="617" spans="1:20" x14ac:dyDescent="0.3">
      <c r="A617">
        <v>1717</v>
      </c>
      <c r="B617" t="s">
        <v>1291</v>
      </c>
      <c r="C617" t="s">
        <v>147</v>
      </c>
      <c r="D617" t="s">
        <v>1490</v>
      </c>
      <c r="E617" t="s">
        <v>1491</v>
      </c>
      <c r="F617" t="s">
        <v>1492</v>
      </c>
      <c r="G617" t="s">
        <v>987</v>
      </c>
      <c r="H617" t="s">
        <v>22</v>
      </c>
      <c r="I617" t="s">
        <v>23</v>
      </c>
      <c r="J617" s="1">
        <v>437</v>
      </c>
      <c r="K617" s="1">
        <v>33.615384615384613</v>
      </c>
      <c r="L617" s="3">
        <v>13</v>
      </c>
      <c r="M617" t="s">
        <v>99</v>
      </c>
      <c r="N617" s="2">
        <v>44734</v>
      </c>
      <c r="O617" t="s">
        <v>118</v>
      </c>
      <c r="P617" t="s">
        <v>454</v>
      </c>
      <c r="Q617">
        <v>55436</v>
      </c>
      <c r="R617" t="s">
        <v>27</v>
      </c>
      <c r="S617" s="10">
        <v>23.984694083417995</v>
      </c>
      <c r="T617">
        <v>22</v>
      </c>
    </row>
    <row r="618" spans="1:20" x14ac:dyDescent="0.3">
      <c r="A618">
        <v>1392</v>
      </c>
      <c r="B618" t="s">
        <v>222</v>
      </c>
      <c r="C618" t="s">
        <v>232</v>
      </c>
      <c r="D618" t="s">
        <v>1493</v>
      </c>
      <c r="E618" t="s">
        <v>1494</v>
      </c>
      <c r="F618" t="s">
        <v>1495</v>
      </c>
      <c r="G618" t="s">
        <v>1016</v>
      </c>
      <c r="H618" t="s">
        <v>34</v>
      </c>
      <c r="I618" t="s">
        <v>55</v>
      </c>
      <c r="J618" s="1">
        <v>596</v>
      </c>
      <c r="K618" s="1">
        <v>33.111111111111114</v>
      </c>
      <c r="L618" s="3">
        <v>18</v>
      </c>
      <c r="M618" t="s">
        <v>36</v>
      </c>
      <c r="N618" s="2">
        <v>44735</v>
      </c>
      <c r="O618" t="s">
        <v>83</v>
      </c>
      <c r="P618" t="s">
        <v>718</v>
      </c>
      <c r="Q618">
        <v>11480</v>
      </c>
      <c r="R618" t="s">
        <v>27</v>
      </c>
      <c r="S618" s="10">
        <v>23.686792285350037</v>
      </c>
      <c r="T618">
        <v>33</v>
      </c>
    </row>
    <row r="619" spans="1:20" x14ac:dyDescent="0.3">
      <c r="A619">
        <v>1277</v>
      </c>
      <c r="B619" t="s">
        <v>222</v>
      </c>
      <c r="C619" t="s">
        <v>223</v>
      </c>
      <c r="D619" t="s">
        <v>224</v>
      </c>
      <c r="E619" t="s">
        <v>225</v>
      </c>
      <c r="F619" t="s">
        <v>226</v>
      </c>
      <c r="G619" t="s">
        <v>227</v>
      </c>
      <c r="H619" t="s">
        <v>34</v>
      </c>
      <c r="I619" t="s">
        <v>228</v>
      </c>
      <c r="J619" s="1">
        <v>905</v>
      </c>
      <c r="K619" s="1">
        <v>26.617647058823529</v>
      </c>
      <c r="L619" s="3">
        <v>34</v>
      </c>
      <c r="M619" t="s">
        <v>203</v>
      </c>
      <c r="N619" s="2">
        <v>44736</v>
      </c>
      <c r="O619" t="s">
        <v>229</v>
      </c>
      <c r="P619" t="s">
        <v>230</v>
      </c>
      <c r="Q619">
        <v>44310</v>
      </c>
      <c r="R619" t="s">
        <v>27</v>
      </c>
      <c r="S619" s="10">
        <v>71.62933661046192</v>
      </c>
      <c r="T619">
        <v>59</v>
      </c>
    </row>
    <row r="620" spans="1:20" x14ac:dyDescent="0.3">
      <c r="A620">
        <v>1947</v>
      </c>
      <c r="B620" t="s">
        <v>1094</v>
      </c>
      <c r="C620" t="s">
        <v>424</v>
      </c>
      <c r="D620" t="s">
        <v>1496</v>
      </c>
      <c r="E620" t="s">
        <v>1497</v>
      </c>
      <c r="F620" t="s">
        <v>1477</v>
      </c>
      <c r="G620" t="s">
        <v>350</v>
      </c>
      <c r="H620" t="s">
        <v>22</v>
      </c>
      <c r="I620" t="s">
        <v>299</v>
      </c>
      <c r="J620" s="1">
        <v>413</v>
      </c>
      <c r="K620" s="1">
        <v>27.533333333333335</v>
      </c>
      <c r="L620" s="3">
        <v>15</v>
      </c>
      <c r="M620" t="s">
        <v>66</v>
      </c>
      <c r="N620" s="2">
        <v>44741</v>
      </c>
      <c r="O620" t="s">
        <v>173</v>
      </c>
      <c r="P620" t="s">
        <v>579</v>
      </c>
      <c r="Q620">
        <v>65810</v>
      </c>
      <c r="R620" t="s">
        <v>27</v>
      </c>
      <c r="S620" s="10">
        <v>31.99430330756304</v>
      </c>
      <c r="T620">
        <v>24</v>
      </c>
    </row>
    <row r="621" spans="1:20" x14ac:dyDescent="0.3">
      <c r="A621">
        <v>1880</v>
      </c>
      <c r="B621" t="s">
        <v>129</v>
      </c>
      <c r="C621" t="s">
        <v>130</v>
      </c>
      <c r="D621" t="s">
        <v>131</v>
      </c>
      <c r="E621" t="s">
        <v>132</v>
      </c>
      <c r="F621" t="s">
        <v>133</v>
      </c>
      <c r="G621" t="s">
        <v>134</v>
      </c>
      <c r="H621" t="s">
        <v>22</v>
      </c>
      <c r="I621" t="s">
        <v>135</v>
      </c>
      <c r="J621" s="1">
        <v>866</v>
      </c>
      <c r="K621" s="1">
        <v>34.64</v>
      </c>
      <c r="L621" s="3">
        <v>25</v>
      </c>
      <c r="M621" t="s">
        <v>36</v>
      </c>
      <c r="N621" s="2">
        <v>44745</v>
      </c>
      <c r="O621" t="s">
        <v>136</v>
      </c>
      <c r="P621" t="s">
        <v>137</v>
      </c>
      <c r="Q621">
        <v>60614</v>
      </c>
      <c r="R621" t="s">
        <v>27</v>
      </c>
      <c r="S621" s="10">
        <v>52.441254664736384</v>
      </c>
      <c r="T621">
        <v>53</v>
      </c>
    </row>
    <row r="622" spans="1:20" x14ac:dyDescent="0.3">
      <c r="A622">
        <v>1140</v>
      </c>
      <c r="B622" t="s">
        <v>871</v>
      </c>
      <c r="C622" t="s">
        <v>1119</v>
      </c>
      <c r="D622" t="s">
        <v>1498</v>
      </c>
      <c r="E622" t="s">
        <v>1499</v>
      </c>
      <c r="F622" t="s">
        <v>1500</v>
      </c>
      <c r="G622" t="s">
        <v>202</v>
      </c>
      <c r="H622" t="s">
        <v>22</v>
      </c>
      <c r="I622" t="s">
        <v>35</v>
      </c>
      <c r="J622" s="1">
        <v>513</v>
      </c>
      <c r="K622" s="1">
        <v>30.176470588235293</v>
      </c>
      <c r="L622" s="3">
        <v>17</v>
      </c>
      <c r="M622" t="s">
        <v>36</v>
      </c>
      <c r="N622" s="2">
        <v>44747</v>
      </c>
      <c r="O622" t="s">
        <v>229</v>
      </c>
      <c r="P622" t="s">
        <v>1158</v>
      </c>
      <c r="Q622">
        <v>44111</v>
      </c>
      <c r="R622" t="s">
        <v>27</v>
      </c>
      <c r="S622" s="10">
        <v>37.303051374325754</v>
      </c>
      <c r="T622">
        <v>35</v>
      </c>
    </row>
    <row r="623" spans="1:20" x14ac:dyDescent="0.3">
      <c r="A623">
        <v>1468</v>
      </c>
      <c r="B623" t="s">
        <v>380</v>
      </c>
      <c r="C623" t="s">
        <v>381</v>
      </c>
      <c r="D623" t="s">
        <v>382</v>
      </c>
      <c r="E623" t="s">
        <v>383</v>
      </c>
      <c r="F623" t="s">
        <v>384</v>
      </c>
      <c r="G623" t="s">
        <v>385</v>
      </c>
      <c r="H623" t="s">
        <v>22</v>
      </c>
      <c r="I623" t="s">
        <v>65</v>
      </c>
      <c r="J623" s="1">
        <v>978</v>
      </c>
      <c r="K623" s="1">
        <v>44.454545454545453</v>
      </c>
      <c r="L623" s="3">
        <v>22</v>
      </c>
      <c r="M623" t="s">
        <v>46</v>
      </c>
      <c r="N623" s="2">
        <v>44750</v>
      </c>
      <c r="O623" t="s">
        <v>109</v>
      </c>
      <c r="P623" t="s">
        <v>386</v>
      </c>
      <c r="Q623">
        <v>70116</v>
      </c>
      <c r="R623" t="s">
        <v>27</v>
      </c>
      <c r="S623" s="10">
        <v>43.698083696798214</v>
      </c>
      <c r="T623">
        <v>46</v>
      </c>
    </row>
    <row r="624" spans="1:20" x14ac:dyDescent="0.3">
      <c r="A624">
        <v>1144</v>
      </c>
      <c r="B624" t="s">
        <v>776</v>
      </c>
      <c r="C624" t="s">
        <v>747</v>
      </c>
      <c r="D624" t="s">
        <v>807</v>
      </c>
      <c r="E624" t="s">
        <v>808</v>
      </c>
      <c r="F624" t="s">
        <v>235</v>
      </c>
      <c r="G624" t="s">
        <v>677</v>
      </c>
      <c r="H624" t="s">
        <v>22</v>
      </c>
      <c r="I624" t="s">
        <v>35</v>
      </c>
      <c r="J624" s="1">
        <v>32</v>
      </c>
      <c r="K624" s="1">
        <v>32</v>
      </c>
      <c r="L624" s="3">
        <v>1</v>
      </c>
      <c r="M624" t="s">
        <v>66</v>
      </c>
      <c r="N624" s="2">
        <v>44751</v>
      </c>
      <c r="O624" t="s">
        <v>83</v>
      </c>
      <c r="P624" t="s">
        <v>809</v>
      </c>
      <c r="Q624">
        <v>11355</v>
      </c>
      <c r="R624" t="s">
        <v>27</v>
      </c>
      <c r="S624" s="10">
        <v>2.108752436386967</v>
      </c>
      <c r="T624">
        <v>2</v>
      </c>
    </row>
    <row r="625" spans="1:20" x14ac:dyDescent="0.3">
      <c r="A625">
        <v>1123</v>
      </c>
      <c r="B625" t="s">
        <v>231</v>
      </c>
      <c r="C625" t="s">
        <v>512</v>
      </c>
      <c r="D625" t="s">
        <v>639</v>
      </c>
      <c r="E625" t="s">
        <v>640</v>
      </c>
      <c r="F625" t="s">
        <v>638</v>
      </c>
      <c r="G625" t="s">
        <v>410</v>
      </c>
      <c r="H625" t="s">
        <v>34</v>
      </c>
      <c r="I625" t="s">
        <v>55</v>
      </c>
      <c r="J625" s="1">
        <v>269</v>
      </c>
      <c r="K625" s="1">
        <v>44.833333333333336</v>
      </c>
      <c r="L625" s="3">
        <v>6</v>
      </c>
      <c r="M625" t="s">
        <v>24</v>
      </c>
      <c r="N625" s="2">
        <v>44757</v>
      </c>
      <c r="O625" t="s">
        <v>267</v>
      </c>
      <c r="P625" t="s">
        <v>641</v>
      </c>
      <c r="Q625">
        <v>33673</v>
      </c>
      <c r="R625" t="s">
        <v>27</v>
      </c>
      <c r="S625" s="10">
        <v>8.9324855899428002</v>
      </c>
      <c r="T625">
        <v>8</v>
      </c>
    </row>
    <row r="626" spans="1:20" x14ac:dyDescent="0.3">
      <c r="A626">
        <v>1955</v>
      </c>
      <c r="B626" t="s">
        <v>47</v>
      </c>
      <c r="C626" t="s">
        <v>939</v>
      </c>
      <c r="D626" t="s">
        <v>1501</v>
      </c>
      <c r="E626" t="s">
        <v>1502</v>
      </c>
      <c r="F626" t="s">
        <v>1503</v>
      </c>
      <c r="G626" t="s">
        <v>327</v>
      </c>
      <c r="H626" t="s">
        <v>22</v>
      </c>
      <c r="I626" t="s">
        <v>117</v>
      </c>
      <c r="J626" s="1">
        <v>822</v>
      </c>
      <c r="K626" s="1">
        <v>32.880000000000003</v>
      </c>
      <c r="L626" s="3">
        <v>25</v>
      </c>
      <c r="M626" t="s">
        <v>36</v>
      </c>
      <c r="N626" s="2">
        <v>44757</v>
      </c>
      <c r="O626" t="s">
        <v>25</v>
      </c>
      <c r="P626" t="s">
        <v>1174</v>
      </c>
      <c r="Q626">
        <v>49544</v>
      </c>
      <c r="R626" t="s">
        <v>27</v>
      </c>
      <c r="S626" s="10">
        <v>54.92760011367541</v>
      </c>
      <c r="T626">
        <v>49</v>
      </c>
    </row>
    <row r="627" spans="1:20" x14ac:dyDescent="0.3">
      <c r="A627">
        <v>1568</v>
      </c>
      <c r="B627" t="s">
        <v>1033</v>
      </c>
      <c r="C627" t="s">
        <v>139</v>
      </c>
      <c r="D627" t="s">
        <v>1504</v>
      </c>
      <c r="E627" t="s">
        <v>1505</v>
      </c>
      <c r="F627" t="s">
        <v>1506</v>
      </c>
      <c r="G627" t="s">
        <v>1123</v>
      </c>
      <c r="H627" t="s">
        <v>34</v>
      </c>
      <c r="I627" t="s">
        <v>35</v>
      </c>
      <c r="J627" s="1">
        <v>485</v>
      </c>
      <c r="K627" s="1">
        <v>34.642857142857146</v>
      </c>
      <c r="L627" s="3">
        <v>14</v>
      </c>
      <c r="M627" t="s">
        <v>219</v>
      </c>
      <c r="N627" s="2">
        <v>44758</v>
      </c>
      <c r="O627" t="s">
        <v>83</v>
      </c>
      <c r="P627" t="s">
        <v>809</v>
      </c>
      <c r="Q627">
        <v>11355</v>
      </c>
      <c r="R627" t="s">
        <v>27</v>
      </c>
      <c r="S627" s="10">
        <v>27.931944290855828</v>
      </c>
      <c r="T627">
        <v>19</v>
      </c>
    </row>
    <row r="628" spans="1:20" x14ac:dyDescent="0.3">
      <c r="A628">
        <v>1723</v>
      </c>
      <c r="B628" t="s">
        <v>729</v>
      </c>
      <c r="C628" t="s">
        <v>655</v>
      </c>
      <c r="D628" t="s">
        <v>1507</v>
      </c>
      <c r="E628" t="s">
        <v>1508</v>
      </c>
      <c r="F628" t="s">
        <v>1010</v>
      </c>
      <c r="G628" t="s">
        <v>279</v>
      </c>
      <c r="H628" t="s">
        <v>22</v>
      </c>
      <c r="I628" t="s">
        <v>23</v>
      </c>
      <c r="J628" s="1">
        <v>89</v>
      </c>
      <c r="K628" s="1">
        <v>44.5</v>
      </c>
      <c r="L628" s="3">
        <v>2</v>
      </c>
      <c r="M628" t="s">
        <v>36</v>
      </c>
      <c r="N628" s="2">
        <v>44760</v>
      </c>
      <c r="O628" t="s">
        <v>237</v>
      </c>
      <c r="P628" t="s">
        <v>1298</v>
      </c>
      <c r="Q628">
        <v>36670</v>
      </c>
      <c r="R628" t="s">
        <v>27</v>
      </c>
      <c r="S628" s="10">
        <v>2.8071671873298265</v>
      </c>
      <c r="T628">
        <v>2</v>
      </c>
    </row>
    <row r="629" spans="1:20" x14ac:dyDescent="0.3">
      <c r="A629">
        <v>1095</v>
      </c>
      <c r="B629" t="s">
        <v>550</v>
      </c>
      <c r="C629" t="s">
        <v>551</v>
      </c>
      <c r="D629" t="s">
        <v>552</v>
      </c>
      <c r="E629" t="s">
        <v>553</v>
      </c>
      <c r="F629" t="s">
        <v>554</v>
      </c>
      <c r="G629" t="s">
        <v>555</v>
      </c>
      <c r="H629" t="s">
        <v>22</v>
      </c>
      <c r="I629" t="s">
        <v>55</v>
      </c>
      <c r="J629" s="1">
        <v>883</v>
      </c>
      <c r="K629" s="1">
        <v>27.59375</v>
      </c>
      <c r="L629" s="3">
        <v>32</v>
      </c>
      <c r="M629" t="s">
        <v>126</v>
      </c>
      <c r="N629" s="2">
        <v>44764</v>
      </c>
      <c r="O629" t="s">
        <v>67</v>
      </c>
      <c r="P629" t="s">
        <v>334</v>
      </c>
      <c r="Q629">
        <v>77040</v>
      </c>
      <c r="R629" t="s">
        <v>27</v>
      </c>
      <c r="S629" s="10">
        <v>61.988228549689964</v>
      </c>
      <c r="T629">
        <v>67</v>
      </c>
    </row>
    <row r="630" spans="1:20" x14ac:dyDescent="0.3">
      <c r="A630">
        <v>1170</v>
      </c>
      <c r="B630" t="s">
        <v>153</v>
      </c>
      <c r="C630" t="s">
        <v>154</v>
      </c>
      <c r="D630" t="s">
        <v>155</v>
      </c>
      <c r="E630" t="s">
        <v>156</v>
      </c>
      <c r="F630" t="s">
        <v>157</v>
      </c>
      <c r="G630" t="s">
        <v>158</v>
      </c>
      <c r="H630" t="s">
        <v>34</v>
      </c>
      <c r="I630" t="s">
        <v>65</v>
      </c>
      <c r="J630" s="1">
        <v>382</v>
      </c>
      <c r="K630" s="1">
        <v>27.285714285714285</v>
      </c>
      <c r="L630" s="3">
        <v>14</v>
      </c>
      <c r="M630" t="s">
        <v>24</v>
      </c>
      <c r="N630" s="2">
        <v>44764</v>
      </c>
      <c r="O630" t="s">
        <v>67</v>
      </c>
      <c r="P630" t="s">
        <v>159</v>
      </c>
      <c r="Q630">
        <v>88574</v>
      </c>
      <c r="R630" t="s">
        <v>27</v>
      </c>
      <c r="S630" s="10">
        <v>25.52705259865504</v>
      </c>
      <c r="T630">
        <v>26</v>
      </c>
    </row>
    <row r="631" spans="1:20" x14ac:dyDescent="0.3">
      <c r="A631">
        <v>1017</v>
      </c>
      <c r="B631" t="s">
        <v>660</v>
      </c>
      <c r="C631" t="s">
        <v>679</v>
      </c>
      <c r="D631" t="s">
        <v>680</v>
      </c>
      <c r="E631" t="s">
        <v>681</v>
      </c>
      <c r="F631" t="s">
        <v>682</v>
      </c>
      <c r="G631" t="s">
        <v>446</v>
      </c>
      <c r="H631" t="s">
        <v>22</v>
      </c>
      <c r="I631" t="s">
        <v>23</v>
      </c>
      <c r="J631" s="1">
        <v>231</v>
      </c>
      <c r="K631" s="1">
        <v>33</v>
      </c>
      <c r="L631" s="3">
        <v>7</v>
      </c>
      <c r="M631" t="s">
        <v>36</v>
      </c>
      <c r="N631" s="2">
        <v>44765</v>
      </c>
      <c r="O631" t="s">
        <v>136</v>
      </c>
      <c r="P631" t="s">
        <v>137</v>
      </c>
      <c r="Q631">
        <v>60663</v>
      </c>
      <c r="R631" t="s">
        <v>27</v>
      </c>
      <c r="S631" s="10">
        <v>15.220943113094842</v>
      </c>
      <c r="T631">
        <v>14</v>
      </c>
    </row>
    <row r="632" spans="1:20" x14ac:dyDescent="0.3">
      <c r="A632">
        <v>1121</v>
      </c>
      <c r="B632" t="s">
        <v>1248</v>
      </c>
      <c r="C632" t="s">
        <v>1509</v>
      </c>
      <c r="D632" t="s">
        <v>1510</v>
      </c>
      <c r="E632" t="s">
        <v>1511</v>
      </c>
      <c r="F632" t="s">
        <v>1512</v>
      </c>
      <c r="G632" t="s">
        <v>1513</v>
      </c>
      <c r="H632" t="s">
        <v>34</v>
      </c>
      <c r="I632" t="s">
        <v>55</v>
      </c>
      <c r="J632" s="1">
        <v>173</v>
      </c>
      <c r="K632" s="1">
        <v>28.833333333333332</v>
      </c>
      <c r="L632" s="3">
        <v>6</v>
      </c>
      <c r="M632" t="s">
        <v>24</v>
      </c>
      <c r="N632" s="2">
        <v>44765</v>
      </c>
      <c r="O632" t="s">
        <v>292</v>
      </c>
      <c r="P632" t="s">
        <v>1514</v>
      </c>
      <c r="Q632">
        <v>53710</v>
      </c>
      <c r="R632" t="s">
        <v>27</v>
      </c>
      <c r="S632" s="10">
        <v>13.60403863683317</v>
      </c>
      <c r="T632">
        <v>11</v>
      </c>
    </row>
    <row r="633" spans="1:20" x14ac:dyDescent="0.3">
      <c r="A633">
        <v>1365</v>
      </c>
      <c r="B633" t="s">
        <v>471</v>
      </c>
      <c r="C633" t="s">
        <v>472</v>
      </c>
      <c r="D633" t="s">
        <v>473</v>
      </c>
      <c r="E633" t="s">
        <v>474</v>
      </c>
      <c r="F633" t="s">
        <v>475</v>
      </c>
      <c r="G633" t="s">
        <v>476</v>
      </c>
      <c r="H633" t="s">
        <v>34</v>
      </c>
      <c r="I633" t="s">
        <v>55</v>
      </c>
      <c r="J633" s="1">
        <v>627</v>
      </c>
      <c r="K633" s="1">
        <v>28.5</v>
      </c>
      <c r="L633" s="3">
        <v>22</v>
      </c>
      <c r="M633" t="s">
        <v>66</v>
      </c>
      <c r="N633" s="2">
        <v>44768</v>
      </c>
      <c r="O633" t="s">
        <v>267</v>
      </c>
      <c r="P633" t="s">
        <v>477</v>
      </c>
      <c r="Q633">
        <v>33261</v>
      </c>
      <c r="R633" t="s">
        <v>27</v>
      </c>
      <c r="S633" s="10">
        <v>35.306143876963034</v>
      </c>
      <c r="T633">
        <v>48</v>
      </c>
    </row>
    <row r="634" spans="1:20" x14ac:dyDescent="0.3">
      <c r="A634">
        <v>1123</v>
      </c>
      <c r="B634" t="s">
        <v>231</v>
      </c>
      <c r="C634" t="s">
        <v>512</v>
      </c>
      <c r="D634" t="s">
        <v>639</v>
      </c>
      <c r="E634" t="s">
        <v>640</v>
      </c>
      <c r="F634" t="s">
        <v>638</v>
      </c>
      <c r="G634" t="s">
        <v>410</v>
      </c>
      <c r="H634" t="s">
        <v>34</v>
      </c>
      <c r="I634" t="s">
        <v>55</v>
      </c>
      <c r="J634" s="1">
        <v>889</v>
      </c>
      <c r="K634" s="1">
        <v>38.652173913043477</v>
      </c>
      <c r="L634" s="3">
        <v>23</v>
      </c>
      <c r="M634" t="s">
        <v>24</v>
      </c>
      <c r="N634" s="2">
        <v>44773</v>
      </c>
      <c r="O634" t="s">
        <v>267</v>
      </c>
      <c r="P634" t="s">
        <v>641</v>
      </c>
      <c r="Q634">
        <v>33673</v>
      </c>
      <c r="R634" t="s">
        <v>27</v>
      </c>
      <c r="S634" s="10">
        <v>40.888869336514311</v>
      </c>
      <c r="T634">
        <v>50</v>
      </c>
    </row>
    <row r="635" spans="1:20" x14ac:dyDescent="0.3">
      <c r="A635">
        <v>1812</v>
      </c>
      <c r="B635" t="s">
        <v>231</v>
      </c>
      <c r="C635" t="s">
        <v>232</v>
      </c>
      <c r="D635" t="s">
        <v>233</v>
      </c>
      <c r="E635" t="s">
        <v>234</v>
      </c>
      <c r="F635" t="s">
        <v>235</v>
      </c>
      <c r="G635" t="s">
        <v>74</v>
      </c>
      <c r="H635" t="s">
        <v>34</v>
      </c>
      <c r="I635" t="s">
        <v>236</v>
      </c>
      <c r="J635" s="1">
        <v>408</v>
      </c>
      <c r="K635" s="1">
        <v>34</v>
      </c>
      <c r="L635" s="3">
        <v>12</v>
      </c>
      <c r="M635" t="s">
        <v>126</v>
      </c>
      <c r="N635" s="2">
        <v>44773</v>
      </c>
      <c r="O635" t="s">
        <v>237</v>
      </c>
      <c r="P635" t="s">
        <v>238</v>
      </c>
      <c r="Q635">
        <v>35220</v>
      </c>
      <c r="R635" t="s">
        <v>27</v>
      </c>
      <c r="S635" s="10">
        <v>16.584134159166986</v>
      </c>
      <c r="T635">
        <v>16</v>
      </c>
    </row>
    <row r="636" spans="1:20" x14ac:dyDescent="0.3">
      <c r="A636">
        <v>1404</v>
      </c>
      <c r="B636" t="s">
        <v>322</v>
      </c>
      <c r="C636" t="s">
        <v>323</v>
      </c>
      <c r="D636" t="s">
        <v>324</v>
      </c>
      <c r="E636" t="s">
        <v>325</v>
      </c>
      <c r="F636" t="s">
        <v>326</v>
      </c>
      <c r="G636" t="s">
        <v>327</v>
      </c>
      <c r="H636" t="s">
        <v>22</v>
      </c>
      <c r="I636" t="s">
        <v>135</v>
      </c>
      <c r="J636" s="1">
        <v>907</v>
      </c>
      <c r="K636" s="1">
        <v>33.592592592592595</v>
      </c>
      <c r="L636" s="3">
        <v>27</v>
      </c>
      <c r="M636" t="s">
        <v>36</v>
      </c>
      <c r="N636" s="2">
        <v>44775</v>
      </c>
      <c r="O636" t="s">
        <v>220</v>
      </c>
      <c r="P636" t="s">
        <v>328</v>
      </c>
      <c r="Q636">
        <v>47725</v>
      </c>
      <c r="R636" t="s">
        <v>27</v>
      </c>
      <c r="S636" s="10">
        <v>45.972480225841394</v>
      </c>
      <c r="T636">
        <v>41</v>
      </c>
    </row>
    <row r="637" spans="1:20" x14ac:dyDescent="0.3">
      <c r="A637">
        <v>1260</v>
      </c>
      <c r="B637" t="s">
        <v>352</v>
      </c>
      <c r="C637" t="s">
        <v>353</v>
      </c>
      <c r="D637" t="s">
        <v>354</v>
      </c>
      <c r="E637" t="s">
        <v>355</v>
      </c>
      <c r="F637" t="s">
        <v>356</v>
      </c>
      <c r="G637" t="s">
        <v>357</v>
      </c>
      <c r="H637" t="s">
        <v>34</v>
      </c>
      <c r="I637" t="s">
        <v>236</v>
      </c>
      <c r="J637" s="1">
        <v>190</v>
      </c>
      <c r="K637" s="1">
        <v>38</v>
      </c>
      <c r="L637" s="3">
        <v>5</v>
      </c>
      <c r="M637" t="s">
        <v>36</v>
      </c>
      <c r="N637" s="2">
        <v>44778</v>
      </c>
      <c r="O637" t="s">
        <v>358</v>
      </c>
      <c r="P637" t="s">
        <v>359</v>
      </c>
      <c r="Q637">
        <v>99215</v>
      </c>
      <c r="R637" t="s">
        <v>27</v>
      </c>
      <c r="S637" s="10">
        <v>7.6228371060722333</v>
      </c>
      <c r="T637">
        <v>7</v>
      </c>
    </row>
    <row r="638" spans="1:20" x14ac:dyDescent="0.3">
      <c r="A638">
        <v>1144</v>
      </c>
      <c r="B638" t="s">
        <v>776</v>
      </c>
      <c r="C638" t="s">
        <v>747</v>
      </c>
      <c r="D638" t="s">
        <v>807</v>
      </c>
      <c r="E638" t="s">
        <v>808</v>
      </c>
      <c r="F638" t="s">
        <v>235</v>
      </c>
      <c r="G638" t="s">
        <v>677</v>
      </c>
      <c r="H638" t="s">
        <v>22</v>
      </c>
      <c r="I638" t="s">
        <v>35</v>
      </c>
      <c r="J638" s="1">
        <v>917</v>
      </c>
      <c r="K638" s="1">
        <v>43.666666666666664</v>
      </c>
      <c r="L638" s="3">
        <v>21</v>
      </c>
      <c r="M638" t="s">
        <v>66</v>
      </c>
      <c r="N638" s="2">
        <v>44780</v>
      </c>
      <c r="O638" t="s">
        <v>83</v>
      </c>
      <c r="P638" t="s">
        <v>809</v>
      </c>
      <c r="Q638">
        <v>11355</v>
      </c>
      <c r="R638" t="s">
        <v>27</v>
      </c>
      <c r="S638" s="10">
        <v>29.431604453067791</v>
      </c>
      <c r="T638">
        <v>50</v>
      </c>
    </row>
    <row r="639" spans="1:20" x14ac:dyDescent="0.3">
      <c r="A639">
        <v>1519</v>
      </c>
      <c r="B639" t="s">
        <v>810</v>
      </c>
      <c r="C639" t="s">
        <v>695</v>
      </c>
      <c r="D639" t="s">
        <v>1515</v>
      </c>
      <c r="E639" t="s">
        <v>1516</v>
      </c>
      <c r="F639" t="s">
        <v>1517</v>
      </c>
      <c r="G639" t="s">
        <v>158</v>
      </c>
      <c r="H639" t="s">
        <v>34</v>
      </c>
      <c r="I639" t="s">
        <v>65</v>
      </c>
      <c r="J639" s="1">
        <v>787</v>
      </c>
      <c r="K639" s="1">
        <v>31.48</v>
      </c>
      <c r="L639" s="3">
        <v>25</v>
      </c>
      <c r="M639" t="s">
        <v>66</v>
      </c>
      <c r="N639" s="2">
        <v>44784</v>
      </c>
      <c r="O639" t="s">
        <v>229</v>
      </c>
      <c r="P639" t="s">
        <v>1423</v>
      </c>
      <c r="Q639">
        <v>45807</v>
      </c>
      <c r="R639" t="s">
        <v>27</v>
      </c>
      <c r="S639" s="10">
        <v>56.040237473347787</v>
      </c>
      <c r="T639">
        <v>60</v>
      </c>
    </row>
    <row r="640" spans="1:20" x14ac:dyDescent="0.3">
      <c r="A640">
        <v>1656</v>
      </c>
      <c r="B640" t="s">
        <v>1518</v>
      </c>
      <c r="C640" t="s">
        <v>1519</v>
      </c>
      <c r="D640" t="s">
        <v>1520</v>
      </c>
      <c r="E640" t="s">
        <v>1521</v>
      </c>
      <c r="F640" t="s">
        <v>1522</v>
      </c>
      <c r="G640" t="s">
        <v>74</v>
      </c>
      <c r="H640" t="s">
        <v>34</v>
      </c>
      <c r="I640" t="s">
        <v>23</v>
      </c>
      <c r="J640" s="1">
        <v>319</v>
      </c>
      <c r="K640" s="1">
        <v>35.444444444444443</v>
      </c>
      <c r="L640" s="3">
        <v>9</v>
      </c>
      <c r="M640" t="s">
        <v>219</v>
      </c>
      <c r="N640" s="2">
        <v>44784</v>
      </c>
      <c r="O640" t="s">
        <v>1230</v>
      </c>
      <c r="P640" t="s">
        <v>1313</v>
      </c>
      <c r="Q640">
        <v>58505</v>
      </c>
      <c r="R640" t="s">
        <v>27</v>
      </c>
      <c r="S640" s="10">
        <v>19.094778950994854</v>
      </c>
      <c r="T640">
        <v>19</v>
      </c>
    </row>
    <row r="641" spans="1:20" x14ac:dyDescent="0.3">
      <c r="A641">
        <v>1993</v>
      </c>
      <c r="B641" t="s">
        <v>198</v>
      </c>
      <c r="C641" t="s">
        <v>1393</v>
      </c>
      <c r="D641" t="s">
        <v>1394</v>
      </c>
      <c r="E641" t="s">
        <v>1395</v>
      </c>
      <c r="F641" t="s">
        <v>1396</v>
      </c>
      <c r="G641" t="s">
        <v>285</v>
      </c>
      <c r="H641" t="s">
        <v>22</v>
      </c>
      <c r="I641" t="s">
        <v>65</v>
      </c>
      <c r="J641" s="1">
        <v>682</v>
      </c>
      <c r="K641" s="1">
        <v>28.416666666666668</v>
      </c>
      <c r="L641" s="3">
        <v>24</v>
      </c>
      <c r="M641" t="s">
        <v>143</v>
      </c>
      <c r="N641" s="2">
        <v>44787</v>
      </c>
      <c r="O641" t="s">
        <v>100</v>
      </c>
      <c r="P641" t="s">
        <v>734</v>
      </c>
      <c r="Q641">
        <v>50369</v>
      </c>
      <c r="R641" t="s">
        <v>27</v>
      </c>
      <c r="S641" s="10">
        <v>38.023699370630546</v>
      </c>
      <c r="T641">
        <v>50</v>
      </c>
    </row>
    <row r="642" spans="1:20" x14ac:dyDescent="0.3">
      <c r="A642">
        <v>1092</v>
      </c>
      <c r="B642" t="s">
        <v>518</v>
      </c>
      <c r="C642" t="s">
        <v>519</v>
      </c>
      <c r="D642" t="s">
        <v>520</v>
      </c>
      <c r="E642" t="s">
        <v>521</v>
      </c>
      <c r="F642" t="s">
        <v>522</v>
      </c>
      <c r="G642" t="s">
        <v>523</v>
      </c>
      <c r="H642" t="s">
        <v>22</v>
      </c>
      <c r="I642" t="s">
        <v>55</v>
      </c>
      <c r="J642" s="1">
        <v>20</v>
      </c>
      <c r="K642" s="1">
        <v>20</v>
      </c>
      <c r="L642" s="3">
        <v>1</v>
      </c>
      <c r="M642" t="s">
        <v>343</v>
      </c>
      <c r="N642" s="2">
        <v>44789</v>
      </c>
      <c r="O642" t="s">
        <v>267</v>
      </c>
      <c r="P642" t="s">
        <v>524</v>
      </c>
      <c r="Q642">
        <v>34233</v>
      </c>
      <c r="R642" t="s">
        <v>27</v>
      </c>
      <c r="S642" s="10">
        <v>1.2938849582548135</v>
      </c>
      <c r="T642">
        <v>1</v>
      </c>
    </row>
    <row r="643" spans="1:20" x14ac:dyDescent="0.3">
      <c r="A643">
        <v>1880</v>
      </c>
      <c r="B643" t="s">
        <v>129</v>
      </c>
      <c r="C643" t="s">
        <v>130</v>
      </c>
      <c r="D643" t="s">
        <v>131</v>
      </c>
      <c r="E643" t="s">
        <v>132</v>
      </c>
      <c r="F643" t="s">
        <v>133</v>
      </c>
      <c r="G643" t="s">
        <v>134</v>
      </c>
      <c r="H643" t="s">
        <v>22</v>
      </c>
      <c r="I643" t="s">
        <v>135</v>
      </c>
      <c r="J643" s="1">
        <v>841</v>
      </c>
      <c r="K643" s="1">
        <v>36.565217391304351</v>
      </c>
      <c r="L643" s="3">
        <v>23</v>
      </c>
      <c r="M643" t="s">
        <v>36</v>
      </c>
      <c r="N643" s="2">
        <v>44789</v>
      </c>
      <c r="O643" t="s">
        <v>136</v>
      </c>
      <c r="P643" t="s">
        <v>137</v>
      </c>
      <c r="Q643">
        <v>60614</v>
      </c>
      <c r="R643" t="s">
        <v>27</v>
      </c>
      <c r="S643" s="10">
        <v>54.702791220450585</v>
      </c>
      <c r="T643">
        <v>52</v>
      </c>
    </row>
    <row r="644" spans="1:20" x14ac:dyDescent="0.3">
      <c r="A644">
        <v>1020</v>
      </c>
      <c r="B644" t="s">
        <v>310</v>
      </c>
      <c r="C644" t="s">
        <v>311</v>
      </c>
      <c r="D644" t="s">
        <v>312</v>
      </c>
      <c r="E644" t="s">
        <v>313</v>
      </c>
      <c r="F644" t="s">
        <v>314</v>
      </c>
      <c r="G644" t="s">
        <v>315</v>
      </c>
      <c r="H644" t="s">
        <v>22</v>
      </c>
      <c r="I644" t="s">
        <v>23</v>
      </c>
      <c r="J644" s="1">
        <v>198</v>
      </c>
      <c r="K644" s="1">
        <v>24.75</v>
      </c>
      <c r="L644" s="3">
        <v>8</v>
      </c>
      <c r="M644" t="s">
        <v>36</v>
      </c>
      <c r="N644" s="2">
        <v>44792</v>
      </c>
      <c r="O644" t="s">
        <v>37</v>
      </c>
      <c r="P644" t="s">
        <v>316</v>
      </c>
      <c r="Q644">
        <v>94105</v>
      </c>
      <c r="R644" t="s">
        <v>27</v>
      </c>
      <c r="S644" s="10">
        <v>11.846229384696889</v>
      </c>
      <c r="T644">
        <v>10</v>
      </c>
    </row>
    <row r="645" spans="1:20" x14ac:dyDescent="0.3">
      <c r="A645">
        <v>1983</v>
      </c>
      <c r="B645" t="s">
        <v>619</v>
      </c>
      <c r="C645" t="s">
        <v>587</v>
      </c>
      <c r="D645" t="s">
        <v>620</v>
      </c>
      <c r="E645" t="s">
        <v>621</v>
      </c>
      <c r="F645" t="s">
        <v>622</v>
      </c>
      <c r="G645" t="s">
        <v>21</v>
      </c>
      <c r="H645" t="s">
        <v>22</v>
      </c>
      <c r="I645" t="s">
        <v>65</v>
      </c>
      <c r="J645" s="1">
        <v>333</v>
      </c>
      <c r="K645" s="1">
        <v>37</v>
      </c>
      <c r="L645" s="3">
        <v>9</v>
      </c>
      <c r="M645" t="s">
        <v>36</v>
      </c>
      <c r="N645" s="2">
        <v>44792</v>
      </c>
      <c r="O645" t="s">
        <v>623</v>
      </c>
      <c r="P645" t="s">
        <v>174</v>
      </c>
      <c r="Q645">
        <v>66112</v>
      </c>
      <c r="R645" t="s">
        <v>27</v>
      </c>
      <c r="S645" s="10">
        <v>11.313679053036914</v>
      </c>
      <c r="T645">
        <v>17</v>
      </c>
    </row>
    <row r="646" spans="1:20" x14ac:dyDescent="0.3">
      <c r="A646">
        <v>1984</v>
      </c>
      <c r="B646" t="s">
        <v>892</v>
      </c>
      <c r="C646" t="s">
        <v>893</v>
      </c>
      <c r="D646" t="s">
        <v>894</v>
      </c>
      <c r="E646" t="s">
        <v>895</v>
      </c>
      <c r="F646" t="s">
        <v>896</v>
      </c>
      <c r="G646" t="s">
        <v>712</v>
      </c>
      <c r="H646" t="s">
        <v>22</v>
      </c>
      <c r="I646" t="s">
        <v>65</v>
      </c>
      <c r="J646" s="1">
        <v>771</v>
      </c>
      <c r="K646" s="1">
        <v>33.521739130434781</v>
      </c>
      <c r="L646" s="3">
        <v>23</v>
      </c>
      <c r="M646" t="s">
        <v>66</v>
      </c>
      <c r="N646" s="2">
        <v>44794</v>
      </c>
      <c r="O646" t="s">
        <v>173</v>
      </c>
      <c r="P646" t="s">
        <v>579</v>
      </c>
      <c r="Q646">
        <v>65810</v>
      </c>
      <c r="R646" t="s">
        <v>27</v>
      </c>
      <c r="S646" s="10">
        <v>35.868700359464306</v>
      </c>
      <c r="T646">
        <v>46</v>
      </c>
    </row>
    <row r="647" spans="1:20" x14ac:dyDescent="0.3">
      <c r="A647">
        <v>1081</v>
      </c>
      <c r="B647" t="s">
        <v>529</v>
      </c>
      <c r="C647" t="s">
        <v>530</v>
      </c>
      <c r="D647" t="s">
        <v>531</v>
      </c>
      <c r="E647" t="s">
        <v>532</v>
      </c>
      <c r="F647" t="s">
        <v>533</v>
      </c>
      <c r="G647" t="s">
        <v>495</v>
      </c>
      <c r="H647" t="s">
        <v>22</v>
      </c>
      <c r="I647" t="s">
        <v>55</v>
      </c>
      <c r="J647" s="1">
        <v>143</v>
      </c>
      <c r="K647" s="1">
        <v>35.75</v>
      </c>
      <c r="L647" s="3">
        <v>4</v>
      </c>
      <c r="M647" t="s">
        <v>447</v>
      </c>
      <c r="N647" s="2">
        <v>44796</v>
      </c>
      <c r="O647" t="s">
        <v>229</v>
      </c>
      <c r="P647" t="s">
        <v>534</v>
      </c>
      <c r="Q647">
        <v>45426</v>
      </c>
      <c r="R647" t="s">
        <v>27</v>
      </c>
      <c r="S647" s="10">
        <v>5.9805948728597205</v>
      </c>
      <c r="T647">
        <v>4</v>
      </c>
    </row>
    <row r="648" spans="1:20" x14ac:dyDescent="0.3">
      <c r="A648">
        <v>1019</v>
      </c>
      <c r="B648" t="s">
        <v>764</v>
      </c>
      <c r="C648" t="s">
        <v>374</v>
      </c>
      <c r="D648" t="s">
        <v>765</v>
      </c>
      <c r="E648" t="s">
        <v>766</v>
      </c>
      <c r="F648" t="s">
        <v>554</v>
      </c>
      <c r="G648" t="s">
        <v>298</v>
      </c>
      <c r="H648" t="s">
        <v>22</v>
      </c>
      <c r="I648" t="s">
        <v>23</v>
      </c>
      <c r="J648" s="1">
        <v>107</v>
      </c>
      <c r="K648" s="1">
        <v>35.666666666666664</v>
      </c>
      <c r="L648" s="3">
        <v>3</v>
      </c>
      <c r="M648" t="s">
        <v>66</v>
      </c>
      <c r="N648" s="2">
        <v>44799</v>
      </c>
      <c r="O648" t="s">
        <v>767</v>
      </c>
      <c r="P648" t="s">
        <v>768</v>
      </c>
      <c r="Q648">
        <v>83705</v>
      </c>
      <c r="R648" t="s">
        <v>27</v>
      </c>
      <c r="S648" s="10">
        <v>5.6697174824579184</v>
      </c>
      <c r="T648">
        <v>5</v>
      </c>
    </row>
    <row r="649" spans="1:20" x14ac:dyDescent="0.3">
      <c r="A649">
        <v>1277</v>
      </c>
      <c r="B649" t="s">
        <v>222</v>
      </c>
      <c r="C649" t="s">
        <v>223</v>
      </c>
      <c r="D649" t="s">
        <v>224</v>
      </c>
      <c r="E649" t="s">
        <v>225</v>
      </c>
      <c r="F649" t="s">
        <v>226</v>
      </c>
      <c r="G649" t="s">
        <v>227</v>
      </c>
      <c r="H649" t="s">
        <v>34</v>
      </c>
      <c r="I649" t="s">
        <v>228</v>
      </c>
      <c r="J649" s="1">
        <v>911</v>
      </c>
      <c r="K649" s="1">
        <v>29.387096774193548</v>
      </c>
      <c r="L649" s="3">
        <v>31</v>
      </c>
      <c r="M649" t="s">
        <v>203</v>
      </c>
      <c r="N649" s="2">
        <v>44799</v>
      </c>
      <c r="O649" t="s">
        <v>229</v>
      </c>
      <c r="P649" t="s">
        <v>230</v>
      </c>
      <c r="Q649">
        <v>44310</v>
      </c>
      <c r="R649" t="s">
        <v>27</v>
      </c>
      <c r="S649" s="10">
        <v>39.253570347932545</v>
      </c>
      <c r="T649">
        <v>60</v>
      </c>
    </row>
    <row r="650" spans="1:20" x14ac:dyDescent="0.3">
      <c r="A650">
        <v>1020</v>
      </c>
      <c r="B650" t="s">
        <v>310</v>
      </c>
      <c r="C650" t="s">
        <v>311</v>
      </c>
      <c r="D650" t="s">
        <v>312</v>
      </c>
      <c r="E650" t="s">
        <v>313</v>
      </c>
      <c r="F650" t="s">
        <v>314</v>
      </c>
      <c r="G650" t="s">
        <v>315</v>
      </c>
      <c r="H650" t="s">
        <v>22</v>
      </c>
      <c r="I650" t="s">
        <v>23</v>
      </c>
      <c r="J650" s="1">
        <v>44</v>
      </c>
      <c r="K650" s="1">
        <v>44</v>
      </c>
      <c r="L650" s="3">
        <v>1</v>
      </c>
      <c r="M650" t="s">
        <v>36</v>
      </c>
      <c r="N650" s="2">
        <v>44801</v>
      </c>
      <c r="O650" t="s">
        <v>37</v>
      </c>
      <c r="P650" t="s">
        <v>316</v>
      </c>
      <c r="Q650">
        <v>94105</v>
      </c>
      <c r="R650" t="s">
        <v>27</v>
      </c>
      <c r="S650" s="10">
        <v>2.15703348061504</v>
      </c>
      <c r="T650">
        <v>2</v>
      </c>
    </row>
    <row r="651" spans="1:20" x14ac:dyDescent="0.3">
      <c r="A651">
        <v>1020</v>
      </c>
      <c r="B651" t="s">
        <v>310</v>
      </c>
      <c r="C651" t="s">
        <v>311</v>
      </c>
      <c r="D651" t="s">
        <v>312</v>
      </c>
      <c r="E651" t="s">
        <v>313</v>
      </c>
      <c r="F651" t="s">
        <v>314</v>
      </c>
      <c r="G651" t="s">
        <v>315</v>
      </c>
      <c r="H651" t="s">
        <v>22</v>
      </c>
      <c r="I651" t="s">
        <v>23</v>
      </c>
      <c r="J651" s="1">
        <v>905</v>
      </c>
      <c r="K651" s="1">
        <v>41.136363636363633</v>
      </c>
      <c r="L651" s="3">
        <v>22</v>
      </c>
      <c r="M651" t="s">
        <v>36</v>
      </c>
      <c r="N651" s="2">
        <v>44802</v>
      </c>
      <c r="O651" t="s">
        <v>37</v>
      </c>
      <c r="P651" t="s">
        <v>316</v>
      </c>
      <c r="Q651">
        <v>94105</v>
      </c>
      <c r="R651" t="s">
        <v>27</v>
      </c>
      <c r="S651" s="10">
        <v>30.810125591493566</v>
      </c>
      <c r="T651">
        <v>37</v>
      </c>
    </row>
    <row r="652" spans="1:20" x14ac:dyDescent="0.3">
      <c r="A652">
        <v>1985</v>
      </c>
      <c r="B652" t="s">
        <v>275</v>
      </c>
      <c r="C652" t="s">
        <v>1523</v>
      </c>
      <c r="D652" t="s">
        <v>1524</v>
      </c>
      <c r="E652" t="s">
        <v>1525</v>
      </c>
      <c r="F652" t="s">
        <v>53</v>
      </c>
      <c r="G652" t="s">
        <v>1261</v>
      </c>
      <c r="H652" t="s">
        <v>22</v>
      </c>
      <c r="I652" t="s">
        <v>65</v>
      </c>
      <c r="J652" s="1">
        <v>267</v>
      </c>
      <c r="K652" s="1">
        <v>44.5</v>
      </c>
      <c r="L652" s="3">
        <v>6</v>
      </c>
      <c r="M652" t="s">
        <v>447</v>
      </c>
      <c r="N652" s="2">
        <v>44809</v>
      </c>
      <c r="O652" t="s">
        <v>136</v>
      </c>
      <c r="P652" t="s">
        <v>137</v>
      </c>
      <c r="Q652">
        <v>60646</v>
      </c>
      <c r="R652" t="s">
        <v>27</v>
      </c>
      <c r="S652" s="10">
        <v>11.333349921270106</v>
      </c>
      <c r="T652">
        <v>8</v>
      </c>
    </row>
    <row r="653" spans="1:20" x14ac:dyDescent="0.3">
      <c r="A653">
        <v>1990</v>
      </c>
      <c r="B653" t="s">
        <v>1526</v>
      </c>
      <c r="C653" t="s">
        <v>861</v>
      </c>
      <c r="D653" t="s">
        <v>1527</v>
      </c>
      <c r="E653" t="s">
        <v>1528</v>
      </c>
      <c r="F653" t="s">
        <v>1437</v>
      </c>
      <c r="G653" t="s">
        <v>1189</v>
      </c>
      <c r="H653" t="s">
        <v>22</v>
      </c>
      <c r="I653" t="s">
        <v>65</v>
      </c>
      <c r="J653" s="1">
        <v>266</v>
      </c>
      <c r="K653" s="1">
        <v>33.25</v>
      </c>
      <c r="L653" s="3">
        <v>8</v>
      </c>
      <c r="M653" t="s">
        <v>36</v>
      </c>
      <c r="N653" s="2">
        <v>44809</v>
      </c>
      <c r="O653" t="s">
        <v>237</v>
      </c>
      <c r="P653" t="s">
        <v>1298</v>
      </c>
      <c r="Q653">
        <v>36622</v>
      </c>
      <c r="R653" t="s">
        <v>27</v>
      </c>
      <c r="S653" s="10">
        <v>10.574004674882996</v>
      </c>
      <c r="T653">
        <v>15</v>
      </c>
    </row>
    <row r="654" spans="1:20" x14ac:dyDescent="0.3">
      <c r="A654">
        <v>1029</v>
      </c>
      <c r="B654" t="s">
        <v>153</v>
      </c>
      <c r="C654" t="s">
        <v>587</v>
      </c>
      <c r="D654" t="s">
        <v>1529</v>
      </c>
      <c r="E654" t="s">
        <v>1530</v>
      </c>
      <c r="F654" t="s">
        <v>1531</v>
      </c>
      <c r="G654" t="s">
        <v>265</v>
      </c>
      <c r="H654" t="s">
        <v>34</v>
      </c>
      <c r="I654" t="s">
        <v>23</v>
      </c>
      <c r="J654" s="1">
        <v>242</v>
      </c>
      <c r="K654" s="1">
        <v>26.888888888888889</v>
      </c>
      <c r="L654" s="3">
        <v>9</v>
      </c>
      <c r="M654" t="s">
        <v>36</v>
      </c>
      <c r="N654" s="2">
        <v>44811</v>
      </c>
      <c r="O654" t="s">
        <v>308</v>
      </c>
      <c r="P654" t="s">
        <v>1532</v>
      </c>
      <c r="Q654">
        <v>86305</v>
      </c>
      <c r="R654" t="s">
        <v>27</v>
      </c>
      <c r="S654" s="10">
        <v>13.500095830849464</v>
      </c>
      <c r="T654">
        <v>14</v>
      </c>
    </row>
    <row r="655" spans="1:20" x14ac:dyDescent="0.3">
      <c r="A655">
        <v>1596</v>
      </c>
      <c r="B655" t="s">
        <v>724</v>
      </c>
      <c r="C655" t="s">
        <v>1533</v>
      </c>
      <c r="D655" t="s">
        <v>1534</v>
      </c>
      <c r="E655" t="s">
        <v>1535</v>
      </c>
      <c r="F655" t="s">
        <v>814</v>
      </c>
      <c r="G655" t="s">
        <v>64</v>
      </c>
      <c r="H655" t="s">
        <v>34</v>
      </c>
      <c r="I655" t="s">
        <v>45</v>
      </c>
      <c r="J655" s="1">
        <v>658</v>
      </c>
      <c r="K655" s="1">
        <v>38.705882352941174</v>
      </c>
      <c r="L655" s="3">
        <v>17</v>
      </c>
      <c r="M655" t="s">
        <v>99</v>
      </c>
      <c r="N655" s="2">
        <v>44812</v>
      </c>
      <c r="O655" t="s">
        <v>47</v>
      </c>
      <c r="P655" t="s">
        <v>1234</v>
      </c>
      <c r="Q655">
        <v>24009</v>
      </c>
      <c r="R655" t="s">
        <v>27</v>
      </c>
      <c r="S655" s="10">
        <v>41.733251149345385</v>
      </c>
      <c r="T655">
        <v>24</v>
      </c>
    </row>
    <row r="656" spans="1:20" x14ac:dyDescent="0.3">
      <c r="A656">
        <v>1740</v>
      </c>
      <c r="B656" t="s">
        <v>465</v>
      </c>
      <c r="C656" t="s">
        <v>223</v>
      </c>
      <c r="D656" t="s">
        <v>1536</v>
      </c>
      <c r="E656" t="s">
        <v>1537</v>
      </c>
      <c r="F656" t="s">
        <v>1086</v>
      </c>
      <c r="G656" t="s">
        <v>97</v>
      </c>
      <c r="H656" t="s">
        <v>34</v>
      </c>
      <c r="I656" t="s">
        <v>65</v>
      </c>
      <c r="J656" s="1">
        <v>846</v>
      </c>
      <c r="K656" s="1">
        <v>42.3</v>
      </c>
      <c r="L656" s="3">
        <v>20</v>
      </c>
      <c r="M656" t="s">
        <v>24</v>
      </c>
      <c r="N656" s="2">
        <v>44812</v>
      </c>
      <c r="O656" t="s">
        <v>181</v>
      </c>
      <c r="P656" t="s">
        <v>579</v>
      </c>
      <c r="Q656">
        <v>1152</v>
      </c>
      <c r="R656" t="s">
        <v>27</v>
      </c>
      <c r="S656" s="10">
        <v>36.301750907682347</v>
      </c>
      <c r="T656">
        <v>40</v>
      </c>
    </row>
    <row r="657" spans="1:20" x14ac:dyDescent="0.3">
      <c r="A657">
        <v>1570</v>
      </c>
      <c r="B657" t="s">
        <v>1538</v>
      </c>
      <c r="C657" t="s">
        <v>1472</v>
      </c>
      <c r="D657" t="s">
        <v>1539</v>
      </c>
      <c r="E657" t="s">
        <v>1540</v>
      </c>
      <c r="F657" t="s">
        <v>394</v>
      </c>
      <c r="G657" t="s">
        <v>527</v>
      </c>
      <c r="H657" t="s">
        <v>34</v>
      </c>
      <c r="I657" t="s">
        <v>299</v>
      </c>
      <c r="J657" s="1">
        <v>493</v>
      </c>
      <c r="K657" s="1">
        <v>27.388888888888889</v>
      </c>
      <c r="L657" s="3">
        <v>18</v>
      </c>
      <c r="M657" t="s">
        <v>343</v>
      </c>
      <c r="N657" s="2">
        <v>44817</v>
      </c>
      <c r="O657" t="s">
        <v>37</v>
      </c>
      <c r="P657" t="s">
        <v>905</v>
      </c>
      <c r="Q657">
        <v>95138</v>
      </c>
      <c r="R657" t="s">
        <v>27</v>
      </c>
      <c r="S657" s="10">
        <v>36.05026629456485</v>
      </c>
      <c r="T657">
        <v>25</v>
      </c>
    </row>
    <row r="658" spans="1:20" x14ac:dyDescent="0.3">
      <c r="A658">
        <v>1298</v>
      </c>
      <c r="B658" t="s">
        <v>275</v>
      </c>
      <c r="C658" t="s">
        <v>340</v>
      </c>
      <c r="D658" t="s">
        <v>341</v>
      </c>
      <c r="E658" t="s">
        <v>342</v>
      </c>
      <c r="F658" t="s">
        <v>306</v>
      </c>
      <c r="G658" t="s">
        <v>180</v>
      </c>
      <c r="H658" t="s">
        <v>22</v>
      </c>
      <c r="I658" t="s">
        <v>236</v>
      </c>
      <c r="J658" s="1">
        <v>300</v>
      </c>
      <c r="K658" s="1">
        <v>25</v>
      </c>
      <c r="L658" s="3">
        <v>12</v>
      </c>
      <c r="M658" t="s">
        <v>343</v>
      </c>
      <c r="N658" s="2">
        <v>44818</v>
      </c>
      <c r="O658" t="s">
        <v>267</v>
      </c>
      <c r="P658" t="s">
        <v>344</v>
      </c>
      <c r="Q658">
        <v>32891</v>
      </c>
      <c r="R658" t="s">
        <v>27</v>
      </c>
      <c r="S658" s="10">
        <v>24.579596022941182</v>
      </c>
      <c r="T658">
        <v>19</v>
      </c>
    </row>
    <row r="659" spans="1:20" x14ac:dyDescent="0.3">
      <c r="A659">
        <v>1932</v>
      </c>
      <c r="B659" t="s">
        <v>436</v>
      </c>
      <c r="C659" t="s">
        <v>214</v>
      </c>
      <c r="D659" t="s">
        <v>1541</v>
      </c>
      <c r="E659" t="s">
        <v>1542</v>
      </c>
      <c r="F659" t="s">
        <v>1543</v>
      </c>
      <c r="G659" t="s">
        <v>428</v>
      </c>
      <c r="H659" t="s">
        <v>22</v>
      </c>
      <c r="I659" t="s">
        <v>55</v>
      </c>
      <c r="J659" s="1">
        <v>785</v>
      </c>
      <c r="K659" s="1">
        <v>31.4</v>
      </c>
      <c r="L659" s="3">
        <v>25</v>
      </c>
      <c r="M659" t="s">
        <v>36</v>
      </c>
      <c r="N659" s="2">
        <v>44818</v>
      </c>
      <c r="O659" t="s">
        <v>57</v>
      </c>
      <c r="P659" t="s">
        <v>1308</v>
      </c>
      <c r="Q659">
        <v>30905</v>
      </c>
      <c r="R659" t="s">
        <v>27</v>
      </c>
      <c r="S659" s="10">
        <v>55.57156896127551</v>
      </c>
      <c r="T659">
        <v>55</v>
      </c>
    </row>
    <row r="660" spans="1:20" x14ac:dyDescent="0.3">
      <c r="A660">
        <v>1039</v>
      </c>
      <c r="B660" t="s">
        <v>828</v>
      </c>
      <c r="C660" t="s">
        <v>154</v>
      </c>
      <c r="D660" t="s">
        <v>829</v>
      </c>
      <c r="E660" t="s">
        <v>830</v>
      </c>
      <c r="F660" t="s">
        <v>831</v>
      </c>
      <c r="G660" t="s">
        <v>832</v>
      </c>
      <c r="H660" t="s">
        <v>34</v>
      </c>
      <c r="I660" t="s">
        <v>23</v>
      </c>
      <c r="J660" s="1">
        <v>87</v>
      </c>
      <c r="K660" s="1">
        <v>43.5</v>
      </c>
      <c r="L660" s="3">
        <v>2</v>
      </c>
      <c r="M660" t="s">
        <v>244</v>
      </c>
      <c r="N660" s="2">
        <v>44819</v>
      </c>
      <c r="O660" t="s">
        <v>496</v>
      </c>
      <c r="P660" t="s">
        <v>687</v>
      </c>
      <c r="Q660">
        <v>40298</v>
      </c>
      <c r="R660" t="s">
        <v>27</v>
      </c>
      <c r="S660" s="10">
        <v>3.4848930254068473</v>
      </c>
      <c r="T660">
        <v>3</v>
      </c>
    </row>
    <row r="661" spans="1:20" x14ac:dyDescent="0.3">
      <c r="A661">
        <v>1982</v>
      </c>
      <c r="B661" t="s">
        <v>1544</v>
      </c>
      <c r="C661" t="s">
        <v>1545</v>
      </c>
      <c r="D661" t="s">
        <v>1546</v>
      </c>
      <c r="E661" t="s">
        <v>1547</v>
      </c>
      <c r="F661" t="s">
        <v>1548</v>
      </c>
      <c r="G661" t="s">
        <v>453</v>
      </c>
      <c r="H661" t="s">
        <v>34</v>
      </c>
      <c r="I661" t="s">
        <v>65</v>
      </c>
      <c r="J661" s="1">
        <v>354</v>
      </c>
      <c r="K661" s="1">
        <v>25.285714285714285</v>
      </c>
      <c r="L661" s="3">
        <v>14</v>
      </c>
      <c r="M661" t="s">
        <v>143</v>
      </c>
      <c r="N661" s="2">
        <v>44820</v>
      </c>
      <c r="O661" t="s">
        <v>37</v>
      </c>
      <c r="P661" t="s">
        <v>905</v>
      </c>
      <c r="Q661">
        <v>95155</v>
      </c>
      <c r="R661" t="s">
        <v>27</v>
      </c>
      <c r="S661" s="10">
        <v>25.603700047627274</v>
      </c>
      <c r="T661">
        <v>20</v>
      </c>
    </row>
    <row r="662" spans="1:20" x14ac:dyDescent="0.3">
      <c r="A662">
        <v>1617</v>
      </c>
      <c r="B662" t="s">
        <v>1549</v>
      </c>
      <c r="C662" t="s">
        <v>1550</v>
      </c>
      <c r="D662" t="s">
        <v>1551</v>
      </c>
      <c r="E662" t="s">
        <v>1552</v>
      </c>
      <c r="F662" t="s">
        <v>1543</v>
      </c>
      <c r="G662" t="s">
        <v>90</v>
      </c>
      <c r="H662" t="s">
        <v>22</v>
      </c>
      <c r="I662" t="s">
        <v>35</v>
      </c>
      <c r="J662" s="1">
        <v>457</v>
      </c>
      <c r="K662" s="1">
        <v>41.545454545454547</v>
      </c>
      <c r="L662" s="3">
        <v>11</v>
      </c>
      <c r="M662" t="s">
        <v>126</v>
      </c>
      <c r="N662" s="2">
        <v>44821</v>
      </c>
      <c r="O662" t="s">
        <v>1553</v>
      </c>
      <c r="P662" t="s">
        <v>1554</v>
      </c>
      <c r="Q662">
        <v>82007</v>
      </c>
      <c r="R662" t="s">
        <v>27</v>
      </c>
      <c r="S662" s="10">
        <v>18.153158331761055</v>
      </c>
      <c r="T662">
        <v>14</v>
      </c>
    </row>
    <row r="663" spans="1:20" x14ac:dyDescent="0.3">
      <c r="A663">
        <v>1433</v>
      </c>
      <c r="B663" t="s">
        <v>465</v>
      </c>
      <c r="C663" t="s">
        <v>466</v>
      </c>
      <c r="D663" t="s">
        <v>467</v>
      </c>
      <c r="E663" t="s">
        <v>468</v>
      </c>
      <c r="F663" t="s">
        <v>469</v>
      </c>
      <c r="G663" t="s">
        <v>459</v>
      </c>
      <c r="H663" t="s">
        <v>34</v>
      </c>
      <c r="I663" t="s">
        <v>135</v>
      </c>
      <c r="J663" s="1">
        <v>398</v>
      </c>
      <c r="K663" s="1">
        <v>39.799999999999997</v>
      </c>
      <c r="L663" s="3">
        <v>10</v>
      </c>
      <c r="M663" t="s">
        <v>56</v>
      </c>
      <c r="N663" s="2">
        <v>44826</v>
      </c>
      <c r="O663" t="s">
        <v>470</v>
      </c>
      <c r="P663" t="s">
        <v>358</v>
      </c>
      <c r="Q663">
        <v>20420</v>
      </c>
      <c r="R663" t="s">
        <v>27</v>
      </c>
      <c r="S663" s="10">
        <v>12.631027749054663</v>
      </c>
      <c r="T663">
        <v>22</v>
      </c>
    </row>
    <row r="664" spans="1:20" x14ac:dyDescent="0.3">
      <c r="A664">
        <v>1298</v>
      </c>
      <c r="B664" t="s">
        <v>275</v>
      </c>
      <c r="C664" t="s">
        <v>340</v>
      </c>
      <c r="D664" t="s">
        <v>341</v>
      </c>
      <c r="E664" t="s">
        <v>342</v>
      </c>
      <c r="F664" t="s">
        <v>306</v>
      </c>
      <c r="G664" t="s">
        <v>180</v>
      </c>
      <c r="H664" t="s">
        <v>22</v>
      </c>
      <c r="I664" t="s">
        <v>236</v>
      </c>
      <c r="J664" s="1">
        <v>930</v>
      </c>
      <c r="K664" s="1">
        <v>32.068965517241381</v>
      </c>
      <c r="L664" s="3">
        <v>29</v>
      </c>
      <c r="M664" t="s">
        <v>343</v>
      </c>
      <c r="N664" s="2">
        <v>44827</v>
      </c>
      <c r="O664" t="s">
        <v>267</v>
      </c>
      <c r="P664" t="s">
        <v>344</v>
      </c>
      <c r="Q664">
        <v>32891</v>
      </c>
      <c r="R664" t="s">
        <v>27</v>
      </c>
      <c r="S664" s="10">
        <v>57.970356631066942</v>
      </c>
      <c r="T664">
        <v>58</v>
      </c>
    </row>
    <row r="665" spans="1:20" x14ac:dyDescent="0.3">
      <c r="A665">
        <v>1095</v>
      </c>
      <c r="B665" t="s">
        <v>550</v>
      </c>
      <c r="C665" t="s">
        <v>551</v>
      </c>
      <c r="D665" t="s">
        <v>552</v>
      </c>
      <c r="E665" t="s">
        <v>553</v>
      </c>
      <c r="F665" t="s">
        <v>554</v>
      </c>
      <c r="G665" t="s">
        <v>555</v>
      </c>
      <c r="H665" t="s">
        <v>22</v>
      </c>
      <c r="I665" t="s">
        <v>55</v>
      </c>
      <c r="J665" s="1">
        <v>993</v>
      </c>
      <c r="K665" s="1">
        <v>39.72</v>
      </c>
      <c r="L665" s="3">
        <v>25</v>
      </c>
      <c r="M665" t="s">
        <v>126</v>
      </c>
      <c r="N665" s="2">
        <v>44828</v>
      </c>
      <c r="O665" t="s">
        <v>67</v>
      </c>
      <c r="P665" t="s">
        <v>334</v>
      </c>
      <c r="Q665">
        <v>77040</v>
      </c>
      <c r="R665" t="s">
        <v>27</v>
      </c>
      <c r="S665" s="10">
        <v>42.456391353943253</v>
      </c>
      <c r="T665">
        <v>53</v>
      </c>
    </row>
    <row r="666" spans="1:20" x14ac:dyDescent="0.3">
      <c r="A666">
        <v>1123</v>
      </c>
      <c r="B666" t="s">
        <v>231</v>
      </c>
      <c r="C666" t="s">
        <v>512</v>
      </c>
      <c r="D666" t="s">
        <v>639</v>
      </c>
      <c r="E666" t="s">
        <v>640</v>
      </c>
      <c r="F666" t="s">
        <v>638</v>
      </c>
      <c r="G666" t="s">
        <v>410</v>
      </c>
      <c r="H666" t="s">
        <v>34</v>
      </c>
      <c r="I666" t="s">
        <v>55</v>
      </c>
      <c r="J666" s="1">
        <v>69</v>
      </c>
      <c r="K666" s="1">
        <v>34.5</v>
      </c>
      <c r="L666" s="3">
        <v>2</v>
      </c>
      <c r="M666" t="s">
        <v>24</v>
      </c>
      <c r="N666" s="2">
        <v>44834</v>
      </c>
      <c r="O666" t="s">
        <v>267</v>
      </c>
      <c r="P666" t="s">
        <v>641</v>
      </c>
      <c r="Q666">
        <v>33673</v>
      </c>
      <c r="R666" t="s">
        <v>27</v>
      </c>
      <c r="S666" s="10">
        <v>3.5388424467598512</v>
      </c>
      <c r="T666">
        <v>3</v>
      </c>
    </row>
    <row r="667" spans="1:20" x14ac:dyDescent="0.3">
      <c r="A667">
        <v>1762</v>
      </c>
      <c r="B667" t="s">
        <v>688</v>
      </c>
      <c r="C667" t="s">
        <v>811</v>
      </c>
      <c r="D667" t="s">
        <v>1555</v>
      </c>
      <c r="E667" t="s">
        <v>1556</v>
      </c>
      <c r="F667" t="s">
        <v>1557</v>
      </c>
      <c r="G667" t="s">
        <v>1558</v>
      </c>
      <c r="H667" t="s">
        <v>22</v>
      </c>
      <c r="I667" t="s">
        <v>108</v>
      </c>
      <c r="J667" s="1">
        <v>337</v>
      </c>
      <c r="K667" s="1">
        <v>30.636363636363637</v>
      </c>
      <c r="L667" s="3">
        <v>11</v>
      </c>
      <c r="M667" t="s">
        <v>36</v>
      </c>
      <c r="N667" s="2">
        <v>44834</v>
      </c>
      <c r="O667" t="s">
        <v>267</v>
      </c>
      <c r="P667" t="s">
        <v>1559</v>
      </c>
      <c r="Q667">
        <v>33448</v>
      </c>
      <c r="R667" t="s">
        <v>27</v>
      </c>
      <c r="S667" s="10">
        <v>18.337406090017659</v>
      </c>
      <c r="T667">
        <v>22</v>
      </c>
    </row>
    <row r="668" spans="1:20" x14ac:dyDescent="0.3">
      <c r="A668">
        <v>1212</v>
      </c>
      <c r="B668" t="s">
        <v>120</v>
      </c>
      <c r="C668" t="s">
        <v>121</v>
      </c>
      <c r="D668" t="s">
        <v>122</v>
      </c>
      <c r="E668" t="s">
        <v>123</v>
      </c>
      <c r="F668" t="s">
        <v>124</v>
      </c>
      <c r="G668" t="s">
        <v>125</v>
      </c>
      <c r="H668" t="s">
        <v>22</v>
      </c>
      <c r="I668" t="s">
        <v>65</v>
      </c>
      <c r="J668" s="1">
        <v>885</v>
      </c>
      <c r="K668" s="1">
        <v>35.4</v>
      </c>
      <c r="L668" s="3">
        <v>25</v>
      </c>
      <c r="M668" t="s">
        <v>126</v>
      </c>
      <c r="N668" s="2">
        <v>44840</v>
      </c>
      <c r="O668" t="s">
        <v>127</v>
      </c>
      <c r="P668" t="s">
        <v>128</v>
      </c>
      <c r="Q668">
        <v>6183</v>
      </c>
      <c r="R668" t="s">
        <v>27</v>
      </c>
      <c r="S668" s="10">
        <v>49.686336118947708</v>
      </c>
      <c r="T668">
        <v>43</v>
      </c>
    </row>
    <row r="669" spans="1:20" x14ac:dyDescent="0.3">
      <c r="A669">
        <v>1537</v>
      </c>
      <c r="B669" t="s">
        <v>740</v>
      </c>
      <c r="C669" t="s">
        <v>311</v>
      </c>
      <c r="D669" t="s">
        <v>1560</v>
      </c>
      <c r="E669" t="s">
        <v>1561</v>
      </c>
      <c r="F669" t="s">
        <v>1562</v>
      </c>
      <c r="G669" t="s">
        <v>913</v>
      </c>
      <c r="H669" t="s">
        <v>34</v>
      </c>
      <c r="I669" t="s">
        <v>35</v>
      </c>
      <c r="J669" s="1">
        <v>691</v>
      </c>
      <c r="K669" s="1">
        <v>25.592592592592592</v>
      </c>
      <c r="L669" s="3">
        <v>27</v>
      </c>
      <c r="M669" t="s">
        <v>99</v>
      </c>
      <c r="N669" s="2">
        <v>44840</v>
      </c>
      <c r="O669" t="s">
        <v>958</v>
      </c>
      <c r="P669" t="s">
        <v>994</v>
      </c>
      <c r="Q669">
        <v>29411</v>
      </c>
      <c r="R669" t="s">
        <v>27</v>
      </c>
      <c r="S669" s="10">
        <v>58.845045582490677</v>
      </c>
      <c r="T669">
        <v>42</v>
      </c>
    </row>
    <row r="670" spans="1:20" x14ac:dyDescent="0.3">
      <c r="A670">
        <v>1084</v>
      </c>
      <c r="B670" t="s">
        <v>175</v>
      </c>
      <c r="C670" t="s">
        <v>176</v>
      </c>
      <c r="D670" t="s">
        <v>177</v>
      </c>
      <c r="E670" t="s">
        <v>178</v>
      </c>
      <c r="F670" t="s">
        <v>179</v>
      </c>
      <c r="G670" t="s">
        <v>180</v>
      </c>
      <c r="H670" t="s">
        <v>34</v>
      </c>
      <c r="I670" t="s">
        <v>55</v>
      </c>
      <c r="J670" s="1">
        <v>879</v>
      </c>
      <c r="K670" s="1">
        <v>43.95</v>
      </c>
      <c r="L670" s="3">
        <v>20</v>
      </c>
      <c r="M670" t="s">
        <v>36</v>
      </c>
      <c r="N670" s="2">
        <v>44843</v>
      </c>
      <c r="O670" t="s">
        <v>181</v>
      </c>
      <c r="P670" t="s">
        <v>182</v>
      </c>
      <c r="Q670">
        <v>2453</v>
      </c>
      <c r="R670" t="s">
        <v>27</v>
      </c>
      <c r="S670" s="10">
        <v>36.457094422692926</v>
      </c>
      <c r="T670">
        <v>39</v>
      </c>
    </row>
    <row r="671" spans="1:20" x14ac:dyDescent="0.3">
      <c r="A671">
        <v>1968</v>
      </c>
      <c r="B671" t="s">
        <v>892</v>
      </c>
      <c r="C671" t="s">
        <v>624</v>
      </c>
      <c r="D671" t="s">
        <v>1563</v>
      </c>
      <c r="E671" t="s">
        <v>1564</v>
      </c>
      <c r="F671" t="s">
        <v>475</v>
      </c>
      <c r="G671" t="s">
        <v>1565</v>
      </c>
      <c r="H671" t="s">
        <v>22</v>
      </c>
      <c r="I671" t="s">
        <v>55</v>
      </c>
      <c r="J671" s="1">
        <v>199</v>
      </c>
      <c r="K671" s="1">
        <v>39.799999999999997</v>
      </c>
      <c r="L671" s="3">
        <v>5</v>
      </c>
      <c r="M671" t="s">
        <v>203</v>
      </c>
      <c r="N671" s="2">
        <v>44844</v>
      </c>
      <c r="O671" t="s">
        <v>267</v>
      </c>
      <c r="P671" t="s">
        <v>999</v>
      </c>
      <c r="Q671">
        <v>32230</v>
      </c>
      <c r="R671" t="s">
        <v>27</v>
      </c>
      <c r="S671" s="10">
        <v>10.130883876170444</v>
      </c>
      <c r="T671">
        <v>7</v>
      </c>
    </row>
    <row r="672" spans="1:20" x14ac:dyDescent="0.3">
      <c r="A672">
        <v>1851</v>
      </c>
      <c r="B672" t="s">
        <v>604</v>
      </c>
      <c r="C672" t="s">
        <v>358</v>
      </c>
      <c r="D672" t="s">
        <v>605</v>
      </c>
      <c r="E672" t="s">
        <v>606</v>
      </c>
      <c r="F672" t="s">
        <v>607</v>
      </c>
      <c r="G672" t="s">
        <v>194</v>
      </c>
      <c r="H672" t="s">
        <v>22</v>
      </c>
      <c r="I672" t="s">
        <v>65</v>
      </c>
      <c r="J672" s="1">
        <v>961</v>
      </c>
      <c r="K672" s="1">
        <v>25.972972972972972</v>
      </c>
      <c r="L672" s="3">
        <v>37</v>
      </c>
      <c r="M672" t="s">
        <v>343</v>
      </c>
      <c r="N672" s="2">
        <v>44846</v>
      </c>
      <c r="O672" t="s">
        <v>83</v>
      </c>
      <c r="P672" t="s">
        <v>351</v>
      </c>
      <c r="Q672">
        <v>11210</v>
      </c>
      <c r="R672" t="s">
        <v>27</v>
      </c>
      <c r="S672" s="10">
        <v>83.685948821064287</v>
      </c>
      <c r="T672">
        <v>70</v>
      </c>
    </row>
    <row r="673" spans="1:20" x14ac:dyDescent="0.3">
      <c r="A673">
        <v>1026</v>
      </c>
      <c r="B673" t="s">
        <v>77</v>
      </c>
      <c r="C673" t="s">
        <v>78</v>
      </c>
      <c r="D673" t="s">
        <v>79</v>
      </c>
      <c r="E673" t="s">
        <v>80</v>
      </c>
      <c r="F673" t="s">
        <v>81</v>
      </c>
      <c r="G673" t="s">
        <v>82</v>
      </c>
      <c r="H673" t="s">
        <v>22</v>
      </c>
      <c r="I673" t="s">
        <v>23</v>
      </c>
      <c r="J673" s="1">
        <v>546</v>
      </c>
      <c r="K673" s="1">
        <v>36.4</v>
      </c>
      <c r="L673" s="3">
        <v>15</v>
      </c>
      <c r="M673" t="s">
        <v>36</v>
      </c>
      <c r="N673" s="2">
        <v>44848</v>
      </c>
      <c r="O673" t="s">
        <v>83</v>
      </c>
      <c r="P673" t="s">
        <v>84</v>
      </c>
      <c r="Q673">
        <v>10469</v>
      </c>
      <c r="R673" t="s">
        <v>27</v>
      </c>
      <c r="S673" s="10">
        <v>36.525920485098077</v>
      </c>
      <c r="T673">
        <v>30</v>
      </c>
    </row>
    <row r="674" spans="1:20" x14ac:dyDescent="0.3">
      <c r="A674">
        <v>1095</v>
      </c>
      <c r="B674" t="s">
        <v>550</v>
      </c>
      <c r="C674" t="s">
        <v>551</v>
      </c>
      <c r="D674" t="s">
        <v>552</v>
      </c>
      <c r="E674" t="s">
        <v>553</v>
      </c>
      <c r="F674" t="s">
        <v>554</v>
      </c>
      <c r="G674" t="s">
        <v>555</v>
      </c>
      <c r="H674" t="s">
        <v>22</v>
      </c>
      <c r="I674" t="s">
        <v>55</v>
      </c>
      <c r="J674" s="1">
        <v>582</v>
      </c>
      <c r="K674" s="1">
        <v>36.375</v>
      </c>
      <c r="L674" s="3">
        <v>16</v>
      </c>
      <c r="M674" t="s">
        <v>126</v>
      </c>
      <c r="N674" s="2">
        <v>44850</v>
      </c>
      <c r="O674" t="s">
        <v>67</v>
      </c>
      <c r="P674" t="s">
        <v>334</v>
      </c>
      <c r="Q674">
        <v>77040</v>
      </c>
      <c r="R674" t="s">
        <v>27</v>
      </c>
      <c r="S674" s="10">
        <v>21.784293279748994</v>
      </c>
      <c r="T674">
        <v>30</v>
      </c>
    </row>
    <row r="675" spans="1:20" x14ac:dyDescent="0.3">
      <c r="A675">
        <v>1365</v>
      </c>
      <c r="B675" t="s">
        <v>471</v>
      </c>
      <c r="C675" t="s">
        <v>472</v>
      </c>
      <c r="D675" t="s">
        <v>473</v>
      </c>
      <c r="E675" t="s">
        <v>474</v>
      </c>
      <c r="F675" t="s">
        <v>475</v>
      </c>
      <c r="G675" t="s">
        <v>476</v>
      </c>
      <c r="H675" t="s">
        <v>34</v>
      </c>
      <c r="I675" t="s">
        <v>55</v>
      </c>
      <c r="J675" s="1">
        <v>929</v>
      </c>
      <c r="K675" s="1">
        <v>25.805555555555557</v>
      </c>
      <c r="L675" s="3">
        <v>36</v>
      </c>
      <c r="M675" t="s">
        <v>66</v>
      </c>
      <c r="N675" s="2">
        <v>44850</v>
      </c>
      <c r="O675" t="s">
        <v>267</v>
      </c>
      <c r="P675" t="s">
        <v>477</v>
      </c>
      <c r="Q675">
        <v>33261</v>
      </c>
      <c r="R675" t="s">
        <v>27</v>
      </c>
      <c r="S675" s="10">
        <v>78.844030097569572</v>
      </c>
      <c r="T675">
        <v>59</v>
      </c>
    </row>
    <row r="676" spans="1:20" x14ac:dyDescent="0.3">
      <c r="A676">
        <v>1657</v>
      </c>
      <c r="B676" t="s">
        <v>47</v>
      </c>
      <c r="C676" t="s">
        <v>1519</v>
      </c>
      <c r="D676" t="s">
        <v>1566</v>
      </c>
      <c r="E676" t="s">
        <v>1567</v>
      </c>
      <c r="F676" t="s">
        <v>53</v>
      </c>
      <c r="G676" t="s">
        <v>74</v>
      </c>
      <c r="H676" t="s">
        <v>22</v>
      </c>
      <c r="I676" t="s">
        <v>23</v>
      </c>
      <c r="J676" s="1">
        <v>618</v>
      </c>
      <c r="K676" s="1">
        <v>34.333333333333336</v>
      </c>
      <c r="L676" s="3">
        <v>18</v>
      </c>
      <c r="M676" t="s">
        <v>24</v>
      </c>
      <c r="N676" s="2">
        <v>44851</v>
      </c>
      <c r="O676" t="s">
        <v>67</v>
      </c>
      <c r="P676" t="s">
        <v>751</v>
      </c>
      <c r="Q676">
        <v>76004</v>
      </c>
      <c r="R676" t="s">
        <v>27</v>
      </c>
      <c r="S676" s="10">
        <v>28.334263672397547</v>
      </c>
      <c r="T676">
        <v>33</v>
      </c>
    </row>
    <row r="677" spans="1:20" x14ac:dyDescent="0.3">
      <c r="A677">
        <v>1092</v>
      </c>
      <c r="B677" t="s">
        <v>518</v>
      </c>
      <c r="C677" t="s">
        <v>519</v>
      </c>
      <c r="D677" t="s">
        <v>520</v>
      </c>
      <c r="E677" t="s">
        <v>521</v>
      </c>
      <c r="F677" t="s">
        <v>522</v>
      </c>
      <c r="G677" t="s">
        <v>523</v>
      </c>
      <c r="H677" t="s">
        <v>22</v>
      </c>
      <c r="I677" t="s">
        <v>55</v>
      </c>
      <c r="J677" s="1">
        <v>958</v>
      </c>
      <c r="K677" s="1">
        <v>31.933333333333334</v>
      </c>
      <c r="L677" s="3">
        <v>30</v>
      </c>
      <c r="M677" t="s">
        <v>343</v>
      </c>
      <c r="N677" s="2">
        <v>44854</v>
      </c>
      <c r="O677" t="s">
        <v>267</v>
      </c>
      <c r="P677" t="s">
        <v>524</v>
      </c>
      <c r="Q677">
        <v>34233</v>
      </c>
      <c r="R677" t="s">
        <v>27</v>
      </c>
      <c r="S677" s="10">
        <v>54.827192124655092</v>
      </c>
      <c r="T677">
        <v>44</v>
      </c>
    </row>
    <row r="678" spans="1:20" x14ac:dyDescent="0.3">
      <c r="A678">
        <v>1468</v>
      </c>
      <c r="B678" t="s">
        <v>380</v>
      </c>
      <c r="C678" t="s">
        <v>381</v>
      </c>
      <c r="D678" t="s">
        <v>382</v>
      </c>
      <c r="E678" t="s">
        <v>383</v>
      </c>
      <c r="F678" t="s">
        <v>384</v>
      </c>
      <c r="G678" t="s">
        <v>385</v>
      </c>
      <c r="H678" t="s">
        <v>22</v>
      </c>
      <c r="I678" t="s">
        <v>65</v>
      </c>
      <c r="J678" s="1">
        <v>597</v>
      </c>
      <c r="K678" s="1">
        <v>31.421052631578949</v>
      </c>
      <c r="L678" s="3">
        <v>19</v>
      </c>
      <c r="M678" t="s">
        <v>46</v>
      </c>
      <c r="N678" s="2">
        <v>44855</v>
      </c>
      <c r="O678" t="s">
        <v>109</v>
      </c>
      <c r="P678" t="s">
        <v>386</v>
      </c>
      <c r="Q678">
        <v>70116</v>
      </c>
      <c r="R678" t="s">
        <v>27</v>
      </c>
      <c r="S678" s="10">
        <v>38.344739524630825</v>
      </c>
      <c r="T678">
        <v>34</v>
      </c>
    </row>
    <row r="679" spans="1:20" x14ac:dyDescent="0.3">
      <c r="A679">
        <v>1092</v>
      </c>
      <c r="B679" t="s">
        <v>518</v>
      </c>
      <c r="C679" t="s">
        <v>519</v>
      </c>
      <c r="D679" t="s">
        <v>520</v>
      </c>
      <c r="E679" t="s">
        <v>521</v>
      </c>
      <c r="F679" t="s">
        <v>522</v>
      </c>
      <c r="G679" t="s">
        <v>523</v>
      </c>
      <c r="H679" t="s">
        <v>22</v>
      </c>
      <c r="I679" t="s">
        <v>55</v>
      </c>
      <c r="J679" s="1">
        <v>599</v>
      </c>
      <c r="K679" s="1">
        <v>42.785714285714285</v>
      </c>
      <c r="L679" s="3">
        <v>14</v>
      </c>
      <c r="M679" t="s">
        <v>343</v>
      </c>
      <c r="N679" s="2">
        <v>44856</v>
      </c>
      <c r="O679" t="s">
        <v>267</v>
      </c>
      <c r="P679" t="s">
        <v>524</v>
      </c>
      <c r="Q679">
        <v>34233</v>
      </c>
      <c r="R679" t="s">
        <v>27</v>
      </c>
      <c r="S679" s="10">
        <v>21.699088960502003</v>
      </c>
      <c r="T679">
        <v>22</v>
      </c>
    </row>
    <row r="680" spans="1:20" x14ac:dyDescent="0.3">
      <c r="A680">
        <v>1531</v>
      </c>
      <c r="B680" t="s">
        <v>819</v>
      </c>
      <c r="C680" t="s">
        <v>287</v>
      </c>
      <c r="D680" t="s">
        <v>1568</v>
      </c>
      <c r="E680" t="s">
        <v>1569</v>
      </c>
      <c r="F680" t="s">
        <v>1570</v>
      </c>
      <c r="G680" t="s">
        <v>617</v>
      </c>
      <c r="H680" t="s">
        <v>22</v>
      </c>
      <c r="I680" t="s">
        <v>299</v>
      </c>
      <c r="J680" s="1">
        <v>247</v>
      </c>
      <c r="K680" s="1">
        <v>41.166666666666664</v>
      </c>
      <c r="L680" s="3">
        <v>6</v>
      </c>
      <c r="M680" t="s">
        <v>447</v>
      </c>
      <c r="N680" s="2">
        <v>44857</v>
      </c>
      <c r="O680" t="s">
        <v>237</v>
      </c>
      <c r="P680" t="s">
        <v>1571</v>
      </c>
      <c r="Q680">
        <v>35405</v>
      </c>
      <c r="R680" t="s">
        <v>27</v>
      </c>
      <c r="S680" s="10">
        <v>9.9464917372788726</v>
      </c>
      <c r="T680">
        <v>9</v>
      </c>
    </row>
    <row r="681" spans="1:20" x14ac:dyDescent="0.3">
      <c r="A681">
        <v>1434</v>
      </c>
      <c r="B681" t="s">
        <v>380</v>
      </c>
      <c r="C681" t="s">
        <v>449</v>
      </c>
      <c r="D681" t="s">
        <v>450</v>
      </c>
      <c r="E681" t="s">
        <v>451</v>
      </c>
      <c r="F681" t="s">
        <v>452</v>
      </c>
      <c r="G681" t="s">
        <v>453</v>
      </c>
      <c r="H681" t="s">
        <v>22</v>
      </c>
      <c r="I681" t="s">
        <v>35</v>
      </c>
      <c r="J681" s="1">
        <v>575</v>
      </c>
      <c r="K681" s="1">
        <v>38.333333333333336</v>
      </c>
      <c r="L681" s="3">
        <v>15</v>
      </c>
      <c r="M681" t="s">
        <v>36</v>
      </c>
      <c r="N681" s="2">
        <v>44858</v>
      </c>
      <c r="O681" t="s">
        <v>118</v>
      </c>
      <c r="P681" t="s">
        <v>454</v>
      </c>
      <c r="Q681">
        <v>55436</v>
      </c>
      <c r="R681" t="s">
        <v>27</v>
      </c>
      <c r="S681" s="10">
        <v>21.627802046387469</v>
      </c>
      <c r="T681">
        <v>21</v>
      </c>
    </row>
    <row r="682" spans="1:20" x14ac:dyDescent="0.3">
      <c r="A682">
        <v>1234</v>
      </c>
      <c r="B682" t="s">
        <v>59</v>
      </c>
      <c r="C682" t="s">
        <v>60</v>
      </c>
      <c r="D682" t="s">
        <v>61</v>
      </c>
      <c r="E682" t="s">
        <v>62</v>
      </c>
      <c r="F682" t="s">
        <v>63</v>
      </c>
      <c r="G682" t="s">
        <v>64</v>
      </c>
      <c r="H682" t="s">
        <v>34</v>
      </c>
      <c r="I682" t="s">
        <v>65</v>
      </c>
      <c r="J682" s="1">
        <v>343</v>
      </c>
      <c r="K682" s="1">
        <v>34.299999999999997</v>
      </c>
      <c r="L682" s="3">
        <v>10</v>
      </c>
      <c r="M682" t="s">
        <v>66</v>
      </c>
      <c r="N682" s="2">
        <v>44859</v>
      </c>
      <c r="O682" t="s">
        <v>67</v>
      </c>
      <c r="P682" t="s">
        <v>68</v>
      </c>
      <c r="Q682">
        <v>78710</v>
      </c>
      <c r="R682" t="s">
        <v>27</v>
      </c>
      <c r="S682" s="10">
        <v>18.230260579950492</v>
      </c>
      <c r="T682">
        <v>14</v>
      </c>
    </row>
    <row r="683" spans="1:20" x14ac:dyDescent="0.3">
      <c r="A683">
        <v>1393</v>
      </c>
      <c r="B683" t="s">
        <v>129</v>
      </c>
      <c r="C683" t="s">
        <v>1572</v>
      </c>
      <c r="D683" t="s">
        <v>1573</v>
      </c>
      <c r="E683" t="s">
        <v>1574</v>
      </c>
      <c r="F683" t="s">
        <v>1265</v>
      </c>
      <c r="G683" t="s">
        <v>453</v>
      </c>
      <c r="H683" t="s">
        <v>22</v>
      </c>
      <c r="I683" t="s">
        <v>236</v>
      </c>
      <c r="J683" s="1">
        <v>30</v>
      </c>
      <c r="K683" s="1">
        <v>30</v>
      </c>
      <c r="L683" s="3">
        <v>1</v>
      </c>
      <c r="M683" t="s">
        <v>219</v>
      </c>
      <c r="N683" s="2">
        <v>44859</v>
      </c>
      <c r="O683" t="s">
        <v>470</v>
      </c>
      <c r="P683" t="s">
        <v>358</v>
      </c>
      <c r="Q683">
        <v>20073</v>
      </c>
      <c r="R683" t="s">
        <v>27</v>
      </c>
      <c r="S683" s="10">
        <v>2.3250431294556364</v>
      </c>
      <c r="T683">
        <v>1</v>
      </c>
    </row>
    <row r="684" spans="1:20" x14ac:dyDescent="0.3">
      <c r="A684">
        <v>1919</v>
      </c>
      <c r="B684" t="s">
        <v>294</v>
      </c>
      <c r="C684" t="s">
        <v>1575</v>
      </c>
      <c r="D684" t="s">
        <v>1576</v>
      </c>
      <c r="E684" t="s">
        <v>1577</v>
      </c>
      <c r="F684" t="s">
        <v>1578</v>
      </c>
      <c r="G684" t="s">
        <v>790</v>
      </c>
      <c r="H684" t="s">
        <v>22</v>
      </c>
      <c r="I684" t="s">
        <v>236</v>
      </c>
      <c r="J684" s="1">
        <v>551</v>
      </c>
      <c r="K684" s="1">
        <v>32.411764705882355</v>
      </c>
      <c r="L684" s="3">
        <v>17</v>
      </c>
      <c r="M684" t="s">
        <v>694</v>
      </c>
      <c r="N684" s="2">
        <v>44859</v>
      </c>
      <c r="O684" t="s">
        <v>358</v>
      </c>
      <c r="P684" t="s">
        <v>1579</v>
      </c>
      <c r="Q684">
        <v>98133</v>
      </c>
      <c r="R684" t="s">
        <v>27</v>
      </c>
      <c r="S684" s="10">
        <v>36.945168915376733</v>
      </c>
      <c r="T684">
        <v>29</v>
      </c>
    </row>
    <row r="685" spans="1:20" x14ac:dyDescent="0.3">
      <c r="A685">
        <v>1001</v>
      </c>
      <c r="B685" t="s">
        <v>269</v>
      </c>
      <c r="C685" t="s">
        <v>270</v>
      </c>
      <c r="D685" t="s">
        <v>271</v>
      </c>
      <c r="E685" t="s">
        <v>272</v>
      </c>
      <c r="F685" t="s">
        <v>273</v>
      </c>
      <c r="G685" t="s">
        <v>274</v>
      </c>
      <c r="H685" t="s">
        <v>34</v>
      </c>
      <c r="I685" t="s">
        <v>23</v>
      </c>
      <c r="J685" s="1">
        <v>231</v>
      </c>
      <c r="K685" s="1">
        <v>46.2</v>
      </c>
      <c r="L685" s="3">
        <v>5</v>
      </c>
      <c r="M685" t="s">
        <v>126</v>
      </c>
      <c r="N685" s="2">
        <v>44860</v>
      </c>
      <c r="O685" t="s">
        <v>67</v>
      </c>
      <c r="P685" t="s">
        <v>159</v>
      </c>
      <c r="Q685">
        <v>88563</v>
      </c>
      <c r="R685" t="s">
        <v>27</v>
      </c>
      <c r="S685" s="10">
        <v>10.693580719256977</v>
      </c>
      <c r="T685">
        <v>7</v>
      </c>
    </row>
    <row r="686" spans="1:20" x14ac:dyDescent="0.3">
      <c r="A686">
        <v>1413</v>
      </c>
      <c r="B686" t="s">
        <v>672</v>
      </c>
      <c r="C686" t="s">
        <v>1550</v>
      </c>
      <c r="D686" t="s">
        <v>1580</v>
      </c>
      <c r="E686" t="s">
        <v>1581</v>
      </c>
      <c r="F686" t="s">
        <v>133</v>
      </c>
      <c r="G686" t="s">
        <v>227</v>
      </c>
      <c r="H686" t="s">
        <v>22</v>
      </c>
      <c r="I686" t="s">
        <v>299</v>
      </c>
      <c r="J686" s="1">
        <v>445</v>
      </c>
      <c r="K686" s="1">
        <v>31.785714285714285</v>
      </c>
      <c r="L686" s="3">
        <v>14</v>
      </c>
      <c r="M686" t="s">
        <v>56</v>
      </c>
      <c r="N686" s="2">
        <v>44861</v>
      </c>
      <c r="O686" t="s">
        <v>220</v>
      </c>
      <c r="P686" t="s">
        <v>328</v>
      </c>
      <c r="Q686">
        <v>47737</v>
      </c>
      <c r="R686" t="s">
        <v>27</v>
      </c>
      <c r="S686" s="10">
        <v>32.363218927667319</v>
      </c>
      <c r="T686">
        <v>20</v>
      </c>
    </row>
    <row r="687" spans="1:20" x14ac:dyDescent="0.3">
      <c r="A687">
        <v>1019</v>
      </c>
      <c r="B687" t="s">
        <v>764</v>
      </c>
      <c r="C687" t="s">
        <v>374</v>
      </c>
      <c r="D687" t="s">
        <v>765</v>
      </c>
      <c r="E687" t="s">
        <v>766</v>
      </c>
      <c r="F687" t="s">
        <v>554</v>
      </c>
      <c r="G687" t="s">
        <v>298</v>
      </c>
      <c r="H687" t="s">
        <v>22</v>
      </c>
      <c r="I687" t="s">
        <v>23</v>
      </c>
      <c r="J687" s="1">
        <v>46</v>
      </c>
      <c r="K687" s="1">
        <v>46</v>
      </c>
      <c r="L687" s="3">
        <v>1</v>
      </c>
      <c r="M687" t="s">
        <v>66</v>
      </c>
      <c r="N687" s="2">
        <v>44863</v>
      </c>
      <c r="O687" t="s">
        <v>767</v>
      </c>
      <c r="P687" t="s">
        <v>768</v>
      </c>
      <c r="Q687">
        <v>83705</v>
      </c>
      <c r="R687" t="s">
        <v>27</v>
      </c>
      <c r="S687" s="10">
        <v>2.1973880140888142</v>
      </c>
      <c r="T687">
        <v>1</v>
      </c>
    </row>
    <row r="688" spans="1:20" x14ac:dyDescent="0.3">
      <c r="A688">
        <v>1212</v>
      </c>
      <c r="B688" t="s">
        <v>120</v>
      </c>
      <c r="C688" t="s">
        <v>121</v>
      </c>
      <c r="D688" t="s">
        <v>122</v>
      </c>
      <c r="E688" t="s">
        <v>123</v>
      </c>
      <c r="F688" t="s">
        <v>124</v>
      </c>
      <c r="G688" t="s">
        <v>125</v>
      </c>
      <c r="H688" t="s">
        <v>22</v>
      </c>
      <c r="I688" t="s">
        <v>65</v>
      </c>
      <c r="J688" s="1">
        <v>666</v>
      </c>
      <c r="K688" s="1">
        <v>31.714285714285715</v>
      </c>
      <c r="L688" s="3">
        <v>21</v>
      </c>
      <c r="M688" t="s">
        <v>126</v>
      </c>
      <c r="N688" s="2">
        <v>44863</v>
      </c>
      <c r="O688" t="s">
        <v>127</v>
      </c>
      <c r="P688" t="s">
        <v>128</v>
      </c>
      <c r="Q688">
        <v>6183</v>
      </c>
      <c r="R688" t="s">
        <v>27</v>
      </c>
      <c r="S688" s="10">
        <v>42.438958175441719</v>
      </c>
      <c r="T688">
        <v>30</v>
      </c>
    </row>
    <row r="689" spans="1:20" x14ac:dyDescent="0.3">
      <c r="A689">
        <v>1144</v>
      </c>
      <c r="B689" t="s">
        <v>776</v>
      </c>
      <c r="C689" t="s">
        <v>747</v>
      </c>
      <c r="D689" t="s">
        <v>807</v>
      </c>
      <c r="E689" t="s">
        <v>808</v>
      </c>
      <c r="F689" t="s">
        <v>235</v>
      </c>
      <c r="G689" t="s">
        <v>677</v>
      </c>
      <c r="H689" t="s">
        <v>22</v>
      </c>
      <c r="I689" t="s">
        <v>35</v>
      </c>
      <c r="J689" s="1">
        <v>258</v>
      </c>
      <c r="K689" s="1">
        <v>43</v>
      </c>
      <c r="L689" s="3">
        <v>6</v>
      </c>
      <c r="M689" t="s">
        <v>66</v>
      </c>
      <c r="N689" s="2">
        <v>44867</v>
      </c>
      <c r="O689" t="s">
        <v>83</v>
      </c>
      <c r="P689" t="s">
        <v>809</v>
      </c>
      <c r="Q689">
        <v>11355</v>
      </c>
      <c r="R689" t="s">
        <v>27</v>
      </c>
      <c r="S689" s="10">
        <v>12.563376584090898</v>
      </c>
      <c r="T689">
        <v>11</v>
      </c>
    </row>
    <row r="690" spans="1:20" x14ac:dyDescent="0.3">
      <c r="A690">
        <v>1851</v>
      </c>
      <c r="B690" t="s">
        <v>604</v>
      </c>
      <c r="C690" t="s">
        <v>358</v>
      </c>
      <c r="D690" t="s">
        <v>605</v>
      </c>
      <c r="E690" t="s">
        <v>606</v>
      </c>
      <c r="F690" t="s">
        <v>607</v>
      </c>
      <c r="G690" t="s">
        <v>194</v>
      </c>
      <c r="H690" t="s">
        <v>22</v>
      </c>
      <c r="I690" t="s">
        <v>65</v>
      </c>
      <c r="J690" s="1">
        <v>398</v>
      </c>
      <c r="K690" s="1">
        <v>39.799999999999997</v>
      </c>
      <c r="L690" s="3">
        <v>10</v>
      </c>
      <c r="M690" t="s">
        <v>343</v>
      </c>
      <c r="N690" s="2">
        <v>44872</v>
      </c>
      <c r="O690" t="s">
        <v>83</v>
      </c>
      <c r="P690" t="s">
        <v>351</v>
      </c>
      <c r="Q690">
        <v>11210</v>
      </c>
      <c r="R690" t="s">
        <v>27</v>
      </c>
      <c r="S690" s="10">
        <v>19.648038757661169</v>
      </c>
      <c r="T690">
        <v>19</v>
      </c>
    </row>
    <row r="691" spans="1:20" x14ac:dyDescent="0.3">
      <c r="A691">
        <v>1122</v>
      </c>
      <c r="B691" t="s">
        <v>485</v>
      </c>
      <c r="C691" t="s">
        <v>168</v>
      </c>
      <c r="D691" t="s">
        <v>1582</v>
      </c>
      <c r="E691" t="s">
        <v>1583</v>
      </c>
      <c r="F691" t="s">
        <v>1133</v>
      </c>
      <c r="G691" t="s">
        <v>1584</v>
      </c>
      <c r="H691" t="s">
        <v>34</v>
      </c>
      <c r="I691" t="s">
        <v>55</v>
      </c>
      <c r="J691" s="1">
        <v>690</v>
      </c>
      <c r="K691" s="1">
        <v>36.315789473684212</v>
      </c>
      <c r="L691" s="3">
        <v>19</v>
      </c>
      <c r="M691" t="s">
        <v>126</v>
      </c>
      <c r="N691" s="2">
        <v>44877</v>
      </c>
      <c r="O691" t="s">
        <v>136</v>
      </c>
      <c r="P691" t="s">
        <v>1585</v>
      </c>
      <c r="Q691">
        <v>61105</v>
      </c>
      <c r="R691" t="s">
        <v>27</v>
      </c>
      <c r="S691" s="10">
        <v>47.268232435427599</v>
      </c>
      <c r="T691">
        <v>41</v>
      </c>
    </row>
    <row r="692" spans="1:20" x14ac:dyDescent="0.3">
      <c r="A692">
        <v>1298</v>
      </c>
      <c r="B692" t="s">
        <v>275</v>
      </c>
      <c r="C692" t="s">
        <v>340</v>
      </c>
      <c r="D692" t="s">
        <v>341</v>
      </c>
      <c r="E692" t="s">
        <v>342</v>
      </c>
      <c r="F692" t="s">
        <v>306</v>
      </c>
      <c r="G692" t="s">
        <v>180</v>
      </c>
      <c r="H692" t="s">
        <v>22</v>
      </c>
      <c r="I692" t="s">
        <v>236</v>
      </c>
      <c r="J692" s="1">
        <v>561</v>
      </c>
      <c r="K692" s="1">
        <v>29.526315789473685</v>
      </c>
      <c r="L692" s="3">
        <v>19</v>
      </c>
      <c r="M692" t="s">
        <v>343</v>
      </c>
      <c r="N692" s="2">
        <v>44878</v>
      </c>
      <c r="O692" t="s">
        <v>267</v>
      </c>
      <c r="P692" t="s">
        <v>344</v>
      </c>
      <c r="Q692">
        <v>32891</v>
      </c>
      <c r="R692" t="s">
        <v>27</v>
      </c>
      <c r="S692" s="10">
        <v>36.668118572529821</v>
      </c>
      <c r="T692">
        <v>27</v>
      </c>
    </row>
    <row r="693" spans="1:20" x14ac:dyDescent="0.3">
      <c r="A693">
        <v>1529</v>
      </c>
      <c r="B693" t="s">
        <v>1586</v>
      </c>
      <c r="C693" t="s">
        <v>1159</v>
      </c>
      <c r="D693" t="s">
        <v>1587</v>
      </c>
      <c r="E693" t="s">
        <v>1588</v>
      </c>
      <c r="F693" t="s">
        <v>658</v>
      </c>
      <c r="G693" t="s">
        <v>1589</v>
      </c>
      <c r="H693" t="s">
        <v>34</v>
      </c>
      <c r="I693" t="s">
        <v>435</v>
      </c>
      <c r="J693" s="1">
        <v>589</v>
      </c>
      <c r="K693" s="1">
        <v>42.071428571428569</v>
      </c>
      <c r="L693" s="3">
        <v>14</v>
      </c>
      <c r="M693" t="s">
        <v>36</v>
      </c>
      <c r="N693" s="2">
        <v>44878</v>
      </c>
      <c r="O693" t="s">
        <v>1590</v>
      </c>
      <c r="P693" t="s">
        <v>1591</v>
      </c>
      <c r="Q693">
        <v>39534</v>
      </c>
      <c r="R693" t="s">
        <v>27</v>
      </c>
      <c r="S693" s="10">
        <v>34.627503068901362</v>
      </c>
      <c r="T693">
        <v>25</v>
      </c>
    </row>
    <row r="694" spans="1:20" x14ac:dyDescent="0.3">
      <c r="A694">
        <v>1571</v>
      </c>
      <c r="B694" t="s">
        <v>1203</v>
      </c>
      <c r="C694" t="s">
        <v>323</v>
      </c>
      <c r="D694" t="s">
        <v>1592</v>
      </c>
      <c r="E694" t="s">
        <v>1593</v>
      </c>
      <c r="F694" t="s">
        <v>743</v>
      </c>
      <c r="G694" t="s">
        <v>1594</v>
      </c>
      <c r="H694" t="s">
        <v>34</v>
      </c>
      <c r="I694" t="s">
        <v>45</v>
      </c>
      <c r="J694" s="1">
        <v>82</v>
      </c>
      <c r="K694" s="1">
        <v>27.333333333333332</v>
      </c>
      <c r="L694" s="3">
        <v>3</v>
      </c>
      <c r="M694" t="s">
        <v>99</v>
      </c>
      <c r="N694" s="2">
        <v>44880</v>
      </c>
      <c r="O694" t="s">
        <v>67</v>
      </c>
      <c r="P694" t="s">
        <v>68</v>
      </c>
      <c r="Q694">
        <v>78726</v>
      </c>
      <c r="R694" t="s">
        <v>27</v>
      </c>
      <c r="S694" s="10">
        <v>6.4499458833196295</v>
      </c>
      <c r="T694">
        <v>3</v>
      </c>
    </row>
    <row r="695" spans="1:20" x14ac:dyDescent="0.3">
      <c r="A695">
        <v>1666</v>
      </c>
      <c r="B695" t="s">
        <v>1078</v>
      </c>
      <c r="C695" t="s">
        <v>1595</v>
      </c>
      <c r="D695" t="s">
        <v>1596</v>
      </c>
      <c r="E695" t="s">
        <v>1597</v>
      </c>
      <c r="F695" t="s">
        <v>1598</v>
      </c>
      <c r="G695" t="s">
        <v>54</v>
      </c>
      <c r="H695" t="s">
        <v>22</v>
      </c>
      <c r="I695" t="s">
        <v>23</v>
      </c>
      <c r="J695" s="1">
        <v>28</v>
      </c>
      <c r="K695" s="1">
        <v>28</v>
      </c>
      <c r="L695" s="3">
        <v>1</v>
      </c>
      <c r="M695" t="s">
        <v>219</v>
      </c>
      <c r="N695" s="2">
        <v>44880</v>
      </c>
      <c r="O695" t="s">
        <v>196</v>
      </c>
      <c r="P695" t="s">
        <v>528</v>
      </c>
      <c r="Q695">
        <v>19104</v>
      </c>
      <c r="R695" t="s">
        <v>27</v>
      </c>
      <c r="S695" s="10">
        <v>2.1071251616454219</v>
      </c>
      <c r="T695">
        <v>2</v>
      </c>
    </row>
    <row r="696" spans="1:20" x14ac:dyDescent="0.3">
      <c r="A696">
        <v>1783</v>
      </c>
      <c r="B696" t="s">
        <v>302</v>
      </c>
      <c r="C696" t="s">
        <v>303</v>
      </c>
      <c r="D696" t="s">
        <v>304</v>
      </c>
      <c r="E696" t="s">
        <v>305</v>
      </c>
      <c r="F696" t="s">
        <v>306</v>
      </c>
      <c r="G696" t="s">
        <v>307</v>
      </c>
      <c r="H696" t="s">
        <v>34</v>
      </c>
      <c r="I696" t="s">
        <v>35</v>
      </c>
      <c r="J696" s="1">
        <v>744</v>
      </c>
      <c r="K696" s="1">
        <v>24.8</v>
      </c>
      <c r="L696" s="3">
        <v>30</v>
      </c>
      <c r="M696" t="s">
        <v>244</v>
      </c>
      <c r="N696" s="2">
        <v>44881</v>
      </c>
      <c r="O696" t="s">
        <v>308</v>
      </c>
      <c r="P696" t="s">
        <v>309</v>
      </c>
      <c r="Q696">
        <v>85715</v>
      </c>
      <c r="R696" t="s">
        <v>27</v>
      </c>
      <c r="S696" s="10">
        <v>47.428720193044057</v>
      </c>
      <c r="T696">
        <v>45</v>
      </c>
    </row>
    <row r="697" spans="1:20" x14ac:dyDescent="0.3">
      <c r="A697">
        <v>1144</v>
      </c>
      <c r="B697" t="s">
        <v>776</v>
      </c>
      <c r="C697" t="s">
        <v>747</v>
      </c>
      <c r="D697" t="s">
        <v>807</v>
      </c>
      <c r="E697" t="s">
        <v>808</v>
      </c>
      <c r="F697" t="s">
        <v>235</v>
      </c>
      <c r="G697" t="s">
        <v>677</v>
      </c>
      <c r="H697" t="s">
        <v>22</v>
      </c>
      <c r="I697" t="s">
        <v>35</v>
      </c>
      <c r="J697" s="1">
        <v>184</v>
      </c>
      <c r="K697" s="1">
        <v>30.666666666666668</v>
      </c>
      <c r="L697" s="3">
        <v>6</v>
      </c>
      <c r="M697" t="s">
        <v>66</v>
      </c>
      <c r="N697" s="2">
        <v>44883</v>
      </c>
      <c r="O697" t="s">
        <v>83</v>
      </c>
      <c r="P697" t="s">
        <v>809</v>
      </c>
      <c r="Q697">
        <v>11355</v>
      </c>
      <c r="R697" t="s">
        <v>27</v>
      </c>
      <c r="S697" s="10">
        <v>8.3535316206188632</v>
      </c>
      <c r="T697">
        <v>10</v>
      </c>
    </row>
    <row r="698" spans="1:20" x14ac:dyDescent="0.3">
      <c r="A698">
        <v>1170</v>
      </c>
      <c r="B698" t="s">
        <v>153</v>
      </c>
      <c r="C698" t="s">
        <v>154</v>
      </c>
      <c r="D698" t="s">
        <v>155</v>
      </c>
      <c r="E698" t="s">
        <v>156</v>
      </c>
      <c r="F698" t="s">
        <v>157</v>
      </c>
      <c r="G698" t="s">
        <v>158</v>
      </c>
      <c r="H698" t="s">
        <v>34</v>
      </c>
      <c r="I698" t="s">
        <v>65</v>
      </c>
      <c r="J698" s="1">
        <v>337</v>
      </c>
      <c r="K698" s="1">
        <v>37.444444444444443</v>
      </c>
      <c r="L698" s="3">
        <v>9</v>
      </c>
      <c r="M698" t="s">
        <v>24</v>
      </c>
      <c r="N698" s="2">
        <v>44883</v>
      </c>
      <c r="O698" t="s">
        <v>67</v>
      </c>
      <c r="P698" t="s">
        <v>159</v>
      </c>
      <c r="Q698">
        <v>88574</v>
      </c>
      <c r="R698" t="s">
        <v>27</v>
      </c>
      <c r="S698" s="10">
        <v>19.474229658886745</v>
      </c>
      <c r="T698">
        <v>14</v>
      </c>
    </row>
    <row r="699" spans="1:20" x14ac:dyDescent="0.3">
      <c r="A699">
        <v>1940</v>
      </c>
      <c r="B699" t="s">
        <v>1599</v>
      </c>
      <c r="C699" t="s">
        <v>1159</v>
      </c>
      <c r="D699" t="s">
        <v>1600</v>
      </c>
      <c r="E699" t="s">
        <v>1601</v>
      </c>
      <c r="F699" t="s">
        <v>627</v>
      </c>
      <c r="G699" t="s">
        <v>1602</v>
      </c>
      <c r="H699" t="s">
        <v>34</v>
      </c>
      <c r="I699" t="s">
        <v>108</v>
      </c>
      <c r="J699" s="1">
        <v>370</v>
      </c>
      <c r="K699" s="1">
        <v>41.111111111111114</v>
      </c>
      <c r="L699" s="3">
        <v>9</v>
      </c>
      <c r="M699" t="s">
        <v>99</v>
      </c>
      <c r="N699" s="2">
        <v>44886</v>
      </c>
      <c r="O699" t="s">
        <v>144</v>
      </c>
      <c r="P699" t="s">
        <v>1603</v>
      </c>
      <c r="Q699">
        <v>80127</v>
      </c>
      <c r="R699" t="s">
        <v>27</v>
      </c>
      <c r="S699" s="10">
        <v>15.606100089426402</v>
      </c>
      <c r="T699">
        <v>16</v>
      </c>
    </row>
    <row r="700" spans="1:20" x14ac:dyDescent="0.3">
      <c r="A700">
        <v>1673</v>
      </c>
      <c r="B700" t="s">
        <v>1479</v>
      </c>
      <c r="C700" t="s">
        <v>1604</v>
      </c>
      <c r="D700" t="s">
        <v>1605</v>
      </c>
      <c r="E700" t="s">
        <v>1606</v>
      </c>
      <c r="F700" t="s">
        <v>1607</v>
      </c>
      <c r="G700" t="s">
        <v>686</v>
      </c>
      <c r="H700" t="s">
        <v>22</v>
      </c>
      <c r="I700" t="s">
        <v>23</v>
      </c>
      <c r="J700" s="1">
        <v>923</v>
      </c>
      <c r="K700" s="1">
        <v>29.774193548387096</v>
      </c>
      <c r="L700" s="3">
        <v>31</v>
      </c>
      <c r="M700" t="s">
        <v>195</v>
      </c>
      <c r="N700" s="2">
        <v>44887</v>
      </c>
      <c r="O700" t="s">
        <v>67</v>
      </c>
      <c r="P700" t="s">
        <v>1608</v>
      </c>
      <c r="Q700">
        <v>77844</v>
      </c>
      <c r="R700" t="s">
        <v>27</v>
      </c>
      <c r="S700" s="10">
        <v>71.139725667777526</v>
      </c>
      <c r="T700">
        <v>48</v>
      </c>
    </row>
    <row r="701" spans="1:20" x14ac:dyDescent="0.3">
      <c r="A701">
        <v>1020</v>
      </c>
      <c r="B701" t="s">
        <v>310</v>
      </c>
      <c r="C701" t="s">
        <v>311</v>
      </c>
      <c r="D701" t="s">
        <v>312</v>
      </c>
      <c r="E701" t="s">
        <v>313</v>
      </c>
      <c r="F701" t="s">
        <v>314</v>
      </c>
      <c r="G701" t="s">
        <v>315</v>
      </c>
      <c r="H701" t="s">
        <v>22</v>
      </c>
      <c r="I701" t="s">
        <v>23</v>
      </c>
      <c r="J701" s="1">
        <v>630</v>
      </c>
      <c r="K701" s="1">
        <v>37.058823529411768</v>
      </c>
      <c r="L701" s="3">
        <v>17</v>
      </c>
      <c r="M701" t="s">
        <v>36</v>
      </c>
      <c r="N701" s="2">
        <v>44888</v>
      </c>
      <c r="O701" t="s">
        <v>37</v>
      </c>
      <c r="P701" t="s">
        <v>316</v>
      </c>
      <c r="Q701">
        <v>94105</v>
      </c>
      <c r="R701" t="s">
        <v>27</v>
      </c>
      <c r="S701" s="10">
        <v>27.208436979402755</v>
      </c>
      <c r="T701">
        <v>36</v>
      </c>
    </row>
    <row r="702" spans="1:20" x14ac:dyDescent="0.3">
      <c r="A702">
        <v>1075</v>
      </c>
      <c r="B702" t="s">
        <v>752</v>
      </c>
      <c r="C702" t="s">
        <v>1609</v>
      </c>
      <c r="D702" t="s">
        <v>1610</v>
      </c>
      <c r="E702" t="s">
        <v>1611</v>
      </c>
      <c r="F702" t="s">
        <v>956</v>
      </c>
      <c r="G702" t="s">
        <v>1318</v>
      </c>
      <c r="H702" t="s">
        <v>22</v>
      </c>
      <c r="I702" t="s">
        <v>55</v>
      </c>
      <c r="J702" s="1">
        <v>211</v>
      </c>
      <c r="K702" s="1">
        <v>26.375</v>
      </c>
      <c r="L702" s="3">
        <v>8</v>
      </c>
      <c r="M702" t="s">
        <v>143</v>
      </c>
      <c r="N702" s="2">
        <v>44888</v>
      </c>
      <c r="O702" t="s">
        <v>470</v>
      </c>
      <c r="P702" t="s">
        <v>358</v>
      </c>
      <c r="Q702">
        <v>20337</v>
      </c>
      <c r="R702" t="s">
        <v>27</v>
      </c>
      <c r="S702" s="10">
        <v>14.929156137185032</v>
      </c>
      <c r="T702">
        <v>17</v>
      </c>
    </row>
    <row r="703" spans="1:20" x14ac:dyDescent="0.3">
      <c r="A703">
        <v>1020</v>
      </c>
      <c r="B703" t="s">
        <v>310</v>
      </c>
      <c r="C703" t="s">
        <v>311</v>
      </c>
      <c r="D703" t="s">
        <v>312</v>
      </c>
      <c r="E703" t="s">
        <v>313</v>
      </c>
      <c r="F703" t="s">
        <v>314</v>
      </c>
      <c r="G703" t="s">
        <v>315</v>
      </c>
      <c r="H703" t="s">
        <v>22</v>
      </c>
      <c r="I703" t="s">
        <v>23</v>
      </c>
      <c r="J703" s="1">
        <v>729</v>
      </c>
      <c r="K703" s="1">
        <v>30.375</v>
      </c>
      <c r="L703" s="3">
        <v>24</v>
      </c>
      <c r="M703" t="s">
        <v>36</v>
      </c>
      <c r="N703" s="2">
        <v>44889</v>
      </c>
      <c r="O703" t="s">
        <v>37</v>
      </c>
      <c r="P703" t="s">
        <v>316</v>
      </c>
      <c r="Q703">
        <v>94105</v>
      </c>
      <c r="R703" t="s">
        <v>27</v>
      </c>
      <c r="S703" s="10">
        <v>41.880327372164587</v>
      </c>
      <c r="T703">
        <v>40</v>
      </c>
    </row>
    <row r="704" spans="1:20" x14ac:dyDescent="0.3">
      <c r="A704">
        <v>1020</v>
      </c>
      <c r="B704" t="s">
        <v>310</v>
      </c>
      <c r="C704" t="s">
        <v>311</v>
      </c>
      <c r="D704" t="s">
        <v>312</v>
      </c>
      <c r="E704" t="s">
        <v>313</v>
      </c>
      <c r="F704" t="s">
        <v>314</v>
      </c>
      <c r="G704" t="s">
        <v>315</v>
      </c>
      <c r="H704" t="s">
        <v>22</v>
      </c>
      <c r="I704" t="s">
        <v>23</v>
      </c>
      <c r="J704" s="1">
        <v>75</v>
      </c>
      <c r="K704" s="1">
        <v>37.5</v>
      </c>
      <c r="L704" s="3">
        <v>2</v>
      </c>
      <c r="M704" t="s">
        <v>36</v>
      </c>
      <c r="N704" s="2">
        <v>44889</v>
      </c>
      <c r="O704" t="s">
        <v>37</v>
      </c>
      <c r="P704" t="s">
        <v>316</v>
      </c>
      <c r="Q704">
        <v>94105</v>
      </c>
      <c r="R704" t="s">
        <v>27</v>
      </c>
      <c r="S704" s="10">
        <v>4.3945613665161494</v>
      </c>
      <c r="T704">
        <v>4</v>
      </c>
    </row>
    <row r="705" spans="1:20" x14ac:dyDescent="0.3">
      <c r="A705">
        <v>1298</v>
      </c>
      <c r="B705" t="s">
        <v>275</v>
      </c>
      <c r="C705" t="s">
        <v>340</v>
      </c>
      <c r="D705" t="s">
        <v>341</v>
      </c>
      <c r="E705" t="s">
        <v>342</v>
      </c>
      <c r="F705" t="s">
        <v>306</v>
      </c>
      <c r="G705" t="s">
        <v>180</v>
      </c>
      <c r="H705" t="s">
        <v>22</v>
      </c>
      <c r="I705" t="s">
        <v>236</v>
      </c>
      <c r="J705" s="1">
        <v>500</v>
      </c>
      <c r="K705" s="1">
        <v>41.666666666666664</v>
      </c>
      <c r="L705" s="3">
        <v>12</v>
      </c>
      <c r="M705" t="s">
        <v>343</v>
      </c>
      <c r="N705" s="2">
        <v>44889</v>
      </c>
      <c r="O705" t="s">
        <v>267</v>
      </c>
      <c r="P705" t="s">
        <v>344</v>
      </c>
      <c r="Q705">
        <v>32891</v>
      </c>
      <c r="R705" t="s">
        <v>27</v>
      </c>
      <c r="S705" s="10">
        <v>29.926117830235007</v>
      </c>
      <c r="T705">
        <v>23</v>
      </c>
    </row>
    <row r="706" spans="1:20" x14ac:dyDescent="0.3">
      <c r="A706">
        <v>1365</v>
      </c>
      <c r="B706" t="s">
        <v>471</v>
      </c>
      <c r="C706" t="s">
        <v>472</v>
      </c>
      <c r="D706" t="s">
        <v>473</v>
      </c>
      <c r="E706" t="s">
        <v>474</v>
      </c>
      <c r="F706" t="s">
        <v>475</v>
      </c>
      <c r="G706" t="s">
        <v>476</v>
      </c>
      <c r="H706" t="s">
        <v>34</v>
      </c>
      <c r="I706" t="s">
        <v>55</v>
      </c>
      <c r="J706" s="1">
        <v>366</v>
      </c>
      <c r="K706" s="1">
        <v>40.666666666666664</v>
      </c>
      <c r="L706" s="3">
        <v>9</v>
      </c>
      <c r="M706" t="s">
        <v>66</v>
      </c>
      <c r="N706" s="2">
        <v>44894</v>
      </c>
      <c r="O706" t="s">
        <v>267</v>
      </c>
      <c r="P706" t="s">
        <v>477</v>
      </c>
      <c r="Q706">
        <v>33261</v>
      </c>
      <c r="R706" t="s">
        <v>27</v>
      </c>
      <c r="S706" s="10">
        <v>12.948666202610626</v>
      </c>
      <c r="T706">
        <v>18</v>
      </c>
    </row>
    <row r="707" spans="1:20" x14ac:dyDescent="0.3">
      <c r="A707">
        <v>1165</v>
      </c>
      <c r="B707" t="s">
        <v>819</v>
      </c>
      <c r="C707" t="s">
        <v>1370</v>
      </c>
      <c r="D707" t="s">
        <v>1612</v>
      </c>
      <c r="E707" t="s">
        <v>1613</v>
      </c>
      <c r="F707" t="s">
        <v>1614</v>
      </c>
      <c r="G707" t="s">
        <v>440</v>
      </c>
      <c r="H707" t="s">
        <v>22</v>
      </c>
      <c r="I707" t="s">
        <v>35</v>
      </c>
      <c r="J707" s="1">
        <v>999</v>
      </c>
      <c r="K707" s="1">
        <v>41.625</v>
      </c>
      <c r="L707" s="3">
        <v>24</v>
      </c>
      <c r="M707" t="s">
        <v>56</v>
      </c>
      <c r="N707" s="2">
        <v>44895</v>
      </c>
      <c r="O707" t="s">
        <v>118</v>
      </c>
      <c r="P707" t="s">
        <v>58</v>
      </c>
      <c r="Q707">
        <v>55805</v>
      </c>
      <c r="R707" t="s">
        <v>27</v>
      </c>
      <c r="S707" s="10">
        <v>43.25239004923867</v>
      </c>
      <c r="T707">
        <v>49</v>
      </c>
    </row>
    <row r="708" spans="1:20" x14ac:dyDescent="0.3">
      <c r="A708">
        <v>1437</v>
      </c>
      <c r="B708" t="s">
        <v>654</v>
      </c>
      <c r="C708" t="s">
        <v>655</v>
      </c>
      <c r="D708" t="s">
        <v>656</v>
      </c>
      <c r="E708" t="s">
        <v>657</v>
      </c>
      <c r="F708" t="s">
        <v>658</v>
      </c>
      <c r="G708" t="s">
        <v>357</v>
      </c>
      <c r="H708" t="s">
        <v>34</v>
      </c>
      <c r="I708" t="s">
        <v>299</v>
      </c>
      <c r="J708" s="1">
        <v>713</v>
      </c>
      <c r="K708" s="1">
        <v>26.407407407407408</v>
      </c>
      <c r="L708" s="3">
        <v>27</v>
      </c>
      <c r="M708" t="s">
        <v>36</v>
      </c>
      <c r="N708" s="2">
        <v>44895</v>
      </c>
      <c r="O708" t="s">
        <v>300</v>
      </c>
      <c r="P708" t="s">
        <v>659</v>
      </c>
      <c r="Q708">
        <v>89505</v>
      </c>
      <c r="R708" t="s">
        <v>27</v>
      </c>
      <c r="S708" s="10">
        <v>44.605359051091583</v>
      </c>
      <c r="T708">
        <v>59</v>
      </c>
    </row>
    <row r="709" spans="1:20" x14ac:dyDescent="0.3">
      <c r="A709">
        <v>1489</v>
      </c>
      <c r="B709" t="s">
        <v>85</v>
      </c>
      <c r="C709" t="s">
        <v>86</v>
      </c>
      <c r="D709" t="s">
        <v>87</v>
      </c>
      <c r="E709" t="s">
        <v>88</v>
      </c>
      <c r="F709" t="s">
        <v>89</v>
      </c>
      <c r="G709" t="s">
        <v>90</v>
      </c>
      <c r="H709" t="s">
        <v>34</v>
      </c>
      <c r="I709" t="s">
        <v>23</v>
      </c>
      <c r="J709" s="1">
        <v>743</v>
      </c>
      <c r="K709" s="1">
        <v>39.10526315789474</v>
      </c>
      <c r="L709" s="3">
        <v>19</v>
      </c>
      <c r="M709" t="s">
        <v>66</v>
      </c>
      <c r="N709" s="2">
        <v>44895</v>
      </c>
      <c r="O709" t="s">
        <v>47</v>
      </c>
      <c r="P709" t="s">
        <v>91</v>
      </c>
      <c r="Q709">
        <v>23668</v>
      </c>
      <c r="R709" t="s">
        <v>27</v>
      </c>
      <c r="S709" s="10">
        <v>24.272418950162105</v>
      </c>
      <c r="T709">
        <v>31</v>
      </c>
    </row>
    <row r="710" spans="1:20" x14ac:dyDescent="0.3">
      <c r="A710">
        <v>1365</v>
      </c>
      <c r="B710" t="s">
        <v>471</v>
      </c>
      <c r="C710" t="s">
        <v>472</v>
      </c>
      <c r="D710" t="s">
        <v>473</v>
      </c>
      <c r="E710" t="s">
        <v>474</v>
      </c>
      <c r="F710" t="s">
        <v>475</v>
      </c>
      <c r="G710" t="s">
        <v>476</v>
      </c>
      <c r="H710" t="s">
        <v>34</v>
      </c>
      <c r="I710" t="s">
        <v>55</v>
      </c>
      <c r="J710" s="1">
        <v>464</v>
      </c>
      <c r="K710" s="1">
        <v>42.18181818181818</v>
      </c>
      <c r="L710" s="3">
        <v>11</v>
      </c>
      <c r="M710" t="s">
        <v>66</v>
      </c>
      <c r="N710" s="2">
        <v>44905</v>
      </c>
      <c r="O710" t="s">
        <v>267</v>
      </c>
      <c r="P710" t="s">
        <v>477</v>
      </c>
      <c r="Q710">
        <v>33261</v>
      </c>
      <c r="R710" t="s">
        <v>27</v>
      </c>
      <c r="S710" s="10">
        <v>15.86947103767795</v>
      </c>
      <c r="T710">
        <v>14</v>
      </c>
    </row>
    <row r="711" spans="1:20" x14ac:dyDescent="0.3">
      <c r="A711">
        <v>1693</v>
      </c>
      <c r="B711" t="s">
        <v>1615</v>
      </c>
      <c r="C711" t="s">
        <v>381</v>
      </c>
      <c r="D711" t="s">
        <v>1616</v>
      </c>
      <c r="E711" t="s">
        <v>1617</v>
      </c>
      <c r="F711" t="s">
        <v>1618</v>
      </c>
      <c r="G711" t="s">
        <v>1016</v>
      </c>
      <c r="H711" t="s">
        <v>34</v>
      </c>
      <c r="I711" t="s">
        <v>23</v>
      </c>
      <c r="J711" s="1">
        <v>631</v>
      </c>
      <c r="K711" s="1">
        <v>33.210526315789473</v>
      </c>
      <c r="L711" s="3">
        <v>19</v>
      </c>
      <c r="M711" t="s">
        <v>447</v>
      </c>
      <c r="N711" s="2">
        <v>44906</v>
      </c>
      <c r="O711" t="s">
        <v>396</v>
      </c>
      <c r="P711" t="s">
        <v>397</v>
      </c>
      <c r="Q711">
        <v>97312</v>
      </c>
      <c r="R711" t="s">
        <v>27</v>
      </c>
      <c r="S711" s="10">
        <v>37.766491153522892</v>
      </c>
      <c r="T711">
        <v>35</v>
      </c>
    </row>
    <row r="712" spans="1:20" x14ac:dyDescent="0.3">
      <c r="A712">
        <v>1414</v>
      </c>
      <c r="B712" t="s">
        <v>405</v>
      </c>
      <c r="C712" t="s">
        <v>708</v>
      </c>
      <c r="D712" t="s">
        <v>1619</v>
      </c>
      <c r="E712" t="s">
        <v>1620</v>
      </c>
      <c r="F712" t="s">
        <v>645</v>
      </c>
      <c r="G712" t="s">
        <v>180</v>
      </c>
      <c r="H712" t="s">
        <v>34</v>
      </c>
      <c r="I712" t="s">
        <v>45</v>
      </c>
      <c r="J712" s="1">
        <v>376</v>
      </c>
      <c r="K712" s="1">
        <v>28.923076923076923</v>
      </c>
      <c r="L712" s="3">
        <v>13</v>
      </c>
      <c r="M712" t="s">
        <v>143</v>
      </c>
      <c r="N712" s="2">
        <v>44907</v>
      </c>
      <c r="O712" t="s">
        <v>267</v>
      </c>
      <c r="P712" t="s">
        <v>1621</v>
      </c>
      <c r="Q712">
        <v>34643</v>
      </c>
      <c r="R712" t="s">
        <v>27</v>
      </c>
      <c r="S712" s="10">
        <v>30.231916331416869</v>
      </c>
      <c r="T712">
        <v>16</v>
      </c>
    </row>
    <row r="713" spans="1:20" x14ac:dyDescent="0.3">
      <c r="A713">
        <v>1396</v>
      </c>
      <c r="B713" t="s">
        <v>161</v>
      </c>
      <c r="C713" t="s">
        <v>1262</v>
      </c>
      <c r="D713" t="s">
        <v>1622</v>
      </c>
      <c r="E713" t="s">
        <v>1623</v>
      </c>
      <c r="F713" t="s">
        <v>306</v>
      </c>
      <c r="G713" t="s">
        <v>1462</v>
      </c>
      <c r="H713" t="s">
        <v>34</v>
      </c>
      <c r="I713" t="s">
        <v>366</v>
      </c>
      <c r="J713" s="1">
        <v>662</v>
      </c>
      <c r="K713" s="1">
        <v>44.133333333333333</v>
      </c>
      <c r="L713" s="3">
        <v>15</v>
      </c>
      <c r="M713" t="s">
        <v>36</v>
      </c>
      <c r="N713" s="2">
        <v>44908</v>
      </c>
      <c r="O713" t="s">
        <v>267</v>
      </c>
      <c r="P713" t="s">
        <v>1621</v>
      </c>
      <c r="Q713">
        <v>34643</v>
      </c>
      <c r="R713" t="s">
        <v>27</v>
      </c>
      <c r="S713" s="10">
        <v>36.776921149450928</v>
      </c>
      <c r="T713">
        <v>31</v>
      </c>
    </row>
    <row r="714" spans="1:20" x14ac:dyDescent="0.3">
      <c r="A714">
        <v>1986</v>
      </c>
      <c r="B714" t="s">
        <v>1379</v>
      </c>
      <c r="C714" t="s">
        <v>281</v>
      </c>
      <c r="D714" t="s">
        <v>1380</v>
      </c>
      <c r="E714" t="s">
        <v>1381</v>
      </c>
      <c r="F714" t="s">
        <v>150</v>
      </c>
      <c r="G714" t="s">
        <v>918</v>
      </c>
      <c r="H714" t="s">
        <v>34</v>
      </c>
      <c r="I714" t="s">
        <v>65</v>
      </c>
      <c r="J714" s="1">
        <v>633</v>
      </c>
      <c r="K714" s="1">
        <v>35.166666666666664</v>
      </c>
      <c r="L714" s="3">
        <v>18</v>
      </c>
      <c r="M714" t="s">
        <v>143</v>
      </c>
      <c r="N714" s="2">
        <v>44911</v>
      </c>
      <c r="O714" t="s">
        <v>67</v>
      </c>
      <c r="P714" t="s">
        <v>334</v>
      </c>
      <c r="Q714">
        <v>77010</v>
      </c>
      <c r="R714" t="s">
        <v>27</v>
      </c>
      <c r="S714" s="10">
        <v>36.572380648214498</v>
      </c>
      <c r="T714">
        <v>22</v>
      </c>
    </row>
    <row r="715" spans="1:20" x14ac:dyDescent="0.3">
      <c r="A715">
        <v>1704</v>
      </c>
      <c r="B715" t="s">
        <v>59</v>
      </c>
      <c r="C715" t="s">
        <v>1257</v>
      </c>
      <c r="D715" t="s">
        <v>1624</v>
      </c>
      <c r="E715" t="s">
        <v>1625</v>
      </c>
      <c r="F715" t="s">
        <v>320</v>
      </c>
      <c r="G715" t="s">
        <v>1110</v>
      </c>
      <c r="H715" t="s">
        <v>34</v>
      </c>
      <c r="I715" t="s">
        <v>23</v>
      </c>
      <c r="J715" s="1">
        <v>102</v>
      </c>
      <c r="K715" s="1">
        <v>51</v>
      </c>
      <c r="L715" s="3">
        <v>2</v>
      </c>
      <c r="M715" t="s">
        <v>36</v>
      </c>
      <c r="N715" s="2">
        <v>44912</v>
      </c>
      <c r="O715" t="s">
        <v>267</v>
      </c>
      <c r="P715" t="s">
        <v>1271</v>
      </c>
      <c r="Q715">
        <v>32575</v>
      </c>
      <c r="R715" t="s">
        <v>27</v>
      </c>
      <c r="S715" s="10">
        <v>4.2482433683573051</v>
      </c>
      <c r="T715">
        <v>3</v>
      </c>
    </row>
    <row r="716" spans="1:20" x14ac:dyDescent="0.3">
      <c r="A716">
        <v>1783</v>
      </c>
      <c r="B716" t="s">
        <v>302</v>
      </c>
      <c r="C716" t="s">
        <v>303</v>
      </c>
      <c r="D716" t="s">
        <v>304</v>
      </c>
      <c r="E716" t="s">
        <v>305</v>
      </c>
      <c r="F716" t="s">
        <v>306</v>
      </c>
      <c r="G716" t="s">
        <v>307</v>
      </c>
      <c r="H716" t="s">
        <v>34</v>
      </c>
      <c r="I716" t="s">
        <v>35</v>
      </c>
      <c r="J716" s="1">
        <v>799</v>
      </c>
      <c r="K716" s="1">
        <v>44.388888888888886</v>
      </c>
      <c r="L716" s="3">
        <v>18</v>
      </c>
      <c r="M716" t="s">
        <v>244</v>
      </c>
      <c r="N716" s="2">
        <v>44915</v>
      </c>
      <c r="O716" t="s">
        <v>308</v>
      </c>
      <c r="P716" t="s">
        <v>309</v>
      </c>
      <c r="Q716">
        <v>85715</v>
      </c>
      <c r="R716" t="s">
        <v>27</v>
      </c>
      <c r="S716" s="10">
        <v>32.979070365749209</v>
      </c>
      <c r="T716">
        <v>34</v>
      </c>
    </row>
    <row r="717" spans="1:20" x14ac:dyDescent="0.3">
      <c r="A717">
        <v>1398</v>
      </c>
      <c r="B717" t="s">
        <v>1549</v>
      </c>
      <c r="C717" t="s">
        <v>1039</v>
      </c>
      <c r="D717" t="s">
        <v>1626</v>
      </c>
      <c r="E717" t="s">
        <v>1627</v>
      </c>
      <c r="F717" t="s">
        <v>1317</v>
      </c>
      <c r="G717" t="s">
        <v>395</v>
      </c>
      <c r="H717" t="s">
        <v>22</v>
      </c>
      <c r="I717" t="s">
        <v>35</v>
      </c>
      <c r="J717" s="1">
        <v>812</v>
      </c>
      <c r="K717" s="1">
        <v>35.304347826086953</v>
      </c>
      <c r="L717" s="3">
        <v>23</v>
      </c>
      <c r="M717" t="s">
        <v>343</v>
      </c>
      <c r="N717" s="2">
        <v>44916</v>
      </c>
      <c r="O717" t="s">
        <v>292</v>
      </c>
      <c r="P717" t="s">
        <v>1514</v>
      </c>
      <c r="Q717">
        <v>53785</v>
      </c>
      <c r="R717" t="s">
        <v>27</v>
      </c>
      <c r="S717" s="10">
        <v>56.551940631576642</v>
      </c>
      <c r="T717">
        <v>50</v>
      </c>
    </row>
    <row r="718" spans="1:20" x14ac:dyDescent="0.3">
      <c r="A718">
        <v>1078</v>
      </c>
      <c r="B718" t="s">
        <v>707</v>
      </c>
      <c r="C718" t="s">
        <v>353</v>
      </c>
      <c r="D718" t="s">
        <v>1628</v>
      </c>
      <c r="E718" t="s">
        <v>1629</v>
      </c>
      <c r="F718" t="s">
        <v>1067</v>
      </c>
      <c r="G718" t="s">
        <v>516</v>
      </c>
      <c r="H718" t="s">
        <v>22</v>
      </c>
      <c r="I718" t="s">
        <v>55</v>
      </c>
      <c r="J718" s="1">
        <v>50</v>
      </c>
      <c r="K718" s="1">
        <v>25</v>
      </c>
      <c r="L718" s="3">
        <v>2</v>
      </c>
      <c r="M718" t="s">
        <v>36</v>
      </c>
      <c r="N718" s="2">
        <v>44917</v>
      </c>
      <c r="O718" t="s">
        <v>822</v>
      </c>
      <c r="P718" t="s">
        <v>1630</v>
      </c>
      <c r="Q718">
        <v>72222</v>
      </c>
      <c r="R718" t="s">
        <v>27</v>
      </c>
      <c r="S718" s="10">
        <v>3.7316725353789302</v>
      </c>
      <c r="T718">
        <v>3</v>
      </c>
    </row>
    <row r="719" spans="1:20" x14ac:dyDescent="0.3">
      <c r="A719">
        <v>1365</v>
      </c>
      <c r="B719" t="s">
        <v>471</v>
      </c>
      <c r="C719" t="s">
        <v>472</v>
      </c>
      <c r="D719" t="s">
        <v>473</v>
      </c>
      <c r="E719" t="s">
        <v>474</v>
      </c>
      <c r="F719" t="s">
        <v>475</v>
      </c>
      <c r="G719" t="s">
        <v>476</v>
      </c>
      <c r="H719" t="s">
        <v>34</v>
      </c>
      <c r="I719" t="s">
        <v>55</v>
      </c>
      <c r="J719" s="1">
        <v>197</v>
      </c>
      <c r="K719" s="1">
        <v>39.4</v>
      </c>
      <c r="L719" s="3">
        <v>5</v>
      </c>
      <c r="M719" t="s">
        <v>66</v>
      </c>
      <c r="N719" s="2">
        <v>44917</v>
      </c>
      <c r="O719" t="s">
        <v>267</v>
      </c>
      <c r="P719" t="s">
        <v>477</v>
      </c>
      <c r="Q719">
        <v>33261</v>
      </c>
      <c r="R719" t="s">
        <v>27</v>
      </c>
      <c r="S719" s="10">
        <v>8.8377172255966521</v>
      </c>
      <c r="T719">
        <v>7</v>
      </c>
    </row>
    <row r="720" spans="1:20" x14ac:dyDescent="0.3">
      <c r="A720">
        <v>1985</v>
      </c>
      <c r="B720" t="s">
        <v>275</v>
      </c>
      <c r="C720" t="s">
        <v>1523</v>
      </c>
      <c r="D720" t="s">
        <v>1524</v>
      </c>
      <c r="E720" t="s">
        <v>1525</v>
      </c>
      <c r="F720" t="s">
        <v>53</v>
      </c>
      <c r="G720" t="s">
        <v>1261</v>
      </c>
      <c r="H720" t="s">
        <v>22</v>
      </c>
      <c r="I720" t="s">
        <v>65</v>
      </c>
      <c r="J720" s="1">
        <v>835</v>
      </c>
      <c r="K720" s="1">
        <v>36.304347826086953</v>
      </c>
      <c r="L720" s="3">
        <v>23</v>
      </c>
      <c r="M720" t="s">
        <v>447</v>
      </c>
      <c r="N720" s="2">
        <v>44917</v>
      </c>
      <c r="O720" t="s">
        <v>136</v>
      </c>
      <c r="P720" t="s">
        <v>137</v>
      </c>
      <c r="Q720">
        <v>60646</v>
      </c>
      <c r="R720" t="s">
        <v>27</v>
      </c>
      <c r="S720" s="10">
        <v>29.148319253731167</v>
      </c>
      <c r="T720">
        <v>47</v>
      </c>
    </row>
    <row r="721" spans="1:20" x14ac:dyDescent="0.3">
      <c r="A721">
        <v>1583</v>
      </c>
      <c r="B721" t="s">
        <v>1451</v>
      </c>
      <c r="C721" t="s">
        <v>1631</v>
      </c>
      <c r="D721" t="s">
        <v>1632</v>
      </c>
      <c r="E721" t="s">
        <v>1633</v>
      </c>
      <c r="F721" t="s">
        <v>864</v>
      </c>
      <c r="G721" t="s">
        <v>951</v>
      </c>
      <c r="H721" t="s">
        <v>34</v>
      </c>
      <c r="I721" t="s">
        <v>117</v>
      </c>
      <c r="J721" s="1">
        <v>411</v>
      </c>
      <c r="K721" s="1">
        <v>45.666666666666664</v>
      </c>
      <c r="L721" s="3">
        <v>9</v>
      </c>
      <c r="M721" t="s">
        <v>36</v>
      </c>
      <c r="N721" s="2">
        <v>44918</v>
      </c>
      <c r="O721" t="s">
        <v>47</v>
      </c>
      <c r="P721" t="s">
        <v>48</v>
      </c>
      <c r="Q721">
        <v>23225</v>
      </c>
      <c r="R721" t="s">
        <v>27</v>
      </c>
      <c r="S721" s="10">
        <v>18.512708921990153</v>
      </c>
      <c r="T721">
        <v>19</v>
      </c>
    </row>
    <row r="722" spans="1:20" x14ac:dyDescent="0.3">
      <c r="A722">
        <v>1489</v>
      </c>
      <c r="B722" t="s">
        <v>85</v>
      </c>
      <c r="C722" t="s">
        <v>86</v>
      </c>
      <c r="D722" t="s">
        <v>87</v>
      </c>
      <c r="E722" t="s">
        <v>88</v>
      </c>
      <c r="F722" t="s">
        <v>89</v>
      </c>
      <c r="G722" t="s">
        <v>90</v>
      </c>
      <c r="H722" t="s">
        <v>34</v>
      </c>
      <c r="I722" t="s">
        <v>23</v>
      </c>
      <c r="J722" s="1">
        <v>822</v>
      </c>
      <c r="K722" s="1">
        <v>30.444444444444443</v>
      </c>
      <c r="L722" s="3">
        <v>27</v>
      </c>
      <c r="M722" t="s">
        <v>66</v>
      </c>
      <c r="N722" s="2">
        <v>44919</v>
      </c>
      <c r="O722" t="s">
        <v>47</v>
      </c>
      <c r="P722" t="s">
        <v>91</v>
      </c>
      <c r="Q722">
        <v>23668</v>
      </c>
      <c r="R722" t="s">
        <v>27</v>
      </c>
      <c r="S722" s="10">
        <v>64.326657616705219</v>
      </c>
      <c r="T722">
        <v>59</v>
      </c>
    </row>
    <row r="723" spans="1:20" x14ac:dyDescent="0.3">
      <c r="A723">
        <v>1144</v>
      </c>
      <c r="B723" t="s">
        <v>776</v>
      </c>
      <c r="C723" t="s">
        <v>747</v>
      </c>
      <c r="D723" t="s">
        <v>807</v>
      </c>
      <c r="E723" t="s">
        <v>808</v>
      </c>
      <c r="F723" t="s">
        <v>235</v>
      </c>
      <c r="G723" t="s">
        <v>677</v>
      </c>
      <c r="H723" t="s">
        <v>22</v>
      </c>
      <c r="I723" t="s">
        <v>35</v>
      </c>
      <c r="J723" s="1">
        <v>16</v>
      </c>
      <c r="K723" s="1">
        <v>16</v>
      </c>
      <c r="L723" s="3">
        <v>1</v>
      </c>
      <c r="M723" t="s">
        <v>66</v>
      </c>
      <c r="N723" s="2">
        <v>44920</v>
      </c>
      <c r="O723" t="s">
        <v>83</v>
      </c>
      <c r="P723" t="s">
        <v>809</v>
      </c>
      <c r="Q723">
        <v>11355</v>
      </c>
      <c r="R723" t="s">
        <v>27</v>
      </c>
      <c r="S723" s="10">
        <v>1.9571906431332164</v>
      </c>
      <c r="T723">
        <v>1</v>
      </c>
    </row>
    <row r="724" spans="1:20" x14ac:dyDescent="0.3">
      <c r="A724">
        <v>1733</v>
      </c>
      <c r="B724" t="s">
        <v>892</v>
      </c>
      <c r="C724" t="s">
        <v>1550</v>
      </c>
      <c r="D724" t="s">
        <v>1634</v>
      </c>
      <c r="E724" t="s">
        <v>1635</v>
      </c>
      <c r="F724" t="s">
        <v>1636</v>
      </c>
      <c r="G724" t="s">
        <v>315</v>
      </c>
      <c r="H724" t="s">
        <v>22</v>
      </c>
      <c r="I724" t="s">
        <v>266</v>
      </c>
      <c r="J724" s="1">
        <v>110</v>
      </c>
      <c r="K724" s="1">
        <v>36.666666666666664</v>
      </c>
      <c r="L724" s="3">
        <v>3</v>
      </c>
      <c r="M724" t="s">
        <v>126</v>
      </c>
      <c r="N724" s="2">
        <v>44923</v>
      </c>
      <c r="O724" t="s">
        <v>127</v>
      </c>
      <c r="P724" t="s">
        <v>1637</v>
      </c>
      <c r="Q724">
        <v>6606</v>
      </c>
      <c r="R724" t="s">
        <v>27</v>
      </c>
      <c r="S724" s="10">
        <v>6.178038125296931</v>
      </c>
      <c r="T724">
        <v>4</v>
      </c>
    </row>
    <row r="725" spans="1:20" x14ac:dyDescent="0.3">
      <c r="A725">
        <v>1489</v>
      </c>
      <c r="B725" t="s">
        <v>85</v>
      </c>
      <c r="C725" t="s">
        <v>86</v>
      </c>
      <c r="D725" t="s">
        <v>87</v>
      </c>
      <c r="E725" t="s">
        <v>88</v>
      </c>
      <c r="F725" t="s">
        <v>89</v>
      </c>
      <c r="G725" t="s">
        <v>90</v>
      </c>
      <c r="H725" t="s">
        <v>34</v>
      </c>
      <c r="I725" t="s">
        <v>23</v>
      </c>
      <c r="J725" s="1">
        <v>366</v>
      </c>
      <c r="K725" s="1">
        <v>30.5</v>
      </c>
      <c r="L725" s="3">
        <v>12</v>
      </c>
      <c r="M725" t="s">
        <v>66</v>
      </c>
      <c r="N725" s="2">
        <v>44924</v>
      </c>
      <c r="O725" t="s">
        <v>47</v>
      </c>
      <c r="P725" t="s">
        <v>91</v>
      </c>
      <c r="Q725">
        <v>23668</v>
      </c>
      <c r="R725" t="s">
        <v>27</v>
      </c>
      <c r="S725" s="10">
        <v>20.519917610295625</v>
      </c>
      <c r="T725">
        <v>23</v>
      </c>
    </row>
    <row r="726" spans="1:20" x14ac:dyDescent="0.3">
      <c r="A726">
        <v>1967</v>
      </c>
      <c r="B726" t="s">
        <v>39</v>
      </c>
      <c r="C726" t="s">
        <v>479</v>
      </c>
      <c r="D726" t="s">
        <v>1638</v>
      </c>
      <c r="E726" t="s">
        <v>1639</v>
      </c>
      <c r="F726" t="s">
        <v>1640</v>
      </c>
      <c r="G726" t="s">
        <v>527</v>
      </c>
      <c r="H726" t="s">
        <v>34</v>
      </c>
      <c r="I726" t="s">
        <v>108</v>
      </c>
      <c r="J726" s="1">
        <v>99</v>
      </c>
      <c r="K726" s="1">
        <v>33</v>
      </c>
      <c r="L726" s="3">
        <v>3</v>
      </c>
      <c r="M726" t="s">
        <v>126</v>
      </c>
      <c r="N726" s="2">
        <v>44925</v>
      </c>
      <c r="O726" t="s">
        <v>1641</v>
      </c>
      <c r="P726" t="s">
        <v>1642</v>
      </c>
      <c r="Q726">
        <v>3105</v>
      </c>
      <c r="R726" t="s">
        <v>27</v>
      </c>
      <c r="S726" s="10">
        <v>6.7770653484037053</v>
      </c>
      <c r="T726">
        <v>5</v>
      </c>
    </row>
    <row r="727" spans="1:20" x14ac:dyDescent="0.3">
      <c r="A727">
        <v>1117</v>
      </c>
      <c r="B727" t="s">
        <v>776</v>
      </c>
      <c r="C727" t="s">
        <v>336</v>
      </c>
      <c r="D727" t="s">
        <v>1643</v>
      </c>
      <c r="E727" t="s">
        <v>1644</v>
      </c>
      <c r="F727" t="s">
        <v>1311</v>
      </c>
      <c r="G727" t="s">
        <v>1016</v>
      </c>
      <c r="H727" t="s">
        <v>22</v>
      </c>
      <c r="I727" t="s">
        <v>55</v>
      </c>
      <c r="J727" s="1">
        <v>563</v>
      </c>
      <c r="K727" s="1">
        <v>37.533333333333331</v>
      </c>
      <c r="L727" s="3">
        <v>15</v>
      </c>
      <c r="M727" t="s">
        <v>66</v>
      </c>
      <c r="N727" s="2">
        <v>44928</v>
      </c>
      <c r="O727" t="s">
        <v>47</v>
      </c>
      <c r="P727" t="s">
        <v>1645</v>
      </c>
      <c r="Q727">
        <v>23464</v>
      </c>
      <c r="R727" t="s">
        <v>27</v>
      </c>
      <c r="S727" s="10">
        <v>32.944378402466903</v>
      </c>
      <c r="T727">
        <v>22</v>
      </c>
    </row>
    <row r="728" spans="1:20" x14ac:dyDescent="0.3">
      <c r="A728">
        <v>1298</v>
      </c>
      <c r="B728" t="s">
        <v>275</v>
      </c>
      <c r="C728" t="s">
        <v>340</v>
      </c>
      <c r="D728" t="s">
        <v>341</v>
      </c>
      <c r="E728" t="s">
        <v>342</v>
      </c>
      <c r="F728" t="s">
        <v>306</v>
      </c>
      <c r="G728" t="s">
        <v>180</v>
      </c>
      <c r="H728" t="s">
        <v>22</v>
      </c>
      <c r="I728" t="s">
        <v>236</v>
      </c>
      <c r="J728" s="1">
        <v>522</v>
      </c>
      <c r="K728" s="1">
        <v>32.625</v>
      </c>
      <c r="L728" s="3">
        <v>16</v>
      </c>
      <c r="M728" t="s">
        <v>343</v>
      </c>
      <c r="N728" s="2">
        <v>44928</v>
      </c>
      <c r="O728" t="s">
        <v>267</v>
      </c>
      <c r="P728" t="s">
        <v>344</v>
      </c>
      <c r="Q728">
        <v>32891</v>
      </c>
      <c r="R728" t="s">
        <v>27</v>
      </c>
      <c r="S728" s="10">
        <v>27.789795277976928</v>
      </c>
      <c r="T728">
        <v>22</v>
      </c>
    </row>
    <row r="729" spans="1:20" x14ac:dyDescent="0.3">
      <c r="A729">
        <v>1672</v>
      </c>
      <c r="B729" t="s">
        <v>129</v>
      </c>
      <c r="C729" t="s">
        <v>1646</v>
      </c>
      <c r="D729" t="s">
        <v>1647</v>
      </c>
      <c r="E729" t="s">
        <v>1648</v>
      </c>
      <c r="F729" t="s">
        <v>1649</v>
      </c>
      <c r="G729" t="s">
        <v>180</v>
      </c>
      <c r="H729" t="s">
        <v>22</v>
      </c>
      <c r="I729" t="s">
        <v>23</v>
      </c>
      <c r="J729" s="1">
        <v>438</v>
      </c>
      <c r="K729" s="1">
        <v>29.2</v>
      </c>
      <c r="L729" s="3">
        <v>15</v>
      </c>
      <c r="M729" t="s">
        <v>447</v>
      </c>
      <c r="N729" s="2">
        <v>44929</v>
      </c>
      <c r="O729" t="s">
        <v>211</v>
      </c>
      <c r="P729" t="s">
        <v>1214</v>
      </c>
      <c r="Q729">
        <v>68179</v>
      </c>
      <c r="R729" t="s">
        <v>27</v>
      </c>
      <c r="S729" s="10">
        <v>19.683980069612655</v>
      </c>
      <c r="T729">
        <v>32</v>
      </c>
    </row>
    <row r="730" spans="1:20" x14ac:dyDescent="0.3">
      <c r="A730">
        <v>1365</v>
      </c>
      <c r="B730" t="s">
        <v>471</v>
      </c>
      <c r="C730" t="s">
        <v>472</v>
      </c>
      <c r="D730" t="s">
        <v>473</v>
      </c>
      <c r="E730" t="s">
        <v>474</v>
      </c>
      <c r="F730" t="s">
        <v>475</v>
      </c>
      <c r="G730" t="s">
        <v>476</v>
      </c>
      <c r="H730" t="s">
        <v>34</v>
      </c>
      <c r="I730" t="s">
        <v>55</v>
      </c>
      <c r="J730" s="1">
        <v>835</v>
      </c>
      <c r="K730" s="1">
        <v>43.94736842105263</v>
      </c>
      <c r="L730" s="3">
        <v>19</v>
      </c>
      <c r="M730" t="s">
        <v>66</v>
      </c>
      <c r="N730" s="2">
        <v>44930</v>
      </c>
      <c r="O730" t="s">
        <v>267</v>
      </c>
      <c r="P730" t="s">
        <v>477</v>
      </c>
      <c r="Q730">
        <v>33261</v>
      </c>
      <c r="R730" t="s">
        <v>27</v>
      </c>
      <c r="S730" s="10">
        <v>44.088132960920753</v>
      </c>
      <c r="T730">
        <v>39</v>
      </c>
    </row>
    <row r="731" spans="1:20" x14ac:dyDescent="0.3">
      <c r="A731">
        <v>1092</v>
      </c>
      <c r="B731" t="s">
        <v>518</v>
      </c>
      <c r="C731" t="s">
        <v>519</v>
      </c>
      <c r="D731" t="s">
        <v>520</v>
      </c>
      <c r="E731" t="s">
        <v>521</v>
      </c>
      <c r="F731" t="s">
        <v>522</v>
      </c>
      <c r="G731" t="s">
        <v>523</v>
      </c>
      <c r="H731" t="s">
        <v>22</v>
      </c>
      <c r="I731" t="s">
        <v>55</v>
      </c>
      <c r="J731" s="1">
        <v>419</v>
      </c>
      <c r="K731" s="1">
        <v>41.9</v>
      </c>
      <c r="L731" s="3">
        <v>10</v>
      </c>
      <c r="M731" t="s">
        <v>343</v>
      </c>
      <c r="N731" s="2">
        <v>44931</v>
      </c>
      <c r="O731" t="s">
        <v>267</v>
      </c>
      <c r="P731" t="s">
        <v>524</v>
      </c>
      <c r="Q731">
        <v>34233</v>
      </c>
      <c r="R731" t="s">
        <v>27</v>
      </c>
      <c r="S731" s="10">
        <v>23.472614881070541</v>
      </c>
      <c r="T731">
        <v>18</v>
      </c>
    </row>
    <row r="732" spans="1:20" x14ac:dyDescent="0.3">
      <c r="A732">
        <v>1778</v>
      </c>
      <c r="B732" t="s">
        <v>498</v>
      </c>
      <c r="C732" t="s">
        <v>1223</v>
      </c>
      <c r="D732" t="s">
        <v>1650</v>
      </c>
      <c r="E732" t="s">
        <v>1651</v>
      </c>
      <c r="F732" t="s">
        <v>63</v>
      </c>
      <c r="G732" t="s">
        <v>476</v>
      </c>
      <c r="H732" t="s">
        <v>34</v>
      </c>
      <c r="I732" t="s">
        <v>35</v>
      </c>
      <c r="J732" s="1">
        <v>364</v>
      </c>
      <c r="K732" s="1">
        <v>36.4</v>
      </c>
      <c r="L732" s="3">
        <v>10</v>
      </c>
      <c r="M732" t="s">
        <v>66</v>
      </c>
      <c r="N732" s="2">
        <v>44936</v>
      </c>
      <c r="O732" t="s">
        <v>1652</v>
      </c>
      <c r="P732" t="s">
        <v>1653</v>
      </c>
      <c r="Q732">
        <v>59623</v>
      </c>
      <c r="R732" t="s">
        <v>27</v>
      </c>
      <c r="S732" s="10">
        <v>14.474696530025868</v>
      </c>
      <c r="T732">
        <v>17</v>
      </c>
    </row>
    <row r="733" spans="1:20" x14ac:dyDescent="0.3">
      <c r="A733">
        <v>1020</v>
      </c>
      <c r="B733" t="s">
        <v>310</v>
      </c>
      <c r="C733" t="s">
        <v>311</v>
      </c>
      <c r="D733" t="s">
        <v>312</v>
      </c>
      <c r="E733" t="s">
        <v>313</v>
      </c>
      <c r="F733" t="s">
        <v>314</v>
      </c>
      <c r="G733" t="s">
        <v>315</v>
      </c>
      <c r="H733" t="s">
        <v>22</v>
      </c>
      <c r="I733" t="s">
        <v>23</v>
      </c>
      <c r="J733" s="1">
        <v>53</v>
      </c>
      <c r="K733" s="1">
        <v>53</v>
      </c>
      <c r="L733" s="3">
        <v>1</v>
      </c>
      <c r="M733" t="s">
        <v>36</v>
      </c>
      <c r="N733" s="2">
        <v>44937</v>
      </c>
      <c r="O733" t="s">
        <v>37</v>
      </c>
      <c r="P733" t="s">
        <v>316</v>
      </c>
      <c r="Q733">
        <v>94105</v>
      </c>
      <c r="R733" t="s">
        <v>27</v>
      </c>
      <c r="S733" s="10">
        <v>1.4306951605483176</v>
      </c>
      <c r="T733">
        <v>1</v>
      </c>
    </row>
    <row r="734" spans="1:20" x14ac:dyDescent="0.3">
      <c r="A734">
        <v>1836</v>
      </c>
      <c r="B734" t="s">
        <v>1240</v>
      </c>
      <c r="C734" t="s">
        <v>1609</v>
      </c>
      <c r="D734" t="s">
        <v>1654</v>
      </c>
      <c r="E734" t="s">
        <v>1655</v>
      </c>
      <c r="F734" t="s">
        <v>780</v>
      </c>
      <c r="G734" t="s">
        <v>218</v>
      </c>
      <c r="H734" t="s">
        <v>34</v>
      </c>
      <c r="I734" t="s">
        <v>98</v>
      </c>
      <c r="J734" s="1">
        <v>36</v>
      </c>
      <c r="K734" s="1">
        <v>36</v>
      </c>
      <c r="L734" s="3">
        <v>1</v>
      </c>
      <c r="M734" t="s">
        <v>36</v>
      </c>
      <c r="N734" s="2">
        <v>44938</v>
      </c>
      <c r="O734" t="s">
        <v>173</v>
      </c>
      <c r="P734" t="s">
        <v>174</v>
      </c>
      <c r="Q734">
        <v>64109</v>
      </c>
      <c r="R734" t="s">
        <v>27</v>
      </c>
      <c r="S734" s="10">
        <v>1.3231616263874857</v>
      </c>
      <c r="T734">
        <v>1</v>
      </c>
    </row>
    <row r="735" spans="1:20" x14ac:dyDescent="0.3">
      <c r="A735">
        <v>1081</v>
      </c>
      <c r="B735" t="s">
        <v>529</v>
      </c>
      <c r="C735" t="s">
        <v>530</v>
      </c>
      <c r="D735" t="s">
        <v>531</v>
      </c>
      <c r="E735" t="s">
        <v>532</v>
      </c>
      <c r="F735" t="s">
        <v>533</v>
      </c>
      <c r="G735" t="s">
        <v>495</v>
      </c>
      <c r="H735" t="s">
        <v>22</v>
      </c>
      <c r="I735" t="s">
        <v>55</v>
      </c>
      <c r="J735" s="1">
        <v>775</v>
      </c>
      <c r="K735" s="1">
        <v>36.904761904761905</v>
      </c>
      <c r="L735" s="3">
        <v>21</v>
      </c>
      <c r="M735" t="s">
        <v>447</v>
      </c>
      <c r="N735" s="2">
        <v>44941</v>
      </c>
      <c r="O735" t="s">
        <v>229</v>
      </c>
      <c r="P735" t="s">
        <v>534</v>
      </c>
      <c r="Q735">
        <v>45426</v>
      </c>
      <c r="R735" t="s">
        <v>27</v>
      </c>
      <c r="S735" s="10">
        <v>43.744757864974709</v>
      </c>
      <c r="T735">
        <v>44</v>
      </c>
    </row>
    <row r="736" spans="1:20" x14ac:dyDescent="0.3">
      <c r="A736">
        <v>1001</v>
      </c>
      <c r="B736" t="s">
        <v>269</v>
      </c>
      <c r="C736" t="s">
        <v>270</v>
      </c>
      <c r="D736" t="s">
        <v>271</v>
      </c>
      <c r="E736" t="s">
        <v>272</v>
      </c>
      <c r="F736" t="s">
        <v>273</v>
      </c>
      <c r="G736" t="s">
        <v>274</v>
      </c>
      <c r="H736" t="s">
        <v>34</v>
      </c>
      <c r="I736" t="s">
        <v>23</v>
      </c>
      <c r="J736" s="1">
        <v>600</v>
      </c>
      <c r="K736" s="1">
        <v>30</v>
      </c>
      <c r="L736" s="3">
        <v>20</v>
      </c>
      <c r="M736" t="s">
        <v>126</v>
      </c>
      <c r="N736" s="2">
        <v>44943</v>
      </c>
      <c r="O736" t="s">
        <v>67</v>
      </c>
      <c r="P736" t="s">
        <v>159</v>
      </c>
      <c r="Q736">
        <v>88563</v>
      </c>
      <c r="R736" t="s">
        <v>27</v>
      </c>
      <c r="S736" s="10">
        <v>32.747969310191827</v>
      </c>
      <c r="T736">
        <v>28</v>
      </c>
    </row>
    <row r="737" spans="1:20" x14ac:dyDescent="0.3">
      <c r="A737">
        <v>1116</v>
      </c>
      <c r="B737" t="s">
        <v>49</v>
      </c>
      <c r="C737" t="s">
        <v>50</v>
      </c>
      <c r="D737" t="s">
        <v>51</v>
      </c>
      <c r="E737" t="s">
        <v>52</v>
      </c>
      <c r="F737" t="s">
        <v>53</v>
      </c>
      <c r="G737" t="s">
        <v>54</v>
      </c>
      <c r="H737" t="s">
        <v>22</v>
      </c>
      <c r="I737" t="s">
        <v>55</v>
      </c>
      <c r="J737" s="1">
        <v>713</v>
      </c>
      <c r="K737" s="1">
        <v>32.409090909090907</v>
      </c>
      <c r="L737" s="3">
        <v>22</v>
      </c>
      <c r="M737" t="s">
        <v>56</v>
      </c>
      <c r="N737" s="2">
        <v>44943</v>
      </c>
      <c r="O737" t="s">
        <v>57</v>
      </c>
      <c r="P737" t="s">
        <v>58</v>
      </c>
      <c r="Q737">
        <v>30096</v>
      </c>
      <c r="R737" t="s">
        <v>27</v>
      </c>
      <c r="S737" s="10">
        <v>40.182072290405252</v>
      </c>
      <c r="T737">
        <v>39</v>
      </c>
    </row>
    <row r="738" spans="1:20" x14ac:dyDescent="0.3">
      <c r="A738">
        <v>1758</v>
      </c>
      <c r="B738" t="s">
        <v>1656</v>
      </c>
      <c r="C738" t="s">
        <v>1657</v>
      </c>
      <c r="D738" t="s">
        <v>1658</v>
      </c>
      <c r="E738" t="s">
        <v>1659</v>
      </c>
      <c r="F738" t="s">
        <v>1406</v>
      </c>
      <c r="G738" t="s">
        <v>116</v>
      </c>
      <c r="H738" t="s">
        <v>34</v>
      </c>
      <c r="I738" t="s">
        <v>55</v>
      </c>
      <c r="J738" s="1">
        <v>914</v>
      </c>
      <c r="K738" s="1">
        <v>31.517241379310345</v>
      </c>
      <c r="L738" s="3">
        <v>29</v>
      </c>
      <c r="M738" t="s">
        <v>203</v>
      </c>
      <c r="N738" s="2">
        <v>44945</v>
      </c>
      <c r="O738" t="s">
        <v>136</v>
      </c>
      <c r="P738" t="s">
        <v>579</v>
      </c>
      <c r="Q738">
        <v>62764</v>
      </c>
      <c r="R738" t="s">
        <v>27</v>
      </c>
      <c r="S738" s="10">
        <v>47.888732045009007</v>
      </c>
      <c r="T738">
        <v>69</v>
      </c>
    </row>
    <row r="739" spans="1:20" x14ac:dyDescent="0.3">
      <c r="A739">
        <v>1880</v>
      </c>
      <c r="B739" t="s">
        <v>129</v>
      </c>
      <c r="C739" t="s">
        <v>130</v>
      </c>
      <c r="D739" t="s">
        <v>131</v>
      </c>
      <c r="E739" t="s">
        <v>132</v>
      </c>
      <c r="F739" t="s">
        <v>133</v>
      </c>
      <c r="G739" t="s">
        <v>134</v>
      </c>
      <c r="H739" t="s">
        <v>22</v>
      </c>
      <c r="I739" t="s">
        <v>135</v>
      </c>
      <c r="J739" s="1">
        <v>1000</v>
      </c>
      <c r="K739" s="1">
        <v>45.454545454545453</v>
      </c>
      <c r="L739" s="3">
        <v>22</v>
      </c>
      <c r="M739" t="s">
        <v>36</v>
      </c>
      <c r="N739" s="2">
        <v>44945</v>
      </c>
      <c r="O739" t="s">
        <v>136</v>
      </c>
      <c r="P739" t="s">
        <v>137</v>
      </c>
      <c r="Q739">
        <v>60614</v>
      </c>
      <c r="R739" t="s">
        <v>27</v>
      </c>
      <c r="S739" s="10">
        <v>36.091532655352914</v>
      </c>
      <c r="T739">
        <v>51</v>
      </c>
    </row>
    <row r="740" spans="1:20" x14ac:dyDescent="0.3">
      <c r="A740">
        <v>1938</v>
      </c>
      <c r="B740" t="s">
        <v>1660</v>
      </c>
      <c r="C740" t="s">
        <v>1661</v>
      </c>
      <c r="D740" t="s">
        <v>1662</v>
      </c>
      <c r="E740" t="s">
        <v>1663</v>
      </c>
      <c r="F740" t="s">
        <v>1664</v>
      </c>
      <c r="G740" t="s">
        <v>298</v>
      </c>
      <c r="H740" t="s">
        <v>22</v>
      </c>
      <c r="I740" t="s">
        <v>117</v>
      </c>
      <c r="J740" s="1">
        <v>135</v>
      </c>
      <c r="K740" s="1">
        <v>27</v>
      </c>
      <c r="L740" s="3">
        <v>5</v>
      </c>
      <c r="M740" t="s">
        <v>143</v>
      </c>
      <c r="N740" s="2">
        <v>44945</v>
      </c>
      <c r="O740" t="s">
        <v>37</v>
      </c>
      <c r="P740" t="s">
        <v>870</v>
      </c>
      <c r="Q740">
        <v>92105</v>
      </c>
      <c r="R740" t="s">
        <v>27</v>
      </c>
      <c r="S740" s="10">
        <v>7.6853538751973911</v>
      </c>
      <c r="T740">
        <v>9</v>
      </c>
    </row>
    <row r="741" spans="1:20" x14ac:dyDescent="0.3">
      <c r="A741">
        <v>1039</v>
      </c>
      <c r="B741" t="s">
        <v>828</v>
      </c>
      <c r="C741" t="s">
        <v>154</v>
      </c>
      <c r="D741" t="s">
        <v>829</v>
      </c>
      <c r="E741" t="s">
        <v>830</v>
      </c>
      <c r="F741" t="s">
        <v>831</v>
      </c>
      <c r="G741" t="s">
        <v>832</v>
      </c>
      <c r="H741" t="s">
        <v>34</v>
      </c>
      <c r="I741" t="s">
        <v>23</v>
      </c>
      <c r="J741" s="1">
        <v>540</v>
      </c>
      <c r="K741" s="1">
        <v>36</v>
      </c>
      <c r="L741" s="3">
        <v>15</v>
      </c>
      <c r="M741" t="s">
        <v>244</v>
      </c>
      <c r="N741" s="2">
        <v>44946</v>
      </c>
      <c r="O741" t="s">
        <v>496</v>
      </c>
      <c r="P741" t="s">
        <v>687</v>
      </c>
      <c r="Q741">
        <v>40298</v>
      </c>
      <c r="R741" t="s">
        <v>27</v>
      </c>
      <c r="S741" s="10">
        <v>25.179393851339885</v>
      </c>
      <c r="T741">
        <v>32</v>
      </c>
    </row>
    <row r="742" spans="1:20" x14ac:dyDescent="0.3">
      <c r="A742">
        <v>1043</v>
      </c>
      <c r="B742" t="s">
        <v>102</v>
      </c>
      <c r="C742" t="s">
        <v>154</v>
      </c>
      <c r="D742" t="s">
        <v>547</v>
      </c>
      <c r="E742" t="s">
        <v>548</v>
      </c>
      <c r="F742" t="s">
        <v>549</v>
      </c>
      <c r="G742" t="s">
        <v>453</v>
      </c>
      <c r="H742" t="s">
        <v>34</v>
      </c>
      <c r="I742" t="s">
        <v>23</v>
      </c>
      <c r="J742" s="1">
        <v>118</v>
      </c>
      <c r="K742" s="1">
        <v>39.333333333333336</v>
      </c>
      <c r="L742" s="3">
        <v>3</v>
      </c>
      <c r="M742" t="s">
        <v>24</v>
      </c>
      <c r="N742" s="2">
        <v>44947</v>
      </c>
      <c r="O742" t="s">
        <v>300</v>
      </c>
      <c r="P742" t="s">
        <v>301</v>
      </c>
      <c r="Q742">
        <v>89140</v>
      </c>
      <c r="R742" t="s">
        <v>27</v>
      </c>
      <c r="S742" s="10">
        <v>6.0513493624824273</v>
      </c>
      <c r="T742">
        <v>5</v>
      </c>
    </row>
    <row r="743" spans="1:20" x14ac:dyDescent="0.3">
      <c r="A743">
        <v>1095</v>
      </c>
      <c r="B743" t="s">
        <v>550</v>
      </c>
      <c r="C743" t="s">
        <v>551</v>
      </c>
      <c r="D743" t="s">
        <v>552</v>
      </c>
      <c r="E743" t="s">
        <v>553</v>
      </c>
      <c r="F743" t="s">
        <v>554</v>
      </c>
      <c r="G743" t="s">
        <v>555</v>
      </c>
      <c r="H743" t="s">
        <v>22</v>
      </c>
      <c r="I743" t="s">
        <v>55</v>
      </c>
      <c r="J743" s="1">
        <v>253</v>
      </c>
      <c r="K743" s="1">
        <v>42.166666666666664</v>
      </c>
      <c r="L743" s="3">
        <v>6</v>
      </c>
      <c r="M743" t="s">
        <v>126</v>
      </c>
      <c r="N743" s="2">
        <v>44947</v>
      </c>
      <c r="O743" t="s">
        <v>67</v>
      </c>
      <c r="P743" t="s">
        <v>334</v>
      </c>
      <c r="Q743">
        <v>77040</v>
      </c>
      <c r="R743" t="s">
        <v>27</v>
      </c>
      <c r="S743" s="10">
        <v>8.1053288072442058</v>
      </c>
      <c r="T743">
        <v>10</v>
      </c>
    </row>
    <row r="744" spans="1:20" x14ac:dyDescent="0.3">
      <c r="A744">
        <v>1783</v>
      </c>
      <c r="B744" t="s">
        <v>302</v>
      </c>
      <c r="C744" t="s">
        <v>303</v>
      </c>
      <c r="D744" t="s">
        <v>304</v>
      </c>
      <c r="E744" t="s">
        <v>305</v>
      </c>
      <c r="F744" t="s">
        <v>306</v>
      </c>
      <c r="G744" t="s">
        <v>307</v>
      </c>
      <c r="H744" t="s">
        <v>34</v>
      </c>
      <c r="I744" t="s">
        <v>35</v>
      </c>
      <c r="J744" s="1">
        <v>901</v>
      </c>
      <c r="K744" s="1">
        <v>39.173913043478258</v>
      </c>
      <c r="L744" s="3">
        <v>23</v>
      </c>
      <c r="M744" t="s">
        <v>244</v>
      </c>
      <c r="N744" s="2">
        <v>44950</v>
      </c>
      <c r="O744" t="s">
        <v>308</v>
      </c>
      <c r="P744" t="s">
        <v>309</v>
      </c>
      <c r="Q744">
        <v>85715</v>
      </c>
      <c r="R744" t="s">
        <v>27</v>
      </c>
      <c r="S744" s="10">
        <v>43.368789648520533</v>
      </c>
      <c r="T744">
        <v>38</v>
      </c>
    </row>
    <row r="745" spans="1:20" x14ac:dyDescent="0.3">
      <c r="A745">
        <v>1123</v>
      </c>
      <c r="B745" t="s">
        <v>231</v>
      </c>
      <c r="C745" t="s">
        <v>512</v>
      </c>
      <c r="D745" t="s">
        <v>639</v>
      </c>
      <c r="E745" t="s">
        <v>640</v>
      </c>
      <c r="F745" t="s">
        <v>638</v>
      </c>
      <c r="G745" t="s">
        <v>410</v>
      </c>
      <c r="H745" t="s">
        <v>34</v>
      </c>
      <c r="I745" t="s">
        <v>55</v>
      </c>
      <c r="J745" s="1">
        <v>845</v>
      </c>
      <c r="K745" s="1">
        <v>30.178571428571427</v>
      </c>
      <c r="L745" s="3">
        <v>28</v>
      </c>
      <c r="M745" t="s">
        <v>24</v>
      </c>
      <c r="N745" s="2">
        <v>44954</v>
      </c>
      <c r="O745" t="s">
        <v>267</v>
      </c>
      <c r="P745" t="s">
        <v>641</v>
      </c>
      <c r="Q745">
        <v>33673</v>
      </c>
      <c r="R745" t="s">
        <v>27</v>
      </c>
      <c r="S745" s="10">
        <v>48.489070721354985</v>
      </c>
      <c r="T745">
        <v>66</v>
      </c>
    </row>
    <row r="746" spans="1:20" x14ac:dyDescent="0.3">
      <c r="A746">
        <v>1642</v>
      </c>
      <c r="B746" t="s">
        <v>1046</v>
      </c>
      <c r="C746" t="s">
        <v>624</v>
      </c>
      <c r="D746" t="s">
        <v>1665</v>
      </c>
      <c r="E746" t="s">
        <v>1666</v>
      </c>
      <c r="F746" t="s">
        <v>394</v>
      </c>
      <c r="G746" t="s">
        <v>357</v>
      </c>
      <c r="H746" t="s">
        <v>22</v>
      </c>
      <c r="I746" t="s">
        <v>23</v>
      </c>
      <c r="J746" s="1">
        <v>340</v>
      </c>
      <c r="K746" s="1">
        <v>28.333333333333332</v>
      </c>
      <c r="L746" s="3">
        <v>12</v>
      </c>
      <c r="M746" t="s">
        <v>36</v>
      </c>
      <c r="N746" s="2">
        <v>44956</v>
      </c>
      <c r="O746" t="s">
        <v>67</v>
      </c>
      <c r="P746" t="s">
        <v>782</v>
      </c>
      <c r="Q746">
        <v>79764</v>
      </c>
      <c r="R746" t="s">
        <v>27</v>
      </c>
      <c r="S746" s="10">
        <v>25.156558180256379</v>
      </c>
      <c r="T746">
        <v>22</v>
      </c>
    </row>
    <row r="747" spans="1:20" x14ac:dyDescent="0.3">
      <c r="A747">
        <v>1999</v>
      </c>
      <c r="B747" t="s">
        <v>412</v>
      </c>
      <c r="C747" t="s">
        <v>17</v>
      </c>
      <c r="D747" t="s">
        <v>413</v>
      </c>
      <c r="E747" t="s">
        <v>414</v>
      </c>
      <c r="F747" t="s">
        <v>415</v>
      </c>
      <c r="G747" t="s">
        <v>350</v>
      </c>
      <c r="H747" t="s">
        <v>34</v>
      </c>
      <c r="I747" t="s">
        <v>266</v>
      </c>
      <c r="J747" s="1">
        <v>613</v>
      </c>
      <c r="K747" s="1">
        <v>24.52</v>
      </c>
      <c r="L747" s="3">
        <v>25</v>
      </c>
      <c r="M747" t="s">
        <v>36</v>
      </c>
      <c r="N747" s="2">
        <v>44956</v>
      </c>
      <c r="O747" t="s">
        <v>57</v>
      </c>
      <c r="P747" t="s">
        <v>416</v>
      </c>
      <c r="Q747">
        <v>31914</v>
      </c>
      <c r="R747" t="s">
        <v>27</v>
      </c>
      <c r="S747" s="10">
        <v>38.067504867623583</v>
      </c>
      <c r="T747">
        <v>43</v>
      </c>
    </row>
    <row r="748" spans="1:20" x14ac:dyDescent="0.3">
      <c r="A748">
        <v>1468</v>
      </c>
      <c r="B748" t="s">
        <v>380</v>
      </c>
      <c r="C748" t="s">
        <v>381</v>
      </c>
      <c r="D748" t="s">
        <v>382</v>
      </c>
      <c r="E748" t="s">
        <v>383</v>
      </c>
      <c r="F748" t="s">
        <v>384</v>
      </c>
      <c r="G748" t="s">
        <v>385</v>
      </c>
      <c r="H748" t="s">
        <v>22</v>
      </c>
      <c r="I748" t="s">
        <v>65</v>
      </c>
      <c r="J748" s="1">
        <v>746</v>
      </c>
      <c r="K748" s="1">
        <v>37.299999999999997</v>
      </c>
      <c r="L748" s="3">
        <v>20</v>
      </c>
      <c r="M748" t="s">
        <v>46</v>
      </c>
      <c r="N748" s="2">
        <v>44957</v>
      </c>
      <c r="O748" t="s">
        <v>109</v>
      </c>
      <c r="P748" t="s">
        <v>386</v>
      </c>
      <c r="Q748">
        <v>70116</v>
      </c>
      <c r="R748" t="s">
        <v>27</v>
      </c>
      <c r="S748" s="10">
        <v>43.740944572827004</v>
      </c>
      <c r="T748">
        <v>41</v>
      </c>
    </row>
    <row r="749" spans="1:20" x14ac:dyDescent="0.3">
      <c r="A749">
        <v>1139</v>
      </c>
      <c r="B749" t="s">
        <v>928</v>
      </c>
      <c r="C749" t="s">
        <v>86</v>
      </c>
      <c r="D749" t="s">
        <v>1667</v>
      </c>
      <c r="E749" t="s">
        <v>1668</v>
      </c>
      <c r="F749" t="s">
        <v>1669</v>
      </c>
      <c r="G749" t="s">
        <v>116</v>
      </c>
      <c r="H749" t="s">
        <v>22</v>
      </c>
      <c r="I749" t="s">
        <v>35</v>
      </c>
      <c r="J749" s="1">
        <v>939</v>
      </c>
      <c r="K749" s="1">
        <v>42.68181818181818</v>
      </c>
      <c r="L749" s="3">
        <v>22</v>
      </c>
      <c r="M749" t="s">
        <v>36</v>
      </c>
      <c r="N749" s="2">
        <v>44958</v>
      </c>
      <c r="O749" t="s">
        <v>229</v>
      </c>
      <c r="P749" t="s">
        <v>1282</v>
      </c>
      <c r="Q749">
        <v>43699</v>
      </c>
      <c r="R749" t="s">
        <v>27</v>
      </c>
      <c r="S749" s="10">
        <v>29.963810416647451</v>
      </c>
      <c r="T749">
        <v>48</v>
      </c>
    </row>
    <row r="750" spans="1:20" x14ac:dyDescent="0.3">
      <c r="A750">
        <v>1001</v>
      </c>
      <c r="B750" t="s">
        <v>269</v>
      </c>
      <c r="C750" t="s">
        <v>270</v>
      </c>
      <c r="D750" t="s">
        <v>271</v>
      </c>
      <c r="E750" t="s">
        <v>272</v>
      </c>
      <c r="F750" t="s">
        <v>273</v>
      </c>
      <c r="G750" t="s">
        <v>274</v>
      </c>
      <c r="H750" t="s">
        <v>34</v>
      </c>
      <c r="I750" t="s">
        <v>23</v>
      </c>
      <c r="J750" s="1">
        <v>876</v>
      </c>
      <c r="K750" s="1">
        <v>35.04</v>
      </c>
      <c r="L750" s="3">
        <v>25</v>
      </c>
      <c r="M750" t="s">
        <v>126</v>
      </c>
      <c r="N750" s="2">
        <v>44960</v>
      </c>
      <c r="O750" t="s">
        <v>67</v>
      </c>
      <c r="P750" t="s">
        <v>159</v>
      </c>
      <c r="Q750">
        <v>88563</v>
      </c>
      <c r="R750" t="s">
        <v>27</v>
      </c>
      <c r="S750" s="10">
        <v>49.695873849186093</v>
      </c>
      <c r="T750">
        <v>37</v>
      </c>
    </row>
    <row r="751" spans="1:20" x14ac:dyDescent="0.3">
      <c r="A751">
        <v>1624</v>
      </c>
      <c r="B751" t="s">
        <v>635</v>
      </c>
      <c r="C751" t="s">
        <v>512</v>
      </c>
      <c r="D751" t="s">
        <v>1670</v>
      </c>
      <c r="E751" t="s">
        <v>1671</v>
      </c>
      <c r="F751" t="s">
        <v>743</v>
      </c>
      <c r="G751" t="s">
        <v>744</v>
      </c>
      <c r="H751" t="s">
        <v>22</v>
      </c>
      <c r="I751" t="s">
        <v>23</v>
      </c>
      <c r="J751" s="1">
        <v>485</v>
      </c>
      <c r="K751" s="1">
        <v>34.642857142857146</v>
      </c>
      <c r="L751" s="3">
        <v>14</v>
      </c>
      <c r="M751" t="s">
        <v>36</v>
      </c>
      <c r="N751" s="2">
        <v>44962</v>
      </c>
      <c r="O751" t="s">
        <v>83</v>
      </c>
      <c r="P751" t="s">
        <v>1672</v>
      </c>
      <c r="Q751">
        <v>12255</v>
      </c>
      <c r="R751" t="s">
        <v>27</v>
      </c>
      <c r="S751" s="10">
        <v>21.899964554847799</v>
      </c>
      <c r="T751">
        <v>17</v>
      </c>
    </row>
    <row r="752" spans="1:20" x14ac:dyDescent="0.3">
      <c r="A752">
        <v>1036</v>
      </c>
      <c r="B752" t="s">
        <v>1222</v>
      </c>
      <c r="C752" t="s">
        <v>1673</v>
      </c>
      <c r="D752" t="s">
        <v>1674</v>
      </c>
      <c r="E752" t="s">
        <v>1675</v>
      </c>
      <c r="F752" t="s">
        <v>1251</v>
      </c>
      <c r="G752" t="s">
        <v>1589</v>
      </c>
      <c r="H752" t="s">
        <v>34</v>
      </c>
      <c r="I752" t="s">
        <v>23</v>
      </c>
      <c r="J752" s="1">
        <v>594</v>
      </c>
      <c r="K752" s="1">
        <v>29.7</v>
      </c>
      <c r="L752" s="3">
        <v>20</v>
      </c>
      <c r="M752" t="s">
        <v>36</v>
      </c>
      <c r="N752" s="2">
        <v>44964</v>
      </c>
      <c r="O752" t="s">
        <v>37</v>
      </c>
      <c r="P752" t="s">
        <v>1676</v>
      </c>
      <c r="Q752">
        <v>90505</v>
      </c>
      <c r="R752" t="s">
        <v>27</v>
      </c>
      <c r="S752" s="10">
        <v>47.570464931988496</v>
      </c>
      <c r="T752">
        <v>37</v>
      </c>
    </row>
    <row r="753" spans="1:20" x14ac:dyDescent="0.3">
      <c r="A753">
        <v>1452</v>
      </c>
      <c r="B753" t="s">
        <v>455</v>
      </c>
      <c r="C753" t="s">
        <v>1073</v>
      </c>
      <c r="D753" t="s">
        <v>1677</v>
      </c>
      <c r="E753" t="s">
        <v>1678</v>
      </c>
      <c r="F753" t="s">
        <v>692</v>
      </c>
      <c r="G753" t="s">
        <v>545</v>
      </c>
      <c r="H753" t="s">
        <v>22</v>
      </c>
      <c r="I753" t="s">
        <v>266</v>
      </c>
      <c r="J753" s="1">
        <v>471</v>
      </c>
      <c r="K753" s="1">
        <v>42.81818181818182</v>
      </c>
      <c r="L753" s="3">
        <v>11</v>
      </c>
      <c r="M753" t="s">
        <v>36</v>
      </c>
      <c r="N753" s="2">
        <v>44964</v>
      </c>
      <c r="O753" t="s">
        <v>470</v>
      </c>
      <c r="P753" t="s">
        <v>358</v>
      </c>
      <c r="Q753">
        <v>20016</v>
      </c>
      <c r="R753" t="s">
        <v>27</v>
      </c>
      <c r="S753" s="10">
        <v>16.15413320598482</v>
      </c>
      <c r="T753">
        <v>15</v>
      </c>
    </row>
    <row r="754" spans="1:20" x14ac:dyDescent="0.3">
      <c r="A754">
        <v>1116</v>
      </c>
      <c r="B754" t="s">
        <v>49</v>
      </c>
      <c r="C754" t="s">
        <v>50</v>
      </c>
      <c r="D754" t="s">
        <v>51</v>
      </c>
      <c r="E754" t="s">
        <v>52</v>
      </c>
      <c r="F754" t="s">
        <v>53</v>
      </c>
      <c r="G754" t="s">
        <v>54</v>
      </c>
      <c r="H754" t="s">
        <v>22</v>
      </c>
      <c r="I754" t="s">
        <v>55</v>
      </c>
      <c r="J754" s="1">
        <v>915</v>
      </c>
      <c r="K754" s="1">
        <v>26.142857142857142</v>
      </c>
      <c r="L754" s="3">
        <v>35</v>
      </c>
      <c r="M754" t="s">
        <v>56</v>
      </c>
      <c r="N754" s="2">
        <v>44967</v>
      </c>
      <c r="O754" t="s">
        <v>57</v>
      </c>
      <c r="P754" t="s">
        <v>58</v>
      </c>
      <c r="Q754">
        <v>30096</v>
      </c>
      <c r="R754" t="s">
        <v>27</v>
      </c>
      <c r="S754" s="10">
        <v>70.799568936460247</v>
      </c>
      <c r="T754">
        <v>74</v>
      </c>
    </row>
    <row r="755" spans="1:20" x14ac:dyDescent="0.3">
      <c r="A755">
        <v>1412</v>
      </c>
      <c r="B755" t="s">
        <v>1679</v>
      </c>
      <c r="C755" t="s">
        <v>1533</v>
      </c>
      <c r="D755" t="s">
        <v>1680</v>
      </c>
      <c r="E755" t="s">
        <v>1681</v>
      </c>
      <c r="F755" t="s">
        <v>1348</v>
      </c>
      <c r="G755" t="s">
        <v>350</v>
      </c>
      <c r="H755" t="s">
        <v>34</v>
      </c>
      <c r="I755" t="s">
        <v>108</v>
      </c>
      <c r="J755" s="1">
        <v>647</v>
      </c>
      <c r="K755" s="1">
        <v>46.214285714285715</v>
      </c>
      <c r="L755" s="3">
        <v>14</v>
      </c>
      <c r="M755" t="s">
        <v>36</v>
      </c>
      <c r="N755" s="2">
        <v>44967</v>
      </c>
      <c r="O755" t="s">
        <v>623</v>
      </c>
      <c r="P755" t="s">
        <v>891</v>
      </c>
      <c r="Q755">
        <v>66286</v>
      </c>
      <c r="R755" t="s">
        <v>27</v>
      </c>
      <c r="S755" s="10">
        <v>22.936818980701879</v>
      </c>
      <c r="T755">
        <v>27</v>
      </c>
    </row>
    <row r="756" spans="1:20" x14ac:dyDescent="0.3">
      <c r="A756">
        <v>1589</v>
      </c>
      <c r="B756" t="s">
        <v>302</v>
      </c>
      <c r="C756" t="s">
        <v>1682</v>
      </c>
      <c r="D756" t="s">
        <v>1683</v>
      </c>
      <c r="E756" t="s">
        <v>1684</v>
      </c>
      <c r="F756" t="s">
        <v>445</v>
      </c>
      <c r="G756" t="s">
        <v>142</v>
      </c>
      <c r="H756" t="s">
        <v>34</v>
      </c>
      <c r="I756" t="s">
        <v>435</v>
      </c>
      <c r="J756" s="1">
        <v>383</v>
      </c>
      <c r="K756" s="1">
        <v>34.81818181818182</v>
      </c>
      <c r="L756" s="3">
        <v>11</v>
      </c>
      <c r="M756" t="s">
        <v>56</v>
      </c>
      <c r="N756" s="2">
        <v>44968</v>
      </c>
      <c r="O756" t="s">
        <v>67</v>
      </c>
      <c r="P756" t="s">
        <v>159</v>
      </c>
      <c r="Q756">
        <v>79984</v>
      </c>
      <c r="R756" t="s">
        <v>27</v>
      </c>
      <c r="S756" s="10">
        <v>22.94212426611271</v>
      </c>
      <c r="T756">
        <v>18</v>
      </c>
    </row>
    <row r="757" spans="1:20" x14ac:dyDescent="0.3">
      <c r="A757">
        <v>1021</v>
      </c>
      <c r="B757" t="s">
        <v>16</v>
      </c>
      <c r="C757" t="s">
        <v>17</v>
      </c>
      <c r="D757" t="s">
        <v>18</v>
      </c>
      <c r="E757" t="s">
        <v>19</v>
      </c>
      <c r="F757" t="s">
        <v>20</v>
      </c>
      <c r="G757" t="s">
        <v>21</v>
      </c>
      <c r="H757" t="s">
        <v>22</v>
      </c>
      <c r="I757" t="s">
        <v>23</v>
      </c>
      <c r="J757" s="1">
        <v>901</v>
      </c>
      <c r="K757" s="1">
        <v>40.954545454545453</v>
      </c>
      <c r="L757" s="3">
        <v>22</v>
      </c>
      <c r="M757" t="s">
        <v>24</v>
      </c>
      <c r="N757" s="2">
        <v>44969</v>
      </c>
      <c r="O757" t="s">
        <v>25</v>
      </c>
      <c r="P757" t="s">
        <v>26</v>
      </c>
      <c r="Q757">
        <v>48555</v>
      </c>
      <c r="R757" t="s">
        <v>27</v>
      </c>
      <c r="S757" s="10">
        <v>34.433671562070906</v>
      </c>
      <c r="T757">
        <v>37</v>
      </c>
    </row>
    <row r="758" spans="1:20" x14ac:dyDescent="0.3">
      <c r="A758">
        <v>1043</v>
      </c>
      <c r="B758" t="s">
        <v>102</v>
      </c>
      <c r="C758" t="s">
        <v>154</v>
      </c>
      <c r="D758" t="s">
        <v>547</v>
      </c>
      <c r="E758" t="s">
        <v>548</v>
      </c>
      <c r="F758" t="s">
        <v>549</v>
      </c>
      <c r="G758" t="s">
        <v>453</v>
      </c>
      <c r="H758" t="s">
        <v>34</v>
      </c>
      <c r="I758" t="s">
        <v>23</v>
      </c>
      <c r="J758" s="1">
        <v>714</v>
      </c>
      <c r="K758" s="1">
        <v>26.444444444444443</v>
      </c>
      <c r="L758" s="3">
        <v>27</v>
      </c>
      <c r="M758" t="s">
        <v>24</v>
      </c>
      <c r="N758" s="2">
        <v>44970</v>
      </c>
      <c r="O758" t="s">
        <v>300</v>
      </c>
      <c r="P758" t="s">
        <v>301</v>
      </c>
      <c r="Q758">
        <v>89140</v>
      </c>
      <c r="R758" t="s">
        <v>27</v>
      </c>
      <c r="S758" s="10">
        <v>56.395574479534112</v>
      </c>
      <c r="T758">
        <v>49</v>
      </c>
    </row>
    <row r="759" spans="1:20" x14ac:dyDescent="0.3">
      <c r="A759">
        <v>1260</v>
      </c>
      <c r="B759" t="s">
        <v>352</v>
      </c>
      <c r="C759" t="s">
        <v>353</v>
      </c>
      <c r="D759" t="s">
        <v>354</v>
      </c>
      <c r="E759" t="s">
        <v>355</v>
      </c>
      <c r="F759" t="s">
        <v>356</v>
      </c>
      <c r="G759" t="s">
        <v>357</v>
      </c>
      <c r="H759" t="s">
        <v>34</v>
      </c>
      <c r="I759" t="s">
        <v>236</v>
      </c>
      <c r="J759" s="1">
        <v>649</v>
      </c>
      <c r="K759" s="1">
        <v>40.5625</v>
      </c>
      <c r="L759" s="3">
        <v>16</v>
      </c>
      <c r="M759" t="s">
        <v>36</v>
      </c>
      <c r="N759" s="2">
        <v>44970</v>
      </c>
      <c r="O759" t="s">
        <v>358</v>
      </c>
      <c r="P759" t="s">
        <v>359</v>
      </c>
      <c r="Q759">
        <v>99215</v>
      </c>
      <c r="R759" t="s">
        <v>27</v>
      </c>
      <c r="S759" s="10">
        <v>25.328370442631094</v>
      </c>
      <c r="T759">
        <v>35</v>
      </c>
    </row>
    <row r="760" spans="1:20" x14ac:dyDescent="0.3">
      <c r="A760">
        <v>1995</v>
      </c>
      <c r="B760" t="s">
        <v>562</v>
      </c>
      <c r="C760" t="s">
        <v>563</v>
      </c>
      <c r="D760" t="s">
        <v>564</v>
      </c>
      <c r="E760" t="s">
        <v>565</v>
      </c>
      <c r="F760" t="s">
        <v>566</v>
      </c>
      <c r="G760" t="s">
        <v>567</v>
      </c>
      <c r="H760" t="s">
        <v>22</v>
      </c>
      <c r="I760" t="s">
        <v>65</v>
      </c>
      <c r="J760" s="1">
        <v>932</v>
      </c>
      <c r="K760" s="1">
        <v>34.518518518518519</v>
      </c>
      <c r="L760" s="3">
        <v>27</v>
      </c>
      <c r="M760" t="s">
        <v>126</v>
      </c>
      <c r="N760" s="2">
        <v>44970</v>
      </c>
      <c r="O760" t="s">
        <v>568</v>
      </c>
      <c r="P760" t="s">
        <v>569</v>
      </c>
      <c r="Q760">
        <v>37939</v>
      </c>
      <c r="R760" t="s">
        <v>27</v>
      </c>
      <c r="S760" s="10">
        <v>58.082826414924654</v>
      </c>
      <c r="T760">
        <v>55</v>
      </c>
    </row>
    <row r="761" spans="1:20" x14ac:dyDescent="0.3">
      <c r="A761">
        <v>1033</v>
      </c>
      <c r="B761" t="s">
        <v>1267</v>
      </c>
      <c r="C761" t="s">
        <v>431</v>
      </c>
      <c r="D761" t="s">
        <v>1685</v>
      </c>
      <c r="E761" t="s">
        <v>1686</v>
      </c>
      <c r="F761" t="s">
        <v>956</v>
      </c>
      <c r="G761" t="s">
        <v>545</v>
      </c>
      <c r="H761" t="s">
        <v>22</v>
      </c>
      <c r="I761" t="s">
        <v>23</v>
      </c>
      <c r="J761" s="1">
        <v>470</v>
      </c>
      <c r="K761" s="1">
        <v>39.166666666666664</v>
      </c>
      <c r="L761" s="3">
        <v>12</v>
      </c>
      <c r="M761" t="s">
        <v>36</v>
      </c>
      <c r="N761" s="2">
        <v>44971</v>
      </c>
      <c r="O761" t="s">
        <v>83</v>
      </c>
      <c r="P761" t="s">
        <v>351</v>
      </c>
      <c r="Q761">
        <v>11231</v>
      </c>
      <c r="R761" t="s">
        <v>27</v>
      </c>
      <c r="S761" s="10">
        <v>27.878103831350401</v>
      </c>
      <c r="T761">
        <v>19</v>
      </c>
    </row>
    <row r="762" spans="1:20" x14ac:dyDescent="0.3">
      <c r="A762">
        <v>1433</v>
      </c>
      <c r="B762" t="s">
        <v>465</v>
      </c>
      <c r="C762" t="s">
        <v>466</v>
      </c>
      <c r="D762" t="s">
        <v>467</v>
      </c>
      <c r="E762" t="s">
        <v>468</v>
      </c>
      <c r="F762" t="s">
        <v>469</v>
      </c>
      <c r="G762" t="s">
        <v>459</v>
      </c>
      <c r="H762" t="s">
        <v>34</v>
      </c>
      <c r="I762" t="s">
        <v>135</v>
      </c>
      <c r="J762" s="1">
        <v>840</v>
      </c>
      <c r="K762" s="1">
        <v>33.6</v>
      </c>
      <c r="L762" s="3">
        <v>25</v>
      </c>
      <c r="M762" t="s">
        <v>56</v>
      </c>
      <c r="N762" s="2">
        <v>44971</v>
      </c>
      <c r="O762" t="s">
        <v>470</v>
      </c>
      <c r="P762" t="s">
        <v>358</v>
      </c>
      <c r="Q762">
        <v>20420</v>
      </c>
      <c r="R762" t="s">
        <v>27</v>
      </c>
      <c r="S762" s="10">
        <v>38.247302912170255</v>
      </c>
      <c r="T762">
        <v>54</v>
      </c>
    </row>
    <row r="763" spans="1:20" x14ac:dyDescent="0.3">
      <c r="A763">
        <v>1783</v>
      </c>
      <c r="B763" t="s">
        <v>302</v>
      </c>
      <c r="C763" t="s">
        <v>303</v>
      </c>
      <c r="D763" t="s">
        <v>304</v>
      </c>
      <c r="E763" t="s">
        <v>305</v>
      </c>
      <c r="F763" t="s">
        <v>306</v>
      </c>
      <c r="G763" t="s">
        <v>307</v>
      </c>
      <c r="H763" t="s">
        <v>34</v>
      </c>
      <c r="I763" t="s">
        <v>35</v>
      </c>
      <c r="J763" s="1">
        <v>407</v>
      </c>
      <c r="K763" s="1">
        <v>37</v>
      </c>
      <c r="L763" s="3">
        <v>11</v>
      </c>
      <c r="M763" t="s">
        <v>244</v>
      </c>
      <c r="N763" s="2">
        <v>44971</v>
      </c>
      <c r="O763" t="s">
        <v>308</v>
      </c>
      <c r="P763" t="s">
        <v>309</v>
      </c>
      <c r="Q763">
        <v>85715</v>
      </c>
      <c r="R763" t="s">
        <v>27</v>
      </c>
      <c r="S763" s="10">
        <v>25.980524897293698</v>
      </c>
      <c r="T763">
        <v>21</v>
      </c>
    </row>
    <row r="764" spans="1:20" x14ac:dyDescent="0.3">
      <c r="A764">
        <v>1081</v>
      </c>
      <c r="B764" t="s">
        <v>529</v>
      </c>
      <c r="C764" t="s">
        <v>530</v>
      </c>
      <c r="D764" t="s">
        <v>531</v>
      </c>
      <c r="E764" t="s">
        <v>532</v>
      </c>
      <c r="F764" t="s">
        <v>533</v>
      </c>
      <c r="G764" t="s">
        <v>495</v>
      </c>
      <c r="H764" t="s">
        <v>22</v>
      </c>
      <c r="I764" t="s">
        <v>55</v>
      </c>
      <c r="J764" s="1">
        <v>583</v>
      </c>
      <c r="K764" s="1">
        <v>25.347826086956523</v>
      </c>
      <c r="L764" s="3">
        <v>23</v>
      </c>
      <c r="M764" t="s">
        <v>447</v>
      </c>
      <c r="N764" s="2">
        <v>44976</v>
      </c>
      <c r="O764" t="s">
        <v>229</v>
      </c>
      <c r="P764" t="s">
        <v>534</v>
      </c>
      <c r="Q764">
        <v>45426</v>
      </c>
      <c r="R764" t="s">
        <v>27</v>
      </c>
      <c r="S764" s="10">
        <v>51.01882407132193</v>
      </c>
      <c r="T764">
        <v>40</v>
      </c>
    </row>
    <row r="765" spans="1:20" x14ac:dyDescent="0.3">
      <c r="A765">
        <v>1851</v>
      </c>
      <c r="B765" t="s">
        <v>604</v>
      </c>
      <c r="C765" t="s">
        <v>358</v>
      </c>
      <c r="D765" t="s">
        <v>605</v>
      </c>
      <c r="E765" t="s">
        <v>606</v>
      </c>
      <c r="F765" t="s">
        <v>607</v>
      </c>
      <c r="G765" t="s">
        <v>194</v>
      </c>
      <c r="H765" t="s">
        <v>22</v>
      </c>
      <c r="I765" t="s">
        <v>65</v>
      </c>
      <c r="J765" s="1">
        <v>796</v>
      </c>
      <c r="K765" s="1">
        <v>25.677419354838708</v>
      </c>
      <c r="L765" s="3">
        <v>31</v>
      </c>
      <c r="M765" t="s">
        <v>343</v>
      </c>
      <c r="N765" s="2">
        <v>44977</v>
      </c>
      <c r="O765" t="s">
        <v>83</v>
      </c>
      <c r="P765" t="s">
        <v>351</v>
      </c>
      <c r="Q765">
        <v>11210</v>
      </c>
      <c r="R765" t="s">
        <v>27</v>
      </c>
      <c r="S765" s="10">
        <v>46.184953109193572</v>
      </c>
      <c r="T765">
        <v>46</v>
      </c>
    </row>
    <row r="766" spans="1:20" x14ac:dyDescent="0.3">
      <c r="A766">
        <v>1851</v>
      </c>
      <c r="B766" t="s">
        <v>604</v>
      </c>
      <c r="C766" t="s">
        <v>358</v>
      </c>
      <c r="D766" t="s">
        <v>605</v>
      </c>
      <c r="E766" t="s">
        <v>606</v>
      </c>
      <c r="F766" t="s">
        <v>607</v>
      </c>
      <c r="G766" t="s">
        <v>194</v>
      </c>
      <c r="H766" t="s">
        <v>22</v>
      </c>
      <c r="I766" t="s">
        <v>65</v>
      </c>
      <c r="J766" s="1">
        <v>17</v>
      </c>
      <c r="K766" s="1">
        <v>17</v>
      </c>
      <c r="L766" s="3">
        <v>1</v>
      </c>
      <c r="M766" t="s">
        <v>343</v>
      </c>
      <c r="N766" s="2">
        <v>44979</v>
      </c>
      <c r="O766" t="s">
        <v>83</v>
      </c>
      <c r="P766" t="s">
        <v>351</v>
      </c>
      <c r="Q766">
        <v>11210</v>
      </c>
      <c r="R766" t="s">
        <v>27</v>
      </c>
      <c r="S766" s="10">
        <v>1.6021401007891161</v>
      </c>
      <c r="T766">
        <v>2</v>
      </c>
    </row>
    <row r="767" spans="1:20" x14ac:dyDescent="0.3">
      <c r="A767">
        <v>1811</v>
      </c>
      <c r="B767" t="s">
        <v>430</v>
      </c>
      <c r="C767" t="s">
        <v>176</v>
      </c>
      <c r="D767" t="s">
        <v>1687</v>
      </c>
      <c r="E767" t="s">
        <v>1688</v>
      </c>
      <c r="F767" t="s">
        <v>1689</v>
      </c>
      <c r="G767" t="s">
        <v>64</v>
      </c>
      <c r="H767" t="s">
        <v>34</v>
      </c>
      <c r="I767" t="s">
        <v>117</v>
      </c>
      <c r="J767" s="1">
        <v>809</v>
      </c>
      <c r="K767" s="1">
        <v>36.772727272727273</v>
      </c>
      <c r="L767" s="3">
        <v>22</v>
      </c>
      <c r="M767" t="s">
        <v>126</v>
      </c>
      <c r="N767" s="2">
        <v>44980</v>
      </c>
      <c r="O767" t="s">
        <v>220</v>
      </c>
      <c r="P767" t="s">
        <v>1690</v>
      </c>
      <c r="Q767">
        <v>46620</v>
      </c>
      <c r="R767" t="s">
        <v>27</v>
      </c>
      <c r="S767" s="10">
        <v>51.954400273246755</v>
      </c>
      <c r="T767">
        <v>42</v>
      </c>
    </row>
    <row r="768" spans="1:20" x14ac:dyDescent="0.3">
      <c r="A768">
        <v>1489</v>
      </c>
      <c r="B768" t="s">
        <v>85</v>
      </c>
      <c r="C768" t="s">
        <v>86</v>
      </c>
      <c r="D768" t="s">
        <v>87</v>
      </c>
      <c r="E768" t="s">
        <v>88</v>
      </c>
      <c r="F768" t="s">
        <v>89</v>
      </c>
      <c r="G768" t="s">
        <v>90</v>
      </c>
      <c r="H768" t="s">
        <v>34</v>
      </c>
      <c r="I768" t="s">
        <v>23</v>
      </c>
      <c r="J768" s="1">
        <v>365</v>
      </c>
      <c r="K768" s="1">
        <v>26.071428571428573</v>
      </c>
      <c r="L768" s="3">
        <v>14</v>
      </c>
      <c r="M768" t="s">
        <v>66</v>
      </c>
      <c r="N768" s="2">
        <v>44981</v>
      </c>
      <c r="O768" t="s">
        <v>47</v>
      </c>
      <c r="P768" t="s">
        <v>91</v>
      </c>
      <c r="Q768">
        <v>23668</v>
      </c>
      <c r="R768" t="s">
        <v>27</v>
      </c>
      <c r="S768" s="10">
        <v>33.639311319758036</v>
      </c>
      <c r="T768">
        <v>27</v>
      </c>
    </row>
    <row r="769" spans="1:20" x14ac:dyDescent="0.3">
      <c r="A769">
        <v>1020</v>
      </c>
      <c r="B769" t="s">
        <v>310</v>
      </c>
      <c r="C769" t="s">
        <v>311</v>
      </c>
      <c r="D769" t="s">
        <v>312</v>
      </c>
      <c r="E769" t="s">
        <v>313</v>
      </c>
      <c r="F769" t="s">
        <v>314</v>
      </c>
      <c r="G769" t="s">
        <v>315</v>
      </c>
      <c r="H769" t="s">
        <v>22</v>
      </c>
      <c r="I769" t="s">
        <v>23</v>
      </c>
      <c r="J769" s="1">
        <v>357</v>
      </c>
      <c r="K769" s="1">
        <v>29.75</v>
      </c>
      <c r="L769" s="3">
        <v>12</v>
      </c>
      <c r="M769" t="s">
        <v>36</v>
      </c>
      <c r="N769" s="2">
        <v>44984</v>
      </c>
      <c r="O769" t="s">
        <v>37</v>
      </c>
      <c r="P769" t="s">
        <v>316</v>
      </c>
      <c r="Q769">
        <v>94105</v>
      </c>
      <c r="R769" t="s">
        <v>27</v>
      </c>
      <c r="S769" s="10">
        <v>24.651280360720243</v>
      </c>
      <c r="T769">
        <v>21</v>
      </c>
    </row>
    <row r="770" spans="1:20" x14ac:dyDescent="0.3">
      <c r="A770">
        <v>1665</v>
      </c>
      <c r="B770" t="s">
        <v>802</v>
      </c>
      <c r="C770" t="s">
        <v>1418</v>
      </c>
      <c r="D770" t="s">
        <v>1691</v>
      </c>
      <c r="E770" t="s">
        <v>1692</v>
      </c>
      <c r="F770" t="s">
        <v>645</v>
      </c>
      <c r="G770" t="s">
        <v>686</v>
      </c>
      <c r="H770" t="s">
        <v>34</v>
      </c>
      <c r="I770" t="s">
        <v>23</v>
      </c>
      <c r="J770" s="1">
        <v>776</v>
      </c>
      <c r="K770" s="1">
        <v>38.799999999999997</v>
      </c>
      <c r="L770" s="3">
        <v>20</v>
      </c>
      <c r="M770" t="s">
        <v>36</v>
      </c>
      <c r="N770" s="2">
        <v>44984</v>
      </c>
      <c r="O770" t="s">
        <v>37</v>
      </c>
      <c r="P770" t="s">
        <v>905</v>
      </c>
      <c r="Q770">
        <v>95118</v>
      </c>
      <c r="R770" t="s">
        <v>27</v>
      </c>
      <c r="S770" s="10">
        <v>46.108720213236211</v>
      </c>
      <c r="T770">
        <v>43</v>
      </c>
    </row>
    <row r="771" spans="1:20" x14ac:dyDescent="0.3">
      <c r="A771">
        <v>1988</v>
      </c>
      <c r="B771" t="s">
        <v>550</v>
      </c>
      <c r="C771" t="s">
        <v>1141</v>
      </c>
      <c r="D771" t="s">
        <v>1142</v>
      </c>
      <c r="E771" t="s">
        <v>1143</v>
      </c>
      <c r="F771" t="s">
        <v>1144</v>
      </c>
      <c r="G771" t="s">
        <v>483</v>
      </c>
      <c r="H771" t="s">
        <v>22</v>
      </c>
      <c r="I771" t="s">
        <v>65</v>
      </c>
      <c r="J771" s="1">
        <v>355</v>
      </c>
      <c r="K771" s="1">
        <v>25.357142857142858</v>
      </c>
      <c r="L771" s="3">
        <v>14</v>
      </c>
      <c r="M771" t="s">
        <v>36</v>
      </c>
      <c r="N771" s="2">
        <v>44989</v>
      </c>
      <c r="O771" t="s">
        <v>127</v>
      </c>
      <c r="P771" t="s">
        <v>1145</v>
      </c>
      <c r="Q771">
        <v>6912</v>
      </c>
      <c r="R771" t="s">
        <v>27</v>
      </c>
      <c r="S771" s="10">
        <v>24.756273609164943</v>
      </c>
      <c r="T771">
        <v>29</v>
      </c>
    </row>
    <row r="772" spans="1:20" x14ac:dyDescent="0.3">
      <c r="A772">
        <v>1022</v>
      </c>
      <c r="B772" t="s">
        <v>591</v>
      </c>
      <c r="C772" t="s">
        <v>592</v>
      </c>
      <c r="D772" t="s">
        <v>593</v>
      </c>
      <c r="E772" t="s">
        <v>594</v>
      </c>
      <c r="F772" t="s">
        <v>595</v>
      </c>
      <c r="G772" t="s">
        <v>279</v>
      </c>
      <c r="H772" t="s">
        <v>34</v>
      </c>
      <c r="I772" t="s">
        <v>23</v>
      </c>
      <c r="J772" s="1">
        <v>774</v>
      </c>
      <c r="K772" s="1">
        <v>36.857142857142854</v>
      </c>
      <c r="L772" s="3">
        <v>21</v>
      </c>
      <c r="M772" t="s">
        <v>36</v>
      </c>
      <c r="N772" s="2">
        <v>44991</v>
      </c>
      <c r="O772" t="s">
        <v>470</v>
      </c>
      <c r="P772" t="s">
        <v>358</v>
      </c>
      <c r="Q772">
        <v>20430</v>
      </c>
      <c r="R772" t="s">
        <v>27</v>
      </c>
      <c r="S772" s="10">
        <v>35.369773787642153</v>
      </c>
      <c r="T772">
        <v>33</v>
      </c>
    </row>
    <row r="773" spans="1:20" x14ac:dyDescent="0.3">
      <c r="A773">
        <v>1621</v>
      </c>
      <c r="B773" t="s">
        <v>635</v>
      </c>
      <c r="C773" t="s">
        <v>103</v>
      </c>
      <c r="D773" t="s">
        <v>1693</v>
      </c>
      <c r="E773" t="s">
        <v>1694</v>
      </c>
      <c r="F773" t="s">
        <v>1695</v>
      </c>
      <c r="G773" t="s">
        <v>265</v>
      </c>
      <c r="H773" t="s">
        <v>22</v>
      </c>
      <c r="I773" t="s">
        <v>23</v>
      </c>
      <c r="J773" s="1">
        <v>354</v>
      </c>
      <c r="K773" s="1">
        <v>39.333333333333336</v>
      </c>
      <c r="L773" s="3">
        <v>9</v>
      </c>
      <c r="M773" t="s">
        <v>694</v>
      </c>
      <c r="N773" s="2">
        <v>44992</v>
      </c>
      <c r="O773" t="s">
        <v>767</v>
      </c>
      <c r="P773" t="s">
        <v>768</v>
      </c>
      <c r="Q773">
        <v>83757</v>
      </c>
      <c r="R773" t="s">
        <v>27</v>
      </c>
      <c r="S773" s="10">
        <v>13.664094683757797</v>
      </c>
      <c r="T773">
        <v>18</v>
      </c>
    </row>
    <row r="774" spans="1:20" x14ac:dyDescent="0.3">
      <c r="A774">
        <v>1989</v>
      </c>
      <c r="B774" t="s">
        <v>556</v>
      </c>
      <c r="C774" t="s">
        <v>557</v>
      </c>
      <c r="D774" t="s">
        <v>558</v>
      </c>
      <c r="E774" t="s">
        <v>559</v>
      </c>
      <c r="F774" t="s">
        <v>560</v>
      </c>
      <c r="G774" t="s">
        <v>555</v>
      </c>
      <c r="H774" t="s">
        <v>34</v>
      </c>
      <c r="I774" t="s">
        <v>65</v>
      </c>
      <c r="J774" s="1">
        <v>23</v>
      </c>
      <c r="K774" s="1">
        <v>23</v>
      </c>
      <c r="L774" s="3">
        <v>1</v>
      </c>
      <c r="M774" t="s">
        <v>36</v>
      </c>
      <c r="N774" s="2">
        <v>44995</v>
      </c>
      <c r="O774" t="s">
        <v>67</v>
      </c>
      <c r="P774" t="s">
        <v>561</v>
      </c>
      <c r="Q774">
        <v>77346</v>
      </c>
      <c r="R774" t="s">
        <v>27</v>
      </c>
      <c r="S774" s="10">
        <v>1.5443120214900199</v>
      </c>
      <c r="T774">
        <v>2</v>
      </c>
    </row>
    <row r="775" spans="1:20" x14ac:dyDescent="0.3">
      <c r="A775">
        <v>1020</v>
      </c>
      <c r="B775" t="s">
        <v>310</v>
      </c>
      <c r="C775" t="s">
        <v>311</v>
      </c>
      <c r="D775" t="s">
        <v>312</v>
      </c>
      <c r="E775" t="s">
        <v>313</v>
      </c>
      <c r="F775" t="s">
        <v>314</v>
      </c>
      <c r="G775" t="s">
        <v>315</v>
      </c>
      <c r="H775" t="s">
        <v>22</v>
      </c>
      <c r="I775" t="s">
        <v>23</v>
      </c>
      <c r="J775" s="1">
        <v>778</v>
      </c>
      <c r="K775" s="1">
        <v>32.416666666666664</v>
      </c>
      <c r="L775" s="3">
        <v>24</v>
      </c>
      <c r="M775" t="s">
        <v>36</v>
      </c>
      <c r="N775" s="2">
        <v>44998</v>
      </c>
      <c r="O775" t="s">
        <v>37</v>
      </c>
      <c r="P775" t="s">
        <v>316</v>
      </c>
      <c r="Q775">
        <v>94105</v>
      </c>
      <c r="R775" t="s">
        <v>27</v>
      </c>
      <c r="S775" s="10">
        <v>53.015189508568824</v>
      </c>
      <c r="T775">
        <v>35</v>
      </c>
    </row>
    <row r="776" spans="1:20" x14ac:dyDescent="0.3">
      <c r="A776">
        <v>1298</v>
      </c>
      <c r="B776" t="s">
        <v>275</v>
      </c>
      <c r="C776" t="s">
        <v>340</v>
      </c>
      <c r="D776" t="s">
        <v>341</v>
      </c>
      <c r="E776" t="s">
        <v>342</v>
      </c>
      <c r="F776" t="s">
        <v>306</v>
      </c>
      <c r="G776" t="s">
        <v>180</v>
      </c>
      <c r="H776" t="s">
        <v>22</v>
      </c>
      <c r="I776" t="s">
        <v>236</v>
      </c>
      <c r="J776" s="1">
        <v>474</v>
      </c>
      <c r="K776" s="1">
        <v>36.46153846153846</v>
      </c>
      <c r="L776" s="3">
        <v>13</v>
      </c>
      <c r="M776" t="s">
        <v>343</v>
      </c>
      <c r="N776" s="2">
        <v>44998</v>
      </c>
      <c r="O776" t="s">
        <v>267</v>
      </c>
      <c r="P776" t="s">
        <v>344</v>
      </c>
      <c r="Q776">
        <v>32891</v>
      </c>
      <c r="R776" t="s">
        <v>27</v>
      </c>
      <c r="S776" s="10">
        <v>20.282738077244282</v>
      </c>
      <c r="T776">
        <v>16</v>
      </c>
    </row>
    <row r="777" spans="1:20" x14ac:dyDescent="0.3">
      <c r="A777">
        <v>1468</v>
      </c>
      <c r="B777" t="s">
        <v>380</v>
      </c>
      <c r="C777" t="s">
        <v>381</v>
      </c>
      <c r="D777" t="s">
        <v>382</v>
      </c>
      <c r="E777" t="s">
        <v>383</v>
      </c>
      <c r="F777" t="s">
        <v>384</v>
      </c>
      <c r="G777" t="s">
        <v>385</v>
      </c>
      <c r="H777" t="s">
        <v>22</v>
      </c>
      <c r="I777" t="s">
        <v>65</v>
      </c>
      <c r="J777" s="1">
        <v>950</v>
      </c>
      <c r="K777" s="1">
        <v>27.142857142857142</v>
      </c>
      <c r="L777" s="3">
        <v>35</v>
      </c>
      <c r="M777" t="s">
        <v>46</v>
      </c>
      <c r="N777" s="2">
        <v>44998</v>
      </c>
      <c r="O777" t="s">
        <v>109</v>
      </c>
      <c r="P777" t="s">
        <v>386</v>
      </c>
      <c r="Q777">
        <v>70116</v>
      </c>
      <c r="R777" t="s">
        <v>27</v>
      </c>
      <c r="S777" s="10">
        <v>61.223636898927019</v>
      </c>
      <c r="T777">
        <v>78</v>
      </c>
    </row>
    <row r="778" spans="1:20" x14ac:dyDescent="0.3">
      <c r="A778">
        <v>1410</v>
      </c>
      <c r="B778" t="s">
        <v>417</v>
      </c>
      <c r="C778" t="s">
        <v>541</v>
      </c>
      <c r="D778" t="s">
        <v>1208</v>
      </c>
      <c r="E778" t="s">
        <v>1209</v>
      </c>
      <c r="F778" t="s">
        <v>1210</v>
      </c>
      <c r="G778" t="s">
        <v>603</v>
      </c>
      <c r="H778" t="s">
        <v>34</v>
      </c>
      <c r="I778" t="s">
        <v>45</v>
      </c>
      <c r="J778" s="1">
        <v>330</v>
      </c>
      <c r="K778" s="1">
        <v>36.666666666666664</v>
      </c>
      <c r="L778" s="3">
        <v>9</v>
      </c>
      <c r="M778" t="s">
        <v>694</v>
      </c>
      <c r="N778" s="2">
        <v>44999</v>
      </c>
      <c r="O778" t="s">
        <v>67</v>
      </c>
      <c r="P778" t="s">
        <v>280</v>
      </c>
      <c r="Q778">
        <v>78230</v>
      </c>
      <c r="R778" t="s">
        <v>27</v>
      </c>
      <c r="S778" s="10">
        <v>14.287286111741569</v>
      </c>
      <c r="T778">
        <v>11</v>
      </c>
    </row>
    <row r="779" spans="1:20" x14ac:dyDescent="0.3">
      <c r="A779">
        <v>1655</v>
      </c>
      <c r="B779" t="s">
        <v>412</v>
      </c>
      <c r="C779" t="s">
        <v>1000</v>
      </c>
      <c r="D779" t="s">
        <v>1696</v>
      </c>
      <c r="E779" t="s">
        <v>1697</v>
      </c>
      <c r="F779" t="s">
        <v>1202</v>
      </c>
      <c r="G779" t="s">
        <v>1698</v>
      </c>
      <c r="H779" t="s">
        <v>34</v>
      </c>
      <c r="I779" t="s">
        <v>23</v>
      </c>
      <c r="J779" s="1">
        <v>983</v>
      </c>
      <c r="K779" s="1">
        <v>40.958333333333336</v>
      </c>
      <c r="L779" s="3">
        <v>24</v>
      </c>
      <c r="M779" t="s">
        <v>36</v>
      </c>
      <c r="N779" s="2">
        <v>44999</v>
      </c>
      <c r="O779" t="s">
        <v>37</v>
      </c>
      <c r="P779" t="s">
        <v>1699</v>
      </c>
      <c r="Q779">
        <v>92867</v>
      </c>
      <c r="R779" t="s">
        <v>27</v>
      </c>
      <c r="S779" s="10">
        <v>33.76555449352638</v>
      </c>
      <c r="T779">
        <v>42</v>
      </c>
    </row>
    <row r="780" spans="1:20" x14ac:dyDescent="0.3">
      <c r="A780">
        <v>2000</v>
      </c>
      <c r="B780" t="s">
        <v>120</v>
      </c>
      <c r="C780" t="s">
        <v>68</v>
      </c>
      <c r="D780" t="s">
        <v>699</v>
      </c>
      <c r="E780" t="s">
        <v>700</v>
      </c>
      <c r="F780" t="s">
        <v>682</v>
      </c>
      <c r="G780" t="s">
        <v>701</v>
      </c>
      <c r="H780" t="s">
        <v>22</v>
      </c>
      <c r="I780" t="s">
        <v>366</v>
      </c>
      <c r="J780" s="1">
        <v>984</v>
      </c>
      <c r="K780" s="1">
        <v>25.894736842105264</v>
      </c>
      <c r="L780" s="3">
        <v>38</v>
      </c>
      <c r="M780" t="s">
        <v>66</v>
      </c>
      <c r="N780" s="2">
        <v>45001</v>
      </c>
      <c r="O780" t="s">
        <v>37</v>
      </c>
      <c r="P780" t="s">
        <v>448</v>
      </c>
      <c r="Q780">
        <v>94230</v>
      </c>
      <c r="R780" t="s">
        <v>27</v>
      </c>
      <c r="S780" s="10">
        <v>61.973880901139829</v>
      </c>
      <c r="T780">
        <v>54</v>
      </c>
    </row>
    <row r="781" spans="1:20" x14ac:dyDescent="0.3">
      <c r="A781">
        <v>1365</v>
      </c>
      <c r="B781" t="s">
        <v>471</v>
      </c>
      <c r="C781" t="s">
        <v>472</v>
      </c>
      <c r="D781" t="s">
        <v>473</v>
      </c>
      <c r="E781" t="s">
        <v>474</v>
      </c>
      <c r="F781" t="s">
        <v>475</v>
      </c>
      <c r="G781" t="s">
        <v>476</v>
      </c>
      <c r="H781" t="s">
        <v>34</v>
      </c>
      <c r="I781" t="s">
        <v>55</v>
      </c>
      <c r="J781" s="1">
        <v>570</v>
      </c>
      <c r="K781" s="1">
        <v>38</v>
      </c>
      <c r="L781" s="3">
        <v>15</v>
      </c>
      <c r="M781" t="s">
        <v>66</v>
      </c>
      <c r="N781" s="2">
        <v>45002</v>
      </c>
      <c r="O781" t="s">
        <v>267</v>
      </c>
      <c r="P781" t="s">
        <v>477</v>
      </c>
      <c r="Q781">
        <v>33261</v>
      </c>
      <c r="R781" t="s">
        <v>27</v>
      </c>
      <c r="S781" s="10">
        <v>26.946643064641044</v>
      </c>
      <c r="T781">
        <v>19</v>
      </c>
    </row>
    <row r="782" spans="1:20" x14ac:dyDescent="0.3">
      <c r="A782">
        <v>1837</v>
      </c>
      <c r="B782" t="s">
        <v>1700</v>
      </c>
      <c r="C782" t="s">
        <v>1701</v>
      </c>
      <c r="D782" t="s">
        <v>1702</v>
      </c>
      <c r="E782" t="s">
        <v>1703</v>
      </c>
      <c r="F782" t="s">
        <v>936</v>
      </c>
      <c r="G782" t="s">
        <v>107</v>
      </c>
      <c r="H782" t="s">
        <v>34</v>
      </c>
      <c r="I782" t="s">
        <v>135</v>
      </c>
      <c r="J782" s="1">
        <v>437</v>
      </c>
      <c r="K782" s="1">
        <v>43.7</v>
      </c>
      <c r="L782" s="3">
        <v>10</v>
      </c>
      <c r="M782" t="s">
        <v>203</v>
      </c>
      <c r="N782" s="2">
        <v>45004</v>
      </c>
      <c r="O782" t="s">
        <v>67</v>
      </c>
      <c r="P782" t="s">
        <v>334</v>
      </c>
      <c r="Q782">
        <v>77025</v>
      </c>
      <c r="R782" t="s">
        <v>27</v>
      </c>
      <c r="S782" s="10">
        <v>17.024955270554607</v>
      </c>
      <c r="T782">
        <v>16</v>
      </c>
    </row>
    <row r="783" spans="1:20" x14ac:dyDescent="0.3">
      <c r="A783">
        <v>1144</v>
      </c>
      <c r="B783" t="s">
        <v>776</v>
      </c>
      <c r="C783" t="s">
        <v>747</v>
      </c>
      <c r="D783" t="s">
        <v>807</v>
      </c>
      <c r="E783" t="s">
        <v>808</v>
      </c>
      <c r="F783" t="s">
        <v>235</v>
      </c>
      <c r="G783" t="s">
        <v>677</v>
      </c>
      <c r="H783" t="s">
        <v>22</v>
      </c>
      <c r="I783" t="s">
        <v>35</v>
      </c>
      <c r="J783" s="1">
        <v>39</v>
      </c>
      <c r="K783" s="1">
        <v>39</v>
      </c>
      <c r="L783" s="3">
        <v>1</v>
      </c>
      <c r="M783" t="s">
        <v>66</v>
      </c>
      <c r="N783" s="2">
        <v>45005</v>
      </c>
      <c r="O783" t="s">
        <v>83</v>
      </c>
      <c r="P783" t="s">
        <v>809</v>
      </c>
      <c r="Q783">
        <v>11355</v>
      </c>
      <c r="R783" t="s">
        <v>27</v>
      </c>
      <c r="S783" s="10">
        <v>2.4169882398761282</v>
      </c>
      <c r="T783">
        <v>1</v>
      </c>
    </row>
    <row r="784" spans="1:20" x14ac:dyDescent="0.3">
      <c r="A784">
        <v>1851</v>
      </c>
      <c r="B784" t="s">
        <v>604</v>
      </c>
      <c r="C784" t="s">
        <v>358</v>
      </c>
      <c r="D784" t="s">
        <v>605</v>
      </c>
      <c r="E784" t="s">
        <v>606</v>
      </c>
      <c r="F784" t="s">
        <v>607</v>
      </c>
      <c r="G784" t="s">
        <v>194</v>
      </c>
      <c r="H784" t="s">
        <v>22</v>
      </c>
      <c r="I784" t="s">
        <v>65</v>
      </c>
      <c r="J784" s="1">
        <v>395</v>
      </c>
      <c r="K784" s="1">
        <v>26.333333333333332</v>
      </c>
      <c r="L784" s="3">
        <v>15</v>
      </c>
      <c r="M784" t="s">
        <v>343</v>
      </c>
      <c r="N784" s="2">
        <v>45005</v>
      </c>
      <c r="O784" t="s">
        <v>83</v>
      </c>
      <c r="P784" t="s">
        <v>351</v>
      </c>
      <c r="Q784">
        <v>11210</v>
      </c>
      <c r="R784" t="s">
        <v>27</v>
      </c>
      <c r="S784" s="10">
        <v>37.272782792260529</v>
      </c>
      <c r="T784">
        <v>32</v>
      </c>
    </row>
    <row r="785" spans="1:20" x14ac:dyDescent="0.3">
      <c r="A785">
        <v>1017</v>
      </c>
      <c r="B785" t="s">
        <v>660</v>
      </c>
      <c r="C785" t="s">
        <v>679</v>
      </c>
      <c r="D785" t="s">
        <v>680</v>
      </c>
      <c r="E785" t="s">
        <v>681</v>
      </c>
      <c r="F785" t="s">
        <v>682</v>
      </c>
      <c r="G785" t="s">
        <v>446</v>
      </c>
      <c r="H785" t="s">
        <v>22</v>
      </c>
      <c r="I785" t="s">
        <v>23</v>
      </c>
      <c r="J785" s="1">
        <v>959</v>
      </c>
      <c r="K785" s="1">
        <v>39.958333333333336</v>
      </c>
      <c r="L785" s="3">
        <v>24</v>
      </c>
      <c r="M785" t="s">
        <v>36</v>
      </c>
      <c r="N785" s="2">
        <v>45010</v>
      </c>
      <c r="O785" t="s">
        <v>136</v>
      </c>
      <c r="P785" t="s">
        <v>137</v>
      </c>
      <c r="Q785">
        <v>60663</v>
      </c>
      <c r="R785" t="s">
        <v>27</v>
      </c>
      <c r="S785" s="10">
        <v>58.568888080935231</v>
      </c>
      <c r="T785">
        <v>53</v>
      </c>
    </row>
    <row r="786" spans="1:20" x14ac:dyDescent="0.3">
      <c r="A786">
        <v>1021</v>
      </c>
      <c r="B786" t="s">
        <v>16</v>
      </c>
      <c r="C786" t="s">
        <v>17</v>
      </c>
      <c r="D786" t="s">
        <v>18</v>
      </c>
      <c r="E786" t="s">
        <v>19</v>
      </c>
      <c r="F786" t="s">
        <v>20</v>
      </c>
      <c r="G786" t="s">
        <v>21</v>
      </c>
      <c r="H786" t="s">
        <v>22</v>
      </c>
      <c r="I786" t="s">
        <v>23</v>
      </c>
      <c r="J786" s="1">
        <v>649</v>
      </c>
      <c r="K786" s="1">
        <v>36.055555555555557</v>
      </c>
      <c r="L786" s="3">
        <v>18</v>
      </c>
      <c r="M786" t="s">
        <v>24</v>
      </c>
      <c r="N786" s="2">
        <v>45010</v>
      </c>
      <c r="O786" t="s">
        <v>25</v>
      </c>
      <c r="P786" t="s">
        <v>26</v>
      </c>
      <c r="Q786">
        <v>48555</v>
      </c>
      <c r="R786" t="s">
        <v>27</v>
      </c>
      <c r="S786" s="10">
        <v>42.666351624057704</v>
      </c>
      <c r="T786">
        <v>24</v>
      </c>
    </row>
    <row r="787" spans="1:20" x14ac:dyDescent="0.3">
      <c r="A787">
        <v>1020</v>
      </c>
      <c r="B787" t="s">
        <v>310</v>
      </c>
      <c r="C787" t="s">
        <v>311</v>
      </c>
      <c r="D787" t="s">
        <v>312</v>
      </c>
      <c r="E787" t="s">
        <v>313</v>
      </c>
      <c r="F787" t="s">
        <v>314</v>
      </c>
      <c r="G787" t="s">
        <v>315</v>
      </c>
      <c r="H787" t="s">
        <v>22</v>
      </c>
      <c r="I787" t="s">
        <v>23</v>
      </c>
      <c r="J787" s="1">
        <v>970</v>
      </c>
      <c r="K787" s="1">
        <v>30.3125</v>
      </c>
      <c r="L787" s="3">
        <v>32</v>
      </c>
      <c r="M787" t="s">
        <v>36</v>
      </c>
      <c r="N787" s="2">
        <v>45011</v>
      </c>
      <c r="O787" t="s">
        <v>37</v>
      </c>
      <c r="P787" t="s">
        <v>316</v>
      </c>
      <c r="Q787">
        <v>94105</v>
      </c>
      <c r="R787" t="s">
        <v>27</v>
      </c>
      <c r="S787" s="10">
        <v>42.390456951740362</v>
      </c>
      <c r="T787">
        <v>53</v>
      </c>
    </row>
    <row r="788" spans="1:20" x14ac:dyDescent="0.3">
      <c r="A788">
        <v>1611</v>
      </c>
      <c r="B788" t="s">
        <v>340</v>
      </c>
      <c r="C788" t="s">
        <v>1704</v>
      </c>
      <c r="D788" t="s">
        <v>1705</v>
      </c>
      <c r="E788" t="s">
        <v>1706</v>
      </c>
      <c r="F788" t="s">
        <v>1707</v>
      </c>
      <c r="G788" t="s">
        <v>1708</v>
      </c>
      <c r="H788" t="s">
        <v>34</v>
      </c>
      <c r="I788" t="s">
        <v>55</v>
      </c>
      <c r="J788" s="1">
        <v>215</v>
      </c>
      <c r="K788" s="1">
        <v>30.714285714285715</v>
      </c>
      <c r="L788" s="3">
        <v>7</v>
      </c>
      <c r="M788" t="s">
        <v>195</v>
      </c>
      <c r="N788" s="2">
        <v>45012</v>
      </c>
      <c r="O788" t="s">
        <v>47</v>
      </c>
      <c r="P788" t="s">
        <v>91</v>
      </c>
      <c r="Q788">
        <v>23663</v>
      </c>
      <c r="R788" t="s">
        <v>27</v>
      </c>
      <c r="S788" s="10">
        <v>9.3679152253380877</v>
      </c>
      <c r="T788">
        <v>9</v>
      </c>
    </row>
    <row r="789" spans="1:20" x14ac:dyDescent="0.3">
      <c r="A789">
        <v>1965</v>
      </c>
      <c r="B789" t="s">
        <v>69</v>
      </c>
      <c r="C789" t="s">
        <v>1709</v>
      </c>
      <c r="D789" t="s">
        <v>1710</v>
      </c>
      <c r="E789" t="s">
        <v>1711</v>
      </c>
      <c r="F789" t="s">
        <v>1712</v>
      </c>
      <c r="G789" t="s">
        <v>54</v>
      </c>
      <c r="H789" t="s">
        <v>22</v>
      </c>
      <c r="I789" t="s">
        <v>236</v>
      </c>
      <c r="J789" s="1">
        <v>533</v>
      </c>
      <c r="K789" s="1">
        <v>25.38095238095238</v>
      </c>
      <c r="L789" s="3">
        <v>21</v>
      </c>
      <c r="M789" t="s">
        <v>36</v>
      </c>
      <c r="N789" s="2">
        <v>45014</v>
      </c>
      <c r="O789" t="s">
        <v>859</v>
      </c>
      <c r="P789" t="s">
        <v>860</v>
      </c>
      <c r="Q789">
        <v>20709</v>
      </c>
      <c r="R789" t="s">
        <v>27</v>
      </c>
      <c r="S789" s="10">
        <v>30.408262462397246</v>
      </c>
      <c r="T789">
        <v>40</v>
      </c>
    </row>
    <row r="790" spans="1:20" x14ac:dyDescent="0.3">
      <c r="A790">
        <v>1575</v>
      </c>
      <c r="B790" t="s">
        <v>1713</v>
      </c>
      <c r="C790" t="s">
        <v>1204</v>
      </c>
      <c r="D790" t="s">
        <v>1714</v>
      </c>
      <c r="E790" t="s">
        <v>1715</v>
      </c>
      <c r="F790" t="s">
        <v>1196</v>
      </c>
      <c r="G790" t="s">
        <v>523</v>
      </c>
      <c r="H790" t="s">
        <v>22</v>
      </c>
      <c r="I790" t="s">
        <v>236</v>
      </c>
      <c r="J790" s="1">
        <v>836</v>
      </c>
      <c r="K790" s="1">
        <v>44</v>
      </c>
      <c r="L790" s="3">
        <v>19</v>
      </c>
      <c r="M790" t="s">
        <v>447</v>
      </c>
      <c r="N790" s="2">
        <v>45015</v>
      </c>
      <c r="O790" t="s">
        <v>470</v>
      </c>
      <c r="P790" t="s">
        <v>358</v>
      </c>
      <c r="Q790">
        <v>20036</v>
      </c>
      <c r="R790" t="s">
        <v>27</v>
      </c>
      <c r="S790" s="10">
        <v>47.144644689517129</v>
      </c>
      <c r="T790">
        <v>34</v>
      </c>
    </row>
    <row r="791" spans="1:20" x14ac:dyDescent="0.3">
      <c r="A791">
        <v>1851</v>
      </c>
      <c r="B791" t="s">
        <v>604</v>
      </c>
      <c r="C791" t="s">
        <v>358</v>
      </c>
      <c r="D791" t="s">
        <v>605</v>
      </c>
      <c r="E791" t="s">
        <v>606</v>
      </c>
      <c r="F791" t="s">
        <v>607</v>
      </c>
      <c r="G791" t="s">
        <v>194</v>
      </c>
      <c r="H791" t="s">
        <v>22</v>
      </c>
      <c r="I791" t="s">
        <v>65</v>
      </c>
      <c r="J791" s="1">
        <v>131</v>
      </c>
      <c r="K791" s="1">
        <v>43.666666666666664</v>
      </c>
      <c r="L791" s="3">
        <v>3</v>
      </c>
      <c r="M791" t="s">
        <v>343</v>
      </c>
      <c r="N791" s="2">
        <v>45016</v>
      </c>
      <c r="O791" t="s">
        <v>83</v>
      </c>
      <c r="P791" t="s">
        <v>351</v>
      </c>
      <c r="Q791">
        <v>11210</v>
      </c>
      <c r="R791" t="s">
        <v>27</v>
      </c>
      <c r="S791" s="10">
        <v>5.4426404316250601</v>
      </c>
      <c r="T791">
        <v>5</v>
      </c>
    </row>
    <row r="792" spans="1:20" x14ac:dyDescent="0.3">
      <c r="A792">
        <v>1001</v>
      </c>
      <c r="B792" t="s">
        <v>269</v>
      </c>
      <c r="C792" t="s">
        <v>270</v>
      </c>
      <c r="D792" t="s">
        <v>271</v>
      </c>
      <c r="E792" t="s">
        <v>272</v>
      </c>
      <c r="F792" t="s">
        <v>273</v>
      </c>
      <c r="G792" t="s">
        <v>274</v>
      </c>
      <c r="H792" t="s">
        <v>34</v>
      </c>
      <c r="I792" t="s">
        <v>23</v>
      </c>
      <c r="J792" s="1">
        <v>641</v>
      </c>
      <c r="K792" s="1">
        <v>30.523809523809526</v>
      </c>
      <c r="L792" s="3">
        <v>21</v>
      </c>
      <c r="M792" t="s">
        <v>126</v>
      </c>
      <c r="N792" s="2">
        <v>45019</v>
      </c>
      <c r="O792" t="s">
        <v>67</v>
      </c>
      <c r="P792" t="s">
        <v>159</v>
      </c>
      <c r="Q792">
        <v>88563</v>
      </c>
      <c r="R792" t="s">
        <v>27</v>
      </c>
      <c r="S792" s="10">
        <v>51.724120230253966</v>
      </c>
      <c r="T792">
        <v>37</v>
      </c>
    </row>
    <row r="793" spans="1:20" x14ac:dyDescent="0.3">
      <c r="A793">
        <v>1170</v>
      </c>
      <c r="B793" t="s">
        <v>153</v>
      </c>
      <c r="C793" t="s">
        <v>154</v>
      </c>
      <c r="D793" t="s">
        <v>155</v>
      </c>
      <c r="E793" t="s">
        <v>156</v>
      </c>
      <c r="F793" t="s">
        <v>157</v>
      </c>
      <c r="G793" t="s">
        <v>158</v>
      </c>
      <c r="H793" t="s">
        <v>34</v>
      </c>
      <c r="I793" t="s">
        <v>65</v>
      </c>
      <c r="J793" s="1">
        <v>139</v>
      </c>
      <c r="K793" s="1">
        <v>34.75</v>
      </c>
      <c r="L793" s="3">
        <v>4</v>
      </c>
      <c r="M793" t="s">
        <v>24</v>
      </c>
      <c r="N793" s="2">
        <v>45020</v>
      </c>
      <c r="O793" t="s">
        <v>67</v>
      </c>
      <c r="P793" t="s">
        <v>159</v>
      </c>
      <c r="Q793">
        <v>88574</v>
      </c>
      <c r="R793" t="s">
        <v>27</v>
      </c>
      <c r="S793" s="10">
        <v>6.0390833173474228</v>
      </c>
      <c r="T793">
        <v>5</v>
      </c>
    </row>
    <row r="794" spans="1:20" x14ac:dyDescent="0.3">
      <c r="A794">
        <v>1685</v>
      </c>
      <c r="B794" t="s">
        <v>275</v>
      </c>
      <c r="C794" t="s">
        <v>536</v>
      </c>
      <c r="D794" t="s">
        <v>1716</v>
      </c>
      <c r="E794" t="s">
        <v>1717</v>
      </c>
      <c r="F794" t="s">
        <v>1718</v>
      </c>
      <c r="G794" t="s">
        <v>1110</v>
      </c>
      <c r="H794" t="s">
        <v>22</v>
      </c>
      <c r="I794" t="s">
        <v>23</v>
      </c>
      <c r="J794" s="1">
        <v>905</v>
      </c>
      <c r="K794" s="1">
        <v>37.708333333333336</v>
      </c>
      <c r="L794" s="3">
        <v>24</v>
      </c>
      <c r="M794" t="s">
        <v>36</v>
      </c>
      <c r="N794" s="2">
        <v>45021</v>
      </c>
      <c r="O794" t="s">
        <v>37</v>
      </c>
      <c r="P794" t="s">
        <v>379</v>
      </c>
      <c r="Q794">
        <v>94611</v>
      </c>
      <c r="R794" t="s">
        <v>27</v>
      </c>
      <c r="S794" s="10">
        <v>38.933777464092394</v>
      </c>
      <c r="T794">
        <v>47</v>
      </c>
    </row>
    <row r="795" spans="1:20" x14ac:dyDescent="0.3">
      <c r="A795">
        <v>1851</v>
      </c>
      <c r="B795" t="s">
        <v>604</v>
      </c>
      <c r="C795" t="s">
        <v>358</v>
      </c>
      <c r="D795" t="s">
        <v>605</v>
      </c>
      <c r="E795" t="s">
        <v>606</v>
      </c>
      <c r="F795" t="s">
        <v>607</v>
      </c>
      <c r="G795" t="s">
        <v>194</v>
      </c>
      <c r="H795" t="s">
        <v>22</v>
      </c>
      <c r="I795" t="s">
        <v>65</v>
      </c>
      <c r="J795" s="1">
        <v>746</v>
      </c>
      <c r="K795" s="1">
        <v>26.642857142857142</v>
      </c>
      <c r="L795" s="3">
        <v>28</v>
      </c>
      <c r="M795" t="s">
        <v>343</v>
      </c>
      <c r="N795" s="2">
        <v>45021</v>
      </c>
      <c r="O795" t="s">
        <v>83</v>
      </c>
      <c r="P795" t="s">
        <v>351</v>
      </c>
      <c r="Q795">
        <v>11210</v>
      </c>
      <c r="R795" t="s">
        <v>27</v>
      </c>
      <c r="S795" s="10">
        <v>57.471469955477922</v>
      </c>
      <c r="T795">
        <v>57</v>
      </c>
    </row>
    <row r="796" spans="1:20" x14ac:dyDescent="0.3">
      <c r="A796">
        <v>1039</v>
      </c>
      <c r="B796" t="s">
        <v>828</v>
      </c>
      <c r="C796" t="s">
        <v>154</v>
      </c>
      <c r="D796" t="s">
        <v>829</v>
      </c>
      <c r="E796" t="s">
        <v>830</v>
      </c>
      <c r="F796" t="s">
        <v>831</v>
      </c>
      <c r="G796" t="s">
        <v>832</v>
      </c>
      <c r="H796" t="s">
        <v>34</v>
      </c>
      <c r="I796" t="s">
        <v>23</v>
      </c>
      <c r="J796" s="1">
        <v>223</v>
      </c>
      <c r="K796" s="1">
        <v>44.6</v>
      </c>
      <c r="L796" s="3">
        <v>5</v>
      </c>
      <c r="M796" t="s">
        <v>244</v>
      </c>
      <c r="N796" s="2">
        <v>45022</v>
      </c>
      <c r="O796" t="s">
        <v>496</v>
      </c>
      <c r="P796" t="s">
        <v>687</v>
      </c>
      <c r="Q796">
        <v>40298</v>
      </c>
      <c r="R796" t="s">
        <v>27</v>
      </c>
      <c r="S796" s="10">
        <v>9.0018275942070183</v>
      </c>
      <c r="T796">
        <v>6</v>
      </c>
    </row>
    <row r="797" spans="1:20" x14ac:dyDescent="0.3">
      <c r="A797">
        <v>1718</v>
      </c>
      <c r="B797" t="s">
        <v>373</v>
      </c>
      <c r="C797" t="s">
        <v>944</v>
      </c>
      <c r="D797" t="s">
        <v>1719</v>
      </c>
      <c r="E797" t="s">
        <v>1720</v>
      </c>
      <c r="F797" t="s">
        <v>1721</v>
      </c>
      <c r="G797" t="s">
        <v>865</v>
      </c>
      <c r="H797" t="s">
        <v>22</v>
      </c>
      <c r="I797" t="s">
        <v>23</v>
      </c>
      <c r="J797" s="1">
        <v>342</v>
      </c>
      <c r="K797" s="1">
        <v>31.09090909090909</v>
      </c>
      <c r="L797" s="3">
        <v>11</v>
      </c>
      <c r="M797" t="s">
        <v>36</v>
      </c>
      <c r="N797" s="2">
        <v>45023</v>
      </c>
      <c r="O797" t="s">
        <v>37</v>
      </c>
      <c r="P797" t="s">
        <v>1247</v>
      </c>
      <c r="Q797">
        <v>93111</v>
      </c>
      <c r="R797" t="s">
        <v>27</v>
      </c>
      <c r="S797" s="10">
        <v>14.555008660985342</v>
      </c>
      <c r="T797">
        <v>16</v>
      </c>
    </row>
    <row r="798" spans="1:20" x14ac:dyDescent="0.3">
      <c r="A798">
        <v>1948</v>
      </c>
      <c r="B798" t="s">
        <v>1722</v>
      </c>
      <c r="C798" t="s">
        <v>536</v>
      </c>
      <c r="D798" t="s">
        <v>1723</v>
      </c>
      <c r="E798" t="s">
        <v>1724</v>
      </c>
      <c r="F798" t="s">
        <v>554</v>
      </c>
      <c r="G798" t="s">
        <v>932</v>
      </c>
      <c r="H798" t="s">
        <v>34</v>
      </c>
      <c r="I798" t="s">
        <v>299</v>
      </c>
      <c r="J798" s="1">
        <v>431</v>
      </c>
      <c r="K798" s="1">
        <v>30.785714285714285</v>
      </c>
      <c r="L798" s="3">
        <v>14</v>
      </c>
      <c r="M798" t="s">
        <v>24</v>
      </c>
      <c r="N798" s="2">
        <v>45026</v>
      </c>
      <c r="O798" t="s">
        <v>196</v>
      </c>
      <c r="P798" t="s">
        <v>528</v>
      </c>
      <c r="Q798">
        <v>19196</v>
      </c>
      <c r="R798" t="s">
        <v>27</v>
      </c>
      <c r="S798" s="10">
        <v>28.339551015926641</v>
      </c>
      <c r="T798">
        <v>21</v>
      </c>
    </row>
    <row r="799" spans="1:20" x14ac:dyDescent="0.3">
      <c r="A799">
        <v>1031</v>
      </c>
      <c r="B799" t="s">
        <v>995</v>
      </c>
      <c r="C799" t="s">
        <v>1725</v>
      </c>
      <c r="D799" t="s">
        <v>1726</v>
      </c>
      <c r="E799" t="s">
        <v>1727</v>
      </c>
      <c r="F799" t="s">
        <v>1728</v>
      </c>
      <c r="G799" t="s">
        <v>987</v>
      </c>
      <c r="H799" t="s">
        <v>22</v>
      </c>
      <c r="I799" t="s">
        <v>23</v>
      </c>
      <c r="J799" s="1">
        <v>225</v>
      </c>
      <c r="K799" s="1">
        <v>37.5</v>
      </c>
      <c r="L799" s="3">
        <v>6</v>
      </c>
      <c r="M799" t="s">
        <v>143</v>
      </c>
      <c r="N799" s="2">
        <v>45027</v>
      </c>
      <c r="O799" t="s">
        <v>47</v>
      </c>
      <c r="P799" t="s">
        <v>1729</v>
      </c>
      <c r="Q799">
        <v>22313</v>
      </c>
      <c r="R799" t="s">
        <v>27</v>
      </c>
      <c r="S799" s="10">
        <v>11.913071538660642</v>
      </c>
      <c r="T799">
        <v>13</v>
      </c>
    </row>
    <row r="800" spans="1:20" x14ac:dyDescent="0.3">
      <c r="A800">
        <v>1144</v>
      </c>
      <c r="B800" t="s">
        <v>776</v>
      </c>
      <c r="C800" t="s">
        <v>747</v>
      </c>
      <c r="D800" t="s">
        <v>807</v>
      </c>
      <c r="E800" t="s">
        <v>808</v>
      </c>
      <c r="F800" t="s">
        <v>235</v>
      </c>
      <c r="G800" t="s">
        <v>677</v>
      </c>
      <c r="H800" t="s">
        <v>22</v>
      </c>
      <c r="I800" t="s">
        <v>35</v>
      </c>
      <c r="J800" s="1">
        <v>884</v>
      </c>
      <c r="K800" s="1">
        <v>40.18181818181818</v>
      </c>
      <c r="L800" s="3">
        <v>22</v>
      </c>
      <c r="M800" t="s">
        <v>66</v>
      </c>
      <c r="N800" s="2">
        <v>45027</v>
      </c>
      <c r="O800" t="s">
        <v>83</v>
      </c>
      <c r="P800" t="s">
        <v>809</v>
      </c>
      <c r="Q800">
        <v>11355</v>
      </c>
      <c r="R800" t="s">
        <v>27</v>
      </c>
      <c r="S800" s="10">
        <v>52.010607545441985</v>
      </c>
      <c r="T800">
        <v>43</v>
      </c>
    </row>
    <row r="801" spans="1:20" x14ac:dyDescent="0.3">
      <c r="A801">
        <v>1116</v>
      </c>
      <c r="B801" t="s">
        <v>49</v>
      </c>
      <c r="C801" t="s">
        <v>50</v>
      </c>
      <c r="D801" t="s">
        <v>51</v>
      </c>
      <c r="E801" t="s">
        <v>52</v>
      </c>
      <c r="F801" t="s">
        <v>53</v>
      </c>
      <c r="G801" t="s">
        <v>54</v>
      </c>
      <c r="H801" t="s">
        <v>22</v>
      </c>
      <c r="I801" t="s">
        <v>55</v>
      </c>
      <c r="J801" s="1">
        <v>590</v>
      </c>
      <c r="K801" s="1">
        <v>34.705882352941174</v>
      </c>
      <c r="L801" s="3">
        <v>17</v>
      </c>
      <c r="M801" t="s">
        <v>56</v>
      </c>
      <c r="N801" s="2">
        <v>45031</v>
      </c>
      <c r="O801" t="s">
        <v>57</v>
      </c>
      <c r="P801" t="s">
        <v>58</v>
      </c>
      <c r="Q801">
        <v>30096</v>
      </c>
      <c r="R801" t="s">
        <v>27</v>
      </c>
      <c r="S801" s="10">
        <v>39.607026796065291</v>
      </c>
      <c r="T801">
        <v>26</v>
      </c>
    </row>
    <row r="802" spans="1:20" x14ac:dyDescent="0.3">
      <c r="A802">
        <v>1692</v>
      </c>
      <c r="B802" t="s">
        <v>167</v>
      </c>
      <c r="C802" t="s">
        <v>424</v>
      </c>
      <c r="D802" t="s">
        <v>1730</v>
      </c>
      <c r="E802" t="s">
        <v>1731</v>
      </c>
      <c r="F802" t="s">
        <v>840</v>
      </c>
      <c r="G802" t="s">
        <v>202</v>
      </c>
      <c r="H802" t="s">
        <v>22</v>
      </c>
      <c r="I802" t="s">
        <v>23</v>
      </c>
      <c r="J802" s="1">
        <v>919</v>
      </c>
      <c r="K802" s="1">
        <v>27.029411764705884</v>
      </c>
      <c r="L802" s="3">
        <v>34</v>
      </c>
      <c r="M802" t="s">
        <v>126</v>
      </c>
      <c r="N802" s="2">
        <v>45031</v>
      </c>
      <c r="O802" t="s">
        <v>267</v>
      </c>
      <c r="P802" t="s">
        <v>1732</v>
      </c>
      <c r="Q802">
        <v>34108</v>
      </c>
      <c r="R802" t="s">
        <v>27</v>
      </c>
      <c r="S802" s="10">
        <v>50.119685109529151</v>
      </c>
      <c r="T802">
        <v>68</v>
      </c>
    </row>
    <row r="803" spans="1:20" x14ac:dyDescent="0.3">
      <c r="A803">
        <v>1851</v>
      </c>
      <c r="B803" t="s">
        <v>604</v>
      </c>
      <c r="C803" t="s">
        <v>358</v>
      </c>
      <c r="D803" t="s">
        <v>605</v>
      </c>
      <c r="E803" t="s">
        <v>606</v>
      </c>
      <c r="F803" t="s">
        <v>607</v>
      </c>
      <c r="G803" t="s">
        <v>194</v>
      </c>
      <c r="H803" t="s">
        <v>22</v>
      </c>
      <c r="I803" t="s">
        <v>65</v>
      </c>
      <c r="J803" s="1">
        <v>67</v>
      </c>
      <c r="K803" s="1">
        <v>33.5</v>
      </c>
      <c r="L803" s="3">
        <v>2</v>
      </c>
      <c r="M803" t="s">
        <v>343</v>
      </c>
      <c r="N803" s="2">
        <v>45031</v>
      </c>
      <c r="O803" t="s">
        <v>83</v>
      </c>
      <c r="P803" t="s">
        <v>351</v>
      </c>
      <c r="Q803">
        <v>11210</v>
      </c>
      <c r="R803" t="s">
        <v>27</v>
      </c>
      <c r="S803" s="10">
        <v>3.4994755225208856</v>
      </c>
      <c r="T803">
        <v>3</v>
      </c>
    </row>
    <row r="804" spans="1:20" x14ac:dyDescent="0.3">
      <c r="A804">
        <v>1019</v>
      </c>
      <c r="B804" t="s">
        <v>764</v>
      </c>
      <c r="C804" t="s">
        <v>374</v>
      </c>
      <c r="D804" t="s">
        <v>765</v>
      </c>
      <c r="E804" t="s">
        <v>766</v>
      </c>
      <c r="F804" t="s">
        <v>554</v>
      </c>
      <c r="G804" t="s">
        <v>298</v>
      </c>
      <c r="H804" t="s">
        <v>22</v>
      </c>
      <c r="I804" t="s">
        <v>23</v>
      </c>
      <c r="J804" s="1">
        <v>265</v>
      </c>
      <c r="K804" s="1">
        <v>44.166666666666664</v>
      </c>
      <c r="L804" s="3">
        <v>6</v>
      </c>
      <c r="M804" t="s">
        <v>66</v>
      </c>
      <c r="N804" s="2">
        <v>45034</v>
      </c>
      <c r="O804" t="s">
        <v>767</v>
      </c>
      <c r="P804" t="s">
        <v>768</v>
      </c>
      <c r="Q804">
        <v>83705</v>
      </c>
      <c r="R804" t="s">
        <v>27</v>
      </c>
      <c r="S804" s="10">
        <v>14.309265138930089</v>
      </c>
      <c r="T804">
        <v>9</v>
      </c>
    </row>
    <row r="805" spans="1:20" x14ac:dyDescent="0.3">
      <c r="A805">
        <v>1959</v>
      </c>
      <c r="B805" t="s">
        <v>1733</v>
      </c>
      <c r="C805" t="s">
        <v>1734</v>
      </c>
      <c r="D805" t="s">
        <v>1735</v>
      </c>
      <c r="E805" t="s">
        <v>1736</v>
      </c>
      <c r="F805" t="s">
        <v>574</v>
      </c>
      <c r="G805" t="s">
        <v>1737</v>
      </c>
      <c r="H805" t="s">
        <v>22</v>
      </c>
      <c r="I805" t="s">
        <v>435</v>
      </c>
      <c r="J805" s="1">
        <v>417</v>
      </c>
      <c r="K805" s="1">
        <v>24.529411764705884</v>
      </c>
      <c r="L805" s="3">
        <v>17</v>
      </c>
      <c r="M805" t="s">
        <v>36</v>
      </c>
      <c r="N805" s="2">
        <v>45036</v>
      </c>
      <c r="O805" t="s">
        <v>181</v>
      </c>
      <c r="P805" t="s">
        <v>182</v>
      </c>
      <c r="Q805">
        <v>2453</v>
      </c>
      <c r="R805" t="s">
        <v>27</v>
      </c>
      <c r="S805" s="10">
        <v>23.621408727495325</v>
      </c>
      <c r="T805">
        <v>33</v>
      </c>
    </row>
    <row r="806" spans="1:20" x14ac:dyDescent="0.3">
      <c r="A806">
        <v>1703</v>
      </c>
      <c r="B806" t="s">
        <v>1738</v>
      </c>
      <c r="C806" t="s">
        <v>563</v>
      </c>
      <c r="D806" t="s">
        <v>1739</v>
      </c>
      <c r="E806" t="s">
        <v>1740</v>
      </c>
      <c r="F806" t="s">
        <v>1707</v>
      </c>
      <c r="G806" t="s">
        <v>865</v>
      </c>
      <c r="H806" t="s">
        <v>22</v>
      </c>
      <c r="I806" t="s">
        <v>23</v>
      </c>
      <c r="J806" s="1">
        <v>743</v>
      </c>
      <c r="K806" s="1">
        <v>25.620689655172413</v>
      </c>
      <c r="L806" s="3">
        <v>29</v>
      </c>
      <c r="M806" t="s">
        <v>36</v>
      </c>
      <c r="N806" s="2">
        <v>45040</v>
      </c>
      <c r="O806" t="s">
        <v>37</v>
      </c>
      <c r="P806" t="s">
        <v>1741</v>
      </c>
      <c r="Q806">
        <v>93399</v>
      </c>
      <c r="R806" t="s">
        <v>27</v>
      </c>
      <c r="S806" s="10">
        <v>37.428409173726365</v>
      </c>
      <c r="T806">
        <v>55</v>
      </c>
    </row>
    <row r="807" spans="1:20" x14ac:dyDescent="0.3">
      <c r="A807">
        <v>1017</v>
      </c>
      <c r="B807" t="s">
        <v>660</v>
      </c>
      <c r="C807" t="s">
        <v>679</v>
      </c>
      <c r="D807" t="s">
        <v>680</v>
      </c>
      <c r="E807" t="s">
        <v>681</v>
      </c>
      <c r="F807" t="s">
        <v>682</v>
      </c>
      <c r="G807" t="s">
        <v>446</v>
      </c>
      <c r="H807" t="s">
        <v>22</v>
      </c>
      <c r="I807" t="s">
        <v>23</v>
      </c>
      <c r="J807" s="1">
        <v>186</v>
      </c>
      <c r="K807" s="1">
        <v>37.200000000000003</v>
      </c>
      <c r="L807" s="3">
        <v>5</v>
      </c>
      <c r="M807" t="s">
        <v>36</v>
      </c>
      <c r="N807" s="2">
        <v>45041</v>
      </c>
      <c r="O807" t="s">
        <v>136</v>
      </c>
      <c r="P807" t="s">
        <v>137</v>
      </c>
      <c r="Q807">
        <v>60663</v>
      </c>
      <c r="R807" t="s">
        <v>27</v>
      </c>
      <c r="S807" s="10">
        <v>7.2310824443035742</v>
      </c>
      <c r="T807">
        <v>8</v>
      </c>
    </row>
    <row r="808" spans="1:20" x14ac:dyDescent="0.3">
      <c r="A808">
        <v>1277</v>
      </c>
      <c r="B808" t="s">
        <v>222</v>
      </c>
      <c r="C808" t="s">
        <v>223</v>
      </c>
      <c r="D808" t="s">
        <v>224</v>
      </c>
      <c r="E808" t="s">
        <v>225</v>
      </c>
      <c r="F808" t="s">
        <v>226</v>
      </c>
      <c r="G808" t="s">
        <v>227</v>
      </c>
      <c r="H808" t="s">
        <v>34</v>
      </c>
      <c r="I808" t="s">
        <v>228</v>
      </c>
      <c r="J808" s="1">
        <v>533</v>
      </c>
      <c r="K808" s="1">
        <v>38.071428571428569</v>
      </c>
      <c r="L808" s="3">
        <v>14</v>
      </c>
      <c r="M808" t="s">
        <v>203</v>
      </c>
      <c r="N808" s="2">
        <v>45042</v>
      </c>
      <c r="O808" t="s">
        <v>229</v>
      </c>
      <c r="P808" t="s">
        <v>230</v>
      </c>
      <c r="Q808">
        <v>44310</v>
      </c>
      <c r="R808" t="s">
        <v>27</v>
      </c>
      <c r="S808" s="10">
        <v>28.798911088781949</v>
      </c>
      <c r="T808">
        <v>28</v>
      </c>
    </row>
    <row r="809" spans="1:20" x14ac:dyDescent="0.3">
      <c r="A809">
        <v>1996</v>
      </c>
      <c r="B809" t="s">
        <v>167</v>
      </c>
      <c r="C809" t="s">
        <v>168</v>
      </c>
      <c r="D809" t="s">
        <v>169</v>
      </c>
      <c r="E809" t="s">
        <v>170</v>
      </c>
      <c r="F809" t="s">
        <v>171</v>
      </c>
      <c r="G809" t="s">
        <v>172</v>
      </c>
      <c r="H809" t="s">
        <v>22</v>
      </c>
      <c r="I809" t="s">
        <v>65</v>
      </c>
      <c r="J809" s="1">
        <v>724</v>
      </c>
      <c r="K809" s="1">
        <v>42.588235294117645</v>
      </c>
      <c r="L809" s="3">
        <v>17</v>
      </c>
      <c r="M809" t="s">
        <v>24</v>
      </c>
      <c r="N809" s="2">
        <v>45042</v>
      </c>
      <c r="O809" t="s">
        <v>173</v>
      </c>
      <c r="P809" t="s">
        <v>174</v>
      </c>
      <c r="Q809">
        <v>64160</v>
      </c>
      <c r="R809" t="s">
        <v>27</v>
      </c>
      <c r="S809" s="10">
        <v>23.721213037758591</v>
      </c>
      <c r="T809">
        <v>22</v>
      </c>
    </row>
    <row r="810" spans="1:20" x14ac:dyDescent="0.3">
      <c r="A810">
        <v>1071</v>
      </c>
      <c r="B810" t="s">
        <v>842</v>
      </c>
      <c r="C810" t="s">
        <v>374</v>
      </c>
      <c r="D810" t="s">
        <v>1742</v>
      </c>
      <c r="E810" t="s">
        <v>1743</v>
      </c>
      <c r="F810" t="s">
        <v>1744</v>
      </c>
      <c r="G810" t="s">
        <v>1745</v>
      </c>
      <c r="H810" t="s">
        <v>34</v>
      </c>
      <c r="I810" t="s">
        <v>55</v>
      </c>
      <c r="J810" s="1">
        <v>223</v>
      </c>
      <c r="K810" s="1">
        <v>31.857142857142858</v>
      </c>
      <c r="L810" s="3">
        <v>7</v>
      </c>
      <c r="M810" t="s">
        <v>24</v>
      </c>
      <c r="N810" s="2">
        <v>45043</v>
      </c>
      <c r="O810" t="s">
        <v>144</v>
      </c>
      <c r="P810" t="s">
        <v>145</v>
      </c>
      <c r="Q810">
        <v>80209</v>
      </c>
      <c r="R810" t="s">
        <v>27</v>
      </c>
      <c r="S810" s="10">
        <v>11.933513253210446</v>
      </c>
      <c r="T810">
        <v>11</v>
      </c>
    </row>
    <row r="811" spans="1:20" x14ac:dyDescent="0.3">
      <c r="A811">
        <v>1170</v>
      </c>
      <c r="B811" t="s">
        <v>153</v>
      </c>
      <c r="C811" t="s">
        <v>154</v>
      </c>
      <c r="D811" t="s">
        <v>155</v>
      </c>
      <c r="E811" t="s">
        <v>156</v>
      </c>
      <c r="F811" t="s">
        <v>157</v>
      </c>
      <c r="G811" t="s">
        <v>158</v>
      </c>
      <c r="H811" t="s">
        <v>34</v>
      </c>
      <c r="I811" t="s">
        <v>65</v>
      </c>
      <c r="J811" s="1">
        <v>995</v>
      </c>
      <c r="K811" s="1">
        <v>41.458333333333336</v>
      </c>
      <c r="L811" s="3">
        <v>24</v>
      </c>
      <c r="M811" t="s">
        <v>24</v>
      </c>
      <c r="N811" s="2">
        <v>45043</v>
      </c>
      <c r="O811" t="s">
        <v>67</v>
      </c>
      <c r="P811" t="s">
        <v>159</v>
      </c>
      <c r="Q811">
        <v>88574</v>
      </c>
      <c r="R811" t="s">
        <v>27</v>
      </c>
      <c r="S811" s="10">
        <v>34.432747122274819</v>
      </c>
      <c r="T811">
        <v>40</v>
      </c>
    </row>
    <row r="812" spans="1:20" x14ac:dyDescent="0.3">
      <c r="A812">
        <v>1092</v>
      </c>
      <c r="B812" t="s">
        <v>518</v>
      </c>
      <c r="C812" t="s">
        <v>519</v>
      </c>
      <c r="D812" t="s">
        <v>520</v>
      </c>
      <c r="E812" t="s">
        <v>521</v>
      </c>
      <c r="F812" t="s">
        <v>522</v>
      </c>
      <c r="G812" t="s">
        <v>523</v>
      </c>
      <c r="H812" t="s">
        <v>22</v>
      </c>
      <c r="I812" t="s">
        <v>55</v>
      </c>
      <c r="J812" s="1">
        <v>631</v>
      </c>
      <c r="K812" s="1">
        <v>26.291666666666668</v>
      </c>
      <c r="L812" s="3">
        <v>24</v>
      </c>
      <c r="M812" t="s">
        <v>343</v>
      </c>
      <c r="N812" s="2">
        <v>45045</v>
      </c>
      <c r="O812" t="s">
        <v>267</v>
      </c>
      <c r="P812" t="s">
        <v>524</v>
      </c>
      <c r="Q812">
        <v>34233</v>
      </c>
      <c r="R812" t="s">
        <v>27</v>
      </c>
      <c r="S812" s="10">
        <v>49.530998400622224</v>
      </c>
      <c r="T812">
        <v>50</v>
      </c>
    </row>
    <row r="813" spans="1:20" x14ac:dyDescent="0.3">
      <c r="A813">
        <v>1234</v>
      </c>
      <c r="B813" t="s">
        <v>59</v>
      </c>
      <c r="C813" t="s">
        <v>60</v>
      </c>
      <c r="D813" t="s">
        <v>61</v>
      </c>
      <c r="E813" t="s">
        <v>62</v>
      </c>
      <c r="F813" t="s">
        <v>63</v>
      </c>
      <c r="G813" t="s">
        <v>64</v>
      </c>
      <c r="H813" t="s">
        <v>34</v>
      </c>
      <c r="I813" t="s">
        <v>65</v>
      </c>
      <c r="J813" s="1">
        <v>735</v>
      </c>
      <c r="K813" s="1">
        <v>38.684210526315788</v>
      </c>
      <c r="L813" s="3">
        <v>19</v>
      </c>
      <c r="M813" t="s">
        <v>66</v>
      </c>
      <c r="N813" s="2">
        <v>45045</v>
      </c>
      <c r="O813" t="s">
        <v>67</v>
      </c>
      <c r="P813" t="s">
        <v>68</v>
      </c>
      <c r="Q813">
        <v>78710</v>
      </c>
      <c r="R813" t="s">
        <v>27</v>
      </c>
      <c r="S813" s="10">
        <v>28.242700815458612</v>
      </c>
      <c r="T813">
        <v>31</v>
      </c>
    </row>
    <row r="814" spans="1:20" x14ac:dyDescent="0.3">
      <c r="A814">
        <v>1043</v>
      </c>
      <c r="B814" t="s">
        <v>102</v>
      </c>
      <c r="C814" t="s">
        <v>154</v>
      </c>
      <c r="D814" t="s">
        <v>547</v>
      </c>
      <c r="E814" t="s">
        <v>548</v>
      </c>
      <c r="F814" t="s">
        <v>549</v>
      </c>
      <c r="G814" t="s">
        <v>453</v>
      </c>
      <c r="H814" t="s">
        <v>34</v>
      </c>
      <c r="I814" t="s">
        <v>23</v>
      </c>
      <c r="J814" s="1">
        <v>185</v>
      </c>
      <c r="K814" s="1">
        <v>37</v>
      </c>
      <c r="L814" s="3">
        <v>5</v>
      </c>
      <c r="M814" t="s">
        <v>24</v>
      </c>
      <c r="N814" s="2">
        <v>45046</v>
      </c>
      <c r="O814" t="s">
        <v>300</v>
      </c>
      <c r="P814" t="s">
        <v>301</v>
      </c>
      <c r="Q814">
        <v>89140</v>
      </c>
      <c r="R814" t="s">
        <v>27</v>
      </c>
      <c r="S814" s="10">
        <v>8.2159766768662106</v>
      </c>
      <c r="T814">
        <v>10</v>
      </c>
    </row>
    <row r="815" spans="1:20" x14ac:dyDescent="0.3">
      <c r="A815">
        <v>1212</v>
      </c>
      <c r="B815" t="s">
        <v>120</v>
      </c>
      <c r="C815" t="s">
        <v>121</v>
      </c>
      <c r="D815" t="s">
        <v>122</v>
      </c>
      <c r="E815" t="s">
        <v>123</v>
      </c>
      <c r="F815" t="s">
        <v>124</v>
      </c>
      <c r="G815" t="s">
        <v>125</v>
      </c>
      <c r="H815" t="s">
        <v>22</v>
      </c>
      <c r="I815" t="s">
        <v>65</v>
      </c>
      <c r="J815" s="1">
        <v>153</v>
      </c>
      <c r="K815" s="1">
        <v>30.6</v>
      </c>
      <c r="L815" s="3">
        <v>5</v>
      </c>
      <c r="M815" t="s">
        <v>126</v>
      </c>
      <c r="N815" s="2">
        <v>45047</v>
      </c>
      <c r="O815" t="s">
        <v>127</v>
      </c>
      <c r="P815" t="s">
        <v>128</v>
      </c>
      <c r="Q815">
        <v>6183</v>
      </c>
      <c r="R815" t="s">
        <v>27</v>
      </c>
      <c r="S815" s="10">
        <v>8.7737554898472361</v>
      </c>
      <c r="T815">
        <v>7</v>
      </c>
    </row>
    <row r="816" spans="1:20" x14ac:dyDescent="0.3">
      <c r="A816">
        <v>1923</v>
      </c>
      <c r="B816" t="s">
        <v>1332</v>
      </c>
      <c r="C816" t="s">
        <v>168</v>
      </c>
      <c r="D816" t="s">
        <v>1746</v>
      </c>
      <c r="E816" t="s">
        <v>1747</v>
      </c>
      <c r="F816" t="s">
        <v>1748</v>
      </c>
      <c r="G816" t="s">
        <v>459</v>
      </c>
      <c r="H816" t="s">
        <v>34</v>
      </c>
      <c r="I816" t="s">
        <v>35</v>
      </c>
      <c r="J816" s="1">
        <v>322</v>
      </c>
      <c r="K816" s="1">
        <v>46</v>
      </c>
      <c r="L816" s="3">
        <v>7</v>
      </c>
      <c r="M816" t="s">
        <v>36</v>
      </c>
      <c r="N816" s="2">
        <v>45047</v>
      </c>
      <c r="O816" t="s">
        <v>37</v>
      </c>
      <c r="P816" t="s">
        <v>316</v>
      </c>
      <c r="Q816">
        <v>94164</v>
      </c>
      <c r="R816" t="s">
        <v>27</v>
      </c>
      <c r="S816" s="10">
        <v>13.351275353442077</v>
      </c>
      <c r="T816">
        <v>15</v>
      </c>
    </row>
    <row r="817" spans="1:20" x14ac:dyDescent="0.3">
      <c r="A817">
        <v>1081</v>
      </c>
      <c r="B817" t="s">
        <v>529</v>
      </c>
      <c r="C817" t="s">
        <v>530</v>
      </c>
      <c r="D817" t="s">
        <v>531</v>
      </c>
      <c r="E817" t="s">
        <v>532</v>
      </c>
      <c r="F817" t="s">
        <v>533</v>
      </c>
      <c r="G817" t="s">
        <v>495</v>
      </c>
      <c r="H817" t="s">
        <v>22</v>
      </c>
      <c r="I817" t="s">
        <v>55</v>
      </c>
      <c r="J817" s="1">
        <v>911</v>
      </c>
      <c r="K817" s="1">
        <v>26.794117647058822</v>
      </c>
      <c r="L817" s="3">
        <v>34</v>
      </c>
      <c r="M817" t="s">
        <v>447</v>
      </c>
      <c r="N817" s="2">
        <v>45049</v>
      </c>
      <c r="O817" t="s">
        <v>229</v>
      </c>
      <c r="P817" t="s">
        <v>534</v>
      </c>
      <c r="Q817">
        <v>45426</v>
      </c>
      <c r="R817" t="s">
        <v>27</v>
      </c>
      <c r="S817" s="10">
        <v>74.545799923707136</v>
      </c>
      <c r="T817">
        <v>67</v>
      </c>
    </row>
    <row r="818" spans="1:20" x14ac:dyDescent="0.3">
      <c r="A818">
        <v>1095</v>
      </c>
      <c r="B818" t="s">
        <v>550</v>
      </c>
      <c r="C818" t="s">
        <v>551</v>
      </c>
      <c r="D818" t="s">
        <v>552</v>
      </c>
      <c r="E818" t="s">
        <v>553</v>
      </c>
      <c r="F818" t="s">
        <v>554</v>
      </c>
      <c r="G818" t="s">
        <v>555</v>
      </c>
      <c r="H818" t="s">
        <v>22</v>
      </c>
      <c r="I818" t="s">
        <v>55</v>
      </c>
      <c r="J818" s="1">
        <v>549</v>
      </c>
      <c r="K818" s="1">
        <v>42.230769230769234</v>
      </c>
      <c r="L818" s="3">
        <v>13</v>
      </c>
      <c r="M818" t="s">
        <v>126</v>
      </c>
      <c r="N818" s="2">
        <v>45050</v>
      </c>
      <c r="O818" t="s">
        <v>67</v>
      </c>
      <c r="P818" t="s">
        <v>334</v>
      </c>
      <c r="Q818">
        <v>77040</v>
      </c>
      <c r="R818" t="s">
        <v>27</v>
      </c>
      <c r="S818" s="10">
        <v>25.098440564935622</v>
      </c>
      <c r="T818">
        <v>18</v>
      </c>
    </row>
    <row r="819" spans="1:20" x14ac:dyDescent="0.3">
      <c r="A819">
        <v>1489</v>
      </c>
      <c r="B819" t="s">
        <v>85</v>
      </c>
      <c r="C819" t="s">
        <v>86</v>
      </c>
      <c r="D819" t="s">
        <v>87</v>
      </c>
      <c r="E819" t="s">
        <v>88</v>
      </c>
      <c r="F819" t="s">
        <v>89</v>
      </c>
      <c r="G819" t="s">
        <v>90</v>
      </c>
      <c r="H819" t="s">
        <v>34</v>
      </c>
      <c r="I819" t="s">
        <v>23</v>
      </c>
      <c r="J819" s="1">
        <v>426</v>
      </c>
      <c r="K819" s="1">
        <v>35.5</v>
      </c>
      <c r="L819" s="3">
        <v>12</v>
      </c>
      <c r="M819" t="s">
        <v>66</v>
      </c>
      <c r="N819" s="2">
        <v>45050</v>
      </c>
      <c r="O819" t="s">
        <v>47</v>
      </c>
      <c r="P819" t="s">
        <v>91</v>
      </c>
      <c r="Q819">
        <v>23668</v>
      </c>
      <c r="R819" t="s">
        <v>27</v>
      </c>
      <c r="S819" s="10">
        <v>20.991606987150771</v>
      </c>
      <c r="T819">
        <v>21</v>
      </c>
    </row>
    <row r="820" spans="1:20" x14ac:dyDescent="0.3">
      <c r="A820">
        <v>1990</v>
      </c>
      <c r="B820" t="s">
        <v>1526</v>
      </c>
      <c r="C820" t="s">
        <v>861</v>
      </c>
      <c r="D820" t="s">
        <v>1527</v>
      </c>
      <c r="E820" t="s">
        <v>1528</v>
      </c>
      <c r="F820" t="s">
        <v>1437</v>
      </c>
      <c r="G820" t="s">
        <v>1189</v>
      </c>
      <c r="H820" t="s">
        <v>22</v>
      </c>
      <c r="I820" t="s">
        <v>65</v>
      </c>
      <c r="J820" s="1">
        <v>952</v>
      </c>
      <c r="K820" s="1">
        <v>36.615384615384613</v>
      </c>
      <c r="L820" s="3">
        <v>26</v>
      </c>
      <c r="M820" t="s">
        <v>36</v>
      </c>
      <c r="N820" s="2">
        <v>45051</v>
      </c>
      <c r="O820" t="s">
        <v>237</v>
      </c>
      <c r="P820" t="s">
        <v>1298</v>
      </c>
      <c r="Q820">
        <v>36622</v>
      </c>
      <c r="R820" t="s">
        <v>27</v>
      </c>
      <c r="S820" s="10">
        <v>53.243774018975003</v>
      </c>
      <c r="T820">
        <v>43</v>
      </c>
    </row>
    <row r="821" spans="1:20" x14ac:dyDescent="0.3">
      <c r="A821">
        <v>1081</v>
      </c>
      <c r="B821" t="s">
        <v>529</v>
      </c>
      <c r="C821" t="s">
        <v>530</v>
      </c>
      <c r="D821" t="s">
        <v>531</v>
      </c>
      <c r="E821" t="s">
        <v>532</v>
      </c>
      <c r="F821" t="s">
        <v>533</v>
      </c>
      <c r="G821" t="s">
        <v>495</v>
      </c>
      <c r="H821" t="s">
        <v>22</v>
      </c>
      <c r="I821" t="s">
        <v>55</v>
      </c>
      <c r="J821" s="1">
        <v>766</v>
      </c>
      <c r="K821" s="1">
        <v>40.315789473684212</v>
      </c>
      <c r="L821" s="3">
        <v>19</v>
      </c>
      <c r="M821" t="s">
        <v>447</v>
      </c>
      <c r="N821" s="2">
        <v>45052</v>
      </c>
      <c r="O821" t="s">
        <v>229</v>
      </c>
      <c r="P821" t="s">
        <v>534</v>
      </c>
      <c r="Q821">
        <v>45426</v>
      </c>
      <c r="R821" t="s">
        <v>27</v>
      </c>
      <c r="S821" s="10">
        <v>40.680218103857172</v>
      </c>
      <c r="T821">
        <v>26</v>
      </c>
    </row>
    <row r="822" spans="1:20" x14ac:dyDescent="0.3">
      <c r="A822">
        <v>1565</v>
      </c>
      <c r="B822" t="s">
        <v>1518</v>
      </c>
      <c r="C822" t="s">
        <v>491</v>
      </c>
      <c r="D822" t="s">
        <v>1749</v>
      </c>
      <c r="E822" t="s">
        <v>1750</v>
      </c>
      <c r="F822" t="s">
        <v>475</v>
      </c>
      <c r="G822" t="s">
        <v>180</v>
      </c>
      <c r="H822" t="s">
        <v>34</v>
      </c>
      <c r="I822" t="s">
        <v>266</v>
      </c>
      <c r="J822" s="1">
        <v>944</v>
      </c>
      <c r="K822" s="1">
        <v>36.307692307692307</v>
      </c>
      <c r="L822" s="3">
        <v>26</v>
      </c>
      <c r="M822" t="s">
        <v>343</v>
      </c>
      <c r="N822" s="2">
        <v>45053</v>
      </c>
      <c r="O822" t="s">
        <v>37</v>
      </c>
      <c r="P822" t="s">
        <v>870</v>
      </c>
      <c r="Q822">
        <v>92127</v>
      </c>
      <c r="R822" t="s">
        <v>27</v>
      </c>
      <c r="S822" s="10">
        <v>63.316088765334626</v>
      </c>
      <c r="T822">
        <v>52</v>
      </c>
    </row>
    <row r="823" spans="1:20" x14ac:dyDescent="0.3">
      <c r="A823">
        <v>1812</v>
      </c>
      <c r="B823" t="s">
        <v>231</v>
      </c>
      <c r="C823" t="s">
        <v>232</v>
      </c>
      <c r="D823" t="s">
        <v>233</v>
      </c>
      <c r="E823" t="s">
        <v>234</v>
      </c>
      <c r="F823" t="s">
        <v>235</v>
      </c>
      <c r="G823" t="s">
        <v>74</v>
      </c>
      <c r="H823" t="s">
        <v>34</v>
      </c>
      <c r="I823" t="s">
        <v>236</v>
      </c>
      <c r="J823" s="1">
        <v>531</v>
      </c>
      <c r="K823" s="1">
        <v>35.4</v>
      </c>
      <c r="L823" s="3">
        <v>15</v>
      </c>
      <c r="M823" t="s">
        <v>126</v>
      </c>
      <c r="N823" s="2">
        <v>45053</v>
      </c>
      <c r="O823" t="s">
        <v>237</v>
      </c>
      <c r="P823" t="s">
        <v>238</v>
      </c>
      <c r="Q823">
        <v>35220</v>
      </c>
      <c r="R823" t="s">
        <v>27</v>
      </c>
      <c r="S823" s="10">
        <v>33.138198098360022</v>
      </c>
      <c r="T823">
        <v>29</v>
      </c>
    </row>
    <row r="824" spans="1:20" x14ac:dyDescent="0.3">
      <c r="A824">
        <v>1880</v>
      </c>
      <c r="B824" t="s">
        <v>129</v>
      </c>
      <c r="C824" t="s">
        <v>130</v>
      </c>
      <c r="D824" t="s">
        <v>131</v>
      </c>
      <c r="E824" t="s">
        <v>132</v>
      </c>
      <c r="F824" t="s">
        <v>133</v>
      </c>
      <c r="G824" t="s">
        <v>134</v>
      </c>
      <c r="H824" t="s">
        <v>22</v>
      </c>
      <c r="I824" t="s">
        <v>135</v>
      </c>
      <c r="J824" s="1">
        <v>382</v>
      </c>
      <c r="K824" s="1">
        <v>42.444444444444443</v>
      </c>
      <c r="L824" s="3">
        <v>9</v>
      </c>
      <c r="M824" t="s">
        <v>36</v>
      </c>
      <c r="N824" s="2">
        <v>45053</v>
      </c>
      <c r="O824" t="s">
        <v>136</v>
      </c>
      <c r="P824" t="s">
        <v>137</v>
      </c>
      <c r="Q824">
        <v>60614</v>
      </c>
      <c r="R824" t="s">
        <v>27</v>
      </c>
      <c r="S824" s="10">
        <v>17.024481306083324</v>
      </c>
      <c r="T824">
        <v>16</v>
      </c>
    </row>
    <row r="825" spans="1:20" x14ac:dyDescent="0.3">
      <c r="A825">
        <v>1993</v>
      </c>
      <c r="B825" t="s">
        <v>198</v>
      </c>
      <c r="C825" t="s">
        <v>1393</v>
      </c>
      <c r="D825" t="s">
        <v>1394</v>
      </c>
      <c r="E825" t="s">
        <v>1395</v>
      </c>
      <c r="F825" t="s">
        <v>1396</v>
      </c>
      <c r="G825" t="s">
        <v>285</v>
      </c>
      <c r="H825" t="s">
        <v>22</v>
      </c>
      <c r="I825" t="s">
        <v>65</v>
      </c>
      <c r="J825" s="1">
        <v>783</v>
      </c>
      <c r="K825" s="1">
        <v>35.590909090909093</v>
      </c>
      <c r="L825" s="3">
        <v>22</v>
      </c>
      <c r="M825" t="s">
        <v>143</v>
      </c>
      <c r="N825" s="2">
        <v>45053</v>
      </c>
      <c r="O825" t="s">
        <v>100</v>
      </c>
      <c r="P825" t="s">
        <v>734</v>
      </c>
      <c r="Q825">
        <v>50369</v>
      </c>
      <c r="R825" t="s">
        <v>27</v>
      </c>
      <c r="S825" s="10">
        <v>41.165224470666828</v>
      </c>
      <c r="T825">
        <v>47</v>
      </c>
    </row>
    <row r="826" spans="1:20" x14ac:dyDescent="0.3">
      <c r="A826">
        <v>1591</v>
      </c>
      <c r="B826" t="s">
        <v>49</v>
      </c>
      <c r="C826" t="s">
        <v>929</v>
      </c>
      <c r="D826" t="s">
        <v>1751</v>
      </c>
      <c r="E826" t="s">
        <v>1752</v>
      </c>
      <c r="F826" t="s">
        <v>463</v>
      </c>
      <c r="G826" t="s">
        <v>865</v>
      </c>
      <c r="H826" t="s">
        <v>22</v>
      </c>
      <c r="I826" t="s">
        <v>117</v>
      </c>
      <c r="J826" s="1">
        <v>156</v>
      </c>
      <c r="K826" s="1">
        <v>26</v>
      </c>
      <c r="L826" s="3">
        <v>6</v>
      </c>
      <c r="M826" t="s">
        <v>36</v>
      </c>
      <c r="N826" s="2">
        <v>45054</v>
      </c>
      <c r="O826" t="s">
        <v>37</v>
      </c>
      <c r="P826" t="s">
        <v>316</v>
      </c>
      <c r="Q826">
        <v>94164</v>
      </c>
      <c r="R826" t="s">
        <v>27</v>
      </c>
      <c r="S826" s="10">
        <v>11.625842806811441</v>
      </c>
      <c r="T826">
        <v>11</v>
      </c>
    </row>
    <row r="827" spans="1:20" x14ac:dyDescent="0.3">
      <c r="A827">
        <v>1170</v>
      </c>
      <c r="B827" t="s">
        <v>153</v>
      </c>
      <c r="C827" t="s">
        <v>154</v>
      </c>
      <c r="D827" t="s">
        <v>155</v>
      </c>
      <c r="E827" t="s">
        <v>156</v>
      </c>
      <c r="F827" t="s">
        <v>157</v>
      </c>
      <c r="G827" t="s">
        <v>158</v>
      </c>
      <c r="H827" t="s">
        <v>34</v>
      </c>
      <c r="I827" t="s">
        <v>65</v>
      </c>
      <c r="J827" s="1">
        <v>685</v>
      </c>
      <c r="K827" s="1">
        <v>34.25</v>
      </c>
      <c r="L827" s="3">
        <v>20</v>
      </c>
      <c r="M827" t="s">
        <v>24</v>
      </c>
      <c r="N827" s="2">
        <v>45056</v>
      </c>
      <c r="O827" t="s">
        <v>67</v>
      </c>
      <c r="P827" t="s">
        <v>159</v>
      </c>
      <c r="Q827">
        <v>88574</v>
      </c>
      <c r="R827" t="s">
        <v>27</v>
      </c>
      <c r="S827" s="10">
        <v>40.446786633705401</v>
      </c>
      <c r="T827">
        <v>45</v>
      </c>
    </row>
    <row r="828" spans="1:20" x14ac:dyDescent="0.3">
      <c r="A828">
        <v>1212</v>
      </c>
      <c r="B828" t="s">
        <v>120</v>
      </c>
      <c r="C828" t="s">
        <v>121</v>
      </c>
      <c r="D828" t="s">
        <v>122</v>
      </c>
      <c r="E828" t="s">
        <v>123</v>
      </c>
      <c r="F828" t="s">
        <v>124</v>
      </c>
      <c r="G828" t="s">
        <v>125</v>
      </c>
      <c r="H828" t="s">
        <v>22</v>
      </c>
      <c r="I828" t="s">
        <v>65</v>
      </c>
      <c r="J828" s="1">
        <v>375</v>
      </c>
      <c r="K828" s="1">
        <v>37.5</v>
      </c>
      <c r="L828" s="3">
        <v>10</v>
      </c>
      <c r="M828" t="s">
        <v>126</v>
      </c>
      <c r="N828" s="2">
        <v>45056</v>
      </c>
      <c r="O828" t="s">
        <v>127</v>
      </c>
      <c r="P828" t="s">
        <v>128</v>
      </c>
      <c r="Q828">
        <v>6183</v>
      </c>
      <c r="R828" t="s">
        <v>27</v>
      </c>
      <c r="S828" s="10">
        <v>15.069617067221429</v>
      </c>
      <c r="T828">
        <v>14</v>
      </c>
    </row>
    <row r="829" spans="1:20" x14ac:dyDescent="0.3">
      <c r="A829">
        <v>1212</v>
      </c>
      <c r="B829" t="s">
        <v>120</v>
      </c>
      <c r="C829" t="s">
        <v>121</v>
      </c>
      <c r="D829" t="s">
        <v>122</v>
      </c>
      <c r="E829" t="s">
        <v>123</v>
      </c>
      <c r="F829" t="s">
        <v>124</v>
      </c>
      <c r="G829" t="s">
        <v>125</v>
      </c>
      <c r="H829" t="s">
        <v>22</v>
      </c>
      <c r="I829" t="s">
        <v>65</v>
      </c>
      <c r="J829" s="1">
        <v>170</v>
      </c>
      <c r="K829" s="1">
        <v>34</v>
      </c>
      <c r="L829" s="3">
        <v>5</v>
      </c>
      <c r="M829" t="s">
        <v>126</v>
      </c>
      <c r="N829" s="2">
        <v>45056</v>
      </c>
      <c r="O829" t="s">
        <v>127</v>
      </c>
      <c r="P829" t="s">
        <v>128</v>
      </c>
      <c r="Q829">
        <v>6183</v>
      </c>
      <c r="R829" t="s">
        <v>27</v>
      </c>
      <c r="S829" s="10">
        <v>12.191435747617156</v>
      </c>
      <c r="T829">
        <v>10</v>
      </c>
    </row>
    <row r="830" spans="1:20" x14ac:dyDescent="0.3">
      <c r="A830">
        <v>1989</v>
      </c>
      <c r="B830" t="s">
        <v>556</v>
      </c>
      <c r="C830" t="s">
        <v>557</v>
      </c>
      <c r="D830" t="s">
        <v>558</v>
      </c>
      <c r="E830" t="s">
        <v>559</v>
      </c>
      <c r="F830" t="s">
        <v>560</v>
      </c>
      <c r="G830" t="s">
        <v>555</v>
      </c>
      <c r="H830" t="s">
        <v>34</v>
      </c>
      <c r="I830" t="s">
        <v>65</v>
      </c>
      <c r="J830" s="1">
        <v>562</v>
      </c>
      <c r="K830" s="1">
        <v>31.222222222222221</v>
      </c>
      <c r="L830" s="3">
        <v>18</v>
      </c>
      <c r="M830" t="s">
        <v>36</v>
      </c>
      <c r="N830" s="2">
        <v>45056</v>
      </c>
      <c r="O830" t="s">
        <v>67</v>
      </c>
      <c r="P830" t="s">
        <v>561</v>
      </c>
      <c r="Q830">
        <v>77346</v>
      </c>
      <c r="R830" t="s">
        <v>27</v>
      </c>
      <c r="S830" s="10">
        <v>31.793408421690348</v>
      </c>
      <c r="T830">
        <v>30</v>
      </c>
    </row>
    <row r="831" spans="1:20" x14ac:dyDescent="0.3">
      <c r="A831">
        <v>1026</v>
      </c>
      <c r="B831" t="s">
        <v>77</v>
      </c>
      <c r="C831" t="s">
        <v>78</v>
      </c>
      <c r="D831" t="s">
        <v>79</v>
      </c>
      <c r="E831" t="s">
        <v>80</v>
      </c>
      <c r="F831" t="s">
        <v>81</v>
      </c>
      <c r="G831" t="s">
        <v>82</v>
      </c>
      <c r="H831" t="s">
        <v>22</v>
      </c>
      <c r="I831" t="s">
        <v>23</v>
      </c>
      <c r="J831" s="1">
        <v>276</v>
      </c>
      <c r="K831" s="1">
        <v>46</v>
      </c>
      <c r="L831" s="3">
        <v>6</v>
      </c>
      <c r="M831" t="s">
        <v>36</v>
      </c>
      <c r="N831" s="2">
        <v>45057</v>
      </c>
      <c r="O831" t="s">
        <v>83</v>
      </c>
      <c r="P831" t="s">
        <v>84</v>
      </c>
      <c r="Q831">
        <v>10469</v>
      </c>
      <c r="R831" t="s">
        <v>27</v>
      </c>
      <c r="S831" s="10">
        <v>10.781386584910482</v>
      </c>
      <c r="T831">
        <v>7</v>
      </c>
    </row>
    <row r="832" spans="1:20" x14ac:dyDescent="0.3">
      <c r="A832">
        <v>1635</v>
      </c>
      <c r="B832" t="s">
        <v>198</v>
      </c>
      <c r="C832" t="s">
        <v>843</v>
      </c>
      <c r="D832" t="s">
        <v>1753</v>
      </c>
      <c r="E832" t="s">
        <v>1754</v>
      </c>
      <c r="F832" t="s">
        <v>917</v>
      </c>
      <c r="G832" t="s">
        <v>428</v>
      </c>
      <c r="H832" t="s">
        <v>22</v>
      </c>
      <c r="I832" t="s">
        <v>23</v>
      </c>
      <c r="J832" s="1">
        <v>846</v>
      </c>
      <c r="K832" s="1">
        <v>33.840000000000003</v>
      </c>
      <c r="L832" s="3">
        <v>25</v>
      </c>
      <c r="M832" t="s">
        <v>99</v>
      </c>
      <c r="N832" s="2">
        <v>45058</v>
      </c>
      <c r="O832" t="s">
        <v>136</v>
      </c>
      <c r="P832" t="s">
        <v>579</v>
      </c>
      <c r="Q832">
        <v>62718</v>
      </c>
      <c r="R832" t="s">
        <v>27</v>
      </c>
      <c r="S832" s="10">
        <v>50.472574364751544</v>
      </c>
      <c r="T832">
        <v>38</v>
      </c>
    </row>
    <row r="833" spans="1:20" x14ac:dyDescent="0.3">
      <c r="A833">
        <v>1456</v>
      </c>
      <c r="B833" t="s">
        <v>346</v>
      </c>
      <c r="C833" t="s">
        <v>431</v>
      </c>
      <c r="D833" t="s">
        <v>1755</v>
      </c>
      <c r="E833" t="s">
        <v>1756</v>
      </c>
      <c r="F833" t="s">
        <v>1757</v>
      </c>
      <c r="G833" t="s">
        <v>142</v>
      </c>
      <c r="H833" t="s">
        <v>22</v>
      </c>
      <c r="I833" t="s">
        <v>228</v>
      </c>
      <c r="J833" s="1">
        <v>657</v>
      </c>
      <c r="K833" s="1">
        <v>38.647058823529413</v>
      </c>
      <c r="L833" s="3">
        <v>17</v>
      </c>
      <c r="M833" t="s">
        <v>36</v>
      </c>
      <c r="N833" s="2">
        <v>45060</v>
      </c>
      <c r="O833" t="s">
        <v>37</v>
      </c>
      <c r="P833" t="s">
        <v>316</v>
      </c>
      <c r="Q833">
        <v>94116</v>
      </c>
      <c r="R833" t="s">
        <v>27</v>
      </c>
      <c r="S833" s="10">
        <v>21.42405983996527</v>
      </c>
      <c r="T833">
        <v>29</v>
      </c>
    </row>
    <row r="834" spans="1:20" x14ac:dyDescent="0.3">
      <c r="A834">
        <v>1260</v>
      </c>
      <c r="B834" t="s">
        <v>352</v>
      </c>
      <c r="C834" t="s">
        <v>353</v>
      </c>
      <c r="D834" t="s">
        <v>354</v>
      </c>
      <c r="E834" t="s">
        <v>355</v>
      </c>
      <c r="F834" t="s">
        <v>356</v>
      </c>
      <c r="G834" t="s">
        <v>357</v>
      </c>
      <c r="H834" t="s">
        <v>34</v>
      </c>
      <c r="I834" t="s">
        <v>236</v>
      </c>
      <c r="J834" s="1">
        <v>854</v>
      </c>
      <c r="K834" s="1">
        <v>31.62962962962963</v>
      </c>
      <c r="L834" s="3">
        <v>27</v>
      </c>
      <c r="M834" t="s">
        <v>36</v>
      </c>
      <c r="N834" s="2">
        <v>45062</v>
      </c>
      <c r="O834" t="s">
        <v>358</v>
      </c>
      <c r="P834" t="s">
        <v>359</v>
      </c>
      <c r="Q834">
        <v>99215</v>
      </c>
      <c r="R834" t="s">
        <v>27</v>
      </c>
      <c r="S834" s="10">
        <v>64.25335679749135</v>
      </c>
      <c r="T834">
        <v>59</v>
      </c>
    </row>
    <row r="835" spans="1:20" x14ac:dyDescent="0.3">
      <c r="A835">
        <v>1749</v>
      </c>
      <c r="B835" t="s">
        <v>120</v>
      </c>
      <c r="C835" t="s">
        <v>1758</v>
      </c>
      <c r="D835" t="s">
        <v>1759</v>
      </c>
      <c r="E835" t="s">
        <v>1760</v>
      </c>
      <c r="F835" t="s">
        <v>273</v>
      </c>
      <c r="G835" t="s">
        <v>943</v>
      </c>
      <c r="H835" t="s">
        <v>22</v>
      </c>
      <c r="I835" t="s">
        <v>435</v>
      </c>
      <c r="J835" s="1">
        <v>826</v>
      </c>
      <c r="K835" s="1">
        <v>43.473684210526315</v>
      </c>
      <c r="L835" s="3">
        <v>19</v>
      </c>
      <c r="M835" t="s">
        <v>66</v>
      </c>
      <c r="N835" s="2">
        <v>45062</v>
      </c>
      <c r="O835" t="s">
        <v>67</v>
      </c>
      <c r="P835" t="s">
        <v>334</v>
      </c>
      <c r="Q835">
        <v>77234</v>
      </c>
      <c r="R835" t="s">
        <v>27</v>
      </c>
      <c r="S835" s="10">
        <v>35.942954042920967</v>
      </c>
      <c r="T835">
        <v>28</v>
      </c>
    </row>
    <row r="836" spans="1:20" x14ac:dyDescent="0.3">
      <c r="A836">
        <v>1298</v>
      </c>
      <c r="B836" t="s">
        <v>275</v>
      </c>
      <c r="C836" t="s">
        <v>340</v>
      </c>
      <c r="D836" t="s">
        <v>341</v>
      </c>
      <c r="E836" t="s">
        <v>342</v>
      </c>
      <c r="F836" t="s">
        <v>306</v>
      </c>
      <c r="G836" t="s">
        <v>180</v>
      </c>
      <c r="H836" t="s">
        <v>22</v>
      </c>
      <c r="I836" t="s">
        <v>236</v>
      </c>
      <c r="J836" s="1">
        <v>439</v>
      </c>
      <c r="K836" s="1">
        <v>29.266666666666666</v>
      </c>
      <c r="L836" s="3">
        <v>15</v>
      </c>
      <c r="M836" t="s">
        <v>343</v>
      </c>
      <c r="N836" s="2">
        <v>45063</v>
      </c>
      <c r="O836" t="s">
        <v>267</v>
      </c>
      <c r="P836" t="s">
        <v>344</v>
      </c>
      <c r="Q836">
        <v>32891</v>
      </c>
      <c r="R836" t="s">
        <v>27</v>
      </c>
      <c r="S836" s="10">
        <v>19.670526127499372</v>
      </c>
      <c r="T836">
        <v>19</v>
      </c>
    </row>
    <row r="837" spans="1:20" x14ac:dyDescent="0.3">
      <c r="A837">
        <v>1489</v>
      </c>
      <c r="B837" t="s">
        <v>85</v>
      </c>
      <c r="C837" t="s">
        <v>86</v>
      </c>
      <c r="D837" t="s">
        <v>87</v>
      </c>
      <c r="E837" t="s">
        <v>88</v>
      </c>
      <c r="F837" t="s">
        <v>89</v>
      </c>
      <c r="G837" t="s">
        <v>90</v>
      </c>
      <c r="H837" t="s">
        <v>34</v>
      </c>
      <c r="I837" t="s">
        <v>23</v>
      </c>
      <c r="J837" s="1">
        <v>989</v>
      </c>
      <c r="K837" s="1">
        <v>35.321428571428569</v>
      </c>
      <c r="L837" s="3">
        <v>28</v>
      </c>
      <c r="M837" t="s">
        <v>66</v>
      </c>
      <c r="N837" s="2">
        <v>45068</v>
      </c>
      <c r="O837" t="s">
        <v>47</v>
      </c>
      <c r="P837" t="s">
        <v>91</v>
      </c>
      <c r="Q837">
        <v>23668</v>
      </c>
      <c r="R837" t="s">
        <v>27</v>
      </c>
      <c r="S837" s="10">
        <v>41.040425204371758</v>
      </c>
      <c r="T837">
        <v>50</v>
      </c>
    </row>
    <row r="838" spans="1:20" x14ac:dyDescent="0.3">
      <c r="A838">
        <v>1212</v>
      </c>
      <c r="B838" t="s">
        <v>120</v>
      </c>
      <c r="C838" t="s">
        <v>121</v>
      </c>
      <c r="D838" t="s">
        <v>122</v>
      </c>
      <c r="E838" t="s">
        <v>123</v>
      </c>
      <c r="F838" t="s">
        <v>124</v>
      </c>
      <c r="G838" t="s">
        <v>125</v>
      </c>
      <c r="H838" t="s">
        <v>22</v>
      </c>
      <c r="I838" t="s">
        <v>65</v>
      </c>
      <c r="J838" s="1">
        <v>398</v>
      </c>
      <c r="K838" s="1">
        <v>28.428571428571427</v>
      </c>
      <c r="L838" s="3">
        <v>14</v>
      </c>
      <c r="M838" t="s">
        <v>126</v>
      </c>
      <c r="N838" s="2">
        <v>45070</v>
      </c>
      <c r="O838" t="s">
        <v>127</v>
      </c>
      <c r="P838" t="s">
        <v>128</v>
      </c>
      <c r="Q838">
        <v>6183</v>
      </c>
      <c r="R838" t="s">
        <v>27</v>
      </c>
      <c r="S838" s="10">
        <v>23.707901936723104</v>
      </c>
      <c r="T838">
        <v>18</v>
      </c>
    </row>
    <row r="839" spans="1:20" x14ac:dyDescent="0.3">
      <c r="A839">
        <v>1092</v>
      </c>
      <c r="B839" t="s">
        <v>518</v>
      </c>
      <c r="C839" t="s">
        <v>519</v>
      </c>
      <c r="D839" t="s">
        <v>520</v>
      </c>
      <c r="E839" t="s">
        <v>521</v>
      </c>
      <c r="F839" t="s">
        <v>522</v>
      </c>
      <c r="G839" t="s">
        <v>523</v>
      </c>
      <c r="H839" t="s">
        <v>22</v>
      </c>
      <c r="I839" t="s">
        <v>55</v>
      </c>
      <c r="J839" s="1">
        <v>215</v>
      </c>
      <c r="K839" s="1">
        <v>35.833333333333336</v>
      </c>
      <c r="L839" s="3">
        <v>6</v>
      </c>
      <c r="M839" t="s">
        <v>343</v>
      </c>
      <c r="N839" s="2">
        <v>45071</v>
      </c>
      <c r="O839" t="s">
        <v>267</v>
      </c>
      <c r="P839" t="s">
        <v>524</v>
      </c>
      <c r="Q839">
        <v>34233</v>
      </c>
      <c r="R839" t="s">
        <v>27</v>
      </c>
      <c r="S839" s="10">
        <v>12.966623711731099</v>
      </c>
      <c r="T839">
        <v>8</v>
      </c>
    </row>
    <row r="840" spans="1:20" x14ac:dyDescent="0.3">
      <c r="A840">
        <v>1880</v>
      </c>
      <c r="B840" t="s">
        <v>129</v>
      </c>
      <c r="C840" t="s">
        <v>130</v>
      </c>
      <c r="D840" t="s">
        <v>131</v>
      </c>
      <c r="E840" t="s">
        <v>132</v>
      </c>
      <c r="F840" t="s">
        <v>133</v>
      </c>
      <c r="G840" t="s">
        <v>134</v>
      </c>
      <c r="H840" t="s">
        <v>22</v>
      </c>
      <c r="I840" t="s">
        <v>135</v>
      </c>
      <c r="J840" s="1">
        <v>848</v>
      </c>
      <c r="K840" s="1">
        <v>42.4</v>
      </c>
      <c r="L840" s="3">
        <v>20</v>
      </c>
      <c r="M840" t="s">
        <v>36</v>
      </c>
      <c r="N840" s="2">
        <v>45074</v>
      </c>
      <c r="O840" t="s">
        <v>136</v>
      </c>
      <c r="P840" t="s">
        <v>137</v>
      </c>
      <c r="Q840">
        <v>60614</v>
      </c>
      <c r="R840" t="s">
        <v>27</v>
      </c>
      <c r="S840" s="10">
        <v>43.108797587143272</v>
      </c>
      <c r="T840">
        <v>33</v>
      </c>
    </row>
    <row r="841" spans="1:20" x14ac:dyDescent="0.3">
      <c r="A841">
        <v>1468</v>
      </c>
      <c r="B841" t="s">
        <v>380</v>
      </c>
      <c r="C841" t="s">
        <v>381</v>
      </c>
      <c r="D841" t="s">
        <v>382</v>
      </c>
      <c r="E841" t="s">
        <v>383</v>
      </c>
      <c r="F841" t="s">
        <v>384</v>
      </c>
      <c r="G841" t="s">
        <v>385</v>
      </c>
      <c r="H841" t="s">
        <v>22</v>
      </c>
      <c r="I841" t="s">
        <v>65</v>
      </c>
      <c r="J841" s="1">
        <v>812</v>
      </c>
      <c r="K841" s="1">
        <v>26.193548387096776</v>
      </c>
      <c r="L841" s="3">
        <v>31</v>
      </c>
      <c r="M841" t="s">
        <v>46</v>
      </c>
      <c r="N841" s="2">
        <v>45075</v>
      </c>
      <c r="O841" t="s">
        <v>109</v>
      </c>
      <c r="P841" t="s">
        <v>386</v>
      </c>
      <c r="Q841">
        <v>70116</v>
      </c>
      <c r="R841" t="s">
        <v>27</v>
      </c>
      <c r="S841" s="10">
        <v>42.810291512558607</v>
      </c>
      <c r="T841">
        <v>73</v>
      </c>
    </row>
    <row r="842" spans="1:20" x14ac:dyDescent="0.3">
      <c r="A842">
        <v>1702</v>
      </c>
      <c r="B842" t="s">
        <v>1170</v>
      </c>
      <c r="C842" t="s">
        <v>1761</v>
      </c>
      <c r="D842" t="s">
        <v>1762</v>
      </c>
      <c r="E842" t="s">
        <v>1763</v>
      </c>
      <c r="F842" t="s">
        <v>1389</v>
      </c>
      <c r="G842" t="s">
        <v>854</v>
      </c>
      <c r="H842" t="s">
        <v>22</v>
      </c>
      <c r="I842" t="s">
        <v>23</v>
      </c>
      <c r="J842" s="1">
        <v>701</v>
      </c>
      <c r="K842" s="1">
        <v>33.38095238095238</v>
      </c>
      <c r="L842" s="3">
        <v>21</v>
      </c>
      <c r="M842" t="s">
        <v>36</v>
      </c>
      <c r="N842" s="2">
        <v>45075</v>
      </c>
      <c r="O842" t="s">
        <v>187</v>
      </c>
      <c r="P842" t="s">
        <v>188</v>
      </c>
      <c r="Q842">
        <v>28215</v>
      </c>
      <c r="R842" t="s">
        <v>27</v>
      </c>
      <c r="S842" s="10">
        <v>37.17097309523821</v>
      </c>
      <c r="T842">
        <v>39</v>
      </c>
    </row>
    <row r="843" spans="1:20" x14ac:dyDescent="0.3">
      <c r="A843">
        <v>1759</v>
      </c>
      <c r="B843" t="s">
        <v>1203</v>
      </c>
      <c r="C843" t="s">
        <v>1764</v>
      </c>
      <c r="D843" t="s">
        <v>1765</v>
      </c>
      <c r="E843" t="s">
        <v>1766</v>
      </c>
      <c r="F843" t="s">
        <v>1543</v>
      </c>
      <c r="G843" t="s">
        <v>90</v>
      </c>
      <c r="H843" t="s">
        <v>34</v>
      </c>
      <c r="I843" t="s">
        <v>98</v>
      </c>
      <c r="J843" s="1">
        <v>702</v>
      </c>
      <c r="K843" s="1">
        <v>25.071428571428573</v>
      </c>
      <c r="L843" s="3">
        <v>28</v>
      </c>
      <c r="M843" t="s">
        <v>36</v>
      </c>
      <c r="N843" s="2">
        <v>45075</v>
      </c>
      <c r="O843" t="s">
        <v>173</v>
      </c>
      <c r="P843" t="s">
        <v>1767</v>
      </c>
      <c r="Q843">
        <v>64054</v>
      </c>
      <c r="R843" t="s">
        <v>27</v>
      </c>
      <c r="S843" s="10">
        <v>54.926495198332582</v>
      </c>
      <c r="T843">
        <v>54</v>
      </c>
    </row>
    <row r="844" spans="1:20" x14ac:dyDescent="0.3">
      <c r="A844">
        <v>1020</v>
      </c>
      <c r="B844" t="s">
        <v>310</v>
      </c>
      <c r="C844" t="s">
        <v>311</v>
      </c>
      <c r="D844" t="s">
        <v>312</v>
      </c>
      <c r="E844" t="s">
        <v>313</v>
      </c>
      <c r="F844" t="s">
        <v>314</v>
      </c>
      <c r="G844" t="s">
        <v>315</v>
      </c>
      <c r="H844" t="s">
        <v>22</v>
      </c>
      <c r="I844" t="s">
        <v>23</v>
      </c>
      <c r="J844" s="1">
        <v>738</v>
      </c>
      <c r="K844" s="1">
        <v>43.411764705882355</v>
      </c>
      <c r="L844" s="3">
        <v>17</v>
      </c>
      <c r="M844" t="s">
        <v>36</v>
      </c>
      <c r="N844" s="2">
        <v>45077</v>
      </c>
      <c r="O844" t="s">
        <v>37</v>
      </c>
      <c r="P844" t="s">
        <v>316</v>
      </c>
      <c r="Q844">
        <v>94105</v>
      </c>
      <c r="R844" t="s">
        <v>27</v>
      </c>
      <c r="S844" s="10">
        <v>25.786514493214881</v>
      </c>
      <c r="T844">
        <v>21</v>
      </c>
    </row>
    <row r="845" spans="1:20" x14ac:dyDescent="0.3">
      <c r="A845">
        <v>1144</v>
      </c>
      <c r="B845" t="s">
        <v>776</v>
      </c>
      <c r="C845" t="s">
        <v>747</v>
      </c>
      <c r="D845" t="s">
        <v>807</v>
      </c>
      <c r="E845" t="s">
        <v>808</v>
      </c>
      <c r="F845" t="s">
        <v>235</v>
      </c>
      <c r="G845" t="s">
        <v>677</v>
      </c>
      <c r="H845" t="s">
        <v>22</v>
      </c>
      <c r="I845" t="s">
        <v>35</v>
      </c>
      <c r="J845" s="1">
        <v>40</v>
      </c>
      <c r="K845" s="1">
        <v>40</v>
      </c>
      <c r="L845" s="3">
        <v>1</v>
      </c>
      <c r="M845" t="s">
        <v>66</v>
      </c>
      <c r="N845" s="2">
        <v>45077</v>
      </c>
      <c r="O845" t="s">
        <v>83</v>
      </c>
      <c r="P845" t="s">
        <v>809</v>
      </c>
      <c r="Q845">
        <v>11355</v>
      </c>
      <c r="R845" t="s">
        <v>27</v>
      </c>
      <c r="S845" s="10">
        <v>1.8871743730871797</v>
      </c>
      <c r="T845">
        <v>1</v>
      </c>
    </row>
    <row r="846" spans="1:20" x14ac:dyDescent="0.3">
      <c r="A846">
        <v>1727</v>
      </c>
      <c r="B846" t="s">
        <v>995</v>
      </c>
      <c r="C846" t="s">
        <v>587</v>
      </c>
      <c r="D846" t="s">
        <v>1768</v>
      </c>
      <c r="E846" t="s">
        <v>1769</v>
      </c>
      <c r="F846" t="s">
        <v>923</v>
      </c>
      <c r="G846" t="s">
        <v>172</v>
      </c>
      <c r="H846" t="s">
        <v>22</v>
      </c>
      <c r="I846" t="s">
        <v>55</v>
      </c>
      <c r="J846" s="1">
        <v>329</v>
      </c>
      <c r="K846" s="1">
        <v>36.555555555555557</v>
      </c>
      <c r="L846" s="3">
        <v>9</v>
      </c>
      <c r="M846" t="s">
        <v>24</v>
      </c>
      <c r="N846" s="2">
        <v>45077</v>
      </c>
      <c r="O846" t="s">
        <v>47</v>
      </c>
      <c r="P846" t="s">
        <v>1234</v>
      </c>
      <c r="Q846">
        <v>24024</v>
      </c>
      <c r="R846" t="s">
        <v>27</v>
      </c>
      <c r="S846" s="10">
        <v>17.128471202148308</v>
      </c>
      <c r="T846">
        <v>15</v>
      </c>
    </row>
    <row r="847" spans="1:20" x14ac:dyDescent="0.3">
      <c r="A847">
        <v>1983</v>
      </c>
      <c r="B847" t="s">
        <v>619</v>
      </c>
      <c r="C847" t="s">
        <v>587</v>
      </c>
      <c r="D847" t="s">
        <v>620</v>
      </c>
      <c r="E847" t="s">
        <v>621</v>
      </c>
      <c r="F847" t="s">
        <v>622</v>
      </c>
      <c r="G847" t="s">
        <v>21</v>
      </c>
      <c r="H847" t="s">
        <v>22</v>
      </c>
      <c r="I847" t="s">
        <v>65</v>
      </c>
      <c r="J847" s="1">
        <v>450</v>
      </c>
      <c r="K847" s="1">
        <v>28.125</v>
      </c>
      <c r="L847" s="3">
        <v>16</v>
      </c>
      <c r="M847" t="s">
        <v>36</v>
      </c>
      <c r="N847" s="2">
        <v>45077</v>
      </c>
      <c r="O847" t="s">
        <v>623</v>
      </c>
      <c r="P847" t="s">
        <v>174</v>
      </c>
      <c r="Q847">
        <v>66112</v>
      </c>
      <c r="R847" t="s">
        <v>27</v>
      </c>
      <c r="S847" s="10">
        <v>25.127173015097185</v>
      </c>
      <c r="T847">
        <v>26</v>
      </c>
    </row>
    <row r="848" spans="1:20" x14ac:dyDescent="0.3">
      <c r="A848">
        <v>1234</v>
      </c>
      <c r="B848" t="s">
        <v>59</v>
      </c>
      <c r="C848" t="s">
        <v>60</v>
      </c>
      <c r="D848" t="s">
        <v>61</v>
      </c>
      <c r="E848" t="s">
        <v>62</v>
      </c>
      <c r="F848" t="s">
        <v>63</v>
      </c>
      <c r="G848" t="s">
        <v>64</v>
      </c>
      <c r="H848" t="s">
        <v>34</v>
      </c>
      <c r="I848" t="s">
        <v>65</v>
      </c>
      <c r="J848" s="1">
        <v>610</v>
      </c>
      <c r="K848" s="1">
        <v>40.666666666666664</v>
      </c>
      <c r="L848" s="3">
        <v>15</v>
      </c>
      <c r="M848" t="s">
        <v>66</v>
      </c>
      <c r="N848" s="2">
        <v>45078</v>
      </c>
      <c r="O848" t="s">
        <v>67</v>
      </c>
      <c r="P848" t="s">
        <v>68</v>
      </c>
      <c r="Q848">
        <v>78710</v>
      </c>
      <c r="R848" t="s">
        <v>27</v>
      </c>
      <c r="S848" s="10">
        <v>36.459371555861402</v>
      </c>
      <c r="T848">
        <v>23</v>
      </c>
    </row>
    <row r="849" spans="1:20" x14ac:dyDescent="0.3">
      <c r="A849">
        <v>1995</v>
      </c>
      <c r="B849" t="s">
        <v>562</v>
      </c>
      <c r="C849" t="s">
        <v>563</v>
      </c>
      <c r="D849" t="s">
        <v>564</v>
      </c>
      <c r="E849" t="s">
        <v>565</v>
      </c>
      <c r="F849" t="s">
        <v>566</v>
      </c>
      <c r="G849" t="s">
        <v>567</v>
      </c>
      <c r="H849" t="s">
        <v>22</v>
      </c>
      <c r="I849" t="s">
        <v>65</v>
      </c>
      <c r="J849" s="1">
        <v>589</v>
      </c>
      <c r="K849" s="1">
        <v>24.541666666666668</v>
      </c>
      <c r="L849" s="3">
        <v>24</v>
      </c>
      <c r="M849" t="s">
        <v>126</v>
      </c>
      <c r="N849" s="2">
        <v>45078</v>
      </c>
      <c r="O849" t="s">
        <v>568</v>
      </c>
      <c r="P849" t="s">
        <v>569</v>
      </c>
      <c r="Q849">
        <v>37939</v>
      </c>
      <c r="R849" t="s">
        <v>27</v>
      </c>
      <c r="S849" s="10">
        <v>59.920832274419297</v>
      </c>
      <c r="T849">
        <v>51</v>
      </c>
    </row>
    <row r="850" spans="1:20" x14ac:dyDescent="0.3">
      <c r="A850">
        <v>1989</v>
      </c>
      <c r="B850" t="s">
        <v>556</v>
      </c>
      <c r="C850" t="s">
        <v>557</v>
      </c>
      <c r="D850" t="s">
        <v>558</v>
      </c>
      <c r="E850" t="s">
        <v>559</v>
      </c>
      <c r="F850" t="s">
        <v>560</v>
      </c>
      <c r="G850" t="s">
        <v>555</v>
      </c>
      <c r="H850" t="s">
        <v>34</v>
      </c>
      <c r="I850" t="s">
        <v>65</v>
      </c>
      <c r="J850" s="1">
        <v>556</v>
      </c>
      <c r="K850" s="1">
        <v>37.06666666666667</v>
      </c>
      <c r="L850" s="3">
        <v>15</v>
      </c>
      <c r="M850" t="s">
        <v>36</v>
      </c>
      <c r="N850" s="2">
        <v>45086</v>
      </c>
      <c r="O850" t="s">
        <v>67</v>
      </c>
      <c r="P850" t="s">
        <v>561</v>
      </c>
      <c r="Q850">
        <v>77346</v>
      </c>
      <c r="R850" t="s">
        <v>27</v>
      </c>
      <c r="S850" s="10">
        <v>20.620093360300579</v>
      </c>
      <c r="T850">
        <v>20</v>
      </c>
    </row>
    <row r="851" spans="1:20" x14ac:dyDescent="0.3">
      <c r="A851">
        <v>1924</v>
      </c>
      <c r="B851" t="s">
        <v>1091</v>
      </c>
      <c r="C851" t="s">
        <v>40</v>
      </c>
      <c r="D851" t="s">
        <v>1770</v>
      </c>
      <c r="E851" t="s">
        <v>1771</v>
      </c>
      <c r="F851" t="s">
        <v>377</v>
      </c>
      <c r="G851" t="s">
        <v>1252</v>
      </c>
      <c r="H851" t="s">
        <v>34</v>
      </c>
      <c r="I851" t="s">
        <v>35</v>
      </c>
      <c r="J851" s="1">
        <v>504</v>
      </c>
      <c r="K851" s="1">
        <v>38.769230769230766</v>
      </c>
      <c r="L851" s="3">
        <v>13</v>
      </c>
      <c r="M851" t="s">
        <v>36</v>
      </c>
      <c r="N851" s="2">
        <v>45087</v>
      </c>
      <c r="O851" t="s">
        <v>67</v>
      </c>
      <c r="P851" t="s">
        <v>1772</v>
      </c>
      <c r="Q851">
        <v>79410</v>
      </c>
      <c r="R851" t="s">
        <v>27</v>
      </c>
      <c r="S851" s="10">
        <v>32.041215141372149</v>
      </c>
      <c r="T851">
        <v>28</v>
      </c>
    </row>
    <row r="852" spans="1:20" x14ac:dyDescent="0.3">
      <c r="A852">
        <v>1880</v>
      </c>
      <c r="B852" t="s">
        <v>129</v>
      </c>
      <c r="C852" t="s">
        <v>130</v>
      </c>
      <c r="D852" t="s">
        <v>131</v>
      </c>
      <c r="E852" t="s">
        <v>132</v>
      </c>
      <c r="F852" t="s">
        <v>133</v>
      </c>
      <c r="G852" t="s">
        <v>134</v>
      </c>
      <c r="H852" t="s">
        <v>22</v>
      </c>
      <c r="I852" t="s">
        <v>135</v>
      </c>
      <c r="J852" s="1">
        <v>586</v>
      </c>
      <c r="K852" s="1">
        <v>25.478260869565219</v>
      </c>
      <c r="L852" s="3">
        <v>23</v>
      </c>
      <c r="M852" t="s">
        <v>36</v>
      </c>
      <c r="N852" s="2">
        <v>45088</v>
      </c>
      <c r="O852" t="s">
        <v>136</v>
      </c>
      <c r="P852" t="s">
        <v>137</v>
      </c>
      <c r="Q852">
        <v>60614</v>
      </c>
      <c r="R852" t="s">
        <v>27</v>
      </c>
      <c r="S852" s="10">
        <v>35.042548255840678</v>
      </c>
      <c r="T852">
        <v>34</v>
      </c>
    </row>
    <row r="853" spans="1:20" x14ac:dyDescent="0.3">
      <c r="A853">
        <v>1783</v>
      </c>
      <c r="B853" t="s">
        <v>302</v>
      </c>
      <c r="C853" t="s">
        <v>303</v>
      </c>
      <c r="D853" t="s">
        <v>304</v>
      </c>
      <c r="E853" t="s">
        <v>305</v>
      </c>
      <c r="F853" t="s">
        <v>306</v>
      </c>
      <c r="G853" t="s">
        <v>307</v>
      </c>
      <c r="H853" t="s">
        <v>34</v>
      </c>
      <c r="I853" t="s">
        <v>35</v>
      </c>
      <c r="J853" s="1">
        <v>567</v>
      </c>
      <c r="K853" s="1">
        <v>37.799999999999997</v>
      </c>
      <c r="L853" s="3">
        <v>15</v>
      </c>
      <c r="M853" t="s">
        <v>244</v>
      </c>
      <c r="N853" s="2">
        <v>45089</v>
      </c>
      <c r="O853" t="s">
        <v>308</v>
      </c>
      <c r="P853" t="s">
        <v>309</v>
      </c>
      <c r="Q853">
        <v>85715</v>
      </c>
      <c r="R853" t="s">
        <v>27</v>
      </c>
      <c r="S853" s="10">
        <v>26.148952147619436</v>
      </c>
      <c r="T853">
        <v>27</v>
      </c>
    </row>
    <row r="854" spans="1:20" x14ac:dyDescent="0.3">
      <c r="A854">
        <v>1067</v>
      </c>
      <c r="B854" t="s">
        <v>819</v>
      </c>
      <c r="C854" t="s">
        <v>557</v>
      </c>
      <c r="D854" t="s">
        <v>1773</v>
      </c>
      <c r="E854" t="s">
        <v>1774</v>
      </c>
      <c r="F854" t="s">
        <v>1775</v>
      </c>
      <c r="G854" t="s">
        <v>1776</v>
      </c>
      <c r="H854" t="s">
        <v>22</v>
      </c>
      <c r="I854" t="s">
        <v>55</v>
      </c>
      <c r="J854" s="1">
        <v>560</v>
      </c>
      <c r="K854" s="1">
        <v>31.111111111111111</v>
      </c>
      <c r="L854" s="3">
        <v>18</v>
      </c>
      <c r="M854" t="s">
        <v>244</v>
      </c>
      <c r="N854" s="2">
        <v>45090</v>
      </c>
      <c r="O854" t="s">
        <v>229</v>
      </c>
      <c r="P854" t="s">
        <v>927</v>
      </c>
      <c r="Q854">
        <v>45233</v>
      </c>
      <c r="R854" t="s">
        <v>27</v>
      </c>
      <c r="S854" s="10">
        <v>36.985941466681695</v>
      </c>
      <c r="T854">
        <v>37</v>
      </c>
    </row>
    <row r="855" spans="1:20" x14ac:dyDescent="0.3">
      <c r="A855">
        <v>1956</v>
      </c>
      <c r="B855" t="s">
        <v>1046</v>
      </c>
      <c r="C855" t="s">
        <v>1777</v>
      </c>
      <c r="D855" t="s">
        <v>1778</v>
      </c>
      <c r="E855" t="s">
        <v>1779</v>
      </c>
      <c r="F855" t="s">
        <v>972</v>
      </c>
      <c r="G855" t="s">
        <v>151</v>
      </c>
      <c r="H855" t="s">
        <v>22</v>
      </c>
      <c r="I855" t="s">
        <v>135</v>
      </c>
      <c r="J855" s="1">
        <v>420</v>
      </c>
      <c r="K855" s="1">
        <v>42</v>
      </c>
      <c r="L855" s="3">
        <v>10</v>
      </c>
      <c r="M855" t="s">
        <v>694</v>
      </c>
      <c r="N855" s="2">
        <v>45091</v>
      </c>
      <c r="O855" t="s">
        <v>229</v>
      </c>
      <c r="P855" t="s">
        <v>1158</v>
      </c>
      <c r="Q855">
        <v>44105</v>
      </c>
      <c r="R855" t="s">
        <v>27</v>
      </c>
      <c r="S855" s="10">
        <v>12.762334996344151</v>
      </c>
      <c r="T855">
        <v>18</v>
      </c>
    </row>
    <row r="856" spans="1:20" x14ac:dyDescent="0.3">
      <c r="A856">
        <v>1141</v>
      </c>
      <c r="B856" t="s">
        <v>1518</v>
      </c>
      <c r="C856" t="s">
        <v>353</v>
      </c>
      <c r="D856" t="s">
        <v>1780</v>
      </c>
      <c r="E856" t="s">
        <v>1781</v>
      </c>
      <c r="F856" t="s">
        <v>1782</v>
      </c>
      <c r="G856" t="s">
        <v>172</v>
      </c>
      <c r="H856" t="s">
        <v>34</v>
      </c>
      <c r="I856" t="s">
        <v>35</v>
      </c>
      <c r="J856" s="1">
        <v>997</v>
      </c>
      <c r="K856" s="1">
        <v>41.541666666666664</v>
      </c>
      <c r="L856" s="3">
        <v>24</v>
      </c>
      <c r="M856" t="s">
        <v>36</v>
      </c>
      <c r="N856" s="2">
        <v>45096</v>
      </c>
      <c r="O856" t="s">
        <v>211</v>
      </c>
      <c r="P856" t="s">
        <v>1214</v>
      </c>
      <c r="Q856">
        <v>68117</v>
      </c>
      <c r="R856" t="s">
        <v>27</v>
      </c>
      <c r="S856" s="10">
        <v>39.405873719597878</v>
      </c>
      <c r="T856">
        <v>56</v>
      </c>
    </row>
    <row r="857" spans="1:20" x14ac:dyDescent="0.3">
      <c r="A857">
        <v>1572</v>
      </c>
      <c r="B857" t="s">
        <v>1783</v>
      </c>
      <c r="C857" t="s">
        <v>1295</v>
      </c>
      <c r="D857" t="s">
        <v>1784</v>
      </c>
      <c r="E857" t="s">
        <v>1785</v>
      </c>
      <c r="F857" t="s">
        <v>1122</v>
      </c>
      <c r="G857" t="s">
        <v>1786</v>
      </c>
      <c r="H857" t="s">
        <v>22</v>
      </c>
      <c r="I857" t="s">
        <v>108</v>
      </c>
      <c r="J857" s="1">
        <v>267</v>
      </c>
      <c r="K857" s="1">
        <v>29.666666666666668</v>
      </c>
      <c r="L857" s="3">
        <v>9</v>
      </c>
      <c r="M857" t="s">
        <v>66</v>
      </c>
      <c r="N857" s="2">
        <v>45098</v>
      </c>
      <c r="O857" t="s">
        <v>37</v>
      </c>
      <c r="P857" t="s">
        <v>1787</v>
      </c>
      <c r="Q857">
        <v>90398</v>
      </c>
      <c r="R857" t="s">
        <v>27</v>
      </c>
      <c r="S857" s="10">
        <v>20.780538529098173</v>
      </c>
      <c r="T857">
        <v>12</v>
      </c>
    </row>
    <row r="858" spans="1:20" x14ac:dyDescent="0.3">
      <c r="A858">
        <v>1020</v>
      </c>
      <c r="B858" t="s">
        <v>310</v>
      </c>
      <c r="C858" t="s">
        <v>311</v>
      </c>
      <c r="D858" t="s">
        <v>312</v>
      </c>
      <c r="E858" t="s">
        <v>313</v>
      </c>
      <c r="F858" t="s">
        <v>314</v>
      </c>
      <c r="G858" t="s">
        <v>315</v>
      </c>
      <c r="H858" t="s">
        <v>22</v>
      </c>
      <c r="I858" t="s">
        <v>23</v>
      </c>
      <c r="J858" s="1">
        <v>655</v>
      </c>
      <c r="K858" s="1">
        <v>32.75</v>
      </c>
      <c r="L858" s="3">
        <v>20</v>
      </c>
      <c r="M858" t="s">
        <v>36</v>
      </c>
      <c r="N858" s="2">
        <v>45100</v>
      </c>
      <c r="O858" t="s">
        <v>37</v>
      </c>
      <c r="P858" t="s">
        <v>316</v>
      </c>
      <c r="Q858">
        <v>94105</v>
      </c>
      <c r="R858" t="s">
        <v>27</v>
      </c>
      <c r="S858" s="10">
        <v>32.850456079361507</v>
      </c>
      <c r="T858">
        <v>40</v>
      </c>
    </row>
    <row r="859" spans="1:20" x14ac:dyDescent="0.3">
      <c r="A859">
        <v>1700</v>
      </c>
      <c r="B859" t="s">
        <v>1586</v>
      </c>
      <c r="C859" t="s">
        <v>1788</v>
      </c>
      <c r="D859" t="s">
        <v>1789</v>
      </c>
      <c r="E859" t="s">
        <v>1790</v>
      </c>
      <c r="F859" t="s">
        <v>1791</v>
      </c>
      <c r="G859" t="s">
        <v>395</v>
      </c>
      <c r="H859" t="s">
        <v>34</v>
      </c>
      <c r="I859" t="s">
        <v>23</v>
      </c>
      <c r="J859" s="1">
        <v>763</v>
      </c>
      <c r="K859" s="1">
        <v>30.52</v>
      </c>
      <c r="L859" s="3">
        <v>25</v>
      </c>
      <c r="M859" t="s">
        <v>447</v>
      </c>
      <c r="N859" s="2">
        <v>45101</v>
      </c>
      <c r="O859" t="s">
        <v>67</v>
      </c>
      <c r="P859" t="s">
        <v>841</v>
      </c>
      <c r="Q859">
        <v>75221</v>
      </c>
      <c r="R859" t="s">
        <v>27</v>
      </c>
      <c r="S859" s="10">
        <v>36.620141137675546</v>
      </c>
      <c r="T859">
        <v>45</v>
      </c>
    </row>
    <row r="860" spans="1:20" x14ac:dyDescent="0.3">
      <c r="A860">
        <v>1084</v>
      </c>
      <c r="B860" t="s">
        <v>175</v>
      </c>
      <c r="C860" t="s">
        <v>176</v>
      </c>
      <c r="D860" t="s">
        <v>177</v>
      </c>
      <c r="E860" t="s">
        <v>178</v>
      </c>
      <c r="F860" t="s">
        <v>179</v>
      </c>
      <c r="G860" t="s">
        <v>180</v>
      </c>
      <c r="H860" t="s">
        <v>34</v>
      </c>
      <c r="I860" t="s">
        <v>55</v>
      </c>
      <c r="J860" s="1">
        <v>672</v>
      </c>
      <c r="K860" s="1">
        <v>37.333333333333336</v>
      </c>
      <c r="L860" s="3">
        <v>18</v>
      </c>
      <c r="M860" t="s">
        <v>36</v>
      </c>
      <c r="N860" s="2">
        <v>45103</v>
      </c>
      <c r="O860" t="s">
        <v>181</v>
      </c>
      <c r="P860" t="s">
        <v>182</v>
      </c>
      <c r="Q860">
        <v>2453</v>
      </c>
      <c r="R860" t="s">
        <v>27</v>
      </c>
      <c r="S860" s="10">
        <v>36.779608160385102</v>
      </c>
      <c r="T860">
        <v>25</v>
      </c>
    </row>
    <row r="861" spans="1:20" x14ac:dyDescent="0.3">
      <c r="A861">
        <v>1211</v>
      </c>
      <c r="B861" t="s">
        <v>1203</v>
      </c>
      <c r="C861" t="s">
        <v>599</v>
      </c>
      <c r="D861" t="s">
        <v>1792</v>
      </c>
      <c r="E861" t="s">
        <v>1793</v>
      </c>
      <c r="F861" t="s">
        <v>1794</v>
      </c>
      <c r="G861" t="s">
        <v>1238</v>
      </c>
      <c r="H861" t="s">
        <v>34</v>
      </c>
      <c r="I861" t="s">
        <v>65</v>
      </c>
      <c r="J861" s="1">
        <v>779</v>
      </c>
      <c r="K861" s="1">
        <v>43.277777777777779</v>
      </c>
      <c r="L861" s="3">
        <v>18</v>
      </c>
      <c r="M861" t="s">
        <v>66</v>
      </c>
      <c r="N861" s="2">
        <v>45105</v>
      </c>
      <c r="O861" t="s">
        <v>211</v>
      </c>
      <c r="P861" t="s">
        <v>1214</v>
      </c>
      <c r="Q861">
        <v>68110</v>
      </c>
      <c r="R861" t="s">
        <v>27</v>
      </c>
      <c r="S861" s="10">
        <v>32.241807813140518</v>
      </c>
      <c r="T861">
        <v>31</v>
      </c>
    </row>
    <row r="862" spans="1:20" x14ac:dyDescent="0.3">
      <c r="A862">
        <v>1277</v>
      </c>
      <c r="B862" t="s">
        <v>222</v>
      </c>
      <c r="C862" t="s">
        <v>223</v>
      </c>
      <c r="D862" t="s">
        <v>224</v>
      </c>
      <c r="E862" t="s">
        <v>225</v>
      </c>
      <c r="F862" t="s">
        <v>226</v>
      </c>
      <c r="G862" t="s">
        <v>227</v>
      </c>
      <c r="H862" t="s">
        <v>34</v>
      </c>
      <c r="I862" t="s">
        <v>228</v>
      </c>
      <c r="J862" s="1">
        <v>205</v>
      </c>
      <c r="K862" s="1">
        <v>34.166666666666664</v>
      </c>
      <c r="L862" s="3">
        <v>6</v>
      </c>
      <c r="M862" t="s">
        <v>203</v>
      </c>
      <c r="N862" s="2">
        <v>45106</v>
      </c>
      <c r="O862" t="s">
        <v>229</v>
      </c>
      <c r="P862" t="s">
        <v>230</v>
      </c>
      <c r="Q862">
        <v>44310</v>
      </c>
      <c r="R862" t="s">
        <v>27</v>
      </c>
      <c r="S862" s="10">
        <v>10.609448439041003</v>
      </c>
      <c r="T862">
        <v>8</v>
      </c>
    </row>
    <row r="863" spans="1:20" x14ac:dyDescent="0.3">
      <c r="A863">
        <v>1411</v>
      </c>
      <c r="B863" t="s">
        <v>1700</v>
      </c>
      <c r="C863" t="s">
        <v>1795</v>
      </c>
      <c r="D863" t="s">
        <v>1796</v>
      </c>
      <c r="E863" t="s">
        <v>1797</v>
      </c>
      <c r="F863" t="s">
        <v>1798</v>
      </c>
      <c r="G863" t="s">
        <v>285</v>
      </c>
      <c r="H863" t="s">
        <v>34</v>
      </c>
      <c r="I863" t="s">
        <v>55</v>
      </c>
      <c r="J863" s="1">
        <v>406</v>
      </c>
      <c r="K863" s="1">
        <v>36.909090909090907</v>
      </c>
      <c r="L863" s="3">
        <v>11</v>
      </c>
      <c r="M863" t="s">
        <v>447</v>
      </c>
      <c r="N863" s="2">
        <v>45106</v>
      </c>
      <c r="O863" t="s">
        <v>470</v>
      </c>
      <c r="P863" t="s">
        <v>358</v>
      </c>
      <c r="Q863">
        <v>20067</v>
      </c>
      <c r="R863" t="s">
        <v>27</v>
      </c>
      <c r="S863" s="10">
        <v>27.041870767402411</v>
      </c>
      <c r="T863">
        <v>16</v>
      </c>
    </row>
    <row r="864" spans="1:20" x14ac:dyDescent="0.3">
      <c r="A864">
        <v>1017</v>
      </c>
      <c r="B864" t="s">
        <v>660</v>
      </c>
      <c r="C864" t="s">
        <v>679</v>
      </c>
      <c r="D864" t="s">
        <v>680</v>
      </c>
      <c r="E864" t="s">
        <v>681</v>
      </c>
      <c r="F864" t="s">
        <v>682</v>
      </c>
      <c r="G864" t="s">
        <v>446</v>
      </c>
      <c r="H864" t="s">
        <v>22</v>
      </c>
      <c r="I864" t="s">
        <v>23</v>
      </c>
      <c r="J864" s="1">
        <v>33</v>
      </c>
      <c r="K864" s="1">
        <v>33</v>
      </c>
      <c r="L864" s="3">
        <v>1</v>
      </c>
      <c r="M864" t="s">
        <v>36</v>
      </c>
      <c r="N864" s="2">
        <v>45107</v>
      </c>
      <c r="O864" t="s">
        <v>136</v>
      </c>
      <c r="P864" t="s">
        <v>137</v>
      </c>
      <c r="Q864">
        <v>60663</v>
      </c>
      <c r="R864" t="s">
        <v>27</v>
      </c>
      <c r="S864" s="10">
        <v>1.4986078281133763</v>
      </c>
      <c r="T864">
        <v>1</v>
      </c>
    </row>
    <row r="865" spans="1:20" x14ac:dyDescent="0.3">
      <c r="A865">
        <v>1851</v>
      </c>
      <c r="B865" t="s">
        <v>604</v>
      </c>
      <c r="C865" t="s">
        <v>358</v>
      </c>
      <c r="D865" t="s">
        <v>605</v>
      </c>
      <c r="E865" t="s">
        <v>606</v>
      </c>
      <c r="F865" t="s">
        <v>607</v>
      </c>
      <c r="G865" t="s">
        <v>194</v>
      </c>
      <c r="H865" t="s">
        <v>22</v>
      </c>
      <c r="I865" t="s">
        <v>65</v>
      </c>
      <c r="J865" s="1">
        <v>167</v>
      </c>
      <c r="K865" s="1">
        <v>41.75</v>
      </c>
      <c r="L865" s="3">
        <v>4</v>
      </c>
      <c r="M865" t="s">
        <v>343</v>
      </c>
      <c r="N865" s="2">
        <v>45110</v>
      </c>
      <c r="O865" t="s">
        <v>83</v>
      </c>
      <c r="P865" t="s">
        <v>351</v>
      </c>
      <c r="Q865">
        <v>11210</v>
      </c>
      <c r="R865" t="s">
        <v>27</v>
      </c>
      <c r="S865" s="10">
        <v>6.756410380893807</v>
      </c>
      <c r="T865">
        <v>7</v>
      </c>
    </row>
    <row r="866" spans="1:20" x14ac:dyDescent="0.3">
      <c r="A866">
        <v>1360</v>
      </c>
      <c r="B866" t="s">
        <v>1538</v>
      </c>
      <c r="C866" t="s">
        <v>479</v>
      </c>
      <c r="D866" t="s">
        <v>1799</v>
      </c>
      <c r="E866" t="s">
        <v>1800</v>
      </c>
      <c r="F866" t="s">
        <v>1055</v>
      </c>
      <c r="G866" t="s">
        <v>440</v>
      </c>
      <c r="H866" t="s">
        <v>34</v>
      </c>
      <c r="I866" t="s">
        <v>117</v>
      </c>
      <c r="J866" s="1">
        <v>99</v>
      </c>
      <c r="K866" s="1">
        <v>33</v>
      </c>
      <c r="L866" s="3">
        <v>3</v>
      </c>
      <c r="M866" t="s">
        <v>99</v>
      </c>
      <c r="N866" s="2">
        <v>45117</v>
      </c>
      <c r="O866" t="s">
        <v>57</v>
      </c>
      <c r="P866" t="s">
        <v>1801</v>
      </c>
      <c r="Q866">
        <v>31416</v>
      </c>
      <c r="R866" t="s">
        <v>27</v>
      </c>
      <c r="S866" s="10">
        <v>5.8925689717431071</v>
      </c>
      <c r="T866">
        <v>4</v>
      </c>
    </row>
    <row r="867" spans="1:20" x14ac:dyDescent="0.3">
      <c r="A867">
        <v>1812</v>
      </c>
      <c r="B867" t="s">
        <v>231</v>
      </c>
      <c r="C867" t="s">
        <v>232</v>
      </c>
      <c r="D867" t="s">
        <v>233</v>
      </c>
      <c r="E867" t="s">
        <v>234</v>
      </c>
      <c r="F867" t="s">
        <v>235</v>
      </c>
      <c r="G867" t="s">
        <v>74</v>
      </c>
      <c r="H867" t="s">
        <v>34</v>
      </c>
      <c r="I867" t="s">
        <v>236</v>
      </c>
      <c r="J867" s="1">
        <v>254</v>
      </c>
      <c r="K867" s="1">
        <v>25.4</v>
      </c>
      <c r="L867" s="3">
        <v>10</v>
      </c>
      <c r="M867" t="s">
        <v>126</v>
      </c>
      <c r="N867" s="2">
        <v>45117</v>
      </c>
      <c r="O867" t="s">
        <v>237</v>
      </c>
      <c r="P867" t="s">
        <v>238</v>
      </c>
      <c r="Q867">
        <v>35220</v>
      </c>
      <c r="R867" t="s">
        <v>27</v>
      </c>
      <c r="S867" s="10">
        <v>18.64472119053103</v>
      </c>
      <c r="T867">
        <v>20</v>
      </c>
    </row>
    <row r="868" spans="1:20" x14ac:dyDescent="0.3">
      <c r="A868">
        <v>1640</v>
      </c>
      <c r="B868" t="s">
        <v>1802</v>
      </c>
      <c r="C868" t="s">
        <v>557</v>
      </c>
      <c r="D868" t="s">
        <v>1803</v>
      </c>
      <c r="E868" t="s">
        <v>1804</v>
      </c>
      <c r="F868" t="s">
        <v>1076</v>
      </c>
      <c r="G868" t="s">
        <v>116</v>
      </c>
      <c r="H868" t="s">
        <v>22</v>
      </c>
      <c r="I868" t="s">
        <v>23</v>
      </c>
      <c r="J868" s="1">
        <v>358</v>
      </c>
      <c r="K868" s="1">
        <v>29.833333333333332</v>
      </c>
      <c r="L868" s="3">
        <v>12</v>
      </c>
      <c r="M868" t="s">
        <v>244</v>
      </c>
      <c r="N868" s="2">
        <v>45119</v>
      </c>
      <c r="O868" t="s">
        <v>993</v>
      </c>
      <c r="P868" t="s">
        <v>994</v>
      </c>
      <c r="Q868">
        <v>25331</v>
      </c>
      <c r="R868" t="s">
        <v>27</v>
      </c>
      <c r="S868" s="10">
        <v>21.455097243796111</v>
      </c>
      <c r="T868">
        <v>25</v>
      </c>
    </row>
    <row r="869" spans="1:20" x14ac:dyDescent="0.3">
      <c r="A869">
        <v>1812</v>
      </c>
      <c r="B869" t="s">
        <v>231</v>
      </c>
      <c r="C869" t="s">
        <v>232</v>
      </c>
      <c r="D869" t="s">
        <v>233</v>
      </c>
      <c r="E869" t="s">
        <v>234</v>
      </c>
      <c r="F869" t="s">
        <v>235</v>
      </c>
      <c r="G869" t="s">
        <v>74</v>
      </c>
      <c r="H869" t="s">
        <v>34</v>
      </c>
      <c r="I869" t="s">
        <v>236</v>
      </c>
      <c r="J869" s="1">
        <v>370</v>
      </c>
      <c r="K869" s="1">
        <v>26.428571428571427</v>
      </c>
      <c r="L869" s="3">
        <v>14</v>
      </c>
      <c r="M869" t="s">
        <v>126</v>
      </c>
      <c r="N869" s="2">
        <v>45119</v>
      </c>
      <c r="O869" t="s">
        <v>237</v>
      </c>
      <c r="P869" t="s">
        <v>238</v>
      </c>
      <c r="Q869">
        <v>35220</v>
      </c>
      <c r="R869" t="s">
        <v>27</v>
      </c>
      <c r="S869" s="10">
        <v>21.426504742484504</v>
      </c>
      <c r="T869">
        <v>18</v>
      </c>
    </row>
    <row r="870" spans="1:20" x14ac:dyDescent="0.3">
      <c r="A870">
        <v>1069</v>
      </c>
      <c r="B870" t="s">
        <v>1805</v>
      </c>
      <c r="C870" t="s">
        <v>944</v>
      </c>
      <c r="D870" t="s">
        <v>1806</v>
      </c>
      <c r="E870" t="s">
        <v>1807</v>
      </c>
      <c r="F870" t="s">
        <v>926</v>
      </c>
      <c r="G870" t="s">
        <v>1808</v>
      </c>
      <c r="H870" t="s">
        <v>22</v>
      </c>
      <c r="I870" t="s">
        <v>55</v>
      </c>
      <c r="J870" s="1">
        <v>492</v>
      </c>
      <c r="K870" s="1">
        <v>32.799999999999997</v>
      </c>
      <c r="L870" s="3">
        <v>15</v>
      </c>
      <c r="M870" t="s">
        <v>36</v>
      </c>
      <c r="N870" s="2">
        <v>45121</v>
      </c>
      <c r="O870" t="s">
        <v>67</v>
      </c>
      <c r="P870" t="s">
        <v>841</v>
      </c>
      <c r="Q870">
        <v>75379</v>
      </c>
      <c r="R870" t="s">
        <v>27</v>
      </c>
      <c r="S870" s="10">
        <v>31.576698366353028</v>
      </c>
      <c r="T870">
        <v>23</v>
      </c>
    </row>
    <row r="871" spans="1:20" x14ac:dyDescent="0.3">
      <c r="A871">
        <v>1020</v>
      </c>
      <c r="B871" t="s">
        <v>310</v>
      </c>
      <c r="C871" t="s">
        <v>311</v>
      </c>
      <c r="D871" t="s">
        <v>312</v>
      </c>
      <c r="E871" t="s">
        <v>313</v>
      </c>
      <c r="F871" t="s">
        <v>314</v>
      </c>
      <c r="G871" t="s">
        <v>315</v>
      </c>
      <c r="H871" t="s">
        <v>22</v>
      </c>
      <c r="I871" t="s">
        <v>23</v>
      </c>
      <c r="J871" s="1">
        <v>451</v>
      </c>
      <c r="K871" s="1">
        <v>41</v>
      </c>
      <c r="L871" s="3">
        <v>11</v>
      </c>
      <c r="M871" t="s">
        <v>36</v>
      </c>
      <c r="N871" s="2">
        <v>45125</v>
      </c>
      <c r="O871" t="s">
        <v>37</v>
      </c>
      <c r="P871" t="s">
        <v>316</v>
      </c>
      <c r="Q871">
        <v>94105</v>
      </c>
      <c r="R871" t="s">
        <v>27</v>
      </c>
      <c r="S871" s="10">
        <v>20.43253648085609</v>
      </c>
      <c r="T871">
        <v>19</v>
      </c>
    </row>
    <row r="872" spans="1:20" x14ac:dyDescent="0.3">
      <c r="A872">
        <v>1298</v>
      </c>
      <c r="B872" t="s">
        <v>275</v>
      </c>
      <c r="C872" t="s">
        <v>340</v>
      </c>
      <c r="D872" t="s">
        <v>341</v>
      </c>
      <c r="E872" t="s">
        <v>342</v>
      </c>
      <c r="F872" t="s">
        <v>306</v>
      </c>
      <c r="G872" t="s">
        <v>180</v>
      </c>
      <c r="H872" t="s">
        <v>22</v>
      </c>
      <c r="I872" t="s">
        <v>236</v>
      </c>
      <c r="J872" s="1">
        <v>234</v>
      </c>
      <c r="K872" s="1">
        <v>39</v>
      </c>
      <c r="L872" s="3">
        <v>6</v>
      </c>
      <c r="M872" t="s">
        <v>343</v>
      </c>
      <c r="N872" s="2">
        <v>45128</v>
      </c>
      <c r="O872" t="s">
        <v>267</v>
      </c>
      <c r="P872" t="s">
        <v>344</v>
      </c>
      <c r="Q872">
        <v>32891</v>
      </c>
      <c r="R872" t="s">
        <v>27</v>
      </c>
      <c r="S872" s="10">
        <v>14.531317096083008</v>
      </c>
      <c r="T872">
        <v>8</v>
      </c>
    </row>
    <row r="873" spans="1:20" x14ac:dyDescent="0.3">
      <c r="A873">
        <v>1999</v>
      </c>
      <c r="B873" t="s">
        <v>412</v>
      </c>
      <c r="C873" t="s">
        <v>17</v>
      </c>
      <c r="D873" t="s">
        <v>413</v>
      </c>
      <c r="E873" t="s">
        <v>414</v>
      </c>
      <c r="F873" t="s">
        <v>415</v>
      </c>
      <c r="G873" t="s">
        <v>350</v>
      </c>
      <c r="H873" t="s">
        <v>34</v>
      </c>
      <c r="I873" t="s">
        <v>266</v>
      </c>
      <c r="J873" s="1">
        <v>91</v>
      </c>
      <c r="K873" s="1">
        <v>30.333333333333332</v>
      </c>
      <c r="L873" s="3">
        <v>3</v>
      </c>
      <c r="M873" t="s">
        <v>36</v>
      </c>
      <c r="N873" s="2">
        <v>45129</v>
      </c>
      <c r="O873" t="s">
        <v>57</v>
      </c>
      <c r="P873" t="s">
        <v>416</v>
      </c>
      <c r="Q873">
        <v>31914</v>
      </c>
      <c r="R873" t="s">
        <v>27</v>
      </c>
      <c r="S873" s="10">
        <v>4.9153702010075619</v>
      </c>
      <c r="T873">
        <v>4</v>
      </c>
    </row>
    <row r="874" spans="1:20" x14ac:dyDescent="0.3">
      <c r="A874">
        <v>1398</v>
      </c>
      <c r="B874" t="s">
        <v>1549</v>
      </c>
      <c r="C874" t="s">
        <v>1039</v>
      </c>
      <c r="D874" t="s">
        <v>1626</v>
      </c>
      <c r="E874" t="s">
        <v>1627</v>
      </c>
      <c r="F874" t="s">
        <v>1317</v>
      </c>
      <c r="G874" t="s">
        <v>395</v>
      </c>
      <c r="H874" t="s">
        <v>22</v>
      </c>
      <c r="I874" t="s">
        <v>35</v>
      </c>
      <c r="J874" s="1">
        <v>930</v>
      </c>
      <c r="K874" s="1">
        <v>44.285714285714285</v>
      </c>
      <c r="L874" s="3">
        <v>21</v>
      </c>
      <c r="M874" t="s">
        <v>343</v>
      </c>
      <c r="N874" s="2">
        <v>45134</v>
      </c>
      <c r="O874" t="s">
        <v>292</v>
      </c>
      <c r="P874" t="s">
        <v>1514</v>
      </c>
      <c r="Q874">
        <v>53785</v>
      </c>
      <c r="R874" t="s">
        <v>27</v>
      </c>
      <c r="S874" s="10">
        <v>42.089096203620834</v>
      </c>
      <c r="T874">
        <v>32</v>
      </c>
    </row>
    <row r="875" spans="1:20" x14ac:dyDescent="0.3">
      <c r="A875">
        <v>1082</v>
      </c>
      <c r="B875" t="s">
        <v>1700</v>
      </c>
      <c r="C875" t="s">
        <v>920</v>
      </c>
      <c r="D875" t="s">
        <v>1809</v>
      </c>
      <c r="E875" t="s">
        <v>1810</v>
      </c>
      <c r="F875" t="s">
        <v>297</v>
      </c>
      <c r="G875" t="s">
        <v>951</v>
      </c>
      <c r="H875" t="s">
        <v>34</v>
      </c>
      <c r="I875" t="s">
        <v>55</v>
      </c>
      <c r="J875" s="1">
        <v>969</v>
      </c>
      <c r="K875" s="1">
        <v>44.045454545454547</v>
      </c>
      <c r="L875" s="3">
        <v>22</v>
      </c>
      <c r="M875" t="s">
        <v>56</v>
      </c>
      <c r="N875" s="2">
        <v>45136</v>
      </c>
      <c r="O875" t="s">
        <v>196</v>
      </c>
      <c r="P875" t="s">
        <v>1811</v>
      </c>
      <c r="Q875">
        <v>15906</v>
      </c>
      <c r="R875" t="s">
        <v>27</v>
      </c>
      <c r="S875" s="10">
        <v>52.486492383823872</v>
      </c>
      <c r="T875">
        <v>36</v>
      </c>
    </row>
    <row r="876" spans="1:20" x14ac:dyDescent="0.3">
      <c r="A876">
        <v>1763</v>
      </c>
      <c r="B876" t="s">
        <v>1479</v>
      </c>
      <c r="C876" t="s">
        <v>346</v>
      </c>
      <c r="D876" t="s">
        <v>1812</v>
      </c>
      <c r="E876" t="s">
        <v>1813</v>
      </c>
      <c r="F876" t="s">
        <v>1814</v>
      </c>
      <c r="G876" t="s">
        <v>650</v>
      </c>
      <c r="H876" t="s">
        <v>22</v>
      </c>
      <c r="I876" t="s">
        <v>65</v>
      </c>
      <c r="J876" s="1">
        <v>834</v>
      </c>
      <c r="K876" s="1">
        <v>36.260869565217391</v>
      </c>
      <c r="L876" s="3">
        <v>23</v>
      </c>
      <c r="M876" t="s">
        <v>66</v>
      </c>
      <c r="N876" s="2">
        <v>45140</v>
      </c>
      <c r="O876" t="s">
        <v>83</v>
      </c>
      <c r="P876" t="s">
        <v>84</v>
      </c>
      <c r="Q876">
        <v>10454</v>
      </c>
      <c r="R876" t="s">
        <v>27</v>
      </c>
      <c r="S876" s="10">
        <v>30.371086828470741</v>
      </c>
      <c r="T876">
        <v>48</v>
      </c>
    </row>
    <row r="877" spans="1:20" x14ac:dyDescent="0.3">
      <c r="A877">
        <v>1017</v>
      </c>
      <c r="B877" t="s">
        <v>660</v>
      </c>
      <c r="C877" t="s">
        <v>679</v>
      </c>
      <c r="D877" t="s">
        <v>680</v>
      </c>
      <c r="E877" t="s">
        <v>681</v>
      </c>
      <c r="F877" t="s">
        <v>682</v>
      </c>
      <c r="G877" t="s">
        <v>446</v>
      </c>
      <c r="H877" t="s">
        <v>22</v>
      </c>
      <c r="I877" t="s">
        <v>23</v>
      </c>
      <c r="J877" s="1">
        <v>449</v>
      </c>
      <c r="K877" s="1">
        <v>29.933333333333334</v>
      </c>
      <c r="L877" s="3">
        <v>15</v>
      </c>
      <c r="M877" t="s">
        <v>36</v>
      </c>
      <c r="N877" s="2">
        <v>45144</v>
      </c>
      <c r="O877" t="s">
        <v>136</v>
      </c>
      <c r="P877" t="s">
        <v>137</v>
      </c>
      <c r="Q877">
        <v>60663</v>
      </c>
      <c r="R877" t="s">
        <v>27</v>
      </c>
      <c r="S877" s="10">
        <v>22.141583921295897</v>
      </c>
      <c r="T877">
        <v>31</v>
      </c>
    </row>
    <row r="878" spans="1:20" x14ac:dyDescent="0.3">
      <c r="A878">
        <v>1608</v>
      </c>
      <c r="B878" t="s">
        <v>1815</v>
      </c>
      <c r="C878" t="s">
        <v>281</v>
      </c>
      <c r="D878" t="s">
        <v>1816</v>
      </c>
      <c r="E878" t="s">
        <v>1817</v>
      </c>
      <c r="F878" t="s">
        <v>1329</v>
      </c>
      <c r="G878" t="s">
        <v>365</v>
      </c>
      <c r="H878" t="s">
        <v>22</v>
      </c>
      <c r="I878" t="s">
        <v>366</v>
      </c>
      <c r="J878" s="1">
        <v>51</v>
      </c>
      <c r="K878" s="1">
        <v>25.5</v>
      </c>
      <c r="L878" s="3">
        <v>2</v>
      </c>
      <c r="M878" t="s">
        <v>36</v>
      </c>
      <c r="N878" s="2">
        <v>45148</v>
      </c>
      <c r="O878" t="s">
        <v>67</v>
      </c>
      <c r="P878" t="s">
        <v>751</v>
      </c>
      <c r="Q878">
        <v>76011</v>
      </c>
      <c r="R878" t="s">
        <v>27</v>
      </c>
      <c r="S878" s="10">
        <v>2.750649654006752</v>
      </c>
      <c r="T878">
        <v>2</v>
      </c>
    </row>
    <row r="879" spans="1:20" x14ac:dyDescent="0.3">
      <c r="A879">
        <v>1812</v>
      </c>
      <c r="B879" t="s">
        <v>231</v>
      </c>
      <c r="C879" t="s">
        <v>232</v>
      </c>
      <c r="D879" t="s">
        <v>233</v>
      </c>
      <c r="E879" t="s">
        <v>234</v>
      </c>
      <c r="F879" t="s">
        <v>235</v>
      </c>
      <c r="G879" t="s">
        <v>74</v>
      </c>
      <c r="H879" t="s">
        <v>34</v>
      </c>
      <c r="I879" t="s">
        <v>236</v>
      </c>
      <c r="J879" s="1">
        <v>460</v>
      </c>
      <c r="K879" s="1">
        <v>38.333333333333336</v>
      </c>
      <c r="L879" s="3">
        <v>12</v>
      </c>
      <c r="M879" t="s">
        <v>126</v>
      </c>
      <c r="N879" s="2">
        <v>45148</v>
      </c>
      <c r="O879" t="s">
        <v>237</v>
      </c>
      <c r="P879" t="s">
        <v>238</v>
      </c>
      <c r="Q879">
        <v>35220</v>
      </c>
      <c r="R879" t="s">
        <v>27</v>
      </c>
      <c r="S879" s="10">
        <v>23.552283899390883</v>
      </c>
      <c r="T879">
        <v>24</v>
      </c>
    </row>
    <row r="880" spans="1:20" x14ac:dyDescent="0.3">
      <c r="A880">
        <v>1094</v>
      </c>
      <c r="B880" t="s">
        <v>92</v>
      </c>
      <c r="C880" t="s">
        <v>269</v>
      </c>
      <c r="D880" t="s">
        <v>1818</v>
      </c>
      <c r="E880" t="s">
        <v>1819</v>
      </c>
      <c r="F880" t="s">
        <v>185</v>
      </c>
      <c r="G880" t="s">
        <v>1745</v>
      </c>
      <c r="H880" t="s">
        <v>22</v>
      </c>
      <c r="I880" t="s">
        <v>55</v>
      </c>
      <c r="J880" s="1">
        <v>303</v>
      </c>
      <c r="K880" s="1">
        <v>43.285714285714285</v>
      </c>
      <c r="L880" s="3">
        <v>7</v>
      </c>
      <c r="M880" t="s">
        <v>36</v>
      </c>
      <c r="N880" s="2">
        <v>45150</v>
      </c>
      <c r="O880" t="s">
        <v>67</v>
      </c>
      <c r="P880" t="s">
        <v>159</v>
      </c>
      <c r="Q880">
        <v>88579</v>
      </c>
      <c r="R880" t="s">
        <v>27</v>
      </c>
      <c r="S880" s="10">
        <v>15.33785463865431</v>
      </c>
      <c r="T880">
        <v>15</v>
      </c>
    </row>
    <row r="881" spans="1:20" x14ac:dyDescent="0.3">
      <c r="A881">
        <v>1001</v>
      </c>
      <c r="B881" t="s">
        <v>269</v>
      </c>
      <c r="C881" t="s">
        <v>270</v>
      </c>
      <c r="D881" t="s">
        <v>271</v>
      </c>
      <c r="E881" t="s">
        <v>272</v>
      </c>
      <c r="F881" t="s">
        <v>273</v>
      </c>
      <c r="G881" t="s">
        <v>274</v>
      </c>
      <c r="H881" t="s">
        <v>34</v>
      </c>
      <c r="I881" t="s">
        <v>23</v>
      </c>
      <c r="J881" s="1">
        <v>470</v>
      </c>
      <c r="K881" s="1">
        <v>27.647058823529413</v>
      </c>
      <c r="L881" s="3">
        <v>17</v>
      </c>
      <c r="M881" t="s">
        <v>126</v>
      </c>
      <c r="N881" s="2">
        <v>45153</v>
      </c>
      <c r="O881" t="s">
        <v>67</v>
      </c>
      <c r="P881" t="s">
        <v>159</v>
      </c>
      <c r="Q881">
        <v>88563</v>
      </c>
      <c r="R881" t="s">
        <v>27</v>
      </c>
      <c r="S881" s="10">
        <v>34.227510481278813</v>
      </c>
      <c r="T881">
        <v>27</v>
      </c>
    </row>
    <row r="882" spans="1:20" x14ac:dyDescent="0.3">
      <c r="A882">
        <v>1842</v>
      </c>
      <c r="B882" t="s">
        <v>175</v>
      </c>
      <c r="C882" t="s">
        <v>381</v>
      </c>
      <c r="D882" t="s">
        <v>1820</v>
      </c>
      <c r="E882" t="s">
        <v>1821</v>
      </c>
      <c r="F882" t="s">
        <v>185</v>
      </c>
      <c r="G882" t="s">
        <v>1189</v>
      </c>
      <c r="H882" t="s">
        <v>34</v>
      </c>
      <c r="I882" t="s">
        <v>75</v>
      </c>
      <c r="J882" s="1">
        <v>411</v>
      </c>
      <c r="K882" s="1">
        <v>41.1</v>
      </c>
      <c r="L882" s="3">
        <v>10</v>
      </c>
      <c r="M882" t="s">
        <v>36</v>
      </c>
      <c r="N882" s="2">
        <v>45153</v>
      </c>
      <c r="O882" t="s">
        <v>118</v>
      </c>
      <c r="P882" t="s">
        <v>58</v>
      </c>
      <c r="Q882">
        <v>55811</v>
      </c>
      <c r="R882" t="s">
        <v>27</v>
      </c>
      <c r="S882" s="10">
        <v>15.07781083635507</v>
      </c>
      <c r="T882">
        <v>15</v>
      </c>
    </row>
    <row r="883" spans="1:20" x14ac:dyDescent="0.3">
      <c r="A883">
        <v>1984</v>
      </c>
      <c r="B883" t="s">
        <v>892</v>
      </c>
      <c r="C883" t="s">
        <v>893</v>
      </c>
      <c r="D883" t="s">
        <v>894</v>
      </c>
      <c r="E883" t="s">
        <v>895</v>
      </c>
      <c r="F883" t="s">
        <v>896</v>
      </c>
      <c r="G883" t="s">
        <v>712</v>
      </c>
      <c r="H883" t="s">
        <v>22</v>
      </c>
      <c r="I883" t="s">
        <v>65</v>
      </c>
      <c r="J883" s="1">
        <v>899</v>
      </c>
      <c r="K883" s="1">
        <v>44.95</v>
      </c>
      <c r="L883" s="3">
        <v>20</v>
      </c>
      <c r="M883" t="s">
        <v>66</v>
      </c>
      <c r="N883" s="2">
        <v>45154</v>
      </c>
      <c r="O883" t="s">
        <v>173</v>
      </c>
      <c r="P883" t="s">
        <v>579</v>
      </c>
      <c r="Q883">
        <v>65810</v>
      </c>
      <c r="R883" t="s">
        <v>27</v>
      </c>
      <c r="S883" s="10">
        <v>28.359025309892729</v>
      </c>
      <c r="T883">
        <v>47</v>
      </c>
    </row>
    <row r="884" spans="1:20" x14ac:dyDescent="0.3">
      <c r="A884">
        <v>1880</v>
      </c>
      <c r="B884" t="s">
        <v>129</v>
      </c>
      <c r="C884" t="s">
        <v>130</v>
      </c>
      <c r="D884" t="s">
        <v>131</v>
      </c>
      <c r="E884" t="s">
        <v>132</v>
      </c>
      <c r="F884" t="s">
        <v>133</v>
      </c>
      <c r="G884" t="s">
        <v>134</v>
      </c>
      <c r="H884" t="s">
        <v>22</v>
      </c>
      <c r="I884" t="s">
        <v>135</v>
      </c>
      <c r="J884" s="1">
        <v>239</v>
      </c>
      <c r="K884" s="1">
        <v>39.833333333333336</v>
      </c>
      <c r="L884" s="3">
        <v>6</v>
      </c>
      <c r="M884" t="s">
        <v>36</v>
      </c>
      <c r="N884" s="2">
        <v>45155</v>
      </c>
      <c r="O884" t="s">
        <v>136</v>
      </c>
      <c r="P884" t="s">
        <v>137</v>
      </c>
      <c r="Q884">
        <v>60614</v>
      </c>
      <c r="R884" t="s">
        <v>27</v>
      </c>
      <c r="S884" s="10">
        <v>10.167400102925409</v>
      </c>
      <c r="T884">
        <v>13</v>
      </c>
    </row>
    <row r="885" spans="1:20" x14ac:dyDescent="0.3">
      <c r="A885">
        <v>1979</v>
      </c>
      <c r="B885" t="s">
        <v>302</v>
      </c>
      <c r="C885" t="s">
        <v>199</v>
      </c>
      <c r="D885" t="s">
        <v>1822</v>
      </c>
      <c r="E885" t="s">
        <v>1823</v>
      </c>
      <c r="F885" t="s">
        <v>1824</v>
      </c>
      <c r="G885" t="s">
        <v>428</v>
      </c>
      <c r="H885" t="s">
        <v>34</v>
      </c>
      <c r="I885" t="s">
        <v>65</v>
      </c>
      <c r="J885" s="1">
        <v>651</v>
      </c>
      <c r="K885" s="1">
        <v>40.6875</v>
      </c>
      <c r="L885" s="3">
        <v>16</v>
      </c>
      <c r="M885" t="s">
        <v>404</v>
      </c>
      <c r="N885" s="2">
        <v>45157</v>
      </c>
      <c r="O885" t="s">
        <v>83</v>
      </c>
      <c r="P885" t="s">
        <v>1825</v>
      </c>
      <c r="Q885">
        <v>12325</v>
      </c>
      <c r="R885" t="s">
        <v>27</v>
      </c>
      <c r="S885" s="10">
        <v>32.695340413191623</v>
      </c>
      <c r="T885">
        <v>27</v>
      </c>
    </row>
    <row r="886" spans="1:20" x14ac:dyDescent="0.3">
      <c r="A886">
        <v>1989</v>
      </c>
      <c r="B886" t="s">
        <v>556</v>
      </c>
      <c r="C886" t="s">
        <v>557</v>
      </c>
      <c r="D886" t="s">
        <v>558</v>
      </c>
      <c r="E886" t="s">
        <v>559</v>
      </c>
      <c r="F886" t="s">
        <v>560</v>
      </c>
      <c r="G886" t="s">
        <v>555</v>
      </c>
      <c r="H886" t="s">
        <v>34</v>
      </c>
      <c r="I886" t="s">
        <v>65</v>
      </c>
      <c r="J886" s="1">
        <v>945</v>
      </c>
      <c r="K886" s="1">
        <v>35</v>
      </c>
      <c r="L886" s="3">
        <v>27</v>
      </c>
      <c r="M886" t="s">
        <v>36</v>
      </c>
      <c r="N886" s="2">
        <v>45157</v>
      </c>
      <c r="O886" t="s">
        <v>67</v>
      </c>
      <c r="P886" t="s">
        <v>561</v>
      </c>
      <c r="Q886">
        <v>77346</v>
      </c>
      <c r="R886" t="s">
        <v>27</v>
      </c>
      <c r="S886" s="10">
        <v>64.407837123033104</v>
      </c>
      <c r="T886">
        <v>64</v>
      </c>
    </row>
    <row r="887" spans="1:20" x14ac:dyDescent="0.3">
      <c r="A887">
        <v>1298</v>
      </c>
      <c r="B887" t="s">
        <v>275</v>
      </c>
      <c r="C887" t="s">
        <v>340</v>
      </c>
      <c r="D887" t="s">
        <v>341</v>
      </c>
      <c r="E887" t="s">
        <v>342</v>
      </c>
      <c r="F887" t="s">
        <v>306</v>
      </c>
      <c r="G887" t="s">
        <v>180</v>
      </c>
      <c r="H887" t="s">
        <v>22</v>
      </c>
      <c r="I887" t="s">
        <v>236</v>
      </c>
      <c r="J887" s="1">
        <v>20</v>
      </c>
      <c r="K887" s="1">
        <v>20</v>
      </c>
      <c r="L887" s="3">
        <v>1</v>
      </c>
      <c r="M887" t="s">
        <v>343</v>
      </c>
      <c r="N887" s="2">
        <v>45159</v>
      </c>
      <c r="O887" t="s">
        <v>267</v>
      </c>
      <c r="P887" t="s">
        <v>344</v>
      </c>
      <c r="Q887">
        <v>32891</v>
      </c>
      <c r="R887" t="s">
        <v>27</v>
      </c>
      <c r="S887" s="10">
        <v>1.4029778215283495</v>
      </c>
      <c r="T887">
        <v>1</v>
      </c>
    </row>
    <row r="888" spans="1:20" x14ac:dyDescent="0.3">
      <c r="A888">
        <v>1750</v>
      </c>
      <c r="B888" t="s">
        <v>1197</v>
      </c>
      <c r="C888" t="s">
        <v>1826</v>
      </c>
      <c r="D888" t="s">
        <v>1827</v>
      </c>
      <c r="E888" t="s">
        <v>1828</v>
      </c>
      <c r="F888" t="s">
        <v>1829</v>
      </c>
      <c r="G888" t="s">
        <v>428</v>
      </c>
      <c r="H888" t="s">
        <v>22</v>
      </c>
      <c r="I888" t="s">
        <v>366</v>
      </c>
      <c r="J888" s="1">
        <v>169</v>
      </c>
      <c r="K888" s="1">
        <v>33.799999999999997</v>
      </c>
      <c r="L888" s="3">
        <v>5</v>
      </c>
      <c r="M888" t="s">
        <v>36</v>
      </c>
      <c r="N888" s="2">
        <v>45160</v>
      </c>
      <c r="O888" t="s">
        <v>292</v>
      </c>
      <c r="P888" t="s">
        <v>293</v>
      </c>
      <c r="Q888">
        <v>53277</v>
      </c>
      <c r="R888" t="s">
        <v>27</v>
      </c>
      <c r="S888" s="10">
        <v>7.7145895750211331</v>
      </c>
      <c r="T888">
        <v>8</v>
      </c>
    </row>
    <row r="889" spans="1:20" x14ac:dyDescent="0.3">
      <c r="A889">
        <v>1990</v>
      </c>
      <c r="B889" t="s">
        <v>1526</v>
      </c>
      <c r="C889" t="s">
        <v>861</v>
      </c>
      <c r="D889" t="s">
        <v>1527</v>
      </c>
      <c r="E889" t="s">
        <v>1528</v>
      </c>
      <c r="F889" t="s">
        <v>1437</v>
      </c>
      <c r="G889" t="s">
        <v>1189</v>
      </c>
      <c r="H889" t="s">
        <v>22</v>
      </c>
      <c r="I889" t="s">
        <v>65</v>
      </c>
      <c r="J889" s="1">
        <v>843</v>
      </c>
      <c r="K889" s="1">
        <v>40.142857142857146</v>
      </c>
      <c r="L889" s="3">
        <v>21</v>
      </c>
      <c r="M889" t="s">
        <v>36</v>
      </c>
      <c r="N889" s="2">
        <v>45163</v>
      </c>
      <c r="O889" t="s">
        <v>237</v>
      </c>
      <c r="P889" t="s">
        <v>1298</v>
      </c>
      <c r="Q889">
        <v>36622</v>
      </c>
      <c r="R889" t="s">
        <v>27</v>
      </c>
      <c r="S889" s="10">
        <v>39.763008285924279</v>
      </c>
      <c r="T889">
        <v>50</v>
      </c>
    </row>
    <row r="890" spans="1:20" x14ac:dyDescent="0.3">
      <c r="A890">
        <v>1586</v>
      </c>
      <c r="B890" t="s">
        <v>842</v>
      </c>
      <c r="C890" t="s">
        <v>1830</v>
      </c>
      <c r="D890" t="s">
        <v>1831</v>
      </c>
      <c r="E890" t="s">
        <v>1832</v>
      </c>
      <c r="F890" t="s">
        <v>1369</v>
      </c>
      <c r="G890" t="s">
        <v>670</v>
      </c>
      <c r="H890" t="s">
        <v>34</v>
      </c>
      <c r="I890" t="s">
        <v>98</v>
      </c>
      <c r="J890" s="1">
        <v>29</v>
      </c>
      <c r="K890" s="1">
        <v>29</v>
      </c>
      <c r="L890" s="3">
        <v>1</v>
      </c>
      <c r="M890" t="s">
        <v>36</v>
      </c>
      <c r="N890" s="2">
        <v>45164</v>
      </c>
      <c r="O890" t="s">
        <v>952</v>
      </c>
      <c r="P890" t="s">
        <v>953</v>
      </c>
      <c r="Q890">
        <v>8695</v>
      </c>
      <c r="R890" t="s">
        <v>27</v>
      </c>
      <c r="S890" s="10">
        <v>2.1573914467360704</v>
      </c>
      <c r="T890">
        <v>1</v>
      </c>
    </row>
    <row r="891" spans="1:20" x14ac:dyDescent="0.3">
      <c r="A891">
        <v>1993</v>
      </c>
      <c r="B891" t="s">
        <v>198</v>
      </c>
      <c r="C891" t="s">
        <v>1393</v>
      </c>
      <c r="D891" t="s">
        <v>1394</v>
      </c>
      <c r="E891" t="s">
        <v>1395</v>
      </c>
      <c r="F891" t="s">
        <v>1396</v>
      </c>
      <c r="G891" t="s">
        <v>285</v>
      </c>
      <c r="H891" t="s">
        <v>22</v>
      </c>
      <c r="I891" t="s">
        <v>65</v>
      </c>
      <c r="J891" s="1">
        <v>871</v>
      </c>
      <c r="K891" s="1">
        <v>30.03448275862069</v>
      </c>
      <c r="L891" s="3">
        <v>29</v>
      </c>
      <c r="M891" t="s">
        <v>143</v>
      </c>
      <c r="N891" s="2">
        <v>45165</v>
      </c>
      <c r="O891" t="s">
        <v>100</v>
      </c>
      <c r="P891" t="s">
        <v>734</v>
      </c>
      <c r="Q891">
        <v>50369</v>
      </c>
      <c r="R891" t="s">
        <v>27</v>
      </c>
      <c r="S891" s="10">
        <v>42.975402166931772</v>
      </c>
      <c r="T891">
        <v>45</v>
      </c>
    </row>
    <row r="892" spans="1:20" x14ac:dyDescent="0.3">
      <c r="A892">
        <v>1026</v>
      </c>
      <c r="B892" t="s">
        <v>77</v>
      </c>
      <c r="C892" t="s">
        <v>78</v>
      </c>
      <c r="D892" t="s">
        <v>79</v>
      </c>
      <c r="E892" t="s">
        <v>80</v>
      </c>
      <c r="F892" t="s">
        <v>81</v>
      </c>
      <c r="G892" t="s">
        <v>82</v>
      </c>
      <c r="H892" t="s">
        <v>22</v>
      </c>
      <c r="I892" t="s">
        <v>23</v>
      </c>
      <c r="J892" s="1">
        <v>244</v>
      </c>
      <c r="K892" s="1">
        <v>40.666666666666664</v>
      </c>
      <c r="L892" s="3">
        <v>6</v>
      </c>
      <c r="M892" t="s">
        <v>36</v>
      </c>
      <c r="N892" s="2">
        <v>45166</v>
      </c>
      <c r="O892" t="s">
        <v>83</v>
      </c>
      <c r="P892" t="s">
        <v>84</v>
      </c>
      <c r="Q892">
        <v>10469</v>
      </c>
      <c r="R892" t="s">
        <v>27</v>
      </c>
      <c r="S892" s="10">
        <v>8.3275457760827774</v>
      </c>
      <c r="T892">
        <v>9</v>
      </c>
    </row>
    <row r="893" spans="1:20" x14ac:dyDescent="0.3">
      <c r="A893">
        <v>1116</v>
      </c>
      <c r="B893" t="s">
        <v>49</v>
      </c>
      <c r="C893" t="s">
        <v>50</v>
      </c>
      <c r="D893" t="s">
        <v>51</v>
      </c>
      <c r="E893" t="s">
        <v>52</v>
      </c>
      <c r="F893" t="s">
        <v>53</v>
      </c>
      <c r="G893" t="s">
        <v>54</v>
      </c>
      <c r="H893" t="s">
        <v>22</v>
      </c>
      <c r="I893" t="s">
        <v>55</v>
      </c>
      <c r="J893" s="1">
        <v>993</v>
      </c>
      <c r="K893" s="1">
        <v>45.136363636363633</v>
      </c>
      <c r="L893" s="3">
        <v>22</v>
      </c>
      <c r="M893" t="s">
        <v>56</v>
      </c>
      <c r="N893" s="2">
        <v>45166</v>
      </c>
      <c r="O893" t="s">
        <v>57</v>
      </c>
      <c r="P893" t="s">
        <v>58</v>
      </c>
      <c r="Q893">
        <v>30096</v>
      </c>
      <c r="R893" t="s">
        <v>27</v>
      </c>
      <c r="S893" s="10">
        <v>48.61723749417343</v>
      </c>
      <c r="T893">
        <v>51</v>
      </c>
    </row>
    <row r="894" spans="1:20" x14ac:dyDescent="0.3">
      <c r="A894">
        <v>1705</v>
      </c>
      <c r="B894" t="s">
        <v>275</v>
      </c>
      <c r="C894" t="s">
        <v>655</v>
      </c>
      <c r="D894" t="s">
        <v>1833</v>
      </c>
      <c r="E894" t="s">
        <v>1834</v>
      </c>
      <c r="F894" t="s">
        <v>1835</v>
      </c>
      <c r="G894" t="s">
        <v>350</v>
      </c>
      <c r="H894" t="s">
        <v>22</v>
      </c>
      <c r="I894" t="s">
        <v>23</v>
      </c>
      <c r="J894" s="1">
        <v>657</v>
      </c>
      <c r="K894" s="1">
        <v>43.8</v>
      </c>
      <c r="L894" s="3">
        <v>15</v>
      </c>
      <c r="M894" t="s">
        <v>99</v>
      </c>
      <c r="N894" s="2">
        <v>45166</v>
      </c>
      <c r="O894" t="s">
        <v>229</v>
      </c>
      <c r="P894" t="s">
        <v>1282</v>
      </c>
      <c r="Q894">
        <v>43615</v>
      </c>
      <c r="R894" t="s">
        <v>27</v>
      </c>
      <c r="S894" s="10">
        <v>27.239901456182626</v>
      </c>
      <c r="T894">
        <v>32</v>
      </c>
    </row>
    <row r="895" spans="1:20" x14ac:dyDescent="0.3">
      <c r="A895">
        <v>1659</v>
      </c>
      <c r="B895" t="s">
        <v>1836</v>
      </c>
      <c r="C895" t="s">
        <v>1837</v>
      </c>
      <c r="D895" t="s">
        <v>1838</v>
      </c>
      <c r="E895" t="s">
        <v>1839</v>
      </c>
      <c r="F895" t="s">
        <v>377</v>
      </c>
      <c r="G895" t="s">
        <v>483</v>
      </c>
      <c r="H895" t="s">
        <v>34</v>
      </c>
      <c r="I895" t="s">
        <v>23</v>
      </c>
      <c r="J895" s="1">
        <v>281</v>
      </c>
      <c r="K895" s="1">
        <v>31.222222222222221</v>
      </c>
      <c r="L895" s="3">
        <v>9</v>
      </c>
      <c r="M895" t="s">
        <v>36</v>
      </c>
      <c r="N895" s="2">
        <v>45168</v>
      </c>
      <c r="O895" t="s">
        <v>37</v>
      </c>
      <c r="P895" t="s">
        <v>870</v>
      </c>
      <c r="Q895">
        <v>92127</v>
      </c>
      <c r="R895" t="s">
        <v>27</v>
      </c>
      <c r="S895" s="10">
        <v>16.369328159836737</v>
      </c>
      <c r="T895">
        <v>14</v>
      </c>
    </row>
    <row r="896" spans="1:20" x14ac:dyDescent="0.3">
      <c r="A896">
        <v>1574</v>
      </c>
      <c r="B896" t="s">
        <v>604</v>
      </c>
      <c r="C896" t="s">
        <v>1830</v>
      </c>
      <c r="D896" t="s">
        <v>1840</v>
      </c>
      <c r="E896" t="s">
        <v>1841</v>
      </c>
      <c r="F896" t="s">
        <v>1109</v>
      </c>
      <c r="G896" t="s">
        <v>1238</v>
      </c>
      <c r="H896" t="s">
        <v>22</v>
      </c>
      <c r="I896" t="s">
        <v>75</v>
      </c>
      <c r="J896" s="1">
        <v>83</v>
      </c>
      <c r="K896" s="1">
        <v>41.5</v>
      </c>
      <c r="L896" s="3">
        <v>2</v>
      </c>
      <c r="M896" t="s">
        <v>36</v>
      </c>
      <c r="N896" s="2">
        <v>45169</v>
      </c>
      <c r="O896" t="s">
        <v>83</v>
      </c>
      <c r="P896" t="s">
        <v>511</v>
      </c>
      <c r="Q896">
        <v>10131</v>
      </c>
      <c r="R896" t="s">
        <v>27</v>
      </c>
      <c r="S896" s="10">
        <v>4.2866433043109549</v>
      </c>
      <c r="T896">
        <v>2</v>
      </c>
    </row>
    <row r="897" spans="1:20" x14ac:dyDescent="0.3">
      <c r="A897">
        <v>1880</v>
      </c>
      <c r="B897" t="s">
        <v>129</v>
      </c>
      <c r="C897" t="s">
        <v>130</v>
      </c>
      <c r="D897" t="s">
        <v>131</v>
      </c>
      <c r="E897" t="s">
        <v>132</v>
      </c>
      <c r="F897" t="s">
        <v>133</v>
      </c>
      <c r="G897" t="s">
        <v>134</v>
      </c>
      <c r="H897" t="s">
        <v>22</v>
      </c>
      <c r="I897" t="s">
        <v>135</v>
      </c>
      <c r="J897" s="1">
        <v>308</v>
      </c>
      <c r="K897" s="1">
        <v>38.5</v>
      </c>
      <c r="L897" s="3">
        <v>8</v>
      </c>
      <c r="M897" t="s">
        <v>36</v>
      </c>
      <c r="N897" s="2">
        <v>45171</v>
      </c>
      <c r="O897" t="s">
        <v>136</v>
      </c>
      <c r="P897" t="s">
        <v>137</v>
      </c>
      <c r="Q897">
        <v>60614</v>
      </c>
      <c r="R897" t="s">
        <v>27</v>
      </c>
      <c r="S897" s="10">
        <v>13.591451732486782</v>
      </c>
      <c r="T897">
        <v>11</v>
      </c>
    </row>
    <row r="898" spans="1:20" x14ac:dyDescent="0.3">
      <c r="A898">
        <v>1260</v>
      </c>
      <c r="B898" t="s">
        <v>352</v>
      </c>
      <c r="C898" t="s">
        <v>353</v>
      </c>
      <c r="D898" t="s">
        <v>354</v>
      </c>
      <c r="E898" t="s">
        <v>355</v>
      </c>
      <c r="F898" t="s">
        <v>356</v>
      </c>
      <c r="G898" t="s">
        <v>357</v>
      </c>
      <c r="H898" t="s">
        <v>34</v>
      </c>
      <c r="I898" t="s">
        <v>236</v>
      </c>
      <c r="J898" s="1">
        <v>944</v>
      </c>
      <c r="K898" s="1">
        <v>26.222222222222221</v>
      </c>
      <c r="L898" s="3">
        <v>36</v>
      </c>
      <c r="M898" t="s">
        <v>36</v>
      </c>
      <c r="N898" s="2">
        <v>45172</v>
      </c>
      <c r="O898" t="s">
        <v>358</v>
      </c>
      <c r="P898" t="s">
        <v>359</v>
      </c>
      <c r="Q898">
        <v>99215</v>
      </c>
      <c r="R898" t="s">
        <v>27</v>
      </c>
      <c r="S898" s="10">
        <v>57.76391894758391</v>
      </c>
      <c r="T898">
        <v>83</v>
      </c>
    </row>
    <row r="899" spans="1:20" x14ac:dyDescent="0.3">
      <c r="A899">
        <v>1880</v>
      </c>
      <c r="B899" t="s">
        <v>129</v>
      </c>
      <c r="C899" t="s">
        <v>130</v>
      </c>
      <c r="D899" t="s">
        <v>131</v>
      </c>
      <c r="E899" t="s">
        <v>132</v>
      </c>
      <c r="F899" t="s">
        <v>133</v>
      </c>
      <c r="G899" t="s">
        <v>134</v>
      </c>
      <c r="H899" t="s">
        <v>22</v>
      </c>
      <c r="I899" t="s">
        <v>135</v>
      </c>
      <c r="J899" s="1">
        <v>608</v>
      </c>
      <c r="K899" s="1">
        <v>30.4</v>
      </c>
      <c r="L899" s="3">
        <v>20</v>
      </c>
      <c r="M899" t="s">
        <v>36</v>
      </c>
      <c r="N899" s="2">
        <v>45172</v>
      </c>
      <c r="O899" t="s">
        <v>136</v>
      </c>
      <c r="P899" t="s">
        <v>137</v>
      </c>
      <c r="Q899">
        <v>60614</v>
      </c>
      <c r="R899" t="s">
        <v>27</v>
      </c>
      <c r="S899" s="10">
        <v>30.021000018373844</v>
      </c>
      <c r="T899">
        <v>30</v>
      </c>
    </row>
    <row r="900" spans="1:20" x14ac:dyDescent="0.3">
      <c r="A900">
        <v>1017</v>
      </c>
      <c r="B900" t="s">
        <v>660</v>
      </c>
      <c r="C900" t="s">
        <v>679</v>
      </c>
      <c r="D900" t="s">
        <v>680</v>
      </c>
      <c r="E900" t="s">
        <v>681</v>
      </c>
      <c r="F900" t="s">
        <v>682</v>
      </c>
      <c r="G900" t="s">
        <v>446</v>
      </c>
      <c r="H900" t="s">
        <v>22</v>
      </c>
      <c r="I900" t="s">
        <v>23</v>
      </c>
      <c r="J900" s="1">
        <v>692</v>
      </c>
      <c r="K900" s="1">
        <v>38.444444444444443</v>
      </c>
      <c r="L900" s="3">
        <v>18</v>
      </c>
      <c r="M900" t="s">
        <v>36</v>
      </c>
      <c r="N900" s="2">
        <v>45173</v>
      </c>
      <c r="O900" t="s">
        <v>136</v>
      </c>
      <c r="P900" t="s">
        <v>137</v>
      </c>
      <c r="Q900">
        <v>60663</v>
      </c>
      <c r="R900" t="s">
        <v>27</v>
      </c>
      <c r="S900" s="10">
        <v>40.968927081351261</v>
      </c>
      <c r="T900">
        <v>30</v>
      </c>
    </row>
    <row r="901" spans="1:20" x14ac:dyDescent="0.3">
      <c r="A901">
        <v>1039</v>
      </c>
      <c r="B901" t="s">
        <v>828</v>
      </c>
      <c r="C901" t="s">
        <v>154</v>
      </c>
      <c r="D901" t="s">
        <v>829</v>
      </c>
      <c r="E901" t="s">
        <v>830</v>
      </c>
      <c r="F901" t="s">
        <v>831</v>
      </c>
      <c r="G901" t="s">
        <v>832</v>
      </c>
      <c r="H901" t="s">
        <v>34</v>
      </c>
      <c r="I901" t="s">
        <v>23</v>
      </c>
      <c r="J901" s="1">
        <v>70</v>
      </c>
      <c r="K901" s="1">
        <v>35</v>
      </c>
      <c r="L901" s="3">
        <v>2</v>
      </c>
      <c r="M901" t="s">
        <v>244</v>
      </c>
      <c r="N901" s="2">
        <v>45174</v>
      </c>
      <c r="O901" t="s">
        <v>496</v>
      </c>
      <c r="P901" t="s">
        <v>687</v>
      </c>
      <c r="Q901">
        <v>40298</v>
      </c>
      <c r="R901" t="s">
        <v>27</v>
      </c>
      <c r="S901" s="10">
        <v>4.7022812367787132</v>
      </c>
      <c r="T901">
        <v>2</v>
      </c>
    </row>
    <row r="902" spans="1:20" x14ac:dyDescent="0.3">
      <c r="A902">
        <v>1413</v>
      </c>
      <c r="B902" t="s">
        <v>672</v>
      </c>
      <c r="C902" t="s">
        <v>1550</v>
      </c>
      <c r="D902" t="s">
        <v>1580</v>
      </c>
      <c r="E902" t="s">
        <v>1581</v>
      </c>
      <c r="F902" t="s">
        <v>133</v>
      </c>
      <c r="G902" t="s">
        <v>227</v>
      </c>
      <c r="H902" t="s">
        <v>22</v>
      </c>
      <c r="I902" t="s">
        <v>299</v>
      </c>
      <c r="J902" s="1">
        <v>493</v>
      </c>
      <c r="K902" s="1">
        <v>32.866666666666667</v>
      </c>
      <c r="L902" s="3">
        <v>15</v>
      </c>
      <c r="M902" t="s">
        <v>56</v>
      </c>
      <c r="N902" s="2">
        <v>45174</v>
      </c>
      <c r="O902" t="s">
        <v>220</v>
      </c>
      <c r="P902" t="s">
        <v>328</v>
      </c>
      <c r="Q902">
        <v>47737</v>
      </c>
      <c r="R902" t="s">
        <v>27</v>
      </c>
      <c r="S902" s="10">
        <v>27.581838274670247</v>
      </c>
      <c r="T902">
        <v>29</v>
      </c>
    </row>
    <row r="903" spans="1:20" x14ac:dyDescent="0.3">
      <c r="A903">
        <v>1461</v>
      </c>
      <c r="B903" t="s">
        <v>352</v>
      </c>
      <c r="C903" t="s">
        <v>112</v>
      </c>
      <c r="D903" t="s">
        <v>1842</v>
      </c>
      <c r="E903" t="s">
        <v>1843</v>
      </c>
      <c r="F903" t="s">
        <v>840</v>
      </c>
      <c r="G903" t="s">
        <v>806</v>
      </c>
      <c r="H903" t="s">
        <v>34</v>
      </c>
      <c r="I903" t="s">
        <v>366</v>
      </c>
      <c r="J903" s="1">
        <v>516</v>
      </c>
      <c r="K903" s="1">
        <v>43</v>
      </c>
      <c r="L903" s="3">
        <v>12</v>
      </c>
      <c r="M903" t="s">
        <v>36</v>
      </c>
      <c r="N903" s="2">
        <v>45174</v>
      </c>
      <c r="O903" t="s">
        <v>67</v>
      </c>
      <c r="P903" t="s">
        <v>1844</v>
      </c>
      <c r="Q903">
        <v>77388</v>
      </c>
      <c r="R903" t="s">
        <v>27</v>
      </c>
      <c r="S903" s="10">
        <v>17.866835131967225</v>
      </c>
      <c r="T903">
        <v>17</v>
      </c>
    </row>
    <row r="904" spans="1:20" x14ac:dyDescent="0.3">
      <c r="A904">
        <v>1020</v>
      </c>
      <c r="B904" t="s">
        <v>310</v>
      </c>
      <c r="C904" t="s">
        <v>311</v>
      </c>
      <c r="D904" t="s">
        <v>312</v>
      </c>
      <c r="E904" t="s">
        <v>313</v>
      </c>
      <c r="F904" t="s">
        <v>314</v>
      </c>
      <c r="G904" t="s">
        <v>315</v>
      </c>
      <c r="H904" t="s">
        <v>22</v>
      </c>
      <c r="I904" t="s">
        <v>23</v>
      </c>
      <c r="J904" s="1">
        <v>823</v>
      </c>
      <c r="K904" s="1">
        <v>43.315789473684212</v>
      </c>
      <c r="L904" s="3">
        <v>19</v>
      </c>
      <c r="M904" t="s">
        <v>36</v>
      </c>
      <c r="N904" s="2">
        <v>45175</v>
      </c>
      <c r="O904" t="s">
        <v>37</v>
      </c>
      <c r="P904" t="s">
        <v>316</v>
      </c>
      <c r="Q904">
        <v>94105</v>
      </c>
      <c r="R904" t="s">
        <v>27</v>
      </c>
      <c r="S904" s="10">
        <v>46.201646108379904</v>
      </c>
      <c r="T904">
        <v>30</v>
      </c>
    </row>
    <row r="905" spans="1:20" x14ac:dyDescent="0.3">
      <c r="A905">
        <v>1696</v>
      </c>
      <c r="B905" t="s">
        <v>580</v>
      </c>
      <c r="C905" t="s">
        <v>1845</v>
      </c>
      <c r="D905" t="s">
        <v>1846</v>
      </c>
      <c r="E905" t="s">
        <v>1847</v>
      </c>
      <c r="F905" t="s">
        <v>1543</v>
      </c>
      <c r="G905" t="s">
        <v>172</v>
      </c>
      <c r="H905" t="s">
        <v>34</v>
      </c>
      <c r="I905" t="s">
        <v>23</v>
      </c>
      <c r="J905" s="1">
        <v>931</v>
      </c>
      <c r="K905" s="1">
        <v>27.382352941176471</v>
      </c>
      <c r="L905" s="3">
        <v>34</v>
      </c>
      <c r="M905" t="s">
        <v>36</v>
      </c>
      <c r="N905" s="2">
        <v>45175</v>
      </c>
      <c r="O905" t="s">
        <v>229</v>
      </c>
      <c r="P905" t="s">
        <v>927</v>
      </c>
      <c r="Q905">
        <v>45203</v>
      </c>
      <c r="R905" t="s">
        <v>27</v>
      </c>
      <c r="S905" s="10">
        <v>47.084245497387002</v>
      </c>
      <c r="T905">
        <v>55</v>
      </c>
    </row>
    <row r="906" spans="1:20" x14ac:dyDescent="0.3">
      <c r="A906">
        <v>1775</v>
      </c>
      <c r="B906" t="s">
        <v>175</v>
      </c>
      <c r="C906" t="s">
        <v>508</v>
      </c>
      <c r="D906" t="s">
        <v>1848</v>
      </c>
      <c r="E906" t="s">
        <v>1849</v>
      </c>
      <c r="F906" t="s">
        <v>977</v>
      </c>
      <c r="G906" t="s">
        <v>489</v>
      </c>
      <c r="H906" t="s">
        <v>34</v>
      </c>
      <c r="I906" t="s">
        <v>35</v>
      </c>
      <c r="J906" s="1">
        <v>770</v>
      </c>
      <c r="K906" s="1">
        <v>26.551724137931036</v>
      </c>
      <c r="L906" s="3">
        <v>29</v>
      </c>
      <c r="M906" t="s">
        <v>244</v>
      </c>
      <c r="N906" s="2">
        <v>45175</v>
      </c>
      <c r="O906" t="s">
        <v>37</v>
      </c>
      <c r="P906" t="s">
        <v>316</v>
      </c>
      <c r="Q906">
        <v>94110</v>
      </c>
      <c r="R906" t="s">
        <v>27</v>
      </c>
      <c r="S906" s="10">
        <v>59.564753826558757</v>
      </c>
      <c r="T906">
        <v>41</v>
      </c>
    </row>
    <row r="907" spans="1:20" x14ac:dyDescent="0.3">
      <c r="A907">
        <v>1631</v>
      </c>
      <c r="B907" t="s">
        <v>360</v>
      </c>
      <c r="C907" t="s">
        <v>1850</v>
      </c>
      <c r="D907" t="s">
        <v>1851</v>
      </c>
      <c r="E907" t="s">
        <v>1852</v>
      </c>
      <c r="F907" t="s">
        <v>1144</v>
      </c>
      <c r="G907" t="s">
        <v>194</v>
      </c>
      <c r="H907" t="s">
        <v>22</v>
      </c>
      <c r="I907" t="s">
        <v>23</v>
      </c>
      <c r="J907" s="1">
        <v>857</v>
      </c>
      <c r="K907" s="1">
        <v>34.28</v>
      </c>
      <c r="L907" s="3">
        <v>25</v>
      </c>
      <c r="M907" t="s">
        <v>143</v>
      </c>
      <c r="N907" s="2">
        <v>45176</v>
      </c>
      <c r="O907" t="s">
        <v>308</v>
      </c>
      <c r="P907" t="s">
        <v>1853</v>
      </c>
      <c r="Q907">
        <v>85260</v>
      </c>
      <c r="R907" t="s">
        <v>27</v>
      </c>
      <c r="S907" s="10">
        <v>46.156289171287611</v>
      </c>
      <c r="T907">
        <v>39</v>
      </c>
    </row>
    <row r="908" spans="1:20" x14ac:dyDescent="0.3">
      <c r="A908">
        <v>1026</v>
      </c>
      <c r="B908" t="s">
        <v>77</v>
      </c>
      <c r="C908" t="s">
        <v>78</v>
      </c>
      <c r="D908" t="s">
        <v>79</v>
      </c>
      <c r="E908" t="s">
        <v>80</v>
      </c>
      <c r="F908" t="s">
        <v>81</v>
      </c>
      <c r="G908" t="s">
        <v>82</v>
      </c>
      <c r="H908" t="s">
        <v>22</v>
      </c>
      <c r="I908" t="s">
        <v>23</v>
      </c>
      <c r="J908" s="1">
        <v>448</v>
      </c>
      <c r="K908" s="1">
        <v>26.352941176470587</v>
      </c>
      <c r="L908" s="3">
        <v>17</v>
      </c>
      <c r="M908" t="s">
        <v>36</v>
      </c>
      <c r="N908" s="2">
        <v>45177</v>
      </c>
      <c r="O908" t="s">
        <v>83</v>
      </c>
      <c r="P908" t="s">
        <v>84</v>
      </c>
      <c r="Q908">
        <v>10469</v>
      </c>
      <c r="R908" t="s">
        <v>27</v>
      </c>
      <c r="S908" s="10">
        <v>30.353279492707362</v>
      </c>
      <c r="T908">
        <v>29</v>
      </c>
    </row>
    <row r="909" spans="1:20" x14ac:dyDescent="0.3">
      <c r="A909">
        <v>1116</v>
      </c>
      <c r="B909" t="s">
        <v>49</v>
      </c>
      <c r="C909" t="s">
        <v>50</v>
      </c>
      <c r="D909" t="s">
        <v>51</v>
      </c>
      <c r="E909" t="s">
        <v>52</v>
      </c>
      <c r="F909" t="s">
        <v>53</v>
      </c>
      <c r="G909" t="s">
        <v>54</v>
      </c>
      <c r="H909" t="s">
        <v>22</v>
      </c>
      <c r="I909" t="s">
        <v>55</v>
      </c>
      <c r="J909" s="1">
        <v>910</v>
      </c>
      <c r="K909" s="1">
        <v>26</v>
      </c>
      <c r="L909" s="3">
        <v>35</v>
      </c>
      <c r="M909" t="s">
        <v>56</v>
      </c>
      <c r="N909" s="2">
        <v>45177</v>
      </c>
      <c r="O909" t="s">
        <v>57</v>
      </c>
      <c r="P909" t="s">
        <v>58</v>
      </c>
      <c r="Q909">
        <v>30096</v>
      </c>
      <c r="R909" t="s">
        <v>27</v>
      </c>
      <c r="S909" s="10">
        <v>56.707747999826388</v>
      </c>
      <c r="T909">
        <v>60</v>
      </c>
    </row>
    <row r="910" spans="1:20" x14ac:dyDescent="0.3">
      <c r="A910">
        <v>1726</v>
      </c>
      <c r="B910" t="s">
        <v>1854</v>
      </c>
      <c r="C910" t="s">
        <v>1761</v>
      </c>
      <c r="D910" t="s">
        <v>1855</v>
      </c>
      <c r="E910" t="s">
        <v>1856</v>
      </c>
      <c r="F910" t="s">
        <v>1280</v>
      </c>
      <c r="G910" t="s">
        <v>1362</v>
      </c>
      <c r="H910" t="s">
        <v>34</v>
      </c>
      <c r="I910" t="s">
        <v>45</v>
      </c>
      <c r="J910" s="1">
        <v>648</v>
      </c>
      <c r="K910" s="1">
        <v>36</v>
      </c>
      <c r="L910" s="3">
        <v>18</v>
      </c>
      <c r="M910" t="s">
        <v>66</v>
      </c>
      <c r="N910" s="2">
        <v>45178</v>
      </c>
      <c r="O910" t="s">
        <v>267</v>
      </c>
      <c r="P910" t="s">
        <v>1857</v>
      </c>
      <c r="Q910">
        <v>33906</v>
      </c>
      <c r="R910" t="s">
        <v>27</v>
      </c>
      <c r="S910" s="10">
        <v>36.002580654221859</v>
      </c>
      <c r="T910">
        <v>31</v>
      </c>
    </row>
    <row r="911" spans="1:20" x14ac:dyDescent="0.3">
      <c r="A911">
        <v>1805</v>
      </c>
      <c r="B911" t="s">
        <v>1858</v>
      </c>
      <c r="C911" t="s">
        <v>695</v>
      </c>
      <c r="D911" t="s">
        <v>1859</v>
      </c>
      <c r="E911" t="s">
        <v>1860</v>
      </c>
      <c r="F911" t="s">
        <v>1861</v>
      </c>
      <c r="G911" t="s">
        <v>617</v>
      </c>
      <c r="H911" t="s">
        <v>34</v>
      </c>
      <c r="I911" t="s">
        <v>75</v>
      </c>
      <c r="J911" s="1">
        <v>530</v>
      </c>
      <c r="K911" s="1">
        <v>40.769230769230766</v>
      </c>
      <c r="L911" s="3">
        <v>13</v>
      </c>
      <c r="M911" t="s">
        <v>143</v>
      </c>
      <c r="N911" s="2">
        <v>45179</v>
      </c>
      <c r="O911" t="s">
        <v>982</v>
      </c>
      <c r="P911" t="s">
        <v>983</v>
      </c>
      <c r="Q911">
        <v>96845</v>
      </c>
      <c r="R911" t="s">
        <v>27</v>
      </c>
      <c r="S911" s="10">
        <v>23.594369079518124</v>
      </c>
      <c r="T911">
        <v>20</v>
      </c>
    </row>
    <row r="912" spans="1:20" x14ac:dyDescent="0.3">
      <c r="A912">
        <v>1365</v>
      </c>
      <c r="B912" t="s">
        <v>471</v>
      </c>
      <c r="C912" t="s">
        <v>472</v>
      </c>
      <c r="D912" t="s">
        <v>473</v>
      </c>
      <c r="E912" t="s">
        <v>474</v>
      </c>
      <c r="F912" t="s">
        <v>475</v>
      </c>
      <c r="G912" t="s">
        <v>476</v>
      </c>
      <c r="H912" t="s">
        <v>34</v>
      </c>
      <c r="I912" t="s">
        <v>55</v>
      </c>
      <c r="J912" s="1">
        <v>416</v>
      </c>
      <c r="K912" s="1">
        <v>41.6</v>
      </c>
      <c r="L912" s="3">
        <v>10</v>
      </c>
      <c r="M912" t="s">
        <v>66</v>
      </c>
      <c r="N912" s="2">
        <v>45180</v>
      </c>
      <c r="O912" t="s">
        <v>267</v>
      </c>
      <c r="P912" t="s">
        <v>477</v>
      </c>
      <c r="Q912">
        <v>33261</v>
      </c>
      <c r="R912" t="s">
        <v>27</v>
      </c>
      <c r="S912" s="10">
        <v>15.094474287822635</v>
      </c>
      <c r="T912">
        <v>18</v>
      </c>
    </row>
    <row r="913" spans="1:20" x14ac:dyDescent="0.3">
      <c r="A913">
        <v>1744</v>
      </c>
      <c r="B913" t="s">
        <v>828</v>
      </c>
      <c r="C913" t="s">
        <v>1862</v>
      </c>
      <c r="D913" t="s">
        <v>1863</v>
      </c>
      <c r="E913" t="s">
        <v>1864</v>
      </c>
      <c r="F913" t="s">
        <v>133</v>
      </c>
      <c r="G913" t="s">
        <v>258</v>
      </c>
      <c r="H913" t="s">
        <v>34</v>
      </c>
      <c r="I913" t="s">
        <v>236</v>
      </c>
      <c r="J913" s="1">
        <v>767</v>
      </c>
      <c r="K913" s="1">
        <v>38.35</v>
      </c>
      <c r="L913" s="3">
        <v>20</v>
      </c>
      <c r="M913" t="s">
        <v>36</v>
      </c>
      <c r="N913" s="2">
        <v>45181</v>
      </c>
      <c r="O913" t="s">
        <v>47</v>
      </c>
      <c r="P913" t="s">
        <v>91</v>
      </c>
      <c r="Q913">
        <v>23663</v>
      </c>
      <c r="R913" t="s">
        <v>27</v>
      </c>
      <c r="S913" s="10">
        <v>41.443375735279119</v>
      </c>
      <c r="T913">
        <v>38</v>
      </c>
    </row>
    <row r="914" spans="1:20" x14ac:dyDescent="0.3">
      <c r="A914">
        <v>1435</v>
      </c>
      <c r="B914" t="s">
        <v>189</v>
      </c>
      <c r="C914" t="s">
        <v>190</v>
      </c>
      <c r="D914" t="s">
        <v>191</v>
      </c>
      <c r="E914" t="s">
        <v>192</v>
      </c>
      <c r="F914" t="s">
        <v>193</v>
      </c>
      <c r="G914" t="s">
        <v>194</v>
      </c>
      <c r="H914" t="s">
        <v>34</v>
      </c>
      <c r="I914" t="s">
        <v>35</v>
      </c>
      <c r="J914" s="1">
        <v>803</v>
      </c>
      <c r="K914" s="1">
        <v>40.15</v>
      </c>
      <c r="L914" s="3">
        <v>20</v>
      </c>
      <c r="M914" t="s">
        <v>195</v>
      </c>
      <c r="N914" s="2">
        <v>45185</v>
      </c>
      <c r="O914" t="s">
        <v>196</v>
      </c>
      <c r="P914" t="s">
        <v>197</v>
      </c>
      <c r="Q914">
        <v>19605</v>
      </c>
      <c r="R914" t="s">
        <v>27</v>
      </c>
      <c r="S914" s="10">
        <v>35.924012587284267</v>
      </c>
      <c r="T914">
        <v>40</v>
      </c>
    </row>
    <row r="915" spans="1:20" x14ac:dyDescent="0.3">
      <c r="A915">
        <v>1081</v>
      </c>
      <c r="B915" t="s">
        <v>529</v>
      </c>
      <c r="C915" t="s">
        <v>530</v>
      </c>
      <c r="D915" t="s">
        <v>531</v>
      </c>
      <c r="E915" t="s">
        <v>532</v>
      </c>
      <c r="F915" t="s">
        <v>533</v>
      </c>
      <c r="G915" t="s">
        <v>495</v>
      </c>
      <c r="H915" t="s">
        <v>22</v>
      </c>
      <c r="I915" t="s">
        <v>55</v>
      </c>
      <c r="J915" s="1">
        <v>962</v>
      </c>
      <c r="K915" s="1">
        <v>38.479999999999997</v>
      </c>
      <c r="L915" s="3">
        <v>25</v>
      </c>
      <c r="M915" t="s">
        <v>447</v>
      </c>
      <c r="N915" s="2">
        <v>45186</v>
      </c>
      <c r="O915" t="s">
        <v>229</v>
      </c>
      <c r="P915" t="s">
        <v>534</v>
      </c>
      <c r="Q915">
        <v>45426</v>
      </c>
      <c r="R915" t="s">
        <v>27</v>
      </c>
      <c r="S915" s="10">
        <v>60.886832615597775</v>
      </c>
      <c r="T915">
        <v>51</v>
      </c>
    </row>
    <row r="916" spans="1:20" x14ac:dyDescent="0.3">
      <c r="A916">
        <v>1170</v>
      </c>
      <c r="B916" t="s">
        <v>153</v>
      </c>
      <c r="C916" t="s">
        <v>154</v>
      </c>
      <c r="D916" t="s">
        <v>155</v>
      </c>
      <c r="E916" t="s">
        <v>156</v>
      </c>
      <c r="F916" t="s">
        <v>157</v>
      </c>
      <c r="G916" t="s">
        <v>158</v>
      </c>
      <c r="H916" t="s">
        <v>34</v>
      </c>
      <c r="I916" t="s">
        <v>65</v>
      </c>
      <c r="J916" s="1">
        <v>584</v>
      </c>
      <c r="K916" s="1">
        <v>27.80952380952381</v>
      </c>
      <c r="L916" s="3">
        <v>21</v>
      </c>
      <c r="M916" t="s">
        <v>24</v>
      </c>
      <c r="N916" s="2">
        <v>45188</v>
      </c>
      <c r="O916" t="s">
        <v>67</v>
      </c>
      <c r="P916" t="s">
        <v>159</v>
      </c>
      <c r="Q916">
        <v>88574</v>
      </c>
      <c r="R916" t="s">
        <v>27</v>
      </c>
      <c r="S916" s="10">
        <v>32.979601264540449</v>
      </c>
      <c r="T916">
        <v>49</v>
      </c>
    </row>
    <row r="917" spans="1:20" x14ac:dyDescent="0.3">
      <c r="A917">
        <v>1936</v>
      </c>
      <c r="B917" t="s">
        <v>819</v>
      </c>
      <c r="C917" t="s">
        <v>270</v>
      </c>
      <c r="D917" t="s">
        <v>1865</v>
      </c>
      <c r="E917" t="s">
        <v>1866</v>
      </c>
      <c r="F917" t="s">
        <v>32</v>
      </c>
      <c r="G917" t="s">
        <v>854</v>
      </c>
      <c r="H917" t="s">
        <v>22</v>
      </c>
      <c r="I917" t="s">
        <v>55</v>
      </c>
      <c r="J917" s="1">
        <v>636</v>
      </c>
      <c r="K917" s="1">
        <v>33.473684210526315</v>
      </c>
      <c r="L917" s="3">
        <v>19</v>
      </c>
      <c r="M917" t="s">
        <v>343</v>
      </c>
      <c r="N917" s="2">
        <v>45190</v>
      </c>
      <c r="O917" t="s">
        <v>67</v>
      </c>
      <c r="P917" t="s">
        <v>1867</v>
      </c>
      <c r="Q917">
        <v>76796</v>
      </c>
      <c r="R917" t="s">
        <v>27</v>
      </c>
      <c r="S917" s="10">
        <v>38.377936564482226</v>
      </c>
      <c r="T917">
        <v>36</v>
      </c>
    </row>
    <row r="918" spans="1:20" x14ac:dyDescent="0.3">
      <c r="A918">
        <v>1680</v>
      </c>
      <c r="B918" t="s">
        <v>1868</v>
      </c>
      <c r="C918" t="s">
        <v>103</v>
      </c>
      <c r="D918" t="s">
        <v>1869</v>
      </c>
      <c r="E918" t="s">
        <v>1870</v>
      </c>
      <c r="F918" t="s">
        <v>1721</v>
      </c>
      <c r="G918" t="s">
        <v>265</v>
      </c>
      <c r="H918" t="s">
        <v>34</v>
      </c>
      <c r="I918" t="s">
        <v>23</v>
      </c>
      <c r="J918" s="1">
        <v>362</v>
      </c>
      <c r="K918" s="1">
        <v>36.200000000000003</v>
      </c>
      <c r="L918" s="3">
        <v>10</v>
      </c>
      <c r="M918" t="s">
        <v>36</v>
      </c>
      <c r="N918" s="2">
        <v>45191</v>
      </c>
      <c r="O918" t="s">
        <v>100</v>
      </c>
      <c r="P918" t="s">
        <v>1871</v>
      </c>
      <c r="Q918">
        <v>51110</v>
      </c>
      <c r="R918" t="s">
        <v>27</v>
      </c>
      <c r="S918" s="10">
        <v>13.839905839024256</v>
      </c>
      <c r="T918">
        <v>19</v>
      </c>
    </row>
    <row r="919" spans="1:20" x14ac:dyDescent="0.3">
      <c r="A919">
        <v>1298</v>
      </c>
      <c r="B919" t="s">
        <v>275</v>
      </c>
      <c r="C919" t="s">
        <v>340</v>
      </c>
      <c r="D919" t="s">
        <v>341</v>
      </c>
      <c r="E919" t="s">
        <v>342</v>
      </c>
      <c r="F919" t="s">
        <v>306</v>
      </c>
      <c r="G919" t="s">
        <v>180</v>
      </c>
      <c r="H919" t="s">
        <v>22</v>
      </c>
      <c r="I919" t="s">
        <v>236</v>
      </c>
      <c r="J919" s="1">
        <v>37</v>
      </c>
      <c r="K919" s="1">
        <v>37</v>
      </c>
      <c r="L919" s="3">
        <v>1</v>
      </c>
      <c r="M919" t="s">
        <v>343</v>
      </c>
      <c r="N919" s="2">
        <v>45192</v>
      </c>
      <c r="O919" t="s">
        <v>267</v>
      </c>
      <c r="P919" t="s">
        <v>344</v>
      </c>
      <c r="Q919">
        <v>32891</v>
      </c>
      <c r="R919" t="s">
        <v>27</v>
      </c>
      <c r="S919" s="10">
        <v>2.2574275553416467</v>
      </c>
      <c r="T919">
        <v>2</v>
      </c>
    </row>
    <row r="920" spans="1:20" x14ac:dyDescent="0.3">
      <c r="A920">
        <v>1435</v>
      </c>
      <c r="B920" t="s">
        <v>189</v>
      </c>
      <c r="C920" t="s">
        <v>190</v>
      </c>
      <c r="D920" t="s">
        <v>191</v>
      </c>
      <c r="E920" t="s">
        <v>192</v>
      </c>
      <c r="F920" t="s">
        <v>193</v>
      </c>
      <c r="G920" t="s">
        <v>194</v>
      </c>
      <c r="H920" t="s">
        <v>34</v>
      </c>
      <c r="I920" t="s">
        <v>35</v>
      </c>
      <c r="J920" s="1">
        <v>745</v>
      </c>
      <c r="K920" s="1">
        <v>32.391304347826086</v>
      </c>
      <c r="L920" s="3">
        <v>23</v>
      </c>
      <c r="M920" t="s">
        <v>195</v>
      </c>
      <c r="N920" s="2">
        <v>45192</v>
      </c>
      <c r="O920" t="s">
        <v>196</v>
      </c>
      <c r="P920" t="s">
        <v>197</v>
      </c>
      <c r="Q920">
        <v>19605</v>
      </c>
      <c r="R920" t="s">
        <v>27</v>
      </c>
      <c r="S920" s="10">
        <v>45.962557417925616</v>
      </c>
      <c r="T920">
        <v>33</v>
      </c>
    </row>
    <row r="921" spans="1:20" x14ac:dyDescent="0.3">
      <c r="A921">
        <v>1020</v>
      </c>
      <c r="B921" t="s">
        <v>310</v>
      </c>
      <c r="C921" t="s">
        <v>311</v>
      </c>
      <c r="D921" t="s">
        <v>312</v>
      </c>
      <c r="E921" t="s">
        <v>313</v>
      </c>
      <c r="F921" t="s">
        <v>314</v>
      </c>
      <c r="G921" t="s">
        <v>315</v>
      </c>
      <c r="H921" t="s">
        <v>22</v>
      </c>
      <c r="I921" t="s">
        <v>23</v>
      </c>
      <c r="J921" s="1">
        <v>377</v>
      </c>
      <c r="K921" s="1">
        <v>37.700000000000003</v>
      </c>
      <c r="L921" s="3">
        <v>10</v>
      </c>
      <c r="M921" t="s">
        <v>36</v>
      </c>
      <c r="N921" s="2">
        <v>45194</v>
      </c>
      <c r="O921" t="s">
        <v>37</v>
      </c>
      <c r="P921" t="s">
        <v>316</v>
      </c>
      <c r="Q921">
        <v>94105</v>
      </c>
      <c r="R921" t="s">
        <v>27</v>
      </c>
      <c r="S921" s="10">
        <v>14.298439592875546</v>
      </c>
      <c r="T921">
        <v>16</v>
      </c>
    </row>
    <row r="922" spans="1:20" x14ac:dyDescent="0.3">
      <c r="A922">
        <v>1992</v>
      </c>
      <c r="B922" t="s">
        <v>360</v>
      </c>
      <c r="C922" t="s">
        <v>719</v>
      </c>
      <c r="D922" t="s">
        <v>720</v>
      </c>
      <c r="E922" t="s">
        <v>721</v>
      </c>
      <c r="F922" t="s">
        <v>722</v>
      </c>
      <c r="G922" t="s">
        <v>142</v>
      </c>
      <c r="H922" t="s">
        <v>22</v>
      </c>
      <c r="I922" t="s">
        <v>65</v>
      </c>
      <c r="J922" s="1">
        <v>406</v>
      </c>
      <c r="K922" s="1">
        <v>36.909090909090907</v>
      </c>
      <c r="L922" s="3">
        <v>11</v>
      </c>
      <c r="M922" t="s">
        <v>36</v>
      </c>
      <c r="N922" s="2">
        <v>45196</v>
      </c>
      <c r="O922" t="s">
        <v>220</v>
      </c>
      <c r="P922" t="s">
        <v>723</v>
      </c>
      <c r="Q922">
        <v>47306</v>
      </c>
      <c r="R922" t="s">
        <v>27</v>
      </c>
      <c r="S922" s="10">
        <v>16.530457592024327</v>
      </c>
      <c r="T922">
        <v>21</v>
      </c>
    </row>
    <row r="923" spans="1:20" x14ac:dyDescent="0.3">
      <c r="A923">
        <v>1435</v>
      </c>
      <c r="B923" t="s">
        <v>189</v>
      </c>
      <c r="C923" t="s">
        <v>190</v>
      </c>
      <c r="D923" t="s">
        <v>191</v>
      </c>
      <c r="E923" t="s">
        <v>192</v>
      </c>
      <c r="F923" t="s">
        <v>193</v>
      </c>
      <c r="G923" t="s">
        <v>194</v>
      </c>
      <c r="H923" t="s">
        <v>34</v>
      </c>
      <c r="I923" t="s">
        <v>35</v>
      </c>
      <c r="J923" s="1">
        <v>666</v>
      </c>
      <c r="K923" s="1">
        <v>37</v>
      </c>
      <c r="L923" s="3">
        <v>18</v>
      </c>
      <c r="M923" t="s">
        <v>195</v>
      </c>
      <c r="N923" s="2">
        <v>45199</v>
      </c>
      <c r="O923" t="s">
        <v>196</v>
      </c>
      <c r="P923" t="s">
        <v>197</v>
      </c>
      <c r="Q923">
        <v>19605</v>
      </c>
      <c r="R923" t="s">
        <v>27</v>
      </c>
      <c r="S923" s="10">
        <v>44.236297671290913</v>
      </c>
      <c r="T923">
        <v>24</v>
      </c>
    </row>
    <row r="924" spans="1:20" x14ac:dyDescent="0.3">
      <c r="A924">
        <v>1766</v>
      </c>
      <c r="B924" t="s">
        <v>1118</v>
      </c>
      <c r="C924" t="s">
        <v>68</v>
      </c>
      <c r="D924" t="s">
        <v>1872</v>
      </c>
      <c r="E924" t="s">
        <v>1873</v>
      </c>
      <c r="F924" t="s">
        <v>1874</v>
      </c>
      <c r="G924" t="s">
        <v>790</v>
      </c>
      <c r="H924" t="s">
        <v>34</v>
      </c>
      <c r="I924" t="s">
        <v>35</v>
      </c>
      <c r="J924" s="1">
        <v>935</v>
      </c>
      <c r="K924" s="1">
        <v>29.21875</v>
      </c>
      <c r="L924" s="3">
        <v>32</v>
      </c>
      <c r="M924" t="s">
        <v>126</v>
      </c>
      <c r="N924" s="2">
        <v>45200</v>
      </c>
      <c r="O924" t="s">
        <v>37</v>
      </c>
      <c r="P924" t="s">
        <v>1875</v>
      </c>
      <c r="Q924">
        <v>91913</v>
      </c>
      <c r="R924" t="s">
        <v>27</v>
      </c>
      <c r="S924" s="10">
        <v>78.388401435953</v>
      </c>
      <c r="T924">
        <v>59</v>
      </c>
    </row>
    <row r="925" spans="1:20" x14ac:dyDescent="0.3">
      <c r="A925">
        <v>1663</v>
      </c>
      <c r="B925" t="s">
        <v>1876</v>
      </c>
      <c r="C925" t="s">
        <v>1366</v>
      </c>
      <c r="D925" t="s">
        <v>1877</v>
      </c>
      <c r="E925" t="s">
        <v>1878</v>
      </c>
      <c r="F925" t="s">
        <v>1500</v>
      </c>
      <c r="G925" t="s">
        <v>315</v>
      </c>
      <c r="H925" t="s">
        <v>34</v>
      </c>
      <c r="I925" t="s">
        <v>23</v>
      </c>
      <c r="J925" s="1">
        <v>646</v>
      </c>
      <c r="K925" s="1">
        <v>38</v>
      </c>
      <c r="L925" s="3">
        <v>17</v>
      </c>
      <c r="M925" t="s">
        <v>36</v>
      </c>
      <c r="N925" s="2">
        <v>45201</v>
      </c>
      <c r="O925" t="s">
        <v>57</v>
      </c>
      <c r="P925" t="s">
        <v>58</v>
      </c>
      <c r="Q925">
        <v>30096</v>
      </c>
      <c r="R925" t="s">
        <v>27</v>
      </c>
      <c r="S925" s="10">
        <v>39.521480356232935</v>
      </c>
      <c r="T925">
        <v>32</v>
      </c>
    </row>
    <row r="926" spans="1:20" x14ac:dyDescent="0.3">
      <c r="A926">
        <v>1298</v>
      </c>
      <c r="B926" t="s">
        <v>275</v>
      </c>
      <c r="C926" t="s">
        <v>340</v>
      </c>
      <c r="D926" t="s">
        <v>341</v>
      </c>
      <c r="E926" t="s">
        <v>342</v>
      </c>
      <c r="F926" t="s">
        <v>306</v>
      </c>
      <c r="G926" t="s">
        <v>180</v>
      </c>
      <c r="H926" t="s">
        <v>22</v>
      </c>
      <c r="I926" t="s">
        <v>236</v>
      </c>
      <c r="J926" s="1">
        <v>539</v>
      </c>
      <c r="K926" s="1">
        <v>31.705882352941178</v>
      </c>
      <c r="L926" s="3">
        <v>17</v>
      </c>
      <c r="M926" t="s">
        <v>343</v>
      </c>
      <c r="N926" s="2">
        <v>45202</v>
      </c>
      <c r="O926" t="s">
        <v>267</v>
      </c>
      <c r="P926" t="s">
        <v>344</v>
      </c>
      <c r="Q926">
        <v>32891</v>
      </c>
      <c r="R926" t="s">
        <v>27</v>
      </c>
      <c r="S926" s="10">
        <v>32.21522485088186</v>
      </c>
      <c r="T926">
        <v>29</v>
      </c>
    </row>
    <row r="927" spans="1:20" x14ac:dyDescent="0.3">
      <c r="A927">
        <v>1298</v>
      </c>
      <c r="B927" t="s">
        <v>275</v>
      </c>
      <c r="C927" t="s">
        <v>340</v>
      </c>
      <c r="D927" t="s">
        <v>341</v>
      </c>
      <c r="E927" t="s">
        <v>342</v>
      </c>
      <c r="F927" t="s">
        <v>306</v>
      </c>
      <c r="G927" t="s">
        <v>180</v>
      </c>
      <c r="H927" t="s">
        <v>22</v>
      </c>
      <c r="I927" t="s">
        <v>236</v>
      </c>
      <c r="J927" s="1">
        <v>787</v>
      </c>
      <c r="K927" s="1">
        <v>32.791666666666664</v>
      </c>
      <c r="L927" s="3">
        <v>24</v>
      </c>
      <c r="M927" t="s">
        <v>343</v>
      </c>
      <c r="N927" s="2">
        <v>45204</v>
      </c>
      <c r="O927" t="s">
        <v>267</v>
      </c>
      <c r="P927" t="s">
        <v>344</v>
      </c>
      <c r="Q927">
        <v>32891</v>
      </c>
      <c r="R927" t="s">
        <v>27</v>
      </c>
      <c r="S927" s="10">
        <v>55.373095727334587</v>
      </c>
      <c r="T927">
        <v>49</v>
      </c>
    </row>
    <row r="928" spans="1:20" x14ac:dyDescent="0.3">
      <c r="A928">
        <v>1511</v>
      </c>
      <c r="B928" t="s">
        <v>1656</v>
      </c>
      <c r="C928" t="s">
        <v>939</v>
      </c>
      <c r="D928" t="s">
        <v>1879</v>
      </c>
      <c r="E928" t="s">
        <v>1880</v>
      </c>
      <c r="F928" t="s">
        <v>1881</v>
      </c>
      <c r="G928" t="s">
        <v>142</v>
      </c>
      <c r="H928" t="s">
        <v>34</v>
      </c>
      <c r="I928" t="s">
        <v>75</v>
      </c>
      <c r="J928" s="1">
        <v>837</v>
      </c>
      <c r="K928" s="1">
        <v>41.85</v>
      </c>
      <c r="L928" s="3">
        <v>20</v>
      </c>
      <c r="M928" t="s">
        <v>36</v>
      </c>
      <c r="N928" s="2">
        <v>45204</v>
      </c>
      <c r="O928" t="s">
        <v>37</v>
      </c>
      <c r="P928" t="s">
        <v>1882</v>
      </c>
      <c r="Q928">
        <v>93094</v>
      </c>
      <c r="R928" t="s">
        <v>27</v>
      </c>
      <c r="S928" s="10">
        <v>42.315393824860614</v>
      </c>
      <c r="T928">
        <v>29</v>
      </c>
    </row>
    <row r="929" spans="1:20" x14ac:dyDescent="0.3">
      <c r="A929">
        <v>1851</v>
      </c>
      <c r="B929" t="s">
        <v>604</v>
      </c>
      <c r="C929" t="s">
        <v>358</v>
      </c>
      <c r="D929" t="s">
        <v>605</v>
      </c>
      <c r="E929" t="s">
        <v>606</v>
      </c>
      <c r="F929" t="s">
        <v>607</v>
      </c>
      <c r="G929" t="s">
        <v>194</v>
      </c>
      <c r="H929" t="s">
        <v>22</v>
      </c>
      <c r="I929" t="s">
        <v>65</v>
      </c>
      <c r="J929" s="1">
        <v>14</v>
      </c>
      <c r="K929" s="1">
        <v>14</v>
      </c>
      <c r="L929" s="3">
        <v>1</v>
      </c>
      <c r="M929" t="s">
        <v>343</v>
      </c>
      <c r="N929" s="2">
        <v>45206</v>
      </c>
      <c r="O929" t="s">
        <v>83</v>
      </c>
      <c r="P929" t="s">
        <v>351</v>
      </c>
      <c r="Q929">
        <v>11210</v>
      </c>
      <c r="R929" t="s">
        <v>27</v>
      </c>
      <c r="S929" s="10">
        <v>2.1630495157563727</v>
      </c>
      <c r="T929">
        <v>1</v>
      </c>
    </row>
    <row r="930" spans="1:20" x14ac:dyDescent="0.3">
      <c r="A930">
        <v>1623</v>
      </c>
      <c r="B930" t="s">
        <v>1442</v>
      </c>
      <c r="C930" t="s">
        <v>1439</v>
      </c>
      <c r="D930" t="s">
        <v>1883</v>
      </c>
      <c r="E930" t="s">
        <v>1884</v>
      </c>
      <c r="F930" t="s">
        <v>574</v>
      </c>
      <c r="G930" t="s">
        <v>1885</v>
      </c>
      <c r="H930" t="s">
        <v>22</v>
      </c>
      <c r="I930" t="s">
        <v>23</v>
      </c>
      <c r="J930" s="1">
        <v>935</v>
      </c>
      <c r="K930" s="1">
        <v>25.972222222222221</v>
      </c>
      <c r="L930" s="3">
        <v>36</v>
      </c>
      <c r="M930" t="s">
        <v>36</v>
      </c>
      <c r="N930" s="2">
        <v>45209</v>
      </c>
      <c r="O930" t="s">
        <v>37</v>
      </c>
      <c r="P930" t="s">
        <v>1886</v>
      </c>
      <c r="Q930">
        <v>94089</v>
      </c>
      <c r="R930" t="s">
        <v>27</v>
      </c>
      <c r="S930" s="10">
        <v>79.425275155526492</v>
      </c>
      <c r="T930">
        <v>66</v>
      </c>
    </row>
    <row r="931" spans="1:20" x14ac:dyDescent="0.3">
      <c r="A931">
        <v>1095</v>
      </c>
      <c r="B931" t="s">
        <v>550</v>
      </c>
      <c r="C931" t="s">
        <v>551</v>
      </c>
      <c r="D931" t="s">
        <v>552</v>
      </c>
      <c r="E931" t="s">
        <v>553</v>
      </c>
      <c r="F931" t="s">
        <v>554</v>
      </c>
      <c r="G931" t="s">
        <v>555</v>
      </c>
      <c r="H931" t="s">
        <v>22</v>
      </c>
      <c r="I931" t="s">
        <v>55</v>
      </c>
      <c r="J931" s="1">
        <v>140</v>
      </c>
      <c r="K931" s="1">
        <v>35</v>
      </c>
      <c r="L931" s="3">
        <v>4</v>
      </c>
      <c r="M931" t="s">
        <v>126</v>
      </c>
      <c r="N931" s="2">
        <v>45210</v>
      </c>
      <c r="O931" t="s">
        <v>67</v>
      </c>
      <c r="P931" t="s">
        <v>334</v>
      </c>
      <c r="Q931">
        <v>77040</v>
      </c>
      <c r="R931" t="s">
        <v>27</v>
      </c>
      <c r="S931" s="10">
        <v>9.6392122592329912</v>
      </c>
      <c r="T931">
        <v>4</v>
      </c>
    </row>
    <row r="932" spans="1:20" x14ac:dyDescent="0.3">
      <c r="A932">
        <v>1260</v>
      </c>
      <c r="B932" t="s">
        <v>352</v>
      </c>
      <c r="C932" t="s">
        <v>353</v>
      </c>
      <c r="D932" t="s">
        <v>354</v>
      </c>
      <c r="E932" t="s">
        <v>355</v>
      </c>
      <c r="F932" t="s">
        <v>356</v>
      </c>
      <c r="G932" t="s">
        <v>357</v>
      </c>
      <c r="H932" t="s">
        <v>34</v>
      </c>
      <c r="I932" t="s">
        <v>236</v>
      </c>
      <c r="J932" s="1">
        <v>167</v>
      </c>
      <c r="K932" s="1">
        <v>27.833333333333332</v>
      </c>
      <c r="L932" s="3">
        <v>6</v>
      </c>
      <c r="M932" t="s">
        <v>36</v>
      </c>
      <c r="N932" s="2">
        <v>45212</v>
      </c>
      <c r="O932" t="s">
        <v>358</v>
      </c>
      <c r="P932" t="s">
        <v>359</v>
      </c>
      <c r="Q932">
        <v>99215</v>
      </c>
      <c r="R932" t="s">
        <v>27</v>
      </c>
      <c r="S932" s="10">
        <v>14.747447878585024</v>
      </c>
      <c r="T932">
        <v>11</v>
      </c>
    </row>
    <row r="933" spans="1:20" x14ac:dyDescent="0.3">
      <c r="A933">
        <v>1020</v>
      </c>
      <c r="B933" t="s">
        <v>310</v>
      </c>
      <c r="C933" t="s">
        <v>311</v>
      </c>
      <c r="D933" t="s">
        <v>312</v>
      </c>
      <c r="E933" t="s">
        <v>313</v>
      </c>
      <c r="F933" t="s">
        <v>314</v>
      </c>
      <c r="G933" t="s">
        <v>315</v>
      </c>
      <c r="H933" t="s">
        <v>22</v>
      </c>
      <c r="I933" t="s">
        <v>23</v>
      </c>
      <c r="J933" s="1">
        <v>605</v>
      </c>
      <c r="K933" s="1">
        <v>43.214285714285715</v>
      </c>
      <c r="L933" s="3">
        <v>14</v>
      </c>
      <c r="M933" t="s">
        <v>36</v>
      </c>
      <c r="N933" s="2">
        <v>45214</v>
      </c>
      <c r="O933" t="s">
        <v>37</v>
      </c>
      <c r="P933" t="s">
        <v>316</v>
      </c>
      <c r="Q933">
        <v>94105</v>
      </c>
      <c r="R933" t="s">
        <v>27</v>
      </c>
      <c r="S933" s="10">
        <v>25.558331907310578</v>
      </c>
      <c r="T933">
        <v>26</v>
      </c>
    </row>
    <row r="934" spans="1:20" x14ac:dyDescent="0.3">
      <c r="A934">
        <v>1234</v>
      </c>
      <c r="B934" t="s">
        <v>59</v>
      </c>
      <c r="C934" t="s">
        <v>60</v>
      </c>
      <c r="D934" t="s">
        <v>61</v>
      </c>
      <c r="E934" t="s">
        <v>62</v>
      </c>
      <c r="F934" t="s">
        <v>63</v>
      </c>
      <c r="G934" t="s">
        <v>64</v>
      </c>
      <c r="H934" t="s">
        <v>34</v>
      </c>
      <c r="I934" t="s">
        <v>65</v>
      </c>
      <c r="J934" s="1">
        <v>366</v>
      </c>
      <c r="K934" s="1">
        <v>28.153846153846153</v>
      </c>
      <c r="L934" s="3">
        <v>13</v>
      </c>
      <c r="M934" t="s">
        <v>66</v>
      </c>
      <c r="N934" s="2">
        <v>45214</v>
      </c>
      <c r="O934" t="s">
        <v>67</v>
      </c>
      <c r="P934" t="s">
        <v>68</v>
      </c>
      <c r="Q934">
        <v>78710</v>
      </c>
      <c r="R934" t="s">
        <v>27</v>
      </c>
      <c r="S934" s="10">
        <v>19.823378188728348</v>
      </c>
      <c r="T934">
        <v>20</v>
      </c>
    </row>
    <row r="935" spans="1:20" x14ac:dyDescent="0.3">
      <c r="A935">
        <v>1081</v>
      </c>
      <c r="B935" t="s">
        <v>529</v>
      </c>
      <c r="C935" t="s">
        <v>530</v>
      </c>
      <c r="D935" t="s">
        <v>531</v>
      </c>
      <c r="E935" t="s">
        <v>532</v>
      </c>
      <c r="F935" t="s">
        <v>533</v>
      </c>
      <c r="G935" t="s">
        <v>495</v>
      </c>
      <c r="H935" t="s">
        <v>22</v>
      </c>
      <c r="I935" t="s">
        <v>55</v>
      </c>
      <c r="J935" s="1">
        <v>185</v>
      </c>
      <c r="K935" s="1">
        <v>30.833333333333332</v>
      </c>
      <c r="L935" s="3">
        <v>6</v>
      </c>
      <c r="M935" t="s">
        <v>447</v>
      </c>
      <c r="N935" s="2">
        <v>45215</v>
      </c>
      <c r="O935" t="s">
        <v>229</v>
      </c>
      <c r="P935" t="s">
        <v>534</v>
      </c>
      <c r="Q935">
        <v>45426</v>
      </c>
      <c r="R935" t="s">
        <v>27</v>
      </c>
      <c r="S935" s="10">
        <v>12.952228957042923</v>
      </c>
      <c r="T935">
        <v>9</v>
      </c>
    </row>
    <row r="936" spans="1:20" x14ac:dyDescent="0.3">
      <c r="A936">
        <v>1851</v>
      </c>
      <c r="B936" t="s">
        <v>604</v>
      </c>
      <c r="C936" t="s">
        <v>358</v>
      </c>
      <c r="D936" t="s">
        <v>605</v>
      </c>
      <c r="E936" t="s">
        <v>606</v>
      </c>
      <c r="F936" t="s">
        <v>607</v>
      </c>
      <c r="G936" t="s">
        <v>194</v>
      </c>
      <c r="H936" t="s">
        <v>22</v>
      </c>
      <c r="I936" t="s">
        <v>65</v>
      </c>
      <c r="J936" s="1">
        <v>438</v>
      </c>
      <c r="K936" s="1">
        <v>29.2</v>
      </c>
      <c r="L936" s="3">
        <v>15</v>
      </c>
      <c r="M936" t="s">
        <v>343</v>
      </c>
      <c r="N936" s="2">
        <v>45215</v>
      </c>
      <c r="O936" t="s">
        <v>83</v>
      </c>
      <c r="P936" t="s">
        <v>351</v>
      </c>
      <c r="Q936">
        <v>11210</v>
      </c>
      <c r="R936" t="s">
        <v>27</v>
      </c>
      <c r="S936" s="10">
        <v>25.119658699084383</v>
      </c>
      <c r="T936">
        <v>29</v>
      </c>
    </row>
    <row r="937" spans="1:20" x14ac:dyDescent="0.3">
      <c r="A937">
        <v>1880</v>
      </c>
      <c r="B937" t="s">
        <v>129</v>
      </c>
      <c r="C937" t="s">
        <v>130</v>
      </c>
      <c r="D937" t="s">
        <v>131</v>
      </c>
      <c r="E937" t="s">
        <v>132</v>
      </c>
      <c r="F937" t="s">
        <v>133</v>
      </c>
      <c r="G937" t="s">
        <v>134</v>
      </c>
      <c r="H937" t="s">
        <v>22</v>
      </c>
      <c r="I937" t="s">
        <v>135</v>
      </c>
      <c r="J937" s="1">
        <v>809</v>
      </c>
      <c r="K937" s="1">
        <v>25.28125</v>
      </c>
      <c r="L937" s="3">
        <v>32</v>
      </c>
      <c r="M937" t="s">
        <v>36</v>
      </c>
      <c r="N937" s="2">
        <v>45216</v>
      </c>
      <c r="O937" t="s">
        <v>136</v>
      </c>
      <c r="P937" t="s">
        <v>137</v>
      </c>
      <c r="Q937">
        <v>60614</v>
      </c>
      <c r="R937" t="s">
        <v>27</v>
      </c>
      <c r="S937" s="10">
        <v>77.378642384220171</v>
      </c>
      <c r="T937">
        <v>62</v>
      </c>
    </row>
    <row r="938" spans="1:20" x14ac:dyDescent="0.3">
      <c r="A938">
        <v>1001</v>
      </c>
      <c r="B938" t="s">
        <v>269</v>
      </c>
      <c r="C938" t="s">
        <v>270</v>
      </c>
      <c r="D938" t="s">
        <v>271</v>
      </c>
      <c r="E938" t="s">
        <v>272</v>
      </c>
      <c r="F938" t="s">
        <v>273</v>
      </c>
      <c r="G938" t="s">
        <v>274</v>
      </c>
      <c r="H938" t="s">
        <v>34</v>
      </c>
      <c r="I938" t="s">
        <v>23</v>
      </c>
      <c r="J938" s="1">
        <v>922</v>
      </c>
      <c r="K938" s="1">
        <v>43.904761904761905</v>
      </c>
      <c r="L938" s="3">
        <v>21</v>
      </c>
      <c r="M938" t="s">
        <v>126</v>
      </c>
      <c r="N938" s="2">
        <v>45217</v>
      </c>
      <c r="O938" t="s">
        <v>67</v>
      </c>
      <c r="P938" t="s">
        <v>159</v>
      </c>
      <c r="Q938">
        <v>88563</v>
      </c>
      <c r="R938" t="s">
        <v>27</v>
      </c>
      <c r="S938" s="10">
        <v>45.226121910337113</v>
      </c>
      <c r="T938">
        <v>47</v>
      </c>
    </row>
    <row r="939" spans="1:20" x14ac:dyDescent="0.3">
      <c r="A939">
        <v>1943</v>
      </c>
      <c r="B939" t="s">
        <v>892</v>
      </c>
      <c r="C939" t="s">
        <v>1887</v>
      </c>
      <c r="D939" t="s">
        <v>1888</v>
      </c>
      <c r="E939" t="s">
        <v>1889</v>
      </c>
      <c r="F939" t="s">
        <v>992</v>
      </c>
      <c r="G939" t="s">
        <v>967</v>
      </c>
      <c r="H939" t="s">
        <v>22</v>
      </c>
      <c r="I939" t="s">
        <v>35</v>
      </c>
      <c r="J939" s="1">
        <v>745</v>
      </c>
      <c r="K939" s="1">
        <v>37.25</v>
      </c>
      <c r="L939" s="3">
        <v>20</v>
      </c>
      <c r="M939" t="s">
        <v>56</v>
      </c>
      <c r="N939" s="2">
        <v>45218</v>
      </c>
      <c r="O939" t="s">
        <v>187</v>
      </c>
      <c r="P939" t="s">
        <v>1890</v>
      </c>
      <c r="Q939">
        <v>27105</v>
      </c>
      <c r="R939" t="s">
        <v>27</v>
      </c>
      <c r="S939" s="10">
        <v>47.40066354324594</v>
      </c>
      <c r="T939">
        <v>36</v>
      </c>
    </row>
    <row r="940" spans="1:20" x14ac:dyDescent="0.3">
      <c r="A940">
        <v>1170</v>
      </c>
      <c r="B940" t="s">
        <v>153</v>
      </c>
      <c r="C940" t="s">
        <v>154</v>
      </c>
      <c r="D940" t="s">
        <v>155</v>
      </c>
      <c r="E940" t="s">
        <v>156</v>
      </c>
      <c r="F940" t="s">
        <v>157</v>
      </c>
      <c r="G940" t="s">
        <v>158</v>
      </c>
      <c r="H940" t="s">
        <v>34</v>
      </c>
      <c r="I940" t="s">
        <v>65</v>
      </c>
      <c r="J940" s="1">
        <v>902</v>
      </c>
      <c r="K940" s="1">
        <v>27.333333333333332</v>
      </c>
      <c r="L940" s="3">
        <v>33</v>
      </c>
      <c r="M940" t="s">
        <v>24</v>
      </c>
      <c r="N940" s="2">
        <v>45219</v>
      </c>
      <c r="O940" t="s">
        <v>67</v>
      </c>
      <c r="P940" t="s">
        <v>159</v>
      </c>
      <c r="Q940">
        <v>88574</v>
      </c>
      <c r="R940" t="s">
        <v>27</v>
      </c>
      <c r="S940" s="10">
        <v>69.408790989049393</v>
      </c>
      <c r="T940">
        <v>79</v>
      </c>
    </row>
    <row r="941" spans="1:20" x14ac:dyDescent="0.3">
      <c r="A941">
        <v>1880</v>
      </c>
      <c r="B941" t="s">
        <v>129</v>
      </c>
      <c r="C941" t="s">
        <v>130</v>
      </c>
      <c r="D941" t="s">
        <v>131</v>
      </c>
      <c r="E941" t="s">
        <v>132</v>
      </c>
      <c r="F941" t="s">
        <v>133</v>
      </c>
      <c r="G941" t="s">
        <v>134</v>
      </c>
      <c r="H941" t="s">
        <v>22</v>
      </c>
      <c r="I941" t="s">
        <v>135</v>
      </c>
      <c r="J941" s="1">
        <v>626</v>
      </c>
      <c r="K941" s="1">
        <v>28.454545454545453</v>
      </c>
      <c r="L941" s="3">
        <v>22</v>
      </c>
      <c r="M941" t="s">
        <v>36</v>
      </c>
      <c r="N941" s="2">
        <v>45219</v>
      </c>
      <c r="O941" t="s">
        <v>136</v>
      </c>
      <c r="P941" t="s">
        <v>137</v>
      </c>
      <c r="Q941">
        <v>60614</v>
      </c>
      <c r="R941" t="s">
        <v>27</v>
      </c>
      <c r="S941" s="10">
        <v>29.790764945817166</v>
      </c>
      <c r="T941">
        <v>47</v>
      </c>
    </row>
    <row r="942" spans="1:20" x14ac:dyDescent="0.3">
      <c r="A942">
        <v>1020</v>
      </c>
      <c r="B942" t="s">
        <v>310</v>
      </c>
      <c r="C942" t="s">
        <v>311</v>
      </c>
      <c r="D942" t="s">
        <v>312</v>
      </c>
      <c r="E942" t="s">
        <v>313</v>
      </c>
      <c r="F942" t="s">
        <v>314</v>
      </c>
      <c r="G942" t="s">
        <v>315</v>
      </c>
      <c r="H942" t="s">
        <v>22</v>
      </c>
      <c r="I942" t="s">
        <v>23</v>
      </c>
      <c r="J942" s="1">
        <v>246</v>
      </c>
      <c r="K942" s="1">
        <v>30.75</v>
      </c>
      <c r="L942" s="3">
        <v>8</v>
      </c>
      <c r="M942" t="s">
        <v>36</v>
      </c>
      <c r="N942" s="2">
        <v>45224</v>
      </c>
      <c r="O942" t="s">
        <v>37</v>
      </c>
      <c r="P942" t="s">
        <v>316</v>
      </c>
      <c r="Q942">
        <v>94105</v>
      </c>
      <c r="R942" t="s">
        <v>27</v>
      </c>
      <c r="S942" s="10">
        <v>10.021502361277786</v>
      </c>
      <c r="T942">
        <v>12</v>
      </c>
    </row>
    <row r="943" spans="1:20" x14ac:dyDescent="0.3">
      <c r="A943">
        <v>1555</v>
      </c>
      <c r="B943" t="s">
        <v>77</v>
      </c>
      <c r="C943" t="s">
        <v>1850</v>
      </c>
      <c r="D943" t="s">
        <v>1891</v>
      </c>
      <c r="E943" t="s">
        <v>1892</v>
      </c>
      <c r="F943" t="s">
        <v>81</v>
      </c>
      <c r="G943" t="s">
        <v>693</v>
      </c>
      <c r="H943" t="s">
        <v>22</v>
      </c>
      <c r="I943" t="s">
        <v>435</v>
      </c>
      <c r="J943" s="1">
        <v>376</v>
      </c>
      <c r="K943" s="1">
        <v>47</v>
      </c>
      <c r="L943" s="3">
        <v>8</v>
      </c>
      <c r="M943" t="s">
        <v>66</v>
      </c>
      <c r="N943" s="2">
        <v>45224</v>
      </c>
      <c r="O943" t="s">
        <v>308</v>
      </c>
      <c r="P943" t="s">
        <v>1853</v>
      </c>
      <c r="Q943">
        <v>85260</v>
      </c>
      <c r="R943" t="s">
        <v>27</v>
      </c>
      <c r="S943" s="10">
        <v>15.652427661352341</v>
      </c>
      <c r="T943">
        <v>14</v>
      </c>
    </row>
    <row r="944" spans="1:20" x14ac:dyDescent="0.3">
      <c r="A944">
        <v>1719</v>
      </c>
      <c r="B944" t="s">
        <v>598</v>
      </c>
      <c r="C944" t="s">
        <v>843</v>
      </c>
      <c r="D944" t="s">
        <v>1893</v>
      </c>
      <c r="E944" t="s">
        <v>1894</v>
      </c>
      <c r="F944" t="s">
        <v>864</v>
      </c>
      <c r="G944" t="s">
        <v>410</v>
      </c>
      <c r="H944" t="s">
        <v>34</v>
      </c>
      <c r="I944" t="s">
        <v>23</v>
      </c>
      <c r="J944" s="1">
        <v>426</v>
      </c>
      <c r="K944" s="1">
        <v>38.727272727272727</v>
      </c>
      <c r="L944" s="3">
        <v>11</v>
      </c>
      <c r="M944" t="s">
        <v>36</v>
      </c>
      <c r="N944" s="2">
        <v>45224</v>
      </c>
      <c r="O944" t="s">
        <v>37</v>
      </c>
      <c r="P944" t="s">
        <v>1895</v>
      </c>
      <c r="Q944">
        <v>90847</v>
      </c>
      <c r="R944" t="s">
        <v>27</v>
      </c>
      <c r="S944" s="10">
        <v>22.591660681440128</v>
      </c>
      <c r="T944">
        <v>17</v>
      </c>
    </row>
    <row r="945" spans="1:20" x14ac:dyDescent="0.3">
      <c r="A945">
        <v>1144</v>
      </c>
      <c r="B945" t="s">
        <v>776</v>
      </c>
      <c r="C945" t="s">
        <v>747</v>
      </c>
      <c r="D945" t="s">
        <v>807</v>
      </c>
      <c r="E945" t="s">
        <v>808</v>
      </c>
      <c r="F945" t="s">
        <v>235</v>
      </c>
      <c r="G945" t="s">
        <v>677</v>
      </c>
      <c r="H945" t="s">
        <v>22</v>
      </c>
      <c r="I945" t="s">
        <v>35</v>
      </c>
      <c r="J945" s="1">
        <v>660</v>
      </c>
      <c r="K945" s="1">
        <v>33</v>
      </c>
      <c r="L945" s="3">
        <v>20</v>
      </c>
      <c r="M945" t="s">
        <v>66</v>
      </c>
      <c r="N945" s="2">
        <v>45226</v>
      </c>
      <c r="O945" t="s">
        <v>83</v>
      </c>
      <c r="P945" t="s">
        <v>809</v>
      </c>
      <c r="Q945">
        <v>11355</v>
      </c>
      <c r="R945" t="s">
        <v>27</v>
      </c>
      <c r="S945" s="10">
        <v>32.234136202040098</v>
      </c>
      <c r="T945">
        <v>41</v>
      </c>
    </row>
    <row r="946" spans="1:20" x14ac:dyDescent="0.3">
      <c r="A946">
        <v>1752</v>
      </c>
      <c r="B946" t="s">
        <v>1291</v>
      </c>
      <c r="C946" t="s">
        <v>1700</v>
      </c>
      <c r="D946" t="s">
        <v>1896</v>
      </c>
      <c r="E946" t="s">
        <v>1897</v>
      </c>
      <c r="F946" t="s">
        <v>133</v>
      </c>
      <c r="G946" t="s">
        <v>506</v>
      </c>
      <c r="H946" t="s">
        <v>22</v>
      </c>
      <c r="I946" t="s">
        <v>366</v>
      </c>
      <c r="J946" s="1">
        <v>576</v>
      </c>
      <c r="K946" s="1">
        <v>25.043478260869566</v>
      </c>
      <c r="L946" s="3">
        <v>23</v>
      </c>
      <c r="M946" t="s">
        <v>36</v>
      </c>
      <c r="N946" s="2">
        <v>45227</v>
      </c>
      <c r="O946" t="s">
        <v>470</v>
      </c>
      <c r="P946" t="s">
        <v>358</v>
      </c>
      <c r="Q946">
        <v>20246</v>
      </c>
      <c r="R946" t="s">
        <v>27</v>
      </c>
      <c r="S946" s="10">
        <v>54.466591962800877</v>
      </c>
      <c r="T946">
        <v>46</v>
      </c>
    </row>
    <row r="947" spans="1:20" x14ac:dyDescent="0.3">
      <c r="A947">
        <v>1365</v>
      </c>
      <c r="B947" t="s">
        <v>471</v>
      </c>
      <c r="C947" t="s">
        <v>472</v>
      </c>
      <c r="D947" t="s">
        <v>473</v>
      </c>
      <c r="E947" t="s">
        <v>474</v>
      </c>
      <c r="F947" t="s">
        <v>475</v>
      </c>
      <c r="G947" t="s">
        <v>476</v>
      </c>
      <c r="H947" t="s">
        <v>34</v>
      </c>
      <c r="I947" t="s">
        <v>55</v>
      </c>
      <c r="J947" s="1">
        <v>374</v>
      </c>
      <c r="K947" s="1">
        <v>28.76923076923077</v>
      </c>
      <c r="L947" s="3">
        <v>13</v>
      </c>
      <c r="M947" t="s">
        <v>66</v>
      </c>
      <c r="N947" s="2">
        <v>45228</v>
      </c>
      <c r="O947" t="s">
        <v>267</v>
      </c>
      <c r="P947" t="s">
        <v>477</v>
      </c>
      <c r="Q947">
        <v>33261</v>
      </c>
      <c r="R947" t="s">
        <v>27</v>
      </c>
      <c r="S947" s="10">
        <v>28.284886282521114</v>
      </c>
      <c r="T947">
        <v>22</v>
      </c>
    </row>
    <row r="948" spans="1:20" x14ac:dyDescent="0.3">
      <c r="A948">
        <v>1298</v>
      </c>
      <c r="B948" t="s">
        <v>275</v>
      </c>
      <c r="C948" t="s">
        <v>340</v>
      </c>
      <c r="D948" t="s">
        <v>341</v>
      </c>
      <c r="E948" t="s">
        <v>342</v>
      </c>
      <c r="F948" t="s">
        <v>306</v>
      </c>
      <c r="G948" t="s">
        <v>180</v>
      </c>
      <c r="H948" t="s">
        <v>22</v>
      </c>
      <c r="I948" t="s">
        <v>236</v>
      </c>
      <c r="J948" s="1">
        <v>805</v>
      </c>
      <c r="K948" s="1">
        <v>33.541666666666664</v>
      </c>
      <c r="L948" s="3">
        <v>24</v>
      </c>
      <c r="M948" t="s">
        <v>343</v>
      </c>
      <c r="N948" s="2">
        <v>45229</v>
      </c>
      <c r="O948" t="s">
        <v>267</v>
      </c>
      <c r="P948" t="s">
        <v>344</v>
      </c>
      <c r="Q948">
        <v>32891</v>
      </c>
      <c r="R948" t="s">
        <v>27</v>
      </c>
      <c r="S948" s="10">
        <v>43.406706347737369</v>
      </c>
      <c r="T948">
        <v>36</v>
      </c>
    </row>
    <row r="949" spans="1:20" x14ac:dyDescent="0.3">
      <c r="A949">
        <v>1489</v>
      </c>
      <c r="B949" t="s">
        <v>85</v>
      </c>
      <c r="C949" t="s">
        <v>86</v>
      </c>
      <c r="D949" t="s">
        <v>87</v>
      </c>
      <c r="E949" t="s">
        <v>88</v>
      </c>
      <c r="F949" t="s">
        <v>89</v>
      </c>
      <c r="G949" t="s">
        <v>90</v>
      </c>
      <c r="H949" t="s">
        <v>34</v>
      </c>
      <c r="I949" t="s">
        <v>23</v>
      </c>
      <c r="J949" s="1">
        <v>161</v>
      </c>
      <c r="K949" s="1">
        <v>26.833333333333332</v>
      </c>
      <c r="L949" s="3">
        <v>6</v>
      </c>
      <c r="M949" t="s">
        <v>66</v>
      </c>
      <c r="N949" s="2">
        <v>45231</v>
      </c>
      <c r="O949" t="s">
        <v>47</v>
      </c>
      <c r="P949" t="s">
        <v>91</v>
      </c>
      <c r="Q949">
        <v>23668</v>
      </c>
      <c r="R949" t="s">
        <v>27</v>
      </c>
      <c r="S949" s="10">
        <v>8.4817505137021829</v>
      </c>
      <c r="T949">
        <v>7</v>
      </c>
    </row>
    <row r="950" spans="1:20" x14ac:dyDescent="0.3">
      <c r="A950">
        <v>1738</v>
      </c>
      <c r="B950" t="s">
        <v>1215</v>
      </c>
      <c r="C950" t="s">
        <v>329</v>
      </c>
      <c r="D950" t="s">
        <v>1898</v>
      </c>
      <c r="E950" t="s">
        <v>1899</v>
      </c>
      <c r="F950" t="s">
        <v>849</v>
      </c>
      <c r="G950" t="s">
        <v>227</v>
      </c>
      <c r="H950" t="s">
        <v>34</v>
      </c>
      <c r="I950" t="s">
        <v>299</v>
      </c>
      <c r="J950" s="1">
        <v>847</v>
      </c>
      <c r="K950" s="1">
        <v>36.826086956521742</v>
      </c>
      <c r="L950" s="3">
        <v>23</v>
      </c>
      <c r="M950" t="s">
        <v>143</v>
      </c>
      <c r="N950" s="2">
        <v>45231</v>
      </c>
      <c r="O950" t="s">
        <v>37</v>
      </c>
      <c r="P950" t="s">
        <v>905</v>
      </c>
      <c r="Q950">
        <v>95113</v>
      </c>
      <c r="R950" t="s">
        <v>27</v>
      </c>
      <c r="S950" s="10">
        <v>32.518071504987638</v>
      </c>
      <c r="T950">
        <v>36</v>
      </c>
    </row>
    <row r="951" spans="1:20" x14ac:dyDescent="0.3">
      <c r="A951">
        <v>1995</v>
      </c>
      <c r="B951" t="s">
        <v>562</v>
      </c>
      <c r="C951" t="s">
        <v>563</v>
      </c>
      <c r="D951" t="s">
        <v>564</v>
      </c>
      <c r="E951" t="s">
        <v>565</v>
      </c>
      <c r="F951" t="s">
        <v>566</v>
      </c>
      <c r="G951" t="s">
        <v>567</v>
      </c>
      <c r="H951" t="s">
        <v>22</v>
      </c>
      <c r="I951" t="s">
        <v>65</v>
      </c>
      <c r="J951" s="1">
        <v>280</v>
      </c>
      <c r="K951" s="1">
        <v>35</v>
      </c>
      <c r="L951" s="3">
        <v>8</v>
      </c>
      <c r="M951" t="s">
        <v>126</v>
      </c>
      <c r="N951" s="2">
        <v>45231</v>
      </c>
      <c r="O951" t="s">
        <v>568</v>
      </c>
      <c r="P951" t="s">
        <v>569</v>
      </c>
      <c r="Q951">
        <v>37939</v>
      </c>
      <c r="R951" t="s">
        <v>27</v>
      </c>
      <c r="S951" s="10">
        <v>16.865026963353174</v>
      </c>
      <c r="T951">
        <v>16</v>
      </c>
    </row>
    <row r="952" spans="1:20" x14ac:dyDescent="0.3">
      <c r="A952">
        <v>1533</v>
      </c>
      <c r="B952" t="s">
        <v>1052</v>
      </c>
      <c r="C952" t="s">
        <v>1850</v>
      </c>
      <c r="D952" t="s">
        <v>1900</v>
      </c>
      <c r="E952" t="s">
        <v>1901</v>
      </c>
      <c r="F952" t="s">
        <v>434</v>
      </c>
      <c r="G952" t="s">
        <v>937</v>
      </c>
      <c r="H952" t="s">
        <v>22</v>
      </c>
      <c r="I952" t="s">
        <v>435</v>
      </c>
      <c r="J952" s="1">
        <v>832</v>
      </c>
      <c r="K952" s="1">
        <v>30.814814814814813</v>
      </c>
      <c r="L952" s="3">
        <v>27</v>
      </c>
      <c r="M952" t="s">
        <v>36</v>
      </c>
      <c r="N952" s="2">
        <v>45233</v>
      </c>
      <c r="O952" t="s">
        <v>83</v>
      </c>
      <c r="P952" t="s">
        <v>718</v>
      </c>
      <c r="Q952">
        <v>11470</v>
      </c>
      <c r="R952" t="s">
        <v>27</v>
      </c>
      <c r="S952" s="10">
        <v>56.646761952214121</v>
      </c>
      <c r="T952">
        <v>62</v>
      </c>
    </row>
    <row r="953" spans="1:20" x14ac:dyDescent="0.3">
      <c r="A953">
        <v>1298</v>
      </c>
      <c r="B953" t="s">
        <v>275</v>
      </c>
      <c r="C953" t="s">
        <v>340</v>
      </c>
      <c r="D953" t="s">
        <v>341</v>
      </c>
      <c r="E953" t="s">
        <v>342</v>
      </c>
      <c r="F953" t="s">
        <v>306</v>
      </c>
      <c r="G953" t="s">
        <v>180</v>
      </c>
      <c r="H953" t="s">
        <v>22</v>
      </c>
      <c r="I953" t="s">
        <v>236</v>
      </c>
      <c r="J953" s="1">
        <v>448</v>
      </c>
      <c r="K953" s="1">
        <v>37.333333333333336</v>
      </c>
      <c r="L953" s="3">
        <v>12</v>
      </c>
      <c r="M953" t="s">
        <v>343</v>
      </c>
      <c r="N953" s="2">
        <v>45237</v>
      </c>
      <c r="O953" t="s">
        <v>267</v>
      </c>
      <c r="P953" t="s">
        <v>344</v>
      </c>
      <c r="Q953">
        <v>32891</v>
      </c>
      <c r="R953" t="s">
        <v>27</v>
      </c>
      <c r="S953" s="10">
        <v>25.329816639787349</v>
      </c>
      <c r="T953">
        <v>26</v>
      </c>
    </row>
    <row r="954" spans="1:20" x14ac:dyDescent="0.3">
      <c r="A954">
        <v>1512</v>
      </c>
      <c r="B954" t="s">
        <v>1858</v>
      </c>
      <c r="C954" t="s">
        <v>1725</v>
      </c>
      <c r="D954" t="s">
        <v>1902</v>
      </c>
      <c r="E954" t="s">
        <v>1903</v>
      </c>
      <c r="F954" t="s">
        <v>1904</v>
      </c>
      <c r="G954" t="s">
        <v>44</v>
      </c>
      <c r="H954" t="s">
        <v>34</v>
      </c>
      <c r="I954" t="s">
        <v>98</v>
      </c>
      <c r="J954" s="1">
        <v>763</v>
      </c>
      <c r="K954" s="1">
        <v>44.882352941176471</v>
      </c>
      <c r="L954" s="3">
        <v>17</v>
      </c>
      <c r="M954" t="s">
        <v>24</v>
      </c>
      <c r="N954" s="2">
        <v>45238</v>
      </c>
      <c r="O954" t="s">
        <v>67</v>
      </c>
      <c r="P954" t="s">
        <v>68</v>
      </c>
      <c r="Q954">
        <v>78726</v>
      </c>
      <c r="R954" t="s">
        <v>27</v>
      </c>
      <c r="S954" s="10">
        <v>33.461124724051601</v>
      </c>
      <c r="T954">
        <v>32</v>
      </c>
    </row>
    <row r="955" spans="1:20" x14ac:dyDescent="0.3">
      <c r="A955">
        <v>1039</v>
      </c>
      <c r="B955" t="s">
        <v>828</v>
      </c>
      <c r="C955" t="s">
        <v>154</v>
      </c>
      <c r="D955" t="s">
        <v>829</v>
      </c>
      <c r="E955" t="s">
        <v>830</v>
      </c>
      <c r="F955" t="s">
        <v>831</v>
      </c>
      <c r="G955" t="s">
        <v>832</v>
      </c>
      <c r="H955" t="s">
        <v>34</v>
      </c>
      <c r="I955" t="s">
        <v>23</v>
      </c>
      <c r="J955" s="1">
        <v>823</v>
      </c>
      <c r="K955" s="1">
        <v>35.782608695652172</v>
      </c>
      <c r="L955" s="3">
        <v>23</v>
      </c>
      <c r="M955" t="s">
        <v>244</v>
      </c>
      <c r="N955" s="2">
        <v>45241</v>
      </c>
      <c r="O955" t="s">
        <v>496</v>
      </c>
      <c r="P955" t="s">
        <v>687</v>
      </c>
      <c r="Q955">
        <v>40298</v>
      </c>
      <c r="R955" t="s">
        <v>27</v>
      </c>
      <c r="S955" s="10">
        <v>30.093399820297254</v>
      </c>
      <c r="T955">
        <v>50</v>
      </c>
    </row>
    <row r="956" spans="1:20" x14ac:dyDescent="0.3">
      <c r="A956">
        <v>1581</v>
      </c>
      <c r="B956" t="s">
        <v>398</v>
      </c>
      <c r="C956" t="s">
        <v>60</v>
      </c>
      <c r="D956" t="s">
        <v>1905</v>
      </c>
      <c r="E956" t="s">
        <v>1906</v>
      </c>
      <c r="F956" t="s">
        <v>96</v>
      </c>
      <c r="G956" t="s">
        <v>545</v>
      </c>
      <c r="H956" t="s">
        <v>22</v>
      </c>
      <c r="I956" t="s">
        <v>228</v>
      </c>
      <c r="J956" s="1">
        <v>428</v>
      </c>
      <c r="K956" s="1">
        <v>42.8</v>
      </c>
      <c r="L956" s="3">
        <v>10</v>
      </c>
      <c r="M956" t="s">
        <v>126</v>
      </c>
      <c r="N956" s="2">
        <v>45242</v>
      </c>
      <c r="O956" t="s">
        <v>37</v>
      </c>
      <c r="P956" t="s">
        <v>1895</v>
      </c>
      <c r="Q956">
        <v>90840</v>
      </c>
      <c r="R956" t="s">
        <v>27</v>
      </c>
      <c r="S956" s="10">
        <v>22.309487848830454</v>
      </c>
      <c r="T956">
        <v>20</v>
      </c>
    </row>
    <row r="957" spans="1:20" x14ac:dyDescent="0.3">
      <c r="A957">
        <v>1436</v>
      </c>
      <c r="B957" t="s">
        <v>294</v>
      </c>
      <c r="C957" t="s">
        <v>248</v>
      </c>
      <c r="D957" t="s">
        <v>295</v>
      </c>
      <c r="E957" t="s">
        <v>296</v>
      </c>
      <c r="F957" t="s">
        <v>297</v>
      </c>
      <c r="G957" t="s">
        <v>298</v>
      </c>
      <c r="H957" t="s">
        <v>22</v>
      </c>
      <c r="I957" t="s">
        <v>299</v>
      </c>
      <c r="J957" s="1">
        <v>286</v>
      </c>
      <c r="K957" s="1">
        <v>35.75</v>
      </c>
      <c r="L957" s="3">
        <v>8</v>
      </c>
      <c r="M957" t="s">
        <v>36</v>
      </c>
      <c r="N957" s="2">
        <v>45243</v>
      </c>
      <c r="O957" t="s">
        <v>300</v>
      </c>
      <c r="P957" t="s">
        <v>301</v>
      </c>
      <c r="Q957">
        <v>89145</v>
      </c>
      <c r="R957" t="s">
        <v>27</v>
      </c>
      <c r="S957" s="10">
        <v>13.871732184320109</v>
      </c>
      <c r="T957">
        <v>11</v>
      </c>
    </row>
    <row r="958" spans="1:20" x14ac:dyDescent="0.3">
      <c r="A958">
        <v>1988</v>
      </c>
      <c r="B958" t="s">
        <v>550</v>
      </c>
      <c r="C958" t="s">
        <v>1141</v>
      </c>
      <c r="D958" t="s">
        <v>1142</v>
      </c>
      <c r="E958" t="s">
        <v>1143</v>
      </c>
      <c r="F958" t="s">
        <v>1144</v>
      </c>
      <c r="G958" t="s">
        <v>483</v>
      </c>
      <c r="H958" t="s">
        <v>22</v>
      </c>
      <c r="I958" t="s">
        <v>65</v>
      </c>
      <c r="J958" s="1">
        <v>1000</v>
      </c>
      <c r="K958" s="1">
        <v>43.478260869565219</v>
      </c>
      <c r="L958" s="3">
        <v>23</v>
      </c>
      <c r="M958" t="s">
        <v>36</v>
      </c>
      <c r="N958" s="2">
        <v>45244</v>
      </c>
      <c r="O958" t="s">
        <v>127</v>
      </c>
      <c r="P958" t="s">
        <v>1145</v>
      </c>
      <c r="Q958">
        <v>6912</v>
      </c>
      <c r="R958" t="s">
        <v>27</v>
      </c>
      <c r="S958" s="10">
        <v>45.625554322789547</v>
      </c>
      <c r="T958">
        <v>50</v>
      </c>
    </row>
    <row r="959" spans="1:20" x14ac:dyDescent="0.3">
      <c r="A959">
        <v>1022</v>
      </c>
      <c r="B959" t="s">
        <v>591</v>
      </c>
      <c r="C959" t="s">
        <v>592</v>
      </c>
      <c r="D959" t="s">
        <v>593</v>
      </c>
      <c r="E959" t="s">
        <v>594</v>
      </c>
      <c r="F959" t="s">
        <v>595</v>
      </c>
      <c r="G959" t="s">
        <v>279</v>
      </c>
      <c r="H959" t="s">
        <v>34</v>
      </c>
      <c r="I959" t="s">
        <v>23</v>
      </c>
      <c r="J959" s="1">
        <v>837</v>
      </c>
      <c r="K959" s="1">
        <v>38.045454545454547</v>
      </c>
      <c r="L959" s="3">
        <v>22</v>
      </c>
      <c r="M959" t="s">
        <v>36</v>
      </c>
      <c r="N959" s="2">
        <v>45246</v>
      </c>
      <c r="O959" t="s">
        <v>470</v>
      </c>
      <c r="P959" t="s">
        <v>358</v>
      </c>
      <c r="Q959">
        <v>20430</v>
      </c>
      <c r="R959" t="s">
        <v>27</v>
      </c>
      <c r="S959" s="10">
        <v>43.05504932133875</v>
      </c>
      <c r="T959">
        <v>34</v>
      </c>
    </row>
    <row r="960" spans="1:20" x14ac:dyDescent="0.3">
      <c r="A960">
        <v>1212</v>
      </c>
      <c r="B960" t="s">
        <v>120</v>
      </c>
      <c r="C960" t="s">
        <v>121</v>
      </c>
      <c r="D960" t="s">
        <v>122</v>
      </c>
      <c r="E960" t="s">
        <v>123</v>
      </c>
      <c r="F960" t="s">
        <v>124</v>
      </c>
      <c r="G960" t="s">
        <v>125</v>
      </c>
      <c r="H960" t="s">
        <v>22</v>
      </c>
      <c r="I960" t="s">
        <v>65</v>
      </c>
      <c r="J960" s="1">
        <v>158</v>
      </c>
      <c r="K960" s="1">
        <v>31.6</v>
      </c>
      <c r="L960" s="3">
        <v>5</v>
      </c>
      <c r="M960" t="s">
        <v>126</v>
      </c>
      <c r="N960" s="2">
        <v>45248</v>
      </c>
      <c r="O960" t="s">
        <v>127</v>
      </c>
      <c r="P960" t="s">
        <v>128</v>
      </c>
      <c r="Q960">
        <v>6183</v>
      </c>
      <c r="R960" t="s">
        <v>27</v>
      </c>
      <c r="S960" s="10">
        <v>7.0979118565357719</v>
      </c>
      <c r="T960">
        <v>8</v>
      </c>
    </row>
    <row r="961" spans="1:20" x14ac:dyDescent="0.3">
      <c r="A961">
        <v>1298</v>
      </c>
      <c r="B961" t="s">
        <v>275</v>
      </c>
      <c r="C961" t="s">
        <v>340</v>
      </c>
      <c r="D961" t="s">
        <v>341</v>
      </c>
      <c r="E961" t="s">
        <v>342</v>
      </c>
      <c r="F961" t="s">
        <v>306</v>
      </c>
      <c r="G961" t="s">
        <v>180</v>
      </c>
      <c r="H961" t="s">
        <v>22</v>
      </c>
      <c r="I961" t="s">
        <v>236</v>
      </c>
      <c r="J961" s="1">
        <v>149</v>
      </c>
      <c r="K961" s="1">
        <v>49.666666666666664</v>
      </c>
      <c r="L961" s="3">
        <v>3</v>
      </c>
      <c r="M961" t="s">
        <v>343</v>
      </c>
      <c r="N961" s="2">
        <v>45248</v>
      </c>
      <c r="O961" t="s">
        <v>267</v>
      </c>
      <c r="P961" t="s">
        <v>344</v>
      </c>
      <c r="Q961">
        <v>32891</v>
      </c>
      <c r="R961" t="s">
        <v>27</v>
      </c>
      <c r="S961" s="10">
        <v>6.6557549494820147</v>
      </c>
      <c r="T961">
        <v>4</v>
      </c>
    </row>
    <row r="962" spans="1:20" x14ac:dyDescent="0.3">
      <c r="A962">
        <v>1556</v>
      </c>
      <c r="B962" t="s">
        <v>16</v>
      </c>
      <c r="C962" t="s">
        <v>833</v>
      </c>
      <c r="D962" t="s">
        <v>1907</v>
      </c>
      <c r="E962" t="s">
        <v>1908</v>
      </c>
      <c r="F962" t="s">
        <v>1909</v>
      </c>
      <c r="G962" t="s">
        <v>64</v>
      </c>
      <c r="H962" t="s">
        <v>22</v>
      </c>
      <c r="I962" t="s">
        <v>135</v>
      </c>
      <c r="J962" s="1">
        <v>444</v>
      </c>
      <c r="K962" s="1">
        <v>37</v>
      </c>
      <c r="L962" s="3">
        <v>12</v>
      </c>
      <c r="M962" t="s">
        <v>343</v>
      </c>
      <c r="N962" s="2">
        <v>45248</v>
      </c>
      <c r="O962" t="s">
        <v>67</v>
      </c>
      <c r="P962" t="s">
        <v>1910</v>
      </c>
      <c r="Q962">
        <v>76192</v>
      </c>
      <c r="R962" t="s">
        <v>27</v>
      </c>
      <c r="S962" s="10">
        <v>15.183856296869852</v>
      </c>
      <c r="T962">
        <v>20</v>
      </c>
    </row>
    <row r="963" spans="1:20" x14ac:dyDescent="0.3">
      <c r="A963">
        <v>1807</v>
      </c>
      <c r="B963" t="s">
        <v>1911</v>
      </c>
      <c r="C963" t="s">
        <v>508</v>
      </c>
      <c r="D963" t="s">
        <v>1912</v>
      </c>
      <c r="E963" t="s">
        <v>1913</v>
      </c>
      <c r="F963" t="s">
        <v>728</v>
      </c>
      <c r="G963" t="s">
        <v>1409</v>
      </c>
      <c r="H963" t="s">
        <v>22</v>
      </c>
      <c r="I963" t="s">
        <v>435</v>
      </c>
      <c r="J963" s="1">
        <v>895</v>
      </c>
      <c r="K963" s="1">
        <v>28.870967741935484</v>
      </c>
      <c r="L963" s="3">
        <v>31</v>
      </c>
      <c r="M963" t="s">
        <v>126</v>
      </c>
      <c r="N963" s="2">
        <v>45248</v>
      </c>
      <c r="O963" t="s">
        <v>67</v>
      </c>
      <c r="P963" t="s">
        <v>1914</v>
      </c>
      <c r="Q963">
        <v>76305</v>
      </c>
      <c r="R963" t="s">
        <v>27</v>
      </c>
      <c r="S963" s="10">
        <v>67.519820453270583</v>
      </c>
      <c r="T963">
        <v>63</v>
      </c>
    </row>
    <row r="964" spans="1:20" x14ac:dyDescent="0.3">
      <c r="A964">
        <v>1297</v>
      </c>
      <c r="B964" t="s">
        <v>129</v>
      </c>
      <c r="C964" t="s">
        <v>1700</v>
      </c>
      <c r="D964" t="s">
        <v>1915</v>
      </c>
      <c r="E964" t="s">
        <v>1916</v>
      </c>
      <c r="F964" t="s">
        <v>1917</v>
      </c>
      <c r="G964" t="s">
        <v>1918</v>
      </c>
      <c r="H964" t="s">
        <v>22</v>
      </c>
      <c r="I964" t="s">
        <v>435</v>
      </c>
      <c r="J964" s="1">
        <v>678</v>
      </c>
      <c r="K964" s="1">
        <v>39.882352941176471</v>
      </c>
      <c r="L964" s="3">
        <v>17</v>
      </c>
      <c r="M964" t="s">
        <v>36</v>
      </c>
      <c r="N964" s="2">
        <v>45249</v>
      </c>
      <c r="O964" t="s">
        <v>83</v>
      </c>
      <c r="P964" t="s">
        <v>511</v>
      </c>
      <c r="Q964">
        <v>10275</v>
      </c>
      <c r="R964" t="s">
        <v>27</v>
      </c>
      <c r="S964" s="10">
        <v>34.836030387552611</v>
      </c>
      <c r="T964">
        <v>36</v>
      </c>
    </row>
    <row r="965" spans="1:20" x14ac:dyDescent="0.3">
      <c r="A965">
        <v>1019</v>
      </c>
      <c r="B965" t="s">
        <v>764</v>
      </c>
      <c r="C965" t="s">
        <v>374</v>
      </c>
      <c r="D965" t="s">
        <v>765</v>
      </c>
      <c r="E965" t="s">
        <v>766</v>
      </c>
      <c r="F965" t="s">
        <v>554</v>
      </c>
      <c r="G965" t="s">
        <v>298</v>
      </c>
      <c r="H965" t="s">
        <v>22</v>
      </c>
      <c r="I965" t="s">
        <v>23</v>
      </c>
      <c r="J965" s="1">
        <v>847</v>
      </c>
      <c r="K965" s="1">
        <v>32.57692307692308</v>
      </c>
      <c r="L965" s="3">
        <v>26</v>
      </c>
      <c r="M965" t="s">
        <v>66</v>
      </c>
      <c r="N965" s="2">
        <v>45252</v>
      </c>
      <c r="O965" t="s">
        <v>767</v>
      </c>
      <c r="P965" t="s">
        <v>768</v>
      </c>
      <c r="Q965">
        <v>83705</v>
      </c>
      <c r="R965" t="s">
        <v>27</v>
      </c>
      <c r="S965" s="10">
        <v>46.108797238130393</v>
      </c>
      <c r="T965">
        <v>42</v>
      </c>
    </row>
    <row r="966" spans="1:20" x14ac:dyDescent="0.3">
      <c r="A966">
        <v>1405</v>
      </c>
      <c r="B966" t="s">
        <v>535</v>
      </c>
      <c r="C966" t="s">
        <v>719</v>
      </c>
      <c r="D966" t="s">
        <v>1919</v>
      </c>
      <c r="E966" t="s">
        <v>1920</v>
      </c>
      <c r="F966" t="s">
        <v>801</v>
      </c>
      <c r="G966" t="s">
        <v>951</v>
      </c>
      <c r="H966" t="s">
        <v>22</v>
      </c>
      <c r="I966" t="s">
        <v>135</v>
      </c>
      <c r="J966" s="1">
        <v>617</v>
      </c>
      <c r="K966" s="1">
        <v>41.133333333333333</v>
      </c>
      <c r="L966" s="3">
        <v>15</v>
      </c>
      <c r="M966" t="s">
        <v>447</v>
      </c>
      <c r="N966" s="2">
        <v>45253</v>
      </c>
      <c r="O966" t="s">
        <v>118</v>
      </c>
      <c r="P966" t="s">
        <v>454</v>
      </c>
      <c r="Q966">
        <v>55446</v>
      </c>
      <c r="R966" t="s">
        <v>27</v>
      </c>
      <c r="S966" s="10">
        <v>21.255680948382121</v>
      </c>
      <c r="T966">
        <v>25</v>
      </c>
    </row>
    <row r="967" spans="1:20" x14ac:dyDescent="0.3">
      <c r="A967">
        <v>1925</v>
      </c>
      <c r="B967" t="s">
        <v>1549</v>
      </c>
      <c r="C967" t="s">
        <v>1386</v>
      </c>
      <c r="D967" t="s">
        <v>1921</v>
      </c>
      <c r="E967" t="s">
        <v>1922</v>
      </c>
      <c r="F967" t="s">
        <v>257</v>
      </c>
      <c r="G967" t="s">
        <v>1923</v>
      </c>
      <c r="H967" t="s">
        <v>22</v>
      </c>
      <c r="I967" t="s">
        <v>117</v>
      </c>
      <c r="J967" s="1">
        <v>559</v>
      </c>
      <c r="K967" s="1">
        <v>29.421052631578949</v>
      </c>
      <c r="L967" s="3">
        <v>19</v>
      </c>
      <c r="M967" t="s">
        <v>24</v>
      </c>
      <c r="N967" s="2">
        <v>45255</v>
      </c>
      <c r="O967" t="s">
        <v>67</v>
      </c>
      <c r="P967" t="s">
        <v>334</v>
      </c>
      <c r="Q967">
        <v>77293</v>
      </c>
      <c r="R967" t="s">
        <v>27</v>
      </c>
      <c r="S967" s="10">
        <v>32.714394902644337</v>
      </c>
      <c r="T967">
        <v>27</v>
      </c>
    </row>
    <row r="968" spans="1:20" x14ac:dyDescent="0.3">
      <c r="A968">
        <v>1991</v>
      </c>
      <c r="B968" t="s">
        <v>160</v>
      </c>
      <c r="C968" t="s">
        <v>161</v>
      </c>
      <c r="D968" t="s">
        <v>162</v>
      </c>
      <c r="E968" t="s">
        <v>163</v>
      </c>
      <c r="F968" t="s">
        <v>164</v>
      </c>
      <c r="G968" t="s">
        <v>44</v>
      </c>
      <c r="H968" t="s">
        <v>22</v>
      </c>
      <c r="I968" t="s">
        <v>65</v>
      </c>
      <c r="J968" s="1">
        <v>306</v>
      </c>
      <c r="K968" s="1">
        <v>38.25</v>
      </c>
      <c r="L968" s="3">
        <v>8</v>
      </c>
      <c r="M968" t="s">
        <v>36</v>
      </c>
      <c r="N968" s="2">
        <v>45255</v>
      </c>
      <c r="O968" t="s">
        <v>165</v>
      </c>
      <c r="P968" t="s">
        <v>166</v>
      </c>
      <c r="Q968">
        <v>87180</v>
      </c>
      <c r="R968" t="s">
        <v>27</v>
      </c>
      <c r="S968" s="10">
        <v>15.924434559048672</v>
      </c>
      <c r="T968">
        <v>11</v>
      </c>
    </row>
    <row r="969" spans="1:20" x14ac:dyDescent="0.3">
      <c r="A969">
        <v>1926</v>
      </c>
      <c r="B969" t="s">
        <v>529</v>
      </c>
      <c r="C969" t="s">
        <v>206</v>
      </c>
      <c r="D969" t="s">
        <v>1924</v>
      </c>
      <c r="E969" t="s">
        <v>1925</v>
      </c>
      <c r="F969" t="s">
        <v>394</v>
      </c>
      <c r="G969" t="s">
        <v>739</v>
      </c>
      <c r="H969" t="s">
        <v>22</v>
      </c>
      <c r="I969" t="s">
        <v>35</v>
      </c>
      <c r="J969" s="1">
        <v>155</v>
      </c>
      <c r="K969" s="1">
        <v>38.75</v>
      </c>
      <c r="L969" s="3">
        <v>4</v>
      </c>
      <c r="M969" t="s">
        <v>343</v>
      </c>
      <c r="N969" s="2">
        <v>45257</v>
      </c>
      <c r="O969" t="s">
        <v>37</v>
      </c>
      <c r="P969" t="s">
        <v>905</v>
      </c>
      <c r="Q969">
        <v>95108</v>
      </c>
      <c r="R969" t="s">
        <v>27</v>
      </c>
      <c r="S969" s="10">
        <v>9.5181213717330611</v>
      </c>
      <c r="T969">
        <v>6</v>
      </c>
    </row>
    <row r="970" spans="1:20" x14ac:dyDescent="0.3">
      <c r="A970">
        <v>1609</v>
      </c>
      <c r="B970" t="s">
        <v>120</v>
      </c>
      <c r="C970" t="s">
        <v>1795</v>
      </c>
      <c r="D970" t="s">
        <v>1926</v>
      </c>
      <c r="E970" t="s">
        <v>1927</v>
      </c>
      <c r="F970" t="s">
        <v>1928</v>
      </c>
      <c r="G970" t="s">
        <v>701</v>
      </c>
      <c r="H970" t="s">
        <v>22</v>
      </c>
      <c r="I970" t="s">
        <v>23</v>
      </c>
      <c r="J970" s="1">
        <v>14</v>
      </c>
      <c r="K970" s="1">
        <v>14</v>
      </c>
      <c r="L970" s="3">
        <v>1</v>
      </c>
      <c r="M970" t="s">
        <v>99</v>
      </c>
      <c r="N970" s="2">
        <v>45258</v>
      </c>
      <c r="O970" t="s">
        <v>57</v>
      </c>
      <c r="P970" t="s">
        <v>58</v>
      </c>
      <c r="Q970">
        <v>30195</v>
      </c>
      <c r="R970" t="s">
        <v>27</v>
      </c>
      <c r="S970" s="10">
        <v>2.0628728808664341</v>
      </c>
      <c r="T970">
        <v>1</v>
      </c>
    </row>
    <row r="971" spans="1:20" x14ac:dyDescent="0.3">
      <c r="A971">
        <v>1880</v>
      </c>
      <c r="B971" t="s">
        <v>129</v>
      </c>
      <c r="C971" t="s">
        <v>130</v>
      </c>
      <c r="D971" t="s">
        <v>131</v>
      </c>
      <c r="E971" t="s">
        <v>132</v>
      </c>
      <c r="F971" t="s">
        <v>133</v>
      </c>
      <c r="G971" t="s">
        <v>134</v>
      </c>
      <c r="H971" t="s">
        <v>22</v>
      </c>
      <c r="I971" t="s">
        <v>135</v>
      </c>
      <c r="J971" s="1">
        <v>181</v>
      </c>
      <c r="K971" s="1">
        <v>36.200000000000003</v>
      </c>
      <c r="L971" s="3">
        <v>5</v>
      </c>
      <c r="M971" t="s">
        <v>36</v>
      </c>
      <c r="N971" s="2">
        <v>45259</v>
      </c>
      <c r="O971" t="s">
        <v>136</v>
      </c>
      <c r="P971" t="s">
        <v>137</v>
      </c>
      <c r="Q971">
        <v>60614</v>
      </c>
      <c r="R971" t="s">
        <v>27</v>
      </c>
      <c r="S971" s="10">
        <v>7.9832782401743208</v>
      </c>
      <c r="T971">
        <v>7</v>
      </c>
    </row>
    <row r="972" spans="1:20" x14ac:dyDescent="0.3">
      <c r="A972">
        <v>1170</v>
      </c>
      <c r="B972" t="s">
        <v>153</v>
      </c>
      <c r="C972" t="s">
        <v>154</v>
      </c>
      <c r="D972" t="s">
        <v>155</v>
      </c>
      <c r="E972" t="s">
        <v>156</v>
      </c>
      <c r="F972" t="s">
        <v>157</v>
      </c>
      <c r="G972" t="s">
        <v>158</v>
      </c>
      <c r="H972" t="s">
        <v>34</v>
      </c>
      <c r="I972" t="s">
        <v>65</v>
      </c>
      <c r="J972" s="1">
        <v>547</v>
      </c>
      <c r="K972" s="1">
        <v>34.1875</v>
      </c>
      <c r="L972" s="3">
        <v>16</v>
      </c>
      <c r="M972" t="s">
        <v>24</v>
      </c>
      <c r="N972" s="2">
        <v>45260</v>
      </c>
      <c r="O972" t="s">
        <v>67</v>
      </c>
      <c r="P972" t="s">
        <v>159</v>
      </c>
      <c r="Q972">
        <v>88574</v>
      </c>
      <c r="R972" t="s">
        <v>27</v>
      </c>
      <c r="S972" s="10">
        <v>33.186620852872082</v>
      </c>
      <c r="T972">
        <v>28</v>
      </c>
    </row>
    <row r="973" spans="1:20" x14ac:dyDescent="0.3">
      <c r="A973">
        <v>1170</v>
      </c>
      <c r="B973" t="s">
        <v>153</v>
      </c>
      <c r="C973" t="s">
        <v>154</v>
      </c>
      <c r="D973" t="s">
        <v>155</v>
      </c>
      <c r="E973" t="s">
        <v>156</v>
      </c>
      <c r="F973" t="s">
        <v>157</v>
      </c>
      <c r="G973" t="s">
        <v>158</v>
      </c>
      <c r="H973" t="s">
        <v>34</v>
      </c>
      <c r="I973" t="s">
        <v>65</v>
      </c>
      <c r="J973" s="1">
        <v>131</v>
      </c>
      <c r="K973" s="1">
        <v>43.666666666666664</v>
      </c>
      <c r="L973" s="3">
        <v>3</v>
      </c>
      <c r="M973" t="s">
        <v>24</v>
      </c>
      <c r="N973" s="2">
        <v>45265</v>
      </c>
      <c r="O973" t="s">
        <v>67</v>
      </c>
      <c r="P973" t="s">
        <v>159</v>
      </c>
      <c r="Q973">
        <v>88574</v>
      </c>
      <c r="R973" t="s">
        <v>27</v>
      </c>
      <c r="S973" s="10">
        <v>5.6475500137294841</v>
      </c>
      <c r="T973">
        <v>5</v>
      </c>
    </row>
    <row r="974" spans="1:20" x14ac:dyDescent="0.3">
      <c r="A974">
        <v>1170</v>
      </c>
      <c r="B974" t="s">
        <v>153</v>
      </c>
      <c r="C974" t="s">
        <v>154</v>
      </c>
      <c r="D974" t="s">
        <v>155</v>
      </c>
      <c r="E974" t="s">
        <v>156</v>
      </c>
      <c r="F974" t="s">
        <v>157</v>
      </c>
      <c r="G974" t="s">
        <v>158</v>
      </c>
      <c r="H974" t="s">
        <v>34</v>
      </c>
      <c r="I974" t="s">
        <v>65</v>
      </c>
      <c r="J974" s="1">
        <v>203</v>
      </c>
      <c r="K974" s="1">
        <v>40.6</v>
      </c>
      <c r="L974" s="3">
        <v>5</v>
      </c>
      <c r="M974" t="s">
        <v>24</v>
      </c>
      <c r="N974" s="2">
        <v>45267</v>
      </c>
      <c r="O974" t="s">
        <v>67</v>
      </c>
      <c r="P974" t="s">
        <v>159</v>
      </c>
      <c r="Q974">
        <v>88574</v>
      </c>
      <c r="R974" t="s">
        <v>27</v>
      </c>
      <c r="S974" s="10">
        <v>6.5748741475081278</v>
      </c>
      <c r="T974">
        <v>10</v>
      </c>
    </row>
    <row r="975" spans="1:20" x14ac:dyDescent="0.3">
      <c r="A975">
        <v>1613</v>
      </c>
      <c r="B975" t="s">
        <v>1929</v>
      </c>
      <c r="C975" t="s">
        <v>1930</v>
      </c>
      <c r="D975" t="s">
        <v>1931</v>
      </c>
      <c r="E975" t="s">
        <v>1932</v>
      </c>
      <c r="F975" t="s">
        <v>1933</v>
      </c>
      <c r="G975" t="s">
        <v>957</v>
      </c>
      <c r="H975" t="s">
        <v>22</v>
      </c>
      <c r="I975" t="s">
        <v>23</v>
      </c>
      <c r="J975" s="1">
        <v>697</v>
      </c>
      <c r="K975" s="1">
        <v>41</v>
      </c>
      <c r="L975" s="3">
        <v>17</v>
      </c>
      <c r="M975" t="s">
        <v>343</v>
      </c>
      <c r="N975" s="2">
        <v>45267</v>
      </c>
      <c r="O975" t="s">
        <v>1590</v>
      </c>
      <c r="P975" t="s">
        <v>1591</v>
      </c>
      <c r="Q975">
        <v>39534</v>
      </c>
      <c r="R975" t="s">
        <v>27</v>
      </c>
      <c r="S975" s="10">
        <v>29.568845156721782</v>
      </c>
      <c r="T975">
        <v>24</v>
      </c>
    </row>
    <row r="976" spans="1:20" x14ac:dyDescent="0.3">
      <c r="A976">
        <v>1260</v>
      </c>
      <c r="B976" t="s">
        <v>352</v>
      </c>
      <c r="C976" t="s">
        <v>353</v>
      </c>
      <c r="D976" t="s">
        <v>354</v>
      </c>
      <c r="E976" t="s">
        <v>355</v>
      </c>
      <c r="F976" t="s">
        <v>356</v>
      </c>
      <c r="G976" t="s">
        <v>357</v>
      </c>
      <c r="H976" t="s">
        <v>34</v>
      </c>
      <c r="I976" t="s">
        <v>236</v>
      </c>
      <c r="J976" s="1">
        <v>214</v>
      </c>
      <c r="K976" s="1">
        <v>30.571428571428573</v>
      </c>
      <c r="L976" s="3">
        <v>7</v>
      </c>
      <c r="M976" t="s">
        <v>36</v>
      </c>
      <c r="N976" s="2">
        <v>45268</v>
      </c>
      <c r="O976" t="s">
        <v>358</v>
      </c>
      <c r="P976" t="s">
        <v>359</v>
      </c>
      <c r="Q976">
        <v>99215</v>
      </c>
      <c r="R976" t="s">
        <v>27</v>
      </c>
      <c r="S976" s="10">
        <v>13.93981617039239</v>
      </c>
      <c r="T976">
        <v>13</v>
      </c>
    </row>
    <row r="977" spans="1:20" x14ac:dyDescent="0.3">
      <c r="A977">
        <v>1783</v>
      </c>
      <c r="B977" t="s">
        <v>302</v>
      </c>
      <c r="C977" t="s">
        <v>303</v>
      </c>
      <c r="D977" t="s">
        <v>304</v>
      </c>
      <c r="E977" t="s">
        <v>305</v>
      </c>
      <c r="F977" t="s">
        <v>306</v>
      </c>
      <c r="G977" t="s">
        <v>307</v>
      </c>
      <c r="H977" t="s">
        <v>34</v>
      </c>
      <c r="I977" t="s">
        <v>35</v>
      </c>
      <c r="J977" s="1">
        <v>249</v>
      </c>
      <c r="K977" s="1">
        <v>41.5</v>
      </c>
      <c r="L977" s="3">
        <v>6</v>
      </c>
      <c r="M977" t="s">
        <v>244</v>
      </c>
      <c r="N977" s="2">
        <v>45269</v>
      </c>
      <c r="O977" t="s">
        <v>308</v>
      </c>
      <c r="P977" t="s">
        <v>309</v>
      </c>
      <c r="Q977">
        <v>85715</v>
      </c>
      <c r="R977" t="s">
        <v>27</v>
      </c>
      <c r="S977" s="10">
        <v>10.73234783302823</v>
      </c>
      <c r="T977">
        <v>10</v>
      </c>
    </row>
    <row r="978" spans="1:20" x14ac:dyDescent="0.3">
      <c r="A978">
        <v>1405</v>
      </c>
      <c r="B978" t="s">
        <v>535</v>
      </c>
      <c r="C978" t="s">
        <v>719</v>
      </c>
      <c r="D978" t="s">
        <v>1919</v>
      </c>
      <c r="E978" t="s">
        <v>1920</v>
      </c>
      <c r="F978" t="s">
        <v>801</v>
      </c>
      <c r="G978" t="s">
        <v>951</v>
      </c>
      <c r="H978" t="s">
        <v>22</v>
      </c>
      <c r="I978" t="s">
        <v>135</v>
      </c>
      <c r="J978" s="1">
        <v>40</v>
      </c>
      <c r="K978" s="1">
        <v>40</v>
      </c>
      <c r="L978" s="3">
        <v>1</v>
      </c>
      <c r="M978" t="s">
        <v>447</v>
      </c>
      <c r="N978" s="2">
        <v>45271</v>
      </c>
      <c r="O978" t="s">
        <v>118</v>
      </c>
      <c r="P978" t="s">
        <v>454</v>
      </c>
      <c r="Q978">
        <v>55446</v>
      </c>
      <c r="R978" t="s">
        <v>27</v>
      </c>
      <c r="S978" s="10">
        <v>2.2963879323747731</v>
      </c>
      <c r="T978">
        <v>1</v>
      </c>
    </row>
    <row r="979" spans="1:20" x14ac:dyDescent="0.3">
      <c r="A979">
        <v>1001</v>
      </c>
      <c r="B979" t="s">
        <v>269</v>
      </c>
      <c r="C979" t="s">
        <v>270</v>
      </c>
      <c r="D979" t="s">
        <v>271</v>
      </c>
      <c r="E979" t="s">
        <v>272</v>
      </c>
      <c r="F979" t="s">
        <v>273</v>
      </c>
      <c r="G979" t="s">
        <v>274</v>
      </c>
      <c r="H979" t="s">
        <v>34</v>
      </c>
      <c r="I979" t="s">
        <v>23</v>
      </c>
      <c r="J979" s="1">
        <v>851</v>
      </c>
      <c r="K979" s="1">
        <v>38.68181818181818</v>
      </c>
      <c r="L979" s="3">
        <v>22</v>
      </c>
      <c r="M979" t="s">
        <v>126</v>
      </c>
      <c r="N979" s="2">
        <v>45273</v>
      </c>
      <c r="O979" t="s">
        <v>67</v>
      </c>
      <c r="P979" t="s">
        <v>159</v>
      </c>
      <c r="Q979">
        <v>88563</v>
      </c>
      <c r="R979" t="s">
        <v>27</v>
      </c>
      <c r="S979" s="10">
        <v>31.587806115719744</v>
      </c>
      <c r="T979">
        <v>39</v>
      </c>
    </row>
    <row r="980" spans="1:20" x14ac:dyDescent="0.3">
      <c r="A980">
        <v>1212</v>
      </c>
      <c r="B980" t="s">
        <v>120</v>
      </c>
      <c r="C980" t="s">
        <v>121</v>
      </c>
      <c r="D980" t="s">
        <v>122</v>
      </c>
      <c r="E980" t="s">
        <v>123</v>
      </c>
      <c r="F980" t="s">
        <v>124</v>
      </c>
      <c r="G980" t="s">
        <v>125</v>
      </c>
      <c r="H980" t="s">
        <v>22</v>
      </c>
      <c r="I980" t="s">
        <v>65</v>
      </c>
      <c r="J980" s="1">
        <v>207</v>
      </c>
      <c r="K980" s="1">
        <v>41.4</v>
      </c>
      <c r="L980" s="3">
        <v>5</v>
      </c>
      <c r="M980" t="s">
        <v>126</v>
      </c>
      <c r="N980" s="2">
        <v>45273</v>
      </c>
      <c r="O980" t="s">
        <v>127</v>
      </c>
      <c r="P980" t="s">
        <v>128</v>
      </c>
      <c r="Q980">
        <v>6183</v>
      </c>
      <c r="R980" t="s">
        <v>27</v>
      </c>
      <c r="S980" s="10">
        <v>8.0343585422400015</v>
      </c>
      <c r="T980">
        <v>9</v>
      </c>
    </row>
    <row r="981" spans="1:20" x14ac:dyDescent="0.3">
      <c r="A981">
        <v>1934</v>
      </c>
      <c r="B981" t="s">
        <v>222</v>
      </c>
      <c r="C981" t="s">
        <v>1545</v>
      </c>
      <c r="D981" t="s">
        <v>1934</v>
      </c>
      <c r="E981" t="s">
        <v>1935</v>
      </c>
      <c r="F981" t="s">
        <v>1936</v>
      </c>
      <c r="G981" t="s">
        <v>686</v>
      </c>
      <c r="H981" t="s">
        <v>34</v>
      </c>
      <c r="I981" t="s">
        <v>75</v>
      </c>
      <c r="J981" s="1">
        <v>369</v>
      </c>
      <c r="K981" s="1">
        <v>30.75</v>
      </c>
      <c r="L981" s="3">
        <v>12</v>
      </c>
      <c r="M981" t="s">
        <v>447</v>
      </c>
      <c r="N981" s="2">
        <v>45276</v>
      </c>
      <c r="O981" t="s">
        <v>308</v>
      </c>
      <c r="P981" t="s">
        <v>1937</v>
      </c>
      <c r="Q981">
        <v>85305</v>
      </c>
      <c r="R981" t="s">
        <v>27</v>
      </c>
      <c r="S981" s="10">
        <v>24.250809738604783</v>
      </c>
      <c r="T981">
        <v>18</v>
      </c>
    </row>
    <row r="982" spans="1:20" x14ac:dyDescent="0.3">
      <c r="A982">
        <v>1695</v>
      </c>
      <c r="B982" t="s">
        <v>92</v>
      </c>
      <c r="C982" t="s">
        <v>456</v>
      </c>
      <c r="D982" t="s">
        <v>1938</v>
      </c>
      <c r="E982" t="s">
        <v>1939</v>
      </c>
      <c r="F982" t="s">
        <v>1940</v>
      </c>
      <c r="G982" t="s">
        <v>1110</v>
      </c>
      <c r="H982" t="s">
        <v>22</v>
      </c>
      <c r="I982" t="s">
        <v>23</v>
      </c>
      <c r="J982" s="1">
        <v>304</v>
      </c>
      <c r="K982" s="1">
        <v>38</v>
      </c>
      <c r="L982" s="3">
        <v>8</v>
      </c>
      <c r="M982" t="s">
        <v>126</v>
      </c>
      <c r="N982" s="2">
        <v>45277</v>
      </c>
      <c r="O982" t="s">
        <v>57</v>
      </c>
      <c r="P982" t="s">
        <v>1941</v>
      </c>
      <c r="Q982">
        <v>31210</v>
      </c>
      <c r="R982" t="s">
        <v>27</v>
      </c>
      <c r="S982" s="10">
        <v>15.346761764046512</v>
      </c>
      <c r="T982">
        <v>14</v>
      </c>
    </row>
    <row r="983" spans="1:20" x14ac:dyDescent="0.3">
      <c r="A983">
        <v>1123</v>
      </c>
      <c r="B983" t="s">
        <v>231</v>
      </c>
      <c r="C983" t="s">
        <v>512</v>
      </c>
      <c r="D983" t="s">
        <v>639</v>
      </c>
      <c r="E983" t="s">
        <v>640</v>
      </c>
      <c r="F983" t="s">
        <v>638</v>
      </c>
      <c r="G983" t="s">
        <v>410</v>
      </c>
      <c r="H983" t="s">
        <v>34</v>
      </c>
      <c r="I983" t="s">
        <v>55</v>
      </c>
      <c r="J983" s="1">
        <v>768</v>
      </c>
      <c r="K983" s="1">
        <v>33.391304347826086</v>
      </c>
      <c r="L983" s="3">
        <v>23</v>
      </c>
      <c r="M983" t="s">
        <v>24</v>
      </c>
      <c r="N983" s="2">
        <v>45279</v>
      </c>
      <c r="O983" t="s">
        <v>267</v>
      </c>
      <c r="P983" t="s">
        <v>641</v>
      </c>
      <c r="Q983">
        <v>33673</v>
      </c>
      <c r="R983" t="s">
        <v>27</v>
      </c>
      <c r="S983" s="10">
        <v>54.969656390331181</v>
      </c>
      <c r="T983">
        <v>51</v>
      </c>
    </row>
    <row r="984" spans="1:20" x14ac:dyDescent="0.3">
      <c r="A984">
        <v>1535</v>
      </c>
      <c r="B984" t="s">
        <v>205</v>
      </c>
      <c r="C984" t="s">
        <v>1942</v>
      </c>
      <c r="D984" t="s">
        <v>1943</v>
      </c>
      <c r="E984" t="s">
        <v>1944</v>
      </c>
      <c r="F984" t="s">
        <v>956</v>
      </c>
      <c r="G984" t="s">
        <v>151</v>
      </c>
      <c r="H984" t="s">
        <v>34</v>
      </c>
      <c r="I984" t="s">
        <v>266</v>
      </c>
      <c r="J984" s="1">
        <v>781</v>
      </c>
      <c r="K984" s="1">
        <v>25.193548387096776</v>
      </c>
      <c r="L984" s="3">
        <v>31</v>
      </c>
      <c r="M984" t="s">
        <v>404</v>
      </c>
      <c r="N984" s="2">
        <v>45279</v>
      </c>
      <c r="O984" t="s">
        <v>237</v>
      </c>
      <c r="P984" t="s">
        <v>786</v>
      </c>
      <c r="Q984">
        <v>35805</v>
      </c>
      <c r="R984" t="s">
        <v>27</v>
      </c>
      <c r="S984" s="10">
        <v>42.300135629960863</v>
      </c>
      <c r="T984">
        <v>55</v>
      </c>
    </row>
    <row r="985" spans="1:20" x14ac:dyDescent="0.3">
      <c r="A985">
        <v>1020</v>
      </c>
      <c r="B985" t="s">
        <v>310</v>
      </c>
      <c r="C985" t="s">
        <v>311</v>
      </c>
      <c r="D985" t="s">
        <v>312</v>
      </c>
      <c r="E985" t="s">
        <v>313</v>
      </c>
      <c r="F985" t="s">
        <v>314</v>
      </c>
      <c r="G985" t="s">
        <v>315</v>
      </c>
      <c r="H985" t="s">
        <v>22</v>
      </c>
      <c r="I985" t="s">
        <v>23</v>
      </c>
      <c r="J985" s="1">
        <v>444</v>
      </c>
      <c r="K985" s="1">
        <v>37</v>
      </c>
      <c r="L985" s="3">
        <v>12</v>
      </c>
      <c r="M985" t="s">
        <v>36</v>
      </c>
      <c r="N985" s="2">
        <v>45283</v>
      </c>
      <c r="O985" t="s">
        <v>37</v>
      </c>
      <c r="P985" t="s">
        <v>316</v>
      </c>
      <c r="Q985">
        <v>94105</v>
      </c>
      <c r="R985" t="s">
        <v>27</v>
      </c>
      <c r="S985" s="10">
        <v>18.046155958114497</v>
      </c>
      <c r="T985">
        <v>16</v>
      </c>
    </row>
    <row r="986" spans="1:20" x14ac:dyDescent="0.3">
      <c r="A986">
        <v>1634</v>
      </c>
      <c r="B986" t="s">
        <v>1267</v>
      </c>
      <c r="C986" t="s">
        <v>1262</v>
      </c>
      <c r="D986" t="s">
        <v>1945</v>
      </c>
      <c r="E986" t="s">
        <v>1946</v>
      </c>
      <c r="F986" t="s">
        <v>377</v>
      </c>
      <c r="G986" t="s">
        <v>1947</v>
      </c>
      <c r="H986" t="s">
        <v>22</v>
      </c>
      <c r="I986" t="s">
        <v>23</v>
      </c>
      <c r="J986" s="1">
        <v>197</v>
      </c>
      <c r="K986" s="1">
        <v>39.4</v>
      </c>
      <c r="L986" s="3">
        <v>5</v>
      </c>
      <c r="M986" t="s">
        <v>99</v>
      </c>
      <c r="N986" s="2">
        <v>45285</v>
      </c>
      <c r="O986" t="s">
        <v>211</v>
      </c>
      <c r="P986" t="s">
        <v>212</v>
      </c>
      <c r="Q986">
        <v>68510</v>
      </c>
      <c r="R986" t="s">
        <v>27</v>
      </c>
      <c r="S986" s="10">
        <v>10.958988426457568</v>
      </c>
      <c r="T986">
        <v>7</v>
      </c>
    </row>
    <row r="987" spans="1:20" x14ac:dyDescent="0.3">
      <c r="A987">
        <v>1021</v>
      </c>
      <c r="B987" t="s">
        <v>16</v>
      </c>
      <c r="C987" t="s">
        <v>17</v>
      </c>
      <c r="D987" t="s">
        <v>18</v>
      </c>
      <c r="E987" t="s">
        <v>19</v>
      </c>
      <c r="F987" t="s">
        <v>20</v>
      </c>
      <c r="G987" t="s">
        <v>21</v>
      </c>
      <c r="H987" t="s">
        <v>22</v>
      </c>
      <c r="I987" t="s">
        <v>23</v>
      </c>
      <c r="J987" s="1">
        <v>888</v>
      </c>
      <c r="K987" s="1">
        <v>42.285714285714285</v>
      </c>
      <c r="L987" s="3">
        <v>21</v>
      </c>
      <c r="M987" t="s">
        <v>24</v>
      </c>
      <c r="N987" s="2">
        <v>45286</v>
      </c>
      <c r="O987" t="s">
        <v>25</v>
      </c>
      <c r="P987" t="s">
        <v>26</v>
      </c>
      <c r="Q987">
        <v>48555</v>
      </c>
      <c r="R987" t="s">
        <v>27</v>
      </c>
      <c r="S987" s="10">
        <v>32.225585718971445</v>
      </c>
      <c r="T987">
        <v>33</v>
      </c>
    </row>
    <row r="988" spans="1:20" x14ac:dyDescent="0.3">
      <c r="A988">
        <v>1988</v>
      </c>
      <c r="B988" t="s">
        <v>550</v>
      </c>
      <c r="C988" t="s">
        <v>1141</v>
      </c>
      <c r="D988" t="s">
        <v>1142</v>
      </c>
      <c r="E988" t="s">
        <v>1143</v>
      </c>
      <c r="F988" t="s">
        <v>1144</v>
      </c>
      <c r="G988" t="s">
        <v>483</v>
      </c>
      <c r="H988" t="s">
        <v>22</v>
      </c>
      <c r="I988" t="s">
        <v>65</v>
      </c>
      <c r="J988" s="1">
        <v>340</v>
      </c>
      <c r="K988" s="1">
        <v>28.333333333333332</v>
      </c>
      <c r="L988" s="3">
        <v>12</v>
      </c>
      <c r="M988" t="s">
        <v>36</v>
      </c>
      <c r="N988" s="2">
        <v>45286</v>
      </c>
      <c r="O988" t="s">
        <v>127</v>
      </c>
      <c r="P988" t="s">
        <v>1145</v>
      </c>
      <c r="Q988">
        <v>6912</v>
      </c>
      <c r="R988" t="s">
        <v>27</v>
      </c>
      <c r="S988" s="10">
        <v>17.269173441428791</v>
      </c>
      <c r="T988">
        <v>25</v>
      </c>
    </row>
    <row r="989" spans="1:20" x14ac:dyDescent="0.3">
      <c r="A989">
        <v>1660</v>
      </c>
      <c r="B989" t="s">
        <v>167</v>
      </c>
      <c r="C989" t="s">
        <v>1948</v>
      </c>
      <c r="D989" t="s">
        <v>1949</v>
      </c>
      <c r="E989" t="s">
        <v>1950</v>
      </c>
      <c r="F989" t="s">
        <v>439</v>
      </c>
      <c r="G989" t="s">
        <v>210</v>
      </c>
      <c r="H989" t="s">
        <v>22</v>
      </c>
      <c r="I989" t="s">
        <v>23</v>
      </c>
      <c r="J989" s="1">
        <v>589</v>
      </c>
      <c r="K989" s="1">
        <v>36.8125</v>
      </c>
      <c r="L989" s="3">
        <v>16</v>
      </c>
      <c r="M989" t="s">
        <v>143</v>
      </c>
      <c r="N989" s="2">
        <v>45288</v>
      </c>
      <c r="O989" t="s">
        <v>165</v>
      </c>
      <c r="P989" t="s">
        <v>1951</v>
      </c>
      <c r="Q989">
        <v>88006</v>
      </c>
      <c r="R989" t="s">
        <v>27</v>
      </c>
      <c r="S989" s="10">
        <v>30.219501891584592</v>
      </c>
      <c r="T989">
        <v>21</v>
      </c>
    </row>
    <row r="990" spans="1:20" x14ac:dyDescent="0.3">
      <c r="A990">
        <v>1298</v>
      </c>
      <c r="B990" t="s">
        <v>275</v>
      </c>
      <c r="C990" t="s">
        <v>340</v>
      </c>
      <c r="D990" t="s">
        <v>341</v>
      </c>
      <c r="E990" t="s">
        <v>342</v>
      </c>
      <c r="F990" t="s">
        <v>306</v>
      </c>
      <c r="G990" t="s">
        <v>180</v>
      </c>
      <c r="H990" t="s">
        <v>22</v>
      </c>
      <c r="I990" t="s">
        <v>236</v>
      </c>
      <c r="J990" s="1">
        <v>456</v>
      </c>
      <c r="K990" s="1">
        <v>25.333333333333332</v>
      </c>
      <c r="L990" s="3">
        <v>18</v>
      </c>
      <c r="M990" t="s">
        <v>343</v>
      </c>
      <c r="N990" s="2">
        <v>45292</v>
      </c>
      <c r="O990" t="s">
        <v>267</v>
      </c>
      <c r="P990" t="s">
        <v>344</v>
      </c>
      <c r="Q990">
        <v>32891</v>
      </c>
      <c r="R990" t="s">
        <v>27</v>
      </c>
      <c r="S990" s="10">
        <v>22.51572094578065</v>
      </c>
      <c r="T990">
        <v>23</v>
      </c>
    </row>
    <row r="991" spans="1:20" x14ac:dyDescent="0.3">
      <c r="A991">
        <v>1713</v>
      </c>
      <c r="B991" t="s">
        <v>764</v>
      </c>
      <c r="C991" t="s">
        <v>1257</v>
      </c>
      <c r="D991" t="s">
        <v>1952</v>
      </c>
      <c r="E991" t="s">
        <v>1953</v>
      </c>
      <c r="F991" t="s">
        <v>1728</v>
      </c>
      <c r="G991" t="s">
        <v>555</v>
      </c>
      <c r="H991" t="s">
        <v>22</v>
      </c>
      <c r="I991" t="s">
        <v>23</v>
      </c>
      <c r="J991" s="1">
        <v>86</v>
      </c>
      <c r="K991" s="1">
        <v>28.666666666666668</v>
      </c>
      <c r="L991" s="3">
        <v>3</v>
      </c>
      <c r="M991" t="s">
        <v>36</v>
      </c>
      <c r="N991" s="2">
        <v>45293</v>
      </c>
      <c r="O991" t="s">
        <v>25</v>
      </c>
      <c r="P991" t="s">
        <v>665</v>
      </c>
      <c r="Q991">
        <v>48670</v>
      </c>
      <c r="R991" t="s">
        <v>27</v>
      </c>
      <c r="S991" s="10">
        <v>5.9942095293269553</v>
      </c>
      <c r="T991">
        <v>5</v>
      </c>
    </row>
    <row r="992" spans="1:20" x14ac:dyDescent="0.3">
      <c r="A992">
        <v>1990</v>
      </c>
      <c r="B992" t="s">
        <v>1526</v>
      </c>
      <c r="C992" t="s">
        <v>861</v>
      </c>
      <c r="D992" t="s">
        <v>1527</v>
      </c>
      <c r="E992" t="s">
        <v>1528</v>
      </c>
      <c r="F992" t="s">
        <v>1437</v>
      </c>
      <c r="G992" t="s">
        <v>1189</v>
      </c>
      <c r="H992" t="s">
        <v>22</v>
      </c>
      <c r="I992" t="s">
        <v>65</v>
      </c>
      <c r="J992" s="1">
        <v>716</v>
      </c>
      <c r="K992" s="1">
        <v>44.75</v>
      </c>
      <c r="L992" s="3">
        <v>16</v>
      </c>
      <c r="M992" t="s">
        <v>36</v>
      </c>
      <c r="N992" s="2">
        <v>45293</v>
      </c>
      <c r="O992" t="s">
        <v>237</v>
      </c>
      <c r="P992" t="s">
        <v>1298</v>
      </c>
      <c r="Q992">
        <v>36622</v>
      </c>
      <c r="R992" t="s">
        <v>27</v>
      </c>
      <c r="S992" s="10">
        <v>31.671491367601895</v>
      </c>
      <c r="T992">
        <v>33</v>
      </c>
    </row>
    <row r="993" spans="1:20" x14ac:dyDescent="0.3">
      <c r="A993">
        <v>1170</v>
      </c>
      <c r="B993" t="s">
        <v>153</v>
      </c>
      <c r="C993" t="s">
        <v>154</v>
      </c>
      <c r="D993" t="s">
        <v>155</v>
      </c>
      <c r="E993" t="s">
        <v>156</v>
      </c>
      <c r="F993" t="s">
        <v>157</v>
      </c>
      <c r="G993" t="s">
        <v>158</v>
      </c>
      <c r="H993" t="s">
        <v>34</v>
      </c>
      <c r="I993" t="s">
        <v>65</v>
      </c>
      <c r="J993" s="1">
        <v>598</v>
      </c>
      <c r="K993" s="1">
        <v>42.714285714285715</v>
      </c>
      <c r="L993" s="3">
        <v>14</v>
      </c>
      <c r="M993" t="s">
        <v>24</v>
      </c>
      <c r="N993" s="2">
        <v>45294</v>
      </c>
      <c r="O993" t="s">
        <v>67</v>
      </c>
      <c r="P993" t="s">
        <v>159</v>
      </c>
      <c r="Q993">
        <v>88574</v>
      </c>
      <c r="R993" t="s">
        <v>27</v>
      </c>
      <c r="S993" s="10">
        <v>29.198250005292607</v>
      </c>
      <c r="T993">
        <v>30</v>
      </c>
    </row>
    <row r="994" spans="1:20" x14ac:dyDescent="0.3">
      <c r="A994">
        <v>1142</v>
      </c>
      <c r="B994" t="s">
        <v>405</v>
      </c>
      <c r="C994" t="s">
        <v>1758</v>
      </c>
      <c r="D994" t="s">
        <v>1954</v>
      </c>
      <c r="E994" t="s">
        <v>1955</v>
      </c>
      <c r="F994" t="s">
        <v>1317</v>
      </c>
      <c r="G994" t="s">
        <v>545</v>
      </c>
      <c r="H994" t="s">
        <v>34</v>
      </c>
      <c r="I994" t="s">
        <v>35</v>
      </c>
      <c r="J994" s="1">
        <v>762</v>
      </c>
      <c r="K994" s="1">
        <v>34.636363636363633</v>
      </c>
      <c r="L994" s="3">
        <v>22</v>
      </c>
      <c r="M994" t="s">
        <v>343</v>
      </c>
      <c r="N994" s="2">
        <v>45295</v>
      </c>
      <c r="O994" t="s">
        <v>993</v>
      </c>
      <c r="P994" t="s">
        <v>994</v>
      </c>
      <c r="Q994">
        <v>25356</v>
      </c>
      <c r="R994" t="s">
        <v>27</v>
      </c>
      <c r="S994" s="10">
        <v>33.188157547183181</v>
      </c>
      <c r="T994">
        <v>46</v>
      </c>
    </row>
    <row r="995" spans="1:20" x14ac:dyDescent="0.3">
      <c r="A995">
        <v>1123</v>
      </c>
      <c r="B995" t="s">
        <v>231</v>
      </c>
      <c r="C995" t="s">
        <v>512</v>
      </c>
      <c r="D995" t="s">
        <v>639</v>
      </c>
      <c r="E995" t="s">
        <v>640</v>
      </c>
      <c r="F995" t="s">
        <v>638</v>
      </c>
      <c r="G995" t="s">
        <v>410</v>
      </c>
      <c r="H995" t="s">
        <v>34</v>
      </c>
      <c r="I995" t="s">
        <v>55</v>
      </c>
      <c r="J995" s="1">
        <v>913</v>
      </c>
      <c r="K995" s="1">
        <v>27.666666666666668</v>
      </c>
      <c r="L995" s="3">
        <v>33</v>
      </c>
      <c r="M995" t="s">
        <v>24</v>
      </c>
      <c r="N995" s="2">
        <v>45296</v>
      </c>
      <c r="O995" t="s">
        <v>267</v>
      </c>
      <c r="P995" t="s">
        <v>641</v>
      </c>
      <c r="Q995">
        <v>33673</v>
      </c>
      <c r="R995" t="s">
        <v>27</v>
      </c>
      <c r="S995" s="10">
        <v>81.195071666606935</v>
      </c>
      <c r="T995">
        <v>50</v>
      </c>
    </row>
    <row r="996" spans="1:20" x14ac:dyDescent="0.3">
      <c r="A996">
        <v>1513</v>
      </c>
      <c r="B996" t="s">
        <v>556</v>
      </c>
      <c r="C996" t="s">
        <v>1370</v>
      </c>
      <c r="D996" t="s">
        <v>1371</v>
      </c>
      <c r="E996" t="s">
        <v>1372</v>
      </c>
      <c r="F996" t="s">
        <v>1097</v>
      </c>
      <c r="G996" t="s">
        <v>1238</v>
      </c>
      <c r="H996" t="s">
        <v>34</v>
      </c>
      <c r="I996" t="s">
        <v>366</v>
      </c>
      <c r="J996" s="1">
        <v>945</v>
      </c>
      <c r="K996" s="1">
        <v>39.375</v>
      </c>
      <c r="L996" s="3">
        <v>24</v>
      </c>
      <c r="M996" t="s">
        <v>46</v>
      </c>
      <c r="N996" s="2">
        <v>45297</v>
      </c>
      <c r="O996" t="s">
        <v>47</v>
      </c>
      <c r="P996" t="s">
        <v>48</v>
      </c>
      <c r="Q996">
        <v>23289</v>
      </c>
      <c r="R996" t="s">
        <v>27</v>
      </c>
      <c r="S996" s="10">
        <v>35.275799405593624</v>
      </c>
      <c r="T996">
        <v>35</v>
      </c>
    </row>
    <row r="997" spans="1:20" x14ac:dyDescent="0.3">
      <c r="A997">
        <v>1092</v>
      </c>
      <c r="B997" t="s">
        <v>518</v>
      </c>
      <c r="C997" t="s">
        <v>519</v>
      </c>
      <c r="D997" t="s">
        <v>520</v>
      </c>
      <c r="E997" t="s">
        <v>521</v>
      </c>
      <c r="F997" t="s">
        <v>522</v>
      </c>
      <c r="G997" t="s">
        <v>523</v>
      </c>
      <c r="H997" t="s">
        <v>22</v>
      </c>
      <c r="I997" t="s">
        <v>55</v>
      </c>
      <c r="J997" s="1">
        <v>263</v>
      </c>
      <c r="K997" s="1">
        <v>32.875</v>
      </c>
      <c r="L997" s="3">
        <v>8</v>
      </c>
      <c r="M997" t="s">
        <v>343</v>
      </c>
      <c r="N997" s="2">
        <v>45299</v>
      </c>
      <c r="O997" t="s">
        <v>267</v>
      </c>
      <c r="P997" t="s">
        <v>524</v>
      </c>
      <c r="Q997">
        <v>34233</v>
      </c>
      <c r="R997" t="s">
        <v>27</v>
      </c>
      <c r="S997" s="10">
        <v>19.49593743439436</v>
      </c>
      <c r="T997">
        <v>12</v>
      </c>
    </row>
    <row r="998" spans="1:20" x14ac:dyDescent="0.3">
      <c r="A998">
        <v>1144</v>
      </c>
      <c r="B998" t="s">
        <v>776</v>
      </c>
      <c r="C998" t="s">
        <v>747</v>
      </c>
      <c r="D998" t="s">
        <v>807</v>
      </c>
      <c r="E998" t="s">
        <v>808</v>
      </c>
      <c r="F998" t="s">
        <v>235</v>
      </c>
      <c r="G998" t="s">
        <v>677</v>
      </c>
      <c r="H998" t="s">
        <v>22</v>
      </c>
      <c r="I998" t="s">
        <v>35</v>
      </c>
      <c r="J998" s="1">
        <v>810</v>
      </c>
      <c r="K998" s="1">
        <v>31.153846153846153</v>
      </c>
      <c r="L998" s="3">
        <v>26</v>
      </c>
      <c r="M998" t="s">
        <v>66</v>
      </c>
      <c r="N998" s="2">
        <v>45299</v>
      </c>
      <c r="O998" t="s">
        <v>83</v>
      </c>
      <c r="P998" t="s">
        <v>809</v>
      </c>
      <c r="Q998">
        <v>11355</v>
      </c>
      <c r="R998" t="s">
        <v>27</v>
      </c>
      <c r="S998" s="10">
        <v>52.382944393489694</v>
      </c>
      <c r="T998">
        <v>61</v>
      </c>
    </row>
    <row r="999" spans="1:20" x14ac:dyDescent="0.3">
      <c r="A999">
        <v>1408</v>
      </c>
      <c r="B999" t="s">
        <v>828</v>
      </c>
      <c r="C999" t="s">
        <v>897</v>
      </c>
      <c r="D999" t="s">
        <v>934</v>
      </c>
      <c r="E999" t="s">
        <v>935</v>
      </c>
      <c r="F999" t="s">
        <v>936</v>
      </c>
      <c r="G999" t="s">
        <v>937</v>
      </c>
      <c r="H999" t="s">
        <v>34</v>
      </c>
      <c r="I999" t="s">
        <v>236</v>
      </c>
      <c r="J999" s="1">
        <v>617</v>
      </c>
      <c r="K999" s="1">
        <v>24.68</v>
      </c>
      <c r="L999" s="3">
        <v>25</v>
      </c>
      <c r="M999" t="s">
        <v>36</v>
      </c>
      <c r="N999" s="2">
        <v>45302</v>
      </c>
      <c r="O999" t="s">
        <v>67</v>
      </c>
      <c r="P999" t="s">
        <v>938</v>
      </c>
      <c r="Q999">
        <v>76598</v>
      </c>
      <c r="R999" t="s">
        <v>27</v>
      </c>
      <c r="S999" s="10">
        <v>50.698515580198858</v>
      </c>
      <c r="T999">
        <v>55</v>
      </c>
    </row>
    <row r="1000" spans="1:20" x14ac:dyDescent="0.3">
      <c r="A1000">
        <v>1277</v>
      </c>
      <c r="B1000" t="s">
        <v>222</v>
      </c>
      <c r="C1000" t="s">
        <v>223</v>
      </c>
      <c r="D1000" t="s">
        <v>224</v>
      </c>
      <c r="E1000" t="s">
        <v>225</v>
      </c>
      <c r="F1000" t="s">
        <v>226</v>
      </c>
      <c r="G1000" t="s">
        <v>227</v>
      </c>
      <c r="H1000" t="s">
        <v>34</v>
      </c>
      <c r="I1000" t="s">
        <v>228</v>
      </c>
      <c r="J1000" s="1">
        <v>846</v>
      </c>
      <c r="K1000" s="1">
        <v>28.2</v>
      </c>
      <c r="L1000" s="3">
        <v>30</v>
      </c>
      <c r="M1000" t="s">
        <v>203</v>
      </c>
      <c r="N1000" s="2">
        <v>45304</v>
      </c>
      <c r="O1000" t="s">
        <v>229</v>
      </c>
      <c r="P1000" t="s">
        <v>230</v>
      </c>
      <c r="Q1000">
        <v>44310</v>
      </c>
      <c r="R1000" t="s">
        <v>27</v>
      </c>
      <c r="S1000" s="10">
        <v>74.743343658385044</v>
      </c>
      <c r="T1000">
        <v>49</v>
      </c>
    </row>
    <row r="1001" spans="1:20" x14ac:dyDescent="0.3">
      <c r="A1001">
        <v>1144</v>
      </c>
      <c r="B1001" t="s">
        <v>776</v>
      </c>
      <c r="C1001" t="s">
        <v>747</v>
      </c>
      <c r="D1001" t="s">
        <v>807</v>
      </c>
      <c r="E1001" t="s">
        <v>808</v>
      </c>
      <c r="F1001" t="s">
        <v>235</v>
      </c>
      <c r="G1001" t="s">
        <v>677</v>
      </c>
      <c r="H1001" t="s">
        <v>22</v>
      </c>
      <c r="I1001" t="s">
        <v>35</v>
      </c>
      <c r="J1001" s="1">
        <v>661</v>
      </c>
      <c r="K1001" s="1">
        <v>27.541666666666668</v>
      </c>
      <c r="L1001" s="3">
        <v>24</v>
      </c>
      <c r="M1001" t="s">
        <v>66</v>
      </c>
      <c r="N1001" s="2">
        <v>45305</v>
      </c>
      <c r="O1001" t="s">
        <v>83</v>
      </c>
      <c r="P1001" t="s">
        <v>809</v>
      </c>
      <c r="Q1001">
        <v>11355</v>
      </c>
      <c r="R1001" t="s">
        <v>27</v>
      </c>
      <c r="S1001" s="10">
        <v>47.014312953926726</v>
      </c>
      <c r="T1001">
        <v>56</v>
      </c>
    </row>
    <row r="1002" spans="1:20" x14ac:dyDescent="0.3">
      <c r="A1002">
        <v>1598</v>
      </c>
      <c r="B1002" t="s">
        <v>1197</v>
      </c>
      <c r="C1002" t="s">
        <v>1956</v>
      </c>
      <c r="D1002" t="s">
        <v>1957</v>
      </c>
      <c r="E1002" t="s">
        <v>1958</v>
      </c>
      <c r="F1002" t="s">
        <v>1500</v>
      </c>
      <c r="G1002" t="s">
        <v>1959</v>
      </c>
      <c r="H1002" t="s">
        <v>22</v>
      </c>
      <c r="I1002" t="s">
        <v>75</v>
      </c>
      <c r="J1002" s="1">
        <v>666</v>
      </c>
      <c r="K1002" s="1">
        <v>44.4</v>
      </c>
      <c r="L1002" s="3">
        <v>15</v>
      </c>
      <c r="M1002" t="s">
        <v>36</v>
      </c>
      <c r="N1002" s="2">
        <v>45305</v>
      </c>
      <c r="O1002" t="s">
        <v>67</v>
      </c>
      <c r="P1002" t="s">
        <v>841</v>
      </c>
      <c r="Q1002">
        <v>75277</v>
      </c>
      <c r="R1002" t="s">
        <v>27</v>
      </c>
      <c r="S1002" s="10">
        <v>26.784852625152972</v>
      </c>
      <c r="T1002">
        <v>27</v>
      </c>
    </row>
    <row r="1003" spans="1:20" x14ac:dyDescent="0.3">
      <c r="A1003">
        <v>1618</v>
      </c>
      <c r="B1003" t="s">
        <v>1960</v>
      </c>
      <c r="C1003" t="s">
        <v>248</v>
      </c>
      <c r="D1003" t="s">
        <v>1961</v>
      </c>
      <c r="E1003" t="s">
        <v>1962</v>
      </c>
      <c r="F1003" t="s">
        <v>1963</v>
      </c>
      <c r="G1003" t="s">
        <v>274</v>
      </c>
      <c r="H1003" t="s">
        <v>34</v>
      </c>
      <c r="I1003" t="s">
        <v>45</v>
      </c>
      <c r="J1003" s="1">
        <v>972</v>
      </c>
      <c r="K1003" s="1">
        <v>34.714285714285715</v>
      </c>
      <c r="L1003" s="3">
        <v>28</v>
      </c>
      <c r="M1003" t="s">
        <v>36</v>
      </c>
      <c r="N1003" s="2">
        <v>45306</v>
      </c>
      <c r="O1003" t="s">
        <v>859</v>
      </c>
      <c r="P1003" t="s">
        <v>860</v>
      </c>
      <c r="Q1003">
        <v>20709</v>
      </c>
      <c r="R1003" t="s">
        <v>27</v>
      </c>
      <c r="S1003" s="10">
        <v>41.854260846293137</v>
      </c>
      <c r="T1003">
        <v>60</v>
      </c>
    </row>
    <row r="1004" spans="1:20" x14ac:dyDescent="0.3">
      <c r="A1004">
        <v>1569</v>
      </c>
      <c r="B1004" t="s">
        <v>892</v>
      </c>
      <c r="C1004" t="s">
        <v>939</v>
      </c>
      <c r="D1004" t="s">
        <v>1964</v>
      </c>
      <c r="E1004" t="s">
        <v>1965</v>
      </c>
      <c r="F1004" t="s">
        <v>1966</v>
      </c>
      <c r="G1004" t="s">
        <v>756</v>
      </c>
      <c r="H1004" t="s">
        <v>22</v>
      </c>
      <c r="I1004" t="s">
        <v>65</v>
      </c>
      <c r="J1004" s="1">
        <v>214</v>
      </c>
      <c r="K1004" s="1">
        <v>35.666666666666664</v>
      </c>
      <c r="L1004" s="3">
        <v>6</v>
      </c>
      <c r="M1004" t="s">
        <v>447</v>
      </c>
      <c r="N1004" s="2">
        <v>45307</v>
      </c>
      <c r="O1004" t="s">
        <v>470</v>
      </c>
      <c r="P1004" t="s">
        <v>358</v>
      </c>
      <c r="Q1004">
        <v>20319</v>
      </c>
      <c r="R1004" t="s">
        <v>27</v>
      </c>
      <c r="S1004" s="10">
        <v>8.0078546054630877</v>
      </c>
      <c r="T1004">
        <v>8</v>
      </c>
    </row>
    <row r="1005" spans="1:20" x14ac:dyDescent="0.3">
      <c r="A1005">
        <v>1298</v>
      </c>
      <c r="B1005" t="s">
        <v>275</v>
      </c>
      <c r="C1005" t="s">
        <v>340</v>
      </c>
      <c r="D1005" t="s">
        <v>341</v>
      </c>
      <c r="E1005" t="s">
        <v>342</v>
      </c>
      <c r="F1005" t="s">
        <v>306</v>
      </c>
      <c r="G1005" t="s">
        <v>180</v>
      </c>
      <c r="H1005" t="s">
        <v>22</v>
      </c>
      <c r="I1005" t="s">
        <v>236</v>
      </c>
      <c r="J1005" s="1">
        <v>221</v>
      </c>
      <c r="K1005" s="1">
        <v>31.571428571428573</v>
      </c>
      <c r="L1005" s="3">
        <v>7</v>
      </c>
      <c r="M1005" t="s">
        <v>343</v>
      </c>
      <c r="N1005" s="2">
        <v>45308</v>
      </c>
      <c r="O1005" t="s">
        <v>267</v>
      </c>
      <c r="P1005" t="s">
        <v>344</v>
      </c>
      <c r="Q1005">
        <v>32891</v>
      </c>
      <c r="R1005" t="s">
        <v>27</v>
      </c>
      <c r="S1005" s="10">
        <v>13.217451628828895</v>
      </c>
      <c r="T1005">
        <v>13</v>
      </c>
    </row>
    <row r="1006" spans="1:20" x14ac:dyDescent="0.3">
      <c r="A1006">
        <v>1549</v>
      </c>
      <c r="B1006" t="s">
        <v>1060</v>
      </c>
      <c r="C1006" t="s">
        <v>1523</v>
      </c>
      <c r="D1006" t="s">
        <v>1967</v>
      </c>
      <c r="E1006" t="s">
        <v>1968</v>
      </c>
      <c r="F1006" t="s">
        <v>1144</v>
      </c>
      <c r="G1006" t="s">
        <v>1016</v>
      </c>
      <c r="H1006" t="s">
        <v>34</v>
      </c>
      <c r="I1006" t="s">
        <v>23</v>
      </c>
      <c r="J1006" s="1">
        <v>995</v>
      </c>
      <c r="K1006" s="1">
        <v>34.310344827586206</v>
      </c>
      <c r="L1006" s="3">
        <v>29</v>
      </c>
      <c r="M1006" t="s">
        <v>36</v>
      </c>
      <c r="N1006" s="2">
        <v>45308</v>
      </c>
      <c r="O1006" t="s">
        <v>496</v>
      </c>
      <c r="P1006" t="s">
        <v>687</v>
      </c>
      <c r="Q1006">
        <v>40210</v>
      </c>
      <c r="R1006" t="s">
        <v>27</v>
      </c>
      <c r="S1006" s="10">
        <v>59.763783167823355</v>
      </c>
      <c r="T1006">
        <v>42</v>
      </c>
    </row>
    <row r="1007" spans="1:20" x14ac:dyDescent="0.3">
      <c r="A1007">
        <v>1143</v>
      </c>
      <c r="B1007" t="s">
        <v>1267</v>
      </c>
      <c r="C1007" t="s">
        <v>978</v>
      </c>
      <c r="D1007" t="s">
        <v>1969</v>
      </c>
      <c r="E1007" t="s">
        <v>1970</v>
      </c>
      <c r="F1007" t="s">
        <v>1712</v>
      </c>
      <c r="G1007" t="s">
        <v>1123</v>
      </c>
      <c r="H1007" t="s">
        <v>22</v>
      </c>
      <c r="I1007" t="s">
        <v>35</v>
      </c>
      <c r="J1007" s="1">
        <v>213</v>
      </c>
      <c r="K1007" s="1">
        <v>30.428571428571427</v>
      </c>
      <c r="L1007" s="3">
        <v>7</v>
      </c>
      <c r="M1007" t="s">
        <v>143</v>
      </c>
      <c r="N1007" s="2">
        <v>45309</v>
      </c>
      <c r="O1007" t="s">
        <v>993</v>
      </c>
      <c r="P1007" t="s">
        <v>994</v>
      </c>
      <c r="Q1007">
        <v>25356</v>
      </c>
      <c r="R1007" t="s">
        <v>27</v>
      </c>
      <c r="S1007" s="10">
        <v>13.249095789356199</v>
      </c>
      <c r="T1007">
        <v>10</v>
      </c>
    </row>
    <row r="1008" spans="1:20" x14ac:dyDescent="0.3">
      <c r="A1008">
        <v>1234</v>
      </c>
      <c r="B1008" t="s">
        <v>59</v>
      </c>
      <c r="C1008" t="s">
        <v>60</v>
      </c>
      <c r="D1008" t="s">
        <v>61</v>
      </c>
      <c r="E1008" t="s">
        <v>62</v>
      </c>
      <c r="F1008" t="s">
        <v>63</v>
      </c>
      <c r="G1008" t="s">
        <v>64</v>
      </c>
      <c r="H1008" t="s">
        <v>34</v>
      </c>
      <c r="I1008" t="s">
        <v>65</v>
      </c>
      <c r="J1008" s="1">
        <v>716</v>
      </c>
      <c r="K1008" s="1">
        <v>29.833333333333332</v>
      </c>
      <c r="L1008" s="3">
        <v>24</v>
      </c>
      <c r="M1008" t="s">
        <v>66</v>
      </c>
      <c r="N1008" s="2">
        <v>45309</v>
      </c>
      <c r="O1008" t="s">
        <v>67</v>
      </c>
      <c r="P1008" t="s">
        <v>68</v>
      </c>
      <c r="Q1008">
        <v>78710</v>
      </c>
      <c r="R1008" t="s">
        <v>27</v>
      </c>
      <c r="S1008" s="10">
        <v>38.596177547580936</v>
      </c>
      <c r="T1008">
        <v>53</v>
      </c>
    </row>
    <row r="1009" spans="1:20" x14ac:dyDescent="0.3">
      <c r="A1009">
        <v>1039</v>
      </c>
      <c r="B1009" t="s">
        <v>828</v>
      </c>
      <c r="C1009" t="s">
        <v>154</v>
      </c>
      <c r="D1009" t="s">
        <v>829</v>
      </c>
      <c r="E1009" t="s">
        <v>830</v>
      </c>
      <c r="F1009" t="s">
        <v>831</v>
      </c>
      <c r="G1009" t="s">
        <v>832</v>
      </c>
      <c r="H1009" t="s">
        <v>34</v>
      </c>
      <c r="I1009" t="s">
        <v>23</v>
      </c>
      <c r="J1009" s="1">
        <v>346</v>
      </c>
      <c r="K1009" s="1">
        <v>34.6</v>
      </c>
      <c r="L1009" s="3">
        <v>10</v>
      </c>
      <c r="M1009" t="s">
        <v>244</v>
      </c>
      <c r="N1009" s="2">
        <v>45310</v>
      </c>
      <c r="O1009" t="s">
        <v>496</v>
      </c>
      <c r="P1009" t="s">
        <v>687</v>
      </c>
      <c r="Q1009">
        <v>40298</v>
      </c>
      <c r="R1009" t="s">
        <v>27</v>
      </c>
      <c r="S1009" s="10">
        <v>16.645564233578241</v>
      </c>
      <c r="T1009">
        <v>19</v>
      </c>
    </row>
    <row r="1010" spans="1:20" x14ac:dyDescent="0.3">
      <c r="A1010">
        <v>1170</v>
      </c>
      <c r="B1010" t="s">
        <v>153</v>
      </c>
      <c r="C1010" t="s">
        <v>154</v>
      </c>
      <c r="D1010" t="s">
        <v>155</v>
      </c>
      <c r="E1010" t="s">
        <v>156</v>
      </c>
      <c r="F1010" t="s">
        <v>157</v>
      </c>
      <c r="G1010" t="s">
        <v>158</v>
      </c>
      <c r="H1010" t="s">
        <v>34</v>
      </c>
      <c r="I1010" t="s">
        <v>65</v>
      </c>
      <c r="J1010" s="1">
        <v>781</v>
      </c>
      <c r="K1010" s="1">
        <v>43.388888888888886</v>
      </c>
      <c r="L1010" s="3">
        <v>18</v>
      </c>
      <c r="M1010" t="s">
        <v>24</v>
      </c>
      <c r="N1010" s="2">
        <v>45311</v>
      </c>
      <c r="O1010" t="s">
        <v>67</v>
      </c>
      <c r="P1010" t="s">
        <v>159</v>
      </c>
      <c r="Q1010">
        <v>88574</v>
      </c>
      <c r="R1010" t="s">
        <v>27</v>
      </c>
      <c r="S1010" s="10">
        <v>32.524305030078843</v>
      </c>
      <c r="T1010">
        <v>24</v>
      </c>
    </row>
    <row r="1011" spans="1:20" x14ac:dyDescent="0.3">
      <c r="A1011">
        <v>1092</v>
      </c>
      <c r="B1011" t="s">
        <v>518</v>
      </c>
      <c r="C1011" t="s">
        <v>519</v>
      </c>
      <c r="D1011" t="s">
        <v>520</v>
      </c>
      <c r="E1011" t="s">
        <v>521</v>
      </c>
      <c r="F1011" t="s">
        <v>522</v>
      </c>
      <c r="G1011" t="s">
        <v>523</v>
      </c>
      <c r="H1011" t="s">
        <v>22</v>
      </c>
      <c r="I1011" t="s">
        <v>55</v>
      </c>
      <c r="J1011" s="1">
        <v>525</v>
      </c>
      <c r="K1011" s="1">
        <v>35</v>
      </c>
      <c r="L1011" s="3">
        <v>15</v>
      </c>
      <c r="M1011" t="s">
        <v>343</v>
      </c>
      <c r="N1011" s="2">
        <v>45312</v>
      </c>
      <c r="O1011" t="s">
        <v>267</v>
      </c>
      <c r="P1011" t="s">
        <v>524</v>
      </c>
      <c r="Q1011">
        <v>34233</v>
      </c>
      <c r="R1011" t="s">
        <v>27</v>
      </c>
      <c r="S1011" s="10">
        <v>35.400122692143817</v>
      </c>
      <c r="T1011">
        <v>32</v>
      </c>
    </row>
    <row r="1012" spans="1:20" x14ac:dyDescent="0.3">
      <c r="A1012">
        <v>1510</v>
      </c>
      <c r="B1012" t="s">
        <v>39</v>
      </c>
      <c r="C1012" t="s">
        <v>199</v>
      </c>
      <c r="D1012" t="s">
        <v>1971</v>
      </c>
      <c r="E1012" t="s">
        <v>1972</v>
      </c>
      <c r="F1012" t="s">
        <v>728</v>
      </c>
      <c r="G1012" t="s">
        <v>1973</v>
      </c>
      <c r="H1012" t="s">
        <v>34</v>
      </c>
      <c r="I1012" t="s">
        <v>135</v>
      </c>
      <c r="J1012" s="1">
        <v>300</v>
      </c>
      <c r="K1012" s="1">
        <v>25</v>
      </c>
      <c r="L1012" s="3">
        <v>12</v>
      </c>
      <c r="M1012" t="s">
        <v>36</v>
      </c>
      <c r="N1012" s="2">
        <v>45315</v>
      </c>
      <c r="O1012" t="s">
        <v>267</v>
      </c>
      <c r="P1012" t="s">
        <v>1974</v>
      </c>
      <c r="Q1012">
        <v>33023</v>
      </c>
      <c r="R1012" t="s">
        <v>27</v>
      </c>
      <c r="S1012" s="10">
        <v>22.626318176763483</v>
      </c>
      <c r="T1012">
        <v>20</v>
      </c>
    </row>
    <row r="1013" spans="1:20" x14ac:dyDescent="0.3">
      <c r="A1013">
        <v>1998</v>
      </c>
      <c r="B1013" t="s">
        <v>111</v>
      </c>
      <c r="C1013" t="s">
        <v>112</v>
      </c>
      <c r="D1013" t="s">
        <v>113</v>
      </c>
      <c r="E1013" t="s">
        <v>114</v>
      </c>
      <c r="F1013" t="s">
        <v>115</v>
      </c>
      <c r="G1013" t="s">
        <v>116</v>
      </c>
      <c r="H1013" t="s">
        <v>34</v>
      </c>
      <c r="I1013" t="s">
        <v>117</v>
      </c>
      <c r="J1013" s="1">
        <v>677</v>
      </c>
      <c r="K1013" s="1">
        <v>37.611111111111114</v>
      </c>
      <c r="L1013" s="3">
        <v>18</v>
      </c>
      <c r="M1013" t="s">
        <v>36</v>
      </c>
      <c r="N1013" s="2">
        <v>45315</v>
      </c>
      <c r="O1013" t="s">
        <v>118</v>
      </c>
      <c r="P1013" t="s">
        <v>119</v>
      </c>
      <c r="Q1013">
        <v>55146</v>
      </c>
      <c r="R1013" t="s">
        <v>27</v>
      </c>
      <c r="S1013" s="10">
        <v>31.25378762979161</v>
      </c>
      <c r="T1013">
        <v>24</v>
      </c>
    </row>
    <row r="1014" spans="1:20" x14ac:dyDescent="0.3">
      <c r="A1014">
        <v>1412</v>
      </c>
      <c r="B1014" t="s">
        <v>1679</v>
      </c>
      <c r="C1014" t="s">
        <v>1533</v>
      </c>
      <c r="D1014" t="s">
        <v>1680</v>
      </c>
      <c r="E1014" t="s">
        <v>1681</v>
      </c>
      <c r="F1014" t="s">
        <v>1348</v>
      </c>
      <c r="G1014" t="s">
        <v>350</v>
      </c>
      <c r="H1014" t="s">
        <v>34</v>
      </c>
      <c r="I1014" t="s">
        <v>108</v>
      </c>
      <c r="J1014" s="1">
        <v>273</v>
      </c>
      <c r="K1014" s="1">
        <v>39</v>
      </c>
      <c r="L1014" s="3">
        <v>7</v>
      </c>
      <c r="M1014" t="s">
        <v>36</v>
      </c>
      <c r="N1014" s="2">
        <v>45316</v>
      </c>
      <c r="O1014" t="s">
        <v>623</v>
      </c>
      <c r="P1014" t="s">
        <v>891</v>
      </c>
      <c r="Q1014">
        <v>66286</v>
      </c>
      <c r="R1014" t="s">
        <v>27</v>
      </c>
      <c r="S1014" s="10">
        <v>11.524869359245796</v>
      </c>
      <c r="T1014">
        <v>12</v>
      </c>
    </row>
    <row r="1015" spans="1:20" x14ac:dyDescent="0.3">
      <c r="A1015">
        <v>1691</v>
      </c>
      <c r="B1015" t="s">
        <v>1127</v>
      </c>
      <c r="C1015" t="s">
        <v>479</v>
      </c>
      <c r="D1015" t="s">
        <v>1975</v>
      </c>
      <c r="E1015" t="s">
        <v>1976</v>
      </c>
      <c r="F1015" t="s">
        <v>1977</v>
      </c>
      <c r="G1015" t="s">
        <v>1032</v>
      </c>
      <c r="H1015" t="s">
        <v>22</v>
      </c>
      <c r="I1015" t="s">
        <v>23</v>
      </c>
      <c r="J1015" s="1">
        <v>361</v>
      </c>
      <c r="K1015" s="1">
        <v>27.76923076923077</v>
      </c>
      <c r="L1015" s="3">
        <v>13</v>
      </c>
      <c r="M1015" t="s">
        <v>36</v>
      </c>
      <c r="N1015" s="2">
        <v>45317</v>
      </c>
      <c r="O1015" t="s">
        <v>187</v>
      </c>
      <c r="P1015" t="s">
        <v>1978</v>
      </c>
      <c r="Q1015">
        <v>27404</v>
      </c>
      <c r="R1015" t="s">
        <v>27</v>
      </c>
      <c r="S1015" s="10">
        <v>22.921611549347478</v>
      </c>
      <c r="T1015">
        <v>21</v>
      </c>
    </row>
    <row r="1016" spans="1:20" x14ac:dyDescent="0.3">
      <c r="A1016">
        <v>1630</v>
      </c>
      <c r="B1016" t="s">
        <v>507</v>
      </c>
      <c r="C1016" t="s">
        <v>1795</v>
      </c>
      <c r="D1016" t="s">
        <v>1979</v>
      </c>
      <c r="E1016" t="s">
        <v>1980</v>
      </c>
      <c r="F1016" t="s">
        <v>1116</v>
      </c>
      <c r="G1016" t="s">
        <v>790</v>
      </c>
      <c r="H1016" t="s">
        <v>34</v>
      </c>
      <c r="I1016" t="s">
        <v>23</v>
      </c>
      <c r="J1016" s="1">
        <v>928</v>
      </c>
      <c r="K1016" s="1">
        <v>27.294117647058822</v>
      </c>
      <c r="L1016" s="3">
        <v>34</v>
      </c>
      <c r="M1016" t="s">
        <v>24</v>
      </c>
      <c r="N1016" s="2">
        <v>45318</v>
      </c>
      <c r="O1016" t="s">
        <v>1981</v>
      </c>
      <c r="P1016" t="s">
        <v>1982</v>
      </c>
      <c r="Q1016">
        <v>84403</v>
      </c>
      <c r="R1016" t="s">
        <v>27</v>
      </c>
      <c r="S1016" s="10">
        <v>62.359549999180558</v>
      </c>
      <c r="T1016">
        <v>81</v>
      </c>
    </row>
    <row r="1017" spans="1:20" x14ac:dyDescent="0.3">
      <c r="A1017">
        <v>1020</v>
      </c>
      <c r="B1017" t="s">
        <v>310</v>
      </c>
      <c r="C1017" t="s">
        <v>311</v>
      </c>
      <c r="D1017" t="s">
        <v>312</v>
      </c>
      <c r="E1017" t="s">
        <v>313</v>
      </c>
      <c r="F1017" t="s">
        <v>314</v>
      </c>
      <c r="G1017" t="s">
        <v>315</v>
      </c>
      <c r="H1017" t="s">
        <v>22</v>
      </c>
      <c r="I1017" t="s">
        <v>23</v>
      </c>
      <c r="J1017" s="1">
        <v>367</v>
      </c>
      <c r="K1017" s="1">
        <v>45.875</v>
      </c>
      <c r="L1017" s="3">
        <v>8</v>
      </c>
      <c r="M1017" t="s">
        <v>36</v>
      </c>
      <c r="N1017" s="2">
        <v>45322</v>
      </c>
      <c r="O1017" t="s">
        <v>37</v>
      </c>
      <c r="P1017" t="s">
        <v>316</v>
      </c>
      <c r="Q1017">
        <v>94105</v>
      </c>
      <c r="R1017" t="s">
        <v>27</v>
      </c>
      <c r="S1017" s="10">
        <v>16.283915876341695</v>
      </c>
      <c r="T1017">
        <v>16</v>
      </c>
    </row>
    <row r="1018" spans="1:20" x14ac:dyDescent="0.3">
      <c r="A1018">
        <v>1748</v>
      </c>
      <c r="B1018" t="s">
        <v>345</v>
      </c>
      <c r="C1018" t="s">
        <v>563</v>
      </c>
      <c r="D1018" t="s">
        <v>1983</v>
      </c>
      <c r="E1018" t="s">
        <v>1984</v>
      </c>
      <c r="F1018" t="s">
        <v>1861</v>
      </c>
      <c r="G1018" t="s">
        <v>1238</v>
      </c>
      <c r="H1018" t="s">
        <v>34</v>
      </c>
      <c r="I1018" t="s">
        <v>435</v>
      </c>
      <c r="J1018" s="1">
        <v>114</v>
      </c>
      <c r="K1018" s="1">
        <v>38</v>
      </c>
      <c r="L1018" s="3">
        <v>3</v>
      </c>
      <c r="M1018" t="s">
        <v>56</v>
      </c>
      <c r="N1018" s="2">
        <v>45322</v>
      </c>
      <c r="O1018" t="s">
        <v>1981</v>
      </c>
      <c r="P1018" t="s">
        <v>1985</v>
      </c>
      <c r="Q1018">
        <v>84189</v>
      </c>
      <c r="R1018" t="s">
        <v>27</v>
      </c>
      <c r="S1018" s="10">
        <v>4.464088938712413</v>
      </c>
      <c r="T1018">
        <v>3</v>
      </c>
    </row>
    <row r="1019" spans="1:20" x14ac:dyDescent="0.3">
      <c r="A1019">
        <v>1365</v>
      </c>
      <c r="B1019" t="s">
        <v>471</v>
      </c>
      <c r="C1019" t="s">
        <v>472</v>
      </c>
      <c r="D1019" t="s">
        <v>473</v>
      </c>
      <c r="E1019" t="s">
        <v>474</v>
      </c>
      <c r="F1019" t="s">
        <v>475</v>
      </c>
      <c r="G1019" t="s">
        <v>476</v>
      </c>
      <c r="H1019" t="s">
        <v>34</v>
      </c>
      <c r="I1019" t="s">
        <v>55</v>
      </c>
      <c r="J1019" s="1">
        <v>154</v>
      </c>
      <c r="K1019" s="1">
        <v>38.5</v>
      </c>
      <c r="L1019" s="3">
        <v>4</v>
      </c>
      <c r="M1019" t="s">
        <v>66</v>
      </c>
      <c r="N1019" s="2">
        <v>45323</v>
      </c>
      <c r="O1019" t="s">
        <v>267</v>
      </c>
      <c r="P1019" t="s">
        <v>477</v>
      </c>
      <c r="Q1019">
        <v>33261</v>
      </c>
      <c r="R1019" t="s">
        <v>27</v>
      </c>
      <c r="S1019" s="10">
        <v>8.5628401816502802</v>
      </c>
      <c r="T1019">
        <v>4</v>
      </c>
    </row>
    <row r="1020" spans="1:20" x14ac:dyDescent="0.3">
      <c r="A1020">
        <v>1437</v>
      </c>
      <c r="B1020" t="s">
        <v>654</v>
      </c>
      <c r="C1020" t="s">
        <v>655</v>
      </c>
      <c r="D1020" t="s">
        <v>656</v>
      </c>
      <c r="E1020" t="s">
        <v>657</v>
      </c>
      <c r="F1020" t="s">
        <v>658</v>
      </c>
      <c r="G1020" t="s">
        <v>357</v>
      </c>
      <c r="H1020" t="s">
        <v>34</v>
      </c>
      <c r="I1020" t="s">
        <v>299</v>
      </c>
      <c r="J1020" s="1">
        <v>750</v>
      </c>
      <c r="K1020" s="1">
        <v>44.117647058823529</v>
      </c>
      <c r="L1020" s="3">
        <v>17</v>
      </c>
      <c r="M1020" t="s">
        <v>36</v>
      </c>
      <c r="N1020" s="2">
        <v>45323</v>
      </c>
      <c r="O1020" t="s">
        <v>300</v>
      </c>
      <c r="P1020" t="s">
        <v>659</v>
      </c>
      <c r="Q1020">
        <v>89505</v>
      </c>
      <c r="R1020" t="s">
        <v>27</v>
      </c>
      <c r="S1020" s="10">
        <v>41.549668606740063</v>
      </c>
      <c r="T1020">
        <v>30</v>
      </c>
    </row>
    <row r="1021" spans="1:20" x14ac:dyDescent="0.3">
      <c r="A1021">
        <v>1039</v>
      </c>
      <c r="B1021" t="s">
        <v>828</v>
      </c>
      <c r="C1021" t="s">
        <v>154</v>
      </c>
      <c r="D1021" t="s">
        <v>829</v>
      </c>
      <c r="E1021" t="s">
        <v>830</v>
      </c>
      <c r="F1021" t="s">
        <v>831</v>
      </c>
      <c r="G1021" t="s">
        <v>832</v>
      </c>
      <c r="H1021" t="s">
        <v>34</v>
      </c>
      <c r="I1021" t="s">
        <v>23</v>
      </c>
      <c r="J1021" s="1">
        <v>910</v>
      </c>
      <c r="K1021" s="1">
        <v>26</v>
      </c>
      <c r="L1021" s="3">
        <v>35</v>
      </c>
      <c r="M1021" t="s">
        <v>244</v>
      </c>
      <c r="N1021" s="2">
        <v>45324</v>
      </c>
      <c r="O1021" t="s">
        <v>496</v>
      </c>
      <c r="P1021" t="s">
        <v>687</v>
      </c>
      <c r="Q1021">
        <v>40298</v>
      </c>
      <c r="R1021" t="s">
        <v>27</v>
      </c>
      <c r="S1021" s="10">
        <v>61.02168104728139</v>
      </c>
      <c r="T1021">
        <v>69</v>
      </c>
    </row>
    <row r="1022" spans="1:20" x14ac:dyDescent="0.3">
      <c r="A1022">
        <v>1019</v>
      </c>
      <c r="B1022" t="s">
        <v>764</v>
      </c>
      <c r="C1022" t="s">
        <v>374</v>
      </c>
      <c r="D1022" t="s">
        <v>765</v>
      </c>
      <c r="E1022" t="s">
        <v>766</v>
      </c>
      <c r="F1022" t="s">
        <v>554</v>
      </c>
      <c r="G1022" t="s">
        <v>298</v>
      </c>
      <c r="H1022" t="s">
        <v>22</v>
      </c>
      <c r="I1022" t="s">
        <v>23</v>
      </c>
      <c r="J1022" s="1">
        <v>988</v>
      </c>
      <c r="K1022" s="1">
        <v>34.068965517241381</v>
      </c>
      <c r="L1022" s="3">
        <v>29</v>
      </c>
      <c r="M1022" t="s">
        <v>66</v>
      </c>
      <c r="N1022" s="2">
        <v>45326</v>
      </c>
      <c r="O1022" t="s">
        <v>767</v>
      </c>
      <c r="P1022" t="s">
        <v>768</v>
      </c>
      <c r="Q1022">
        <v>83705</v>
      </c>
      <c r="R1022" t="s">
        <v>27</v>
      </c>
      <c r="S1022" s="10">
        <v>40.423123218848644</v>
      </c>
      <c r="T1022">
        <v>52</v>
      </c>
    </row>
    <row r="1023" spans="1:20" x14ac:dyDescent="0.3">
      <c r="A1023">
        <v>1212</v>
      </c>
      <c r="B1023" t="s">
        <v>120</v>
      </c>
      <c r="C1023" t="s">
        <v>121</v>
      </c>
      <c r="D1023" t="s">
        <v>122</v>
      </c>
      <c r="E1023" t="s">
        <v>123</v>
      </c>
      <c r="F1023" t="s">
        <v>124</v>
      </c>
      <c r="G1023" t="s">
        <v>125</v>
      </c>
      <c r="H1023" t="s">
        <v>22</v>
      </c>
      <c r="I1023" t="s">
        <v>65</v>
      </c>
      <c r="J1023" s="1">
        <v>917</v>
      </c>
      <c r="K1023" s="1">
        <v>38.208333333333336</v>
      </c>
      <c r="L1023" s="3">
        <v>24</v>
      </c>
      <c r="M1023" t="s">
        <v>126</v>
      </c>
      <c r="N1023" s="2">
        <v>45329</v>
      </c>
      <c r="O1023" t="s">
        <v>127</v>
      </c>
      <c r="P1023" t="s">
        <v>128</v>
      </c>
      <c r="Q1023">
        <v>6183</v>
      </c>
      <c r="R1023" t="s">
        <v>27</v>
      </c>
      <c r="S1023" s="10">
        <v>30.934199937171314</v>
      </c>
      <c r="T1023">
        <v>57</v>
      </c>
    </row>
    <row r="1024" spans="1:20" x14ac:dyDescent="0.3">
      <c r="A1024">
        <v>1260</v>
      </c>
      <c r="B1024" t="s">
        <v>352</v>
      </c>
      <c r="C1024" t="s">
        <v>353</v>
      </c>
      <c r="D1024" t="s">
        <v>354</v>
      </c>
      <c r="E1024" t="s">
        <v>355</v>
      </c>
      <c r="F1024" t="s">
        <v>356</v>
      </c>
      <c r="G1024" t="s">
        <v>357</v>
      </c>
      <c r="H1024" t="s">
        <v>34</v>
      </c>
      <c r="I1024" t="s">
        <v>236</v>
      </c>
      <c r="J1024" s="1">
        <v>108</v>
      </c>
      <c r="K1024" s="1">
        <v>27</v>
      </c>
      <c r="L1024" s="3">
        <v>4</v>
      </c>
      <c r="M1024" t="s">
        <v>36</v>
      </c>
      <c r="N1024" s="2">
        <v>45330</v>
      </c>
      <c r="O1024" t="s">
        <v>358</v>
      </c>
      <c r="P1024" t="s">
        <v>359</v>
      </c>
      <c r="Q1024">
        <v>99215</v>
      </c>
      <c r="R1024" t="s">
        <v>27</v>
      </c>
      <c r="S1024" s="10">
        <v>9.375145436585159</v>
      </c>
      <c r="T1024">
        <v>6</v>
      </c>
    </row>
    <row r="1025" spans="1:20" x14ac:dyDescent="0.3">
      <c r="A1025">
        <v>1212</v>
      </c>
      <c r="B1025" t="s">
        <v>120</v>
      </c>
      <c r="C1025" t="s">
        <v>121</v>
      </c>
      <c r="D1025" t="s">
        <v>122</v>
      </c>
      <c r="E1025" t="s">
        <v>123</v>
      </c>
      <c r="F1025" t="s">
        <v>124</v>
      </c>
      <c r="G1025" t="s">
        <v>125</v>
      </c>
      <c r="H1025" t="s">
        <v>22</v>
      </c>
      <c r="I1025" t="s">
        <v>65</v>
      </c>
      <c r="J1025" s="1">
        <v>49</v>
      </c>
      <c r="K1025" s="1">
        <v>24.5</v>
      </c>
      <c r="L1025" s="3">
        <v>2</v>
      </c>
      <c r="M1025" t="s">
        <v>126</v>
      </c>
      <c r="N1025" s="2">
        <v>45331</v>
      </c>
      <c r="O1025" t="s">
        <v>127</v>
      </c>
      <c r="P1025" t="s">
        <v>128</v>
      </c>
      <c r="Q1025">
        <v>6183</v>
      </c>
      <c r="R1025" t="s">
        <v>27</v>
      </c>
      <c r="S1025" s="10">
        <v>3.2664350934273099</v>
      </c>
      <c r="T1025">
        <v>3</v>
      </c>
    </row>
    <row r="1026" spans="1:20" x14ac:dyDescent="0.3">
      <c r="A1026">
        <v>1681</v>
      </c>
      <c r="B1026" t="s">
        <v>1733</v>
      </c>
      <c r="C1026" t="s">
        <v>1211</v>
      </c>
      <c r="D1026" t="s">
        <v>1986</v>
      </c>
      <c r="E1026" t="s">
        <v>1987</v>
      </c>
      <c r="F1026" t="s">
        <v>1243</v>
      </c>
      <c r="G1026" t="s">
        <v>1325</v>
      </c>
      <c r="H1026" t="s">
        <v>22</v>
      </c>
      <c r="I1026" t="s">
        <v>23</v>
      </c>
      <c r="J1026" s="1">
        <v>245</v>
      </c>
      <c r="K1026" s="1">
        <v>40.833333333333336</v>
      </c>
      <c r="L1026" s="3">
        <v>6</v>
      </c>
      <c r="M1026" t="s">
        <v>36</v>
      </c>
      <c r="N1026" s="2">
        <v>45331</v>
      </c>
      <c r="O1026" t="s">
        <v>37</v>
      </c>
      <c r="P1026" t="s">
        <v>870</v>
      </c>
      <c r="Q1026">
        <v>92153</v>
      </c>
      <c r="R1026" t="s">
        <v>27</v>
      </c>
      <c r="S1026" s="10">
        <v>9.1389777389433249</v>
      </c>
      <c r="T1026">
        <v>10</v>
      </c>
    </row>
    <row r="1027" spans="1:20" x14ac:dyDescent="0.3">
      <c r="A1027">
        <v>1783</v>
      </c>
      <c r="B1027" t="s">
        <v>302</v>
      </c>
      <c r="C1027" t="s">
        <v>303</v>
      </c>
      <c r="D1027" t="s">
        <v>304</v>
      </c>
      <c r="E1027" t="s">
        <v>305</v>
      </c>
      <c r="F1027" t="s">
        <v>306</v>
      </c>
      <c r="G1027" t="s">
        <v>307</v>
      </c>
      <c r="H1027" t="s">
        <v>34</v>
      </c>
      <c r="I1027" t="s">
        <v>35</v>
      </c>
      <c r="J1027" s="1">
        <v>517</v>
      </c>
      <c r="K1027" s="1">
        <v>34.466666666666669</v>
      </c>
      <c r="L1027" s="3">
        <v>15</v>
      </c>
      <c r="M1027" t="s">
        <v>244</v>
      </c>
      <c r="N1027" s="2">
        <v>45331</v>
      </c>
      <c r="O1027" t="s">
        <v>308</v>
      </c>
      <c r="P1027" t="s">
        <v>309</v>
      </c>
      <c r="Q1027">
        <v>85715</v>
      </c>
      <c r="R1027" t="s">
        <v>27</v>
      </c>
      <c r="S1027" s="10">
        <v>34.084486566163733</v>
      </c>
      <c r="T1027">
        <v>20</v>
      </c>
    </row>
    <row r="1028" spans="1:20" x14ac:dyDescent="0.3">
      <c r="A1028">
        <v>1682</v>
      </c>
      <c r="B1028" t="s">
        <v>231</v>
      </c>
      <c r="C1028" t="s">
        <v>1988</v>
      </c>
      <c r="D1028" t="s">
        <v>1989</v>
      </c>
      <c r="E1028" t="s">
        <v>1990</v>
      </c>
      <c r="F1028" t="s">
        <v>1184</v>
      </c>
      <c r="G1028" t="s">
        <v>967</v>
      </c>
      <c r="H1028" t="s">
        <v>34</v>
      </c>
      <c r="I1028" t="s">
        <v>23</v>
      </c>
      <c r="J1028" s="1">
        <v>688</v>
      </c>
      <c r="K1028" s="1">
        <v>38.222222222222221</v>
      </c>
      <c r="L1028" s="3">
        <v>18</v>
      </c>
      <c r="M1028" t="s">
        <v>244</v>
      </c>
      <c r="N1028" s="2">
        <v>45334</v>
      </c>
      <c r="O1028" t="s">
        <v>25</v>
      </c>
      <c r="P1028" t="s">
        <v>1991</v>
      </c>
      <c r="Q1028">
        <v>48604</v>
      </c>
      <c r="R1028" t="s">
        <v>27</v>
      </c>
      <c r="S1028" s="10">
        <v>38.269927723346797</v>
      </c>
      <c r="T1028">
        <v>35</v>
      </c>
    </row>
    <row r="1029" spans="1:20" x14ac:dyDescent="0.3">
      <c r="A1029">
        <v>1123</v>
      </c>
      <c r="B1029" t="s">
        <v>231</v>
      </c>
      <c r="C1029" t="s">
        <v>512</v>
      </c>
      <c r="D1029" t="s">
        <v>639</v>
      </c>
      <c r="E1029" t="s">
        <v>640</v>
      </c>
      <c r="F1029" t="s">
        <v>638</v>
      </c>
      <c r="G1029" t="s">
        <v>410</v>
      </c>
      <c r="H1029" t="s">
        <v>34</v>
      </c>
      <c r="I1029" t="s">
        <v>55</v>
      </c>
      <c r="J1029" s="1">
        <v>903</v>
      </c>
      <c r="K1029" s="1">
        <v>36.119999999999997</v>
      </c>
      <c r="L1029" s="3">
        <v>25</v>
      </c>
      <c r="M1029" t="s">
        <v>24</v>
      </c>
      <c r="N1029" s="2">
        <v>45335</v>
      </c>
      <c r="O1029" t="s">
        <v>267</v>
      </c>
      <c r="P1029" t="s">
        <v>641</v>
      </c>
      <c r="Q1029">
        <v>33673</v>
      </c>
      <c r="R1029" t="s">
        <v>27</v>
      </c>
      <c r="S1029" s="10">
        <v>38.166247727508306</v>
      </c>
      <c r="T1029">
        <v>58</v>
      </c>
    </row>
    <row r="1030" spans="1:20" x14ac:dyDescent="0.3">
      <c r="A1030">
        <v>1020</v>
      </c>
      <c r="B1030" t="s">
        <v>310</v>
      </c>
      <c r="C1030" t="s">
        <v>311</v>
      </c>
      <c r="D1030" t="s">
        <v>312</v>
      </c>
      <c r="E1030" t="s">
        <v>313</v>
      </c>
      <c r="F1030" t="s">
        <v>314</v>
      </c>
      <c r="G1030" t="s">
        <v>315</v>
      </c>
      <c r="H1030" t="s">
        <v>22</v>
      </c>
      <c r="I1030" t="s">
        <v>23</v>
      </c>
      <c r="J1030" s="1">
        <v>844</v>
      </c>
      <c r="K1030" s="1">
        <v>44.421052631578945</v>
      </c>
      <c r="L1030" s="3">
        <v>19</v>
      </c>
      <c r="M1030" t="s">
        <v>36</v>
      </c>
      <c r="N1030" s="2">
        <v>45339</v>
      </c>
      <c r="O1030" t="s">
        <v>37</v>
      </c>
      <c r="P1030" t="s">
        <v>316</v>
      </c>
      <c r="Q1030">
        <v>94105</v>
      </c>
      <c r="R1030" t="s">
        <v>27</v>
      </c>
      <c r="S1030" s="10">
        <v>39.466573379906563</v>
      </c>
      <c r="T1030">
        <v>40</v>
      </c>
    </row>
    <row r="1031" spans="1:20" x14ac:dyDescent="0.3">
      <c r="A1031">
        <v>1812</v>
      </c>
      <c r="B1031" t="s">
        <v>231</v>
      </c>
      <c r="C1031" t="s">
        <v>232</v>
      </c>
      <c r="D1031" t="s">
        <v>233</v>
      </c>
      <c r="E1031" t="s">
        <v>234</v>
      </c>
      <c r="F1031" t="s">
        <v>235</v>
      </c>
      <c r="G1031" t="s">
        <v>74</v>
      </c>
      <c r="H1031" t="s">
        <v>34</v>
      </c>
      <c r="I1031" t="s">
        <v>236</v>
      </c>
      <c r="J1031" s="1">
        <v>436</v>
      </c>
      <c r="K1031" s="1">
        <v>43.6</v>
      </c>
      <c r="L1031" s="3">
        <v>10</v>
      </c>
      <c r="M1031" t="s">
        <v>126</v>
      </c>
      <c r="N1031" s="2">
        <v>45339</v>
      </c>
      <c r="O1031" t="s">
        <v>237</v>
      </c>
      <c r="P1031" t="s">
        <v>238</v>
      </c>
      <c r="Q1031">
        <v>35220</v>
      </c>
      <c r="R1031" t="s">
        <v>27</v>
      </c>
      <c r="S1031" s="10">
        <v>23.14434552497228</v>
      </c>
      <c r="T1031">
        <v>13</v>
      </c>
    </row>
    <row r="1032" spans="1:20" x14ac:dyDescent="0.3">
      <c r="A1032">
        <v>1812</v>
      </c>
      <c r="B1032" t="s">
        <v>231</v>
      </c>
      <c r="C1032" t="s">
        <v>232</v>
      </c>
      <c r="D1032" t="s">
        <v>233</v>
      </c>
      <c r="E1032" t="s">
        <v>234</v>
      </c>
      <c r="F1032" t="s">
        <v>235</v>
      </c>
      <c r="G1032" t="s">
        <v>74</v>
      </c>
      <c r="H1032" t="s">
        <v>34</v>
      </c>
      <c r="I1032" t="s">
        <v>236</v>
      </c>
      <c r="J1032" s="1">
        <v>673</v>
      </c>
      <c r="K1032" s="1">
        <v>35.421052631578945</v>
      </c>
      <c r="L1032" s="3">
        <v>19</v>
      </c>
      <c r="M1032" t="s">
        <v>126</v>
      </c>
      <c r="N1032" s="2">
        <v>45340</v>
      </c>
      <c r="O1032" t="s">
        <v>237</v>
      </c>
      <c r="P1032" t="s">
        <v>238</v>
      </c>
      <c r="Q1032">
        <v>35220</v>
      </c>
      <c r="R1032" t="s">
        <v>27</v>
      </c>
      <c r="S1032" s="10">
        <v>33.576469637873139</v>
      </c>
      <c r="T1032">
        <v>25</v>
      </c>
    </row>
    <row r="1033" spans="1:20" x14ac:dyDescent="0.3">
      <c r="A1033">
        <v>1851</v>
      </c>
      <c r="B1033" t="s">
        <v>604</v>
      </c>
      <c r="C1033" t="s">
        <v>358</v>
      </c>
      <c r="D1033" t="s">
        <v>605</v>
      </c>
      <c r="E1033" t="s">
        <v>606</v>
      </c>
      <c r="F1033" t="s">
        <v>607</v>
      </c>
      <c r="G1033" t="s">
        <v>194</v>
      </c>
      <c r="H1033" t="s">
        <v>22</v>
      </c>
      <c r="I1033" t="s">
        <v>65</v>
      </c>
      <c r="J1033" s="1">
        <v>603</v>
      </c>
      <c r="K1033" s="1">
        <v>33.5</v>
      </c>
      <c r="L1033" s="3">
        <v>18</v>
      </c>
      <c r="M1033" t="s">
        <v>343</v>
      </c>
      <c r="N1033" s="2">
        <v>45340</v>
      </c>
      <c r="O1033" t="s">
        <v>83</v>
      </c>
      <c r="P1033" t="s">
        <v>351</v>
      </c>
      <c r="Q1033">
        <v>11210</v>
      </c>
      <c r="R1033" t="s">
        <v>27</v>
      </c>
      <c r="S1033" s="10">
        <v>37.377041175936647</v>
      </c>
      <c r="T1033">
        <v>30</v>
      </c>
    </row>
    <row r="1034" spans="1:20" x14ac:dyDescent="0.3">
      <c r="A1034">
        <v>1170</v>
      </c>
      <c r="B1034" t="s">
        <v>153</v>
      </c>
      <c r="C1034" t="s">
        <v>154</v>
      </c>
      <c r="D1034" t="s">
        <v>155</v>
      </c>
      <c r="E1034" t="s">
        <v>156</v>
      </c>
      <c r="F1034" t="s">
        <v>157</v>
      </c>
      <c r="G1034" t="s">
        <v>158</v>
      </c>
      <c r="H1034" t="s">
        <v>34</v>
      </c>
      <c r="I1034" t="s">
        <v>65</v>
      </c>
      <c r="J1034" s="1">
        <v>328</v>
      </c>
      <c r="K1034" s="1">
        <v>32.799999999999997</v>
      </c>
      <c r="L1034" s="3">
        <v>10</v>
      </c>
      <c r="M1034" t="s">
        <v>24</v>
      </c>
      <c r="N1034" s="2">
        <v>45342</v>
      </c>
      <c r="O1034" t="s">
        <v>67</v>
      </c>
      <c r="P1034" t="s">
        <v>159</v>
      </c>
      <c r="Q1034">
        <v>88574</v>
      </c>
      <c r="R1034" t="s">
        <v>27</v>
      </c>
      <c r="S1034" s="10">
        <v>18.811489167846123</v>
      </c>
      <c r="T1034">
        <v>21</v>
      </c>
    </row>
    <row r="1035" spans="1:20" x14ac:dyDescent="0.3">
      <c r="A1035">
        <v>1400</v>
      </c>
      <c r="B1035" t="s">
        <v>405</v>
      </c>
      <c r="C1035" t="s">
        <v>406</v>
      </c>
      <c r="D1035" t="s">
        <v>407</v>
      </c>
      <c r="E1035" t="s">
        <v>408</v>
      </c>
      <c r="F1035" t="s">
        <v>409</v>
      </c>
      <c r="G1035" t="s">
        <v>410</v>
      </c>
      <c r="H1035" t="s">
        <v>34</v>
      </c>
      <c r="I1035" t="s">
        <v>35</v>
      </c>
      <c r="J1035" s="1">
        <v>268</v>
      </c>
      <c r="K1035" s="1">
        <v>33.5</v>
      </c>
      <c r="L1035" s="3">
        <v>8</v>
      </c>
      <c r="M1035" t="s">
        <v>36</v>
      </c>
      <c r="N1035" s="2">
        <v>45342</v>
      </c>
      <c r="O1035" t="s">
        <v>196</v>
      </c>
      <c r="P1035" t="s">
        <v>411</v>
      </c>
      <c r="Q1035">
        <v>15274</v>
      </c>
      <c r="R1035" t="s">
        <v>27</v>
      </c>
      <c r="S1035" s="10">
        <v>18.98466223879451</v>
      </c>
      <c r="T1035">
        <v>11</v>
      </c>
    </row>
    <row r="1036" spans="1:20" x14ac:dyDescent="0.3">
      <c r="A1036">
        <v>1298</v>
      </c>
      <c r="B1036" t="s">
        <v>275</v>
      </c>
      <c r="C1036" t="s">
        <v>340</v>
      </c>
      <c r="D1036" t="s">
        <v>341</v>
      </c>
      <c r="E1036" t="s">
        <v>342</v>
      </c>
      <c r="F1036" t="s">
        <v>306</v>
      </c>
      <c r="G1036" t="s">
        <v>180</v>
      </c>
      <c r="H1036" t="s">
        <v>22</v>
      </c>
      <c r="I1036" t="s">
        <v>236</v>
      </c>
      <c r="J1036" s="1">
        <v>420</v>
      </c>
      <c r="K1036" s="1">
        <v>30</v>
      </c>
      <c r="L1036" s="3">
        <v>14</v>
      </c>
      <c r="M1036" t="s">
        <v>343</v>
      </c>
      <c r="N1036" s="2">
        <v>45344</v>
      </c>
      <c r="O1036" t="s">
        <v>267</v>
      </c>
      <c r="P1036" t="s">
        <v>344</v>
      </c>
      <c r="Q1036">
        <v>32891</v>
      </c>
      <c r="R1036" t="s">
        <v>27</v>
      </c>
      <c r="S1036" s="10">
        <v>29.348704790082735</v>
      </c>
      <c r="T1036">
        <v>23</v>
      </c>
    </row>
    <row r="1037" spans="1:20" x14ac:dyDescent="0.3">
      <c r="A1037">
        <v>1081</v>
      </c>
      <c r="B1037" t="s">
        <v>529</v>
      </c>
      <c r="C1037" t="s">
        <v>530</v>
      </c>
      <c r="D1037" t="s">
        <v>531</v>
      </c>
      <c r="E1037" t="s">
        <v>532</v>
      </c>
      <c r="F1037" t="s">
        <v>533</v>
      </c>
      <c r="G1037" t="s">
        <v>495</v>
      </c>
      <c r="H1037" t="s">
        <v>22</v>
      </c>
      <c r="I1037" t="s">
        <v>55</v>
      </c>
      <c r="J1037" s="1">
        <v>428</v>
      </c>
      <c r="K1037" s="1">
        <v>42.8</v>
      </c>
      <c r="L1037" s="3">
        <v>10</v>
      </c>
      <c r="M1037" t="s">
        <v>447</v>
      </c>
      <c r="N1037" s="2">
        <v>45346</v>
      </c>
      <c r="O1037" t="s">
        <v>229</v>
      </c>
      <c r="P1037" t="s">
        <v>534</v>
      </c>
      <c r="Q1037">
        <v>45426</v>
      </c>
      <c r="R1037" t="s">
        <v>27</v>
      </c>
      <c r="S1037" s="10">
        <v>23.169674140175704</v>
      </c>
      <c r="T1037">
        <v>20</v>
      </c>
    </row>
    <row r="1038" spans="1:20" x14ac:dyDescent="0.3">
      <c r="A1038">
        <v>1170</v>
      </c>
      <c r="B1038" t="s">
        <v>153</v>
      </c>
      <c r="C1038" t="s">
        <v>154</v>
      </c>
      <c r="D1038" t="s">
        <v>155</v>
      </c>
      <c r="E1038" t="s">
        <v>156</v>
      </c>
      <c r="F1038" t="s">
        <v>157</v>
      </c>
      <c r="G1038" t="s">
        <v>158</v>
      </c>
      <c r="H1038" t="s">
        <v>34</v>
      </c>
      <c r="I1038" t="s">
        <v>65</v>
      </c>
      <c r="J1038" s="1">
        <v>472</v>
      </c>
      <c r="K1038" s="1">
        <v>27.764705882352942</v>
      </c>
      <c r="L1038" s="3">
        <v>17</v>
      </c>
      <c r="M1038" t="s">
        <v>24</v>
      </c>
      <c r="N1038" s="2">
        <v>45347</v>
      </c>
      <c r="O1038" t="s">
        <v>67</v>
      </c>
      <c r="P1038" t="s">
        <v>159</v>
      </c>
      <c r="Q1038">
        <v>88574</v>
      </c>
      <c r="R1038" t="s">
        <v>27</v>
      </c>
      <c r="S1038" s="10">
        <v>32.631524530332548</v>
      </c>
      <c r="T1038">
        <v>23</v>
      </c>
    </row>
    <row r="1039" spans="1:20" x14ac:dyDescent="0.3">
      <c r="A1039">
        <v>1880</v>
      </c>
      <c r="B1039" t="s">
        <v>129</v>
      </c>
      <c r="C1039" t="s">
        <v>130</v>
      </c>
      <c r="D1039" t="s">
        <v>131</v>
      </c>
      <c r="E1039" t="s">
        <v>132</v>
      </c>
      <c r="F1039" t="s">
        <v>133</v>
      </c>
      <c r="G1039" t="s">
        <v>134</v>
      </c>
      <c r="H1039" t="s">
        <v>22</v>
      </c>
      <c r="I1039" t="s">
        <v>135</v>
      </c>
      <c r="J1039" s="1">
        <v>159</v>
      </c>
      <c r="K1039" s="1">
        <v>39.75</v>
      </c>
      <c r="L1039" s="3">
        <v>4</v>
      </c>
      <c r="M1039" t="s">
        <v>36</v>
      </c>
      <c r="N1039" s="2">
        <v>45350</v>
      </c>
      <c r="O1039" t="s">
        <v>136</v>
      </c>
      <c r="P1039" t="s">
        <v>137</v>
      </c>
      <c r="Q1039">
        <v>60614</v>
      </c>
      <c r="R1039" t="s">
        <v>27</v>
      </c>
      <c r="S1039" s="10">
        <v>5.8814839711290157</v>
      </c>
      <c r="T1039">
        <v>7</v>
      </c>
    </row>
    <row r="1040" spans="1:20" x14ac:dyDescent="0.3">
      <c r="A1040">
        <v>1020</v>
      </c>
      <c r="B1040" t="s">
        <v>310</v>
      </c>
      <c r="C1040" t="s">
        <v>311</v>
      </c>
      <c r="D1040" t="s">
        <v>312</v>
      </c>
      <c r="E1040" t="s">
        <v>313</v>
      </c>
      <c r="F1040" t="s">
        <v>314</v>
      </c>
      <c r="G1040" t="s">
        <v>315</v>
      </c>
      <c r="H1040" t="s">
        <v>22</v>
      </c>
      <c r="I1040" t="s">
        <v>23</v>
      </c>
      <c r="J1040" s="1">
        <v>51</v>
      </c>
      <c r="K1040" s="1">
        <v>51</v>
      </c>
      <c r="L1040" s="3">
        <v>1</v>
      </c>
      <c r="M1040" t="s">
        <v>36</v>
      </c>
      <c r="N1040" s="2">
        <v>45352</v>
      </c>
      <c r="O1040" t="s">
        <v>37</v>
      </c>
      <c r="P1040" t="s">
        <v>316</v>
      </c>
      <c r="Q1040">
        <v>94105</v>
      </c>
      <c r="R1040" t="s">
        <v>27</v>
      </c>
      <c r="S1040" s="10">
        <v>2.2514939644025311</v>
      </c>
      <c r="T1040">
        <v>1</v>
      </c>
    </row>
    <row r="1041" spans="1:20" x14ac:dyDescent="0.3">
      <c r="A1041">
        <v>1735</v>
      </c>
      <c r="B1041" t="s">
        <v>604</v>
      </c>
      <c r="C1041" t="s">
        <v>1761</v>
      </c>
      <c r="D1041" t="s">
        <v>1992</v>
      </c>
      <c r="E1041" t="s">
        <v>1993</v>
      </c>
      <c r="F1041" t="s">
        <v>1940</v>
      </c>
      <c r="G1041" t="s">
        <v>1745</v>
      </c>
      <c r="H1041" t="s">
        <v>22</v>
      </c>
      <c r="I1041" t="s">
        <v>75</v>
      </c>
      <c r="J1041" s="1">
        <v>696</v>
      </c>
      <c r="K1041" s="1">
        <v>40.941176470588232</v>
      </c>
      <c r="L1041" s="3">
        <v>17</v>
      </c>
      <c r="M1041" t="s">
        <v>36</v>
      </c>
      <c r="N1041" s="2">
        <v>45357</v>
      </c>
      <c r="O1041" t="s">
        <v>187</v>
      </c>
      <c r="P1041" t="s">
        <v>1994</v>
      </c>
      <c r="Q1041">
        <v>27615</v>
      </c>
      <c r="R1041" t="s">
        <v>27</v>
      </c>
      <c r="S1041" s="10">
        <v>23.716103257400782</v>
      </c>
      <c r="T1041">
        <v>35</v>
      </c>
    </row>
    <row r="1042" spans="1:20" x14ac:dyDescent="0.3">
      <c r="A1042">
        <v>1401</v>
      </c>
      <c r="B1042" t="s">
        <v>340</v>
      </c>
      <c r="C1042" t="s">
        <v>1995</v>
      </c>
      <c r="D1042" t="s">
        <v>1996</v>
      </c>
      <c r="E1042" t="s">
        <v>1997</v>
      </c>
      <c r="F1042" t="s">
        <v>1881</v>
      </c>
      <c r="G1042" t="s">
        <v>909</v>
      </c>
      <c r="H1042" t="s">
        <v>34</v>
      </c>
      <c r="I1042" t="s">
        <v>366</v>
      </c>
      <c r="J1042" s="1">
        <v>582</v>
      </c>
      <c r="K1042" s="1">
        <v>32.333333333333336</v>
      </c>
      <c r="L1042" s="3">
        <v>18</v>
      </c>
      <c r="M1042" t="s">
        <v>36</v>
      </c>
      <c r="N1042" s="2">
        <v>45358</v>
      </c>
      <c r="O1042" t="s">
        <v>47</v>
      </c>
      <c r="P1042" t="s">
        <v>1729</v>
      </c>
      <c r="Q1042">
        <v>22333</v>
      </c>
      <c r="R1042" t="s">
        <v>27</v>
      </c>
      <c r="S1042" s="10">
        <v>32.055181629198962</v>
      </c>
      <c r="T1042">
        <v>36</v>
      </c>
    </row>
    <row r="1043" spans="1:20" x14ac:dyDescent="0.3">
      <c r="A1043">
        <v>1652</v>
      </c>
      <c r="B1043" t="s">
        <v>1713</v>
      </c>
      <c r="C1043" t="s">
        <v>599</v>
      </c>
      <c r="D1043" t="s">
        <v>1998</v>
      </c>
      <c r="E1043" t="s">
        <v>1999</v>
      </c>
      <c r="F1043" t="s">
        <v>124</v>
      </c>
      <c r="G1043" t="s">
        <v>2000</v>
      </c>
      <c r="H1043" t="s">
        <v>22</v>
      </c>
      <c r="I1043" t="s">
        <v>23</v>
      </c>
      <c r="J1043" s="1">
        <v>56</v>
      </c>
      <c r="K1043" s="1">
        <v>28</v>
      </c>
      <c r="L1043" s="3">
        <v>2</v>
      </c>
      <c r="M1043" t="s">
        <v>694</v>
      </c>
      <c r="N1043" s="2">
        <v>45358</v>
      </c>
      <c r="O1043" t="s">
        <v>300</v>
      </c>
      <c r="P1043" t="s">
        <v>301</v>
      </c>
      <c r="Q1043">
        <v>89110</v>
      </c>
      <c r="R1043" t="s">
        <v>27</v>
      </c>
      <c r="S1043" s="10">
        <v>4.0604442747976295</v>
      </c>
      <c r="T1043">
        <v>2</v>
      </c>
    </row>
    <row r="1044" spans="1:20" x14ac:dyDescent="0.3">
      <c r="A1044">
        <v>1039</v>
      </c>
      <c r="B1044" t="s">
        <v>828</v>
      </c>
      <c r="C1044" t="s">
        <v>154</v>
      </c>
      <c r="D1044" t="s">
        <v>829</v>
      </c>
      <c r="E1044" t="s">
        <v>830</v>
      </c>
      <c r="F1044" t="s">
        <v>831</v>
      </c>
      <c r="G1044" t="s">
        <v>832</v>
      </c>
      <c r="H1044" t="s">
        <v>34</v>
      </c>
      <c r="I1044" t="s">
        <v>23</v>
      </c>
      <c r="J1044" s="1">
        <v>824</v>
      </c>
      <c r="K1044" s="1">
        <v>25.75</v>
      </c>
      <c r="L1044" s="3">
        <v>32</v>
      </c>
      <c r="M1044" t="s">
        <v>244</v>
      </c>
      <c r="N1044" s="2">
        <v>45359</v>
      </c>
      <c r="O1044" t="s">
        <v>496</v>
      </c>
      <c r="P1044" t="s">
        <v>687</v>
      </c>
      <c r="Q1044">
        <v>40298</v>
      </c>
      <c r="R1044" t="s">
        <v>27</v>
      </c>
      <c r="S1044" s="10">
        <v>71.376637793863466</v>
      </c>
      <c r="T1044">
        <v>70</v>
      </c>
    </row>
    <row r="1045" spans="1:20" x14ac:dyDescent="0.3">
      <c r="A1045">
        <v>1678</v>
      </c>
      <c r="B1045" t="s">
        <v>1526</v>
      </c>
      <c r="C1045" t="s">
        <v>906</v>
      </c>
      <c r="D1045" t="s">
        <v>2001</v>
      </c>
      <c r="E1045" t="s">
        <v>2002</v>
      </c>
      <c r="F1045" t="s">
        <v>2003</v>
      </c>
      <c r="G1045" t="s">
        <v>701</v>
      </c>
      <c r="H1045" t="s">
        <v>22</v>
      </c>
      <c r="I1045" t="s">
        <v>23</v>
      </c>
      <c r="J1045" s="1">
        <v>328</v>
      </c>
      <c r="K1045" s="1">
        <v>36.444444444444443</v>
      </c>
      <c r="L1045" s="3">
        <v>9</v>
      </c>
      <c r="M1045" t="s">
        <v>99</v>
      </c>
      <c r="N1045" s="2">
        <v>45359</v>
      </c>
      <c r="O1045" t="s">
        <v>958</v>
      </c>
      <c r="P1045" t="s">
        <v>2004</v>
      </c>
      <c r="Q1045">
        <v>29579</v>
      </c>
      <c r="R1045" t="s">
        <v>27</v>
      </c>
      <c r="S1045" s="10">
        <v>14.467096074791911</v>
      </c>
      <c r="T1045">
        <v>19</v>
      </c>
    </row>
    <row r="1046" spans="1:20" x14ac:dyDescent="0.3">
      <c r="A1046">
        <v>1880</v>
      </c>
      <c r="B1046" t="s">
        <v>129</v>
      </c>
      <c r="C1046" t="s">
        <v>130</v>
      </c>
      <c r="D1046" t="s">
        <v>131</v>
      </c>
      <c r="E1046" t="s">
        <v>132</v>
      </c>
      <c r="F1046" t="s">
        <v>133</v>
      </c>
      <c r="G1046" t="s">
        <v>134</v>
      </c>
      <c r="H1046" t="s">
        <v>22</v>
      </c>
      <c r="I1046" t="s">
        <v>135</v>
      </c>
      <c r="J1046" s="1">
        <v>141</v>
      </c>
      <c r="K1046" s="1">
        <v>28.2</v>
      </c>
      <c r="L1046" s="3">
        <v>5</v>
      </c>
      <c r="M1046" t="s">
        <v>36</v>
      </c>
      <c r="N1046" s="2">
        <v>45359</v>
      </c>
      <c r="O1046" t="s">
        <v>136</v>
      </c>
      <c r="P1046" t="s">
        <v>137</v>
      </c>
      <c r="Q1046">
        <v>60614</v>
      </c>
      <c r="R1046" t="s">
        <v>27</v>
      </c>
      <c r="S1046" s="10">
        <v>7.9875835580140206</v>
      </c>
      <c r="T1046">
        <v>10</v>
      </c>
    </row>
    <row r="1047" spans="1:20" x14ac:dyDescent="0.3">
      <c r="A1047">
        <v>1364</v>
      </c>
      <c r="B1047" t="s">
        <v>1700</v>
      </c>
      <c r="C1047" t="s">
        <v>29</v>
      </c>
      <c r="D1047" t="s">
        <v>2005</v>
      </c>
      <c r="E1047" t="s">
        <v>2006</v>
      </c>
      <c r="F1047" t="s">
        <v>1874</v>
      </c>
      <c r="G1047" t="s">
        <v>158</v>
      </c>
      <c r="H1047" t="s">
        <v>34</v>
      </c>
      <c r="I1047" t="s">
        <v>108</v>
      </c>
      <c r="J1047" s="1">
        <v>524</v>
      </c>
      <c r="K1047" s="1">
        <v>32.75</v>
      </c>
      <c r="L1047" s="3">
        <v>16</v>
      </c>
      <c r="M1047" t="s">
        <v>203</v>
      </c>
      <c r="N1047" s="2">
        <v>45360</v>
      </c>
      <c r="O1047" t="s">
        <v>109</v>
      </c>
      <c r="P1047" t="s">
        <v>386</v>
      </c>
      <c r="Q1047">
        <v>70142</v>
      </c>
      <c r="R1047" t="s">
        <v>27</v>
      </c>
      <c r="S1047" s="10">
        <v>29.472466915599249</v>
      </c>
      <c r="T1047">
        <v>21</v>
      </c>
    </row>
    <row r="1048" spans="1:20" x14ac:dyDescent="0.3">
      <c r="A1048">
        <v>1812</v>
      </c>
      <c r="B1048" t="s">
        <v>231</v>
      </c>
      <c r="C1048" t="s">
        <v>232</v>
      </c>
      <c r="D1048" t="s">
        <v>233</v>
      </c>
      <c r="E1048" t="s">
        <v>234</v>
      </c>
      <c r="F1048" t="s">
        <v>235</v>
      </c>
      <c r="G1048" t="s">
        <v>74</v>
      </c>
      <c r="H1048" t="s">
        <v>34</v>
      </c>
      <c r="I1048" t="s">
        <v>236</v>
      </c>
      <c r="J1048" s="1">
        <v>43</v>
      </c>
      <c r="K1048" s="1">
        <v>43</v>
      </c>
      <c r="L1048" s="3">
        <v>1</v>
      </c>
      <c r="M1048" t="s">
        <v>126</v>
      </c>
      <c r="N1048" s="2">
        <v>45361</v>
      </c>
      <c r="O1048" t="s">
        <v>237</v>
      </c>
      <c r="P1048" t="s">
        <v>238</v>
      </c>
      <c r="Q1048">
        <v>35220</v>
      </c>
      <c r="R1048" t="s">
        <v>27</v>
      </c>
      <c r="S1048" s="10">
        <v>2.2918721796023322</v>
      </c>
      <c r="T1048">
        <v>1</v>
      </c>
    </row>
    <row r="1049" spans="1:20" x14ac:dyDescent="0.3">
      <c r="A1049">
        <v>1234</v>
      </c>
      <c r="B1049" t="s">
        <v>59</v>
      </c>
      <c r="C1049" t="s">
        <v>60</v>
      </c>
      <c r="D1049" t="s">
        <v>61</v>
      </c>
      <c r="E1049" t="s">
        <v>62</v>
      </c>
      <c r="F1049" t="s">
        <v>63</v>
      </c>
      <c r="G1049" t="s">
        <v>64</v>
      </c>
      <c r="H1049" t="s">
        <v>34</v>
      </c>
      <c r="I1049" t="s">
        <v>65</v>
      </c>
      <c r="J1049" s="1">
        <v>156</v>
      </c>
      <c r="K1049" s="1">
        <v>39</v>
      </c>
      <c r="L1049" s="3">
        <v>4</v>
      </c>
      <c r="M1049" t="s">
        <v>66</v>
      </c>
      <c r="N1049" s="2">
        <v>45363</v>
      </c>
      <c r="O1049" t="s">
        <v>67</v>
      </c>
      <c r="P1049" t="s">
        <v>68</v>
      </c>
      <c r="Q1049">
        <v>78710</v>
      </c>
      <c r="R1049" t="s">
        <v>27</v>
      </c>
      <c r="S1049" s="10">
        <v>5.3888735699789292</v>
      </c>
      <c r="T1049">
        <v>6</v>
      </c>
    </row>
    <row r="1050" spans="1:20" x14ac:dyDescent="0.3">
      <c r="A1050">
        <v>1987</v>
      </c>
      <c r="B1050" t="s">
        <v>352</v>
      </c>
      <c r="C1050" t="s">
        <v>311</v>
      </c>
      <c r="D1050" t="s">
        <v>824</v>
      </c>
      <c r="E1050" t="s">
        <v>825</v>
      </c>
      <c r="F1050" t="s">
        <v>826</v>
      </c>
      <c r="G1050" t="s">
        <v>218</v>
      </c>
      <c r="H1050" t="s">
        <v>34</v>
      </c>
      <c r="I1050" t="s">
        <v>65</v>
      </c>
      <c r="J1050" s="1">
        <v>45</v>
      </c>
      <c r="K1050" s="1">
        <v>45</v>
      </c>
      <c r="L1050" s="3">
        <v>1</v>
      </c>
      <c r="M1050" t="s">
        <v>36</v>
      </c>
      <c r="N1050" s="2">
        <v>45364</v>
      </c>
      <c r="O1050" t="s">
        <v>187</v>
      </c>
      <c r="P1050" t="s">
        <v>827</v>
      </c>
      <c r="Q1050">
        <v>28305</v>
      </c>
      <c r="R1050" t="s">
        <v>27</v>
      </c>
      <c r="S1050" s="10">
        <v>2.2719177393879986</v>
      </c>
      <c r="T1050">
        <v>2</v>
      </c>
    </row>
    <row r="1051" spans="1:20" x14ac:dyDescent="0.3">
      <c r="A1051">
        <v>1022</v>
      </c>
      <c r="B1051" t="s">
        <v>591</v>
      </c>
      <c r="C1051" t="s">
        <v>592</v>
      </c>
      <c r="D1051" t="s">
        <v>593</v>
      </c>
      <c r="E1051" t="s">
        <v>594</v>
      </c>
      <c r="F1051" t="s">
        <v>595</v>
      </c>
      <c r="G1051" t="s">
        <v>279</v>
      </c>
      <c r="H1051" t="s">
        <v>34</v>
      </c>
      <c r="I1051" t="s">
        <v>23</v>
      </c>
      <c r="J1051" s="1">
        <v>529</v>
      </c>
      <c r="K1051" s="1">
        <v>29.388888888888889</v>
      </c>
      <c r="L1051" s="3">
        <v>18</v>
      </c>
      <c r="M1051" t="s">
        <v>36</v>
      </c>
      <c r="N1051" s="2">
        <v>45365</v>
      </c>
      <c r="O1051" t="s">
        <v>470</v>
      </c>
      <c r="P1051" t="s">
        <v>358</v>
      </c>
      <c r="Q1051">
        <v>20430</v>
      </c>
      <c r="R1051" t="s">
        <v>27</v>
      </c>
      <c r="S1051" s="10">
        <v>41.490139317327305</v>
      </c>
      <c r="T1051">
        <v>33</v>
      </c>
    </row>
    <row r="1052" spans="1:20" x14ac:dyDescent="0.3">
      <c r="A1052">
        <v>1168</v>
      </c>
      <c r="B1052" t="s">
        <v>1046</v>
      </c>
      <c r="C1052" t="s">
        <v>1673</v>
      </c>
      <c r="D1052" t="s">
        <v>2007</v>
      </c>
      <c r="E1052" t="s">
        <v>2008</v>
      </c>
      <c r="F1052" t="s">
        <v>2009</v>
      </c>
      <c r="G1052" t="s">
        <v>2010</v>
      </c>
      <c r="H1052" t="s">
        <v>22</v>
      </c>
      <c r="I1052" t="s">
        <v>65</v>
      </c>
      <c r="J1052" s="1">
        <v>154</v>
      </c>
      <c r="K1052" s="1">
        <v>30.8</v>
      </c>
      <c r="L1052" s="3">
        <v>5</v>
      </c>
      <c r="M1052" t="s">
        <v>36</v>
      </c>
      <c r="N1052" s="2">
        <v>45365</v>
      </c>
      <c r="O1052" t="s">
        <v>267</v>
      </c>
      <c r="P1052" t="s">
        <v>2011</v>
      </c>
      <c r="Q1052">
        <v>34210</v>
      </c>
      <c r="R1052" t="s">
        <v>27</v>
      </c>
      <c r="S1052" s="10">
        <v>9.6565046289791727</v>
      </c>
      <c r="T1052">
        <v>8</v>
      </c>
    </row>
    <row r="1053" spans="1:20" x14ac:dyDescent="0.3">
      <c r="A1053">
        <v>1116</v>
      </c>
      <c r="B1053" t="s">
        <v>49</v>
      </c>
      <c r="C1053" t="s">
        <v>50</v>
      </c>
      <c r="D1053" t="s">
        <v>51</v>
      </c>
      <c r="E1053" t="s">
        <v>52</v>
      </c>
      <c r="F1053" t="s">
        <v>53</v>
      </c>
      <c r="G1053" t="s">
        <v>54</v>
      </c>
      <c r="H1053" t="s">
        <v>22</v>
      </c>
      <c r="I1053" t="s">
        <v>55</v>
      </c>
      <c r="J1053" s="1">
        <v>121</v>
      </c>
      <c r="K1053" s="1">
        <v>24.2</v>
      </c>
      <c r="L1053" s="3">
        <v>5</v>
      </c>
      <c r="M1053" t="s">
        <v>56</v>
      </c>
      <c r="N1053" s="2">
        <v>45366</v>
      </c>
      <c r="O1053" t="s">
        <v>57</v>
      </c>
      <c r="P1053" t="s">
        <v>58</v>
      </c>
      <c r="Q1053">
        <v>30096</v>
      </c>
      <c r="R1053" t="s">
        <v>27</v>
      </c>
      <c r="S1053" s="10">
        <v>10.225393231439073</v>
      </c>
      <c r="T1053">
        <v>7</v>
      </c>
    </row>
    <row r="1054" spans="1:20" x14ac:dyDescent="0.3">
      <c r="A1054">
        <v>1277</v>
      </c>
      <c r="B1054" t="s">
        <v>222</v>
      </c>
      <c r="C1054" t="s">
        <v>223</v>
      </c>
      <c r="D1054" t="s">
        <v>224</v>
      </c>
      <c r="E1054" t="s">
        <v>225</v>
      </c>
      <c r="F1054" t="s">
        <v>226</v>
      </c>
      <c r="G1054" t="s">
        <v>227</v>
      </c>
      <c r="H1054" t="s">
        <v>34</v>
      </c>
      <c r="I1054" t="s">
        <v>228</v>
      </c>
      <c r="J1054" s="1">
        <v>334</v>
      </c>
      <c r="K1054" s="1">
        <v>37.111111111111114</v>
      </c>
      <c r="L1054" s="3">
        <v>9</v>
      </c>
      <c r="M1054" t="s">
        <v>203</v>
      </c>
      <c r="N1054" s="2">
        <v>45366</v>
      </c>
      <c r="O1054" t="s">
        <v>229</v>
      </c>
      <c r="P1054" t="s">
        <v>230</v>
      </c>
      <c r="Q1054">
        <v>44310</v>
      </c>
      <c r="R1054" t="s">
        <v>27</v>
      </c>
      <c r="S1054" s="10">
        <v>19.144035839765795</v>
      </c>
      <c r="T1054">
        <v>14</v>
      </c>
    </row>
    <row r="1055" spans="1:20" x14ac:dyDescent="0.3">
      <c r="A1055">
        <v>1992</v>
      </c>
      <c r="B1055" t="s">
        <v>360</v>
      </c>
      <c r="C1055" t="s">
        <v>719</v>
      </c>
      <c r="D1055" t="s">
        <v>720</v>
      </c>
      <c r="E1055" t="s">
        <v>721</v>
      </c>
      <c r="F1055" t="s">
        <v>722</v>
      </c>
      <c r="G1055" t="s">
        <v>142</v>
      </c>
      <c r="H1055" t="s">
        <v>22</v>
      </c>
      <c r="I1055" t="s">
        <v>65</v>
      </c>
      <c r="J1055" s="1">
        <v>693</v>
      </c>
      <c r="K1055" s="1">
        <v>26.653846153846153</v>
      </c>
      <c r="L1055" s="3">
        <v>26</v>
      </c>
      <c r="M1055" t="s">
        <v>36</v>
      </c>
      <c r="N1055" s="2">
        <v>45366</v>
      </c>
      <c r="O1055" t="s">
        <v>220</v>
      </c>
      <c r="P1055" t="s">
        <v>723</v>
      </c>
      <c r="Q1055">
        <v>47306</v>
      </c>
      <c r="R1055" t="s">
        <v>27</v>
      </c>
      <c r="S1055" s="10">
        <v>53.631691759783919</v>
      </c>
      <c r="T1055">
        <v>43</v>
      </c>
    </row>
    <row r="1056" spans="1:20" x14ac:dyDescent="0.3">
      <c r="A1056">
        <v>1776</v>
      </c>
      <c r="B1056" t="s">
        <v>746</v>
      </c>
      <c r="C1056" t="s">
        <v>336</v>
      </c>
      <c r="D1056" t="s">
        <v>2012</v>
      </c>
      <c r="E1056" t="s">
        <v>2013</v>
      </c>
      <c r="F1056" t="s">
        <v>1461</v>
      </c>
      <c r="G1056" t="s">
        <v>885</v>
      </c>
      <c r="H1056" t="s">
        <v>34</v>
      </c>
      <c r="I1056" t="s">
        <v>35</v>
      </c>
      <c r="J1056" s="1">
        <v>314</v>
      </c>
      <c r="K1056" s="1">
        <v>44.857142857142854</v>
      </c>
      <c r="L1056" s="3">
        <v>7</v>
      </c>
      <c r="M1056" t="s">
        <v>126</v>
      </c>
      <c r="N1056" s="2">
        <v>45367</v>
      </c>
      <c r="O1056" t="s">
        <v>47</v>
      </c>
      <c r="P1056" t="s">
        <v>751</v>
      </c>
      <c r="Q1056">
        <v>22205</v>
      </c>
      <c r="R1056" t="s">
        <v>27</v>
      </c>
      <c r="S1056" s="10">
        <v>9.3498620319389651</v>
      </c>
      <c r="T1056">
        <v>9</v>
      </c>
    </row>
    <row r="1057" spans="1:20" x14ac:dyDescent="0.3">
      <c r="A1057">
        <v>1984</v>
      </c>
      <c r="B1057" t="s">
        <v>892</v>
      </c>
      <c r="C1057" t="s">
        <v>893</v>
      </c>
      <c r="D1057" t="s">
        <v>894</v>
      </c>
      <c r="E1057" t="s">
        <v>895</v>
      </c>
      <c r="F1057" t="s">
        <v>896</v>
      </c>
      <c r="G1057" t="s">
        <v>712</v>
      </c>
      <c r="H1057" t="s">
        <v>22</v>
      </c>
      <c r="I1057" t="s">
        <v>65</v>
      </c>
      <c r="J1057" s="1">
        <v>121</v>
      </c>
      <c r="K1057" s="1">
        <v>30.25</v>
      </c>
      <c r="L1057" s="3">
        <v>4</v>
      </c>
      <c r="M1057" t="s">
        <v>66</v>
      </c>
      <c r="N1057" s="2">
        <v>45367</v>
      </c>
      <c r="O1057" t="s">
        <v>173</v>
      </c>
      <c r="P1057" t="s">
        <v>579</v>
      </c>
      <c r="Q1057">
        <v>65810</v>
      </c>
      <c r="R1057" t="s">
        <v>27</v>
      </c>
      <c r="S1057" s="10">
        <v>9.3673184806114502</v>
      </c>
      <c r="T1057">
        <v>5</v>
      </c>
    </row>
    <row r="1058" spans="1:20" x14ac:dyDescent="0.3">
      <c r="A1058">
        <v>1365</v>
      </c>
      <c r="B1058" t="s">
        <v>471</v>
      </c>
      <c r="C1058" t="s">
        <v>472</v>
      </c>
      <c r="D1058" t="s">
        <v>473</v>
      </c>
      <c r="E1058" t="s">
        <v>474</v>
      </c>
      <c r="F1058" t="s">
        <v>475</v>
      </c>
      <c r="G1058" t="s">
        <v>476</v>
      </c>
      <c r="H1058" t="s">
        <v>34</v>
      </c>
      <c r="I1058" t="s">
        <v>55</v>
      </c>
      <c r="J1058" s="1">
        <v>438</v>
      </c>
      <c r="K1058" s="1">
        <v>36.5</v>
      </c>
      <c r="L1058" s="3">
        <v>12</v>
      </c>
      <c r="M1058" t="s">
        <v>66</v>
      </c>
      <c r="N1058" s="2">
        <v>45368</v>
      </c>
      <c r="O1058" t="s">
        <v>267</v>
      </c>
      <c r="P1058" t="s">
        <v>477</v>
      </c>
      <c r="Q1058">
        <v>33261</v>
      </c>
      <c r="R1058" t="s">
        <v>27</v>
      </c>
      <c r="S1058" s="10">
        <v>21.809784253784695</v>
      </c>
      <c r="T1058">
        <v>26</v>
      </c>
    </row>
    <row r="1059" spans="1:20" x14ac:dyDescent="0.3">
      <c r="A1059">
        <v>1536</v>
      </c>
      <c r="B1059" t="s">
        <v>695</v>
      </c>
      <c r="C1059" t="s">
        <v>1305</v>
      </c>
      <c r="D1059" t="s">
        <v>2014</v>
      </c>
      <c r="E1059" t="s">
        <v>2015</v>
      </c>
      <c r="F1059" t="s">
        <v>2016</v>
      </c>
      <c r="G1059" t="s">
        <v>2017</v>
      </c>
      <c r="H1059" t="s">
        <v>34</v>
      </c>
      <c r="I1059" t="s">
        <v>75</v>
      </c>
      <c r="J1059" s="1">
        <v>285</v>
      </c>
      <c r="K1059" s="1">
        <v>35.625</v>
      </c>
      <c r="L1059" s="3">
        <v>8</v>
      </c>
      <c r="M1059" t="s">
        <v>219</v>
      </c>
      <c r="N1059" s="2">
        <v>45368</v>
      </c>
      <c r="O1059" t="s">
        <v>37</v>
      </c>
      <c r="P1059" t="s">
        <v>1290</v>
      </c>
      <c r="Q1059">
        <v>93786</v>
      </c>
      <c r="R1059" t="s">
        <v>27</v>
      </c>
      <c r="S1059" s="10">
        <v>12.137301360278201</v>
      </c>
      <c r="T1059">
        <v>15</v>
      </c>
    </row>
    <row r="1060" spans="1:20" x14ac:dyDescent="0.3">
      <c r="A1060">
        <v>1020</v>
      </c>
      <c r="B1060" t="s">
        <v>310</v>
      </c>
      <c r="C1060" t="s">
        <v>311</v>
      </c>
      <c r="D1060" t="s">
        <v>312</v>
      </c>
      <c r="E1060" t="s">
        <v>313</v>
      </c>
      <c r="F1060" t="s">
        <v>314</v>
      </c>
      <c r="G1060" t="s">
        <v>315</v>
      </c>
      <c r="H1060" t="s">
        <v>22</v>
      </c>
      <c r="I1060" t="s">
        <v>23</v>
      </c>
      <c r="J1060" s="1">
        <v>49</v>
      </c>
      <c r="K1060" s="1">
        <v>24.5</v>
      </c>
      <c r="L1060" s="3">
        <v>2</v>
      </c>
      <c r="M1060" t="s">
        <v>36</v>
      </c>
      <c r="N1060" s="2">
        <v>45370</v>
      </c>
      <c r="O1060" t="s">
        <v>37</v>
      </c>
      <c r="P1060" t="s">
        <v>316</v>
      </c>
      <c r="Q1060">
        <v>94105</v>
      </c>
      <c r="R1060" t="s">
        <v>27</v>
      </c>
      <c r="S1060" s="10">
        <v>3.8527462404109047</v>
      </c>
      <c r="T1060">
        <v>3</v>
      </c>
    </row>
    <row r="1061" spans="1:20" x14ac:dyDescent="0.3">
      <c r="A1061">
        <v>1021</v>
      </c>
      <c r="B1061" t="s">
        <v>16</v>
      </c>
      <c r="C1061" t="s">
        <v>17</v>
      </c>
      <c r="D1061" t="s">
        <v>18</v>
      </c>
      <c r="E1061" t="s">
        <v>19</v>
      </c>
      <c r="F1061" t="s">
        <v>20</v>
      </c>
      <c r="G1061" t="s">
        <v>21</v>
      </c>
      <c r="H1061" t="s">
        <v>22</v>
      </c>
      <c r="I1061" t="s">
        <v>23</v>
      </c>
      <c r="J1061" s="1">
        <v>756</v>
      </c>
      <c r="K1061" s="1">
        <v>29.076923076923077</v>
      </c>
      <c r="L1061" s="3">
        <v>26</v>
      </c>
      <c r="M1061" t="s">
        <v>24</v>
      </c>
      <c r="N1061" s="2">
        <v>45370</v>
      </c>
      <c r="O1061" t="s">
        <v>25</v>
      </c>
      <c r="P1061" t="s">
        <v>26</v>
      </c>
      <c r="Q1061">
        <v>48555</v>
      </c>
      <c r="R1061" t="s">
        <v>27</v>
      </c>
      <c r="S1061" s="10">
        <v>49.909760057376999</v>
      </c>
      <c r="T1061">
        <v>37</v>
      </c>
    </row>
    <row r="1062" spans="1:20" x14ac:dyDescent="0.3">
      <c r="A1062">
        <v>1260</v>
      </c>
      <c r="B1062" t="s">
        <v>352</v>
      </c>
      <c r="C1062" t="s">
        <v>353</v>
      </c>
      <c r="D1062" t="s">
        <v>354</v>
      </c>
      <c r="E1062" t="s">
        <v>355</v>
      </c>
      <c r="F1062" t="s">
        <v>356</v>
      </c>
      <c r="G1062" t="s">
        <v>357</v>
      </c>
      <c r="H1062" t="s">
        <v>34</v>
      </c>
      <c r="I1062" t="s">
        <v>236</v>
      </c>
      <c r="J1062" s="1">
        <v>646</v>
      </c>
      <c r="K1062" s="1">
        <v>25.84</v>
      </c>
      <c r="L1062" s="3">
        <v>25</v>
      </c>
      <c r="M1062" t="s">
        <v>36</v>
      </c>
      <c r="N1062" s="2">
        <v>45372</v>
      </c>
      <c r="O1062" t="s">
        <v>358</v>
      </c>
      <c r="P1062" t="s">
        <v>359</v>
      </c>
      <c r="Q1062">
        <v>99215</v>
      </c>
      <c r="R1062" t="s">
        <v>27</v>
      </c>
      <c r="S1062" s="10">
        <v>46.032841697974838</v>
      </c>
      <c r="T1062">
        <v>45</v>
      </c>
    </row>
    <row r="1063" spans="1:20" x14ac:dyDescent="0.3">
      <c r="A1063">
        <v>1732</v>
      </c>
      <c r="B1063" t="s">
        <v>49</v>
      </c>
      <c r="C1063" t="s">
        <v>2018</v>
      </c>
      <c r="D1063" t="s">
        <v>2019</v>
      </c>
      <c r="E1063" t="s">
        <v>2020</v>
      </c>
      <c r="F1063" t="s">
        <v>1614</v>
      </c>
      <c r="G1063" t="s">
        <v>107</v>
      </c>
      <c r="H1063" t="s">
        <v>22</v>
      </c>
      <c r="I1063" t="s">
        <v>236</v>
      </c>
      <c r="J1063" s="1">
        <v>488</v>
      </c>
      <c r="K1063" s="1">
        <v>34.857142857142854</v>
      </c>
      <c r="L1063" s="3">
        <v>14</v>
      </c>
      <c r="M1063" t="s">
        <v>36</v>
      </c>
      <c r="N1063" s="2">
        <v>45373</v>
      </c>
      <c r="O1063" t="s">
        <v>1590</v>
      </c>
      <c r="P1063" t="s">
        <v>1164</v>
      </c>
      <c r="Q1063">
        <v>39204</v>
      </c>
      <c r="R1063" t="s">
        <v>27</v>
      </c>
      <c r="S1063" s="10">
        <v>28.393684555862247</v>
      </c>
      <c r="T1063">
        <v>26</v>
      </c>
    </row>
    <row r="1064" spans="1:20" x14ac:dyDescent="0.3">
      <c r="A1064">
        <v>1751</v>
      </c>
      <c r="B1064" t="s">
        <v>729</v>
      </c>
      <c r="C1064" t="s">
        <v>223</v>
      </c>
      <c r="D1064" t="s">
        <v>2021</v>
      </c>
      <c r="E1064" t="s">
        <v>2022</v>
      </c>
      <c r="F1064" t="s">
        <v>676</v>
      </c>
      <c r="G1064" t="s">
        <v>865</v>
      </c>
      <c r="H1064" t="s">
        <v>22</v>
      </c>
      <c r="I1064" t="s">
        <v>108</v>
      </c>
      <c r="J1064" s="1">
        <v>526</v>
      </c>
      <c r="K1064" s="1">
        <v>32.875</v>
      </c>
      <c r="L1064" s="3">
        <v>16</v>
      </c>
      <c r="M1064" t="s">
        <v>24</v>
      </c>
      <c r="N1064" s="2">
        <v>45374</v>
      </c>
      <c r="O1064" t="s">
        <v>187</v>
      </c>
      <c r="P1064" t="s">
        <v>188</v>
      </c>
      <c r="Q1064">
        <v>28247</v>
      </c>
      <c r="R1064" t="s">
        <v>27</v>
      </c>
      <c r="S1064" s="10">
        <v>35.590192623631566</v>
      </c>
      <c r="T1064">
        <v>31</v>
      </c>
    </row>
    <row r="1065" spans="1:20" x14ac:dyDescent="0.3">
      <c r="A1065">
        <v>1606</v>
      </c>
      <c r="B1065" t="s">
        <v>455</v>
      </c>
      <c r="C1065" t="s">
        <v>1700</v>
      </c>
      <c r="D1065" t="s">
        <v>2023</v>
      </c>
      <c r="E1065" t="s">
        <v>2024</v>
      </c>
      <c r="F1065" t="s">
        <v>2025</v>
      </c>
      <c r="G1065" t="s">
        <v>885</v>
      </c>
      <c r="H1065" t="s">
        <v>22</v>
      </c>
      <c r="I1065" t="s">
        <v>266</v>
      </c>
      <c r="J1065" s="1">
        <v>681</v>
      </c>
      <c r="K1065" s="1">
        <v>35.842105263157897</v>
      </c>
      <c r="L1065" s="3">
        <v>19</v>
      </c>
      <c r="M1065" t="s">
        <v>195</v>
      </c>
      <c r="N1065" s="2">
        <v>45376</v>
      </c>
      <c r="O1065" t="s">
        <v>67</v>
      </c>
      <c r="P1065" t="s">
        <v>484</v>
      </c>
      <c r="Q1065">
        <v>75049</v>
      </c>
      <c r="R1065" t="s">
        <v>27</v>
      </c>
      <c r="S1065" s="10">
        <v>39.006698633265003</v>
      </c>
      <c r="T1065">
        <v>26</v>
      </c>
    </row>
    <row r="1066" spans="1:20" x14ac:dyDescent="0.3">
      <c r="A1066">
        <v>1395</v>
      </c>
      <c r="B1066" t="s">
        <v>1544</v>
      </c>
      <c r="C1066" t="s">
        <v>1023</v>
      </c>
      <c r="D1066" t="s">
        <v>2026</v>
      </c>
      <c r="E1066" t="s">
        <v>2027</v>
      </c>
      <c r="F1066" t="s">
        <v>750</v>
      </c>
      <c r="G1066" t="s">
        <v>677</v>
      </c>
      <c r="H1066" t="s">
        <v>34</v>
      </c>
      <c r="I1066" t="s">
        <v>366</v>
      </c>
      <c r="J1066" s="1">
        <v>806</v>
      </c>
      <c r="K1066" s="1">
        <v>27.793103448275861</v>
      </c>
      <c r="L1066" s="3">
        <v>29</v>
      </c>
      <c r="M1066" t="s">
        <v>203</v>
      </c>
      <c r="N1066" s="2">
        <v>45377</v>
      </c>
      <c r="O1066" t="s">
        <v>292</v>
      </c>
      <c r="P1066" t="s">
        <v>293</v>
      </c>
      <c r="Q1066">
        <v>53234</v>
      </c>
      <c r="R1066" t="s">
        <v>27</v>
      </c>
      <c r="S1066" s="10">
        <v>49.238309874688113</v>
      </c>
      <c r="T1066">
        <v>44</v>
      </c>
    </row>
    <row r="1067" spans="1:20" x14ac:dyDescent="0.3">
      <c r="A1067">
        <v>1880</v>
      </c>
      <c r="B1067" t="s">
        <v>129</v>
      </c>
      <c r="C1067" t="s">
        <v>130</v>
      </c>
      <c r="D1067" t="s">
        <v>131</v>
      </c>
      <c r="E1067" t="s">
        <v>132</v>
      </c>
      <c r="F1067" t="s">
        <v>133</v>
      </c>
      <c r="G1067" t="s">
        <v>134</v>
      </c>
      <c r="H1067" t="s">
        <v>22</v>
      </c>
      <c r="I1067" t="s">
        <v>135</v>
      </c>
      <c r="J1067" s="1">
        <v>548</v>
      </c>
      <c r="K1067" s="1">
        <v>34.25</v>
      </c>
      <c r="L1067" s="3">
        <v>16</v>
      </c>
      <c r="M1067" t="s">
        <v>36</v>
      </c>
      <c r="N1067" s="2">
        <v>45380</v>
      </c>
      <c r="O1067" t="s">
        <v>136</v>
      </c>
      <c r="P1067" t="s">
        <v>137</v>
      </c>
      <c r="Q1067">
        <v>60614</v>
      </c>
      <c r="R1067" t="s">
        <v>27</v>
      </c>
      <c r="S1067" s="10">
        <v>35.133372942632157</v>
      </c>
      <c r="T1067">
        <v>25</v>
      </c>
    </row>
    <row r="1068" spans="1:20" x14ac:dyDescent="0.3">
      <c r="A1068">
        <v>1026</v>
      </c>
      <c r="B1068" t="s">
        <v>77</v>
      </c>
      <c r="C1068" t="s">
        <v>78</v>
      </c>
      <c r="D1068" t="s">
        <v>79</v>
      </c>
      <c r="E1068" t="s">
        <v>80</v>
      </c>
      <c r="F1068" t="s">
        <v>81</v>
      </c>
      <c r="G1068" t="s">
        <v>82</v>
      </c>
      <c r="H1068" t="s">
        <v>22</v>
      </c>
      <c r="I1068" t="s">
        <v>23</v>
      </c>
      <c r="J1068" s="1">
        <v>466</v>
      </c>
      <c r="K1068" s="1">
        <v>33.285714285714285</v>
      </c>
      <c r="L1068" s="3">
        <v>14</v>
      </c>
      <c r="M1068" t="s">
        <v>36</v>
      </c>
      <c r="N1068" s="2">
        <v>45381</v>
      </c>
      <c r="O1068" t="s">
        <v>83</v>
      </c>
      <c r="P1068" t="s">
        <v>84</v>
      </c>
      <c r="Q1068">
        <v>10469</v>
      </c>
      <c r="R1068" t="s">
        <v>27</v>
      </c>
      <c r="S1068" s="10">
        <v>26.355968812244321</v>
      </c>
      <c r="T1068">
        <v>18</v>
      </c>
    </row>
    <row r="1069" spans="1:20" x14ac:dyDescent="0.3">
      <c r="A1069">
        <v>1645</v>
      </c>
      <c r="B1069" t="s">
        <v>529</v>
      </c>
      <c r="C1069" t="s">
        <v>2028</v>
      </c>
      <c r="D1069" t="s">
        <v>2029</v>
      </c>
      <c r="E1069" t="s">
        <v>2030</v>
      </c>
      <c r="F1069" t="s">
        <v>831</v>
      </c>
      <c r="G1069" t="s">
        <v>446</v>
      </c>
      <c r="H1069" t="s">
        <v>22</v>
      </c>
      <c r="I1069" t="s">
        <v>23</v>
      </c>
      <c r="J1069" s="1">
        <v>282</v>
      </c>
      <c r="K1069" s="1">
        <v>40.285714285714285</v>
      </c>
      <c r="L1069" s="3">
        <v>7</v>
      </c>
      <c r="M1069" t="s">
        <v>126</v>
      </c>
      <c r="N1069" s="2">
        <v>45381</v>
      </c>
      <c r="O1069" t="s">
        <v>118</v>
      </c>
      <c r="P1069" t="s">
        <v>454</v>
      </c>
      <c r="Q1069">
        <v>55428</v>
      </c>
      <c r="R1069" t="s">
        <v>27</v>
      </c>
      <c r="S1069" s="10">
        <v>13.929005532686311</v>
      </c>
      <c r="T1069">
        <v>9</v>
      </c>
    </row>
    <row r="1070" spans="1:20" x14ac:dyDescent="0.3">
      <c r="A1070">
        <v>1020</v>
      </c>
      <c r="B1070" t="s">
        <v>310</v>
      </c>
      <c r="C1070" t="s">
        <v>311</v>
      </c>
      <c r="D1070" t="s">
        <v>312</v>
      </c>
      <c r="E1070" t="s">
        <v>313</v>
      </c>
      <c r="F1070" t="s">
        <v>314</v>
      </c>
      <c r="G1070" t="s">
        <v>315</v>
      </c>
      <c r="H1070" t="s">
        <v>22</v>
      </c>
      <c r="I1070" t="s">
        <v>23</v>
      </c>
      <c r="J1070" s="1">
        <v>477</v>
      </c>
      <c r="K1070" s="1">
        <v>36.692307692307693</v>
      </c>
      <c r="L1070" s="3">
        <v>13</v>
      </c>
      <c r="M1070" t="s">
        <v>36</v>
      </c>
      <c r="N1070" s="2">
        <v>45382</v>
      </c>
      <c r="O1070" t="s">
        <v>37</v>
      </c>
      <c r="P1070" t="s">
        <v>316</v>
      </c>
      <c r="Q1070">
        <v>94105</v>
      </c>
      <c r="R1070" t="s">
        <v>27</v>
      </c>
      <c r="S1070" s="10">
        <v>29.851098332486323</v>
      </c>
      <c r="T1070">
        <v>24</v>
      </c>
    </row>
    <row r="1071" spans="1:20" x14ac:dyDescent="0.3">
      <c r="A1071">
        <v>1144</v>
      </c>
      <c r="B1071" t="s">
        <v>776</v>
      </c>
      <c r="C1071" t="s">
        <v>747</v>
      </c>
      <c r="D1071" t="s">
        <v>807</v>
      </c>
      <c r="E1071" t="s">
        <v>808</v>
      </c>
      <c r="F1071" t="s">
        <v>235</v>
      </c>
      <c r="G1071" t="s">
        <v>677</v>
      </c>
      <c r="H1071" t="s">
        <v>22</v>
      </c>
      <c r="I1071" t="s">
        <v>35</v>
      </c>
      <c r="J1071" s="1">
        <v>682</v>
      </c>
      <c r="K1071" s="1">
        <v>37.888888888888886</v>
      </c>
      <c r="L1071" s="3">
        <v>18</v>
      </c>
      <c r="M1071" t="s">
        <v>66</v>
      </c>
      <c r="N1071" s="2">
        <v>45383</v>
      </c>
      <c r="O1071" t="s">
        <v>83</v>
      </c>
      <c r="P1071" t="s">
        <v>809</v>
      </c>
      <c r="Q1071">
        <v>11355</v>
      </c>
      <c r="R1071" t="s">
        <v>27</v>
      </c>
      <c r="S1071" s="10">
        <v>24.074728739695018</v>
      </c>
      <c r="T1071">
        <v>28</v>
      </c>
    </row>
    <row r="1072" spans="1:20" x14ac:dyDescent="0.3">
      <c r="A1072">
        <v>1212</v>
      </c>
      <c r="B1072" t="s">
        <v>120</v>
      </c>
      <c r="C1072" t="s">
        <v>121</v>
      </c>
      <c r="D1072" t="s">
        <v>122</v>
      </c>
      <c r="E1072" t="s">
        <v>123</v>
      </c>
      <c r="F1072" t="s">
        <v>124</v>
      </c>
      <c r="G1072" t="s">
        <v>125</v>
      </c>
      <c r="H1072" t="s">
        <v>22</v>
      </c>
      <c r="I1072" t="s">
        <v>65</v>
      </c>
      <c r="J1072" s="1">
        <v>656</v>
      </c>
      <c r="K1072" s="1">
        <v>26.24</v>
      </c>
      <c r="L1072" s="3">
        <v>25</v>
      </c>
      <c r="M1072" t="s">
        <v>126</v>
      </c>
      <c r="N1072" s="2">
        <v>45384</v>
      </c>
      <c r="O1072" t="s">
        <v>127</v>
      </c>
      <c r="P1072" t="s">
        <v>128</v>
      </c>
      <c r="Q1072">
        <v>6183</v>
      </c>
      <c r="R1072" t="s">
        <v>27</v>
      </c>
      <c r="S1072" s="10">
        <v>39.19743632472359</v>
      </c>
      <c r="T1072">
        <v>48</v>
      </c>
    </row>
    <row r="1073" spans="1:20" x14ac:dyDescent="0.3">
      <c r="A1073">
        <v>1647</v>
      </c>
      <c r="B1073" t="s">
        <v>819</v>
      </c>
      <c r="C1073" t="s">
        <v>939</v>
      </c>
      <c r="D1073" t="s">
        <v>2031</v>
      </c>
      <c r="E1073" t="s">
        <v>2032</v>
      </c>
      <c r="F1073" t="s">
        <v>2033</v>
      </c>
      <c r="G1073" t="s">
        <v>265</v>
      </c>
      <c r="H1073" t="s">
        <v>22</v>
      </c>
      <c r="I1073" t="s">
        <v>23</v>
      </c>
      <c r="J1073" s="1">
        <v>50</v>
      </c>
      <c r="K1073" s="1">
        <v>50</v>
      </c>
      <c r="L1073" s="3">
        <v>1</v>
      </c>
      <c r="M1073" t="s">
        <v>36</v>
      </c>
      <c r="N1073" s="2">
        <v>45384</v>
      </c>
      <c r="O1073" t="s">
        <v>37</v>
      </c>
      <c r="P1073" t="s">
        <v>1699</v>
      </c>
      <c r="Q1073">
        <v>92867</v>
      </c>
      <c r="R1073" t="s">
        <v>27</v>
      </c>
      <c r="S1073" s="10">
        <v>1.8834682626540158</v>
      </c>
      <c r="T1073">
        <v>1</v>
      </c>
    </row>
    <row r="1074" spans="1:20" x14ac:dyDescent="0.3">
      <c r="A1074">
        <v>1258</v>
      </c>
      <c r="B1074" t="s">
        <v>360</v>
      </c>
      <c r="C1074" t="s">
        <v>1942</v>
      </c>
      <c r="D1074" t="s">
        <v>2034</v>
      </c>
      <c r="E1074" t="s">
        <v>2035</v>
      </c>
      <c r="F1074" t="s">
        <v>698</v>
      </c>
      <c r="G1074" t="s">
        <v>279</v>
      </c>
      <c r="H1074" t="s">
        <v>22</v>
      </c>
      <c r="I1074" t="s">
        <v>266</v>
      </c>
      <c r="J1074" s="1">
        <v>485</v>
      </c>
      <c r="K1074" s="1">
        <v>40.416666666666664</v>
      </c>
      <c r="L1074" s="3">
        <v>12</v>
      </c>
      <c r="M1074" t="s">
        <v>143</v>
      </c>
      <c r="N1074" s="2">
        <v>45385</v>
      </c>
      <c r="O1074" t="s">
        <v>568</v>
      </c>
      <c r="P1074" t="s">
        <v>1414</v>
      </c>
      <c r="Q1074">
        <v>38119</v>
      </c>
      <c r="R1074" t="s">
        <v>27</v>
      </c>
      <c r="S1074" s="10">
        <v>21.216975755429551</v>
      </c>
      <c r="T1074">
        <v>18</v>
      </c>
    </row>
    <row r="1075" spans="1:20" x14ac:dyDescent="0.3">
      <c r="A1075">
        <v>1961</v>
      </c>
      <c r="B1075" t="s">
        <v>120</v>
      </c>
      <c r="C1075" t="s">
        <v>1314</v>
      </c>
      <c r="D1075" t="s">
        <v>2036</v>
      </c>
      <c r="E1075" t="s">
        <v>2037</v>
      </c>
      <c r="F1075" t="s">
        <v>1274</v>
      </c>
      <c r="G1075" t="s">
        <v>307</v>
      </c>
      <c r="H1075" t="s">
        <v>22</v>
      </c>
      <c r="I1075" t="s">
        <v>108</v>
      </c>
      <c r="J1075" s="1">
        <v>33</v>
      </c>
      <c r="K1075" s="1">
        <v>33</v>
      </c>
      <c r="L1075" s="3">
        <v>1</v>
      </c>
      <c r="M1075" t="s">
        <v>36</v>
      </c>
      <c r="N1075" s="2">
        <v>45388</v>
      </c>
      <c r="O1075" t="s">
        <v>470</v>
      </c>
      <c r="P1075" t="s">
        <v>358</v>
      </c>
      <c r="Q1075">
        <v>20046</v>
      </c>
      <c r="R1075" t="s">
        <v>27</v>
      </c>
      <c r="S1075" s="10">
        <v>2.315775416209974</v>
      </c>
      <c r="T1075">
        <v>1</v>
      </c>
    </row>
    <row r="1076" spans="1:20" x14ac:dyDescent="0.3">
      <c r="A1076">
        <v>1987</v>
      </c>
      <c r="B1076" t="s">
        <v>352</v>
      </c>
      <c r="C1076" t="s">
        <v>311</v>
      </c>
      <c r="D1076" t="s">
        <v>824</v>
      </c>
      <c r="E1076" t="s">
        <v>825</v>
      </c>
      <c r="F1076" t="s">
        <v>826</v>
      </c>
      <c r="G1076" t="s">
        <v>218</v>
      </c>
      <c r="H1076" t="s">
        <v>34</v>
      </c>
      <c r="I1076" t="s">
        <v>65</v>
      </c>
      <c r="J1076" s="1">
        <v>947</v>
      </c>
      <c r="K1076" s="1">
        <v>30.548387096774192</v>
      </c>
      <c r="L1076" s="3">
        <v>31</v>
      </c>
      <c r="M1076" t="s">
        <v>36</v>
      </c>
      <c r="N1076" s="2">
        <v>45388</v>
      </c>
      <c r="O1076" t="s">
        <v>187</v>
      </c>
      <c r="P1076" t="s">
        <v>827</v>
      </c>
      <c r="Q1076">
        <v>28305</v>
      </c>
      <c r="R1076" t="s">
        <v>27</v>
      </c>
      <c r="S1076" s="10">
        <v>46.092603787801394</v>
      </c>
      <c r="T1076">
        <v>59</v>
      </c>
    </row>
    <row r="1077" spans="1:20" x14ac:dyDescent="0.3">
      <c r="A1077">
        <v>1783</v>
      </c>
      <c r="B1077" t="s">
        <v>302</v>
      </c>
      <c r="C1077" t="s">
        <v>303</v>
      </c>
      <c r="D1077" t="s">
        <v>304</v>
      </c>
      <c r="E1077" t="s">
        <v>305</v>
      </c>
      <c r="F1077" t="s">
        <v>306</v>
      </c>
      <c r="G1077" t="s">
        <v>307</v>
      </c>
      <c r="H1077" t="s">
        <v>34</v>
      </c>
      <c r="I1077" t="s">
        <v>35</v>
      </c>
      <c r="J1077" s="1">
        <v>822</v>
      </c>
      <c r="K1077" s="1">
        <v>45.666666666666664</v>
      </c>
      <c r="L1077" s="3">
        <v>18</v>
      </c>
      <c r="M1077" t="s">
        <v>244</v>
      </c>
      <c r="N1077" s="2">
        <v>45389</v>
      </c>
      <c r="O1077" t="s">
        <v>308</v>
      </c>
      <c r="P1077" t="s">
        <v>309</v>
      </c>
      <c r="Q1077">
        <v>85715</v>
      </c>
      <c r="R1077" t="s">
        <v>27</v>
      </c>
      <c r="S1077" s="10">
        <v>32.025375868923625</v>
      </c>
      <c r="T1077">
        <v>26</v>
      </c>
    </row>
    <row r="1078" spans="1:20" x14ac:dyDescent="0.3">
      <c r="A1078">
        <v>1812</v>
      </c>
      <c r="B1078" t="s">
        <v>231</v>
      </c>
      <c r="C1078" t="s">
        <v>232</v>
      </c>
      <c r="D1078" t="s">
        <v>233</v>
      </c>
      <c r="E1078" t="s">
        <v>234</v>
      </c>
      <c r="F1078" t="s">
        <v>235</v>
      </c>
      <c r="G1078" t="s">
        <v>74</v>
      </c>
      <c r="H1078" t="s">
        <v>34</v>
      </c>
      <c r="I1078" t="s">
        <v>236</v>
      </c>
      <c r="J1078" s="1">
        <v>215</v>
      </c>
      <c r="K1078" s="1">
        <v>30.714285714285715</v>
      </c>
      <c r="L1078" s="3">
        <v>7</v>
      </c>
      <c r="M1078" t="s">
        <v>126</v>
      </c>
      <c r="N1078" s="2">
        <v>45390</v>
      </c>
      <c r="O1078" t="s">
        <v>237</v>
      </c>
      <c r="P1078" t="s">
        <v>238</v>
      </c>
      <c r="Q1078">
        <v>35220</v>
      </c>
      <c r="R1078" t="s">
        <v>27</v>
      </c>
      <c r="S1078" s="10">
        <v>12.598189116399066</v>
      </c>
      <c r="T1078">
        <v>15</v>
      </c>
    </row>
    <row r="1079" spans="1:20" x14ac:dyDescent="0.3">
      <c r="A1079">
        <v>1987</v>
      </c>
      <c r="B1079" t="s">
        <v>352</v>
      </c>
      <c r="C1079" t="s">
        <v>311</v>
      </c>
      <c r="D1079" t="s">
        <v>824</v>
      </c>
      <c r="E1079" t="s">
        <v>825</v>
      </c>
      <c r="F1079" t="s">
        <v>826</v>
      </c>
      <c r="G1079" t="s">
        <v>218</v>
      </c>
      <c r="H1079" t="s">
        <v>34</v>
      </c>
      <c r="I1079" t="s">
        <v>65</v>
      </c>
      <c r="J1079" s="1">
        <v>165</v>
      </c>
      <c r="K1079" s="1">
        <v>41.25</v>
      </c>
      <c r="L1079" s="3">
        <v>4</v>
      </c>
      <c r="M1079" t="s">
        <v>36</v>
      </c>
      <c r="N1079" s="2">
        <v>45391</v>
      </c>
      <c r="O1079" t="s">
        <v>187</v>
      </c>
      <c r="P1079" t="s">
        <v>827</v>
      </c>
      <c r="Q1079">
        <v>28305</v>
      </c>
      <c r="R1079" t="s">
        <v>27</v>
      </c>
      <c r="S1079" s="10">
        <v>8.975803614111765</v>
      </c>
      <c r="T1079">
        <v>6</v>
      </c>
    </row>
    <row r="1080" spans="1:20" x14ac:dyDescent="0.3">
      <c r="A1080">
        <v>1295</v>
      </c>
      <c r="B1080" t="s">
        <v>205</v>
      </c>
      <c r="C1080" t="s">
        <v>112</v>
      </c>
      <c r="D1080" t="s">
        <v>2038</v>
      </c>
      <c r="E1080" t="s">
        <v>2039</v>
      </c>
      <c r="F1080" t="s">
        <v>942</v>
      </c>
      <c r="G1080" t="s">
        <v>885</v>
      </c>
      <c r="H1080" t="s">
        <v>34</v>
      </c>
      <c r="I1080" t="s">
        <v>135</v>
      </c>
      <c r="J1080" s="1">
        <v>353</v>
      </c>
      <c r="K1080" s="1">
        <v>35.299999999999997</v>
      </c>
      <c r="L1080" s="3">
        <v>10</v>
      </c>
      <c r="M1080" t="s">
        <v>36</v>
      </c>
      <c r="N1080" s="2">
        <v>45393</v>
      </c>
      <c r="O1080" t="s">
        <v>229</v>
      </c>
      <c r="P1080" t="s">
        <v>1158</v>
      </c>
      <c r="Q1080">
        <v>44191</v>
      </c>
      <c r="R1080" t="s">
        <v>27</v>
      </c>
      <c r="S1080" s="10">
        <v>20.773348791345498</v>
      </c>
      <c r="T1080">
        <v>13</v>
      </c>
    </row>
    <row r="1081" spans="1:20" x14ac:dyDescent="0.3">
      <c r="A1081">
        <v>1081</v>
      </c>
      <c r="B1081" t="s">
        <v>529</v>
      </c>
      <c r="C1081" t="s">
        <v>530</v>
      </c>
      <c r="D1081" t="s">
        <v>531</v>
      </c>
      <c r="E1081" t="s">
        <v>532</v>
      </c>
      <c r="F1081" t="s">
        <v>533</v>
      </c>
      <c r="G1081" t="s">
        <v>495</v>
      </c>
      <c r="H1081" t="s">
        <v>22</v>
      </c>
      <c r="I1081" t="s">
        <v>55</v>
      </c>
      <c r="J1081" s="1">
        <v>420</v>
      </c>
      <c r="K1081" s="1">
        <v>32.307692307692307</v>
      </c>
      <c r="L1081" s="3">
        <v>13</v>
      </c>
      <c r="M1081" t="s">
        <v>447</v>
      </c>
      <c r="N1081" s="2">
        <v>45394</v>
      </c>
      <c r="O1081" t="s">
        <v>229</v>
      </c>
      <c r="P1081" t="s">
        <v>534</v>
      </c>
      <c r="Q1081">
        <v>45426</v>
      </c>
      <c r="R1081" t="s">
        <v>27</v>
      </c>
      <c r="S1081" s="10">
        <v>28.056237480360181</v>
      </c>
      <c r="T1081">
        <v>19</v>
      </c>
    </row>
    <row r="1082" spans="1:20" x14ac:dyDescent="0.3">
      <c r="A1082">
        <v>1711</v>
      </c>
      <c r="B1082" t="s">
        <v>398</v>
      </c>
      <c r="C1082" t="s">
        <v>2040</v>
      </c>
      <c r="D1082" t="s">
        <v>2041</v>
      </c>
      <c r="E1082" t="s">
        <v>2042</v>
      </c>
      <c r="F1082" t="s">
        <v>942</v>
      </c>
      <c r="G1082" t="s">
        <v>2043</v>
      </c>
      <c r="H1082" t="s">
        <v>22</v>
      </c>
      <c r="I1082" t="s">
        <v>23</v>
      </c>
      <c r="J1082" s="1">
        <v>53</v>
      </c>
      <c r="K1082" s="1">
        <v>26.5</v>
      </c>
      <c r="L1082" s="3">
        <v>2</v>
      </c>
      <c r="M1082" t="s">
        <v>203</v>
      </c>
      <c r="N1082" s="2">
        <v>45394</v>
      </c>
      <c r="O1082" t="s">
        <v>952</v>
      </c>
      <c r="P1082" t="s">
        <v>1266</v>
      </c>
      <c r="Q1082">
        <v>7112</v>
      </c>
      <c r="R1082" t="s">
        <v>27</v>
      </c>
      <c r="S1082" s="10">
        <v>2.7331890678567357</v>
      </c>
      <c r="T1082">
        <v>2</v>
      </c>
    </row>
    <row r="1083" spans="1:20" x14ac:dyDescent="0.3">
      <c r="A1083">
        <v>1990</v>
      </c>
      <c r="B1083" t="s">
        <v>1526</v>
      </c>
      <c r="C1083" t="s">
        <v>861</v>
      </c>
      <c r="D1083" t="s">
        <v>1527</v>
      </c>
      <c r="E1083" t="s">
        <v>1528</v>
      </c>
      <c r="F1083" t="s">
        <v>1437</v>
      </c>
      <c r="G1083" t="s">
        <v>1189</v>
      </c>
      <c r="H1083" t="s">
        <v>22</v>
      </c>
      <c r="I1083" t="s">
        <v>65</v>
      </c>
      <c r="J1083" s="1">
        <v>39</v>
      </c>
      <c r="K1083" s="1">
        <v>39</v>
      </c>
      <c r="L1083" s="3">
        <v>1</v>
      </c>
      <c r="M1083" t="s">
        <v>36</v>
      </c>
      <c r="N1083" s="2">
        <v>45399</v>
      </c>
      <c r="O1083" t="s">
        <v>237</v>
      </c>
      <c r="P1083" t="s">
        <v>1298</v>
      </c>
      <c r="Q1083">
        <v>36622</v>
      </c>
      <c r="R1083" t="s">
        <v>27</v>
      </c>
      <c r="S1083" s="10">
        <v>1.3107952426862024</v>
      </c>
      <c r="T1083">
        <v>1</v>
      </c>
    </row>
    <row r="1084" spans="1:20" x14ac:dyDescent="0.3">
      <c r="A1084">
        <v>1037</v>
      </c>
      <c r="B1084" t="s">
        <v>892</v>
      </c>
      <c r="C1084" t="s">
        <v>512</v>
      </c>
      <c r="D1084" t="s">
        <v>2044</v>
      </c>
      <c r="E1084" t="s">
        <v>2045</v>
      </c>
      <c r="F1084" t="s">
        <v>544</v>
      </c>
      <c r="G1084" t="s">
        <v>378</v>
      </c>
      <c r="H1084" t="s">
        <v>22</v>
      </c>
      <c r="I1084" t="s">
        <v>23</v>
      </c>
      <c r="J1084" s="1">
        <v>956</v>
      </c>
      <c r="K1084" s="1">
        <v>27.314285714285713</v>
      </c>
      <c r="L1084" s="3">
        <v>35</v>
      </c>
      <c r="M1084" t="s">
        <v>195</v>
      </c>
      <c r="N1084" s="2">
        <v>45400</v>
      </c>
      <c r="O1084" t="s">
        <v>37</v>
      </c>
      <c r="P1084" t="s">
        <v>2046</v>
      </c>
      <c r="Q1084">
        <v>94405</v>
      </c>
      <c r="R1084" t="s">
        <v>27</v>
      </c>
      <c r="S1084" s="10">
        <v>60.25481398786664</v>
      </c>
      <c r="T1084">
        <v>54</v>
      </c>
    </row>
    <row r="1085" spans="1:20" x14ac:dyDescent="0.3">
      <c r="A1085">
        <v>1043</v>
      </c>
      <c r="B1085" t="s">
        <v>102</v>
      </c>
      <c r="C1085" t="s">
        <v>154</v>
      </c>
      <c r="D1085" t="s">
        <v>547</v>
      </c>
      <c r="E1085" t="s">
        <v>548</v>
      </c>
      <c r="F1085" t="s">
        <v>549</v>
      </c>
      <c r="G1085" t="s">
        <v>453</v>
      </c>
      <c r="H1085" t="s">
        <v>34</v>
      </c>
      <c r="I1085" t="s">
        <v>23</v>
      </c>
      <c r="J1085" s="1">
        <v>117</v>
      </c>
      <c r="K1085" s="1">
        <v>39</v>
      </c>
      <c r="L1085" s="3">
        <v>3</v>
      </c>
      <c r="M1085" t="s">
        <v>24</v>
      </c>
      <c r="N1085" s="2">
        <v>45400</v>
      </c>
      <c r="O1085" t="s">
        <v>300</v>
      </c>
      <c r="P1085" t="s">
        <v>301</v>
      </c>
      <c r="Q1085">
        <v>89140</v>
      </c>
      <c r="R1085" t="s">
        <v>27</v>
      </c>
      <c r="S1085" s="10">
        <v>7.1596357008369864</v>
      </c>
      <c r="T1085">
        <v>5</v>
      </c>
    </row>
    <row r="1086" spans="1:20" x14ac:dyDescent="0.3">
      <c r="A1086">
        <v>1019</v>
      </c>
      <c r="B1086" t="s">
        <v>764</v>
      </c>
      <c r="C1086" t="s">
        <v>374</v>
      </c>
      <c r="D1086" t="s">
        <v>765</v>
      </c>
      <c r="E1086" t="s">
        <v>766</v>
      </c>
      <c r="F1086" t="s">
        <v>554</v>
      </c>
      <c r="G1086" t="s">
        <v>298</v>
      </c>
      <c r="H1086" t="s">
        <v>22</v>
      </c>
      <c r="I1086" t="s">
        <v>23</v>
      </c>
      <c r="J1086" s="1">
        <v>159</v>
      </c>
      <c r="K1086" s="1">
        <v>31.8</v>
      </c>
      <c r="L1086" s="3">
        <v>5</v>
      </c>
      <c r="M1086" t="s">
        <v>66</v>
      </c>
      <c r="N1086" s="2">
        <v>45401</v>
      </c>
      <c r="O1086" t="s">
        <v>767</v>
      </c>
      <c r="P1086" t="s">
        <v>768</v>
      </c>
      <c r="Q1086">
        <v>83705</v>
      </c>
      <c r="R1086" t="s">
        <v>27</v>
      </c>
      <c r="S1086" s="10">
        <v>8.2673764335771622</v>
      </c>
      <c r="T1086">
        <v>9</v>
      </c>
    </row>
    <row r="1087" spans="1:20" x14ac:dyDescent="0.3">
      <c r="A1087">
        <v>1779</v>
      </c>
      <c r="B1087" t="s">
        <v>1240</v>
      </c>
      <c r="C1087" t="s">
        <v>1216</v>
      </c>
      <c r="D1087" t="s">
        <v>2047</v>
      </c>
      <c r="E1087" t="s">
        <v>2048</v>
      </c>
      <c r="F1087" t="s">
        <v>2049</v>
      </c>
      <c r="G1087" t="s">
        <v>1252</v>
      </c>
      <c r="H1087" t="s">
        <v>34</v>
      </c>
      <c r="I1087" t="s">
        <v>35</v>
      </c>
      <c r="J1087" s="1">
        <v>456</v>
      </c>
      <c r="K1087" s="1">
        <v>35.07692307692308</v>
      </c>
      <c r="L1087" s="3">
        <v>13</v>
      </c>
      <c r="M1087" t="s">
        <v>36</v>
      </c>
      <c r="N1087" s="2">
        <v>45401</v>
      </c>
      <c r="O1087" t="s">
        <v>181</v>
      </c>
      <c r="P1087" t="s">
        <v>1478</v>
      </c>
      <c r="Q1087">
        <v>2163</v>
      </c>
      <c r="R1087" t="s">
        <v>27</v>
      </c>
      <c r="S1087" s="10">
        <v>19.169166488027582</v>
      </c>
      <c r="T1087">
        <v>24</v>
      </c>
    </row>
    <row r="1088" spans="1:20" x14ac:dyDescent="0.3">
      <c r="A1088">
        <v>1084</v>
      </c>
      <c r="B1088" t="s">
        <v>175</v>
      </c>
      <c r="C1088" t="s">
        <v>176</v>
      </c>
      <c r="D1088" t="s">
        <v>177</v>
      </c>
      <c r="E1088" t="s">
        <v>178</v>
      </c>
      <c r="F1088" t="s">
        <v>179</v>
      </c>
      <c r="G1088" t="s">
        <v>180</v>
      </c>
      <c r="H1088" t="s">
        <v>34</v>
      </c>
      <c r="I1088" t="s">
        <v>55</v>
      </c>
      <c r="J1088" s="1">
        <v>510</v>
      </c>
      <c r="K1088" s="1">
        <v>36.428571428571431</v>
      </c>
      <c r="L1088" s="3">
        <v>14</v>
      </c>
      <c r="M1088" t="s">
        <v>36</v>
      </c>
      <c r="N1088" s="2">
        <v>45402</v>
      </c>
      <c r="O1088" t="s">
        <v>181</v>
      </c>
      <c r="P1088" t="s">
        <v>182</v>
      </c>
      <c r="Q1088">
        <v>2453</v>
      </c>
      <c r="R1088" t="s">
        <v>27</v>
      </c>
      <c r="S1088" s="10">
        <v>27.371050392154764</v>
      </c>
      <c r="T1088">
        <v>21</v>
      </c>
    </row>
    <row r="1089" spans="1:20" x14ac:dyDescent="0.3">
      <c r="A1089">
        <v>1851</v>
      </c>
      <c r="B1089" t="s">
        <v>604</v>
      </c>
      <c r="C1089" t="s">
        <v>358</v>
      </c>
      <c r="D1089" t="s">
        <v>605</v>
      </c>
      <c r="E1089" t="s">
        <v>606</v>
      </c>
      <c r="F1089" t="s">
        <v>607</v>
      </c>
      <c r="G1089" t="s">
        <v>194</v>
      </c>
      <c r="H1089" t="s">
        <v>22</v>
      </c>
      <c r="I1089" t="s">
        <v>65</v>
      </c>
      <c r="J1089" s="1">
        <v>372</v>
      </c>
      <c r="K1089" s="1">
        <v>28.615384615384617</v>
      </c>
      <c r="L1089" s="3">
        <v>13</v>
      </c>
      <c r="M1089" t="s">
        <v>343</v>
      </c>
      <c r="N1089" s="2">
        <v>45402</v>
      </c>
      <c r="O1089" t="s">
        <v>83</v>
      </c>
      <c r="P1089" t="s">
        <v>351</v>
      </c>
      <c r="Q1089">
        <v>11210</v>
      </c>
      <c r="R1089" t="s">
        <v>27</v>
      </c>
      <c r="S1089" s="10">
        <v>25.157782448073906</v>
      </c>
      <c r="T1089">
        <v>18</v>
      </c>
    </row>
    <row r="1090" spans="1:20" x14ac:dyDescent="0.3">
      <c r="A1090">
        <v>1637</v>
      </c>
      <c r="B1090" t="s">
        <v>1518</v>
      </c>
      <c r="C1090" t="s">
        <v>929</v>
      </c>
      <c r="D1090" t="s">
        <v>2050</v>
      </c>
      <c r="E1090" t="s">
        <v>2051</v>
      </c>
      <c r="F1090" t="s">
        <v>722</v>
      </c>
      <c r="G1090" t="s">
        <v>756</v>
      </c>
      <c r="H1090" t="s">
        <v>34</v>
      </c>
      <c r="I1090" t="s">
        <v>23</v>
      </c>
      <c r="J1090" s="1">
        <v>771</v>
      </c>
      <c r="K1090" s="1">
        <v>32.125</v>
      </c>
      <c r="L1090" s="3">
        <v>24</v>
      </c>
      <c r="M1090" t="s">
        <v>36</v>
      </c>
      <c r="N1090" s="2">
        <v>45403</v>
      </c>
      <c r="O1090" t="s">
        <v>187</v>
      </c>
      <c r="P1090" t="s">
        <v>188</v>
      </c>
      <c r="Q1090">
        <v>28242</v>
      </c>
      <c r="R1090" t="s">
        <v>27</v>
      </c>
      <c r="S1090" s="10">
        <v>36.606978576998095</v>
      </c>
      <c r="T1090">
        <v>48</v>
      </c>
    </row>
    <row r="1091" spans="1:20" x14ac:dyDescent="0.3">
      <c r="A1091">
        <v>1298</v>
      </c>
      <c r="B1091" t="s">
        <v>275</v>
      </c>
      <c r="C1091" t="s">
        <v>340</v>
      </c>
      <c r="D1091" t="s">
        <v>341</v>
      </c>
      <c r="E1091" t="s">
        <v>342</v>
      </c>
      <c r="F1091" t="s">
        <v>306</v>
      </c>
      <c r="G1091" t="s">
        <v>180</v>
      </c>
      <c r="H1091" t="s">
        <v>22</v>
      </c>
      <c r="I1091" t="s">
        <v>236</v>
      </c>
      <c r="J1091" s="1">
        <v>157</v>
      </c>
      <c r="K1091" s="1">
        <v>31.4</v>
      </c>
      <c r="L1091" s="3">
        <v>5</v>
      </c>
      <c r="M1091" t="s">
        <v>343</v>
      </c>
      <c r="N1091" s="2">
        <v>45406</v>
      </c>
      <c r="O1091" t="s">
        <v>267</v>
      </c>
      <c r="P1091" t="s">
        <v>344</v>
      </c>
      <c r="Q1091">
        <v>32891</v>
      </c>
      <c r="R1091" t="s">
        <v>27</v>
      </c>
      <c r="S1091" s="10">
        <v>10.76847435335093</v>
      </c>
      <c r="T1091">
        <v>7</v>
      </c>
    </row>
    <row r="1092" spans="1:20" x14ac:dyDescent="0.3">
      <c r="A1092">
        <v>1277</v>
      </c>
      <c r="B1092" t="s">
        <v>222</v>
      </c>
      <c r="C1092" t="s">
        <v>223</v>
      </c>
      <c r="D1092" t="s">
        <v>224</v>
      </c>
      <c r="E1092" t="s">
        <v>225</v>
      </c>
      <c r="F1092" t="s">
        <v>226</v>
      </c>
      <c r="G1092" t="s">
        <v>227</v>
      </c>
      <c r="H1092" t="s">
        <v>34</v>
      </c>
      <c r="I1092" t="s">
        <v>228</v>
      </c>
      <c r="J1092" s="1">
        <v>477</v>
      </c>
      <c r="K1092" s="1">
        <v>31.8</v>
      </c>
      <c r="L1092" s="3">
        <v>15</v>
      </c>
      <c r="M1092" t="s">
        <v>203</v>
      </c>
      <c r="N1092" s="2">
        <v>45407</v>
      </c>
      <c r="O1092" t="s">
        <v>229</v>
      </c>
      <c r="P1092" t="s">
        <v>230</v>
      </c>
      <c r="Q1092">
        <v>44310</v>
      </c>
      <c r="R1092" t="s">
        <v>27</v>
      </c>
      <c r="S1092" s="10">
        <v>37.114916102979386</v>
      </c>
      <c r="T1092">
        <v>23</v>
      </c>
    </row>
    <row r="1093" spans="1:20" x14ac:dyDescent="0.3">
      <c r="A1093">
        <v>1563</v>
      </c>
      <c r="B1093" t="s">
        <v>1098</v>
      </c>
      <c r="C1093" t="s">
        <v>1837</v>
      </c>
      <c r="D1093" t="s">
        <v>2052</v>
      </c>
      <c r="E1093" t="s">
        <v>2053</v>
      </c>
      <c r="F1093" t="s">
        <v>2054</v>
      </c>
      <c r="G1093" t="s">
        <v>395</v>
      </c>
      <c r="H1093" t="s">
        <v>34</v>
      </c>
      <c r="I1093" t="s">
        <v>228</v>
      </c>
      <c r="J1093" s="1">
        <v>742</v>
      </c>
      <c r="K1093" s="1">
        <v>39.05263157894737</v>
      </c>
      <c r="L1093" s="3">
        <v>19</v>
      </c>
      <c r="M1093" t="s">
        <v>36</v>
      </c>
      <c r="N1093" s="2">
        <v>45407</v>
      </c>
      <c r="O1093" t="s">
        <v>57</v>
      </c>
      <c r="P1093" t="s">
        <v>791</v>
      </c>
      <c r="Q1093">
        <v>30375</v>
      </c>
      <c r="R1093" t="s">
        <v>27</v>
      </c>
      <c r="S1093" s="10">
        <v>41.379151572130027</v>
      </c>
      <c r="T1093">
        <v>27</v>
      </c>
    </row>
    <row r="1094" spans="1:20" x14ac:dyDescent="0.3">
      <c r="A1094">
        <v>1986</v>
      </c>
      <c r="B1094" t="s">
        <v>1379</v>
      </c>
      <c r="C1094" t="s">
        <v>281</v>
      </c>
      <c r="D1094" t="s">
        <v>1380</v>
      </c>
      <c r="E1094" t="s">
        <v>1381</v>
      </c>
      <c r="F1094" t="s">
        <v>150</v>
      </c>
      <c r="G1094" t="s">
        <v>918</v>
      </c>
      <c r="H1094" t="s">
        <v>34</v>
      </c>
      <c r="I1094" t="s">
        <v>65</v>
      </c>
      <c r="J1094" s="1">
        <v>166</v>
      </c>
      <c r="K1094" s="1">
        <v>41.5</v>
      </c>
      <c r="L1094" s="3">
        <v>4</v>
      </c>
      <c r="M1094" t="s">
        <v>143</v>
      </c>
      <c r="N1094" s="2">
        <v>45407</v>
      </c>
      <c r="O1094" t="s">
        <v>67</v>
      </c>
      <c r="P1094" t="s">
        <v>334</v>
      </c>
      <c r="Q1094">
        <v>77010</v>
      </c>
      <c r="R1094" t="s">
        <v>27</v>
      </c>
      <c r="S1094" s="10">
        <v>6.5102914213011029</v>
      </c>
      <c r="T1094">
        <v>4</v>
      </c>
    </row>
    <row r="1095" spans="1:20" x14ac:dyDescent="0.3">
      <c r="A1095">
        <v>1298</v>
      </c>
      <c r="B1095" t="s">
        <v>275</v>
      </c>
      <c r="C1095" t="s">
        <v>340</v>
      </c>
      <c r="D1095" t="s">
        <v>341</v>
      </c>
      <c r="E1095" t="s">
        <v>342</v>
      </c>
      <c r="F1095" t="s">
        <v>306</v>
      </c>
      <c r="G1095" t="s">
        <v>180</v>
      </c>
      <c r="H1095" t="s">
        <v>22</v>
      </c>
      <c r="I1095" t="s">
        <v>236</v>
      </c>
      <c r="J1095" s="1">
        <v>981</v>
      </c>
      <c r="K1095" s="1">
        <v>27.25</v>
      </c>
      <c r="L1095" s="3">
        <v>36</v>
      </c>
      <c r="M1095" t="s">
        <v>343</v>
      </c>
      <c r="N1095" s="2">
        <v>45412</v>
      </c>
      <c r="O1095" t="s">
        <v>267</v>
      </c>
      <c r="P1095" t="s">
        <v>344</v>
      </c>
      <c r="Q1095">
        <v>32891</v>
      </c>
      <c r="R1095" t="s">
        <v>27</v>
      </c>
      <c r="S1095" s="10">
        <v>66.552896385487983</v>
      </c>
      <c r="T1095">
        <v>54</v>
      </c>
    </row>
    <row r="1096" spans="1:20" x14ac:dyDescent="0.3">
      <c r="A1096">
        <v>1953</v>
      </c>
      <c r="B1096" t="s">
        <v>28</v>
      </c>
      <c r="C1096" t="s">
        <v>725</v>
      </c>
      <c r="D1096" t="s">
        <v>2055</v>
      </c>
      <c r="E1096" t="s">
        <v>2056</v>
      </c>
      <c r="F1096" t="s">
        <v>124</v>
      </c>
      <c r="G1096" t="s">
        <v>2057</v>
      </c>
      <c r="H1096" t="s">
        <v>34</v>
      </c>
      <c r="I1096" t="s">
        <v>366</v>
      </c>
      <c r="J1096" s="1">
        <v>599</v>
      </c>
      <c r="K1096" s="1">
        <v>42.785714285714285</v>
      </c>
      <c r="L1096" s="3">
        <v>14</v>
      </c>
      <c r="M1096" t="s">
        <v>36</v>
      </c>
      <c r="N1096" s="2">
        <v>45413</v>
      </c>
      <c r="O1096" t="s">
        <v>37</v>
      </c>
      <c r="P1096" t="s">
        <v>372</v>
      </c>
      <c r="Q1096">
        <v>90045</v>
      </c>
      <c r="R1096" t="s">
        <v>27</v>
      </c>
      <c r="S1096" s="10">
        <v>25.805572489661262</v>
      </c>
      <c r="T1096">
        <v>30</v>
      </c>
    </row>
    <row r="1097" spans="1:20" x14ac:dyDescent="0.3">
      <c r="A1097">
        <v>1365</v>
      </c>
      <c r="B1097" t="s">
        <v>471</v>
      </c>
      <c r="C1097" t="s">
        <v>472</v>
      </c>
      <c r="D1097" t="s">
        <v>473</v>
      </c>
      <c r="E1097" t="s">
        <v>474</v>
      </c>
      <c r="F1097" t="s">
        <v>475</v>
      </c>
      <c r="G1097" t="s">
        <v>476</v>
      </c>
      <c r="H1097" t="s">
        <v>34</v>
      </c>
      <c r="I1097" t="s">
        <v>55</v>
      </c>
      <c r="J1097" s="1">
        <v>529</v>
      </c>
      <c r="K1097" s="1">
        <v>44.083333333333336</v>
      </c>
      <c r="L1097" s="3">
        <v>12</v>
      </c>
      <c r="M1097" t="s">
        <v>66</v>
      </c>
      <c r="N1097" s="2">
        <v>45414</v>
      </c>
      <c r="O1097" t="s">
        <v>267</v>
      </c>
      <c r="P1097" t="s">
        <v>477</v>
      </c>
      <c r="Q1097">
        <v>33261</v>
      </c>
      <c r="R1097" t="s">
        <v>27</v>
      </c>
      <c r="S1097" s="10">
        <v>27.575363370508313</v>
      </c>
      <c r="T1097">
        <v>16</v>
      </c>
    </row>
    <row r="1098" spans="1:20" x14ac:dyDescent="0.3">
      <c r="A1098">
        <v>1123</v>
      </c>
      <c r="B1098" t="s">
        <v>231</v>
      </c>
      <c r="C1098" t="s">
        <v>512</v>
      </c>
      <c r="D1098" t="s">
        <v>639</v>
      </c>
      <c r="E1098" t="s">
        <v>640</v>
      </c>
      <c r="F1098" t="s">
        <v>638</v>
      </c>
      <c r="G1098" t="s">
        <v>410</v>
      </c>
      <c r="H1098" t="s">
        <v>34</v>
      </c>
      <c r="I1098" t="s">
        <v>55</v>
      </c>
      <c r="J1098" s="1">
        <v>649</v>
      </c>
      <c r="K1098" s="1">
        <v>43.266666666666666</v>
      </c>
      <c r="L1098" s="3">
        <v>15</v>
      </c>
      <c r="M1098" t="s">
        <v>24</v>
      </c>
      <c r="N1098" s="2">
        <v>45418</v>
      </c>
      <c r="O1098" t="s">
        <v>267</v>
      </c>
      <c r="P1098" t="s">
        <v>641</v>
      </c>
      <c r="Q1098">
        <v>33673</v>
      </c>
      <c r="R1098" t="s">
        <v>27</v>
      </c>
      <c r="S1098" s="10">
        <v>25.985597698405737</v>
      </c>
      <c r="T1098">
        <v>18</v>
      </c>
    </row>
    <row r="1099" spans="1:20" x14ac:dyDescent="0.3">
      <c r="A1099">
        <v>1298</v>
      </c>
      <c r="B1099" t="s">
        <v>275</v>
      </c>
      <c r="C1099" t="s">
        <v>340</v>
      </c>
      <c r="D1099" t="s">
        <v>341</v>
      </c>
      <c r="E1099" t="s">
        <v>342</v>
      </c>
      <c r="F1099" t="s">
        <v>306</v>
      </c>
      <c r="G1099" t="s">
        <v>180</v>
      </c>
      <c r="H1099" t="s">
        <v>22</v>
      </c>
      <c r="I1099" t="s">
        <v>236</v>
      </c>
      <c r="J1099" s="1">
        <v>841</v>
      </c>
      <c r="K1099" s="1">
        <v>33.64</v>
      </c>
      <c r="L1099" s="3">
        <v>25</v>
      </c>
      <c r="M1099" t="s">
        <v>343</v>
      </c>
      <c r="N1099" s="2">
        <v>45421</v>
      </c>
      <c r="O1099" t="s">
        <v>267</v>
      </c>
      <c r="P1099" t="s">
        <v>344</v>
      </c>
      <c r="Q1099">
        <v>32891</v>
      </c>
      <c r="R1099" t="s">
        <v>27</v>
      </c>
      <c r="S1099" s="10">
        <v>61.605350731197397</v>
      </c>
      <c r="T1099">
        <v>51</v>
      </c>
    </row>
    <row r="1100" spans="1:20" x14ac:dyDescent="0.3">
      <c r="A1100">
        <v>1783</v>
      </c>
      <c r="B1100" t="s">
        <v>302</v>
      </c>
      <c r="C1100" t="s">
        <v>303</v>
      </c>
      <c r="D1100" t="s">
        <v>304</v>
      </c>
      <c r="E1100" t="s">
        <v>305</v>
      </c>
      <c r="F1100" t="s">
        <v>306</v>
      </c>
      <c r="G1100" t="s">
        <v>307</v>
      </c>
      <c r="H1100" t="s">
        <v>34</v>
      </c>
      <c r="I1100" t="s">
        <v>35</v>
      </c>
      <c r="J1100" s="1">
        <v>494</v>
      </c>
      <c r="K1100" s="1">
        <v>41.166666666666664</v>
      </c>
      <c r="L1100" s="3">
        <v>12</v>
      </c>
      <c r="M1100" t="s">
        <v>244</v>
      </c>
      <c r="N1100" s="2">
        <v>45421</v>
      </c>
      <c r="O1100" t="s">
        <v>308</v>
      </c>
      <c r="P1100" t="s">
        <v>309</v>
      </c>
      <c r="Q1100">
        <v>85715</v>
      </c>
      <c r="R1100" t="s">
        <v>27</v>
      </c>
      <c r="S1100" s="10">
        <v>29.733906807299078</v>
      </c>
      <c r="T1100">
        <v>17</v>
      </c>
    </row>
    <row r="1101" spans="1:20" x14ac:dyDescent="0.3">
      <c r="A1101">
        <v>1020</v>
      </c>
      <c r="B1101" t="s">
        <v>310</v>
      </c>
      <c r="C1101" t="s">
        <v>311</v>
      </c>
      <c r="D1101" t="s">
        <v>312</v>
      </c>
      <c r="E1101" t="s">
        <v>313</v>
      </c>
      <c r="F1101" t="s">
        <v>314</v>
      </c>
      <c r="G1101" t="s">
        <v>315</v>
      </c>
      <c r="H1101" t="s">
        <v>22</v>
      </c>
      <c r="I1101" t="s">
        <v>23</v>
      </c>
      <c r="J1101" s="1">
        <v>714</v>
      </c>
      <c r="K1101" s="1">
        <v>37.578947368421055</v>
      </c>
      <c r="L1101" s="3">
        <v>19</v>
      </c>
      <c r="M1101" t="s">
        <v>36</v>
      </c>
      <c r="N1101" s="2">
        <v>45423</v>
      </c>
      <c r="O1101" t="s">
        <v>37</v>
      </c>
      <c r="P1101" t="s">
        <v>316</v>
      </c>
      <c r="Q1101">
        <v>94105</v>
      </c>
      <c r="R1101" t="s">
        <v>27</v>
      </c>
      <c r="S1101" s="10">
        <v>40.960653181622263</v>
      </c>
      <c r="T1101">
        <v>35</v>
      </c>
    </row>
    <row r="1102" spans="1:20" x14ac:dyDescent="0.3">
      <c r="A1102">
        <v>1964</v>
      </c>
      <c r="B1102" t="s">
        <v>1929</v>
      </c>
      <c r="C1102" t="s">
        <v>624</v>
      </c>
      <c r="D1102" t="s">
        <v>2058</v>
      </c>
      <c r="E1102" t="s">
        <v>2059</v>
      </c>
      <c r="F1102" t="s">
        <v>926</v>
      </c>
      <c r="G1102" t="s">
        <v>2057</v>
      </c>
      <c r="H1102" t="s">
        <v>22</v>
      </c>
      <c r="I1102" t="s">
        <v>23</v>
      </c>
      <c r="J1102" s="1">
        <v>978</v>
      </c>
      <c r="K1102" s="1">
        <v>44.454545454545453</v>
      </c>
      <c r="L1102" s="3">
        <v>22</v>
      </c>
      <c r="M1102" t="s">
        <v>126</v>
      </c>
      <c r="N1102" s="2">
        <v>45423</v>
      </c>
      <c r="O1102" t="s">
        <v>37</v>
      </c>
      <c r="P1102" t="s">
        <v>448</v>
      </c>
      <c r="Q1102">
        <v>94280</v>
      </c>
      <c r="R1102" t="s">
        <v>27</v>
      </c>
      <c r="S1102" s="10">
        <v>43.205746476215168</v>
      </c>
      <c r="T1102">
        <v>36</v>
      </c>
    </row>
    <row r="1103" spans="1:20" x14ac:dyDescent="0.3">
      <c r="A1103">
        <v>1468</v>
      </c>
      <c r="B1103" t="s">
        <v>380</v>
      </c>
      <c r="C1103" t="s">
        <v>381</v>
      </c>
      <c r="D1103" t="s">
        <v>382</v>
      </c>
      <c r="E1103" t="s">
        <v>383</v>
      </c>
      <c r="F1103" t="s">
        <v>384</v>
      </c>
      <c r="G1103" t="s">
        <v>385</v>
      </c>
      <c r="H1103" t="s">
        <v>22</v>
      </c>
      <c r="I1103" t="s">
        <v>65</v>
      </c>
      <c r="J1103" s="1">
        <v>672</v>
      </c>
      <c r="K1103" s="1">
        <v>25.846153846153847</v>
      </c>
      <c r="L1103" s="3">
        <v>26</v>
      </c>
      <c r="M1103" t="s">
        <v>46</v>
      </c>
      <c r="N1103" s="2">
        <v>45424</v>
      </c>
      <c r="O1103" t="s">
        <v>109</v>
      </c>
      <c r="P1103" t="s">
        <v>386</v>
      </c>
      <c r="Q1103">
        <v>70116</v>
      </c>
      <c r="R1103" t="s">
        <v>27</v>
      </c>
      <c r="S1103" s="10">
        <v>63.736567507955101</v>
      </c>
      <c r="T1103">
        <v>46</v>
      </c>
    </row>
    <row r="1104" spans="1:20" x14ac:dyDescent="0.3">
      <c r="A1104">
        <v>1969</v>
      </c>
      <c r="B1104" t="s">
        <v>1599</v>
      </c>
      <c r="C1104" t="s">
        <v>112</v>
      </c>
      <c r="D1104" t="s">
        <v>2060</v>
      </c>
      <c r="E1104" t="s">
        <v>2061</v>
      </c>
      <c r="F1104" t="s">
        <v>179</v>
      </c>
      <c r="G1104" t="s">
        <v>202</v>
      </c>
      <c r="H1104" t="s">
        <v>34</v>
      </c>
      <c r="I1104" t="s">
        <v>35</v>
      </c>
      <c r="J1104" s="1">
        <v>919</v>
      </c>
      <c r="K1104" s="1">
        <v>34.037037037037038</v>
      </c>
      <c r="L1104" s="3">
        <v>27</v>
      </c>
      <c r="M1104" t="s">
        <v>36</v>
      </c>
      <c r="N1104" s="2">
        <v>45424</v>
      </c>
      <c r="O1104" t="s">
        <v>67</v>
      </c>
      <c r="P1104" t="s">
        <v>1910</v>
      </c>
      <c r="Q1104">
        <v>76178</v>
      </c>
      <c r="R1104" t="s">
        <v>27</v>
      </c>
      <c r="S1104" s="10">
        <v>44.742173233648799</v>
      </c>
      <c r="T1104">
        <v>52</v>
      </c>
    </row>
    <row r="1105" spans="1:20" x14ac:dyDescent="0.3">
      <c r="A1105">
        <v>1081</v>
      </c>
      <c r="B1105" t="s">
        <v>529</v>
      </c>
      <c r="C1105" t="s">
        <v>530</v>
      </c>
      <c r="D1105" t="s">
        <v>531</v>
      </c>
      <c r="E1105" t="s">
        <v>532</v>
      </c>
      <c r="F1105" t="s">
        <v>533</v>
      </c>
      <c r="G1105" t="s">
        <v>495</v>
      </c>
      <c r="H1105" t="s">
        <v>22</v>
      </c>
      <c r="I1105" t="s">
        <v>55</v>
      </c>
      <c r="J1105" s="1">
        <v>970</v>
      </c>
      <c r="K1105" s="1">
        <v>44.090909090909093</v>
      </c>
      <c r="L1105" s="3">
        <v>22</v>
      </c>
      <c r="M1105" t="s">
        <v>447</v>
      </c>
      <c r="N1105" s="2">
        <v>45425</v>
      </c>
      <c r="O1105" t="s">
        <v>229</v>
      </c>
      <c r="P1105" t="s">
        <v>534</v>
      </c>
      <c r="Q1105">
        <v>45426</v>
      </c>
      <c r="R1105" t="s">
        <v>27</v>
      </c>
      <c r="S1105" s="10">
        <v>54.065040480754277</v>
      </c>
      <c r="T1105">
        <v>36</v>
      </c>
    </row>
    <row r="1106" spans="1:20" x14ac:dyDescent="0.3">
      <c r="A1106">
        <v>1880</v>
      </c>
      <c r="B1106" t="s">
        <v>129</v>
      </c>
      <c r="C1106" t="s">
        <v>130</v>
      </c>
      <c r="D1106" t="s">
        <v>131</v>
      </c>
      <c r="E1106" t="s">
        <v>132</v>
      </c>
      <c r="F1106" t="s">
        <v>133</v>
      </c>
      <c r="G1106" t="s">
        <v>134</v>
      </c>
      <c r="H1106" t="s">
        <v>22</v>
      </c>
      <c r="I1106" t="s">
        <v>135</v>
      </c>
      <c r="J1106" s="1">
        <v>181</v>
      </c>
      <c r="K1106" s="1">
        <v>30.166666666666668</v>
      </c>
      <c r="L1106" s="3">
        <v>6</v>
      </c>
      <c r="M1106" t="s">
        <v>36</v>
      </c>
      <c r="N1106" s="2">
        <v>45426</v>
      </c>
      <c r="O1106" t="s">
        <v>136</v>
      </c>
      <c r="P1106" t="s">
        <v>137</v>
      </c>
      <c r="Q1106">
        <v>60614</v>
      </c>
      <c r="R1106" t="s">
        <v>27</v>
      </c>
      <c r="S1106" s="10">
        <v>11.261095846337458</v>
      </c>
      <c r="T1106">
        <v>9</v>
      </c>
    </row>
    <row r="1107" spans="1:20" x14ac:dyDescent="0.3">
      <c r="A1107">
        <v>1020</v>
      </c>
      <c r="B1107" t="s">
        <v>310</v>
      </c>
      <c r="C1107" t="s">
        <v>311</v>
      </c>
      <c r="D1107" t="s">
        <v>312</v>
      </c>
      <c r="E1107" t="s">
        <v>313</v>
      </c>
      <c r="F1107" t="s">
        <v>314</v>
      </c>
      <c r="G1107" t="s">
        <v>315</v>
      </c>
      <c r="H1107" t="s">
        <v>22</v>
      </c>
      <c r="I1107" t="s">
        <v>23</v>
      </c>
      <c r="J1107" s="1">
        <v>457</v>
      </c>
      <c r="K1107" s="1">
        <v>35.153846153846153</v>
      </c>
      <c r="L1107" s="3">
        <v>13</v>
      </c>
      <c r="M1107" t="s">
        <v>36</v>
      </c>
      <c r="N1107" s="2">
        <v>45429</v>
      </c>
      <c r="O1107" t="s">
        <v>37</v>
      </c>
      <c r="P1107" t="s">
        <v>316</v>
      </c>
      <c r="Q1107">
        <v>94105</v>
      </c>
      <c r="R1107" t="s">
        <v>27</v>
      </c>
      <c r="S1107" s="10">
        <v>31.143807305998113</v>
      </c>
      <c r="T1107">
        <v>19</v>
      </c>
    </row>
    <row r="1108" spans="1:20" x14ac:dyDescent="0.3">
      <c r="A1108">
        <v>1298</v>
      </c>
      <c r="B1108" t="s">
        <v>275</v>
      </c>
      <c r="C1108" t="s">
        <v>340</v>
      </c>
      <c r="D1108" t="s">
        <v>341</v>
      </c>
      <c r="E1108" t="s">
        <v>342</v>
      </c>
      <c r="F1108" t="s">
        <v>306</v>
      </c>
      <c r="G1108" t="s">
        <v>180</v>
      </c>
      <c r="H1108" t="s">
        <v>22</v>
      </c>
      <c r="I1108" t="s">
        <v>236</v>
      </c>
      <c r="J1108" s="1">
        <v>462</v>
      </c>
      <c r="K1108" s="1">
        <v>27.176470588235293</v>
      </c>
      <c r="L1108" s="3">
        <v>17</v>
      </c>
      <c r="M1108" t="s">
        <v>343</v>
      </c>
      <c r="N1108" s="2">
        <v>45429</v>
      </c>
      <c r="O1108" t="s">
        <v>267</v>
      </c>
      <c r="P1108" t="s">
        <v>344</v>
      </c>
      <c r="Q1108">
        <v>32891</v>
      </c>
      <c r="R1108" t="s">
        <v>27</v>
      </c>
      <c r="S1108" s="10">
        <v>22.711555522183605</v>
      </c>
      <c r="T1108">
        <v>29</v>
      </c>
    </row>
    <row r="1109" spans="1:20" x14ac:dyDescent="0.3">
      <c r="A1109">
        <v>1170</v>
      </c>
      <c r="B1109" t="s">
        <v>153</v>
      </c>
      <c r="C1109" t="s">
        <v>154</v>
      </c>
      <c r="D1109" t="s">
        <v>155</v>
      </c>
      <c r="E1109" t="s">
        <v>156</v>
      </c>
      <c r="F1109" t="s">
        <v>157</v>
      </c>
      <c r="G1109" t="s">
        <v>158</v>
      </c>
      <c r="H1109" t="s">
        <v>34</v>
      </c>
      <c r="I1109" t="s">
        <v>65</v>
      </c>
      <c r="J1109" s="1">
        <v>603</v>
      </c>
      <c r="K1109" s="1">
        <v>26.217391304347824</v>
      </c>
      <c r="L1109" s="3">
        <v>23</v>
      </c>
      <c r="M1109" t="s">
        <v>24</v>
      </c>
      <c r="N1109" s="2">
        <v>45430</v>
      </c>
      <c r="O1109" t="s">
        <v>67</v>
      </c>
      <c r="P1109" t="s">
        <v>159</v>
      </c>
      <c r="Q1109">
        <v>88574</v>
      </c>
      <c r="R1109" t="s">
        <v>27</v>
      </c>
      <c r="S1109" s="10">
        <v>53.927248866073896</v>
      </c>
      <c r="T1109">
        <v>46</v>
      </c>
    </row>
    <row r="1110" spans="1:20" x14ac:dyDescent="0.3">
      <c r="A1110">
        <v>1522</v>
      </c>
      <c r="B1110" t="s">
        <v>1518</v>
      </c>
      <c r="C1110" t="s">
        <v>599</v>
      </c>
      <c r="D1110" t="s">
        <v>2062</v>
      </c>
      <c r="E1110" t="s">
        <v>2063</v>
      </c>
      <c r="F1110" t="s">
        <v>81</v>
      </c>
      <c r="G1110" t="s">
        <v>885</v>
      </c>
      <c r="H1110" t="s">
        <v>34</v>
      </c>
      <c r="I1110" t="s">
        <v>117</v>
      </c>
      <c r="J1110" s="1">
        <v>801</v>
      </c>
      <c r="K1110" s="1">
        <v>40.049999999999997</v>
      </c>
      <c r="L1110" s="3">
        <v>20</v>
      </c>
      <c r="M1110" t="s">
        <v>56</v>
      </c>
      <c r="N1110" s="2">
        <v>45430</v>
      </c>
      <c r="O1110" t="s">
        <v>144</v>
      </c>
      <c r="P1110" t="s">
        <v>1603</v>
      </c>
      <c r="Q1110">
        <v>80126</v>
      </c>
      <c r="R1110" t="s">
        <v>27</v>
      </c>
      <c r="S1110" s="10">
        <v>34.291420123978341</v>
      </c>
      <c r="T1110">
        <v>44</v>
      </c>
    </row>
    <row r="1111" spans="1:20" x14ac:dyDescent="0.3">
      <c r="A1111">
        <v>1017</v>
      </c>
      <c r="B1111" t="s">
        <v>660</v>
      </c>
      <c r="C1111" t="s">
        <v>679</v>
      </c>
      <c r="D1111" t="s">
        <v>680</v>
      </c>
      <c r="E1111" t="s">
        <v>681</v>
      </c>
      <c r="F1111" t="s">
        <v>682</v>
      </c>
      <c r="G1111" t="s">
        <v>446</v>
      </c>
      <c r="H1111" t="s">
        <v>22</v>
      </c>
      <c r="I1111" t="s">
        <v>23</v>
      </c>
      <c r="J1111" s="1">
        <v>536</v>
      </c>
      <c r="K1111" s="1">
        <v>31.529411764705884</v>
      </c>
      <c r="L1111" s="3">
        <v>17</v>
      </c>
      <c r="M1111" t="s">
        <v>36</v>
      </c>
      <c r="N1111" s="2">
        <v>45433</v>
      </c>
      <c r="O1111" t="s">
        <v>136</v>
      </c>
      <c r="P1111" t="s">
        <v>137</v>
      </c>
      <c r="Q1111">
        <v>60663</v>
      </c>
      <c r="R1111" t="s">
        <v>27</v>
      </c>
      <c r="S1111" s="10">
        <v>29.236285395140783</v>
      </c>
      <c r="T1111">
        <v>23</v>
      </c>
    </row>
    <row r="1112" spans="1:20" x14ac:dyDescent="0.3">
      <c r="A1112">
        <v>1170</v>
      </c>
      <c r="B1112" t="s">
        <v>153</v>
      </c>
      <c r="C1112" t="s">
        <v>154</v>
      </c>
      <c r="D1112" t="s">
        <v>155</v>
      </c>
      <c r="E1112" t="s">
        <v>156</v>
      </c>
      <c r="F1112" t="s">
        <v>157</v>
      </c>
      <c r="G1112" t="s">
        <v>158</v>
      </c>
      <c r="H1112" t="s">
        <v>34</v>
      </c>
      <c r="I1112" t="s">
        <v>65</v>
      </c>
      <c r="J1112" s="1">
        <v>388</v>
      </c>
      <c r="K1112" s="1">
        <v>38.799999999999997</v>
      </c>
      <c r="L1112" s="3">
        <v>10</v>
      </c>
      <c r="M1112" t="s">
        <v>24</v>
      </c>
      <c r="N1112" s="2">
        <v>45433</v>
      </c>
      <c r="O1112" t="s">
        <v>67</v>
      </c>
      <c r="P1112" t="s">
        <v>159</v>
      </c>
      <c r="Q1112">
        <v>88574</v>
      </c>
      <c r="R1112" t="s">
        <v>27</v>
      </c>
      <c r="S1112" s="10">
        <v>19.973983703990811</v>
      </c>
      <c r="T1112">
        <v>18</v>
      </c>
    </row>
    <row r="1113" spans="1:20" x14ac:dyDescent="0.3">
      <c r="A1113">
        <v>1729</v>
      </c>
      <c r="B1113" t="s">
        <v>2064</v>
      </c>
      <c r="C1113" t="s">
        <v>651</v>
      </c>
      <c r="D1113" t="s">
        <v>2065</v>
      </c>
      <c r="E1113" t="s">
        <v>2066</v>
      </c>
      <c r="F1113" t="s">
        <v>89</v>
      </c>
      <c r="G1113" t="s">
        <v>957</v>
      </c>
      <c r="H1113" t="s">
        <v>22</v>
      </c>
      <c r="I1113" t="s">
        <v>98</v>
      </c>
      <c r="J1113" s="1">
        <v>387</v>
      </c>
      <c r="K1113" s="1">
        <v>32.25</v>
      </c>
      <c r="L1113" s="3">
        <v>12</v>
      </c>
      <c r="M1113" t="s">
        <v>99</v>
      </c>
      <c r="N1113" s="2">
        <v>45436</v>
      </c>
      <c r="O1113" t="s">
        <v>37</v>
      </c>
      <c r="P1113" t="s">
        <v>448</v>
      </c>
      <c r="Q1113">
        <v>94273</v>
      </c>
      <c r="R1113" t="s">
        <v>27</v>
      </c>
      <c r="S1113" s="10">
        <v>25.438758592786087</v>
      </c>
      <c r="T1113">
        <v>15</v>
      </c>
    </row>
    <row r="1114" spans="1:20" x14ac:dyDescent="0.3">
      <c r="A1114">
        <v>1983</v>
      </c>
      <c r="B1114" t="s">
        <v>619</v>
      </c>
      <c r="C1114" t="s">
        <v>587</v>
      </c>
      <c r="D1114" t="s">
        <v>620</v>
      </c>
      <c r="E1114" t="s">
        <v>621</v>
      </c>
      <c r="F1114" t="s">
        <v>622</v>
      </c>
      <c r="G1114" t="s">
        <v>21</v>
      </c>
      <c r="H1114" t="s">
        <v>22</v>
      </c>
      <c r="I1114" t="s">
        <v>65</v>
      </c>
      <c r="J1114" s="1">
        <v>288</v>
      </c>
      <c r="K1114" s="1">
        <v>48</v>
      </c>
      <c r="L1114" s="3">
        <v>6</v>
      </c>
      <c r="M1114" t="s">
        <v>36</v>
      </c>
      <c r="N1114" s="2">
        <v>45436</v>
      </c>
      <c r="O1114" t="s">
        <v>623</v>
      </c>
      <c r="P1114" t="s">
        <v>174</v>
      </c>
      <c r="Q1114">
        <v>66112</v>
      </c>
      <c r="R1114" t="s">
        <v>27</v>
      </c>
      <c r="S1114" s="10">
        <v>11.876438477456791</v>
      </c>
      <c r="T1114">
        <v>9</v>
      </c>
    </row>
    <row r="1115" spans="1:20" x14ac:dyDescent="0.3">
      <c r="A1115">
        <v>1093</v>
      </c>
      <c r="B1115" t="s">
        <v>1340</v>
      </c>
      <c r="C1115" t="s">
        <v>1988</v>
      </c>
      <c r="D1115" t="s">
        <v>2067</v>
      </c>
      <c r="E1115" t="s">
        <v>2068</v>
      </c>
      <c r="F1115" t="s">
        <v>638</v>
      </c>
      <c r="G1115" t="s">
        <v>854</v>
      </c>
      <c r="H1115" t="s">
        <v>34</v>
      </c>
      <c r="I1115" t="s">
        <v>55</v>
      </c>
      <c r="J1115" s="1">
        <v>467</v>
      </c>
      <c r="K1115" s="1">
        <v>42.454545454545453</v>
      </c>
      <c r="L1115" s="3">
        <v>11</v>
      </c>
      <c r="M1115" t="s">
        <v>56</v>
      </c>
      <c r="N1115" s="2">
        <v>45441</v>
      </c>
      <c r="O1115" t="s">
        <v>100</v>
      </c>
      <c r="P1115" t="s">
        <v>1871</v>
      </c>
      <c r="Q1115">
        <v>51105</v>
      </c>
      <c r="R1115" t="s">
        <v>27</v>
      </c>
      <c r="S1115" s="10">
        <v>25.071691859807583</v>
      </c>
      <c r="T1115">
        <v>22</v>
      </c>
    </row>
    <row r="1116" spans="1:20" x14ac:dyDescent="0.3">
      <c r="A1116">
        <v>1298</v>
      </c>
      <c r="B1116" t="s">
        <v>275</v>
      </c>
      <c r="C1116" t="s">
        <v>340</v>
      </c>
      <c r="D1116" t="s">
        <v>341</v>
      </c>
      <c r="E1116" t="s">
        <v>342</v>
      </c>
      <c r="F1116" t="s">
        <v>306</v>
      </c>
      <c r="G1116" t="s">
        <v>180</v>
      </c>
      <c r="H1116" t="s">
        <v>22</v>
      </c>
      <c r="I1116" t="s">
        <v>236</v>
      </c>
      <c r="J1116" s="1">
        <v>403</v>
      </c>
      <c r="K1116" s="1">
        <v>25.1875</v>
      </c>
      <c r="L1116" s="3">
        <v>16</v>
      </c>
      <c r="M1116" t="s">
        <v>343</v>
      </c>
      <c r="N1116" s="2">
        <v>45441</v>
      </c>
      <c r="O1116" t="s">
        <v>267</v>
      </c>
      <c r="P1116" t="s">
        <v>344</v>
      </c>
      <c r="Q1116">
        <v>32891</v>
      </c>
      <c r="R1116" t="s">
        <v>27</v>
      </c>
      <c r="S1116" s="10">
        <v>21.902439694433578</v>
      </c>
      <c r="T1116">
        <v>24</v>
      </c>
    </row>
    <row r="1117" spans="1:20" x14ac:dyDescent="0.3">
      <c r="A1117">
        <v>1018</v>
      </c>
      <c r="B1117" t="s">
        <v>740</v>
      </c>
      <c r="C1117" t="s">
        <v>2069</v>
      </c>
      <c r="D1117" t="s">
        <v>2070</v>
      </c>
      <c r="E1117" t="s">
        <v>2071</v>
      </c>
      <c r="F1117" t="s">
        <v>622</v>
      </c>
      <c r="G1117" t="s">
        <v>327</v>
      </c>
      <c r="H1117" t="s">
        <v>34</v>
      </c>
      <c r="I1117" t="s">
        <v>23</v>
      </c>
      <c r="J1117" s="1">
        <v>464</v>
      </c>
      <c r="K1117" s="1">
        <v>38.666666666666664</v>
      </c>
      <c r="L1117" s="3">
        <v>12</v>
      </c>
      <c r="M1117" t="s">
        <v>24</v>
      </c>
      <c r="N1117" s="2">
        <v>45442</v>
      </c>
      <c r="O1117" t="s">
        <v>25</v>
      </c>
      <c r="P1117" t="s">
        <v>1991</v>
      </c>
      <c r="Q1117">
        <v>48604</v>
      </c>
      <c r="R1117" t="s">
        <v>27</v>
      </c>
      <c r="S1117" s="10">
        <v>17.519101241601746</v>
      </c>
      <c r="T1117">
        <v>18</v>
      </c>
    </row>
    <row r="1118" spans="1:20" x14ac:dyDescent="0.3">
      <c r="A1118">
        <v>1095</v>
      </c>
      <c r="B1118" t="s">
        <v>550</v>
      </c>
      <c r="C1118" t="s">
        <v>551</v>
      </c>
      <c r="D1118" t="s">
        <v>552</v>
      </c>
      <c r="E1118" t="s">
        <v>553</v>
      </c>
      <c r="F1118" t="s">
        <v>554</v>
      </c>
      <c r="G1118" t="s">
        <v>555</v>
      </c>
      <c r="H1118" t="s">
        <v>22</v>
      </c>
      <c r="I1118" t="s">
        <v>55</v>
      </c>
      <c r="J1118" s="1">
        <v>972</v>
      </c>
      <c r="K1118" s="1">
        <v>40.5</v>
      </c>
      <c r="L1118" s="3">
        <v>24</v>
      </c>
      <c r="M1118" t="s">
        <v>126</v>
      </c>
      <c r="N1118" s="2">
        <v>45443</v>
      </c>
      <c r="O1118" t="s">
        <v>67</v>
      </c>
      <c r="P1118" t="s">
        <v>334</v>
      </c>
      <c r="Q1118">
        <v>77040</v>
      </c>
      <c r="R1118" t="s">
        <v>27</v>
      </c>
      <c r="S1118" s="10">
        <v>52.82956240676053</v>
      </c>
      <c r="T1118">
        <v>50</v>
      </c>
    </row>
    <row r="1119" spans="1:20" x14ac:dyDescent="0.3">
      <c r="A1119">
        <v>1123</v>
      </c>
      <c r="B1119" t="s">
        <v>231</v>
      </c>
      <c r="C1119" t="s">
        <v>512</v>
      </c>
      <c r="D1119" t="s">
        <v>639</v>
      </c>
      <c r="E1119" t="s">
        <v>640</v>
      </c>
      <c r="F1119" t="s">
        <v>638</v>
      </c>
      <c r="G1119" t="s">
        <v>410</v>
      </c>
      <c r="H1119" t="s">
        <v>34</v>
      </c>
      <c r="I1119" t="s">
        <v>55</v>
      </c>
      <c r="J1119" s="1">
        <v>989</v>
      </c>
      <c r="K1119" s="1">
        <v>32.966666666666669</v>
      </c>
      <c r="L1119" s="3">
        <v>30</v>
      </c>
      <c r="M1119" t="s">
        <v>24</v>
      </c>
      <c r="N1119" s="2">
        <v>45443</v>
      </c>
      <c r="O1119" t="s">
        <v>267</v>
      </c>
      <c r="P1119" t="s">
        <v>641</v>
      </c>
      <c r="Q1119">
        <v>33673</v>
      </c>
      <c r="R1119" t="s">
        <v>27</v>
      </c>
      <c r="S1119" s="10">
        <v>62.929270182978556</v>
      </c>
      <c r="T1119">
        <v>66</v>
      </c>
    </row>
    <row r="1120" spans="1:20" x14ac:dyDescent="0.3">
      <c r="A1120">
        <v>1847</v>
      </c>
      <c r="B1120" t="s">
        <v>1836</v>
      </c>
      <c r="C1120" t="s">
        <v>1930</v>
      </c>
      <c r="D1120" t="s">
        <v>2072</v>
      </c>
      <c r="E1120" t="s">
        <v>2073</v>
      </c>
      <c r="F1120" t="s">
        <v>421</v>
      </c>
      <c r="G1120" t="s">
        <v>2074</v>
      </c>
      <c r="H1120" t="s">
        <v>34</v>
      </c>
      <c r="I1120" t="s">
        <v>236</v>
      </c>
      <c r="J1120" s="1">
        <v>139</v>
      </c>
      <c r="K1120" s="1">
        <v>34.75</v>
      </c>
      <c r="L1120" s="3">
        <v>4</v>
      </c>
      <c r="M1120" t="s">
        <v>36</v>
      </c>
      <c r="N1120" s="2">
        <v>45444</v>
      </c>
      <c r="O1120" t="s">
        <v>1981</v>
      </c>
      <c r="P1120" t="s">
        <v>1985</v>
      </c>
      <c r="Q1120">
        <v>84140</v>
      </c>
      <c r="R1120" t="s">
        <v>27</v>
      </c>
      <c r="S1120" s="10">
        <v>5.1368045807169356</v>
      </c>
      <c r="T1120">
        <v>6</v>
      </c>
    </row>
    <row r="1121" spans="1:20" x14ac:dyDescent="0.3">
      <c r="A1121">
        <v>1880</v>
      </c>
      <c r="B1121" t="s">
        <v>129</v>
      </c>
      <c r="C1121" t="s">
        <v>130</v>
      </c>
      <c r="D1121" t="s">
        <v>131</v>
      </c>
      <c r="E1121" t="s">
        <v>132</v>
      </c>
      <c r="F1121" t="s">
        <v>133</v>
      </c>
      <c r="G1121" t="s">
        <v>134</v>
      </c>
      <c r="H1121" t="s">
        <v>22</v>
      </c>
      <c r="I1121" t="s">
        <v>135</v>
      </c>
      <c r="J1121" s="1">
        <v>64</v>
      </c>
      <c r="K1121" s="1">
        <v>32</v>
      </c>
      <c r="L1121" s="3">
        <v>2</v>
      </c>
      <c r="M1121" t="s">
        <v>36</v>
      </c>
      <c r="N1121" s="2">
        <v>45444</v>
      </c>
      <c r="O1121" t="s">
        <v>136</v>
      </c>
      <c r="P1121" t="s">
        <v>137</v>
      </c>
      <c r="Q1121">
        <v>60614</v>
      </c>
      <c r="R1121" t="s">
        <v>27</v>
      </c>
      <c r="S1121" s="10">
        <v>3.2421586623979612</v>
      </c>
      <c r="T1121">
        <v>2</v>
      </c>
    </row>
    <row r="1122" spans="1:20" x14ac:dyDescent="0.3">
      <c r="A1122">
        <v>1170</v>
      </c>
      <c r="B1122" t="s">
        <v>153</v>
      </c>
      <c r="C1122" t="s">
        <v>154</v>
      </c>
      <c r="D1122" t="s">
        <v>155</v>
      </c>
      <c r="E1122" t="s">
        <v>156</v>
      </c>
      <c r="F1122" t="s">
        <v>157</v>
      </c>
      <c r="G1122" t="s">
        <v>158</v>
      </c>
      <c r="H1122" t="s">
        <v>34</v>
      </c>
      <c r="I1122" t="s">
        <v>65</v>
      </c>
      <c r="J1122" s="1">
        <v>529</v>
      </c>
      <c r="K1122" s="1">
        <v>44.083333333333336</v>
      </c>
      <c r="L1122" s="3">
        <v>12</v>
      </c>
      <c r="M1122" t="s">
        <v>24</v>
      </c>
      <c r="N1122" s="2">
        <v>45445</v>
      </c>
      <c r="O1122" t="s">
        <v>67</v>
      </c>
      <c r="P1122" t="s">
        <v>159</v>
      </c>
      <c r="Q1122">
        <v>88574</v>
      </c>
      <c r="R1122" t="s">
        <v>27</v>
      </c>
      <c r="S1122" s="10">
        <v>21.693170622960448</v>
      </c>
      <c r="T1122">
        <v>25</v>
      </c>
    </row>
    <row r="1123" spans="1:20" x14ac:dyDescent="0.3">
      <c r="A1123">
        <v>1414</v>
      </c>
      <c r="B1123" t="s">
        <v>405</v>
      </c>
      <c r="C1123" t="s">
        <v>708</v>
      </c>
      <c r="D1123" t="s">
        <v>1619</v>
      </c>
      <c r="E1123" t="s">
        <v>1620</v>
      </c>
      <c r="F1123" t="s">
        <v>645</v>
      </c>
      <c r="G1123" t="s">
        <v>180</v>
      </c>
      <c r="H1123" t="s">
        <v>34</v>
      </c>
      <c r="I1123" t="s">
        <v>45</v>
      </c>
      <c r="J1123" s="1">
        <v>420</v>
      </c>
      <c r="K1123" s="1">
        <v>26.25</v>
      </c>
      <c r="L1123" s="3">
        <v>16</v>
      </c>
      <c r="M1123" t="s">
        <v>143</v>
      </c>
      <c r="N1123" s="2">
        <v>45445</v>
      </c>
      <c r="O1123" t="s">
        <v>267</v>
      </c>
      <c r="P1123" t="s">
        <v>1621</v>
      </c>
      <c r="Q1123">
        <v>34643</v>
      </c>
      <c r="R1123" t="s">
        <v>27</v>
      </c>
      <c r="S1123" s="10">
        <v>35.788862859088013</v>
      </c>
      <c r="T1123">
        <v>29</v>
      </c>
    </row>
    <row r="1124" spans="1:20" x14ac:dyDescent="0.3">
      <c r="A1124">
        <v>1468</v>
      </c>
      <c r="B1124" t="s">
        <v>380</v>
      </c>
      <c r="C1124" t="s">
        <v>381</v>
      </c>
      <c r="D1124" t="s">
        <v>382</v>
      </c>
      <c r="E1124" t="s">
        <v>383</v>
      </c>
      <c r="F1124" t="s">
        <v>384</v>
      </c>
      <c r="G1124" t="s">
        <v>385</v>
      </c>
      <c r="H1124" t="s">
        <v>22</v>
      </c>
      <c r="I1124" t="s">
        <v>65</v>
      </c>
      <c r="J1124" s="1">
        <v>375</v>
      </c>
      <c r="K1124" s="1">
        <v>37.5</v>
      </c>
      <c r="L1124" s="3">
        <v>10</v>
      </c>
      <c r="M1124" t="s">
        <v>46</v>
      </c>
      <c r="N1124" s="2">
        <v>45445</v>
      </c>
      <c r="O1124" t="s">
        <v>109</v>
      </c>
      <c r="P1124" t="s">
        <v>386</v>
      </c>
      <c r="Q1124">
        <v>70116</v>
      </c>
      <c r="R1124" t="s">
        <v>27</v>
      </c>
      <c r="S1124" s="10">
        <v>15.265279340283291</v>
      </c>
      <c r="T1124">
        <v>16</v>
      </c>
    </row>
    <row r="1125" spans="1:20" x14ac:dyDescent="0.3">
      <c r="A1125">
        <v>1530</v>
      </c>
      <c r="B1125" t="s">
        <v>819</v>
      </c>
      <c r="C1125" t="s">
        <v>1646</v>
      </c>
      <c r="D1125" t="s">
        <v>2075</v>
      </c>
      <c r="E1125" t="s">
        <v>2076</v>
      </c>
      <c r="F1125" t="s">
        <v>972</v>
      </c>
      <c r="G1125" t="s">
        <v>677</v>
      </c>
      <c r="H1125" t="s">
        <v>22</v>
      </c>
      <c r="I1125" t="s">
        <v>435</v>
      </c>
      <c r="J1125" s="1">
        <v>860</v>
      </c>
      <c r="K1125" s="1">
        <v>43</v>
      </c>
      <c r="L1125" s="3">
        <v>20</v>
      </c>
      <c r="M1125" t="s">
        <v>36</v>
      </c>
      <c r="N1125" s="2">
        <v>45445</v>
      </c>
      <c r="O1125" t="s">
        <v>229</v>
      </c>
      <c r="P1125" t="s">
        <v>534</v>
      </c>
      <c r="Q1125">
        <v>45426</v>
      </c>
      <c r="R1125" t="s">
        <v>27</v>
      </c>
      <c r="S1125" s="10">
        <v>38.825758666380906</v>
      </c>
      <c r="T1125">
        <v>31</v>
      </c>
    </row>
    <row r="1126" spans="1:20" x14ac:dyDescent="0.3">
      <c r="A1126">
        <v>1234</v>
      </c>
      <c r="B1126" t="s">
        <v>59</v>
      </c>
      <c r="C1126" t="s">
        <v>60</v>
      </c>
      <c r="D1126" t="s">
        <v>61</v>
      </c>
      <c r="E1126" t="s">
        <v>62</v>
      </c>
      <c r="F1126" t="s">
        <v>63</v>
      </c>
      <c r="G1126" t="s">
        <v>64</v>
      </c>
      <c r="H1126" t="s">
        <v>34</v>
      </c>
      <c r="I1126" t="s">
        <v>65</v>
      </c>
      <c r="J1126" s="1">
        <v>896</v>
      </c>
      <c r="K1126" s="1">
        <v>44.8</v>
      </c>
      <c r="L1126" s="3">
        <v>20</v>
      </c>
      <c r="M1126" t="s">
        <v>66</v>
      </c>
      <c r="N1126" s="2">
        <v>45449</v>
      </c>
      <c r="O1126" t="s">
        <v>67</v>
      </c>
      <c r="P1126" t="s">
        <v>68</v>
      </c>
      <c r="Q1126">
        <v>78710</v>
      </c>
      <c r="R1126" t="s">
        <v>27</v>
      </c>
      <c r="S1126" s="10">
        <v>38.286171014960701</v>
      </c>
      <c r="T1126">
        <v>29</v>
      </c>
    </row>
    <row r="1127" spans="1:20" x14ac:dyDescent="0.3">
      <c r="A1127">
        <v>1123</v>
      </c>
      <c r="B1127" t="s">
        <v>231</v>
      </c>
      <c r="C1127" t="s">
        <v>512</v>
      </c>
      <c r="D1127" t="s">
        <v>639</v>
      </c>
      <c r="E1127" t="s">
        <v>640</v>
      </c>
      <c r="F1127" t="s">
        <v>638</v>
      </c>
      <c r="G1127" t="s">
        <v>410</v>
      </c>
      <c r="H1127" t="s">
        <v>34</v>
      </c>
      <c r="I1127" t="s">
        <v>55</v>
      </c>
      <c r="J1127" s="1">
        <v>275</v>
      </c>
      <c r="K1127" s="1">
        <v>27.5</v>
      </c>
      <c r="L1127" s="3">
        <v>10</v>
      </c>
      <c r="M1127" t="s">
        <v>24</v>
      </c>
      <c r="N1127" s="2">
        <v>45450</v>
      </c>
      <c r="O1127" t="s">
        <v>267</v>
      </c>
      <c r="P1127" t="s">
        <v>641</v>
      </c>
      <c r="Q1127">
        <v>33673</v>
      </c>
      <c r="R1127" t="s">
        <v>27</v>
      </c>
      <c r="S1127" s="10">
        <v>21.607822643813176</v>
      </c>
      <c r="T1127">
        <v>20</v>
      </c>
    </row>
    <row r="1128" spans="1:20" x14ac:dyDescent="0.3">
      <c r="A1128">
        <v>1234</v>
      </c>
      <c r="B1128" t="s">
        <v>59</v>
      </c>
      <c r="C1128" t="s">
        <v>60</v>
      </c>
      <c r="D1128" t="s">
        <v>61</v>
      </c>
      <c r="E1128" t="s">
        <v>62</v>
      </c>
      <c r="F1128" t="s">
        <v>63</v>
      </c>
      <c r="G1128" t="s">
        <v>64</v>
      </c>
      <c r="H1128" t="s">
        <v>34</v>
      </c>
      <c r="I1128" t="s">
        <v>65</v>
      </c>
      <c r="J1128" s="1">
        <v>812</v>
      </c>
      <c r="K1128" s="1">
        <v>26.193548387096776</v>
      </c>
      <c r="L1128" s="3">
        <v>31</v>
      </c>
      <c r="M1128" t="s">
        <v>66</v>
      </c>
      <c r="N1128" s="2">
        <v>45451</v>
      </c>
      <c r="O1128" t="s">
        <v>67</v>
      </c>
      <c r="P1128" t="s">
        <v>68</v>
      </c>
      <c r="Q1128">
        <v>78710</v>
      </c>
      <c r="R1128" t="s">
        <v>27</v>
      </c>
      <c r="S1128" s="10">
        <v>50.357970242347804</v>
      </c>
      <c r="T1128">
        <v>70</v>
      </c>
    </row>
    <row r="1129" spans="1:20" x14ac:dyDescent="0.3">
      <c r="A1129">
        <v>1277</v>
      </c>
      <c r="B1129" t="s">
        <v>222</v>
      </c>
      <c r="C1129" t="s">
        <v>223</v>
      </c>
      <c r="D1129" t="s">
        <v>224</v>
      </c>
      <c r="E1129" t="s">
        <v>225</v>
      </c>
      <c r="F1129" t="s">
        <v>226</v>
      </c>
      <c r="G1129" t="s">
        <v>227</v>
      </c>
      <c r="H1129" t="s">
        <v>34</v>
      </c>
      <c r="I1129" t="s">
        <v>228</v>
      </c>
      <c r="J1129" s="1">
        <v>734</v>
      </c>
      <c r="K1129" s="1">
        <v>33.363636363636367</v>
      </c>
      <c r="L1129" s="3">
        <v>22</v>
      </c>
      <c r="M1129" t="s">
        <v>203</v>
      </c>
      <c r="N1129" s="2">
        <v>45451</v>
      </c>
      <c r="O1129" t="s">
        <v>229</v>
      </c>
      <c r="P1129" t="s">
        <v>230</v>
      </c>
      <c r="Q1129">
        <v>44310</v>
      </c>
      <c r="R1129" t="s">
        <v>27</v>
      </c>
      <c r="S1129" s="10">
        <v>32.425958517570052</v>
      </c>
      <c r="T1129">
        <v>46</v>
      </c>
    </row>
    <row r="1130" spans="1:20" x14ac:dyDescent="0.3">
      <c r="A1130">
        <v>1960</v>
      </c>
      <c r="B1130" t="s">
        <v>672</v>
      </c>
      <c r="C1130" t="s">
        <v>374</v>
      </c>
      <c r="D1130" t="s">
        <v>2077</v>
      </c>
      <c r="E1130" t="s">
        <v>2078</v>
      </c>
      <c r="F1130" t="s">
        <v>1274</v>
      </c>
      <c r="G1130" t="s">
        <v>806</v>
      </c>
      <c r="H1130" t="s">
        <v>22</v>
      </c>
      <c r="I1130" t="s">
        <v>23</v>
      </c>
      <c r="J1130" s="1">
        <v>127</v>
      </c>
      <c r="K1130" s="1">
        <v>42.333333333333336</v>
      </c>
      <c r="L1130" s="3">
        <v>3</v>
      </c>
      <c r="M1130" t="s">
        <v>36</v>
      </c>
      <c r="N1130" s="2">
        <v>45452</v>
      </c>
      <c r="O1130" t="s">
        <v>196</v>
      </c>
      <c r="P1130" t="s">
        <v>528</v>
      </c>
      <c r="Q1130">
        <v>19136</v>
      </c>
      <c r="R1130" t="s">
        <v>27</v>
      </c>
      <c r="S1130" s="10">
        <v>5.3168532737766769</v>
      </c>
      <c r="T1130">
        <v>5</v>
      </c>
    </row>
    <row r="1131" spans="1:20" x14ac:dyDescent="0.3">
      <c r="A1131">
        <v>1731</v>
      </c>
      <c r="B1131" t="s">
        <v>1538</v>
      </c>
      <c r="C1131" t="s">
        <v>317</v>
      </c>
      <c r="D1131" t="s">
        <v>2079</v>
      </c>
      <c r="E1131" t="s">
        <v>2080</v>
      </c>
      <c r="F1131" t="s">
        <v>1718</v>
      </c>
      <c r="G1131" t="s">
        <v>1117</v>
      </c>
      <c r="H1131" t="s">
        <v>34</v>
      </c>
      <c r="I1131" t="s">
        <v>98</v>
      </c>
      <c r="J1131" s="1">
        <v>399</v>
      </c>
      <c r="K1131" s="1">
        <v>28.5</v>
      </c>
      <c r="L1131" s="3">
        <v>14</v>
      </c>
      <c r="M1131" t="s">
        <v>36</v>
      </c>
      <c r="N1131" s="2">
        <v>45453</v>
      </c>
      <c r="O1131" t="s">
        <v>267</v>
      </c>
      <c r="P1131" t="s">
        <v>1621</v>
      </c>
      <c r="Q1131">
        <v>34643</v>
      </c>
      <c r="R1131" t="s">
        <v>27</v>
      </c>
      <c r="S1131" s="10">
        <v>25.565289216258943</v>
      </c>
      <c r="T1131">
        <v>30</v>
      </c>
    </row>
    <row r="1132" spans="1:20" x14ac:dyDescent="0.3">
      <c r="A1132">
        <v>1298</v>
      </c>
      <c r="B1132" t="s">
        <v>275</v>
      </c>
      <c r="C1132" t="s">
        <v>340</v>
      </c>
      <c r="D1132" t="s">
        <v>341</v>
      </c>
      <c r="E1132" t="s">
        <v>342</v>
      </c>
      <c r="F1132" t="s">
        <v>306</v>
      </c>
      <c r="G1132" t="s">
        <v>180</v>
      </c>
      <c r="H1132" t="s">
        <v>22</v>
      </c>
      <c r="I1132" t="s">
        <v>236</v>
      </c>
      <c r="J1132" s="1">
        <v>888</v>
      </c>
      <c r="K1132" s="1">
        <v>38.608695652173914</v>
      </c>
      <c r="L1132" s="3">
        <v>23</v>
      </c>
      <c r="M1132" t="s">
        <v>343</v>
      </c>
      <c r="N1132" s="2">
        <v>45456</v>
      </c>
      <c r="O1132" t="s">
        <v>267</v>
      </c>
      <c r="P1132" t="s">
        <v>344</v>
      </c>
      <c r="Q1132">
        <v>32891</v>
      </c>
      <c r="R1132" t="s">
        <v>27</v>
      </c>
      <c r="S1132" s="10">
        <v>43.270518922814063</v>
      </c>
      <c r="T1132">
        <v>54</v>
      </c>
    </row>
    <row r="1133" spans="1:20" x14ac:dyDescent="0.3">
      <c r="A1133">
        <v>1489</v>
      </c>
      <c r="B1133" t="s">
        <v>85</v>
      </c>
      <c r="C1133" t="s">
        <v>86</v>
      </c>
      <c r="D1133" t="s">
        <v>87</v>
      </c>
      <c r="E1133" t="s">
        <v>88</v>
      </c>
      <c r="F1133" t="s">
        <v>89</v>
      </c>
      <c r="G1133" t="s">
        <v>90</v>
      </c>
      <c r="H1133" t="s">
        <v>34</v>
      </c>
      <c r="I1133" t="s">
        <v>23</v>
      </c>
      <c r="J1133" s="1">
        <v>520</v>
      </c>
      <c r="K1133" s="1">
        <v>43.333333333333336</v>
      </c>
      <c r="L1133" s="3">
        <v>12</v>
      </c>
      <c r="M1133" t="s">
        <v>66</v>
      </c>
      <c r="N1133" s="2">
        <v>45456</v>
      </c>
      <c r="O1133" t="s">
        <v>47</v>
      </c>
      <c r="P1133" t="s">
        <v>91</v>
      </c>
      <c r="Q1133">
        <v>23668</v>
      </c>
      <c r="R1133" t="s">
        <v>27</v>
      </c>
      <c r="S1133" s="10">
        <v>29.604075401798731</v>
      </c>
      <c r="T1133">
        <v>25</v>
      </c>
    </row>
    <row r="1134" spans="1:20" x14ac:dyDescent="0.3">
      <c r="A1134">
        <v>1017</v>
      </c>
      <c r="B1134" t="s">
        <v>660</v>
      </c>
      <c r="C1134" t="s">
        <v>679</v>
      </c>
      <c r="D1134" t="s">
        <v>680</v>
      </c>
      <c r="E1134" t="s">
        <v>681</v>
      </c>
      <c r="F1134" t="s">
        <v>682</v>
      </c>
      <c r="G1134" t="s">
        <v>446</v>
      </c>
      <c r="H1134" t="s">
        <v>22</v>
      </c>
      <c r="I1134" t="s">
        <v>23</v>
      </c>
      <c r="J1134" s="1">
        <v>146</v>
      </c>
      <c r="K1134" s="1">
        <v>36.5</v>
      </c>
      <c r="L1134" s="3">
        <v>4</v>
      </c>
      <c r="M1134" t="s">
        <v>36</v>
      </c>
      <c r="N1134" s="2">
        <v>45457</v>
      </c>
      <c r="O1134" t="s">
        <v>136</v>
      </c>
      <c r="P1134" t="s">
        <v>137</v>
      </c>
      <c r="Q1134">
        <v>60663</v>
      </c>
      <c r="R1134" t="s">
        <v>27</v>
      </c>
      <c r="S1134" s="10">
        <v>8.9335079986957862</v>
      </c>
      <c r="T1134">
        <v>4</v>
      </c>
    </row>
    <row r="1135" spans="1:20" x14ac:dyDescent="0.3">
      <c r="A1135">
        <v>1088</v>
      </c>
      <c r="B1135" t="s">
        <v>253</v>
      </c>
      <c r="C1135" t="s">
        <v>1758</v>
      </c>
      <c r="D1135" t="s">
        <v>2081</v>
      </c>
      <c r="E1135" t="s">
        <v>2082</v>
      </c>
      <c r="F1135" t="s">
        <v>2083</v>
      </c>
      <c r="G1135" t="s">
        <v>459</v>
      </c>
      <c r="H1135" t="s">
        <v>34</v>
      </c>
      <c r="I1135" t="s">
        <v>55</v>
      </c>
      <c r="J1135" s="1">
        <v>473</v>
      </c>
      <c r="K1135" s="1">
        <v>26.277777777777779</v>
      </c>
      <c r="L1135" s="3">
        <v>18</v>
      </c>
      <c r="M1135" t="s">
        <v>24</v>
      </c>
      <c r="N1135" s="2">
        <v>45457</v>
      </c>
      <c r="O1135" t="s">
        <v>308</v>
      </c>
      <c r="P1135" t="s">
        <v>309</v>
      </c>
      <c r="Q1135">
        <v>85754</v>
      </c>
      <c r="R1135" t="s">
        <v>27</v>
      </c>
      <c r="S1135" s="10">
        <v>25.949442584451283</v>
      </c>
      <c r="T1135">
        <v>36</v>
      </c>
    </row>
    <row r="1136" spans="1:20" x14ac:dyDescent="0.3">
      <c r="A1136">
        <v>1116</v>
      </c>
      <c r="B1136" t="s">
        <v>49</v>
      </c>
      <c r="C1136" t="s">
        <v>50</v>
      </c>
      <c r="D1136" t="s">
        <v>51</v>
      </c>
      <c r="E1136" t="s">
        <v>52</v>
      </c>
      <c r="F1136" t="s">
        <v>53</v>
      </c>
      <c r="G1136" t="s">
        <v>54</v>
      </c>
      <c r="H1136" t="s">
        <v>22</v>
      </c>
      <c r="I1136" t="s">
        <v>55</v>
      </c>
      <c r="J1136" s="1">
        <v>389</v>
      </c>
      <c r="K1136" s="1">
        <v>43.222222222222221</v>
      </c>
      <c r="L1136" s="3">
        <v>9</v>
      </c>
      <c r="M1136" t="s">
        <v>56</v>
      </c>
      <c r="N1136" s="2">
        <v>45457</v>
      </c>
      <c r="O1136" t="s">
        <v>57</v>
      </c>
      <c r="P1136" t="s">
        <v>58</v>
      </c>
      <c r="Q1136">
        <v>30096</v>
      </c>
      <c r="R1136" t="s">
        <v>27</v>
      </c>
      <c r="S1136" s="10">
        <v>11.607998989358467</v>
      </c>
      <c r="T1136">
        <v>12</v>
      </c>
    </row>
    <row r="1137" spans="1:20" x14ac:dyDescent="0.3">
      <c r="A1137">
        <v>1260</v>
      </c>
      <c r="B1137" t="s">
        <v>352</v>
      </c>
      <c r="C1137" t="s">
        <v>353</v>
      </c>
      <c r="D1137" t="s">
        <v>354</v>
      </c>
      <c r="E1137" t="s">
        <v>355</v>
      </c>
      <c r="F1137" t="s">
        <v>356</v>
      </c>
      <c r="G1137" t="s">
        <v>357</v>
      </c>
      <c r="H1137" t="s">
        <v>34</v>
      </c>
      <c r="I1137" t="s">
        <v>236</v>
      </c>
      <c r="J1137" s="1">
        <v>592</v>
      </c>
      <c r="K1137" s="1">
        <v>42.285714285714285</v>
      </c>
      <c r="L1137" s="3">
        <v>14</v>
      </c>
      <c r="M1137" t="s">
        <v>36</v>
      </c>
      <c r="N1137" s="2">
        <v>45457</v>
      </c>
      <c r="O1137" t="s">
        <v>358</v>
      </c>
      <c r="P1137" t="s">
        <v>359</v>
      </c>
      <c r="Q1137">
        <v>99215</v>
      </c>
      <c r="R1137" t="s">
        <v>27</v>
      </c>
      <c r="S1137" s="10">
        <v>21.719585486211436</v>
      </c>
      <c r="T1137">
        <v>23</v>
      </c>
    </row>
    <row r="1138" spans="1:20" x14ac:dyDescent="0.3">
      <c r="A1138">
        <v>1468</v>
      </c>
      <c r="B1138" t="s">
        <v>380</v>
      </c>
      <c r="C1138" t="s">
        <v>381</v>
      </c>
      <c r="D1138" t="s">
        <v>382</v>
      </c>
      <c r="E1138" t="s">
        <v>383</v>
      </c>
      <c r="F1138" t="s">
        <v>384</v>
      </c>
      <c r="G1138" t="s">
        <v>385</v>
      </c>
      <c r="H1138" t="s">
        <v>22</v>
      </c>
      <c r="I1138" t="s">
        <v>65</v>
      </c>
      <c r="J1138" s="1">
        <v>466</v>
      </c>
      <c r="K1138" s="1">
        <v>38.833333333333336</v>
      </c>
      <c r="L1138" s="3">
        <v>12</v>
      </c>
      <c r="M1138" t="s">
        <v>46</v>
      </c>
      <c r="N1138" s="2">
        <v>45458</v>
      </c>
      <c r="O1138" t="s">
        <v>109</v>
      </c>
      <c r="P1138" t="s">
        <v>386</v>
      </c>
      <c r="Q1138">
        <v>70116</v>
      </c>
      <c r="R1138" t="s">
        <v>27</v>
      </c>
      <c r="S1138" s="10">
        <v>25.671541089531992</v>
      </c>
      <c r="T1138">
        <v>26</v>
      </c>
    </row>
    <row r="1139" spans="1:20" x14ac:dyDescent="0.3">
      <c r="A1139">
        <v>1170</v>
      </c>
      <c r="B1139" t="s">
        <v>153</v>
      </c>
      <c r="C1139" t="s">
        <v>154</v>
      </c>
      <c r="D1139" t="s">
        <v>155</v>
      </c>
      <c r="E1139" t="s">
        <v>156</v>
      </c>
      <c r="F1139" t="s">
        <v>157</v>
      </c>
      <c r="G1139" t="s">
        <v>158</v>
      </c>
      <c r="H1139" t="s">
        <v>34</v>
      </c>
      <c r="I1139" t="s">
        <v>65</v>
      </c>
      <c r="J1139" s="1">
        <v>527</v>
      </c>
      <c r="K1139" s="1">
        <v>40.53846153846154</v>
      </c>
      <c r="L1139" s="3">
        <v>13</v>
      </c>
      <c r="M1139" t="s">
        <v>24</v>
      </c>
      <c r="N1139" s="2">
        <v>45459</v>
      </c>
      <c r="O1139" t="s">
        <v>67</v>
      </c>
      <c r="P1139" t="s">
        <v>159</v>
      </c>
      <c r="Q1139">
        <v>88574</v>
      </c>
      <c r="R1139" t="s">
        <v>27</v>
      </c>
      <c r="S1139" s="10">
        <v>24.55164391576918</v>
      </c>
      <c r="T1139">
        <v>18</v>
      </c>
    </row>
    <row r="1140" spans="1:20" x14ac:dyDescent="0.3">
      <c r="A1140">
        <v>1651</v>
      </c>
      <c r="B1140" t="s">
        <v>2084</v>
      </c>
      <c r="C1140" t="s">
        <v>530</v>
      </c>
      <c r="D1140" t="s">
        <v>2085</v>
      </c>
      <c r="E1140" t="s">
        <v>2086</v>
      </c>
      <c r="F1140" t="s">
        <v>1184</v>
      </c>
      <c r="G1140" t="s">
        <v>1359</v>
      </c>
      <c r="H1140" t="s">
        <v>34</v>
      </c>
      <c r="I1140" t="s">
        <v>23</v>
      </c>
      <c r="J1140" s="1">
        <v>623</v>
      </c>
      <c r="K1140" s="1">
        <v>44.5</v>
      </c>
      <c r="L1140" s="3">
        <v>14</v>
      </c>
      <c r="M1140" t="s">
        <v>36</v>
      </c>
      <c r="N1140" s="2">
        <v>45461</v>
      </c>
      <c r="O1140" t="s">
        <v>67</v>
      </c>
      <c r="P1140" t="s">
        <v>334</v>
      </c>
      <c r="Q1140">
        <v>77075</v>
      </c>
      <c r="R1140" t="s">
        <v>27</v>
      </c>
      <c r="S1140" s="10">
        <v>34.632990692666844</v>
      </c>
      <c r="T1140">
        <v>25</v>
      </c>
    </row>
    <row r="1141" spans="1:20" x14ac:dyDescent="0.3">
      <c r="A1141">
        <v>1999</v>
      </c>
      <c r="B1141" t="s">
        <v>412</v>
      </c>
      <c r="C1141" t="s">
        <v>17</v>
      </c>
      <c r="D1141" t="s">
        <v>413</v>
      </c>
      <c r="E1141" t="s">
        <v>414</v>
      </c>
      <c r="F1141" t="s">
        <v>415</v>
      </c>
      <c r="G1141" t="s">
        <v>350</v>
      </c>
      <c r="H1141" t="s">
        <v>34</v>
      </c>
      <c r="I1141" t="s">
        <v>266</v>
      </c>
      <c r="J1141" s="1">
        <v>949</v>
      </c>
      <c r="K1141" s="1">
        <v>27.114285714285714</v>
      </c>
      <c r="L1141" s="3">
        <v>35</v>
      </c>
      <c r="M1141" t="s">
        <v>36</v>
      </c>
      <c r="N1141" s="2">
        <v>45461</v>
      </c>
      <c r="O1141" t="s">
        <v>57</v>
      </c>
      <c r="P1141" t="s">
        <v>416</v>
      </c>
      <c r="Q1141">
        <v>31914</v>
      </c>
      <c r="R1141" t="s">
        <v>27</v>
      </c>
      <c r="S1141" s="10">
        <v>80.799000276484151</v>
      </c>
      <c r="T1141">
        <v>78</v>
      </c>
    </row>
    <row r="1142" spans="1:20" x14ac:dyDescent="0.3">
      <c r="A1142">
        <v>1783</v>
      </c>
      <c r="B1142" t="s">
        <v>302</v>
      </c>
      <c r="C1142" t="s">
        <v>303</v>
      </c>
      <c r="D1142" t="s">
        <v>304</v>
      </c>
      <c r="E1142" t="s">
        <v>305</v>
      </c>
      <c r="F1142" t="s">
        <v>306</v>
      </c>
      <c r="G1142" t="s">
        <v>307</v>
      </c>
      <c r="H1142" t="s">
        <v>34</v>
      </c>
      <c r="I1142" t="s">
        <v>35</v>
      </c>
      <c r="J1142" s="1">
        <v>738</v>
      </c>
      <c r="K1142" s="1">
        <v>32.086956521739133</v>
      </c>
      <c r="L1142" s="3">
        <v>23</v>
      </c>
      <c r="M1142" t="s">
        <v>244</v>
      </c>
      <c r="N1142" s="2">
        <v>45462</v>
      </c>
      <c r="O1142" t="s">
        <v>308</v>
      </c>
      <c r="P1142" t="s">
        <v>309</v>
      </c>
      <c r="Q1142">
        <v>85715</v>
      </c>
      <c r="R1142" t="s">
        <v>27</v>
      </c>
      <c r="S1142" s="10">
        <v>32.07805902619203</v>
      </c>
      <c r="T1142">
        <v>52</v>
      </c>
    </row>
    <row r="1143" spans="1:20" x14ac:dyDescent="0.3">
      <c r="A1143">
        <v>1020</v>
      </c>
      <c r="B1143" t="s">
        <v>310</v>
      </c>
      <c r="C1143" t="s">
        <v>311</v>
      </c>
      <c r="D1143" t="s">
        <v>312</v>
      </c>
      <c r="E1143" t="s">
        <v>313</v>
      </c>
      <c r="F1143" t="s">
        <v>314</v>
      </c>
      <c r="G1143" t="s">
        <v>315</v>
      </c>
      <c r="H1143" t="s">
        <v>22</v>
      </c>
      <c r="I1143" t="s">
        <v>23</v>
      </c>
      <c r="J1143" s="1">
        <v>156</v>
      </c>
      <c r="K1143" s="1">
        <v>26</v>
      </c>
      <c r="L1143" s="3">
        <v>6</v>
      </c>
      <c r="M1143" t="s">
        <v>36</v>
      </c>
      <c r="N1143" s="2">
        <v>45463</v>
      </c>
      <c r="O1143" t="s">
        <v>37</v>
      </c>
      <c r="P1143" t="s">
        <v>316</v>
      </c>
      <c r="Q1143">
        <v>94105</v>
      </c>
      <c r="R1143" t="s">
        <v>27</v>
      </c>
      <c r="S1143" s="10">
        <v>14.8017259278939</v>
      </c>
      <c r="T1143">
        <v>8</v>
      </c>
    </row>
    <row r="1144" spans="1:20" x14ac:dyDescent="0.3">
      <c r="A1144">
        <v>1081</v>
      </c>
      <c r="B1144" t="s">
        <v>529</v>
      </c>
      <c r="C1144" t="s">
        <v>530</v>
      </c>
      <c r="D1144" t="s">
        <v>531</v>
      </c>
      <c r="E1144" t="s">
        <v>532</v>
      </c>
      <c r="F1144" t="s">
        <v>533</v>
      </c>
      <c r="G1144" t="s">
        <v>495</v>
      </c>
      <c r="H1144" t="s">
        <v>22</v>
      </c>
      <c r="I1144" t="s">
        <v>55</v>
      </c>
      <c r="J1144" s="1">
        <v>170</v>
      </c>
      <c r="K1144" s="1">
        <v>24.285714285714285</v>
      </c>
      <c r="L1144" s="3">
        <v>7</v>
      </c>
      <c r="M1144" t="s">
        <v>447</v>
      </c>
      <c r="N1144" s="2">
        <v>45463</v>
      </c>
      <c r="O1144" t="s">
        <v>229</v>
      </c>
      <c r="P1144" t="s">
        <v>534</v>
      </c>
      <c r="Q1144">
        <v>45426</v>
      </c>
      <c r="R1144" t="s">
        <v>27</v>
      </c>
      <c r="S1144" s="10">
        <v>15.773644327763039</v>
      </c>
      <c r="T1144">
        <v>13</v>
      </c>
    </row>
    <row r="1145" spans="1:20" x14ac:dyDescent="0.3">
      <c r="A1145">
        <v>1234</v>
      </c>
      <c r="B1145" t="s">
        <v>59</v>
      </c>
      <c r="C1145" t="s">
        <v>60</v>
      </c>
      <c r="D1145" t="s">
        <v>61</v>
      </c>
      <c r="E1145" t="s">
        <v>62</v>
      </c>
      <c r="F1145" t="s">
        <v>63</v>
      </c>
      <c r="G1145" t="s">
        <v>64</v>
      </c>
      <c r="H1145" t="s">
        <v>34</v>
      </c>
      <c r="I1145" t="s">
        <v>65</v>
      </c>
      <c r="J1145" s="1">
        <v>794</v>
      </c>
      <c r="K1145" s="1">
        <v>39.700000000000003</v>
      </c>
      <c r="L1145" s="3">
        <v>20</v>
      </c>
      <c r="M1145" t="s">
        <v>66</v>
      </c>
      <c r="N1145" s="2">
        <v>45463</v>
      </c>
      <c r="O1145" t="s">
        <v>67</v>
      </c>
      <c r="P1145" t="s">
        <v>68</v>
      </c>
      <c r="Q1145">
        <v>78710</v>
      </c>
      <c r="R1145" t="s">
        <v>27</v>
      </c>
      <c r="S1145" s="10">
        <v>25.89255936862029</v>
      </c>
      <c r="T1145">
        <v>47</v>
      </c>
    </row>
    <row r="1146" spans="1:20" x14ac:dyDescent="0.3">
      <c r="A1146">
        <v>1116</v>
      </c>
      <c r="B1146" t="s">
        <v>49</v>
      </c>
      <c r="C1146" t="s">
        <v>50</v>
      </c>
      <c r="D1146" t="s">
        <v>51</v>
      </c>
      <c r="E1146" t="s">
        <v>52</v>
      </c>
      <c r="F1146" t="s">
        <v>53</v>
      </c>
      <c r="G1146" t="s">
        <v>54</v>
      </c>
      <c r="H1146" t="s">
        <v>22</v>
      </c>
      <c r="I1146" t="s">
        <v>55</v>
      </c>
      <c r="J1146" s="1">
        <v>733</v>
      </c>
      <c r="K1146" s="1">
        <v>30.541666666666668</v>
      </c>
      <c r="L1146" s="3">
        <v>24</v>
      </c>
      <c r="M1146" t="s">
        <v>56</v>
      </c>
      <c r="N1146" s="2">
        <v>45464</v>
      </c>
      <c r="O1146" t="s">
        <v>57</v>
      </c>
      <c r="P1146" t="s">
        <v>58</v>
      </c>
      <c r="Q1146">
        <v>30096</v>
      </c>
      <c r="R1146" t="s">
        <v>27</v>
      </c>
      <c r="S1146" s="10">
        <v>52.90724032316092</v>
      </c>
      <c r="T1146">
        <v>57</v>
      </c>
    </row>
    <row r="1147" spans="1:20" x14ac:dyDescent="0.3">
      <c r="A1147">
        <v>1578</v>
      </c>
      <c r="B1147" t="s">
        <v>876</v>
      </c>
      <c r="C1147" t="s">
        <v>1337</v>
      </c>
      <c r="D1147" t="s">
        <v>2087</v>
      </c>
      <c r="E1147" t="s">
        <v>2088</v>
      </c>
      <c r="F1147" t="s">
        <v>1196</v>
      </c>
      <c r="G1147" t="s">
        <v>739</v>
      </c>
      <c r="H1147" t="s">
        <v>22</v>
      </c>
      <c r="I1147" t="s">
        <v>75</v>
      </c>
      <c r="J1147" s="1">
        <v>272</v>
      </c>
      <c r="K1147" s="1">
        <v>45.333333333333336</v>
      </c>
      <c r="L1147" s="3">
        <v>6</v>
      </c>
      <c r="M1147" t="s">
        <v>36</v>
      </c>
      <c r="N1147" s="2">
        <v>45464</v>
      </c>
      <c r="O1147" t="s">
        <v>118</v>
      </c>
      <c r="P1147" t="s">
        <v>454</v>
      </c>
      <c r="Q1147">
        <v>55487</v>
      </c>
      <c r="R1147" t="s">
        <v>27</v>
      </c>
      <c r="S1147" s="10">
        <v>9.9525884058187657</v>
      </c>
      <c r="T1147">
        <v>8</v>
      </c>
    </row>
    <row r="1148" spans="1:20" x14ac:dyDescent="0.3">
      <c r="A1148">
        <v>1038</v>
      </c>
      <c r="B1148" t="s">
        <v>776</v>
      </c>
      <c r="C1148" t="s">
        <v>944</v>
      </c>
      <c r="D1148" t="s">
        <v>2089</v>
      </c>
      <c r="E1148" t="s">
        <v>2090</v>
      </c>
      <c r="F1148" t="s">
        <v>482</v>
      </c>
      <c r="G1148" t="s">
        <v>937</v>
      </c>
      <c r="H1148" t="s">
        <v>22</v>
      </c>
      <c r="I1148" t="s">
        <v>23</v>
      </c>
      <c r="J1148" s="1">
        <v>199</v>
      </c>
      <c r="K1148" s="1">
        <v>39.799999999999997</v>
      </c>
      <c r="L1148" s="3">
        <v>5</v>
      </c>
      <c r="M1148" t="s">
        <v>36</v>
      </c>
      <c r="N1148" s="2">
        <v>45466</v>
      </c>
      <c r="O1148" t="s">
        <v>37</v>
      </c>
      <c r="P1148" t="s">
        <v>2091</v>
      </c>
      <c r="Q1148">
        <v>91797</v>
      </c>
      <c r="R1148" t="s">
        <v>27</v>
      </c>
      <c r="S1148" s="10">
        <v>9.5383514137033547</v>
      </c>
      <c r="T1148">
        <v>8</v>
      </c>
    </row>
    <row r="1149" spans="1:20" x14ac:dyDescent="0.3">
      <c r="A1149">
        <v>1997</v>
      </c>
      <c r="B1149" t="s">
        <v>1038</v>
      </c>
      <c r="C1149" t="s">
        <v>1039</v>
      </c>
      <c r="D1149" t="s">
        <v>1040</v>
      </c>
      <c r="E1149" t="s">
        <v>1041</v>
      </c>
      <c r="F1149" t="s">
        <v>1042</v>
      </c>
      <c r="G1149" t="s">
        <v>756</v>
      </c>
      <c r="H1149" t="s">
        <v>22</v>
      </c>
      <c r="I1149" t="s">
        <v>236</v>
      </c>
      <c r="J1149" s="1">
        <v>550</v>
      </c>
      <c r="K1149" s="1">
        <v>39.285714285714285</v>
      </c>
      <c r="L1149" s="3">
        <v>14</v>
      </c>
      <c r="M1149" t="s">
        <v>36</v>
      </c>
      <c r="N1149" s="2">
        <v>45466</v>
      </c>
      <c r="O1149" t="s">
        <v>83</v>
      </c>
      <c r="P1149" t="s">
        <v>511</v>
      </c>
      <c r="Q1149">
        <v>10155</v>
      </c>
      <c r="R1149" t="s">
        <v>27</v>
      </c>
      <c r="S1149" s="10">
        <v>27.973238634909517</v>
      </c>
      <c r="T1149">
        <v>26</v>
      </c>
    </row>
    <row r="1150" spans="1:20" x14ac:dyDescent="0.3">
      <c r="A1150">
        <v>1434</v>
      </c>
      <c r="B1150" t="s">
        <v>380</v>
      </c>
      <c r="C1150" t="s">
        <v>449</v>
      </c>
      <c r="D1150" t="s">
        <v>450</v>
      </c>
      <c r="E1150" t="s">
        <v>451</v>
      </c>
      <c r="F1150" t="s">
        <v>452</v>
      </c>
      <c r="G1150" t="s">
        <v>453</v>
      </c>
      <c r="H1150" t="s">
        <v>22</v>
      </c>
      <c r="I1150" t="s">
        <v>35</v>
      </c>
      <c r="J1150" s="1">
        <v>817</v>
      </c>
      <c r="K1150" s="1">
        <v>27.233333333333334</v>
      </c>
      <c r="L1150" s="3">
        <v>30</v>
      </c>
      <c r="M1150" t="s">
        <v>36</v>
      </c>
      <c r="N1150" s="2">
        <v>45467</v>
      </c>
      <c r="O1150" t="s">
        <v>118</v>
      </c>
      <c r="P1150" t="s">
        <v>454</v>
      </c>
      <c r="Q1150">
        <v>55436</v>
      </c>
      <c r="R1150" t="s">
        <v>27</v>
      </c>
      <c r="S1150" s="10">
        <v>60.317934400739411</v>
      </c>
      <c r="T1150">
        <v>49</v>
      </c>
    </row>
    <row r="1151" spans="1:20" x14ac:dyDescent="0.3">
      <c r="A1151">
        <v>1812</v>
      </c>
      <c r="B1151" t="s">
        <v>231</v>
      </c>
      <c r="C1151" t="s">
        <v>232</v>
      </c>
      <c r="D1151" t="s">
        <v>233</v>
      </c>
      <c r="E1151" t="s">
        <v>234</v>
      </c>
      <c r="F1151" t="s">
        <v>235</v>
      </c>
      <c r="G1151" t="s">
        <v>74</v>
      </c>
      <c r="H1151" t="s">
        <v>34</v>
      </c>
      <c r="I1151" t="s">
        <v>236</v>
      </c>
      <c r="J1151" s="1">
        <v>475</v>
      </c>
      <c r="K1151" s="1">
        <v>33.928571428571431</v>
      </c>
      <c r="L1151" s="3">
        <v>14</v>
      </c>
      <c r="M1151" t="s">
        <v>126</v>
      </c>
      <c r="N1151" s="2">
        <v>45467</v>
      </c>
      <c r="O1151" t="s">
        <v>237</v>
      </c>
      <c r="P1151" t="s">
        <v>238</v>
      </c>
      <c r="Q1151">
        <v>35220</v>
      </c>
      <c r="R1151" t="s">
        <v>27</v>
      </c>
      <c r="S1151" s="10">
        <v>19.507835809801239</v>
      </c>
      <c r="T1151">
        <v>28</v>
      </c>
    </row>
    <row r="1152" spans="1:20" x14ac:dyDescent="0.3">
      <c r="A1152">
        <v>1095</v>
      </c>
      <c r="B1152" t="s">
        <v>550</v>
      </c>
      <c r="C1152" t="s">
        <v>551</v>
      </c>
      <c r="D1152" t="s">
        <v>552</v>
      </c>
      <c r="E1152" t="s">
        <v>553</v>
      </c>
      <c r="F1152" t="s">
        <v>554</v>
      </c>
      <c r="G1152" t="s">
        <v>555</v>
      </c>
      <c r="H1152" t="s">
        <v>22</v>
      </c>
      <c r="I1152" t="s">
        <v>55</v>
      </c>
      <c r="J1152" s="1">
        <v>713</v>
      </c>
      <c r="K1152" s="1">
        <v>29.708333333333332</v>
      </c>
      <c r="L1152" s="3">
        <v>24</v>
      </c>
      <c r="M1152" t="s">
        <v>126</v>
      </c>
      <c r="N1152" s="2">
        <v>45472</v>
      </c>
      <c r="O1152" t="s">
        <v>67</v>
      </c>
      <c r="P1152" t="s">
        <v>334</v>
      </c>
      <c r="Q1152">
        <v>77040</v>
      </c>
      <c r="R1152" t="s">
        <v>27</v>
      </c>
      <c r="S1152" s="10">
        <v>36.563160566706635</v>
      </c>
      <c r="T1152">
        <v>52</v>
      </c>
    </row>
    <row r="1153" spans="1:20" x14ac:dyDescent="0.3">
      <c r="A1153">
        <v>1957</v>
      </c>
      <c r="B1153" t="s">
        <v>1656</v>
      </c>
      <c r="C1153" t="s">
        <v>17</v>
      </c>
      <c r="D1153" t="s">
        <v>2092</v>
      </c>
      <c r="E1153" t="s">
        <v>2093</v>
      </c>
      <c r="F1153" t="s">
        <v>1482</v>
      </c>
      <c r="G1153" t="s">
        <v>1409</v>
      </c>
      <c r="H1153" t="s">
        <v>34</v>
      </c>
      <c r="I1153" t="s">
        <v>23</v>
      </c>
      <c r="J1153" s="1">
        <v>203</v>
      </c>
      <c r="K1153" s="1">
        <v>33.833333333333336</v>
      </c>
      <c r="L1153" s="3">
        <v>6</v>
      </c>
      <c r="M1153" t="s">
        <v>219</v>
      </c>
      <c r="N1153" s="2">
        <v>45472</v>
      </c>
      <c r="O1153" t="s">
        <v>470</v>
      </c>
      <c r="P1153" t="s">
        <v>358</v>
      </c>
      <c r="Q1153">
        <v>20409</v>
      </c>
      <c r="R1153" t="s">
        <v>27</v>
      </c>
      <c r="S1153" s="10">
        <v>12.61000879735365</v>
      </c>
      <c r="T1153">
        <v>12</v>
      </c>
    </row>
    <row r="1154" spans="1:20" x14ac:dyDescent="0.3">
      <c r="A1154">
        <v>1941</v>
      </c>
      <c r="B1154" t="s">
        <v>1538</v>
      </c>
      <c r="C1154" t="s">
        <v>287</v>
      </c>
      <c r="D1154" t="s">
        <v>2094</v>
      </c>
      <c r="E1154" t="s">
        <v>2095</v>
      </c>
      <c r="F1154" t="s">
        <v>515</v>
      </c>
      <c r="G1154" t="s">
        <v>1409</v>
      </c>
      <c r="H1154" t="s">
        <v>34</v>
      </c>
      <c r="I1154" t="s">
        <v>236</v>
      </c>
      <c r="J1154" s="1">
        <v>299</v>
      </c>
      <c r="K1154" s="1">
        <v>29.9</v>
      </c>
      <c r="L1154" s="3">
        <v>10</v>
      </c>
      <c r="M1154" t="s">
        <v>36</v>
      </c>
      <c r="N1154" s="2">
        <v>45476</v>
      </c>
      <c r="O1154" t="s">
        <v>136</v>
      </c>
      <c r="P1154" t="s">
        <v>137</v>
      </c>
      <c r="Q1154">
        <v>60609</v>
      </c>
      <c r="R1154" t="s">
        <v>27</v>
      </c>
      <c r="S1154" s="10">
        <v>19.926964793207272</v>
      </c>
      <c r="T1154">
        <v>22</v>
      </c>
    </row>
    <row r="1155" spans="1:20" x14ac:dyDescent="0.3">
      <c r="A1155">
        <v>1035</v>
      </c>
      <c r="B1155" t="s">
        <v>876</v>
      </c>
      <c r="C1155" t="s">
        <v>811</v>
      </c>
      <c r="D1155" t="s">
        <v>2096</v>
      </c>
      <c r="E1155" t="s">
        <v>2097</v>
      </c>
      <c r="F1155" t="s">
        <v>2098</v>
      </c>
      <c r="G1155" t="s">
        <v>1123</v>
      </c>
      <c r="H1155" t="s">
        <v>22</v>
      </c>
      <c r="I1155" t="s">
        <v>23</v>
      </c>
      <c r="J1155" s="1">
        <v>357</v>
      </c>
      <c r="K1155" s="1">
        <v>44.625</v>
      </c>
      <c r="L1155" s="3">
        <v>8</v>
      </c>
      <c r="M1155" t="s">
        <v>404</v>
      </c>
      <c r="N1155" s="2">
        <v>45477</v>
      </c>
      <c r="O1155" t="s">
        <v>100</v>
      </c>
      <c r="P1155" t="s">
        <v>2099</v>
      </c>
      <c r="Q1155">
        <v>52809</v>
      </c>
      <c r="R1155" t="s">
        <v>27</v>
      </c>
      <c r="S1155" s="10">
        <v>14.59482732592749</v>
      </c>
      <c r="T1155">
        <v>17</v>
      </c>
    </row>
    <row r="1156" spans="1:20" x14ac:dyDescent="0.3">
      <c r="A1156">
        <v>1592</v>
      </c>
      <c r="B1156" t="s">
        <v>1118</v>
      </c>
      <c r="C1156" t="s">
        <v>367</v>
      </c>
      <c r="D1156" t="s">
        <v>2100</v>
      </c>
      <c r="E1156" t="s">
        <v>2101</v>
      </c>
      <c r="F1156" t="s">
        <v>533</v>
      </c>
      <c r="G1156" t="s">
        <v>82</v>
      </c>
      <c r="H1156" t="s">
        <v>34</v>
      </c>
      <c r="I1156" t="s">
        <v>366</v>
      </c>
      <c r="J1156" s="1">
        <v>99</v>
      </c>
      <c r="K1156" s="1">
        <v>49.5</v>
      </c>
      <c r="L1156" s="3">
        <v>2</v>
      </c>
      <c r="M1156" t="s">
        <v>143</v>
      </c>
      <c r="N1156" s="2">
        <v>45479</v>
      </c>
      <c r="O1156" t="s">
        <v>220</v>
      </c>
      <c r="P1156" t="s">
        <v>328</v>
      </c>
      <c r="Q1156">
        <v>47747</v>
      </c>
      <c r="R1156" t="s">
        <v>27</v>
      </c>
      <c r="S1156" s="10">
        <v>4.5075635973935242</v>
      </c>
      <c r="T1156">
        <v>3</v>
      </c>
    </row>
    <row r="1157" spans="1:20" x14ac:dyDescent="0.3">
      <c r="A1157">
        <v>1755</v>
      </c>
      <c r="B1157" t="s">
        <v>380</v>
      </c>
      <c r="C1157" t="s">
        <v>287</v>
      </c>
      <c r="D1157" t="s">
        <v>2102</v>
      </c>
      <c r="E1157" t="s">
        <v>2103</v>
      </c>
      <c r="F1157" t="s">
        <v>32</v>
      </c>
      <c r="G1157" t="s">
        <v>909</v>
      </c>
      <c r="H1157" t="s">
        <v>22</v>
      </c>
      <c r="I1157" t="s">
        <v>266</v>
      </c>
      <c r="J1157" s="1">
        <v>457</v>
      </c>
      <c r="K1157" s="1">
        <v>35.153846153846153</v>
      </c>
      <c r="L1157" s="3">
        <v>13</v>
      </c>
      <c r="M1157" t="s">
        <v>66</v>
      </c>
      <c r="N1157" s="2">
        <v>45479</v>
      </c>
      <c r="O1157" t="s">
        <v>37</v>
      </c>
      <c r="P1157" t="s">
        <v>870</v>
      </c>
      <c r="Q1157">
        <v>92170</v>
      </c>
      <c r="R1157" t="s">
        <v>27</v>
      </c>
      <c r="S1157" s="10">
        <v>18.475243829501462</v>
      </c>
      <c r="T1157">
        <v>23</v>
      </c>
    </row>
    <row r="1158" spans="1:20" x14ac:dyDescent="0.3">
      <c r="A1158">
        <v>1974</v>
      </c>
      <c r="B1158" t="s">
        <v>2104</v>
      </c>
      <c r="C1158" t="s">
        <v>2105</v>
      </c>
      <c r="D1158" t="s">
        <v>2106</v>
      </c>
      <c r="E1158" t="s">
        <v>2107</v>
      </c>
      <c r="F1158" t="s">
        <v>1130</v>
      </c>
      <c r="G1158" t="s">
        <v>516</v>
      </c>
      <c r="H1158" t="s">
        <v>22</v>
      </c>
      <c r="I1158" t="s">
        <v>65</v>
      </c>
      <c r="J1158" s="1">
        <v>763</v>
      </c>
      <c r="K1158" s="1">
        <v>28.25925925925926</v>
      </c>
      <c r="L1158" s="3">
        <v>27</v>
      </c>
      <c r="M1158" t="s">
        <v>343</v>
      </c>
      <c r="N1158" s="2">
        <v>45481</v>
      </c>
      <c r="O1158" t="s">
        <v>470</v>
      </c>
      <c r="P1158" t="s">
        <v>358</v>
      </c>
      <c r="Q1158">
        <v>20525</v>
      </c>
      <c r="R1158" t="s">
        <v>27</v>
      </c>
      <c r="S1158" s="10">
        <v>63.895192607074286</v>
      </c>
      <c r="T1158">
        <v>62</v>
      </c>
    </row>
    <row r="1159" spans="1:20" x14ac:dyDescent="0.3">
      <c r="A1159">
        <v>1783</v>
      </c>
      <c r="B1159" t="s">
        <v>302</v>
      </c>
      <c r="C1159" t="s">
        <v>303</v>
      </c>
      <c r="D1159" t="s">
        <v>304</v>
      </c>
      <c r="E1159" t="s">
        <v>305</v>
      </c>
      <c r="F1159" t="s">
        <v>306</v>
      </c>
      <c r="G1159" t="s">
        <v>307</v>
      </c>
      <c r="H1159" t="s">
        <v>34</v>
      </c>
      <c r="I1159" t="s">
        <v>35</v>
      </c>
      <c r="J1159" s="1">
        <v>157</v>
      </c>
      <c r="K1159" s="1">
        <v>26.166666666666668</v>
      </c>
      <c r="L1159" s="3">
        <v>6</v>
      </c>
      <c r="M1159" t="s">
        <v>244</v>
      </c>
      <c r="N1159" s="2">
        <v>45482</v>
      </c>
      <c r="O1159" t="s">
        <v>308</v>
      </c>
      <c r="P1159" t="s">
        <v>309</v>
      </c>
      <c r="Q1159">
        <v>85715</v>
      </c>
      <c r="R1159" t="s">
        <v>27</v>
      </c>
      <c r="S1159" s="10">
        <v>9.9412387111312945</v>
      </c>
      <c r="T1159">
        <v>8</v>
      </c>
    </row>
    <row r="1160" spans="1:20" x14ac:dyDescent="0.3">
      <c r="A1160">
        <v>1513</v>
      </c>
      <c r="B1160" t="s">
        <v>556</v>
      </c>
      <c r="C1160" t="s">
        <v>1370</v>
      </c>
      <c r="D1160" t="s">
        <v>1371</v>
      </c>
      <c r="E1160" t="s">
        <v>1372</v>
      </c>
      <c r="F1160" t="s">
        <v>1097</v>
      </c>
      <c r="G1160" t="s">
        <v>1238</v>
      </c>
      <c r="H1160" t="s">
        <v>34</v>
      </c>
      <c r="I1160" t="s">
        <v>366</v>
      </c>
      <c r="J1160" s="1">
        <v>809</v>
      </c>
      <c r="K1160" s="1">
        <v>36.772727272727273</v>
      </c>
      <c r="L1160" s="3">
        <v>22</v>
      </c>
      <c r="M1160" t="s">
        <v>46</v>
      </c>
      <c r="N1160" s="2">
        <v>45483</v>
      </c>
      <c r="O1160" t="s">
        <v>47</v>
      </c>
      <c r="P1160" t="s">
        <v>48</v>
      </c>
      <c r="Q1160">
        <v>23289</v>
      </c>
      <c r="R1160" t="s">
        <v>27</v>
      </c>
      <c r="S1160" s="10">
        <v>41.172233332628792</v>
      </c>
      <c r="T1160">
        <v>40</v>
      </c>
    </row>
    <row r="1161" spans="1:20" x14ac:dyDescent="0.3">
      <c r="A1161">
        <v>1761</v>
      </c>
      <c r="B1161" t="s">
        <v>1248</v>
      </c>
      <c r="C1161" t="s">
        <v>719</v>
      </c>
      <c r="D1161" t="s">
        <v>2108</v>
      </c>
      <c r="E1161" t="s">
        <v>2109</v>
      </c>
      <c r="F1161" t="s">
        <v>1933</v>
      </c>
      <c r="G1161" t="s">
        <v>142</v>
      </c>
      <c r="H1161" t="s">
        <v>34</v>
      </c>
      <c r="I1161" t="s">
        <v>45</v>
      </c>
      <c r="J1161" s="1">
        <v>230</v>
      </c>
      <c r="K1161" s="1">
        <v>32.857142857142854</v>
      </c>
      <c r="L1161" s="3">
        <v>7</v>
      </c>
      <c r="M1161" t="s">
        <v>36</v>
      </c>
      <c r="N1161" s="2">
        <v>45483</v>
      </c>
      <c r="O1161" t="s">
        <v>67</v>
      </c>
      <c r="P1161" t="s">
        <v>280</v>
      </c>
      <c r="Q1161">
        <v>78205</v>
      </c>
      <c r="R1161" t="s">
        <v>27</v>
      </c>
      <c r="S1161" s="10">
        <v>9.3575780735085843</v>
      </c>
      <c r="T1161">
        <v>13</v>
      </c>
    </row>
    <row r="1162" spans="1:20" x14ac:dyDescent="0.3">
      <c r="A1162">
        <v>1020</v>
      </c>
      <c r="B1162" t="s">
        <v>310</v>
      </c>
      <c r="C1162" t="s">
        <v>311</v>
      </c>
      <c r="D1162" t="s">
        <v>312</v>
      </c>
      <c r="E1162" t="s">
        <v>313</v>
      </c>
      <c r="F1162" t="s">
        <v>314</v>
      </c>
      <c r="G1162" t="s">
        <v>315</v>
      </c>
      <c r="H1162" t="s">
        <v>22</v>
      </c>
      <c r="I1162" t="s">
        <v>23</v>
      </c>
      <c r="J1162" s="1">
        <v>900</v>
      </c>
      <c r="K1162" s="1">
        <v>28.125</v>
      </c>
      <c r="L1162" s="3">
        <v>32</v>
      </c>
      <c r="M1162" t="s">
        <v>36</v>
      </c>
      <c r="N1162" s="2">
        <v>45484</v>
      </c>
      <c r="O1162" t="s">
        <v>37</v>
      </c>
      <c r="P1162" t="s">
        <v>316</v>
      </c>
      <c r="Q1162">
        <v>94105</v>
      </c>
      <c r="R1162" t="s">
        <v>27</v>
      </c>
      <c r="S1162" s="10">
        <v>76.756793389591067</v>
      </c>
      <c r="T1162">
        <v>62</v>
      </c>
    </row>
    <row r="1163" spans="1:20" x14ac:dyDescent="0.3">
      <c r="A1163">
        <v>1026</v>
      </c>
      <c r="B1163" t="s">
        <v>77</v>
      </c>
      <c r="C1163" t="s">
        <v>78</v>
      </c>
      <c r="D1163" t="s">
        <v>79</v>
      </c>
      <c r="E1163" t="s">
        <v>80</v>
      </c>
      <c r="F1163" t="s">
        <v>81</v>
      </c>
      <c r="G1163" t="s">
        <v>82</v>
      </c>
      <c r="H1163" t="s">
        <v>22</v>
      </c>
      <c r="I1163" t="s">
        <v>23</v>
      </c>
      <c r="J1163" s="1">
        <v>496</v>
      </c>
      <c r="K1163" s="1">
        <v>41.333333333333336</v>
      </c>
      <c r="L1163" s="3">
        <v>12</v>
      </c>
      <c r="M1163" t="s">
        <v>36</v>
      </c>
      <c r="N1163" s="2">
        <v>45485</v>
      </c>
      <c r="O1163" t="s">
        <v>83</v>
      </c>
      <c r="P1163" t="s">
        <v>84</v>
      </c>
      <c r="Q1163">
        <v>10469</v>
      </c>
      <c r="R1163" t="s">
        <v>27</v>
      </c>
      <c r="S1163" s="10">
        <v>20.196329397994269</v>
      </c>
      <c r="T1163">
        <v>21</v>
      </c>
    </row>
    <row r="1164" spans="1:20" x14ac:dyDescent="0.3">
      <c r="A1164">
        <v>1394</v>
      </c>
      <c r="B1164" t="s">
        <v>1815</v>
      </c>
      <c r="C1164" t="s">
        <v>1483</v>
      </c>
      <c r="D1164" t="s">
        <v>2110</v>
      </c>
      <c r="E1164" t="s">
        <v>2111</v>
      </c>
      <c r="F1164" t="s">
        <v>585</v>
      </c>
      <c r="G1164" t="s">
        <v>64</v>
      </c>
      <c r="H1164" t="s">
        <v>22</v>
      </c>
      <c r="I1164" t="s">
        <v>435</v>
      </c>
      <c r="J1164" s="1">
        <v>203</v>
      </c>
      <c r="K1164" s="1">
        <v>25.375</v>
      </c>
      <c r="L1164" s="3">
        <v>8</v>
      </c>
      <c r="M1164" t="s">
        <v>36</v>
      </c>
      <c r="N1164" s="2">
        <v>45488</v>
      </c>
      <c r="O1164" t="s">
        <v>37</v>
      </c>
      <c r="P1164" t="s">
        <v>870</v>
      </c>
      <c r="Q1164">
        <v>92105</v>
      </c>
      <c r="R1164" t="s">
        <v>27</v>
      </c>
      <c r="S1164" s="10">
        <v>15.152188084727374</v>
      </c>
      <c r="T1164">
        <v>11</v>
      </c>
    </row>
    <row r="1165" spans="1:20" x14ac:dyDescent="0.3">
      <c r="A1165">
        <v>1851</v>
      </c>
      <c r="B1165" t="s">
        <v>604</v>
      </c>
      <c r="C1165" t="s">
        <v>358</v>
      </c>
      <c r="D1165" t="s">
        <v>605</v>
      </c>
      <c r="E1165" t="s">
        <v>606</v>
      </c>
      <c r="F1165" t="s">
        <v>607</v>
      </c>
      <c r="G1165" t="s">
        <v>194</v>
      </c>
      <c r="H1165" t="s">
        <v>22</v>
      </c>
      <c r="I1165" t="s">
        <v>65</v>
      </c>
      <c r="J1165" s="1">
        <v>56</v>
      </c>
      <c r="K1165" s="1">
        <v>56</v>
      </c>
      <c r="L1165" s="3">
        <v>1</v>
      </c>
      <c r="M1165" t="s">
        <v>343</v>
      </c>
      <c r="N1165" s="2">
        <v>45488</v>
      </c>
      <c r="O1165" t="s">
        <v>83</v>
      </c>
      <c r="P1165" t="s">
        <v>351</v>
      </c>
      <c r="Q1165">
        <v>11210</v>
      </c>
      <c r="R1165" t="s">
        <v>27</v>
      </c>
      <c r="S1165" s="10">
        <v>1.9723195580947961</v>
      </c>
      <c r="T1165">
        <v>2</v>
      </c>
    </row>
    <row r="1166" spans="1:20" x14ac:dyDescent="0.3">
      <c r="A1166">
        <v>1188</v>
      </c>
      <c r="B1166" t="s">
        <v>619</v>
      </c>
      <c r="C1166" t="s">
        <v>68</v>
      </c>
      <c r="D1166" t="s">
        <v>2112</v>
      </c>
      <c r="E1166" t="s">
        <v>2113</v>
      </c>
      <c r="F1166" t="s">
        <v>972</v>
      </c>
      <c r="G1166" t="s">
        <v>291</v>
      </c>
      <c r="H1166" t="s">
        <v>22</v>
      </c>
      <c r="I1166" t="s">
        <v>65</v>
      </c>
      <c r="J1166" s="1">
        <v>94</v>
      </c>
      <c r="K1166" s="1">
        <v>31.333333333333332</v>
      </c>
      <c r="L1166" s="3">
        <v>3</v>
      </c>
      <c r="M1166" t="s">
        <v>36</v>
      </c>
      <c r="N1166" s="2">
        <v>45489</v>
      </c>
      <c r="O1166" t="s">
        <v>136</v>
      </c>
      <c r="P1166" t="s">
        <v>137</v>
      </c>
      <c r="Q1166">
        <v>60663</v>
      </c>
      <c r="R1166" t="s">
        <v>27</v>
      </c>
      <c r="S1166" s="10">
        <v>4.3331592525744274</v>
      </c>
      <c r="T1166">
        <v>5</v>
      </c>
    </row>
    <row r="1167" spans="1:20" x14ac:dyDescent="0.3">
      <c r="A1167">
        <v>1675</v>
      </c>
      <c r="B1167" t="s">
        <v>535</v>
      </c>
      <c r="C1167" t="s">
        <v>1788</v>
      </c>
      <c r="D1167" t="s">
        <v>2114</v>
      </c>
      <c r="E1167" t="s">
        <v>2115</v>
      </c>
      <c r="F1167" t="s">
        <v>1089</v>
      </c>
      <c r="G1167" t="s">
        <v>339</v>
      </c>
      <c r="H1167" t="s">
        <v>22</v>
      </c>
      <c r="I1167" t="s">
        <v>23</v>
      </c>
      <c r="J1167" s="1">
        <v>780</v>
      </c>
      <c r="K1167" s="1">
        <v>41.05263157894737</v>
      </c>
      <c r="L1167" s="3">
        <v>19</v>
      </c>
      <c r="M1167" t="s">
        <v>244</v>
      </c>
      <c r="N1167" s="2">
        <v>45489</v>
      </c>
      <c r="O1167" t="s">
        <v>67</v>
      </c>
      <c r="P1167" t="s">
        <v>841</v>
      </c>
      <c r="Q1167">
        <v>75231</v>
      </c>
      <c r="R1167" t="s">
        <v>27</v>
      </c>
      <c r="S1167" s="10">
        <v>28.514091345258908</v>
      </c>
      <c r="T1167">
        <v>42</v>
      </c>
    </row>
    <row r="1168" spans="1:20" x14ac:dyDescent="0.3">
      <c r="A1168">
        <v>1694</v>
      </c>
      <c r="B1168" t="s">
        <v>914</v>
      </c>
      <c r="C1168" t="s">
        <v>1366</v>
      </c>
      <c r="D1168" t="s">
        <v>2116</v>
      </c>
      <c r="E1168" t="s">
        <v>2117</v>
      </c>
      <c r="F1168" t="s">
        <v>2118</v>
      </c>
      <c r="G1168" t="s">
        <v>495</v>
      </c>
      <c r="H1168" t="s">
        <v>34</v>
      </c>
      <c r="I1168" t="s">
        <v>23</v>
      </c>
      <c r="J1168" s="1">
        <v>819</v>
      </c>
      <c r="K1168" s="1">
        <v>29.25</v>
      </c>
      <c r="L1168" s="3">
        <v>28</v>
      </c>
      <c r="M1168" t="s">
        <v>36</v>
      </c>
      <c r="N1168" s="2">
        <v>45498</v>
      </c>
      <c r="O1168" t="s">
        <v>144</v>
      </c>
      <c r="P1168" t="s">
        <v>1064</v>
      </c>
      <c r="Q1168">
        <v>80940</v>
      </c>
      <c r="R1168" t="s">
        <v>27</v>
      </c>
      <c r="S1168" s="10">
        <v>67.745469116636599</v>
      </c>
      <c r="T1168">
        <v>52</v>
      </c>
    </row>
    <row r="1169" spans="1:20" x14ac:dyDescent="0.3">
      <c r="A1169">
        <v>1848</v>
      </c>
      <c r="B1169" t="s">
        <v>1538</v>
      </c>
      <c r="C1169" t="s">
        <v>1235</v>
      </c>
      <c r="D1169" t="s">
        <v>2119</v>
      </c>
      <c r="E1169" t="s">
        <v>2120</v>
      </c>
      <c r="F1169" t="s">
        <v>2121</v>
      </c>
      <c r="G1169" t="s">
        <v>909</v>
      </c>
      <c r="H1169" t="s">
        <v>34</v>
      </c>
      <c r="I1169" t="s">
        <v>228</v>
      </c>
      <c r="J1169" s="1">
        <v>964</v>
      </c>
      <c r="K1169" s="1">
        <v>41.913043478260867</v>
      </c>
      <c r="L1169" s="3">
        <v>23</v>
      </c>
      <c r="M1169" t="s">
        <v>24</v>
      </c>
      <c r="N1169" s="2">
        <v>45500</v>
      </c>
      <c r="O1169" t="s">
        <v>762</v>
      </c>
      <c r="P1169" t="s">
        <v>2122</v>
      </c>
      <c r="Q1169">
        <v>99812</v>
      </c>
      <c r="R1169" t="s">
        <v>27</v>
      </c>
      <c r="S1169" s="10">
        <v>56.738195054590136</v>
      </c>
      <c r="T1169">
        <v>54</v>
      </c>
    </row>
    <row r="1170" spans="1:20" x14ac:dyDescent="0.3">
      <c r="A1170">
        <v>1741</v>
      </c>
      <c r="B1170" t="s">
        <v>2123</v>
      </c>
      <c r="C1170" t="s">
        <v>1079</v>
      </c>
      <c r="D1170" t="s">
        <v>2124</v>
      </c>
      <c r="E1170" t="s">
        <v>2125</v>
      </c>
      <c r="F1170" t="s">
        <v>966</v>
      </c>
      <c r="G1170" t="s">
        <v>948</v>
      </c>
      <c r="H1170" t="s">
        <v>22</v>
      </c>
      <c r="I1170" t="s">
        <v>23</v>
      </c>
      <c r="J1170" s="1">
        <v>521</v>
      </c>
      <c r="K1170" s="1">
        <v>43.416666666666664</v>
      </c>
      <c r="L1170" s="3">
        <v>12</v>
      </c>
      <c r="M1170" t="s">
        <v>244</v>
      </c>
      <c r="N1170" s="2">
        <v>45501</v>
      </c>
      <c r="O1170" t="s">
        <v>37</v>
      </c>
      <c r="P1170" t="s">
        <v>379</v>
      </c>
      <c r="Q1170">
        <v>94605</v>
      </c>
      <c r="R1170" t="s">
        <v>27</v>
      </c>
      <c r="S1170" s="10">
        <v>17.096710892111378</v>
      </c>
      <c r="T1170">
        <v>21</v>
      </c>
    </row>
    <row r="1171" spans="1:20" x14ac:dyDescent="0.3">
      <c r="A1171">
        <v>1026</v>
      </c>
      <c r="B1171" t="s">
        <v>77</v>
      </c>
      <c r="C1171" t="s">
        <v>78</v>
      </c>
      <c r="D1171" t="s">
        <v>79</v>
      </c>
      <c r="E1171" t="s">
        <v>80</v>
      </c>
      <c r="F1171" t="s">
        <v>81</v>
      </c>
      <c r="G1171" t="s">
        <v>82</v>
      </c>
      <c r="H1171" t="s">
        <v>22</v>
      </c>
      <c r="I1171" t="s">
        <v>23</v>
      </c>
      <c r="J1171" s="1">
        <v>630</v>
      </c>
      <c r="K1171" s="1">
        <v>39.375</v>
      </c>
      <c r="L1171" s="3">
        <v>16</v>
      </c>
      <c r="M1171" t="s">
        <v>36</v>
      </c>
      <c r="N1171" s="2">
        <v>45504</v>
      </c>
      <c r="O1171" t="s">
        <v>83</v>
      </c>
      <c r="P1171" t="s">
        <v>84</v>
      </c>
      <c r="Q1171">
        <v>10469</v>
      </c>
      <c r="R1171" t="s">
        <v>27</v>
      </c>
      <c r="S1171" s="10">
        <v>22.72710820233074</v>
      </c>
      <c r="T1171">
        <v>29</v>
      </c>
    </row>
    <row r="1172" spans="1:20" x14ac:dyDescent="0.3">
      <c r="A1172">
        <v>1973</v>
      </c>
      <c r="B1172" t="s">
        <v>1479</v>
      </c>
      <c r="C1172" t="s">
        <v>914</v>
      </c>
      <c r="D1172" t="s">
        <v>2126</v>
      </c>
      <c r="E1172" t="s">
        <v>2127</v>
      </c>
      <c r="F1172" t="s">
        <v>2128</v>
      </c>
      <c r="G1172" t="s">
        <v>2129</v>
      </c>
      <c r="H1172" t="s">
        <v>22</v>
      </c>
      <c r="I1172" t="s">
        <v>366</v>
      </c>
      <c r="J1172" s="1">
        <v>330</v>
      </c>
      <c r="K1172" s="1">
        <v>41.25</v>
      </c>
      <c r="L1172" s="3">
        <v>8</v>
      </c>
      <c r="M1172" t="s">
        <v>36</v>
      </c>
      <c r="N1172" s="2">
        <v>45504</v>
      </c>
      <c r="O1172" t="s">
        <v>67</v>
      </c>
      <c r="P1172" t="s">
        <v>841</v>
      </c>
      <c r="Q1172">
        <v>75353</v>
      </c>
      <c r="R1172" t="s">
        <v>27</v>
      </c>
      <c r="S1172" s="10">
        <v>11.396567203825789</v>
      </c>
      <c r="T1172">
        <v>11</v>
      </c>
    </row>
    <row r="1173" spans="1:20" x14ac:dyDescent="0.3">
      <c r="A1173">
        <v>1812</v>
      </c>
      <c r="B1173" t="s">
        <v>231</v>
      </c>
      <c r="C1173" t="s">
        <v>232</v>
      </c>
      <c r="D1173" t="s">
        <v>233</v>
      </c>
      <c r="E1173" t="s">
        <v>234</v>
      </c>
      <c r="F1173" t="s">
        <v>235</v>
      </c>
      <c r="G1173" t="s">
        <v>74</v>
      </c>
      <c r="H1173" t="s">
        <v>34</v>
      </c>
      <c r="I1173" t="s">
        <v>236</v>
      </c>
      <c r="J1173" s="1">
        <v>299</v>
      </c>
      <c r="K1173" s="1">
        <v>33.222222222222221</v>
      </c>
      <c r="L1173" s="3">
        <v>9</v>
      </c>
      <c r="M1173" t="s">
        <v>126</v>
      </c>
      <c r="N1173" s="2">
        <v>45509</v>
      </c>
      <c r="O1173" t="s">
        <v>237</v>
      </c>
      <c r="P1173" t="s">
        <v>238</v>
      </c>
      <c r="Q1173">
        <v>35220</v>
      </c>
      <c r="R1173" t="s">
        <v>27</v>
      </c>
      <c r="S1173" s="10">
        <v>20.725653665942481</v>
      </c>
      <c r="T1173">
        <v>13</v>
      </c>
    </row>
    <row r="1174" spans="1:20" x14ac:dyDescent="0.3">
      <c r="A1174">
        <v>1632</v>
      </c>
      <c r="B1174" t="s">
        <v>910</v>
      </c>
      <c r="C1174" t="s">
        <v>541</v>
      </c>
      <c r="D1174" t="s">
        <v>2130</v>
      </c>
      <c r="E1174" t="s">
        <v>2131</v>
      </c>
      <c r="F1174" t="s">
        <v>2132</v>
      </c>
      <c r="G1174" t="s">
        <v>1261</v>
      </c>
      <c r="H1174" t="s">
        <v>34</v>
      </c>
      <c r="I1174" t="s">
        <v>23</v>
      </c>
      <c r="J1174" s="1">
        <v>30</v>
      </c>
      <c r="K1174" s="1">
        <v>30</v>
      </c>
      <c r="L1174" s="3">
        <v>1</v>
      </c>
      <c r="M1174" t="s">
        <v>195</v>
      </c>
      <c r="N1174" s="2">
        <v>45512</v>
      </c>
      <c r="O1174" t="s">
        <v>25</v>
      </c>
      <c r="P1174" t="s">
        <v>1991</v>
      </c>
      <c r="Q1174">
        <v>48604</v>
      </c>
      <c r="R1174" t="s">
        <v>27</v>
      </c>
      <c r="S1174" s="10">
        <v>2.0910406538593489</v>
      </c>
      <c r="T1174">
        <v>2</v>
      </c>
    </row>
    <row r="1175" spans="1:20" x14ac:dyDescent="0.3">
      <c r="A1175">
        <v>1514</v>
      </c>
      <c r="B1175" t="s">
        <v>1291</v>
      </c>
      <c r="C1175" t="s">
        <v>358</v>
      </c>
      <c r="D1175" t="s">
        <v>1292</v>
      </c>
      <c r="E1175" t="s">
        <v>1293</v>
      </c>
      <c r="F1175" t="s">
        <v>1116</v>
      </c>
      <c r="G1175" t="s">
        <v>701</v>
      </c>
      <c r="H1175" t="s">
        <v>22</v>
      </c>
      <c r="I1175" t="s">
        <v>75</v>
      </c>
      <c r="J1175" s="1">
        <v>572</v>
      </c>
      <c r="K1175" s="1">
        <v>38.133333333333333</v>
      </c>
      <c r="L1175" s="3">
        <v>15</v>
      </c>
      <c r="M1175" t="s">
        <v>404</v>
      </c>
      <c r="N1175" s="2">
        <v>45513</v>
      </c>
      <c r="O1175" t="s">
        <v>37</v>
      </c>
      <c r="P1175" t="s">
        <v>1294</v>
      </c>
      <c r="Q1175">
        <v>94913</v>
      </c>
      <c r="R1175" t="s">
        <v>27</v>
      </c>
      <c r="S1175" s="10">
        <v>26.237152572805151</v>
      </c>
      <c r="T1175">
        <v>27</v>
      </c>
    </row>
    <row r="1176" spans="1:20" x14ac:dyDescent="0.3">
      <c r="A1176">
        <v>1985</v>
      </c>
      <c r="B1176" t="s">
        <v>275</v>
      </c>
      <c r="C1176" t="s">
        <v>1523</v>
      </c>
      <c r="D1176" t="s">
        <v>1524</v>
      </c>
      <c r="E1176" t="s">
        <v>1525</v>
      </c>
      <c r="F1176" t="s">
        <v>53</v>
      </c>
      <c r="G1176" t="s">
        <v>1261</v>
      </c>
      <c r="H1176" t="s">
        <v>22</v>
      </c>
      <c r="I1176" t="s">
        <v>65</v>
      </c>
      <c r="J1176" s="1">
        <v>523</v>
      </c>
      <c r="K1176" s="1">
        <v>43.583333333333336</v>
      </c>
      <c r="L1176" s="3">
        <v>12</v>
      </c>
      <c r="M1176" t="s">
        <v>447</v>
      </c>
      <c r="N1176" s="2">
        <v>45513</v>
      </c>
      <c r="O1176" t="s">
        <v>136</v>
      </c>
      <c r="P1176" t="s">
        <v>137</v>
      </c>
      <c r="Q1176">
        <v>60646</v>
      </c>
      <c r="R1176" t="s">
        <v>27</v>
      </c>
      <c r="S1176" s="10">
        <v>22.874159578110572</v>
      </c>
      <c r="T1176">
        <v>18</v>
      </c>
    </row>
    <row r="1177" spans="1:20" x14ac:dyDescent="0.3">
      <c r="A1177">
        <v>1976</v>
      </c>
      <c r="B1177" t="s">
        <v>1215</v>
      </c>
      <c r="C1177" t="s">
        <v>2133</v>
      </c>
      <c r="D1177" t="s">
        <v>2134</v>
      </c>
      <c r="E1177" t="s">
        <v>2135</v>
      </c>
      <c r="F1177" t="s">
        <v>1461</v>
      </c>
      <c r="G1177" t="s">
        <v>378</v>
      </c>
      <c r="H1177" t="s">
        <v>34</v>
      </c>
      <c r="I1177" t="s">
        <v>65</v>
      </c>
      <c r="J1177" s="1">
        <v>874</v>
      </c>
      <c r="K1177" s="1">
        <v>38</v>
      </c>
      <c r="L1177" s="3">
        <v>23</v>
      </c>
      <c r="M1177" t="s">
        <v>126</v>
      </c>
      <c r="N1177" s="2">
        <v>45514</v>
      </c>
      <c r="O1177" t="s">
        <v>136</v>
      </c>
      <c r="P1177" t="s">
        <v>137</v>
      </c>
      <c r="Q1177">
        <v>60674</v>
      </c>
      <c r="R1177" t="s">
        <v>27</v>
      </c>
      <c r="S1177" s="10">
        <v>30.232453415731236</v>
      </c>
      <c r="T1177">
        <v>42</v>
      </c>
    </row>
    <row r="1178" spans="1:20" x14ac:dyDescent="0.3">
      <c r="A1178">
        <v>1437</v>
      </c>
      <c r="B1178" t="s">
        <v>654</v>
      </c>
      <c r="C1178" t="s">
        <v>655</v>
      </c>
      <c r="D1178" t="s">
        <v>656</v>
      </c>
      <c r="E1178" t="s">
        <v>657</v>
      </c>
      <c r="F1178" t="s">
        <v>658</v>
      </c>
      <c r="G1178" t="s">
        <v>357</v>
      </c>
      <c r="H1178" t="s">
        <v>34</v>
      </c>
      <c r="I1178" t="s">
        <v>299</v>
      </c>
      <c r="J1178" s="1">
        <v>476</v>
      </c>
      <c r="K1178" s="1">
        <v>34</v>
      </c>
      <c r="L1178" s="3">
        <v>14</v>
      </c>
      <c r="M1178" t="s">
        <v>36</v>
      </c>
      <c r="N1178" s="2">
        <v>45515</v>
      </c>
      <c r="O1178" t="s">
        <v>300</v>
      </c>
      <c r="P1178" t="s">
        <v>659</v>
      </c>
      <c r="Q1178">
        <v>89505</v>
      </c>
      <c r="R1178" t="s">
        <v>27</v>
      </c>
      <c r="S1178" s="10">
        <v>24.802231695803719</v>
      </c>
      <c r="T1178">
        <v>22</v>
      </c>
    </row>
    <row r="1179" spans="1:20" x14ac:dyDescent="0.3">
      <c r="A1179">
        <v>1087</v>
      </c>
      <c r="B1179" t="s">
        <v>819</v>
      </c>
      <c r="C1179" t="s">
        <v>1023</v>
      </c>
      <c r="D1179" t="s">
        <v>2136</v>
      </c>
      <c r="E1179" t="s">
        <v>2137</v>
      </c>
      <c r="F1179" t="s">
        <v>590</v>
      </c>
      <c r="G1179" t="s">
        <v>1698</v>
      </c>
      <c r="H1179" t="s">
        <v>22</v>
      </c>
      <c r="I1179" t="s">
        <v>55</v>
      </c>
      <c r="J1179" s="1">
        <v>465</v>
      </c>
      <c r="K1179" s="1">
        <v>31</v>
      </c>
      <c r="L1179" s="3">
        <v>15</v>
      </c>
      <c r="M1179" t="s">
        <v>126</v>
      </c>
      <c r="N1179" s="2">
        <v>45517</v>
      </c>
      <c r="O1179" t="s">
        <v>37</v>
      </c>
      <c r="P1179" t="s">
        <v>2138</v>
      </c>
      <c r="Q1179">
        <v>92705</v>
      </c>
      <c r="R1179" t="s">
        <v>27</v>
      </c>
      <c r="S1179" s="10">
        <v>27.832401209743168</v>
      </c>
      <c r="T1179">
        <v>29</v>
      </c>
    </row>
    <row r="1180" spans="1:20" x14ac:dyDescent="0.3">
      <c r="A1180">
        <v>1039</v>
      </c>
      <c r="B1180" t="s">
        <v>828</v>
      </c>
      <c r="C1180" t="s">
        <v>154</v>
      </c>
      <c r="D1180" t="s">
        <v>829</v>
      </c>
      <c r="E1180" t="s">
        <v>830</v>
      </c>
      <c r="F1180" t="s">
        <v>831</v>
      </c>
      <c r="G1180" t="s">
        <v>832</v>
      </c>
      <c r="H1180" t="s">
        <v>34</v>
      </c>
      <c r="I1180" t="s">
        <v>23</v>
      </c>
      <c r="J1180" s="1">
        <v>808</v>
      </c>
      <c r="K1180" s="1">
        <v>31.076923076923077</v>
      </c>
      <c r="L1180" s="3">
        <v>26</v>
      </c>
      <c r="M1180" t="s">
        <v>244</v>
      </c>
      <c r="N1180" s="2">
        <v>45518</v>
      </c>
      <c r="O1180" t="s">
        <v>496</v>
      </c>
      <c r="P1180" t="s">
        <v>687</v>
      </c>
      <c r="Q1180">
        <v>40298</v>
      </c>
      <c r="R1180" t="s">
        <v>27</v>
      </c>
      <c r="S1180" s="10">
        <v>56.66009752721785</v>
      </c>
      <c r="T1180">
        <v>61</v>
      </c>
    </row>
    <row r="1181" spans="1:20" x14ac:dyDescent="0.3">
      <c r="A1181">
        <v>1234</v>
      </c>
      <c r="B1181" t="s">
        <v>59</v>
      </c>
      <c r="C1181" t="s">
        <v>60</v>
      </c>
      <c r="D1181" t="s">
        <v>61</v>
      </c>
      <c r="E1181" t="s">
        <v>62</v>
      </c>
      <c r="F1181" t="s">
        <v>63</v>
      </c>
      <c r="G1181" t="s">
        <v>64</v>
      </c>
      <c r="H1181" t="s">
        <v>34</v>
      </c>
      <c r="I1181" t="s">
        <v>65</v>
      </c>
      <c r="J1181" s="1">
        <v>851</v>
      </c>
      <c r="K1181" s="1">
        <v>40.523809523809526</v>
      </c>
      <c r="L1181" s="3">
        <v>21</v>
      </c>
      <c r="M1181" t="s">
        <v>66</v>
      </c>
      <c r="N1181" s="2">
        <v>45518</v>
      </c>
      <c r="O1181" t="s">
        <v>67</v>
      </c>
      <c r="P1181" t="s">
        <v>68</v>
      </c>
      <c r="Q1181">
        <v>78710</v>
      </c>
      <c r="R1181" t="s">
        <v>27</v>
      </c>
      <c r="S1181" s="10">
        <v>41.803713844753815</v>
      </c>
      <c r="T1181">
        <v>35</v>
      </c>
    </row>
    <row r="1182" spans="1:20" x14ac:dyDescent="0.3">
      <c r="A1182">
        <v>1985</v>
      </c>
      <c r="B1182" t="s">
        <v>275</v>
      </c>
      <c r="C1182" t="s">
        <v>1523</v>
      </c>
      <c r="D1182" t="s">
        <v>1524</v>
      </c>
      <c r="E1182" t="s">
        <v>1525</v>
      </c>
      <c r="F1182" t="s">
        <v>53</v>
      </c>
      <c r="G1182" t="s">
        <v>1261</v>
      </c>
      <c r="H1182" t="s">
        <v>22</v>
      </c>
      <c r="I1182" t="s">
        <v>65</v>
      </c>
      <c r="J1182" s="1">
        <v>426</v>
      </c>
      <c r="K1182" s="1">
        <v>32.769230769230766</v>
      </c>
      <c r="L1182" s="3">
        <v>13</v>
      </c>
      <c r="M1182" t="s">
        <v>447</v>
      </c>
      <c r="N1182" s="2">
        <v>45518</v>
      </c>
      <c r="O1182" t="s">
        <v>136</v>
      </c>
      <c r="P1182" t="s">
        <v>137</v>
      </c>
      <c r="Q1182">
        <v>60646</v>
      </c>
      <c r="R1182" t="s">
        <v>27</v>
      </c>
      <c r="S1182" s="10">
        <v>18.486308215161646</v>
      </c>
      <c r="T1182">
        <v>27</v>
      </c>
    </row>
    <row r="1183" spans="1:20" x14ac:dyDescent="0.3">
      <c r="A1183">
        <v>1783</v>
      </c>
      <c r="B1183" t="s">
        <v>302</v>
      </c>
      <c r="C1183" t="s">
        <v>303</v>
      </c>
      <c r="D1183" t="s">
        <v>304</v>
      </c>
      <c r="E1183" t="s">
        <v>305</v>
      </c>
      <c r="F1183" t="s">
        <v>306</v>
      </c>
      <c r="G1183" t="s">
        <v>307</v>
      </c>
      <c r="H1183" t="s">
        <v>34</v>
      </c>
      <c r="I1183" t="s">
        <v>35</v>
      </c>
      <c r="J1183" s="1">
        <v>495</v>
      </c>
      <c r="K1183" s="1">
        <v>41.25</v>
      </c>
      <c r="L1183" s="3">
        <v>12</v>
      </c>
      <c r="M1183" t="s">
        <v>244</v>
      </c>
      <c r="N1183" s="2">
        <v>45520</v>
      </c>
      <c r="O1183" t="s">
        <v>308</v>
      </c>
      <c r="P1183" t="s">
        <v>309</v>
      </c>
      <c r="Q1183">
        <v>85715</v>
      </c>
      <c r="R1183" t="s">
        <v>27</v>
      </c>
      <c r="S1183" s="10">
        <v>20.648869575666403</v>
      </c>
      <c r="T1183">
        <v>17</v>
      </c>
    </row>
    <row r="1184" spans="1:20" x14ac:dyDescent="0.3">
      <c r="A1184">
        <v>1489</v>
      </c>
      <c r="B1184" t="s">
        <v>85</v>
      </c>
      <c r="C1184" t="s">
        <v>86</v>
      </c>
      <c r="D1184" t="s">
        <v>87</v>
      </c>
      <c r="E1184" t="s">
        <v>88</v>
      </c>
      <c r="F1184" t="s">
        <v>89</v>
      </c>
      <c r="G1184" t="s">
        <v>90</v>
      </c>
      <c r="H1184" t="s">
        <v>34</v>
      </c>
      <c r="I1184" t="s">
        <v>23</v>
      </c>
      <c r="J1184" s="1">
        <v>868</v>
      </c>
      <c r="K1184" s="1">
        <v>39.454545454545453</v>
      </c>
      <c r="L1184" s="3">
        <v>22</v>
      </c>
      <c r="M1184" t="s">
        <v>66</v>
      </c>
      <c r="N1184" s="2">
        <v>45523</v>
      </c>
      <c r="O1184" t="s">
        <v>47</v>
      </c>
      <c r="P1184" t="s">
        <v>91</v>
      </c>
      <c r="Q1184">
        <v>23668</v>
      </c>
      <c r="R1184" t="s">
        <v>27</v>
      </c>
      <c r="S1184" s="10">
        <v>30.439436346264767</v>
      </c>
      <c r="T1184">
        <v>44</v>
      </c>
    </row>
    <row r="1185" spans="1:20" x14ac:dyDescent="0.3">
      <c r="A1185">
        <v>1407</v>
      </c>
      <c r="B1185" t="s">
        <v>59</v>
      </c>
      <c r="C1185" t="s">
        <v>939</v>
      </c>
      <c r="D1185" t="s">
        <v>940</v>
      </c>
      <c r="E1185" t="s">
        <v>941</v>
      </c>
      <c r="F1185" t="s">
        <v>942</v>
      </c>
      <c r="G1185" t="s">
        <v>943</v>
      </c>
      <c r="H1185" t="s">
        <v>34</v>
      </c>
      <c r="I1185" t="s">
        <v>98</v>
      </c>
      <c r="J1185" s="1">
        <v>133</v>
      </c>
      <c r="K1185" s="1">
        <v>26.6</v>
      </c>
      <c r="L1185" s="3">
        <v>5</v>
      </c>
      <c r="M1185" t="s">
        <v>404</v>
      </c>
      <c r="N1185" s="2">
        <v>45524</v>
      </c>
      <c r="O1185" t="s">
        <v>37</v>
      </c>
      <c r="P1185" t="s">
        <v>870</v>
      </c>
      <c r="Q1185">
        <v>92153</v>
      </c>
      <c r="R1185" t="s">
        <v>27</v>
      </c>
      <c r="S1185" s="10">
        <v>9.516460380330038</v>
      </c>
      <c r="T1185">
        <v>7</v>
      </c>
    </row>
    <row r="1186" spans="1:20" x14ac:dyDescent="0.3">
      <c r="A1186">
        <v>1708</v>
      </c>
      <c r="B1186" t="s">
        <v>1038</v>
      </c>
      <c r="C1186" t="s">
        <v>431</v>
      </c>
      <c r="D1186" t="s">
        <v>2139</v>
      </c>
      <c r="E1186" t="s">
        <v>2140</v>
      </c>
      <c r="F1186" t="s">
        <v>2054</v>
      </c>
      <c r="G1186" t="s">
        <v>90</v>
      </c>
      <c r="H1186" t="s">
        <v>22</v>
      </c>
      <c r="I1186" t="s">
        <v>23</v>
      </c>
      <c r="J1186" s="1">
        <v>270</v>
      </c>
      <c r="K1186" s="1">
        <v>45</v>
      </c>
      <c r="L1186" s="3">
        <v>6</v>
      </c>
      <c r="M1186" t="s">
        <v>195</v>
      </c>
      <c r="N1186" s="2">
        <v>45524</v>
      </c>
      <c r="O1186" t="s">
        <v>25</v>
      </c>
      <c r="P1186" t="s">
        <v>2141</v>
      </c>
      <c r="Q1186">
        <v>48107</v>
      </c>
      <c r="R1186" t="s">
        <v>27</v>
      </c>
      <c r="S1186" s="10">
        <v>9.9387249869285608</v>
      </c>
      <c r="T1186">
        <v>12</v>
      </c>
    </row>
    <row r="1187" spans="1:20" x14ac:dyDescent="0.3">
      <c r="A1187">
        <v>1998</v>
      </c>
      <c r="B1187" t="s">
        <v>111</v>
      </c>
      <c r="C1187" t="s">
        <v>112</v>
      </c>
      <c r="D1187" t="s">
        <v>113</v>
      </c>
      <c r="E1187" t="s">
        <v>114</v>
      </c>
      <c r="F1187" t="s">
        <v>115</v>
      </c>
      <c r="G1187" t="s">
        <v>116</v>
      </c>
      <c r="H1187" t="s">
        <v>34</v>
      </c>
      <c r="I1187" t="s">
        <v>117</v>
      </c>
      <c r="J1187" s="1">
        <v>984</v>
      </c>
      <c r="K1187" s="1">
        <v>39.36</v>
      </c>
      <c r="L1187" s="3">
        <v>25</v>
      </c>
      <c r="M1187" t="s">
        <v>36</v>
      </c>
      <c r="N1187" s="2">
        <v>45525</v>
      </c>
      <c r="O1187" t="s">
        <v>118</v>
      </c>
      <c r="P1187" t="s">
        <v>119</v>
      </c>
      <c r="Q1187">
        <v>55146</v>
      </c>
      <c r="R1187" t="s">
        <v>27</v>
      </c>
      <c r="S1187" s="10">
        <v>37.571691931431943</v>
      </c>
      <c r="T1187">
        <v>57</v>
      </c>
    </row>
    <row r="1188" spans="1:20" x14ac:dyDescent="0.3">
      <c r="A1188">
        <v>1489</v>
      </c>
      <c r="B1188" t="s">
        <v>85</v>
      </c>
      <c r="C1188" t="s">
        <v>86</v>
      </c>
      <c r="D1188" t="s">
        <v>87</v>
      </c>
      <c r="E1188" t="s">
        <v>88</v>
      </c>
      <c r="F1188" t="s">
        <v>89</v>
      </c>
      <c r="G1188" t="s">
        <v>90</v>
      </c>
      <c r="H1188" t="s">
        <v>34</v>
      </c>
      <c r="I1188" t="s">
        <v>23</v>
      </c>
      <c r="J1188" s="1">
        <v>996</v>
      </c>
      <c r="K1188" s="1">
        <v>43.304347826086953</v>
      </c>
      <c r="L1188" s="3">
        <v>23</v>
      </c>
      <c r="M1188" t="s">
        <v>66</v>
      </c>
      <c r="N1188" s="2">
        <v>45526</v>
      </c>
      <c r="O1188" t="s">
        <v>47</v>
      </c>
      <c r="P1188" t="s">
        <v>91</v>
      </c>
      <c r="Q1188">
        <v>23668</v>
      </c>
      <c r="R1188" t="s">
        <v>27</v>
      </c>
      <c r="S1188" s="10">
        <v>54.620804021841501</v>
      </c>
      <c r="T1188">
        <v>32</v>
      </c>
    </row>
    <row r="1189" spans="1:20" x14ac:dyDescent="0.3">
      <c r="A1189">
        <v>1664</v>
      </c>
      <c r="B1189" t="s">
        <v>213</v>
      </c>
      <c r="C1189" t="s">
        <v>168</v>
      </c>
      <c r="D1189" t="s">
        <v>2142</v>
      </c>
      <c r="E1189" t="s">
        <v>2143</v>
      </c>
      <c r="F1189" t="s">
        <v>1794</v>
      </c>
      <c r="G1189" t="s">
        <v>948</v>
      </c>
      <c r="H1189" t="s">
        <v>22</v>
      </c>
      <c r="I1189" t="s">
        <v>23</v>
      </c>
      <c r="J1189" s="1">
        <v>452</v>
      </c>
      <c r="K1189" s="1">
        <v>34.769230769230766</v>
      </c>
      <c r="L1189" s="3">
        <v>13</v>
      </c>
      <c r="M1189" t="s">
        <v>203</v>
      </c>
      <c r="N1189" s="2">
        <v>45528</v>
      </c>
      <c r="O1189" t="s">
        <v>165</v>
      </c>
      <c r="P1189" t="s">
        <v>166</v>
      </c>
      <c r="Q1189">
        <v>87195</v>
      </c>
      <c r="R1189" t="s">
        <v>27</v>
      </c>
      <c r="S1189" s="10">
        <v>19.796518931978348</v>
      </c>
      <c r="T1189">
        <v>28</v>
      </c>
    </row>
    <row r="1190" spans="1:20" x14ac:dyDescent="0.3">
      <c r="A1190">
        <v>1600</v>
      </c>
      <c r="B1190" t="s">
        <v>810</v>
      </c>
      <c r="C1190" t="s">
        <v>254</v>
      </c>
      <c r="D1190" t="s">
        <v>2144</v>
      </c>
      <c r="E1190" t="s">
        <v>2145</v>
      </c>
      <c r="F1190" t="s">
        <v>2146</v>
      </c>
      <c r="G1190" t="s">
        <v>158</v>
      </c>
      <c r="H1190" t="s">
        <v>34</v>
      </c>
      <c r="I1190" t="s">
        <v>45</v>
      </c>
      <c r="J1190" s="1">
        <v>342</v>
      </c>
      <c r="K1190" s="1">
        <v>38</v>
      </c>
      <c r="L1190" s="3">
        <v>9</v>
      </c>
      <c r="M1190" t="s">
        <v>126</v>
      </c>
      <c r="N1190" s="2">
        <v>45529</v>
      </c>
      <c r="O1190" t="s">
        <v>623</v>
      </c>
      <c r="P1190" t="s">
        <v>2147</v>
      </c>
      <c r="Q1190">
        <v>67260</v>
      </c>
      <c r="R1190" t="s">
        <v>27</v>
      </c>
      <c r="S1190" s="10">
        <v>21.966554702843403</v>
      </c>
      <c r="T1190">
        <v>17</v>
      </c>
    </row>
    <row r="1191" spans="1:20" x14ac:dyDescent="0.3">
      <c r="A1191">
        <v>1144</v>
      </c>
      <c r="B1191" t="s">
        <v>776</v>
      </c>
      <c r="C1191" t="s">
        <v>747</v>
      </c>
      <c r="D1191" t="s">
        <v>807</v>
      </c>
      <c r="E1191" t="s">
        <v>808</v>
      </c>
      <c r="F1191" t="s">
        <v>235</v>
      </c>
      <c r="G1191" t="s">
        <v>677</v>
      </c>
      <c r="H1191" t="s">
        <v>22</v>
      </c>
      <c r="I1191" t="s">
        <v>35</v>
      </c>
      <c r="J1191" s="1">
        <v>134</v>
      </c>
      <c r="K1191" s="1">
        <v>44.666666666666664</v>
      </c>
      <c r="L1191" s="3">
        <v>3</v>
      </c>
      <c r="M1191" t="s">
        <v>66</v>
      </c>
      <c r="N1191" s="2">
        <v>45530</v>
      </c>
      <c r="O1191" t="s">
        <v>83</v>
      </c>
      <c r="P1191" t="s">
        <v>809</v>
      </c>
      <c r="Q1191">
        <v>11355</v>
      </c>
      <c r="R1191" t="s">
        <v>27</v>
      </c>
      <c r="S1191" s="10">
        <v>4.3234562938161885</v>
      </c>
      <c r="T1191">
        <v>5</v>
      </c>
    </row>
    <row r="1192" spans="1:20" x14ac:dyDescent="0.3">
      <c r="A1192">
        <v>1580</v>
      </c>
      <c r="B1192" t="s">
        <v>1802</v>
      </c>
      <c r="C1192" t="s">
        <v>833</v>
      </c>
      <c r="D1192" t="s">
        <v>2148</v>
      </c>
      <c r="E1192" t="s">
        <v>2149</v>
      </c>
      <c r="F1192" t="s">
        <v>1470</v>
      </c>
      <c r="G1192" t="s">
        <v>555</v>
      </c>
      <c r="H1192" t="s">
        <v>22</v>
      </c>
      <c r="I1192" t="s">
        <v>117</v>
      </c>
      <c r="J1192" s="1">
        <v>428</v>
      </c>
      <c r="K1192" s="1">
        <v>26.75</v>
      </c>
      <c r="L1192" s="3">
        <v>16</v>
      </c>
      <c r="M1192" t="s">
        <v>66</v>
      </c>
      <c r="N1192" s="2">
        <v>45530</v>
      </c>
      <c r="O1192" t="s">
        <v>118</v>
      </c>
      <c r="P1192" t="s">
        <v>119</v>
      </c>
      <c r="Q1192">
        <v>55188</v>
      </c>
      <c r="R1192" t="s">
        <v>27</v>
      </c>
      <c r="S1192" s="10">
        <v>32.472187088020675</v>
      </c>
      <c r="T1192">
        <v>21</v>
      </c>
    </row>
    <row r="1193" spans="1:20" x14ac:dyDescent="0.3">
      <c r="A1193">
        <v>1043</v>
      </c>
      <c r="B1193" t="s">
        <v>102</v>
      </c>
      <c r="C1193" t="s">
        <v>154</v>
      </c>
      <c r="D1193" t="s">
        <v>547</v>
      </c>
      <c r="E1193" t="s">
        <v>548</v>
      </c>
      <c r="F1193" t="s">
        <v>549</v>
      </c>
      <c r="G1193" t="s">
        <v>453</v>
      </c>
      <c r="H1193" t="s">
        <v>34</v>
      </c>
      <c r="I1193" t="s">
        <v>23</v>
      </c>
      <c r="J1193" s="1">
        <v>639</v>
      </c>
      <c r="K1193" s="1">
        <v>37.588235294117645</v>
      </c>
      <c r="L1193" s="3">
        <v>17</v>
      </c>
      <c r="M1193" t="s">
        <v>24</v>
      </c>
      <c r="N1193" s="2">
        <v>45532</v>
      </c>
      <c r="O1193" t="s">
        <v>300</v>
      </c>
      <c r="P1193" t="s">
        <v>301</v>
      </c>
      <c r="Q1193">
        <v>89140</v>
      </c>
      <c r="R1193" t="s">
        <v>27</v>
      </c>
      <c r="S1193" s="10">
        <v>29.254227690825534</v>
      </c>
      <c r="T1193">
        <v>35</v>
      </c>
    </row>
    <row r="1194" spans="1:20" x14ac:dyDescent="0.3">
      <c r="A1194">
        <v>1274</v>
      </c>
      <c r="B1194" t="s">
        <v>373</v>
      </c>
      <c r="C1194" t="s">
        <v>1777</v>
      </c>
      <c r="D1194" t="s">
        <v>2150</v>
      </c>
      <c r="E1194" t="s">
        <v>2151</v>
      </c>
      <c r="F1194" t="s">
        <v>2152</v>
      </c>
      <c r="G1194" t="s">
        <v>1959</v>
      </c>
      <c r="H1194" t="s">
        <v>22</v>
      </c>
      <c r="I1194" t="s">
        <v>55</v>
      </c>
      <c r="J1194" s="1">
        <v>434</v>
      </c>
      <c r="K1194" s="1">
        <v>43.4</v>
      </c>
      <c r="L1194" s="3">
        <v>10</v>
      </c>
      <c r="M1194" t="s">
        <v>195</v>
      </c>
      <c r="N1194" s="2">
        <v>45532</v>
      </c>
      <c r="O1194" t="s">
        <v>67</v>
      </c>
      <c r="P1194" t="s">
        <v>280</v>
      </c>
      <c r="Q1194">
        <v>78235</v>
      </c>
      <c r="R1194" t="s">
        <v>27</v>
      </c>
      <c r="S1194" s="10">
        <v>24.443242985490471</v>
      </c>
      <c r="T1194">
        <v>17</v>
      </c>
    </row>
    <row r="1195" spans="1:20" x14ac:dyDescent="0.3">
      <c r="A1195">
        <v>1083</v>
      </c>
      <c r="B1195" t="s">
        <v>161</v>
      </c>
      <c r="C1195" t="s">
        <v>214</v>
      </c>
      <c r="D1195" t="s">
        <v>2153</v>
      </c>
      <c r="E1195" t="s">
        <v>2154</v>
      </c>
      <c r="F1195" t="s">
        <v>981</v>
      </c>
      <c r="G1195" t="s">
        <v>1422</v>
      </c>
      <c r="H1195" t="s">
        <v>34</v>
      </c>
      <c r="I1195" t="s">
        <v>55</v>
      </c>
      <c r="J1195" s="1">
        <v>272</v>
      </c>
      <c r="K1195" s="1">
        <v>38.857142857142854</v>
      </c>
      <c r="L1195" s="3">
        <v>7</v>
      </c>
      <c r="M1195" t="s">
        <v>36</v>
      </c>
      <c r="N1195" s="2">
        <v>45533</v>
      </c>
      <c r="O1195" t="s">
        <v>267</v>
      </c>
      <c r="P1195" t="s">
        <v>344</v>
      </c>
      <c r="Q1195">
        <v>32868</v>
      </c>
      <c r="R1195" t="s">
        <v>27</v>
      </c>
      <c r="S1195" s="10">
        <v>13.518502464620759</v>
      </c>
      <c r="T1195">
        <v>9</v>
      </c>
    </row>
    <row r="1196" spans="1:20" x14ac:dyDescent="0.3">
      <c r="A1196">
        <v>1465</v>
      </c>
      <c r="B1196" t="s">
        <v>1332</v>
      </c>
      <c r="C1196" t="s">
        <v>198</v>
      </c>
      <c r="D1196" t="s">
        <v>2155</v>
      </c>
      <c r="E1196" t="s">
        <v>2156</v>
      </c>
      <c r="F1196" t="s">
        <v>157</v>
      </c>
      <c r="G1196" t="s">
        <v>937</v>
      </c>
      <c r="H1196" t="s">
        <v>34</v>
      </c>
      <c r="I1196" t="s">
        <v>135</v>
      </c>
      <c r="J1196" s="1">
        <v>631</v>
      </c>
      <c r="K1196" s="1">
        <v>45.071428571428569</v>
      </c>
      <c r="L1196" s="3">
        <v>14</v>
      </c>
      <c r="M1196" t="s">
        <v>343</v>
      </c>
      <c r="N1196" s="2">
        <v>45533</v>
      </c>
      <c r="O1196" t="s">
        <v>67</v>
      </c>
      <c r="P1196" t="s">
        <v>751</v>
      </c>
      <c r="Q1196">
        <v>76004</v>
      </c>
      <c r="R1196" t="s">
        <v>27</v>
      </c>
      <c r="S1196" s="10">
        <v>21.00973513684648</v>
      </c>
      <c r="T1196">
        <v>30</v>
      </c>
    </row>
    <row r="1197" spans="1:20" x14ac:dyDescent="0.3">
      <c r="A1197">
        <v>1298</v>
      </c>
      <c r="B1197" t="s">
        <v>275</v>
      </c>
      <c r="C1197" t="s">
        <v>340</v>
      </c>
      <c r="D1197" t="s">
        <v>341</v>
      </c>
      <c r="E1197" t="s">
        <v>342</v>
      </c>
      <c r="F1197" t="s">
        <v>306</v>
      </c>
      <c r="G1197" t="s">
        <v>180</v>
      </c>
      <c r="H1197" t="s">
        <v>22</v>
      </c>
      <c r="I1197" t="s">
        <v>236</v>
      </c>
      <c r="J1197" s="1">
        <v>391</v>
      </c>
      <c r="K1197" s="1">
        <v>39.1</v>
      </c>
      <c r="L1197" s="3">
        <v>10</v>
      </c>
      <c r="M1197" t="s">
        <v>343</v>
      </c>
      <c r="N1197" s="2">
        <v>45534</v>
      </c>
      <c r="O1197" t="s">
        <v>267</v>
      </c>
      <c r="P1197" t="s">
        <v>344</v>
      </c>
      <c r="Q1197">
        <v>32891</v>
      </c>
      <c r="R1197" t="s">
        <v>27</v>
      </c>
      <c r="S1197" s="10">
        <v>21.466481665009173</v>
      </c>
      <c r="T1197">
        <v>13</v>
      </c>
    </row>
    <row r="1198" spans="1:20" x14ac:dyDescent="0.3">
      <c r="A1198">
        <v>1880</v>
      </c>
      <c r="B1198" t="s">
        <v>129</v>
      </c>
      <c r="C1198" t="s">
        <v>130</v>
      </c>
      <c r="D1198" t="s">
        <v>131</v>
      </c>
      <c r="E1198" t="s">
        <v>132</v>
      </c>
      <c r="F1198" t="s">
        <v>133</v>
      </c>
      <c r="G1198" t="s">
        <v>134</v>
      </c>
      <c r="H1198" t="s">
        <v>22</v>
      </c>
      <c r="I1198" t="s">
        <v>135</v>
      </c>
      <c r="J1198" s="1">
        <v>484</v>
      </c>
      <c r="K1198" s="1">
        <v>40.333333333333336</v>
      </c>
      <c r="L1198" s="3">
        <v>12</v>
      </c>
      <c r="M1198" t="s">
        <v>36</v>
      </c>
      <c r="N1198" s="2">
        <v>45537</v>
      </c>
      <c r="O1198" t="s">
        <v>136</v>
      </c>
      <c r="P1198" t="s">
        <v>137</v>
      </c>
      <c r="Q1198">
        <v>60614</v>
      </c>
      <c r="R1198" t="s">
        <v>27</v>
      </c>
      <c r="S1198" s="10">
        <v>29.312756262785221</v>
      </c>
      <c r="T1198">
        <v>20</v>
      </c>
    </row>
    <row r="1199" spans="1:20" x14ac:dyDescent="0.3">
      <c r="A1199">
        <v>1091</v>
      </c>
      <c r="B1199" t="s">
        <v>1118</v>
      </c>
      <c r="C1199" t="s">
        <v>460</v>
      </c>
      <c r="D1199" t="s">
        <v>2157</v>
      </c>
      <c r="E1199" t="s">
        <v>2158</v>
      </c>
      <c r="F1199" t="s">
        <v>1782</v>
      </c>
      <c r="G1199" t="s">
        <v>686</v>
      </c>
      <c r="H1199" t="s">
        <v>34</v>
      </c>
      <c r="I1199" t="s">
        <v>55</v>
      </c>
      <c r="J1199" s="1">
        <v>497</v>
      </c>
      <c r="K1199" s="1">
        <v>31.0625</v>
      </c>
      <c r="L1199" s="3">
        <v>16</v>
      </c>
      <c r="M1199" t="s">
        <v>36</v>
      </c>
      <c r="N1199" s="2">
        <v>45540</v>
      </c>
      <c r="O1199" t="s">
        <v>358</v>
      </c>
      <c r="P1199" t="s">
        <v>2159</v>
      </c>
      <c r="Q1199">
        <v>98498</v>
      </c>
      <c r="R1199" t="s">
        <v>27</v>
      </c>
      <c r="S1199" s="10">
        <v>31.730684678494914</v>
      </c>
      <c r="T1199">
        <v>31</v>
      </c>
    </row>
    <row r="1200" spans="1:20" x14ac:dyDescent="0.3">
      <c r="A1200">
        <v>1921</v>
      </c>
      <c r="B1200" t="s">
        <v>1868</v>
      </c>
      <c r="C1200" t="s">
        <v>353</v>
      </c>
      <c r="D1200" t="s">
        <v>2160</v>
      </c>
      <c r="E1200" t="s">
        <v>2161</v>
      </c>
      <c r="F1200" t="s">
        <v>2162</v>
      </c>
      <c r="G1200" t="s">
        <v>1056</v>
      </c>
      <c r="H1200" t="s">
        <v>34</v>
      </c>
      <c r="I1200" t="s">
        <v>23</v>
      </c>
      <c r="J1200" s="1">
        <v>332</v>
      </c>
      <c r="K1200" s="1">
        <v>36.888888888888886</v>
      </c>
      <c r="L1200" s="3">
        <v>9</v>
      </c>
      <c r="M1200" t="s">
        <v>126</v>
      </c>
      <c r="N1200" s="2">
        <v>45540</v>
      </c>
      <c r="O1200" t="s">
        <v>470</v>
      </c>
      <c r="P1200" t="s">
        <v>358</v>
      </c>
      <c r="Q1200">
        <v>20073</v>
      </c>
      <c r="R1200" t="s">
        <v>27</v>
      </c>
      <c r="S1200" s="10">
        <v>22.217237256500319</v>
      </c>
      <c r="T1200">
        <v>11</v>
      </c>
    </row>
    <row r="1201" spans="1:20" x14ac:dyDescent="0.3">
      <c r="A1201">
        <v>1020</v>
      </c>
      <c r="B1201" t="s">
        <v>310</v>
      </c>
      <c r="C1201" t="s">
        <v>311</v>
      </c>
      <c r="D1201" t="s">
        <v>312</v>
      </c>
      <c r="E1201" t="s">
        <v>313</v>
      </c>
      <c r="F1201" t="s">
        <v>314</v>
      </c>
      <c r="G1201" t="s">
        <v>315</v>
      </c>
      <c r="H1201" t="s">
        <v>22</v>
      </c>
      <c r="I1201" t="s">
        <v>23</v>
      </c>
      <c r="J1201" s="1">
        <v>16</v>
      </c>
      <c r="K1201" s="1">
        <v>16</v>
      </c>
      <c r="L1201" s="3">
        <v>1</v>
      </c>
      <c r="M1201" t="s">
        <v>36</v>
      </c>
      <c r="N1201" s="2">
        <v>45543</v>
      </c>
      <c r="O1201" t="s">
        <v>37</v>
      </c>
      <c r="P1201" t="s">
        <v>316</v>
      </c>
      <c r="Q1201">
        <v>94105</v>
      </c>
      <c r="R1201" t="s">
        <v>27</v>
      </c>
      <c r="S1201" s="10">
        <v>2.4813280799034758</v>
      </c>
      <c r="T1201">
        <v>1</v>
      </c>
    </row>
    <row r="1202" spans="1:20" x14ac:dyDescent="0.3">
      <c r="A1202">
        <v>1039</v>
      </c>
      <c r="B1202" t="s">
        <v>828</v>
      </c>
      <c r="C1202" t="s">
        <v>154</v>
      </c>
      <c r="D1202" t="s">
        <v>829</v>
      </c>
      <c r="E1202" t="s">
        <v>830</v>
      </c>
      <c r="F1202" t="s">
        <v>831</v>
      </c>
      <c r="G1202" t="s">
        <v>832</v>
      </c>
      <c r="H1202" t="s">
        <v>34</v>
      </c>
      <c r="I1202" t="s">
        <v>23</v>
      </c>
      <c r="J1202" s="1">
        <v>432</v>
      </c>
      <c r="K1202" s="1">
        <v>43.2</v>
      </c>
      <c r="L1202" s="3">
        <v>10</v>
      </c>
      <c r="M1202" t="s">
        <v>244</v>
      </c>
      <c r="N1202" s="2">
        <v>45543</v>
      </c>
      <c r="O1202" t="s">
        <v>496</v>
      </c>
      <c r="P1202" t="s">
        <v>687</v>
      </c>
      <c r="Q1202">
        <v>40298</v>
      </c>
      <c r="R1202" t="s">
        <v>27</v>
      </c>
      <c r="S1202" s="10">
        <v>15.747637533565349</v>
      </c>
      <c r="T1202">
        <v>20</v>
      </c>
    </row>
    <row r="1203" spans="1:20" x14ac:dyDescent="0.3">
      <c r="A1203">
        <v>1753</v>
      </c>
      <c r="B1203" t="s">
        <v>802</v>
      </c>
      <c r="C1203" t="s">
        <v>1119</v>
      </c>
      <c r="D1203" t="s">
        <v>2163</v>
      </c>
      <c r="E1203" t="s">
        <v>2164</v>
      </c>
      <c r="F1203" t="s">
        <v>2165</v>
      </c>
      <c r="G1203" t="s">
        <v>298</v>
      </c>
      <c r="H1203" t="s">
        <v>34</v>
      </c>
      <c r="I1203" t="s">
        <v>55</v>
      </c>
      <c r="J1203" s="1">
        <v>80</v>
      </c>
      <c r="K1203" s="1">
        <v>26.666666666666668</v>
      </c>
      <c r="L1203" s="3">
        <v>3</v>
      </c>
      <c r="M1203" t="s">
        <v>126</v>
      </c>
      <c r="N1203" s="2">
        <v>45543</v>
      </c>
      <c r="O1203" t="s">
        <v>196</v>
      </c>
      <c r="P1203" t="s">
        <v>678</v>
      </c>
      <c r="Q1203">
        <v>16522</v>
      </c>
      <c r="R1203" t="s">
        <v>27</v>
      </c>
      <c r="S1203" s="10">
        <v>4.4535626667888373</v>
      </c>
      <c r="T1203">
        <v>4</v>
      </c>
    </row>
    <row r="1204" spans="1:20" x14ac:dyDescent="0.3">
      <c r="A1204">
        <v>1021</v>
      </c>
      <c r="B1204" t="s">
        <v>16</v>
      </c>
      <c r="C1204" t="s">
        <v>17</v>
      </c>
      <c r="D1204" t="s">
        <v>18</v>
      </c>
      <c r="E1204" t="s">
        <v>19</v>
      </c>
      <c r="F1204" t="s">
        <v>20</v>
      </c>
      <c r="G1204" t="s">
        <v>21</v>
      </c>
      <c r="H1204" t="s">
        <v>22</v>
      </c>
      <c r="I1204" t="s">
        <v>23</v>
      </c>
      <c r="J1204" s="1">
        <v>726</v>
      </c>
      <c r="K1204" s="1">
        <v>31.565217391304348</v>
      </c>
      <c r="L1204" s="3">
        <v>23</v>
      </c>
      <c r="M1204" t="s">
        <v>24</v>
      </c>
      <c r="N1204" s="2">
        <v>45545</v>
      </c>
      <c r="O1204" t="s">
        <v>25</v>
      </c>
      <c r="P1204" t="s">
        <v>26</v>
      </c>
      <c r="Q1204">
        <v>48555</v>
      </c>
      <c r="R1204" t="s">
        <v>27</v>
      </c>
      <c r="S1204" s="10">
        <v>39.781572737576795</v>
      </c>
      <c r="T1204">
        <v>42</v>
      </c>
    </row>
    <row r="1205" spans="1:20" x14ac:dyDescent="0.3">
      <c r="A1205">
        <v>1298</v>
      </c>
      <c r="B1205" t="s">
        <v>275</v>
      </c>
      <c r="C1205" t="s">
        <v>340</v>
      </c>
      <c r="D1205" t="s">
        <v>341</v>
      </c>
      <c r="E1205" t="s">
        <v>342</v>
      </c>
      <c r="F1205" t="s">
        <v>306</v>
      </c>
      <c r="G1205" t="s">
        <v>180</v>
      </c>
      <c r="H1205" t="s">
        <v>22</v>
      </c>
      <c r="I1205" t="s">
        <v>236</v>
      </c>
      <c r="J1205" s="1">
        <v>979</v>
      </c>
      <c r="K1205" s="1">
        <v>25.763157894736842</v>
      </c>
      <c r="L1205" s="3">
        <v>38</v>
      </c>
      <c r="M1205" t="s">
        <v>343</v>
      </c>
      <c r="N1205" s="2">
        <v>45545</v>
      </c>
      <c r="O1205" t="s">
        <v>267</v>
      </c>
      <c r="P1205" t="s">
        <v>344</v>
      </c>
      <c r="Q1205">
        <v>32891</v>
      </c>
      <c r="R1205" t="s">
        <v>27</v>
      </c>
      <c r="S1205" s="10">
        <v>68.810321776520539</v>
      </c>
      <c r="T1205">
        <v>68</v>
      </c>
    </row>
    <row r="1206" spans="1:20" x14ac:dyDescent="0.3">
      <c r="A1206">
        <v>1298</v>
      </c>
      <c r="B1206" t="s">
        <v>275</v>
      </c>
      <c r="C1206" t="s">
        <v>340</v>
      </c>
      <c r="D1206" t="s">
        <v>341</v>
      </c>
      <c r="E1206" t="s">
        <v>342</v>
      </c>
      <c r="F1206" t="s">
        <v>306</v>
      </c>
      <c r="G1206" t="s">
        <v>180</v>
      </c>
      <c r="H1206" t="s">
        <v>22</v>
      </c>
      <c r="I1206" t="s">
        <v>236</v>
      </c>
      <c r="J1206" s="1">
        <v>902</v>
      </c>
      <c r="K1206" s="1">
        <v>37.583333333333336</v>
      </c>
      <c r="L1206" s="3">
        <v>24</v>
      </c>
      <c r="M1206" t="s">
        <v>343</v>
      </c>
      <c r="N1206" s="2">
        <v>45547</v>
      </c>
      <c r="O1206" t="s">
        <v>267</v>
      </c>
      <c r="P1206" t="s">
        <v>344</v>
      </c>
      <c r="Q1206">
        <v>32891</v>
      </c>
      <c r="R1206" t="s">
        <v>27</v>
      </c>
      <c r="S1206" s="10">
        <v>52.581333125575959</v>
      </c>
      <c r="T1206">
        <v>42</v>
      </c>
    </row>
    <row r="1207" spans="1:20" x14ac:dyDescent="0.3">
      <c r="A1207">
        <v>1212</v>
      </c>
      <c r="B1207" t="s">
        <v>120</v>
      </c>
      <c r="C1207" t="s">
        <v>121</v>
      </c>
      <c r="D1207" t="s">
        <v>122</v>
      </c>
      <c r="E1207" t="s">
        <v>123</v>
      </c>
      <c r="F1207" t="s">
        <v>124</v>
      </c>
      <c r="G1207" t="s">
        <v>125</v>
      </c>
      <c r="H1207" t="s">
        <v>22</v>
      </c>
      <c r="I1207" t="s">
        <v>65</v>
      </c>
      <c r="J1207" s="1">
        <v>30</v>
      </c>
      <c r="K1207" s="1">
        <v>30</v>
      </c>
      <c r="L1207" s="3">
        <v>1</v>
      </c>
      <c r="M1207" t="s">
        <v>126</v>
      </c>
      <c r="N1207" s="2">
        <v>45548</v>
      </c>
      <c r="O1207" t="s">
        <v>127</v>
      </c>
      <c r="P1207" t="s">
        <v>128</v>
      </c>
      <c r="Q1207">
        <v>6183</v>
      </c>
      <c r="R1207" t="s">
        <v>27</v>
      </c>
      <c r="S1207" s="10">
        <v>2.0915633954310611</v>
      </c>
      <c r="T1207">
        <v>2</v>
      </c>
    </row>
    <row r="1208" spans="1:20" x14ac:dyDescent="0.3">
      <c r="A1208">
        <v>1808</v>
      </c>
      <c r="B1208" t="s">
        <v>345</v>
      </c>
      <c r="C1208" t="s">
        <v>1519</v>
      </c>
      <c r="D1208" t="s">
        <v>2166</v>
      </c>
      <c r="E1208" t="s">
        <v>2167</v>
      </c>
      <c r="F1208" t="s">
        <v>1285</v>
      </c>
      <c r="G1208" t="s">
        <v>913</v>
      </c>
      <c r="H1208" t="s">
        <v>34</v>
      </c>
      <c r="I1208" t="s">
        <v>366</v>
      </c>
      <c r="J1208" s="1">
        <v>36</v>
      </c>
      <c r="K1208" s="1">
        <v>36</v>
      </c>
      <c r="L1208" s="3">
        <v>1</v>
      </c>
      <c r="M1208" t="s">
        <v>36</v>
      </c>
      <c r="N1208" s="2">
        <v>45548</v>
      </c>
      <c r="O1208" t="s">
        <v>67</v>
      </c>
      <c r="P1208" t="s">
        <v>280</v>
      </c>
      <c r="Q1208">
        <v>78296</v>
      </c>
      <c r="R1208" t="s">
        <v>27</v>
      </c>
      <c r="S1208" s="10">
        <v>2.0295337312121768</v>
      </c>
      <c r="T1208">
        <v>1</v>
      </c>
    </row>
    <row r="1209" spans="1:20" x14ac:dyDescent="0.3">
      <c r="A1209">
        <v>1039</v>
      </c>
      <c r="B1209" t="s">
        <v>828</v>
      </c>
      <c r="C1209" t="s">
        <v>154</v>
      </c>
      <c r="D1209" t="s">
        <v>829</v>
      </c>
      <c r="E1209" t="s">
        <v>830</v>
      </c>
      <c r="F1209" t="s">
        <v>831</v>
      </c>
      <c r="G1209" t="s">
        <v>832</v>
      </c>
      <c r="H1209" t="s">
        <v>34</v>
      </c>
      <c r="I1209" t="s">
        <v>23</v>
      </c>
      <c r="J1209" s="1">
        <v>251</v>
      </c>
      <c r="K1209" s="1">
        <v>41.833333333333336</v>
      </c>
      <c r="L1209" s="3">
        <v>6</v>
      </c>
      <c r="M1209" t="s">
        <v>244</v>
      </c>
      <c r="N1209" s="2">
        <v>45550</v>
      </c>
      <c r="O1209" t="s">
        <v>496</v>
      </c>
      <c r="P1209" t="s">
        <v>687</v>
      </c>
      <c r="Q1209">
        <v>40298</v>
      </c>
      <c r="R1209" t="s">
        <v>27</v>
      </c>
      <c r="S1209" s="10">
        <v>14.713132636527895</v>
      </c>
      <c r="T1209">
        <v>8</v>
      </c>
    </row>
    <row r="1210" spans="1:20" x14ac:dyDescent="0.3">
      <c r="A1210">
        <v>1022</v>
      </c>
      <c r="B1210" t="s">
        <v>591</v>
      </c>
      <c r="C1210" t="s">
        <v>592</v>
      </c>
      <c r="D1210" t="s">
        <v>593</v>
      </c>
      <c r="E1210" t="s">
        <v>594</v>
      </c>
      <c r="F1210" t="s">
        <v>595</v>
      </c>
      <c r="G1210" t="s">
        <v>279</v>
      </c>
      <c r="H1210" t="s">
        <v>34</v>
      </c>
      <c r="I1210" t="s">
        <v>23</v>
      </c>
      <c r="J1210" s="1">
        <v>893</v>
      </c>
      <c r="K1210" s="1">
        <v>42.523809523809526</v>
      </c>
      <c r="L1210" s="3">
        <v>21</v>
      </c>
      <c r="M1210" t="s">
        <v>36</v>
      </c>
      <c r="N1210" s="2">
        <v>45551</v>
      </c>
      <c r="O1210" t="s">
        <v>470</v>
      </c>
      <c r="P1210" t="s">
        <v>358</v>
      </c>
      <c r="Q1210">
        <v>20430</v>
      </c>
      <c r="R1210" t="s">
        <v>27</v>
      </c>
      <c r="S1210" s="10">
        <v>51.868786290206707</v>
      </c>
      <c r="T1210">
        <v>49</v>
      </c>
    </row>
    <row r="1211" spans="1:20" x14ac:dyDescent="0.3">
      <c r="A1211">
        <v>1095</v>
      </c>
      <c r="B1211" t="s">
        <v>550</v>
      </c>
      <c r="C1211" t="s">
        <v>551</v>
      </c>
      <c r="D1211" t="s">
        <v>552</v>
      </c>
      <c r="E1211" t="s">
        <v>553</v>
      </c>
      <c r="F1211" t="s">
        <v>554</v>
      </c>
      <c r="G1211" t="s">
        <v>555</v>
      </c>
      <c r="H1211" t="s">
        <v>22</v>
      </c>
      <c r="I1211" t="s">
        <v>55</v>
      </c>
      <c r="J1211" s="1">
        <v>281</v>
      </c>
      <c r="K1211" s="1">
        <v>31.222222222222221</v>
      </c>
      <c r="L1211" s="3">
        <v>9</v>
      </c>
      <c r="M1211" t="s">
        <v>126</v>
      </c>
      <c r="N1211" s="2">
        <v>45554</v>
      </c>
      <c r="O1211" t="s">
        <v>67</v>
      </c>
      <c r="P1211" t="s">
        <v>334</v>
      </c>
      <c r="Q1211">
        <v>77040</v>
      </c>
      <c r="R1211" t="s">
        <v>27</v>
      </c>
      <c r="S1211" s="10">
        <v>20.765458580071908</v>
      </c>
      <c r="T1211">
        <v>16</v>
      </c>
    </row>
    <row r="1212" spans="1:20" x14ac:dyDescent="0.3">
      <c r="A1212">
        <v>1851</v>
      </c>
      <c r="B1212" t="s">
        <v>604</v>
      </c>
      <c r="C1212" t="s">
        <v>358</v>
      </c>
      <c r="D1212" t="s">
        <v>605</v>
      </c>
      <c r="E1212" t="s">
        <v>606</v>
      </c>
      <c r="F1212" t="s">
        <v>607</v>
      </c>
      <c r="G1212" t="s">
        <v>194</v>
      </c>
      <c r="H1212" t="s">
        <v>22</v>
      </c>
      <c r="I1212" t="s">
        <v>65</v>
      </c>
      <c r="J1212" s="1">
        <v>511</v>
      </c>
      <c r="K1212" s="1">
        <v>34.06666666666667</v>
      </c>
      <c r="L1212" s="3">
        <v>15</v>
      </c>
      <c r="M1212" t="s">
        <v>343</v>
      </c>
      <c r="N1212" s="2">
        <v>45554</v>
      </c>
      <c r="O1212" t="s">
        <v>83</v>
      </c>
      <c r="P1212" t="s">
        <v>351</v>
      </c>
      <c r="Q1212">
        <v>11210</v>
      </c>
      <c r="R1212" t="s">
        <v>27</v>
      </c>
      <c r="S1212" s="10">
        <v>34.182962857440899</v>
      </c>
      <c r="T1212">
        <v>19</v>
      </c>
    </row>
    <row r="1213" spans="1:20" x14ac:dyDescent="0.3">
      <c r="A1213">
        <v>1667</v>
      </c>
      <c r="B1213" t="s">
        <v>398</v>
      </c>
      <c r="C1213" t="s">
        <v>206</v>
      </c>
      <c r="D1213" t="s">
        <v>2168</v>
      </c>
      <c r="E1213" t="s">
        <v>2169</v>
      </c>
      <c r="F1213" t="s">
        <v>2170</v>
      </c>
      <c r="G1213" t="s">
        <v>44</v>
      </c>
      <c r="H1213" t="s">
        <v>22</v>
      </c>
      <c r="I1213" t="s">
        <v>23</v>
      </c>
      <c r="J1213" s="1">
        <v>556</v>
      </c>
      <c r="K1213" s="1">
        <v>27.8</v>
      </c>
      <c r="L1213" s="3">
        <v>20</v>
      </c>
      <c r="M1213" t="s">
        <v>36</v>
      </c>
      <c r="N1213" s="2">
        <v>45555</v>
      </c>
      <c r="O1213" t="s">
        <v>57</v>
      </c>
      <c r="P1213" t="s">
        <v>1941</v>
      </c>
      <c r="Q1213">
        <v>31296</v>
      </c>
      <c r="R1213" t="s">
        <v>27</v>
      </c>
      <c r="S1213" s="10">
        <v>25.866013883252336</v>
      </c>
      <c r="T1213">
        <v>38</v>
      </c>
    </row>
    <row r="1214" spans="1:20" x14ac:dyDescent="0.3">
      <c r="A1214">
        <v>1092</v>
      </c>
      <c r="B1214" t="s">
        <v>518</v>
      </c>
      <c r="C1214" t="s">
        <v>519</v>
      </c>
      <c r="D1214" t="s">
        <v>520</v>
      </c>
      <c r="E1214" t="s">
        <v>521</v>
      </c>
      <c r="F1214" t="s">
        <v>522</v>
      </c>
      <c r="G1214" t="s">
        <v>523</v>
      </c>
      <c r="H1214" t="s">
        <v>22</v>
      </c>
      <c r="I1214" t="s">
        <v>55</v>
      </c>
      <c r="J1214" s="1">
        <v>120</v>
      </c>
      <c r="K1214" s="1">
        <v>40</v>
      </c>
      <c r="L1214" s="3">
        <v>3</v>
      </c>
      <c r="M1214" t="s">
        <v>343</v>
      </c>
      <c r="N1214" s="2">
        <v>45557</v>
      </c>
      <c r="O1214" t="s">
        <v>267</v>
      </c>
      <c r="P1214" t="s">
        <v>524</v>
      </c>
      <c r="Q1214">
        <v>34233</v>
      </c>
      <c r="R1214" t="s">
        <v>27</v>
      </c>
      <c r="S1214" s="10">
        <v>4.542385297908754</v>
      </c>
      <c r="T1214">
        <v>3</v>
      </c>
    </row>
    <row r="1215" spans="1:20" x14ac:dyDescent="0.3">
      <c r="A1215">
        <v>1017</v>
      </c>
      <c r="B1215" t="s">
        <v>660</v>
      </c>
      <c r="C1215" t="s">
        <v>679</v>
      </c>
      <c r="D1215" t="s">
        <v>680</v>
      </c>
      <c r="E1215" t="s">
        <v>681</v>
      </c>
      <c r="F1215" t="s">
        <v>682</v>
      </c>
      <c r="G1215" t="s">
        <v>446</v>
      </c>
      <c r="H1215" t="s">
        <v>22</v>
      </c>
      <c r="I1215" t="s">
        <v>23</v>
      </c>
      <c r="J1215" s="1">
        <v>746</v>
      </c>
      <c r="K1215" s="1">
        <v>32.434782608695649</v>
      </c>
      <c r="L1215" s="3">
        <v>23</v>
      </c>
      <c r="M1215" t="s">
        <v>36</v>
      </c>
      <c r="N1215" s="2">
        <v>45560</v>
      </c>
      <c r="O1215" t="s">
        <v>136</v>
      </c>
      <c r="P1215" t="s">
        <v>137</v>
      </c>
      <c r="Q1215">
        <v>60663</v>
      </c>
      <c r="R1215" t="s">
        <v>27</v>
      </c>
      <c r="S1215" s="10">
        <v>51.722813643725289</v>
      </c>
      <c r="T1215">
        <v>45</v>
      </c>
    </row>
    <row r="1216" spans="1:20" x14ac:dyDescent="0.3">
      <c r="A1216">
        <v>1260</v>
      </c>
      <c r="B1216" t="s">
        <v>352</v>
      </c>
      <c r="C1216" t="s">
        <v>353</v>
      </c>
      <c r="D1216" t="s">
        <v>354</v>
      </c>
      <c r="E1216" t="s">
        <v>355</v>
      </c>
      <c r="F1216" t="s">
        <v>356</v>
      </c>
      <c r="G1216" t="s">
        <v>357</v>
      </c>
      <c r="H1216" t="s">
        <v>34</v>
      </c>
      <c r="I1216" t="s">
        <v>236</v>
      </c>
      <c r="J1216" s="1">
        <v>705</v>
      </c>
      <c r="K1216" s="1">
        <v>37.10526315789474</v>
      </c>
      <c r="L1216" s="3">
        <v>19</v>
      </c>
      <c r="M1216" t="s">
        <v>36</v>
      </c>
      <c r="N1216" s="2">
        <v>45561</v>
      </c>
      <c r="O1216" t="s">
        <v>358</v>
      </c>
      <c r="P1216" t="s">
        <v>359</v>
      </c>
      <c r="Q1216">
        <v>99215</v>
      </c>
      <c r="R1216" t="s">
        <v>27</v>
      </c>
      <c r="S1216" s="10">
        <v>37.34751766583986</v>
      </c>
      <c r="T1216">
        <v>31</v>
      </c>
    </row>
    <row r="1217" spans="1:20" x14ac:dyDescent="0.3">
      <c r="A1217">
        <v>1769</v>
      </c>
      <c r="B1217" t="s">
        <v>1660</v>
      </c>
      <c r="C1217" t="s">
        <v>689</v>
      </c>
      <c r="D1217" t="s">
        <v>2171</v>
      </c>
      <c r="E1217" t="s">
        <v>2172</v>
      </c>
      <c r="F1217" t="s">
        <v>2173</v>
      </c>
      <c r="G1217" t="s">
        <v>258</v>
      </c>
      <c r="H1217" t="s">
        <v>22</v>
      </c>
      <c r="I1217" t="s">
        <v>35</v>
      </c>
      <c r="J1217" s="1">
        <v>71</v>
      </c>
      <c r="K1217" s="1">
        <v>35.5</v>
      </c>
      <c r="L1217" s="3">
        <v>2</v>
      </c>
      <c r="M1217" t="s">
        <v>343</v>
      </c>
      <c r="N1217" s="2">
        <v>45562</v>
      </c>
      <c r="O1217" t="s">
        <v>267</v>
      </c>
      <c r="P1217" t="s">
        <v>344</v>
      </c>
      <c r="Q1217">
        <v>32885</v>
      </c>
      <c r="R1217" t="s">
        <v>27</v>
      </c>
      <c r="S1217" s="10">
        <v>4.5296004361399778</v>
      </c>
      <c r="T1217">
        <v>2</v>
      </c>
    </row>
    <row r="1218" spans="1:20" x14ac:dyDescent="0.3">
      <c r="A1218">
        <v>1489</v>
      </c>
      <c r="B1218" t="s">
        <v>85</v>
      </c>
      <c r="C1218" t="s">
        <v>86</v>
      </c>
      <c r="D1218" t="s">
        <v>87</v>
      </c>
      <c r="E1218" t="s">
        <v>88</v>
      </c>
      <c r="F1218" t="s">
        <v>89</v>
      </c>
      <c r="G1218" t="s">
        <v>90</v>
      </c>
      <c r="H1218" t="s">
        <v>34</v>
      </c>
      <c r="I1218" t="s">
        <v>23</v>
      </c>
      <c r="J1218" s="1">
        <v>292</v>
      </c>
      <c r="K1218" s="1">
        <v>41.714285714285715</v>
      </c>
      <c r="L1218" s="3">
        <v>7</v>
      </c>
      <c r="M1218" t="s">
        <v>66</v>
      </c>
      <c r="N1218" s="2">
        <v>45563</v>
      </c>
      <c r="O1218" t="s">
        <v>47</v>
      </c>
      <c r="P1218" t="s">
        <v>91</v>
      </c>
      <c r="Q1218">
        <v>23668</v>
      </c>
      <c r="R1218" t="s">
        <v>27</v>
      </c>
      <c r="S1218" s="10">
        <v>11.679747384017174</v>
      </c>
      <c r="T1218">
        <v>15</v>
      </c>
    </row>
    <row r="1219" spans="1:20" x14ac:dyDescent="0.3">
      <c r="A1219">
        <v>1095</v>
      </c>
      <c r="B1219" t="s">
        <v>550</v>
      </c>
      <c r="C1219" t="s">
        <v>551</v>
      </c>
      <c r="D1219" t="s">
        <v>552</v>
      </c>
      <c r="E1219" t="s">
        <v>553</v>
      </c>
      <c r="F1219" t="s">
        <v>554</v>
      </c>
      <c r="G1219" t="s">
        <v>555</v>
      </c>
      <c r="H1219" t="s">
        <v>22</v>
      </c>
      <c r="I1219" t="s">
        <v>55</v>
      </c>
      <c r="J1219" s="1">
        <v>901</v>
      </c>
      <c r="K1219" s="1">
        <v>37.541666666666664</v>
      </c>
      <c r="L1219" s="3">
        <v>24</v>
      </c>
      <c r="M1219" t="s">
        <v>126</v>
      </c>
      <c r="N1219" s="2">
        <v>45564</v>
      </c>
      <c r="O1219" t="s">
        <v>67</v>
      </c>
      <c r="P1219" t="s">
        <v>334</v>
      </c>
      <c r="Q1219">
        <v>77040</v>
      </c>
      <c r="R1219" t="s">
        <v>27</v>
      </c>
      <c r="S1219" s="10">
        <v>53.48120909883081</v>
      </c>
      <c r="T1219">
        <v>34</v>
      </c>
    </row>
    <row r="1220" spans="1:20" x14ac:dyDescent="0.3">
      <c r="A1220">
        <v>1212</v>
      </c>
      <c r="B1220" t="s">
        <v>120</v>
      </c>
      <c r="C1220" t="s">
        <v>121</v>
      </c>
      <c r="D1220" t="s">
        <v>122</v>
      </c>
      <c r="E1220" t="s">
        <v>123</v>
      </c>
      <c r="F1220" t="s">
        <v>124</v>
      </c>
      <c r="G1220" t="s">
        <v>125</v>
      </c>
      <c r="H1220" t="s">
        <v>22</v>
      </c>
      <c r="I1220" t="s">
        <v>65</v>
      </c>
      <c r="J1220" s="1">
        <v>303</v>
      </c>
      <c r="K1220" s="1">
        <v>37.875</v>
      </c>
      <c r="L1220" s="3">
        <v>8</v>
      </c>
      <c r="M1220" t="s">
        <v>126</v>
      </c>
      <c r="N1220" s="2">
        <v>45565</v>
      </c>
      <c r="O1220" t="s">
        <v>127</v>
      </c>
      <c r="P1220" t="s">
        <v>128</v>
      </c>
      <c r="Q1220">
        <v>6183</v>
      </c>
      <c r="R1220" t="s">
        <v>27</v>
      </c>
      <c r="S1220" s="10">
        <v>12.577545635839712</v>
      </c>
      <c r="T1220">
        <v>15</v>
      </c>
    </row>
    <row r="1221" spans="1:20" x14ac:dyDescent="0.3">
      <c r="A1221">
        <v>1812</v>
      </c>
      <c r="B1221" t="s">
        <v>231</v>
      </c>
      <c r="C1221" t="s">
        <v>232</v>
      </c>
      <c r="D1221" t="s">
        <v>233</v>
      </c>
      <c r="E1221" t="s">
        <v>234</v>
      </c>
      <c r="F1221" t="s">
        <v>235</v>
      </c>
      <c r="G1221" t="s">
        <v>74</v>
      </c>
      <c r="H1221" t="s">
        <v>34</v>
      </c>
      <c r="I1221" t="s">
        <v>236</v>
      </c>
      <c r="J1221" s="1">
        <v>990</v>
      </c>
      <c r="K1221" s="1">
        <v>30</v>
      </c>
      <c r="L1221" s="3">
        <v>33</v>
      </c>
      <c r="M1221" t="s">
        <v>126</v>
      </c>
      <c r="N1221" s="2">
        <v>45567</v>
      </c>
      <c r="O1221" t="s">
        <v>237</v>
      </c>
      <c r="P1221" t="s">
        <v>238</v>
      </c>
      <c r="Q1221">
        <v>35220</v>
      </c>
      <c r="R1221" t="s">
        <v>27</v>
      </c>
      <c r="S1221" s="10">
        <v>74.896974176086943</v>
      </c>
      <c r="T1221">
        <v>57</v>
      </c>
    </row>
    <row r="1222" spans="1:20" x14ac:dyDescent="0.3">
      <c r="A1222">
        <v>1022</v>
      </c>
      <c r="B1222" t="s">
        <v>591</v>
      </c>
      <c r="C1222" t="s">
        <v>592</v>
      </c>
      <c r="D1222" t="s">
        <v>593</v>
      </c>
      <c r="E1222" t="s">
        <v>594</v>
      </c>
      <c r="F1222" t="s">
        <v>595</v>
      </c>
      <c r="G1222" t="s">
        <v>279</v>
      </c>
      <c r="H1222" t="s">
        <v>34</v>
      </c>
      <c r="I1222" t="s">
        <v>23</v>
      </c>
      <c r="J1222" s="1">
        <v>15</v>
      </c>
      <c r="K1222" s="1">
        <v>15</v>
      </c>
      <c r="L1222" s="3">
        <v>1</v>
      </c>
      <c r="M1222" t="s">
        <v>36</v>
      </c>
      <c r="N1222" s="2">
        <v>45571</v>
      </c>
      <c r="O1222" t="s">
        <v>470</v>
      </c>
      <c r="P1222" t="s">
        <v>358</v>
      </c>
      <c r="Q1222">
        <v>20430</v>
      </c>
      <c r="R1222" t="s">
        <v>27</v>
      </c>
      <c r="S1222" s="10">
        <v>2.3487258974849983</v>
      </c>
      <c r="T1222">
        <v>1</v>
      </c>
    </row>
    <row r="1223" spans="1:20" x14ac:dyDescent="0.3">
      <c r="A1223">
        <v>1760</v>
      </c>
      <c r="B1223" t="s">
        <v>2174</v>
      </c>
      <c r="C1223" t="s">
        <v>1171</v>
      </c>
      <c r="D1223" t="s">
        <v>2175</v>
      </c>
      <c r="E1223" t="s">
        <v>2176</v>
      </c>
      <c r="F1223" t="s">
        <v>801</v>
      </c>
      <c r="G1223" t="s">
        <v>806</v>
      </c>
      <c r="H1223" t="s">
        <v>34</v>
      </c>
      <c r="I1223" t="s">
        <v>75</v>
      </c>
      <c r="J1223" s="1">
        <v>568</v>
      </c>
      <c r="K1223" s="1">
        <v>29.894736842105264</v>
      </c>
      <c r="L1223" s="3">
        <v>19</v>
      </c>
      <c r="M1223" t="s">
        <v>694</v>
      </c>
      <c r="N1223" s="2">
        <v>45571</v>
      </c>
      <c r="O1223" t="s">
        <v>229</v>
      </c>
      <c r="P1223" t="s">
        <v>534</v>
      </c>
      <c r="Q1223">
        <v>45432</v>
      </c>
      <c r="R1223" t="s">
        <v>27</v>
      </c>
      <c r="S1223" s="10">
        <v>35.853290181072452</v>
      </c>
      <c r="T1223">
        <v>38</v>
      </c>
    </row>
    <row r="1224" spans="1:20" x14ac:dyDescent="0.3">
      <c r="A1224">
        <v>1081</v>
      </c>
      <c r="B1224" t="s">
        <v>529</v>
      </c>
      <c r="C1224" t="s">
        <v>530</v>
      </c>
      <c r="D1224" t="s">
        <v>531</v>
      </c>
      <c r="E1224" t="s">
        <v>532</v>
      </c>
      <c r="F1224" t="s">
        <v>533</v>
      </c>
      <c r="G1224" t="s">
        <v>495</v>
      </c>
      <c r="H1224" t="s">
        <v>22</v>
      </c>
      <c r="I1224" t="s">
        <v>55</v>
      </c>
      <c r="J1224" s="1">
        <v>340</v>
      </c>
      <c r="K1224" s="1">
        <v>37.777777777777779</v>
      </c>
      <c r="L1224" s="3">
        <v>9</v>
      </c>
      <c r="M1224" t="s">
        <v>447</v>
      </c>
      <c r="N1224" s="2">
        <v>45576</v>
      </c>
      <c r="O1224" t="s">
        <v>229</v>
      </c>
      <c r="P1224" t="s">
        <v>534</v>
      </c>
      <c r="Q1224">
        <v>45426</v>
      </c>
      <c r="R1224" t="s">
        <v>27</v>
      </c>
      <c r="S1224" s="10">
        <v>14.538624641951142</v>
      </c>
      <c r="T1224">
        <v>16</v>
      </c>
    </row>
    <row r="1225" spans="1:20" x14ac:dyDescent="0.3">
      <c r="A1225">
        <v>1561</v>
      </c>
      <c r="B1225" t="s">
        <v>28</v>
      </c>
      <c r="C1225" t="s">
        <v>303</v>
      </c>
      <c r="D1225" t="s">
        <v>2177</v>
      </c>
      <c r="E1225" t="s">
        <v>2178</v>
      </c>
      <c r="F1225" t="s">
        <v>2179</v>
      </c>
      <c r="G1225" t="s">
        <v>909</v>
      </c>
      <c r="H1225" t="s">
        <v>34</v>
      </c>
      <c r="I1225" t="s">
        <v>299</v>
      </c>
      <c r="J1225" s="1">
        <v>78</v>
      </c>
      <c r="K1225" s="1">
        <v>39</v>
      </c>
      <c r="L1225" s="3">
        <v>2</v>
      </c>
      <c r="M1225" t="s">
        <v>343</v>
      </c>
      <c r="N1225" s="2">
        <v>45577</v>
      </c>
      <c r="O1225" t="s">
        <v>229</v>
      </c>
      <c r="P1225" t="s">
        <v>927</v>
      </c>
      <c r="Q1225">
        <v>45243</v>
      </c>
      <c r="R1225" t="s">
        <v>27</v>
      </c>
      <c r="S1225" s="10">
        <v>2.6747269099012838</v>
      </c>
      <c r="T1225">
        <v>2</v>
      </c>
    </row>
    <row r="1226" spans="1:20" x14ac:dyDescent="0.3">
      <c r="A1226">
        <v>1880</v>
      </c>
      <c r="B1226" t="s">
        <v>129</v>
      </c>
      <c r="C1226" t="s">
        <v>130</v>
      </c>
      <c r="D1226" t="s">
        <v>131</v>
      </c>
      <c r="E1226" t="s">
        <v>132</v>
      </c>
      <c r="F1226" t="s">
        <v>133</v>
      </c>
      <c r="G1226" t="s">
        <v>134</v>
      </c>
      <c r="H1226" t="s">
        <v>22</v>
      </c>
      <c r="I1226" t="s">
        <v>135</v>
      </c>
      <c r="J1226" s="1">
        <v>350</v>
      </c>
      <c r="K1226" s="1">
        <v>35</v>
      </c>
      <c r="L1226" s="3">
        <v>10</v>
      </c>
      <c r="M1226" t="s">
        <v>36</v>
      </c>
      <c r="N1226" s="2">
        <v>45577</v>
      </c>
      <c r="O1226" t="s">
        <v>136</v>
      </c>
      <c r="P1226" t="s">
        <v>137</v>
      </c>
      <c r="Q1226">
        <v>60614</v>
      </c>
      <c r="R1226" t="s">
        <v>27</v>
      </c>
      <c r="S1226" s="10">
        <v>16.131577212354774</v>
      </c>
      <c r="T1226">
        <v>12</v>
      </c>
    </row>
    <row r="1227" spans="1:20" x14ac:dyDescent="0.3">
      <c r="A1227">
        <v>1604</v>
      </c>
      <c r="B1227" t="s">
        <v>1091</v>
      </c>
      <c r="C1227" t="s">
        <v>1039</v>
      </c>
      <c r="D1227" t="s">
        <v>2180</v>
      </c>
      <c r="E1227" t="s">
        <v>2181</v>
      </c>
      <c r="F1227" t="s">
        <v>676</v>
      </c>
      <c r="G1227" t="s">
        <v>832</v>
      </c>
      <c r="H1227" t="s">
        <v>34</v>
      </c>
      <c r="I1227" t="s">
        <v>98</v>
      </c>
      <c r="J1227" s="1">
        <v>675</v>
      </c>
      <c r="K1227" s="1">
        <v>25.96153846153846</v>
      </c>
      <c r="L1227" s="3">
        <v>26</v>
      </c>
      <c r="M1227" t="s">
        <v>36</v>
      </c>
      <c r="N1227" s="2">
        <v>45578</v>
      </c>
      <c r="O1227" t="s">
        <v>67</v>
      </c>
      <c r="P1227" t="s">
        <v>334</v>
      </c>
      <c r="Q1227">
        <v>77010</v>
      </c>
      <c r="R1227" t="s">
        <v>27</v>
      </c>
      <c r="S1227" s="10">
        <v>33.269331122831098</v>
      </c>
      <c r="T1227">
        <v>49</v>
      </c>
    </row>
    <row r="1228" spans="1:20" x14ac:dyDescent="0.3">
      <c r="A1228">
        <v>1013</v>
      </c>
      <c r="B1228" t="s">
        <v>1836</v>
      </c>
      <c r="C1228" t="s">
        <v>897</v>
      </c>
      <c r="D1228" t="s">
        <v>2182</v>
      </c>
      <c r="E1228" t="s">
        <v>2183</v>
      </c>
      <c r="F1228" t="s">
        <v>1904</v>
      </c>
      <c r="G1228" t="s">
        <v>1110</v>
      </c>
      <c r="H1228" t="s">
        <v>34</v>
      </c>
      <c r="I1228" t="s">
        <v>23</v>
      </c>
      <c r="J1228" s="1">
        <v>725</v>
      </c>
      <c r="K1228" s="1">
        <v>30.208333333333332</v>
      </c>
      <c r="L1228" s="3">
        <v>24</v>
      </c>
      <c r="M1228" t="s">
        <v>219</v>
      </c>
      <c r="N1228" s="2">
        <v>45579</v>
      </c>
      <c r="O1228" t="s">
        <v>57</v>
      </c>
      <c r="P1228" t="s">
        <v>791</v>
      </c>
      <c r="Q1228">
        <v>30358</v>
      </c>
      <c r="R1228" t="s">
        <v>27</v>
      </c>
      <c r="S1228" s="10">
        <v>52.816123445851787</v>
      </c>
      <c r="T1228">
        <v>47</v>
      </c>
    </row>
    <row r="1229" spans="1:20" x14ac:dyDescent="0.3">
      <c r="A1229">
        <v>1365</v>
      </c>
      <c r="B1229" t="s">
        <v>471</v>
      </c>
      <c r="C1229" t="s">
        <v>472</v>
      </c>
      <c r="D1229" t="s">
        <v>473</v>
      </c>
      <c r="E1229" t="s">
        <v>474</v>
      </c>
      <c r="F1229" t="s">
        <v>475</v>
      </c>
      <c r="G1229" t="s">
        <v>476</v>
      </c>
      <c r="H1229" t="s">
        <v>34</v>
      </c>
      <c r="I1229" t="s">
        <v>55</v>
      </c>
      <c r="J1229" s="1">
        <v>459</v>
      </c>
      <c r="K1229" s="1">
        <v>41.727272727272727</v>
      </c>
      <c r="L1229" s="3">
        <v>11</v>
      </c>
      <c r="M1229" t="s">
        <v>66</v>
      </c>
      <c r="N1229" s="2">
        <v>45579</v>
      </c>
      <c r="O1229" t="s">
        <v>267</v>
      </c>
      <c r="P1229" t="s">
        <v>477</v>
      </c>
      <c r="Q1229">
        <v>33261</v>
      </c>
      <c r="R1229" t="s">
        <v>27</v>
      </c>
      <c r="S1229" s="10">
        <v>27.32430664530834</v>
      </c>
      <c r="T1229">
        <v>24</v>
      </c>
    </row>
    <row r="1230" spans="1:20" x14ac:dyDescent="0.3">
      <c r="A1230">
        <v>1022</v>
      </c>
      <c r="B1230" t="s">
        <v>591</v>
      </c>
      <c r="C1230" t="s">
        <v>592</v>
      </c>
      <c r="D1230" t="s">
        <v>593</v>
      </c>
      <c r="E1230" t="s">
        <v>594</v>
      </c>
      <c r="F1230" t="s">
        <v>595</v>
      </c>
      <c r="G1230" t="s">
        <v>279</v>
      </c>
      <c r="H1230" t="s">
        <v>34</v>
      </c>
      <c r="I1230" t="s">
        <v>23</v>
      </c>
      <c r="J1230" s="1">
        <v>983</v>
      </c>
      <c r="K1230" s="1">
        <v>39.32</v>
      </c>
      <c r="L1230" s="3">
        <v>25</v>
      </c>
      <c r="M1230" t="s">
        <v>36</v>
      </c>
      <c r="N1230" s="2">
        <v>45580</v>
      </c>
      <c r="O1230" t="s">
        <v>470</v>
      </c>
      <c r="P1230" t="s">
        <v>358</v>
      </c>
      <c r="Q1230">
        <v>20430</v>
      </c>
      <c r="R1230" t="s">
        <v>27</v>
      </c>
      <c r="S1230" s="10">
        <v>57.956166668748367</v>
      </c>
      <c r="T1230">
        <v>43</v>
      </c>
    </row>
    <row r="1231" spans="1:20" x14ac:dyDescent="0.3">
      <c r="A1231">
        <v>1019</v>
      </c>
      <c r="B1231" t="s">
        <v>764</v>
      </c>
      <c r="C1231" t="s">
        <v>374</v>
      </c>
      <c r="D1231" t="s">
        <v>765</v>
      </c>
      <c r="E1231" t="s">
        <v>766</v>
      </c>
      <c r="F1231" t="s">
        <v>554</v>
      </c>
      <c r="G1231" t="s">
        <v>298</v>
      </c>
      <c r="H1231" t="s">
        <v>22</v>
      </c>
      <c r="I1231" t="s">
        <v>23</v>
      </c>
      <c r="J1231" s="1">
        <v>714</v>
      </c>
      <c r="K1231" s="1">
        <v>27.46153846153846</v>
      </c>
      <c r="L1231" s="3">
        <v>26</v>
      </c>
      <c r="M1231" t="s">
        <v>66</v>
      </c>
      <c r="N1231" s="2">
        <v>45581</v>
      </c>
      <c r="O1231" t="s">
        <v>767</v>
      </c>
      <c r="P1231" t="s">
        <v>768</v>
      </c>
      <c r="Q1231">
        <v>83705</v>
      </c>
      <c r="R1231" t="s">
        <v>27</v>
      </c>
      <c r="S1231" s="10">
        <v>52.590209451063394</v>
      </c>
      <c r="T1231">
        <v>38</v>
      </c>
    </row>
    <row r="1232" spans="1:20" x14ac:dyDescent="0.3">
      <c r="A1232">
        <v>1298</v>
      </c>
      <c r="B1232" t="s">
        <v>275</v>
      </c>
      <c r="C1232" t="s">
        <v>340</v>
      </c>
      <c r="D1232" t="s">
        <v>341</v>
      </c>
      <c r="E1232" t="s">
        <v>342</v>
      </c>
      <c r="F1232" t="s">
        <v>306</v>
      </c>
      <c r="G1232" t="s">
        <v>180</v>
      </c>
      <c r="H1232" t="s">
        <v>22</v>
      </c>
      <c r="I1232" t="s">
        <v>236</v>
      </c>
      <c r="J1232" s="1">
        <v>58</v>
      </c>
      <c r="K1232" s="1">
        <v>58</v>
      </c>
      <c r="L1232" s="3">
        <v>1</v>
      </c>
      <c r="M1232" t="s">
        <v>343</v>
      </c>
      <c r="N1232" s="2">
        <v>45582</v>
      </c>
      <c r="O1232" t="s">
        <v>267</v>
      </c>
      <c r="P1232" t="s">
        <v>344</v>
      </c>
      <c r="Q1232">
        <v>32891</v>
      </c>
      <c r="R1232" t="s">
        <v>27</v>
      </c>
      <c r="S1232" s="10">
        <v>2.0177411862594452</v>
      </c>
      <c r="T1232">
        <v>2</v>
      </c>
    </row>
    <row r="1233" spans="1:20" x14ac:dyDescent="0.3">
      <c r="A1233">
        <v>1095</v>
      </c>
      <c r="B1233" t="s">
        <v>550</v>
      </c>
      <c r="C1233" t="s">
        <v>551</v>
      </c>
      <c r="D1233" t="s">
        <v>552</v>
      </c>
      <c r="E1233" t="s">
        <v>553</v>
      </c>
      <c r="F1233" t="s">
        <v>554</v>
      </c>
      <c r="G1233" t="s">
        <v>555</v>
      </c>
      <c r="H1233" t="s">
        <v>22</v>
      </c>
      <c r="I1233" t="s">
        <v>55</v>
      </c>
      <c r="J1233" s="1">
        <v>968</v>
      </c>
      <c r="K1233" s="1">
        <v>37.230769230769234</v>
      </c>
      <c r="L1233" s="3">
        <v>26</v>
      </c>
      <c r="M1233" t="s">
        <v>126</v>
      </c>
      <c r="N1233" s="2">
        <v>45583</v>
      </c>
      <c r="O1233" t="s">
        <v>67</v>
      </c>
      <c r="P1233" t="s">
        <v>334</v>
      </c>
      <c r="Q1233">
        <v>77040</v>
      </c>
      <c r="R1233" t="s">
        <v>27</v>
      </c>
      <c r="S1233" s="10">
        <v>51.087512152351813</v>
      </c>
      <c r="T1233">
        <v>56</v>
      </c>
    </row>
    <row r="1234" spans="1:20" x14ac:dyDescent="0.3">
      <c r="A1234">
        <v>1676</v>
      </c>
      <c r="B1234" t="s">
        <v>1397</v>
      </c>
      <c r="C1234" t="s">
        <v>708</v>
      </c>
      <c r="D1234" t="s">
        <v>2184</v>
      </c>
      <c r="E1234" t="s">
        <v>2185</v>
      </c>
      <c r="F1234" t="s">
        <v>2186</v>
      </c>
      <c r="G1234" t="s">
        <v>1123</v>
      </c>
      <c r="H1234" t="s">
        <v>22</v>
      </c>
      <c r="I1234" t="s">
        <v>23</v>
      </c>
      <c r="J1234" s="1">
        <v>893</v>
      </c>
      <c r="K1234" s="1">
        <v>26.264705882352942</v>
      </c>
      <c r="L1234" s="3">
        <v>34</v>
      </c>
      <c r="M1234" t="s">
        <v>244</v>
      </c>
      <c r="N1234" s="2">
        <v>45583</v>
      </c>
      <c r="O1234" t="s">
        <v>187</v>
      </c>
      <c r="P1234" t="s">
        <v>188</v>
      </c>
      <c r="Q1234">
        <v>28242</v>
      </c>
      <c r="R1234" t="s">
        <v>27</v>
      </c>
      <c r="S1234" s="10">
        <v>62.752244559339424</v>
      </c>
      <c r="T1234">
        <v>81</v>
      </c>
    </row>
    <row r="1235" spans="1:20" x14ac:dyDescent="0.3">
      <c r="A1235">
        <v>1116</v>
      </c>
      <c r="B1235" t="s">
        <v>49</v>
      </c>
      <c r="C1235" t="s">
        <v>50</v>
      </c>
      <c r="D1235" t="s">
        <v>51</v>
      </c>
      <c r="E1235" t="s">
        <v>52</v>
      </c>
      <c r="F1235" t="s">
        <v>53</v>
      </c>
      <c r="G1235" t="s">
        <v>54</v>
      </c>
      <c r="H1235" t="s">
        <v>22</v>
      </c>
      <c r="I1235" t="s">
        <v>55</v>
      </c>
      <c r="J1235" s="1">
        <v>650</v>
      </c>
      <c r="K1235" s="1">
        <v>30.952380952380953</v>
      </c>
      <c r="L1235" s="3">
        <v>21</v>
      </c>
      <c r="M1235" t="s">
        <v>56</v>
      </c>
      <c r="N1235" s="2">
        <v>45587</v>
      </c>
      <c r="O1235" t="s">
        <v>57</v>
      </c>
      <c r="P1235" t="s">
        <v>58</v>
      </c>
      <c r="Q1235">
        <v>30096</v>
      </c>
      <c r="R1235" t="s">
        <v>27</v>
      </c>
      <c r="S1235" s="10">
        <v>47.191796127830187</v>
      </c>
      <c r="T1235">
        <v>44</v>
      </c>
    </row>
    <row r="1236" spans="1:20" x14ac:dyDescent="0.3">
      <c r="A1236">
        <v>1401</v>
      </c>
      <c r="B1236" t="s">
        <v>340</v>
      </c>
      <c r="C1236" t="s">
        <v>1995</v>
      </c>
      <c r="D1236" t="s">
        <v>1996</v>
      </c>
      <c r="E1236" t="s">
        <v>1997</v>
      </c>
      <c r="F1236" t="s">
        <v>1881</v>
      </c>
      <c r="G1236" t="s">
        <v>909</v>
      </c>
      <c r="H1236" t="s">
        <v>34</v>
      </c>
      <c r="I1236" t="s">
        <v>366</v>
      </c>
      <c r="J1236" s="1">
        <v>32</v>
      </c>
      <c r="K1236" s="1">
        <v>32</v>
      </c>
      <c r="L1236" s="3">
        <v>1</v>
      </c>
      <c r="M1236" t="s">
        <v>36</v>
      </c>
      <c r="N1236" s="2">
        <v>45589</v>
      </c>
      <c r="O1236" t="s">
        <v>47</v>
      </c>
      <c r="P1236" t="s">
        <v>1729</v>
      </c>
      <c r="Q1236">
        <v>22333</v>
      </c>
      <c r="R1236" t="s">
        <v>27</v>
      </c>
      <c r="S1236" s="10">
        <v>1.5611481783136669</v>
      </c>
      <c r="T1236">
        <v>1</v>
      </c>
    </row>
    <row r="1237" spans="1:20" x14ac:dyDescent="0.3">
      <c r="A1237">
        <v>1437</v>
      </c>
      <c r="B1237" t="s">
        <v>654</v>
      </c>
      <c r="C1237" t="s">
        <v>655</v>
      </c>
      <c r="D1237" t="s">
        <v>656</v>
      </c>
      <c r="E1237" t="s">
        <v>657</v>
      </c>
      <c r="F1237" t="s">
        <v>658</v>
      </c>
      <c r="G1237" t="s">
        <v>357</v>
      </c>
      <c r="H1237" t="s">
        <v>34</v>
      </c>
      <c r="I1237" t="s">
        <v>299</v>
      </c>
      <c r="J1237" s="1">
        <v>449</v>
      </c>
      <c r="K1237" s="1">
        <v>29.933333333333334</v>
      </c>
      <c r="L1237" s="3">
        <v>15</v>
      </c>
      <c r="M1237" t="s">
        <v>36</v>
      </c>
      <c r="N1237" s="2">
        <v>45590</v>
      </c>
      <c r="O1237" t="s">
        <v>300</v>
      </c>
      <c r="P1237" t="s">
        <v>659</v>
      </c>
      <c r="Q1237">
        <v>89505</v>
      </c>
      <c r="R1237" t="s">
        <v>27</v>
      </c>
      <c r="S1237" s="10">
        <v>20.050692045026004</v>
      </c>
      <c r="T1237">
        <v>23</v>
      </c>
    </row>
    <row r="1238" spans="1:20" x14ac:dyDescent="0.3">
      <c r="A1238">
        <v>1880</v>
      </c>
      <c r="B1238" t="s">
        <v>129</v>
      </c>
      <c r="C1238" t="s">
        <v>130</v>
      </c>
      <c r="D1238" t="s">
        <v>131</v>
      </c>
      <c r="E1238" t="s">
        <v>132</v>
      </c>
      <c r="F1238" t="s">
        <v>133</v>
      </c>
      <c r="G1238" t="s">
        <v>134</v>
      </c>
      <c r="H1238" t="s">
        <v>22</v>
      </c>
      <c r="I1238" t="s">
        <v>135</v>
      </c>
      <c r="J1238" s="1">
        <v>221</v>
      </c>
      <c r="K1238" s="1">
        <v>31.571428571428573</v>
      </c>
      <c r="L1238" s="3">
        <v>7</v>
      </c>
      <c r="M1238" t="s">
        <v>36</v>
      </c>
      <c r="N1238" s="2">
        <v>45596</v>
      </c>
      <c r="O1238" t="s">
        <v>136</v>
      </c>
      <c r="P1238" t="s">
        <v>137</v>
      </c>
      <c r="Q1238">
        <v>60614</v>
      </c>
      <c r="R1238" t="s">
        <v>27</v>
      </c>
      <c r="S1238" s="10">
        <v>10.55489731148776</v>
      </c>
      <c r="T1238">
        <v>10</v>
      </c>
    </row>
    <row r="1239" spans="1:20" x14ac:dyDescent="0.3">
      <c r="A1239">
        <v>1234</v>
      </c>
      <c r="B1239" t="s">
        <v>59</v>
      </c>
      <c r="C1239" t="s">
        <v>60</v>
      </c>
      <c r="D1239" t="s">
        <v>61</v>
      </c>
      <c r="E1239" t="s">
        <v>62</v>
      </c>
      <c r="F1239" t="s">
        <v>63</v>
      </c>
      <c r="G1239" t="s">
        <v>64</v>
      </c>
      <c r="H1239" t="s">
        <v>34</v>
      </c>
      <c r="I1239" t="s">
        <v>65</v>
      </c>
      <c r="J1239" s="1">
        <v>550</v>
      </c>
      <c r="K1239" s="1">
        <v>42.307692307692307</v>
      </c>
      <c r="L1239" s="3">
        <v>13</v>
      </c>
      <c r="M1239" t="s">
        <v>66</v>
      </c>
      <c r="N1239" s="2">
        <v>45599</v>
      </c>
      <c r="O1239" t="s">
        <v>67</v>
      </c>
      <c r="P1239" t="s">
        <v>68</v>
      </c>
      <c r="Q1239">
        <v>78710</v>
      </c>
      <c r="R1239" t="s">
        <v>27</v>
      </c>
      <c r="S1239" s="10">
        <v>24.070892025868229</v>
      </c>
      <c r="T1239">
        <v>17</v>
      </c>
    </row>
    <row r="1240" spans="1:20" x14ac:dyDescent="0.3">
      <c r="A1240">
        <v>1170</v>
      </c>
      <c r="B1240" t="s">
        <v>153</v>
      </c>
      <c r="C1240" t="s">
        <v>154</v>
      </c>
      <c r="D1240" t="s">
        <v>155</v>
      </c>
      <c r="E1240" t="s">
        <v>156</v>
      </c>
      <c r="F1240" t="s">
        <v>157</v>
      </c>
      <c r="G1240" t="s">
        <v>158</v>
      </c>
      <c r="H1240" t="s">
        <v>34</v>
      </c>
      <c r="I1240" t="s">
        <v>65</v>
      </c>
      <c r="J1240" s="1">
        <v>38</v>
      </c>
      <c r="K1240" s="1">
        <v>38</v>
      </c>
      <c r="L1240" s="3">
        <v>1</v>
      </c>
      <c r="M1240" t="s">
        <v>24</v>
      </c>
      <c r="N1240" s="2">
        <v>45601</v>
      </c>
      <c r="O1240" t="s">
        <v>67</v>
      </c>
      <c r="P1240" t="s">
        <v>159</v>
      </c>
      <c r="Q1240">
        <v>88574</v>
      </c>
      <c r="R1240" t="s">
        <v>27</v>
      </c>
      <c r="S1240" s="10">
        <v>1.6146678242026593</v>
      </c>
      <c r="T1240">
        <v>1</v>
      </c>
    </row>
    <row r="1241" spans="1:20" x14ac:dyDescent="0.3">
      <c r="A1241">
        <v>1532</v>
      </c>
      <c r="B1241" t="s">
        <v>707</v>
      </c>
      <c r="C1241" t="s">
        <v>1700</v>
      </c>
      <c r="D1241" t="s">
        <v>2187</v>
      </c>
      <c r="E1241" t="s">
        <v>2188</v>
      </c>
      <c r="F1241" t="s">
        <v>522</v>
      </c>
      <c r="G1241" t="s">
        <v>453</v>
      </c>
      <c r="H1241" t="s">
        <v>22</v>
      </c>
      <c r="I1241" t="s">
        <v>23</v>
      </c>
      <c r="J1241" s="1">
        <v>888</v>
      </c>
      <c r="K1241" s="1">
        <v>32.888888888888886</v>
      </c>
      <c r="L1241" s="3">
        <v>27</v>
      </c>
      <c r="M1241" t="s">
        <v>24</v>
      </c>
      <c r="N1241" s="2">
        <v>45601</v>
      </c>
      <c r="O1241" t="s">
        <v>67</v>
      </c>
      <c r="P1241" t="s">
        <v>280</v>
      </c>
      <c r="Q1241">
        <v>78225</v>
      </c>
      <c r="R1241" t="s">
        <v>27</v>
      </c>
      <c r="S1241" s="10">
        <v>59.454794010068731</v>
      </c>
      <c r="T1241">
        <v>39</v>
      </c>
    </row>
    <row r="1242" spans="1:20" x14ac:dyDescent="0.3">
      <c r="A1242">
        <v>1084</v>
      </c>
      <c r="B1242" t="s">
        <v>175</v>
      </c>
      <c r="C1242" t="s">
        <v>176</v>
      </c>
      <c r="D1242" t="s">
        <v>177</v>
      </c>
      <c r="E1242" t="s">
        <v>178</v>
      </c>
      <c r="F1242" t="s">
        <v>179</v>
      </c>
      <c r="G1242" t="s">
        <v>180</v>
      </c>
      <c r="H1242" t="s">
        <v>34</v>
      </c>
      <c r="I1242" t="s">
        <v>55</v>
      </c>
      <c r="J1242" s="1">
        <v>326</v>
      </c>
      <c r="K1242" s="1">
        <v>40.75</v>
      </c>
      <c r="L1242" s="3">
        <v>8</v>
      </c>
      <c r="M1242" t="s">
        <v>36</v>
      </c>
      <c r="N1242" s="2">
        <v>45602</v>
      </c>
      <c r="O1242" t="s">
        <v>181</v>
      </c>
      <c r="P1242" t="s">
        <v>182</v>
      </c>
      <c r="Q1242">
        <v>2453</v>
      </c>
      <c r="R1242" t="s">
        <v>27</v>
      </c>
      <c r="S1242" s="10">
        <v>17.749157897348397</v>
      </c>
      <c r="T1242">
        <v>17</v>
      </c>
    </row>
    <row r="1243" spans="1:20" x14ac:dyDescent="0.3">
      <c r="A1243">
        <v>1734</v>
      </c>
      <c r="B1243" t="s">
        <v>1340</v>
      </c>
      <c r="C1243" t="s">
        <v>1701</v>
      </c>
      <c r="D1243" t="s">
        <v>2189</v>
      </c>
      <c r="E1243" t="s">
        <v>2190</v>
      </c>
      <c r="F1243" t="s">
        <v>1063</v>
      </c>
      <c r="G1243" t="s">
        <v>116</v>
      </c>
      <c r="H1243" t="s">
        <v>34</v>
      </c>
      <c r="I1243" t="s">
        <v>65</v>
      </c>
      <c r="J1243" s="1">
        <v>149</v>
      </c>
      <c r="K1243" s="1">
        <v>29.8</v>
      </c>
      <c r="L1243" s="3">
        <v>5</v>
      </c>
      <c r="M1243" t="s">
        <v>219</v>
      </c>
      <c r="N1243" s="2">
        <v>45602</v>
      </c>
      <c r="O1243" t="s">
        <v>229</v>
      </c>
      <c r="P1243" t="s">
        <v>1282</v>
      </c>
      <c r="Q1243">
        <v>43666</v>
      </c>
      <c r="R1243" t="s">
        <v>27</v>
      </c>
      <c r="S1243" s="10">
        <v>10.643758573836068</v>
      </c>
      <c r="T1243">
        <v>10</v>
      </c>
    </row>
    <row r="1244" spans="1:20" x14ac:dyDescent="0.3">
      <c r="A1244">
        <v>1582</v>
      </c>
      <c r="B1244" t="s">
        <v>1738</v>
      </c>
      <c r="C1244" t="s">
        <v>86</v>
      </c>
      <c r="D1244" t="s">
        <v>2191</v>
      </c>
      <c r="E1244" t="s">
        <v>2192</v>
      </c>
      <c r="F1244" t="s">
        <v>1020</v>
      </c>
      <c r="G1244" t="s">
        <v>459</v>
      </c>
      <c r="H1244" t="s">
        <v>22</v>
      </c>
      <c r="I1244" t="s">
        <v>117</v>
      </c>
      <c r="J1244" s="1">
        <v>227</v>
      </c>
      <c r="K1244" s="1">
        <v>28.375</v>
      </c>
      <c r="L1244" s="3">
        <v>8</v>
      </c>
      <c r="M1244" t="s">
        <v>126</v>
      </c>
      <c r="N1244" s="2">
        <v>45605</v>
      </c>
      <c r="O1244" t="s">
        <v>496</v>
      </c>
      <c r="P1244" t="s">
        <v>687</v>
      </c>
      <c r="Q1244">
        <v>40205</v>
      </c>
      <c r="R1244" t="s">
        <v>27</v>
      </c>
      <c r="S1244" s="10">
        <v>17.890813440241136</v>
      </c>
      <c r="T1244">
        <v>17</v>
      </c>
    </row>
    <row r="1245" spans="1:20" x14ac:dyDescent="0.3">
      <c r="A1245">
        <v>1995</v>
      </c>
      <c r="B1245" t="s">
        <v>562</v>
      </c>
      <c r="C1245" t="s">
        <v>563</v>
      </c>
      <c r="D1245" t="s">
        <v>564</v>
      </c>
      <c r="E1245" t="s">
        <v>565</v>
      </c>
      <c r="F1245" t="s">
        <v>566</v>
      </c>
      <c r="G1245" t="s">
        <v>567</v>
      </c>
      <c r="H1245" t="s">
        <v>22</v>
      </c>
      <c r="I1245" t="s">
        <v>65</v>
      </c>
      <c r="J1245" s="1">
        <v>329</v>
      </c>
      <c r="K1245" s="1">
        <v>36.555555555555557</v>
      </c>
      <c r="L1245" s="3">
        <v>9</v>
      </c>
      <c r="M1245" t="s">
        <v>126</v>
      </c>
      <c r="N1245" s="2">
        <v>45605</v>
      </c>
      <c r="O1245" t="s">
        <v>568</v>
      </c>
      <c r="P1245" t="s">
        <v>569</v>
      </c>
      <c r="Q1245">
        <v>37939</v>
      </c>
      <c r="R1245" t="s">
        <v>27</v>
      </c>
      <c r="S1245" s="10">
        <v>14.08392713697342</v>
      </c>
      <c r="T1245">
        <v>17</v>
      </c>
    </row>
    <row r="1246" spans="1:20" x14ac:dyDescent="0.3">
      <c r="A1246">
        <v>1123</v>
      </c>
      <c r="B1246" t="s">
        <v>231</v>
      </c>
      <c r="C1246" t="s">
        <v>512</v>
      </c>
      <c r="D1246" t="s">
        <v>639</v>
      </c>
      <c r="E1246" t="s">
        <v>640</v>
      </c>
      <c r="F1246" t="s">
        <v>638</v>
      </c>
      <c r="G1246" t="s">
        <v>410</v>
      </c>
      <c r="H1246" t="s">
        <v>34</v>
      </c>
      <c r="I1246" t="s">
        <v>55</v>
      </c>
      <c r="J1246" s="1">
        <v>651</v>
      </c>
      <c r="K1246" s="1">
        <v>43.4</v>
      </c>
      <c r="L1246" s="3">
        <v>15</v>
      </c>
      <c r="M1246" t="s">
        <v>24</v>
      </c>
      <c r="N1246" s="2">
        <v>45609</v>
      </c>
      <c r="O1246" t="s">
        <v>267</v>
      </c>
      <c r="P1246" t="s">
        <v>641</v>
      </c>
      <c r="Q1246">
        <v>33673</v>
      </c>
      <c r="R1246" t="s">
        <v>27</v>
      </c>
      <c r="S1246" s="10">
        <v>37.085436314956212</v>
      </c>
      <c r="T1246">
        <v>21</v>
      </c>
    </row>
    <row r="1247" spans="1:20" x14ac:dyDescent="0.3">
      <c r="A1247">
        <v>1020</v>
      </c>
      <c r="B1247" t="s">
        <v>310</v>
      </c>
      <c r="C1247" t="s">
        <v>311</v>
      </c>
      <c r="D1247" t="s">
        <v>312</v>
      </c>
      <c r="E1247" t="s">
        <v>313</v>
      </c>
      <c r="F1247" t="s">
        <v>314</v>
      </c>
      <c r="G1247" t="s">
        <v>315</v>
      </c>
      <c r="H1247" t="s">
        <v>22</v>
      </c>
      <c r="I1247" t="s">
        <v>23</v>
      </c>
      <c r="J1247" s="1">
        <v>50</v>
      </c>
      <c r="K1247" s="1">
        <v>25</v>
      </c>
      <c r="L1247" s="3">
        <v>2</v>
      </c>
      <c r="M1247" t="s">
        <v>36</v>
      </c>
      <c r="N1247" s="2">
        <v>45610</v>
      </c>
      <c r="O1247" t="s">
        <v>37</v>
      </c>
      <c r="P1247" t="s">
        <v>316</v>
      </c>
      <c r="Q1247">
        <v>94105</v>
      </c>
      <c r="R1247" t="s">
        <v>27</v>
      </c>
      <c r="S1247" s="10">
        <v>3.6173033802986976</v>
      </c>
      <c r="T1247">
        <v>3</v>
      </c>
    </row>
    <row r="1248" spans="1:20" x14ac:dyDescent="0.3">
      <c r="A1248">
        <v>1411</v>
      </c>
      <c r="B1248" t="s">
        <v>1700</v>
      </c>
      <c r="C1248" t="s">
        <v>1795</v>
      </c>
      <c r="D1248" t="s">
        <v>1796</v>
      </c>
      <c r="E1248" t="s">
        <v>1797</v>
      </c>
      <c r="F1248" t="s">
        <v>1798</v>
      </c>
      <c r="G1248" t="s">
        <v>285</v>
      </c>
      <c r="H1248" t="s">
        <v>34</v>
      </c>
      <c r="I1248" t="s">
        <v>55</v>
      </c>
      <c r="J1248" s="1">
        <v>298</v>
      </c>
      <c r="K1248" s="1">
        <v>27.09090909090909</v>
      </c>
      <c r="L1248" s="3">
        <v>11</v>
      </c>
      <c r="M1248" t="s">
        <v>447</v>
      </c>
      <c r="N1248" s="2">
        <v>45611</v>
      </c>
      <c r="O1248" t="s">
        <v>470</v>
      </c>
      <c r="P1248" t="s">
        <v>358</v>
      </c>
      <c r="Q1248">
        <v>20067</v>
      </c>
      <c r="R1248" t="s">
        <v>27</v>
      </c>
      <c r="S1248" s="10">
        <v>17.266235173157209</v>
      </c>
      <c r="T1248">
        <v>17</v>
      </c>
    </row>
    <row r="1249" spans="1:20" x14ac:dyDescent="0.3">
      <c r="A1249">
        <v>1514</v>
      </c>
      <c r="B1249" t="s">
        <v>1291</v>
      </c>
      <c r="C1249" t="s">
        <v>358</v>
      </c>
      <c r="D1249" t="s">
        <v>1292</v>
      </c>
      <c r="E1249" t="s">
        <v>1293</v>
      </c>
      <c r="F1249" t="s">
        <v>1116</v>
      </c>
      <c r="G1249" t="s">
        <v>701</v>
      </c>
      <c r="H1249" t="s">
        <v>22</v>
      </c>
      <c r="I1249" t="s">
        <v>75</v>
      </c>
      <c r="J1249" s="1">
        <v>122</v>
      </c>
      <c r="K1249" s="1">
        <v>40.666666666666664</v>
      </c>
      <c r="L1249" s="3">
        <v>3</v>
      </c>
      <c r="M1249" t="s">
        <v>404</v>
      </c>
      <c r="N1249" s="2">
        <v>45612</v>
      </c>
      <c r="O1249" t="s">
        <v>37</v>
      </c>
      <c r="P1249" t="s">
        <v>1294</v>
      </c>
      <c r="Q1249">
        <v>94913</v>
      </c>
      <c r="R1249" t="s">
        <v>27</v>
      </c>
      <c r="S1249" s="10">
        <v>6.7632599645167897</v>
      </c>
      <c r="T1249">
        <v>5</v>
      </c>
    </row>
    <row r="1250" spans="1:20" x14ac:dyDescent="0.3">
      <c r="A1250">
        <v>1084</v>
      </c>
      <c r="B1250" t="s">
        <v>175</v>
      </c>
      <c r="C1250" t="s">
        <v>176</v>
      </c>
      <c r="D1250" t="s">
        <v>177</v>
      </c>
      <c r="E1250" t="s">
        <v>178</v>
      </c>
      <c r="F1250" t="s">
        <v>179</v>
      </c>
      <c r="G1250" t="s">
        <v>180</v>
      </c>
      <c r="H1250" t="s">
        <v>34</v>
      </c>
      <c r="I1250" t="s">
        <v>55</v>
      </c>
      <c r="J1250" s="1">
        <v>685</v>
      </c>
      <c r="K1250" s="1">
        <v>36.05263157894737</v>
      </c>
      <c r="L1250" s="3">
        <v>19</v>
      </c>
      <c r="M1250" t="s">
        <v>36</v>
      </c>
      <c r="N1250" s="2">
        <v>45613</v>
      </c>
      <c r="O1250" t="s">
        <v>181</v>
      </c>
      <c r="P1250" t="s">
        <v>182</v>
      </c>
      <c r="Q1250">
        <v>2453</v>
      </c>
      <c r="R1250" t="s">
        <v>27</v>
      </c>
      <c r="S1250" s="10">
        <v>29.150533228155147</v>
      </c>
      <c r="T1250">
        <v>35</v>
      </c>
    </row>
    <row r="1251" spans="1:20" x14ac:dyDescent="0.3">
      <c r="A1251">
        <v>1962</v>
      </c>
      <c r="B1251" t="s">
        <v>1215</v>
      </c>
      <c r="C1251" t="s">
        <v>592</v>
      </c>
      <c r="D1251" t="s">
        <v>2193</v>
      </c>
      <c r="E1251" t="s">
        <v>2194</v>
      </c>
      <c r="F1251" t="s">
        <v>884</v>
      </c>
      <c r="G1251" t="s">
        <v>948</v>
      </c>
      <c r="H1251" t="s">
        <v>34</v>
      </c>
      <c r="I1251" t="s">
        <v>299</v>
      </c>
      <c r="J1251" s="1">
        <v>541</v>
      </c>
      <c r="K1251" s="1">
        <v>28.473684210526315</v>
      </c>
      <c r="L1251" s="3">
        <v>19</v>
      </c>
      <c r="M1251" t="s">
        <v>143</v>
      </c>
      <c r="N1251" s="2">
        <v>45614</v>
      </c>
      <c r="O1251" t="s">
        <v>568</v>
      </c>
      <c r="P1251" t="s">
        <v>569</v>
      </c>
      <c r="Q1251">
        <v>37931</v>
      </c>
      <c r="R1251" t="s">
        <v>27</v>
      </c>
      <c r="S1251" s="10">
        <v>36.832734643544327</v>
      </c>
      <c r="T1251">
        <v>34</v>
      </c>
    </row>
    <row r="1252" spans="1:20" x14ac:dyDescent="0.3">
      <c r="A1252">
        <v>1880</v>
      </c>
      <c r="B1252" t="s">
        <v>129</v>
      </c>
      <c r="C1252" t="s">
        <v>130</v>
      </c>
      <c r="D1252" t="s">
        <v>131</v>
      </c>
      <c r="E1252" t="s">
        <v>132</v>
      </c>
      <c r="F1252" t="s">
        <v>133</v>
      </c>
      <c r="G1252" t="s">
        <v>134</v>
      </c>
      <c r="H1252" t="s">
        <v>22</v>
      </c>
      <c r="I1252" t="s">
        <v>135</v>
      </c>
      <c r="J1252" s="1">
        <v>713</v>
      </c>
      <c r="K1252" s="1">
        <v>41.941176470588232</v>
      </c>
      <c r="L1252" s="3">
        <v>17</v>
      </c>
      <c r="M1252" t="s">
        <v>36</v>
      </c>
      <c r="N1252" s="2">
        <v>45615</v>
      </c>
      <c r="O1252" t="s">
        <v>136</v>
      </c>
      <c r="P1252" t="s">
        <v>137</v>
      </c>
      <c r="Q1252">
        <v>60614</v>
      </c>
      <c r="R1252" t="s">
        <v>27</v>
      </c>
      <c r="S1252" s="10">
        <v>30.384656498583954</v>
      </c>
      <c r="T1252">
        <v>33</v>
      </c>
    </row>
    <row r="1253" spans="1:20" x14ac:dyDescent="0.3">
      <c r="A1253">
        <v>2000</v>
      </c>
      <c r="B1253" t="s">
        <v>120</v>
      </c>
      <c r="C1253" t="s">
        <v>68</v>
      </c>
      <c r="D1253" t="s">
        <v>699</v>
      </c>
      <c r="E1253" t="s">
        <v>700</v>
      </c>
      <c r="F1253" t="s">
        <v>682</v>
      </c>
      <c r="G1253" t="s">
        <v>701</v>
      </c>
      <c r="H1253" t="s">
        <v>22</v>
      </c>
      <c r="I1253" t="s">
        <v>366</v>
      </c>
      <c r="J1253" s="1">
        <v>658</v>
      </c>
      <c r="K1253" s="1">
        <v>34.631578947368418</v>
      </c>
      <c r="L1253" s="3">
        <v>19</v>
      </c>
      <c r="M1253" t="s">
        <v>66</v>
      </c>
      <c r="N1253" s="2">
        <v>45615</v>
      </c>
      <c r="O1253" t="s">
        <v>37</v>
      </c>
      <c r="P1253" t="s">
        <v>448</v>
      </c>
      <c r="Q1253">
        <v>94230</v>
      </c>
      <c r="R1253" t="s">
        <v>27</v>
      </c>
      <c r="S1253" s="10">
        <v>42.860336873590022</v>
      </c>
      <c r="T1253">
        <v>32</v>
      </c>
    </row>
    <row r="1254" spans="1:20" x14ac:dyDescent="0.3">
      <c r="A1254">
        <v>1690</v>
      </c>
      <c r="B1254" t="s">
        <v>28</v>
      </c>
      <c r="C1254" t="s">
        <v>336</v>
      </c>
      <c r="D1254" t="s">
        <v>2195</v>
      </c>
      <c r="E1254" t="s">
        <v>2196</v>
      </c>
      <c r="F1254" t="s">
        <v>972</v>
      </c>
      <c r="G1254" t="s">
        <v>756</v>
      </c>
      <c r="H1254" t="s">
        <v>34</v>
      </c>
      <c r="I1254" t="s">
        <v>23</v>
      </c>
      <c r="J1254" s="1">
        <v>884</v>
      </c>
      <c r="K1254" s="1">
        <v>30.482758620689655</v>
      </c>
      <c r="L1254" s="3">
        <v>29</v>
      </c>
      <c r="M1254" t="s">
        <v>203</v>
      </c>
      <c r="N1254" s="2">
        <v>45616</v>
      </c>
      <c r="O1254" t="s">
        <v>37</v>
      </c>
      <c r="P1254" t="s">
        <v>448</v>
      </c>
      <c r="Q1254">
        <v>94245</v>
      </c>
      <c r="R1254" t="s">
        <v>27</v>
      </c>
      <c r="S1254" s="10">
        <v>44.748638642180801</v>
      </c>
      <c r="T1254">
        <v>49</v>
      </c>
    </row>
    <row r="1255" spans="1:20" x14ac:dyDescent="0.3">
      <c r="A1255">
        <v>1017</v>
      </c>
      <c r="B1255" t="s">
        <v>660</v>
      </c>
      <c r="C1255" t="s">
        <v>679</v>
      </c>
      <c r="D1255" t="s">
        <v>680</v>
      </c>
      <c r="E1255" t="s">
        <v>681</v>
      </c>
      <c r="F1255" t="s">
        <v>682</v>
      </c>
      <c r="G1255" t="s">
        <v>446</v>
      </c>
      <c r="H1255" t="s">
        <v>22</v>
      </c>
      <c r="I1255" t="s">
        <v>23</v>
      </c>
      <c r="J1255" s="1">
        <v>820</v>
      </c>
      <c r="K1255" s="1">
        <v>24.848484848484848</v>
      </c>
      <c r="L1255" s="3">
        <v>33</v>
      </c>
      <c r="M1255" t="s">
        <v>36</v>
      </c>
      <c r="N1255" s="2">
        <v>45622</v>
      </c>
      <c r="O1255" t="s">
        <v>136</v>
      </c>
      <c r="P1255" t="s">
        <v>137</v>
      </c>
      <c r="Q1255">
        <v>60663</v>
      </c>
      <c r="R1255" t="s">
        <v>27</v>
      </c>
      <c r="S1255" s="10">
        <v>72.340359317406964</v>
      </c>
      <c r="T1255">
        <v>66</v>
      </c>
    </row>
    <row r="1256" spans="1:20" x14ac:dyDescent="0.3">
      <c r="A1256">
        <v>1212</v>
      </c>
      <c r="B1256" t="s">
        <v>120</v>
      </c>
      <c r="C1256" t="s">
        <v>121</v>
      </c>
      <c r="D1256" t="s">
        <v>122</v>
      </c>
      <c r="E1256" t="s">
        <v>123</v>
      </c>
      <c r="F1256" t="s">
        <v>124</v>
      </c>
      <c r="G1256" t="s">
        <v>125</v>
      </c>
      <c r="H1256" t="s">
        <v>22</v>
      </c>
      <c r="I1256" t="s">
        <v>65</v>
      </c>
      <c r="J1256" s="1">
        <v>790</v>
      </c>
      <c r="K1256" s="1">
        <v>32.916666666666664</v>
      </c>
      <c r="L1256" s="3">
        <v>24</v>
      </c>
      <c r="M1256" t="s">
        <v>126</v>
      </c>
      <c r="N1256" s="2">
        <v>45623</v>
      </c>
      <c r="O1256" t="s">
        <v>127</v>
      </c>
      <c r="P1256" t="s">
        <v>128</v>
      </c>
      <c r="Q1256">
        <v>6183</v>
      </c>
      <c r="R1256" t="s">
        <v>27</v>
      </c>
      <c r="S1256" s="10">
        <v>53.483905044092921</v>
      </c>
      <c r="T1256">
        <v>53</v>
      </c>
    </row>
    <row r="1257" spans="1:20" x14ac:dyDescent="0.3">
      <c r="A1257">
        <v>1985</v>
      </c>
      <c r="B1257" t="s">
        <v>275</v>
      </c>
      <c r="C1257" t="s">
        <v>1523</v>
      </c>
      <c r="D1257" t="s">
        <v>1524</v>
      </c>
      <c r="E1257" t="s">
        <v>1525</v>
      </c>
      <c r="F1257" t="s">
        <v>53</v>
      </c>
      <c r="G1257" t="s">
        <v>1261</v>
      </c>
      <c r="H1257" t="s">
        <v>22</v>
      </c>
      <c r="I1257" t="s">
        <v>65</v>
      </c>
      <c r="J1257" s="1">
        <v>648</v>
      </c>
      <c r="K1257" s="1">
        <v>24.923076923076923</v>
      </c>
      <c r="L1257" s="3">
        <v>26</v>
      </c>
      <c r="M1257" t="s">
        <v>447</v>
      </c>
      <c r="N1257" s="2">
        <v>45623</v>
      </c>
      <c r="O1257" t="s">
        <v>136</v>
      </c>
      <c r="P1257" t="s">
        <v>137</v>
      </c>
      <c r="Q1257">
        <v>60646</v>
      </c>
      <c r="R1257" t="s">
        <v>27</v>
      </c>
      <c r="S1257" s="10">
        <v>56.880467493217211</v>
      </c>
      <c r="T1257">
        <v>38</v>
      </c>
    </row>
    <row r="1258" spans="1:20" x14ac:dyDescent="0.3">
      <c r="A1258">
        <v>2000</v>
      </c>
      <c r="B1258" t="s">
        <v>120</v>
      </c>
      <c r="C1258" t="s">
        <v>68</v>
      </c>
      <c r="D1258" t="s">
        <v>699</v>
      </c>
      <c r="E1258" t="s">
        <v>700</v>
      </c>
      <c r="F1258" t="s">
        <v>682</v>
      </c>
      <c r="G1258" t="s">
        <v>701</v>
      </c>
      <c r="H1258" t="s">
        <v>22</v>
      </c>
      <c r="I1258" t="s">
        <v>366</v>
      </c>
      <c r="J1258" s="1">
        <v>689</v>
      </c>
      <c r="K1258" s="1">
        <v>34.450000000000003</v>
      </c>
      <c r="L1258" s="3">
        <v>20</v>
      </c>
      <c r="M1258" t="s">
        <v>66</v>
      </c>
      <c r="N1258" s="2">
        <v>45623</v>
      </c>
      <c r="O1258" t="s">
        <v>37</v>
      </c>
      <c r="P1258" t="s">
        <v>448</v>
      </c>
      <c r="Q1258">
        <v>94230</v>
      </c>
      <c r="R1258" t="s">
        <v>27</v>
      </c>
      <c r="S1258" s="10">
        <v>33.148991021819654</v>
      </c>
      <c r="T1258">
        <v>46</v>
      </c>
    </row>
    <row r="1259" spans="1:20" x14ac:dyDescent="0.3">
      <c r="A1259">
        <v>1116</v>
      </c>
      <c r="B1259" t="s">
        <v>49</v>
      </c>
      <c r="C1259" t="s">
        <v>50</v>
      </c>
      <c r="D1259" t="s">
        <v>51</v>
      </c>
      <c r="E1259" t="s">
        <v>52</v>
      </c>
      <c r="F1259" t="s">
        <v>53</v>
      </c>
      <c r="G1259" t="s">
        <v>54</v>
      </c>
      <c r="H1259" t="s">
        <v>22</v>
      </c>
      <c r="I1259" t="s">
        <v>55</v>
      </c>
      <c r="J1259" s="1">
        <v>566</v>
      </c>
      <c r="K1259" s="1">
        <v>26.952380952380953</v>
      </c>
      <c r="L1259" s="3">
        <v>21</v>
      </c>
      <c r="M1259" t="s">
        <v>56</v>
      </c>
      <c r="N1259" s="2">
        <v>45627</v>
      </c>
      <c r="O1259" t="s">
        <v>57</v>
      </c>
      <c r="P1259" t="s">
        <v>58</v>
      </c>
      <c r="Q1259">
        <v>30096</v>
      </c>
      <c r="R1259" t="s">
        <v>27</v>
      </c>
      <c r="S1259" s="10">
        <v>29.475196979436365</v>
      </c>
      <c r="T1259">
        <v>36</v>
      </c>
    </row>
    <row r="1260" spans="1:20" x14ac:dyDescent="0.3">
      <c r="A1260">
        <v>1986</v>
      </c>
      <c r="B1260" t="s">
        <v>1379</v>
      </c>
      <c r="C1260" t="s">
        <v>281</v>
      </c>
      <c r="D1260" t="s">
        <v>1380</v>
      </c>
      <c r="E1260" t="s">
        <v>1381</v>
      </c>
      <c r="F1260" t="s">
        <v>150</v>
      </c>
      <c r="G1260" t="s">
        <v>918</v>
      </c>
      <c r="H1260" t="s">
        <v>34</v>
      </c>
      <c r="I1260" t="s">
        <v>65</v>
      </c>
      <c r="J1260" s="1">
        <v>134</v>
      </c>
      <c r="K1260" s="1">
        <v>26.8</v>
      </c>
      <c r="L1260" s="3">
        <v>5</v>
      </c>
      <c r="M1260" t="s">
        <v>143</v>
      </c>
      <c r="N1260" s="2">
        <v>45627</v>
      </c>
      <c r="O1260" t="s">
        <v>67</v>
      </c>
      <c r="P1260" t="s">
        <v>334</v>
      </c>
      <c r="Q1260">
        <v>77010</v>
      </c>
      <c r="R1260" t="s">
        <v>27</v>
      </c>
      <c r="S1260" s="10">
        <v>11.077714621697663</v>
      </c>
      <c r="T1260">
        <v>6</v>
      </c>
    </row>
    <row r="1261" spans="1:20" x14ac:dyDescent="0.3">
      <c r="A1261">
        <v>1043</v>
      </c>
      <c r="B1261" t="s">
        <v>102</v>
      </c>
      <c r="C1261" t="s">
        <v>154</v>
      </c>
      <c r="D1261" t="s">
        <v>547</v>
      </c>
      <c r="E1261" t="s">
        <v>548</v>
      </c>
      <c r="F1261" t="s">
        <v>549</v>
      </c>
      <c r="G1261" t="s">
        <v>453</v>
      </c>
      <c r="H1261" t="s">
        <v>34</v>
      </c>
      <c r="I1261" t="s">
        <v>23</v>
      </c>
      <c r="J1261" s="1">
        <v>484</v>
      </c>
      <c r="K1261" s="1">
        <v>25.473684210526315</v>
      </c>
      <c r="L1261" s="3">
        <v>19</v>
      </c>
      <c r="M1261" t="s">
        <v>24</v>
      </c>
      <c r="N1261" s="2">
        <v>45628</v>
      </c>
      <c r="O1261" t="s">
        <v>300</v>
      </c>
      <c r="P1261" t="s">
        <v>301</v>
      </c>
      <c r="Q1261">
        <v>89140</v>
      </c>
      <c r="R1261" t="s">
        <v>27</v>
      </c>
      <c r="S1261" s="10">
        <v>23.985785840631518</v>
      </c>
      <c r="T1261">
        <v>30</v>
      </c>
    </row>
    <row r="1262" spans="1:20" x14ac:dyDescent="0.3">
      <c r="A1262">
        <v>1070</v>
      </c>
      <c r="B1262" t="s">
        <v>111</v>
      </c>
      <c r="C1262" t="s">
        <v>2197</v>
      </c>
      <c r="D1262" t="s">
        <v>2198</v>
      </c>
      <c r="E1262" t="s">
        <v>2199</v>
      </c>
      <c r="F1262" t="s">
        <v>1728</v>
      </c>
      <c r="G1262" t="s">
        <v>180</v>
      </c>
      <c r="H1262" t="s">
        <v>34</v>
      </c>
      <c r="I1262" t="s">
        <v>55</v>
      </c>
      <c r="J1262" s="1">
        <v>408</v>
      </c>
      <c r="K1262" s="1">
        <v>31.384615384615383</v>
      </c>
      <c r="L1262" s="3">
        <v>13</v>
      </c>
      <c r="M1262" t="s">
        <v>56</v>
      </c>
      <c r="N1262" s="2">
        <v>45628</v>
      </c>
      <c r="O1262" t="s">
        <v>109</v>
      </c>
      <c r="P1262" t="s">
        <v>2200</v>
      </c>
      <c r="Q1262">
        <v>71137</v>
      </c>
      <c r="R1262" t="s">
        <v>27</v>
      </c>
      <c r="S1262" s="10">
        <v>29.83578590844342</v>
      </c>
      <c r="T1262">
        <v>29</v>
      </c>
    </row>
    <row r="1263" spans="1:20" x14ac:dyDescent="0.3">
      <c r="A1263">
        <v>1489</v>
      </c>
      <c r="B1263" t="s">
        <v>85</v>
      </c>
      <c r="C1263" t="s">
        <v>86</v>
      </c>
      <c r="D1263" t="s">
        <v>87</v>
      </c>
      <c r="E1263" t="s">
        <v>88</v>
      </c>
      <c r="F1263" t="s">
        <v>89</v>
      </c>
      <c r="G1263" t="s">
        <v>90</v>
      </c>
      <c r="H1263" t="s">
        <v>34</v>
      </c>
      <c r="I1263" t="s">
        <v>23</v>
      </c>
      <c r="J1263" s="1">
        <v>528</v>
      </c>
      <c r="K1263" s="1">
        <v>35.200000000000003</v>
      </c>
      <c r="L1263" s="3">
        <v>15</v>
      </c>
      <c r="M1263" t="s">
        <v>66</v>
      </c>
      <c r="N1263" s="2">
        <v>45628</v>
      </c>
      <c r="O1263" t="s">
        <v>47</v>
      </c>
      <c r="P1263" t="s">
        <v>91</v>
      </c>
      <c r="Q1263">
        <v>23668</v>
      </c>
      <c r="R1263" t="s">
        <v>27</v>
      </c>
      <c r="S1263" s="10">
        <v>21.688046048254389</v>
      </c>
      <c r="T1263">
        <v>32</v>
      </c>
    </row>
    <row r="1264" spans="1:20" x14ac:dyDescent="0.3">
      <c r="A1264">
        <v>1573</v>
      </c>
      <c r="B1264" t="s">
        <v>1679</v>
      </c>
      <c r="C1264" t="s">
        <v>708</v>
      </c>
      <c r="D1264" t="s">
        <v>2201</v>
      </c>
      <c r="E1264" t="s">
        <v>2202</v>
      </c>
      <c r="F1264" t="s">
        <v>278</v>
      </c>
      <c r="G1264" t="s">
        <v>2203</v>
      </c>
      <c r="H1264" t="s">
        <v>34</v>
      </c>
      <c r="I1264" t="s">
        <v>108</v>
      </c>
      <c r="J1264" s="1">
        <v>68</v>
      </c>
      <c r="K1264" s="1">
        <v>34</v>
      </c>
      <c r="L1264" s="3">
        <v>2</v>
      </c>
      <c r="M1264" t="s">
        <v>447</v>
      </c>
      <c r="N1264" s="2">
        <v>45628</v>
      </c>
      <c r="O1264" t="s">
        <v>67</v>
      </c>
      <c r="P1264" t="s">
        <v>68</v>
      </c>
      <c r="Q1264">
        <v>78703</v>
      </c>
      <c r="R1264" t="s">
        <v>27</v>
      </c>
      <c r="S1264" s="10">
        <v>3.8160366728794264</v>
      </c>
      <c r="T1264">
        <v>3</v>
      </c>
    </row>
    <row r="1265" spans="1:20" x14ac:dyDescent="0.3">
      <c r="A1265">
        <v>1017</v>
      </c>
      <c r="B1265" t="s">
        <v>660</v>
      </c>
      <c r="C1265" t="s">
        <v>679</v>
      </c>
      <c r="D1265" t="s">
        <v>680</v>
      </c>
      <c r="E1265" t="s">
        <v>681</v>
      </c>
      <c r="F1265" t="s">
        <v>682</v>
      </c>
      <c r="G1265" t="s">
        <v>446</v>
      </c>
      <c r="H1265" t="s">
        <v>22</v>
      </c>
      <c r="I1265" t="s">
        <v>23</v>
      </c>
      <c r="J1265" s="1">
        <v>11</v>
      </c>
      <c r="K1265" s="1">
        <v>2.75</v>
      </c>
      <c r="L1265" s="3">
        <v>4</v>
      </c>
      <c r="M1265" t="s">
        <v>36</v>
      </c>
      <c r="N1265" s="2">
        <v>45630</v>
      </c>
      <c r="O1265" t="s">
        <v>136</v>
      </c>
      <c r="P1265" t="s">
        <v>137</v>
      </c>
      <c r="Q1265">
        <v>60663</v>
      </c>
      <c r="R1265" t="s">
        <v>27</v>
      </c>
      <c r="S1265" s="10">
        <v>6.8609712403724643</v>
      </c>
      <c r="T1265">
        <v>7</v>
      </c>
    </row>
    <row r="1266" spans="1:20" x14ac:dyDescent="0.3">
      <c r="A1266">
        <v>1081</v>
      </c>
      <c r="B1266" t="s">
        <v>529</v>
      </c>
      <c r="C1266" t="s">
        <v>530</v>
      </c>
      <c r="D1266" t="s">
        <v>531</v>
      </c>
      <c r="E1266" t="s">
        <v>532</v>
      </c>
      <c r="F1266" t="s">
        <v>533</v>
      </c>
      <c r="G1266" t="s">
        <v>495</v>
      </c>
      <c r="H1266" t="s">
        <v>22</v>
      </c>
      <c r="I1266" t="s">
        <v>55</v>
      </c>
      <c r="J1266" s="1">
        <v>828</v>
      </c>
      <c r="K1266" s="1">
        <v>36</v>
      </c>
      <c r="L1266" s="3">
        <v>23</v>
      </c>
      <c r="M1266" t="s">
        <v>447</v>
      </c>
      <c r="N1266" s="2">
        <v>45630</v>
      </c>
      <c r="O1266" t="s">
        <v>229</v>
      </c>
      <c r="P1266" t="s">
        <v>534</v>
      </c>
      <c r="Q1266">
        <v>45426</v>
      </c>
      <c r="R1266" t="s">
        <v>27</v>
      </c>
      <c r="S1266" s="10">
        <v>51.936265593006738</v>
      </c>
      <c r="T1266">
        <v>44</v>
      </c>
    </row>
    <row r="1267" spans="1:20" x14ac:dyDescent="0.3">
      <c r="A1267">
        <v>1095</v>
      </c>
      <c r="B1267" t="s">
        <v>550</v>
      </c>
      <c r="C1267" t="s">
        <v>551</v>
      </c>
      <c r="D1267" t="s">
        <v>552</v>
      </c>
      <c r="E1267" t="s">
        <v>553</v>
      </c>
      <c r="F1267" t="s">
        <v>554</v>
      </c>
      <c r="G1267" t="s">
        <v>555</v>
      </c>
      <c r="H1267" t="s">
        <v>22</v>
      </c>
      <c r="I1267" t="s">
        <v>55</v>
      </c>
      <c r="J1267" s="1">
        <v>383</v>
      </c>
      <c r="K1267" s="1">
        <v>38.299999999999997</v>
      </c>
      <c r="L1267" s="3">
        <v>10</v>
      </c>
      <c r="M1267" t="s">
        <v>126</v>
      </c>
      <c r="N1267" s="2">
        <v>45630</v>
      </c>
      <c r="O1267" t="s">
        <v>67</v>
      </c>
      <c r="P1267" t="s">
        <v>334</v>
      </c>
      <c r="Q1267">
        <v>77040</v>
      </c>
      <c r="R1267" t="s">
        <v>27</v>
      </c>
      <c r="S1267" s="10">
        <v>15.87113652790752</v>
      </c>
      <c r="T1267">
        <v>22</v>
      </c>
    </row>
    <row r="1268" spans="1:20" x14ac:dyDescent="0.3">
      <c r="A1268">
        <v>1641</v>
      </c>
      <c r="B1268" t="s">
        <v>1876</v>
      </c>
      <c r="C1268" t="s">
        <v>2204</v>
      </c>
      <c r="D1268" t="s">
        <v>2205</v>
      </c>
      <c r="E1268" t="s">
        <v>2206</v>
      </c>
      <c r="F1268" t="s">
        <v>590</v>
      </c>
      <c r="G1268" t="s">
        <v>172</v>
      </c>
      <c r="H1268" t="s">
        <v>34</v>
      </c>
      <c r="I1268" t="s">
        <v>23</v>
      </c>
      <c r="J1268" s="1">
        <v>773</v>
      </c>
      <c r="K1268" s="1">
        <v>42.944444444444443</v>
      </c>
      <c r="L1268" s="3">
        <v>18</v>
      </c>
      <c r="M1268" t="s">
        <v>36</v>
      </c>
      <c r="N1268" s="2">
        <v>45630</v>
      </c>
      <c r="O1268" t="s">
        <v>100</v>
      </c>
      <c r="P1268" t="s">
        <v>734</v>
      </c>
      <c r="Q1268">
        <v>50310</v>
      </c>
      <c r="R1268" t="s">
        <v>27</v>
      </c>
      <c r="S1268" s="10">
        <v>28.522262492025327</v>
      </c>
      <c r="T1268">
        <v>34</v>
      </c>
    </row>
    <row r="1269" spans="1:20" x14ac:dyDescent="0.3">
      <c r="A1269">
        <v>1706</v>
      </c>
      <c r="B1269" t="s">
        <v>1526</v>
      </c>
      <c r="C1269" t="s">
        <v>708</v>
      </c>
      <c r="D1269" t="s">
        <v>2207</v>
      </c>
      <c r="E1269" t="s">
        <v>2208</v>
      </c>
      <c r="F1269" t="s">
        <v>1829</v>
      </c>
      <c r="G1269" t="s">
        <v>1959</v>
      </c>
      <c r="H1269" t="s">
        <v>22</v>
      </c>
      <c r="I1269" t="s">
        <v>23</v>
      </c>
      <c r="J1269" s="1">
        <v>68</v>
      </c>
      <c r="K1269" s="1">
        <v>34</v>
      </c>
      <c r="L1269" s="3">
        <v>2</v>
      </c>
      <c r="M1269" t="s">
        <v>126</v>
      </c>
      <c r="N1269" s="2">
        <v>45632</v>
      </c>
      <c r="O1269" t="s">
        <v>67</v>
      </c>
      <c r="P1269" t="s">
        <v>334</v>
      </c>
      <c r="Q1269">
        <v>77075</v>
      </c>
      <c r="R1269" t="s">
        <v>27</v>
      </c>
      <c r="S1269" s="10">
        <v>3.5265785965514773</v>
      </c>
      <c r="T1269">
        <v>3</v>
      </c>
    </row>
    <row r="1270" spans="1:20" x14ac:dyDescent="0.3">
      <c r="A1270">
        <v>1997</v>
      </c>
      <c r="B1270" t="s">
        <v>1038</v>
      </c>
      <c r="C1270" t="s">
        <v>1039</v>
      </c>
      <c r="D1270" t="s">
        <v>1040</v>
      </c>
      <c r="E1270" t="s">
        <v>1041</v>
      </c>
      <c r="F1270" t="s">
        <v>1042</v>
      </c>
      <c r="G1270" t="s">
        <v>756</v>
      </c>
      <c r="H1270" t="s">
        <v>22</v>
      </c>
      <c r="I1270" t="s">
        <v>236</v>
      </c>
      <c r="J1270" s="1">
        <v>360</v>
      </c>
      <c r="K1270" s="1">
        <v>40</v>
      </c>
      <c r="L1270" s="3">
        <v>9</v>
      </c>
      <c r="M1270" t="s">
        <v>36</v>
      </c>
      <c r="N1270" s="2">
        <v>45632</v>
      </c>
      <c r="O1270" t="s">
        <v>83</v>
      </c>
      <c r="P1270" t="s">
        <v>511</v>
      </c>
      <c r="Q1270">
        <v>10155</v>
      </c>
      <c r="R1270" t="s">
        <v>27</v>
      </c>
      <c r="S1270" s="10">
        <v>13.465533650605332</v>
      </c>
      <c r="T1270">
        <v>12</v>
      </c>
    </row>
    <row r="1271" spans="1:20" x14ac:dyDescent="0.3">
      <c r="A1271">
        <v>1463</v>
      </c>
      <c r="B1271" t="s">
        <v>1679</v>
      </c>
      <c r="C1271" t="s">
        <v>103</v>
      </c>
      <c r="D1271" t="s">
        <v>2209</v>
      </c>
      <c r="E1271" t="s">
        <v>2210</v>
      </c>
      <c r="F1271" t="s">
        <v>2211</v>
      </c>
      <c r="G1271" t="s">
        <v>483</v>
      </c>
      <c r="H1271" t="s">
        <v>34</v>
      </c>
      <c r="I1271" t="s">
        <v>98</v>
      </c>
      <c r="J1271" s="1">
        <v>21</v>
      </c>
      <c r="K1271" s="1">
        <v>5.25</v>
      </c>
      <c r="L1271" s="3">
        <v>4</v>
      </c>
      <c r="M1271" t="s">
        <v>126</v>
      </c>
      <c r="N1271" s="2">
        <v>45633</v>
      </c>
      <c r="O1271" t="s">
        <v>267</v>
      </c>
      <c r="P1271" t="s">
        <v>477</v>
      </c>
      <c r="Q1271">
        <v>33134</v>
      </c>
      <c r="R1271" t="s">
        <v>27</v>
      </c>
      <c r="S1271" s="10">
        <v>5.9223544770788061</v>
      </c>
      <c r="T1271">
        <v>6</v>
      </c>
    </row>
    <row r="1272" spans="1:20" x14ac:dyDescent="0.3">
      <c r="A1272">
        <v>1978</v>
      </c>
      <c r="B1272" t="s">
        <v>455</v>
      </c>
      <c r="C1272" t="s">
        <v>449</v>
      </c>
      <c r="D1272" t="s">
        <v>2212</v>
      </c>
      <c r="E1272" t="s">
        <v>2213</v>
      </c>
      <c r="F1272" t="s">
        <v>1649</v>
      </c>
      <c r="G1272" t="s">
        <v>756</v>
      </c>
      <c r="H1272" t="s">
        <v>22</v>
      </c>
      <c r="I1272" t="s">
        <v>65</v>
      </c>
      <c r="J1272" s="1">
        <v>221</v>
      </c>
      <c r="K1272" s="1">
        <v>36.833333333333336</v>
      </c>
      <c r="L1272" s="3">
        <v>6</v>
      </c>
      <c r="M1272" t="s">
        <v>36</v>
      </c>
      <c r="N1272" s="2">
        <v>45635</v>
      </c>
      <c r="O1272" t="s">
        <v>859</v>
      </c>
      <c r="P1272" t="s">
        <v>2214</v>
      </c>
      <c r="Q1272">
        <v>20904</v>
      </c>
      <c r="R1272" t="s">
        <v>27</v>
      </c>
      <c r="S1272" s="10">
        <v>11.85143877971538</v>
      </c>
      <c r="T1272">
        <v>8</v>
      </c>
    </row>
    <row r="1273" spans="1:20" x14ac:dyDescent="0.3">
      <c r="A1273">
        <v>1084</v>
      </c>
      <c r="B1273" t="s">
        <v>175</v>
      </c>
      <c r="C1273" t="s">
        <v>176</v>
      </c>
      <c r="D1273" t="s">
        <v>177</v>
      </c>
      <c r="E1273" t="s">
        <v>178</v>
      </c>
      <c r="F1273" t="s">
        <v>179</v>
      </c>
      <c r="G1273" t="s">
        <v>180</v>
      </c>
      <c r="H1273" t="s">
        <v>34</v>
      </c>
      <c r="I1273" t="s">
        <v>55</v>
      </c>
      <c r="J1273" s="1">
        <v>937</v>
      </c>
      <c r="K1273" s="1">
        <v>37.479999999999997</v>
      </c>
      <c r="L1273" s="3">
        <v>25</v>
      </c>
      <c r="M1273" t="s">
        <v>36</v>
      </c>
      <c r="N1273" s="2">
        <v>45636</v>
      </c>
      <c r="O1273" t="s">
        <v>181</v>
      </c>
      <c r="P1273" t="s">
        <v>182</v>
      </c>
      <c r="Q1273">
        <v>2453</v>
      </c>
      <c r="R1273" t="s">
        <v>27</v>
      </c>
      <c r="S1273" s="10">
        <v>61.121443511876926</v>
      </c>
      <c r="T1273">
        <v>36</v>
      </c>
    </row>
    <row r="1274" spans="1:20" x14ac:dyDescent="0.3">
      <c r="A1274">
        <v>1144</v>
      </c>
      <c r="B1274" t="s">
        <v>776</v>
      </c>
      <c r="C1274" t="s">
        <v>747</v>
      </c>
      <c r="D1274" t="s">
        <v>807</v>
      </c>
      <c r="E1274" t="s">
        <v>808</v>
      </c>
      <c r="F1274" t="s">
        <v>235</v>
      </c>
      <c r="G1274" t="s">
        <v>677</v>
      </c>
      <c r="H1274" t="s">
        <v>22</v>
      </c>
      <c r="I1274" t="s">
        <v>35</v>
      </c>
      <c r="J1274" s="1">
        <v>514</v>
      </c>
      <c r="K1274" s="1">
        <v>36.714285714285715</v>
      </c>
      <c r="L1274" s="3">
        <v>14</v>
      </c>
      <c r="M1274" t="s">
        <v>66</v>
      </c>
      <c r="N1274" s="2">
        <v>45643</v>
      </c>
      <c r="O1274" t="s">
        <v>83</v>
      </c>
      <c r="P1274" t="s">
        <v>809</v>
      </c>
      <c r="Q1274">
        <v>11355</v>
      </c>
      <c r="R1274" t="s">
        <v>27</v>
      </c>
      <c r="S1274" s="10">
        <v>34.382148015475366</v>
      </c>
      <c r="T1274">
        <v>29</v>
      </c>
    </row>
    <row r="1275" spans="1:20" x14ac:dyDescent="0.3">
      <c r="A1275">
        <v>1546</v>
      </c>
      <c r="B1275" t="s">
        <v>1836</v>
      </c>
      <c r="C1275" t="s">
        <v>1034</v>
      </c>
      <c r="D1275" t="s">
        <v>2215</v>
      </c>
      <c r="E1275" t="s">
        <v>2216</v>
      </c>
      <c r="F1275" t="s">
        <v>607</v>
      </c>
      <c r="G1275" t="s">
        <v>2217</v>
      </c>
      <c r="H1275" t="s">
        <v>34</v>
      </c>
      <c r="I1275" t="s">
        <v>135</v>
      </c>
      <c r="J1275" s="1">
        <v>669</v>
      </c>
      <c r="K1275" s="1">
        <v>35.210526315789473</v>
      </c>
      <c r="L1275" s="3">
        <v>19</v>
      </c>
      <c r="M1275" t="s">
        <v>36</v>
      </c>
      <c r="N1275" s="2">
        <v>45644</v>
      </c>
      <c r="O1275" t="s">
        <v>568</v>
      </c>
      <c r="P1275" t="s">
        <v>2218</v>
      </c>
      <c r="Q1275">
        <v>37665</v>
      </c>
      <c r="R1275" t="s">
        <v>27</v>
      </c>
      <c r="S1275" s="10">
        <v>24.845130701578967</v>
      </c>
      <c r="T1275">
        <v>31</v>
      </c>
    </row>
    <row r="1276" spans="1:20" x14ac:dyDescent="0.3">
      <c r="A1276">
        <v>1783</v>
      </c>
      <c r="B1276" t="s">
        <v>302</v>
      </c>
      <c r="C1276" t="s">
        <v>303</v>
      </c>
      <c r="D1276" t="s">
        <v>304</v>
      </c>
      <c r="E1276" t="s">
        <v>305</v>
      </c>
      <c r="F1276" t="s">
        <v>306</v>
      </c>
      <c r="G1276" t="s">
        <v>307</v>
      </c>
      <c r="H1276" t="s">
        <v>34</v>
      </c>
      <c r="I1276" t="s">
        <v>35</v>
      </c>
      <c r="J1276" s="1">
        <v>540</v>
      </c>
      <c r="K1276" s="1">
        <v>33.75</v>
      </c>
      <c r="L1276" s="3">
        <v>16</v>
      </c>
      <c r="M1276" t="s">
        <v>244</v>
      </c>
      <c r="N1276" s="2">
        <v>45645</v>
      </c>
      <c r="O1276" t="s">
        <v>308</v>
      </c>
      <c r="P1276" t="s">
        <v>309</v>
      </c>
      <c r="Q1276">
        <v>85715</v>
      </c>
      <c r="R1276" t="s">
        <v>27</v>
      </c>
      <c r="S1276" s="10">
        <v>25.520764675729826</v>
      </c>
      <c r="T1276">
        <v>22</v>
      </c>
    </row>
    <row r="1277" spans="1:20" x14ac:dyDescent="0.3">
      <c r="A1277">
        <v>1017</v>
      </c>
      <c r="B1277" t="s">
        <v>660</v>
      </c>
      <c r="C1277" t="s">
        <v>679</v>
      </c>
      <c r="D1277" t="s">
        <v>680</v>
      </c>
      <c r="E1277" t="s">
        <v>681</v>
      </c>
      <c r="F1277" t="s">
        <v>682</v>
      </c>
      <c r="G1277" t="s">
        <v>446</v>
      </c>
      <c r="H1277" t="s">
        <v>22</v>
      </c>
      <c r="I1277" t="s">
        <v>23</v>
      </c>
      <c r="J1277" s="1">
        <v>922</v>
      </c>
      <c r="K1277" s="1">
        <v>41.909090909090907</v>
      </c>
      <c r="L1277" s="3">
        <v>22</v>
      </c>
      <c r="M1277" t="s">
        <v>36</v>
      </c>
      <c r="N1277" s="2">
        <v>45646</v>
      </c>
      <c r="O1277" t="s">
        <v>136</v>
      </c>
      <c r="P1277" t="s">
        <v>137</v>
      </c>
      <c r="Q1277">
        <v>60663</v>
      </c>
      <c r="R1277" t="s">
        <v>27</v>
      </c>
      <c r="S1277" s="10">
        <v>47.153373062416875</v>
      </c>
      <c r="T1277">
        <v>38</v>
      </c>
    </row>
    <row r="1278" spans="1:20" x14ac:dyDescent="0.3">
      <c r="A1278">
        <v>1846</v>
      </c>
      <c r="B1278" t="s">
        <v>138</v>
      </c>
      <c r="C1278" t="s">
        <v>261</v>
      </c>
      <c r="D1278" t="s">
        <v>2219</v>
      </c>
      <c r="E1278" t="s">
        <v>2220</v>
      </c>
      <c r="F1278" t="s">
        <v>722</v>
      </c>
      <c r="G1278" t="s">
        <v>142</v>
      </c>
      <c r="H1278" t="s">
        <v>34</v>
      </c>
      <c r="I1278" t="s">
        <v>135</v>
      </c>
      <c r="J1278" s="1">
        <v>603</v>
      </c>
      <c r="K1278" s="1">
        <v>40.200000000000003</v>
      </c>
      <c r="L1278" s="3">
        <v>15</v>
      </c>
      <c r="M1278" t="s">
        <v>447</v>
      </c>
      <c r="N1278" s="2">
        <v>45646</v>
      </c>
      <c r="O1278" t="s">
        <v>37</v>
      </c>
      <c r="P1278" t="s">
        <v>905</v>
      </c>
      <c r="Q1278">
        <v>95194</v>
      </c>
      <c r="R1278" t="s">
        <v>27</v>
      </c>
      <c r="S1278" s="10">
        <v>21.468976744008156</v>
      </c>
      <c r="T1278">
        <v>31</v>
      </c>
    </row>
    <row r="1279" spans="1:20" x14ac:dyDescent="0.3">
      <c r="A1279">
        <v>1170</v>
      </c>
      <c r="B1279" t="s">
        <v>153</v>
      </c>
      <c r="C1279" t="s">
        <v>154</v>
      </c>
      <c r="D1279" t="s">
        <v>155</v>
      </c>
      <c r="E1279" t="s">
        <v>156</v>
      </c>
      <c r="F1279" t="s">
        <v>157</v>
      </c>
      <c r="G1279" t="s">
        <v>158</v>
      </c>
      <c r="H1279" t="s">
        <v>34</v>
      </c>
      <c r="I1279" t="s">
        <v>65</v>
      </c>
      <c r="J1279" s="1">
        <v>588</v>
      </c>
      <c r="K1279" s="1">
        <v>42</v>
      </c>
      <c r="L1279" s="3">
        <v>14</v>
      </c>
      <c r="M1279" t="s">
        <v>24</v>
      </c>
      <c r="N1279" s="2">
        <v>45647</v>
      </c>
      <c r="O1279" t="s">
        <v>67</v>
      </c>
      <c r="P1279" t="s">
        <v>159</v>
      </c>
      <c r="Q1279">
        <v>88574</v>
      </c>
      <c r="R1279" t="s">
        <v>27</v>
      </c>
      <c r="S1279" s="10">
        <v>34.145405594143263</v>
      </c>
      <c r="T1279">
        <v>29</v>
      </c>
    </row>
    <row r="1280" spans="1:20" x14ac:dyDescent="0.3">
      <c r="A1280">
        <v>1169</v>
      </c>
      <c r="B1280" t="s">
        <v>302</v>
      </c>
      <c r="C1280" t="s">
        <v>1700</v>
      </c>
      <c r="D1280" t="s">
        <v>2221</v>
      </c>
      <c r="E1280" t="s">
        <v>2222</v>
      </c>
      <c r="F1280" t="s">
        <v>1782</v>
      </c>
      <c r="G1280" t="s">
        <v>151</v>
      </c>
      <c r="H1280" t="s">
        <v>34</v>
      </c>
      <c r="I1280" t="s">
        <v>65</v>
      </c>
      <c r="J1280" s="1">
        <v>792</v>
      </c>
      <c r="K1280" s="1">
        <v>39.6</v>
      </c>
      <c r="L1280" s="3">
        <v>20</v>
      </c>
      <c r="M1280" t="s">
        <v>36</v>
      </c>
      <c r="N1280" s="2">
        <v>45650</v>
      </c>
      <c r="O1280" t="s">
        <v>118</v>
      </c>
      <c r="P1280" t="s">
        <v>454</v>
      </c>
      <c r="Q1280">
        <v>55446</v>
      </c>
      <c r="R1280" t="s">
        <v>27</v>
      </c>
      <c r="S1280" s="10">
        <v>27.47198146864055</v>
      </c>
      <c r="T1280">
        <v>29</v>
      </c>
    </row>
    <row r="1281" spans="1:20" x14ac:dyDescent="0.3">
      <c r="A1281">
        <v>1468</v>
      </c>
      <c r="B1281" t="s">
        <v>380</v>
      </c>
      <c r="C1281" t="s">
        <v>381</v>
      </c>
      <c r="D1281" t="s">
        <v>382</v>
      </c>
      <c r="E1281" t="s">
        <v>383</v>
      </c>
      <c r="F1281" t="s">
        <v>384</v>
      </c>
      <c r="G1281" t="s">
        <v>385</v>
      </c>
      <c r="H1281" t="s">
        <v>22</v>
      </c>
      <c r="I1281" t="s">
        <v>65</v>
      </c>
      <c r="J1281" s="1">
        <v>996</v>
      </c>
      <c r="K1281" s="1">
        <v>35.571428571428569</v>
      </c>
      <c r="L1281" s="3">
        <v>28</v>
      </c>
      <c r="M1281" t="s">
        <v>46</v>
      </c>
      <c r="N1281" s="2">
        <v>45651</v>
      </c>
      <c r="O1281" t="s">
        <v>109</v>
      </c>
      <c r="P1281" t="s">
        <v>386</v>
      </c>
      <c r="Q1281">
        <v>70116</v>
      </c>
      <c r="R1281" t="s">
        <v>27</v>
      </c>
      <c r="S1281" s="10">
        <v>47.230242048121013</v>
      </c>
      <c r="T1281">
        <v>46</v>
      </c>
    </row>
    <row r="1282" spans="1:20" x14ac:dyDescent="0.3">
      <c r="A1282">
        <v>1468</v>
      </c>
      <c r="B1282" t="s">
        <v>380</v>
      </c>
      <c r="C1282" t="s">
        <v>381</v>
      </c>
      <c r="D1282" t="s">
        <v>382</v>
      </c>
      <c r="E1282" t="s">
        <v>383</v>
      </c>
      <c r="F1282" t="s">
        <v>384</v>
      </c>
      <c r="G1282" t="s">
        <v>385</v>
      </c>
      <c r="H1282" t="s">
        <v>22</v>
      </c>
      <c r="I1282" t="s">
        <v>65</v>
      </c>
      <c r="J1282" s="1">
        <v>608</v>
      </c>
      <c r="K1282" s="1">
        <v>33.777777777777779</v>
      </c>
      <c r="L1282" s="3">
        <v>18</v>
      </c>
      <c r="M1282" t="s">
        <v>46</v>
      </c>
      <c r="N1282" s="2">
        <v>45652</v>
      </c>
      <c r="O1282" t="s">
        <v>109</v>
      </c>
      <c r="P1282" t="s">
        <v>386</v>
      </c>
      <c r="Q1282">
        <v>70116</v>
      </c>
      <c r="R1282" t="s">
        <v>27</v>
      </c>
      <c r="S1282" s="10">
        <v>30.785648185850675</v>
      </c>
      <c r="T1282">
        <v>25</v>
      </c>
    </row>
    <row r="1283" spans="1:20" x14ac:dyDescent="0.3">
      <c r="A1283">
        <v>1468</v>
      </c>
      <c r="B1283" t="s">
        <v>380</v>
      </c>
      <c r="C1283" t="s">
        <v>381</v>
      </c>
      <c r="D1283" t="s">
        <v>382</v>
      </c>
      <c r="E1283" t="s">
        <v>383</v>
      </c>
      <c r="F1283" t="s">
        <v>384</v>
      </c>
      <c r="G1283" t="s">
        <v>385</v>
      </c>
      <c r="H1283" t="s">
        <v>22</v>
      </c>
      <c r="I1283" t="s">
        <v>65</v>
      </c>
      <c r="J1283" s="1">
        <v>996</v>
      </c>
      <c r="K1283" s="1">
        <v>24.9</v>
      </c>
      <c r="L1283" s="3">
        <v>40</v>
      </c>
      <c r="M1283" t="s">
        <v>46</v>
      </c>
      <c r="N1283" s="2">
        <v>45652</v>
      </c>
      <c r="O1283" t="s">
        <v>109</v>
      </c>
      <c r="P1283" t="s">
        <v>386</v>
      </c>
      <c r="Q1283">
        <v>70116</v>
      </c>
      <c r="R1283" t="s">
        <v>27</v>
      </c>
      <c r="S1283" s="10">
        <v>73.503651536797463</v>
      </c>
      <c r="T1283">
        <v>70</v>
      </c>
    </row>
    <row r="1284" spans="1:20" x14ac:dyDescent="0.3">
      <c r="A1284">
        <v>1840</v>
      </c>
      <c r="B1284" t="s">
        <v>654</v>
      </c>
      <c r="C1284" t="s">
        <v>399</v>
      </c>
      <c r="D1284" t="s">
        <v>2223</v>
      </c>
      <c r="E1284" t="s">
        <v>2224</v>
      </c>
      <c r="F1284" t="s">
        <v>2225</v>
      </c>
      <c r="G1284" t="s">
        <v>545</v>
      </c>
      <c r="H1284" t="s">
        <v>34</v>
      </c>
      <c r="I1284" t="s">
        <v>366</v>
      </c>
      <c r="J1284" s="1">
        <v>623</v>
      </c>
      <c r="K1284" s="1">
        <v>41.533333333333331</v>
      </c>
      <c r="L1284" s="3">
        <v>15</v>
      </c>
      <c r="M1284" t="s">
        <v>36</v>
      </c>
      <c r="N1284" s="2">
        <v>45654</v>
      </c>
      <c r="O1284" t="s">
        <v>220</v>
      </c>
      <c r="P1284" t="s">
        <v>1378</v>
      </c>
      <c r="Q1284">
        <v>46254</v>
      </c>
      <c r="R1284" t="s">
        <v>27</v>
      </c>
      <c r="S1284" s="10">
        <v>26.578585445449303</v>
      </c>
      <c r="T1284">
        <v>28</v>
      </c>
    </row>
    <row r="1287" spans="1:20" x14ac:dyDescent="0.3">
      <c r="I128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0856E-CB91-4D8A-A45A-F790A2B620B4}">
  <dimension ref="A1:L1284"/>
  <sheetViews>
    <sheetView tabSelected="1" workbookViewId="0">
      <selection activeCell="K16" sqref="K16"/>
    </sheetView>
  </sheetViews>
  <sheetFormatPr defaultRowHeight="14.4" x14ac:dyDescent="0.3"/>
  <cols>
    <col min="1" max="1" width="9.44140625" bestFit="1" customWidth="1"/>
    <col min="3" max="3" width="3.109375" bestFit="1" customWidth="1"/>
    <col min="4" max="4" width="12" bestFit="1" customWidth="1"/>
    <col min="5" max="5" width="11.6640625" bestFit="1" customWidth="1"/>
    <col min="6" max="6" width="17.77734375" bestFit="1" customWidth="1"/>
    <col min="7" max="8" width="9.109375" bestFit="1" customWidth="1"/>
    <col min="12" max="12" width="3.109375" bestFit="1" customWidth="1"/>
  </cols>
  <sheetData>
    <row r="1" spans="1:12" x14ac:dyDescent="0.3">
      <c r="A1" t="s">
        <v>9</v>
      </c>
      <c r="C1" s="4" t="s">
        <v>2230</v>
      </c>
      <c r="L1" s="4" t="s">
        <v>2240</v>
      </c>
    </row>
    <row r="2" spans="1:12" x14ac:dyDescent="0.3">
      <c r="A2" s="1">
        <v>755</v>
      </c>
    </row>
    <row r="3" spans="1:12" x14ac:dyDescent="0.3">
      <c r="A3" s="1">
        <v>390</v>
      </c>
    </row>
    <row r="4" spans="1:12" x14ac:dyDescent="0.3">
      <c r="A4" s="1">
        <v>323</v>
      </c>
    </row>
    <row r="5" spans="1:12" x14ac:dyDescent="0.3">
      <c r="A5" s="1">
        <v>347</v>
      </c>
    </row>
    <row r="6" spans="1:12" x14ac:dyDescent="0.3">
      <c r="A6" s="1">
        <v>917</v>
      </c>
    </row>
    <row r="7" spans="1:12" x14ac:dyDescent="0.3">
      <c r="A7" s="1">
        <v>824</v>
      </c>
    </row>
    <row r="8" spans="1:12" x14ac:dyDescent="0.3">
      <c r="A8" s="1">
        <v>98</v>
      </c>
    </row>
    <row r="9" spans="1:12" x14ac:dyDescent="0.3">
      <c r="A9" s="1">
        <v>224</v>
      </c>
    </row>
    <row r="10" spans="1:12" x14ac:dyDescent="0.3">
      <c r="A10" s="1">
        <v>229</v>
      </c>
      <c r="C10" s="4" t="s">
        <v>2231</v>
      </c>
      <c r="D10" t="s">
        <v>2232</v>
      </c>
      <c r="E10" t="s">
        <v>2233</v>
      </c>
      <c r="F10" t="s">
        <v>2234</v>
      </c>
      <c r="G10" t="s">
        <v>2235</v>
      </c>
      <c r="H10" t="s">
        <v>2236</v>
      </c>
      <c r="I10" t="s">
        <v>2237</v>
      </c>
      <c r="J10" t="s">
        <v>2238</v>
      </c>
      <c r="K10" t="s">
        <v>2239</v>
      </c>
    </row>
    <row r="11" spans="1:12" x14ac:dyDescent="0.3">
      <c r="A11" s="1">
        <v>619</v>
      </c>
      <c r="D11">
        <f>AVERAGE(A:A)</f>
        <v>504.95245518316443</v>
      </c>
      <c r="E11">
        <f>MEDIAN(A:A)</f>
        <v>510</v>
      </c>
      <c r="F11">
        <f>_xlfn.STDEV.S(A:A)</f>
        <v>280.69491727368518</v>
      </c>
      <c r="G11">
        <f>MIN(A:A)</f>
        <v>11</v>
      </c>
      <c r="H11">
        <f>MAX(A:A)</f>
        <v>1000</v>
      </c>
      <c r="I11">
        <f>_xlfn.QUARTILE.EXC(A:A,1)</f>
        <v>271</v>
      </c>
      <c r="J11">
        <f>_xlfn.QUARTILE.EXC(A:A,3)</f>
        <v>742</v>
      </c>
      <c r="K11">
        <f>J11-I11</f>
        <v>471</v>
      </c>
    </row>
    <row r="12" spans="1:12" x14ac:dyDescent="0.3">
      <c r="A12" s="1">
        <v>271</v>
      </c>
    </row>
    <row r="13" spans="1:12" x14ac:dyDescent="0.3">
      <c r="A13" s="1">
        <v>208</v>
      </c>
      <c r="C13" s="4" t="s">
        <v>2244</v>
      </c>
      <c r="D13" t="s">
        <v>2241</v>
      </c>
      <c r="E13" t="s">
        <v>2242</v>
      </c>
      <c r="F13" t="s">
        <v>2243</v>
      </c>
    </row>
    <row r="14" spans="1:12" x14ac:dyDescent="0.3">
      <c r="A14" s="1">
        <v>326</v>
      </c>
      <c r="D14">
        <f>$I$11-1.5*$K$11</f>
        <v>-435.5</v>
      </c>
      <c r="E14">
        <f>$J$11+1.5*$K$11</f>
        <v>1448.5</v>
      </c>
      <c r="F14" s="5" t="str">
        <f>IF(OR($D$18&lt;$I$11-1.5*$K$11, $E$18&gt;$J$11+1.5*$K$11),"Outlier","Normal")</f>
        <v>Normal</v>
      </c>
    </row>
    <row r="15" spans="1:12" x14ac:dyDescent="0.3">
      <c r="A15" s="1">
        <v>699</v>
      </c>
    </row>
    <row r="16" spans="1:12" x14ac:dyDescent="0.3">
      <c r="A16" s="1">
        <v>143</v>
      </c>
      <c r="C16" s="4" t="s">
        <v>2245</v>
      </c>
    </row>
    <row r="17" spans="1:6" x14ac:dyDescent="0.3">
      <c r="A17" s="1">
        <v>724</v>
      </c>
    </row>
    <row r="18" spans="1:6" x14ac:dyDescent="0.3">
      <c r="A18" s="1">
        <v>425</v>
      </c>
      <c r="F18" s="5"/>
    </row>
    <row r="19" spans="1:6" x14ac:dyDescent="0.3">
      <c r="A19" s="1">
        <v>292</v>
      </c>
    </row>
    <row r="20" spans="1:6" x14ac:dyDescent="0.3">
      <c r="A20" s="1">
        <v>794</v>
      </c>
    </row>
    <row r="21" spans="1:6" x14ac:dyDescent="0.3">
      <c r="A21" s="1">
        <v>100</v>
      </c>
    </row>
    <row r="22" spans="1:6" x14ac:dyDescent="0.3">
      <c r="A22" s="1">
        <v>256</v>
      </c>
    </row>
    <row r="23" spans="1:6" x14ac:dyDescent="0.3">
      <c r="A23" s="1">
        <v>760</v>
      </c>
    </row>
    <row r="24" spans="1:6" x14ac:dyDescent="0.3">
      <c r="A24" s="1">
        <v>846</v>
      </c>
    </row>
    <row r="25" spans="1:6" x14ac:dyDescent="0.3">
      <c r="A25" s="1">
        <v>359</v>
      </c>
    </row>
    <row r="26" spans="1:6" x14ac:dyDescent="0.3">
      <c r="A26" s="1">
        <v>708</v>
      </c>
    </row>
    <row r="27" spans="1:6" x14ac:dyDescent="0.3">
      <c r="A27" s="1">
        <v>473</v>
      </c>
    </row>
    <row r="28" spans="1:6" x14ac:dyDescent="0.3">
      <c r="A28" s="1">
        <v>29</v>
      </c>
    </row>
    <row r="29" spans="1:6" x14ac:dyDescent="0.3">
      <c r="A29" s="1">
        <v>510</v>
      </c>
    </row>
    <row r="30" spans="1:6" x14ac:dyDescent="0.3">
      <c r="A30" s="1">
        <v>54</v>
      </c>
    </row>
    <row r="31" spans="1:6" x14ac:dyDescent="0.3">
      <c r="A31" s="1">
        <v>994</v>
      </c>
    </row>
    <row r="32" spans="1:6" x14ac:dyDescent="0.3">
      <c r="A32" s="1">
        <v>553</v>
      </c>
    </row>
    <row r="33" spans="1:1" x14ac:dyDescent="0.3">
      <c r="A33" s="1">
        <v>751</v>
      </c>
    </row>
    <row r="34" spans="1:1" x14ac:dyDescent="0.3">
      <c r="A34" s="1">
        <v>766</v>
      </c>
    </row>
    <row r="35" spans="1:1" x14ac:dyDescent="0.3">
      <c r="A35" s="1">
        <v>669</v>
      </c>
    </row>
    <row r="36" spans="1:1" x14ac:dyDescent="0.3">
      <c r="A36" s="1">
        <v>706</v>
      </c>
    </row>
    <row r="37" spans="1:1" x14ac:dyDescent="0.3">
      <c r="A37" s="1">
        <v>224</v>
      </c>
    </row>
    <row r="38" spans="1:1" x14ac:dyDescent="0.3">
      <c r="A38" s="1">
        <v>896</v>
      </c>
    </row>
    <row r="39" spans="1:1" x14ac:dyDescent="0.3">
      <c r="A39" s="1">
        <v>79</v>
      </c>
    </row>
    <row r="40" spans="1:1" x14ac:dyDescent="0.3">
      <c r="A40" s="1">
        <v>91</v>
      </c>
    </row>
    <row r="41" spans="1:1" x14ac:dyDescent="0.3">
      <c r="A41" s="1">
        <v>621</v>
      </c>
    </row>
    <row r="42" spans="1:1" x14ac:dyDescent="0.3">
      <c r="A42" s="1">
        <v>266</v>
      </c>
    </row>
    <row r="43" spans="1:1" x14ac:dyDescent="0.3">
      <c r="A43" s="1">
        <v>783</v>
      </c>
    </row>
    <row r="44" spans="1:1" x14ac:dyDescent="0.3">
      <c r="A44" s="1">
        <v>843</v>
      </c>
    </row>
    <row r="45" spans="1:1" x14ac:dyDescent="0.3">
      <c r="A45" s="1">
        <v>396</v>
      </c>
    </row>
    <row r="46" spans="1:1" x14ac:dyDescent="0.3">
      <c r="A46" s="1">
        <v>637</v>
      </c>
    </row>
    <row r="47" spans="1:1" x14ac:dyDescent="0.3">
      <c r="A47" s="1">
        <v>622</v>
      </c>
    </row>
    <row r="48" spans="1:1" x14ac:dyDescent="0.3">
      <c r="A48" s="1">
        <v>466</v>
      </c>
    </row>
    <row r="49" spans="1:1" x14ac:dyDescent="0.3">
      <c r="A49" s="1">
        <v>15</v>
      </c>
    </row>
    <row r="50" spans="1:1" x14ac:dyDescent="0.3">
      <c r="A50" s="1">
        <v>574</v>
      </c>
    </row>
    <row r="51" spans="1:1" x14ac:dyDescent="0.3">
      <c r="A51" s="1">
        <v>778</v>
      </c>
    </row>
    <row r="52" spans="1:1" x14ac:dyDescent="0.3">
      <c r="A52" s="1">
        <v>953</v>
      </c>
    </row>
    <row r="53" spans="1:1" x14ac:dyDescent="0.3">
      <c r="A53" s="1">
        <v>511</v>
      </c>
    </row>
    <row r="54" spans="1:1" x14ac:dyDescent="0.3">
      <c r="A54" s="1">
        <v>591</v>
      </c>
    </row>
    <row r="55" spans="1:1" x14ac:dyDescent="0.3">
      <c r="A55" s="1">
        <v>314</v>
      </c>
    </row>
    <row r="56" spans="1:1" x14ac:dyDescent="0.3">
      <c r="A56" s="1">
        <v>575</v>
      </c>
    </row>
    <row r="57" spans="1:1" x14ac:dyDescent="0.3">
      <c r="A57" s="1">
        <v>77</v>
      </c>
    </row>
    <row r="58" spans="1:1" x14ac:dyDescent="0.3">
      <c r="A58" s="1">
        <v>805</v>
      </c>
    </row>
    <row r="59" spans="1:1" x14ac:dyDescent="0.3">
      <c r="A59" s="1">
        <v>207</v>
      </c>
    </row>
    <row r="60" spans="1:1" x14ac:dyDescent="0.3">
      <c r="A60" s="1">
        <v>693</v>
      </c>
    </row>
    <row r="61" spans="1:1" x14ac:dyDescent="0.3">
      <c r="A61" s="1">
        <v>591</v>
      </c>
    </row>
    <row r="62" spans="1:1" x14ac:dyDescent="0.3">
      <c r="A62" s="1">
        <v>641</v>
      </c>
    </row>
    <row r="63" spans="1:1" x14ac:dyDescent="0.3">
      <c r="A63" s="1">
        <v>328</v>
      </c>
    </row>
    <row r="64" spans="1:1" x14ac:dyDescent="0.3">
      <c r="A64" s="1">
        <v>402</v>
      </c>
    </row>
    <row r="65" spans="1:1" x14ac:dyDescent="0.3">
      <c r="A65" s="1">
        <v>381</v>
      </c>
    </row>
    <row r="66" spans="1:1" x14ac:dyDescent="0.3">
      <c r="A66" s="1">
        <v>67</v>
      </c>
    </row>
    <row r="67" spans="1:1" x14ac:dyDescent="0.3">
      <c r="A67" s="1">
        <v>648</v>
      </c>
    </row>
    <row r="68" spans="1:1" x14ac:dyDescent="0.3">
      <c r="A68" s="1">
        <v>290</v>
      </c>
    </row>
    <row r="69" spans="1:1" x14ac:dyDescent="0.3">
      <c r="A69" s="1">
        <v>288</v>
      </c>
    </row>
    <row r="70" spans="1:1" x14ac:dyDescent="0.3">
      <c r="A70" s="1">
        <v>889</v>
      </c>
    </row>
    <row r="71" spans="1:1" x14ac:dyDescent="0.3">
      <c r="A71" s="1">
        <v>540</v>
      </c>
    </row>
    <row r="72" spans="1:1" x14ac:dyDescent="0.3">
      <c r="A72" s="1">
        <v>311</v>
      </c>
    </row>
    <row r="73" spans="1:1" x14ac:dyDescent="0.3">
      <c r="A73" s="1">
        <v>960</v>
      </c>
    </row>
    <row r="74" spans="1:1" x14ac:dyDescent="0.3">
      <c r="A74" s="1">
        <v>425</v>
      </c>
    </row>
    <row r="75" spans="1:1" x14ac:dyDescent="0.3">
      <c r="A75" s="1">
        <v>998</v>
      </c>
    </row>
    <row r="76" spans="1:1" x14ac:dyDescent="0.3">
      <c r="A76" s="1">
        <v>477</v>
      </c>
    </row>
    <row r="77" spans="1:1" x14ac:dyDescent="0.3">
      <c r="A77" s="1">
        <v>127</v>
      </c>
    </row>
    <row r="78" spans="1:1" x14ac:dyDescent="0.3">
      <c r="A78" s="1">
        <v>104</v>
      </c>
    </row>
    <row r="79" spans="1:1" x14ac:dyDescent="0.3">
      <c r="A79" s="1">
        <v>43</v>
      </c>
    </row>
    <row r="80" spans="1:1" x14ac:dyDescent="0.3">
      <c r="A80" s="1">
        <v>698</v>
      </c>
    </row>
    <row r="81" spans="1:1" x14ac:dyDescent="0.3">
      <c r="A81" s="1">
        <v>292</v>
      </c>
    </row>
    <row r="82" spans="1:1" x14ac:dyDescent="0.3">
      <c r="A82" s="1">
        <v>625</v>
      </c>
    </row>
    <row r="83" spans="1:1" x14ac:dyDescent="0.3">
      <c r="A83" s="1">
        <v>558</v>
      </c>
    </row>
    <row r="84" spans="1:1" x14ac:dyDescent="0.3">
      <c r="A84" s="1">
        <v>764</v>
      </c>
    </row>
    <row r="85" spans="1:1" x14ac:dyDescent="0.3">
      <c r="A85" s="1">
        <v>50</v>
      </c>
    </row>
    <row r="86" spans="1:1" x14ac:dyDescent="0.3">
      <c r="A86" s="1">
        <v>931</v>
      </c>
    </row>
    <row r="87" spans="1:1" x14ac:dyDescent="0.3">
      <c r="A87" s="1">
        <v>380</v>
      </c>
    </row>
    <row r="88" spans="1:1" x14ac:dyDescent="0.3">
      <c r="A88" s="1">
        <v>995</v>
      </c>
    </row>
    <row r="89" spans="1:1" x14ac:dyDescent="0.3">
      <c r="A89" s="1">
        <v>887</v>
      </c>
    </row>
    <row r="90" spans="1:1" x14ac:dyDescent="0.3">
      <c r="A90" s="1">
        <v>565</v>
      </c>
    </row>
    <row r="91" spans="1:1" x14ac:dyDescent="0.3">
      <c r="A91" s="1">
        <v>396</v>
      </c>
    </row>
    <row r="92" spans="1:1" x14ac:dyDescent="0.3">
      <c r="A92" s="1">
        <v>458</v>
      </c>
    </row>
    <row r="93" spans="1:1" x14ac:dyDescent="0.3">
      <c r="A93" s="1">
        <v>605</v>
      </c>
    </row>
    <row r="94" spans="1:1" x14ac:dyDescent="0.3">
      <c r="A94" s="1">
        <v>568</v>
      </c>
    </row>
    <row r="95" spans="1:1" x14ac:dyDescent="0.3">
      <c r="A95" s="1">
        <v>433</v>
      </c>
    </row>
    <row r="96" spans="1:1" x14ac:dyDescent="0.3">
      <c r="A96" s="1">
        <v>767</v>
      </c>
    </row>
    <row r="97" spans="1:1" x14ac:dyDescent="0.3">
      <c r="A97" s="1">
        <v>456</v>
      </c>
    </row>
    <row r="98" spans="1:1" x14ac:dyDescent="0.3">
      <c r="A98" s="1">
        <v>280</v>
      </c>
    </row>
    <row r="99" spans="1:1" x14ac:dyDescent="0.3">
      <c r="A99" s="1">
        <v>442</v>
      </c>
    </row>
    <row r="100" spans="1:1" x14ac:dyDescent="0.3">
      <c r="A100" s="1">
        <v>701</v>
      </c>
    </row>
    <row r="101" spans="1:1" x14ac:dyDescent="0.3">
      <c r="A101" s="1">
        <v>388</v>
      </c>
    </row>
    <row r="102" spans="1:1" x14ac:dyDescent="0.3">
      <c r="A102" s="1">
        <v>91</v>
      </c>
    </row>
    <row r="103" spans="1:1" x14ac:dyDescent="0.3">
      <c r="A103" s="1">
        <v>452</v>
      </c>
    </row>
    <row r="104" spans="1:1" x14ac:dyDescent="0.3">
      <c r="A104" s="1">
        <v>719</v>
      </c>
    </row>
    <row r="105" spans="1:1" x14ac:dyDescent="0.3">
      <c r="A105" s="1">
        <v>110</v>
      </c>
    </row>
    <row r="106" spans="1:1" x14ac:dyDescent="0.3">
      <c r="A106" s="1">
        <v>621</v>
      </c>
    </row>
    <row r="107" spans="1:1" x14ac:dyDescent="0.3">
      <c r="A107" s="1">
        <v>511</v>
      </c>
    </row>
    <row r="108" spans="1:1" x14ac:dyDescent="0.3">
      <c r="A108" s="1">
        <v>437</v>
      </c>
    </row>
    <row r="109" spans="1:1" x14ac:dyDescent="0.3">
      <c r="A109" s="1">
        <v>324</v>
      </c>
    </row>
    <row r="110" spans="1:1" x14ac:dyDescent="0.3">
      <c r="A110" s="1">
        <v>344</v>
      </c>
    </row>
    <row r="111" spans="1:1" x14ac:dyDescent="0.3">
      <c r="A111" s="1">
        <v>712</v>
      </c>
    </row>
    <row r="112" spans="1:1" x14ac:dyDescent="0.3">
      <c r="A112" s="1">
        <v>916</v>
      </c>
    </row>
    <row r="113" spans="1:1" x14ac:dyDescent="0.3">
      <c r="A113" s="1">
        <v>757</v>
      </c>
    </row>
    <row r="114" spans="1:1" x14ac:dyDescent="0.3">
      <c r="A114" s="1">
        <v>632</v>
      </c>
    </row>
    <row r="115" spans="1:1" x14ac:dyDescent="0.3">
      <c r="A115" s="1">
        <v>825</v>
      </c>
    </row>
    <row r="116" spans="1:1" x14ac:dyDescent="0.3">
      <c r="A116" s="1">
        <v>820</v>
      </c>
    </row>
    <row r="117" spans="1:1" x14ac:dyDescent="0.3">
      <c r="A117" s="1">
        <v>451</v>
      </c>
    </row>
    <row r="118" spans="1:1" x14ac:dyDescent="0.3">
      <c r="A118" s="1">
        <v>140</v>
      </c>
    </row>
    <row r="119" spans="1:1" x14ac:dyDescent="0.3">
      <c r="A119" s="1">
        <v>725</v>
      </c>
    </row>
    <row r="120" spans="1:1" x14ac:dyDescent="0.3">
      <c r="A120" s="1">
        <v>952</v>
      </c>
    </row>
    <row r="121" spans="1:1" x14ac:dyDescent="0.3">
      <c r="A121" s="1">
        <v>665</v>
      </c>
    </row>
    <row r="122" spans="1:1" x14ac:dyDescent="0.3">
      <c r="A122" s="1">
        <v>71</v>
      </c>
    </row>
    <row r="123" spans="1:1" x14ac:dyDescent="0.3">
      <c r="A123" s="1">
        <v>685</v>
      </c>
    </row>
    <row r="124" spans="1:1" x14ac:dyDescent="0.3">
      <c r="A124" s="1">
        <v>463</v>
      </c>
    </row>
    <row r="125" spans="1:1" x14ac:dyDescent="0.3">
      <c r="A125" s="1">
        <v>394</v>
      </c>
    </row>
    <row r="126" spans="1:1" x14ac:dyDescent="0.3">
      <c r="A126" s="1">
        <v>322</v>
      </c>
    </row>
    <row r="127" spans="1:1" x14ac:dyDescent="0.3">
      <c r="A127" s="1">
        <v>114</v>
      </c>
    </row>
    <row r="128" spans="1:1" x14ac:dyDescent="0.3">
      <c r="A128" s="1">
        <v>655</v>
      </c>
    </row>
    <row r="129" spans="1:1" x14ac:dyDescent="0.3">
      <c r="A129" s="1">
        <v>550</v>
      </c>
    </row>
    <row r="130" spans="1:1" x14ac:dyDescent="0.3">
      <c r="A130" s="1">
        <v>646</v>
      </c>
    </row>
    <row r="131" spans="1:1" x14ac:dyDescent="0.3">
      <c r="A131" s="1">
        <v>345</v>
      </c>
    </row>
    <row r="132" spans="1:1" x14ac:dyDescent="0.3">
      <c r="A132" s="1">
        <v>969</v>
      </c>
    </row>
    <row r="133" spans="1:1" x14ac:dyDescent="0.3">
      <c r="A133" s="1">
        <v>639</v>
      </c>
    </row>
    <row r="134" spans="1:1" x14ac:dyDescent="0.3">
      <c r="A134" s="1">
        <v>505</v>
      </c>
    </row>
    <row r="135" spans="1:1" x14ac:dyDescent="0.3">
      <c r="A135" s="1">
        <v>180</v>
      </c>
    </row>
    <row r="136" spans="1:1" x14ac:dyDescent="0.3">
      <c r="A136" s="1">
        <v>217</v>
      </c>
    </row>
    <row r="137" spans="1:1" x14ac:dyDescent="0.3">
      <c r="A137" s="1">
        <v>926</v>
      </c>
    </row>
    <row r="138" spans="1:1" x14ac:dyDescent="0.3">
      <c r="A138" s="1">
        <v>800</v>
      </c>
    </row>
    <row r="139" spans="1:1" x14ac:dyDescent="0.3">
      <c r="A139" s="1">
        <v>33</v>
      </c>
    </row>
    <row r="140" spans="1:1" x14ac:dyDescent="0.3">
      <c r="A140" s="1">
        <v>93</v>
      </c>
    </row>
    <row r="141" spans="1:1" x14ac:dyDescent="0.3">
      <c r="A141" s="1">
        <v>598</v>
      </c>
    </row>
    <row r="142" spans="1:1" x14ac:dyDescent="0.3">
      <c r="A142" s="1">
        <v>966</v>
      </c>
    </row>
    <row r="143" spans="1:1" x14ac:dyDescent="0.3">
      <c r="A143" s="1">
        <v>912</v>
      </c>
    </row>
    <row r="144" spans="1:1" x14ac:dyDescent="0.3">
      <c r="A144" s="1">
        <v>271</v>
      </c>
    </row>
    <row r="145" spans="1:1" x14ac:dyDescent="0.3">
      <c r="A145" s="1">
        <v>936</v>
      </c>
    </row>
    <row r="146" spans="1:1" x14ac:dyDescent="0.3">
      <c r="A146" s="1">
        <v>776</v>
      </c>
    </row>
    <row r="147" spans="1:1" x14ac:dyDescent="0.3">
      <c r="A147" s="1">
        <v>303</v>
      </c>
    </row>
    <row r="148" spans="1:1" x14ac:dyDescent="0.3">
      <c r="A148" s="1">
        <v>185</v>
      </c>
    </row>
    <row r="149" spans="1:1" x14ac:dyDescent="0.3">
      <c r="A149" s="1">
        <v>865</v>
      </c>
    </row>
    <row r="150" spans="1:1" x14ac:dyDescent="0.3">
      <c r="A150" s="1">
        <v>934</v>
      </c>
    </row>
    <row r="151" spans="1:1" x14ac:dyDescent="0.3">
      <c r="A151" s="1">
        <v>367</v>
      </c>
    </row>
    <row r="152" spans="1:1" x14ac:dyDescent="0.3">
      <c r="A152" s="1">
        <v>262</v>
      </c>
    </row>
    <row r="153" spans="1:1" x14ac:dyDescent="0.3">
      <c r="A153" s="1">
        <v>533</v>
      </c>
    </row>
    <row r="154" spans="1:1" x14ac:dyDescent="0.3">
      <c r="A154" s="1">
        <v>281</v>
      </c>
    </row>
    <row r="155" spans="1:1" x14ac:dyDescent="0.3">
      <c r="A155" s="1">
        <v>202</v>
      </c>
    </row>
    <row r="156" spans="1:1" x14ac:dyDescent="0.3">
      <c r="A156" s="1">
        <v>818</v>
      </c>
    </row>
    <row r="157" spans="1:1" x14ac:dyDescent="0.3">
      <c r="A157" s="1">
        <v>590</v>
      </c>
    </row>
    <row r="158" spans="1:1" x14ac:dyDescent="0.3">
      <c r="A158" s="1">
        <v>312</v>
      </c>
    </row>
    <row r="159" spans="1:1" x14ac:dyDescent="0.3">
      <c r="A159" s="1">
        <v>446</v>
      </c>
    </row>
    <row r="160" spans="1:1" x14ac:dyDescent="0.3">
      <c r="A160" s="1">
        <v>390</v>
      </c>
    </row>
    <row r="161" spans="1:1" x14ac:dyDescent="0.3">
      <c r="A161" s="1">
        <v>368</v>
      </c>
    </row>
    <row r="162" spans="1:1" x14ac:dyDescent="0.3">
      <c r="A162" s="1">
        <v>146</v>
      </c>
    </row>
    <row r="163" spans="1:1" x14ac:dyDescent="0.3">
      <c r="A163" s="1">
        <v>338</v>
      </c>
    </row>
    <row r="164" spans="1:1" x14ac:dyDescent="0.3">
      <c r="A164" s="1">
        <v>246</v>
      </c>
    </row>
    <row r="165" spans="1:1" x14ac:dyDescent="0.3">
      <c r="A165" s="1">
        <v>209</v>
      </c>
    </row>
    <row r="166" spans="1:1" x14ac:dyDescent="0.3">
      <c r="A166" s="1">
        <v>368</v>
      </c>
    </row>
    <row r="167" spans="1:1" x14ac:dyDescent="0.3">
      <c r="A167" s="1">
        <v>773</v>
      </c>
    </row>
    <row r="168" spans="1:1" x14ac:dyDescent="0.3">
      <c r="A168" s="1">
        <v>549</v>
      </c>
    </row>
    <row r="169" spans="1:1" x14ac:dyDescent="0.3">
      <c r="A169" s="1">
        <v>772</v>
      </c>
    </row>
    <row r="170" spans="1:1" x14ac:dyDescent="0.3">
      <c r="A170" s="1">
        <v>281</v>
      </c>
    </row>
    <row r="171" spans="1:1" x14ac:dyDescent="0.3">
      <c r="A171" s="1">
        <v>274</v>
      </c>
    </row>
    <row r="172" spans="1:1" x14ac:dyDescent="0.3">
      <c r="A172" s="1">
        <v>147</v>
      </c>
    </row>
    <row r="173" spans="1:1" x14ac:dyDescent="0.3">
      <c r="A173" s="1">
        <v>329</v>
      </c>
    </row>
    <row r="174" spans="1:1" x14ac:dyDescent="0.3">
      <c r="A174" s="1">
        <v>719</v>
      </c>
    </row>
    <row r="175" spans="1:1" x14ac:dyDescent="0.3">
      <c r="A175" s="1">
        <v>111</v>
      </c>
    </row>
    <row r="176" spans="1:1" x14ac:dyDescent="0.3">
      <c r="A176" s="1">
        <v>536</v>
      </c>
    </row>
    <row r="177" spans="1:1" x14ac:dyDescent="0.3">
      <c r="A177" s="1">
        <v>814</v>
      </c>
    </row>
    <row r="178" spans="1:1" x14ac:dyDescent="0.3">
      <c r="A178" s="1">
        <v>527</v>
      </c>
    </row>
    <row r="179" spans="1:1" x14ac:dyDescent="0.3">
      <c r="A179" s="1">
        <v>288</v>
      </c>
    </row>
    <row r="180" spans="1:1" x14ac:dyDescent="0.3">
      <c r="A180" s="1">
        <v>206</v>
      </c>
    </row>
    <row r="181" spans="1:1" x14ac:dyDescent="0.3">
      <c r="A181" s="1">
        <v>657</v>
      </c>
    </row>
    <row r="182" spans="1:1" x14ac:dyDescent="0.3">
      <c r="A182" s="1">
        <v>918</v>
      </c>
    </row>
    <row r="183" spans="1:1" x14ac:dyDescent="0.3">
      <c r="A183" s="1">
        <v>1000</v>
      </c>
    </row>
    <row r="184" spans="1:1" x14ac:dyDescent="0.3">
      <c r="A184" s="1">
        <v>892</v>
      </c>
    </row>
    <row r="185" spans="1:1" x14ac:dyDescent="0.3">
      <c r="A185" s="1">
        <v>840</v>
      </c>
    </row>
    <row r="186" spans="1:1" x14ac:dyDescent="0.3">
      <c r="A186" s="1">
        <v>198</v>
      </c>
    </row>
    <row r="187" spans="1:1" x14ac:dyDescent="0.3">
      <c r="A187" s="1">
        <v>699</v>
      </c>
    </row>
    <row r="188" spans="1:1" x14ac:dyDescent="0.3">
      <c r="A188" s="1">
        <v>649</v>
      </c>
    </row>
    <row r="189" spans="1:1" x14ac:dyDescent="0.3">
      <c r="A189" s="1">
        <v>38</v>
      </c>
    </row>
    <row r="190" spans="1:1" x14ac:dyDescent="0.3">
      <c r="A190" s="1">
        <v>841</v>
      </c>
    </row>
    <row r="191" spans="1:1" x14ac:dyDescent="0.3">
      <c r="A191" s="1">
        <v>952</v>
      </c>
    </row>
    <row r="192" spans="1:1" x14ac:dyDescent="0.3">
      <c r="A192" s="1">
        <v>618</v>
      </c>
    </row>
    <row r="193" spans="1:1" x14ac:dyDescent="0.3">
      <c r="A193" s="1">
        <v>345</v>
      </c>
    </row>
    <row r="194" spans="1:1" x14ac:dyDescent="0.3">
      <c r="A194" s="1">
        <v>488</v>
      </c>
    </row>
    <row r="195" spans="1:1" x14ac:dyDescent="0.3">
      <c r="A195" s="1">
        <v>49</v>
      </c>
    </row>
    <row r="196" spans="1:1" x14ac:dyDescent="0.3">
      <c r="A196" s="1">
        <v>435</v>
      </c>
    </row>
    <row r="197" spans="1:1" x14ac:dyDescent="0.3">
      <c r="A197" s="1">
        <v>63</v>
      </c>
    </row>
    <row r="198" spans="1:1" x14ac:dyDescent="0.3">
      <c r="A198" s="1">
        <v>537</v>
      </c>
    </row>
    <row r="199" spans="1:1" x14ac:dyDescent="0.3">
      <c r="A199" s="1">
        <v>953</v>
      </c>
    </row>
    <row r="200" spans="1:1" x14ac:dyDescent="0.3">
      <c r="A200" s="1">
        <v>679</v>
      </c>
    </row>
    <row r="201" spans="1:1" x14ac:dyDescent="0.3">
      <c r="A201" s="1">
        <v>140</v>
      </c>
    </row>
    <row r="202" spans="1:1" x14ac:dyDescent="0.3">
      <c r="A202" s="1">
        <v>23</v>
      </c>
    </row>
    <row r="203" spans="1:1" x14ac:dyDescent="0.3">
      <c r="A203" s="1">
        <v>778</v>
      </c>
    </row>
    <row r="204" spans="1:1" x14ac:dyDescent="0.3">
      <c r="A204" s="1">
        <v>685</v>
      </c>
    </row>
    <row r="205" spans="1:1" x14ac:dyDescent="0.3">
      <c r="A205" s="1">
        <v>147</v>
      </c>
    </row>
    <row r="206" spans="1:1" x14ac:dyDescent="0.3">
      <c r="A206" s="1">
        <v>580</v>
      </c>
    </row>
    <row r="207" spans="1:1" x14ac:dyDescent="0.3">
      <c r="A207" s="1">
        <v>635</v>
      </c>
    </row>
    <row r="208" spans="1:1" x14ac:dyDescent="0.3">
      <c r="A208" s="1">
        <v>835</v>
      </c>
    </row>
    <row r="209" spans="1:1" x14ac:dyDescent="0.3">
      <c r="A209" s="1">
        <v>56</v>
      </c>
    </row>
    <row r="210" spans="1:1" x14ac:dyDescent="0.3">
      <c r="A210" s="1">
        <v>214</v>
      </c>
    </row>
    <row r="211" spans="1:1" x14ac:dyDescent="0.3">
      <c r="A211" s="1">
        <v>673</v>
      </c>
    </row>
    <row r="212" spans="1:1" x14ac:dyDescent="0.3">
      <c r="A212" s="1">
        <v>1000</v>
      </c>
    </row>
    <row r="213" spans="1:1" x14ac:dyDescent="0.3">
      <c r="A213" s="1">
        <v>183</v>
      </c>
    </row>
    <row r="214" spans="1:1" x14ac:dyDescent="0.3">
      <c r="A214" s="1">
        <v>253</v>
      </c>
    </row>
    <row r="215" spans="1:1" x14ac:dyDescent="0.3">
      <c r="A215" s="1">
        <v>957</v>
      </c>
    </row>
    <row r="216" spans="1:1" x14ac:dyDescent="0.3">
      <c r="A216" s="1">
        <v>330</v>
      </c>
    </row>
    <row r="217" spans="1:1" x14ac:dyDescent="0.3">
      <c r="A217" s="1">
        <v>224</v>
      </c>
    </row>
    <row r="218" spans="1:1" x14ac:dyDescent="0.3">
      <c r="A218" s="1">
        <v>742</v>
      </c>
    </row>
    <row r="219" spans="1:1" x14ac:dyDescent="0.3">
      <c r="A219" s="1">
        <v>708</v>
      </c>
    </row>
    <row r="220" spans="1:1" x14ac:dyDescent="0.3">
      <c r="A220" s="1">
        <v>253</v>
      </c>
    </row>
    <row r="221" spans="1:1" x14ac:dyDescent="0.3">
      <c r="A221" s="1">
        <v>548</v>
      </c>
    </row>
    <row r="222" spans="1:1" x14ac:dyDescent="0.3">
      <c r="A222" s="1">
        <v>412</v>
      </c>
    </row>
    <row r="223" spans="1:1" x14ac:dyDescent="0.3">
      <c r="A223" s="1">
        <v>808</v>
      </c>
    </row>
    <row r="224" spans="1:1" x14ac:dyDescent="0.3">
      <c r="A224" s="1">
        <v>332</v>
      </c>
    </row>
    <row r="225" spans="1:1" x14ac:dyDescent="0.3">
      <c r="A225" s="1">
        <v>421</v>
      </c>
    </row>
    <row r="226" spans="1:1" x14ac:dyDescent="0.3">
      <c r="A226" s="1">
        <v>468</v>
      </c>
    </row>
    <row r="227" spans="1:1" x14ac:dyDescent="0.3">
      <c r="A227" s="1">
        <v>546</v>
      </c>
    </row>
    <row r="228" spans="1:1" x14ac:dyDescent="0.3">
      <c r="A228" s="1">
        <v>528</v>
      </c>
    </row>
    <row r="229" spans="1:1" x14ac:dyDescent="0.3">
      <c r="A229" s="1">
        <v>961</v>
      </c>
    </row>
    <row r="230" spans="1:1" x14ac:dyDescent="0.3">
      <c r="A230" s="1">
        <v>516</v>
      </c>
    </row>
    <row r="231" spans="1:1" x14ac:dyDescent="0.3">
      <c r="A231" s="1">
        <v>922</v>
      </c>
    </row>
    <row r="232" spans="1:1" x14ac:dyDescent="0.3">
      <c r="A232" s="1">
        <v>173</v>
      </c>
    </row>
    <row r="233" spans="1:1" x14ac:dyDescent="0.3">
      <c r="A233" s="1">
        <v>251</v>
      </c>
    </row>
    <row r="234" spans="1:1" x14ac:dyDescent="0.3">
      <c r="A234" s="1">
        <v>997</v>
      </c>
    </row>
    <row r="235" spans="1:1" x14ac:dyDescent="0.3">
      <c r="A235" s="1">
        <v>70</v>
      </c>
    </row>
    <row r="236" spans="1:1" x14ac:dyDescent="0.3">
      <c r="A236" s="1">
        <v>933</v>
      </c>
    </row>
    <row r="237" spans="1:1" x14ac:dyDescent="0.3">
      <c r="A237" s="1">
        <v>860</v>
      </c>
    </row>
    <row r="238" spans="1:1" x14ac:dyDescent="0.3">
      <c r="A238" s="1">
        <v>333</v>
      </c>
    </row>
    <row r="239" spans="1:1" x14ac:dyDescent="0.3">
      <c r="A239" s="1">
        <v>864</v>
      </c>
    </row>
    <row r="240" spans="1:1" x14ac:dyDescent="0.3">
      <c r="A240" s="1">
        <v>705</v>
      </c>
    </row>
    <row r="241" spans="1:1" x14ac:dyDescent="0.3">
      <c r="A241" s="1">
        <v>346</v>
      </c>
    </row>
    <row r="242" spans="1:1" x14ac:dyDescent="0.3">
      <c r="A242" s="1">
        <v>568</v>
      </c>
    </row>
    <row r="243" spans="1:1" x14ac:dyDescent="0.3">
      <c r="A243" s="1">
        <v>337</v>
      </c>
    </row>
    <row r="244" spans="1:1" x14ac:dyDescent="0.3">
      <c r="A244" s="1">
        <v>626</v>
      </c>
    </row>
    <row r="245" spans="1:1" x14ac:dyDescent="0.3">
      <c r="A245" s="1">
        <v>235</v>
      </c>
    </row>
    <row r="246" spans="1:1" x14ac:dyDescent="0.3">
      <c r="A246" s="1">
        <v>121</v>
      </c>
    </row>
    <row r="247" spans="1:1" x14ac:dyDescent="0.3">
      <c r="A247" s="1">
        <v>414</v>
      </c>
    </row>
    <row r="248" spans="1:1" x14ac:dyDescent="0.3">
      <c r="A248" s="1">
        <v>733</v>
      </c>
    </row>
    <row r="249" spans="1:1" x14ac:dyDescent="0.3">
      <c r="A249" s="1">
        <v>773</v>
      </c>
    </row>
    <row r="250" spans="1:1" x14ac:dyDescent="0.3">
      <c r="A250" s="1">
        <v>411</v>
      </c>
    </row>
    <row r="251" spans="1:1" x14ac:dyDescent="0.3">
      <c r="A251" s="1">
        <v>581</v>
      </c>
    </row>
    <row r="252" spans="1:1" x14ac:dyDescent="0.3">
      <c r="A252" s="1">
        <v>231</v>
      </c>
    </row>
    <row r="253" spans="1:1" x14ac:dyDescent="0.3">
      <c r="A253" s="1">
        <v>968</v>
      </c>
    </row>
    <row r="254" spans="1:1" x14ac:dyDescent="0.3">
      <c r="A254" s="1">
        <v>44</v>
      </c>
    </row>
    <row r="255" spans="1:1" x14ac:dyDescent="0.3">
      <c r="A255" s="1">
        <v>314</v>
      </c>
    </row>
    <row r="256" spans="1:1" x14ac:dyDescent="0.3">
      <c r="A256" s="1">
        <v>928</v>
      </c>
    </row>
    <row r="257" spans="1:1" x14ac:dyDescent="0.3">
      <c r="A257" s="1">
        <v>320</v>
      </c>
    </row>
    <row r="258" spans="1:1" x14ac:dyDescent="0.3">
      <c r="A258" s="1">
        <v>847</v>
      </c>
    </row>
    <row r="259" spans="1:1" x14ac:dyDescent="0.3">
      <c r="A259" s="1">
        <v>610</v>
      </c>
    </row>
    <row r="260" spans="1:1" x14ac:dyDescent="0.3">
      <c r="A260" s="1">
        <v>508</v>
      </c>
    </row>
    <row r="261" spans="1:1" x14ac:dyDescent="0.3">
      <c r="A261" s="1">
        <v>400</v>
      </c>
    </row>
    <row r="262" spans="1:1" x14ac:dyDescent="0.3">
      <c r="A262" s="1">
        <v>66</v>
      </c>
    </row>
    <row r="263" spans="1:1" x14ac:dyDescent="0.3">
      <c r="A263" s="1">
        <v>401</v>
      </c>
    </row>
    <row r="264" spans="1:1" x14ac:dyDescent="0.3">
      <c r="A264" s="1">
        <v>255</v>
      </c>
    </row>
    <row r="265" spans="1:1" x14ac:dyDescent="0.3">
      <c r="A265" s="1">
        <v>81</v>
      </c>
    </row>
    <row r="266" spans="1:1" x14ac:dyDescent="0.3">
      <c r="A266" s="1">
        <v>785</v>
      </c>
    </row>
    <row r="267" spans="1:1" x14ac:dyDescent="0.3">
      <c r="A267" s="1">
        <v>63</v>
      </c>
    </row>
    <row r="268" spans="1:1" x14ac:dyDescent="0.3">
      <c r="A268" s="1">
        <v>626</v>
      </c>
    </row>
    <row r="269" spans="1:1" x14ac:dyDescent="0.3">
      <c r="A269" s="1">
        <v>345</v>
      </c>
    </row>
    <row r="270" spans="1:1" x14ac:dyDescent="0.3">
      <c r="A270" s="1">
        <v>29</v>
      </c>
    </row>
    <row r="271" spans="1:1" x14ac:dyDescent="0.3">
      <c r="A271" s="1">
        <v>267</v>
      </c>
    </row>
    <row r="272" spans="1:1" x14ac:dyDescent="0.3">
      <c r="A272" s="1">
        <v>310</v>
      </c>
    </row>
    <row r="273" spans="1:1" x14ac:dyDescent="0.3">
      <c r="A273" s="1">
        <v>755</v>
      </c>
    </row>
    <row r="274" spans="1:1" x14ac:dyDescent="0.3">
      <c r="A274" s="1">
        <v>787</v>
      </c>
    </row>
    <row r="275" spans="1:1" x14ac:dyDescent="0.3">
      <c r="A275" s="1">
        <v>687</v>
      </c>
    </row>
    <row r="276" spans="1:1" x14ac:dyDescent="0.3">
      <c r="A276" s="1">
        <v>674</v>
      </c>
    </row>
    <row r="277" spans="1:1" x14ac:dyDescent="0.3">
      <c r="A277" s="1">
        <v>341</v>
      </c>
    </row>
    <row r="278" spans="1:1" x14ac:dyDescent="0.3">
      <c r="A278" s="1">
        <v>471</v>
      </c>
    </row>
    <row r="279" spans="1:1" x14ac:dyDescent="0.3">
      <c r="A279" s="1">
        <v>465</v>
      </c>
    </row>
    <row r="280" spans="1:1" x14ac:dyDescent="0.3">
      <c r="A280" s="1">
        <v>514</v>
      </c>
    </row>
    <row r="281" spans="1:1" x14ac:dyDescent="0.3">
      <c r="A281" s="1">
        <v>513</v>
      </c>
    </row>
    <row r="282" spans="1:1" x14ac:dyDescent="0.3">
      <c r="A282" s="1">
        <v>804</v>
      </c>
    </row>
    <row r="283" spans="1:1" x14ac:dyDescent="0.3">
      <c r="A283" s="1">
        <v>958</v>
      </c>
    </row>
    <row r="284" spans="1:1" x14ac:dyDescent="0.3">
      <c r="A284" s="1">
        <v>412</v>
      </c>
    </row>
    <row r="285" spans="1:1" x14ac:dyDescent="0.3">
      <c r="A285" s="1">
        <v>546</v>
      </c>
    </row>
    <row r="286" spans="1:1" x14ac:dyDescent="0.3">
      <c r="A286" s="1">
        <v>684</v>
      </c>
    </row>
    <row r="287" spans="1:1" x14ac:dyDescent="0.3">
      <c r="A287" s="1">
        <v>385</v>
      </c>
    </row>
    <row r="288" spans="1:1" x14ac:dyDescent="0.3">
      <c r="A288" s="1">
        <v>306</v>
      </c>
    </row>
    <row r="289" spans="1:1" x14ac:dyDescent="0.3">
      <c r="A289" s="1">
        <v>310</v>
      </c>
    </row>
    <row r="290" spans="1:1" x14ac:dyDescent="0.3">
      <c r="A290" s="1">
        <v>793</v>
      </c>
    </row>
    <row r="291" spans="1:1" x14ac:dyDescent="0.3">
      <c r="A291" s="1">
        <v>140</v>
      </c>
    </row>
    <row r="292" spans="1:1" x14ac:dyDescent="0.3">
      <c r="A292" s="1">
        <v>850</v>
      </c>
    </row>
    <row r="293" spans="1:1" x14ac:dyDescent="0.3">
      <c r="A293" s="1">
        <v>236</v>
      </c>
    </row>
    <row r="294" spans="1:1" x14ac:dyDescent="0.3">
      <c r="A294" s="1">
        <v>663</v>
      </c>
    </row>
    <row r="295" spans="1:1" x14ac:dyDescent="0.3">
      <c r="A295" s="1">
        <v>935</v>
      </c>
    </row>
    <row r="296" spans="1:1" x14ac:dyDescent="0.3">
      <c r="A296" s="1">
        <v>441</v>
      </c>
    </row>
    <row r="297" spans="1:1" x14ac:dyDescent="0.3">
      <c r="A297" s="1">
        <v>444</v>
      </c>
    </row>
    <row r="298" spans="1:1" x14ac:dyDescent="0.3">
      <c r="A298" s="1">
        <v>301</v>
      </c>
    </row>
    <row r="299" spans="1:1" x14ac:dyDescent="0.3">
      <c r="A299" s="1">
        <v>227</v>
      </c>
    </row>
    <row r="300" spans="1:1" x14ac:dyDescent="0.3">
      <c r="A300" s="1">
        <v>531</v>
      </c>
    </row>
    <row r="301" spans="1:1" x14ac:dyDescent="0.3">
      <c r="A301" s="1">
        <v>147</v>
      </c>
    </row>
    <row r="302" spans="1:1" x14ac:dyDescent="0.3">
      <c r="A302" s="1">
        <v>459</v>
      </c>
    </row>
    <row r="303" spans="1:1" x14ac:dyDescent="0.3">
      <c r="A303" s="1">
        <v>19</v>
      </c>
    </row>
    <row r="304" spans="1:1" x14ac:dyDescent="0.3">
      <c r="A304" s="1">
        <v>674</v>
      </c>
    </row>
    <row r="305" spans="1:1" x14ac:dyDescent="0.3">
      <c r="A305" s="1">
        <v>294</v>
      </c>
    </row>
    <row r="306" spans="1:1" x14ac:dyDescent="0.3">
      <c r="A306" s="1">
        <v>439</v>
      </c>
    </row>
    <row r="307" spans="1:1" x14ac:dyDescent="0.3">
      <c r="A307" s="1">
        <v>311</v>
      </c>
    </row>
    <row r="308" spans="1:1" x14ac:dyDescent="0.3">
      <c r="A308" s="1">
        <v>364</v>
      </c>
    </row>
    <row r="309" spans="1:1" x14ac:dyDescent="0.3">
      <c r="A309" s="1">
        <v>459</v>
      </c>
    </row>
    <row r="310" spans="1:1" x14ac:dyDescent="0.3">
      <c r="A310" s="1">
        <v>291</v>
      </c>
    </row>
    <row r="311" spans="1:1" x14ac:dyDescent="0.3">
      <c r="A311" s="1">
        <v>17</v>
      </c>
    </row>
    <row r="312" spans="1:1" x14ac:dyDescent="0.3">
      <c r="A312" s="1">
        <v>145</v>
      </c>
    </row>
    <row r="313" spans="1:1" x14ac:dyDescent="0.3">
      <c r="A313" s="1">
        <v>55</v>
      </c>
    </row>
    <row r="314" spans="1:1" x14ac:dyDescent="0.3">
      <c r="A314" s="1">
        <v>962</v>
      </c>
    </row>
    <row r="315" spans="1:1" x14ac:dyDescent="0.3">
      <c r="A315" s="1">
        <v>441</v>
      </c>
    </row>
    <row r="316" spans="1:1" x14ac:dyDescent="0.3">
      <c r="A316" s="1">
        <v>601</v>
      </c>
    </row>
    <row r="317" spans="1:1" x14ac:dyDescent="0.3">
      <c r="A317" s="1">
        <v>987</v>
      </c>
    </row>
    <row r="318" spans="1:1" x14ac:dyDescent="0.3">
      <c r="A318" s="1">
        <v>361</v>
      </c>
    </row>
    <row r="319" spans="1:1" x14ac:dyDescent="0.3">
      <c r="A319" s="1">
        <v>314</v>
      </c>
    </row>
    <row r="320" spans="1:1" x14ac:dyDescent="0.3">
      <c r="A320" s="1">
        <v>875</v>
      </c>
    </row>
    <row r="321" spans="1:1" x14ac:dyDescent="0.3">
      <c r="A321" s="1">
        <v>552</v>
      </c>
    </row>
    <row r="322" spans="1:1" x14ac:dyDescent="0.3">
      <c r="A322" s="1">
        <v>164</v>
      </c>
    </row>
    <row r="323" spans="1:1" x14ac:dyDescent="0.3">
      <c r="A323" s="1">
        <v>959</v>
      </c>
    </row>
    <row r="324" spans="1:1" x14ac:dyDescent="0.3">
      <c r="A324" s="1">
        <v>662</v>
      </c>
    </row>
    <row r="325" spans="1:1" x14ac:dyDescent="0.3">
      <c r="A325" s="1">
        <v>366</v>
      </c>
    </row>
    <row r="326" spans="1:1" x14ac:dyDescent="0.3">
      <c r="A326" s="1">
        <v>836</v>
      </c>
    </row>
    <row r="327" spans="1:1" x14ac:dyDescent="0.3">
      <c r="A327" s="1">
        <v>689</v>
      </c>
    </row>
    <row r="328" spans="1:1" x14ac:dyDescent="0.3">
      <c r="A328" s="1">
        <v>413</v>
      </c>
    </row>
    <row r="329" spans="1:1" x14ac:dyDescent="0.3">
      <c r="A329" s="1">
        <v>649</v>
      </c>
    </row>
    <row r="330" spans="1:1" x14ac:dyDescent="0.3">
      <c r="A330" s="1">
        <v>835</v>
      </c>
    </row>
    <row r="331" spans="1:1" x14ac:dyDescent="0.3">
      <c r="A331" s="1">
        <v>415</v>
      </c>
    </row>
    <row r="332" spans="1:1" x14ac:dyDescent="0.3">
      <c r="A332" s="1">
        <v>717</v>
      </c>
    </row>
    <row r="333" spans="1:1" x14ac:dyDescent="0.3">
      <c r="A333" s="1">
        <v>619</v>
      </c>
    </row>
    <row r="334" spans="1:1" x14ac:dyDescent="0.3">
      <c r="A334" s="1">
        <v>546</v>
      </c>
    </row>
    <row r="335" spans="1:1" x14ac:dyDescent="0.3">
      <c r="A335" s="1">
        <v>978</v>
      </c>
    </row>
    <row r="336" spans="1:1" x14ac:dyDescent="0.3">
      <c r="A336" s="1">
        <v>42</v>
      </c>
    </row>
    <row r="337" spans="1:1" x14ac:dyDescent="0.3">
      <c r="A337" s="1">
        <v>229</v>
      </c>
    </row>
    <row r="338" spans="1:1" x14ac:dyDescent="0.3">
      <c r="A338" s="1">
        <v>722</v>
      </c>
    </row>
    <row r="339" spans="1:1" x14ac:dyDescent="0.3">
      <c r="A339" s="1">
        <v>742</v>
      </c>
    </row>
    <row r="340" spans="1:1" x14ac:dyDescent="0.3">
      <c r="A340" s="1">
        <v>530</v>
      </c>
    </row>
    <row r="341" spans="1:1" x14ac:dyDescent="0.3">
      <c r="A341" s="1">
        <v>995</v>
      </c>
    </row>
    <row r="342" spans="1:1" x14ac:dyDescent="0.3">
      <c r="A342" s="1">
        <v>788</v>
      </c>
    </row>
    <row r="343" spans="1:1" x14ac:dyDescent="0.3">
      <c r="A343" s="1">
        <v>208</v>
      </c>
    </row>
    <row r="344" spans="1:1" x14ac:dyDescent="0.3">
      <c r="A344" s="1">
        <v>501</v>
      </c>
    </row>
    <row r="345" spans="1:1" x14ac:dyDescent="0.3">
      <c r="A345" s="1">
        <v>296</v>
      </c>
    </row>
    <row r="346" spans="1:1" x14ac:dyDescent="0.3">
      <c r="A346" s="1">
        <v>805</v>
      </c>
    </row>
    <row r="347" spans="1:1" x14ac:dyDescent="0.3">
      <c r="A347" s="1">
        <v>881</v>
      </c>
    </row>
    <row r="348" spans="1:1" x14ac:dyDescent="0.3">
      <c r="A348" s="1">
        <v>455</v>
      </c>
    </row>
    <row r="349" spans="1:1" x14ac:dyDescent="0.3">
      <c r="A349" s="1">
        <v>674</v>
      </c>
    </row>
    <row r="350" spans="1:1" x14ac:dyDescent="0.3">
      <c r="A350" s="1">
        <v>310</v>
      </c>
    </row>
    <row r="351" spans="1:1" x14ac:dyDescent="0.3">
      <c r="A351" s="1">
        <v>568</v>
      </c>
    </row>
    <row r="352" spans="1:1" x14ac:dyDescent="0.3">
      <c r="A352" s="1">
        <v>725</v>
      </c>
    </row>
    <row r="353" spans="1:1" x14ac:dyDescent="0.3">
      <c r="A353" s="1">
        <v>687</v>
      </c>
    </row>
    <row r="354" spans="1:1" x14ac:dyDescent="0.3">
      <c r="A354" s="1">
        <v>551</v>
      </c>
    </row>
    <row r="355" spans="1:1" x14ac:dyDescent="0.3">
      <c r="A355" s="1">
        <v>133</v>
      </c>
    </row>
    <row r="356" spans="1:1" x14ac:dyDescent="0.3">
      <c r="A356" s="1">
        <v>613</v>
      </c>
    </row>
    <row r="357" spans="1:1" x14ac:dyDescent="0.3">
      <c r="A357" s="1">
        <v>936</v>
      </c>
    </row>
    <row r="358" spans="1:1" x14ac:dyDescent="0.3">
      <c r="A358" s="1">
        <v>249</v>
      </c>
    </row>
    <row r="359" spans="1:1" x14ac:dyDescent="0.3">
      <c r="A359" s="1">
        <v>533</v>
      </c>
    </row>
    <row r="360" spans="1:1" x14ac:dyDescent="0.3">
      <c r="A360" s="1">
        <v>339</v>
      </c>
    </row>
    <row r="361" spans="1:1" x14ac:dyDescent="0.3">
      <c r="A361" s="1">
        <v>12</v>
      </c>
    </row>
    <row r="362" spans="1:1" x14ac:dyDescent="0.3">
      <c r="A362" s="1">
        <v>246</v>
      </c>
    </row>
    <row r="363" spans="1:1" x14ac:dyDescent="0.3">
      <c r="A363" s="1">
        <v>160</v>
      </c>
    </row>
    <row r="364" spans="1:1" x14ac:dyDescent="0.3">
      <c r="A364" s="1">
        <v>728</v>
      </c>
    </row>
    <row r="365" spans="1:1" x14ac:dyDescent="0.3">
      <c r="A365" s="1">
        <v>122</v>
      </c>
    </row>
    <row r="366" spans="1:1" x14ac:dyDescent="0.3">
      <c r="A366" s="1">
        <v>191</v>
      </c>
    </row>
    <row r="367" spans="1:1" x14ac:dyDescent="0.3">
      <c r="A367" s="1">
        <v>551</v>
      </c>
    </row>
    <row r="368" spans="1:1" x14ac:dyDescent="0.3">
      <c r="A368" s="1">
        <v>661</v>
      </c>
    </row>
    <row r="369" spans="1:1" x14ac:dyDescent="0.3">
      <c r="A369" s="1">
        <v>841</v>
      </c>
    </row>
    <row r="370" spans="1:1" x14ac:dyDescent="0.3">
      <c r="A370" s="1">
        <v>610</v>
      </c>
    </row>
    <row r="371" spans="1:1" x14ac:dyDescent="0.3">
      <c r="A371" s="1">
        <v>377</v>
      </c>
    </row>
    <row r="372" spans="1:1" x14ac:dyDescent="0.3">
      <c r="A372" s="1">
        <v>579</v>
      </c>
    </row>
    <row r="373" spans="1:1" x14ac:dyDescent="0.3">
      <c r="A373" s="1">
        <v>810</v>
      </c>
    </row>
    <row r="374" spans="1:1" x14ac:dyDescent="0.3">
      <c r="A374" s="1">
        <v>80</v>
      </c>
    </row>
    <row r="375" spans="1:1" x14ac:dyDescent="0.3">
      <c r="A375" s="1">
        <v>778</v>
      </c>
    </row>
    <row r="376" spans="1:1" x14ac:dyDescent="0.3">
      <c r="A376" s="1">
        <v>178</v>
      </c>
    </row>
    <row r="377" spans="1:1" x14ac:dyDescent="0.3">
      <c r="A377" s="1">
        <v>819</v>
      </c>
    </row>
    <row r="378" spans="1:1" x14ac:dyDescent="0.3">
      <c r="A378" s="1">
        <v>535</v>
      </c>
    </row>
    <row r="379" spans="1:1" x14ac:dyDescent="0.3">
      <c r="A379" s="1">
        <v>657</v>
      </c>
    </row>
    <row r="380" spans="1:1" x14ac:dyDescent="0.3">
      <c r="A380" s="1">
        <v>330</v>
      </c>
    </row>
    <row r="381" spans="1:1" x14ac:dyDescent="0.3">
      <c r="A381" s="1">
        <v>73</v>
      </c>
    </row>
    <row r="382" spans="1:1" x14ac:dyDescent="0.3">
      <c r="A382" s="1">
        <v>841</v>
      </c>
    </row>
    <row r="383" spans="1:1" x14ac:dyDescent="0.3">
      <c r="A383" s="1">
        <v>641</v>
      </c>
    </row>
    <row r="384" spans="1:1" x14ac:dyDescent="0.3">
      <c r="A384" s="1">
        <v>26</v>
      </c>
    </row>
    <row r="385" spans="1:1" x14ac:dyDescent="0.3">
      <c r="A385" s="1">
        <v>507</v>
      </c>
    </row>
    <row r="386" spans="1:1" x14ac:dyDescent="0.3">
      <c r="A386" s="1">
        <v>195</v>
      </c>
    </row>
    <row r="387" spans="1:1" x14ac:dyDescent="0.3">
      <c r="A387" s="1">
        <v>146</v>
      </c>
    </row>
    <row r="388" spans="1:1" x14ac:dyDescent="0.3">
      <c r="A388" s="1">
        <v>96</v>
      </c>
    </row>
    <row r="389" spans="1:1" x14ac:dyDescent="0.3">
      <c r="A389" s="1">
        <v>242</v>
      </c>
    </row>
    <row r="390" spans="1:1" x14ac:dyDescent="0.3">
      <c r="A390" s="1">
        <v>59</v>
      </c>
    </row>
    <row r="391" spans="1:1" x14ac:dyDescent="0.3">
      <c r="A391" s="1">
        <v>691</v>
      </c>
    </row>
    <row r="392" spans="1:1" x14ac:dyDescent="0.3">
      <c r="A392" s="1">
        <v>152</v>
      </c>
    </row>
    <row r="393" spans="1:1" x14ac:dyDescent="0.3">
      <c r="A393" s="1">
        <v>629</v>
      </c>
    </row>
    <row r="394" spans="1:1" x14ac:dyDescent="0.3">
      <c r="A394" s="1">
        <v>879</v>
      </c>
    </row>
    <row r="395" spans="1:1" x14ac:dyDescent="0.3">
      <c r="A395" s="1">
        <v>598</v>
      </c>
    </row>
    <row r="396" spans="1:1" x14ac:dyDescent="0.3">
      <c r="A396" s="1">
        <v>616</v>
      </c>
    </row>
    <row r="397" spans="1:1" x14ac:dyDescent="0.3">
      <c r="A397" s="1">
        <v>545</v>
      </c>
    </row>
    <row r="398" spans="1:1" x14ac:dyDescent="0.3">
      <c r="A398" s="1">
        <v>890</v>
      </c>
    </row>
    <row r="399" spans="1:1" x14ac:dyDescent="0.3">
      <c r="A399" s="1">
        <v>685</v>
      </c>
    </row>
    <row r="400" spans="1:1" x14ac:dyDescent="0.3">
      <c r="A400" s="1">
        <v>582</v>
      </c>
    </row>
    <row r="401" spans="1:1" x14ac:dyDescent="0.3">
      <c r="A401" s="1">
        <v>692</v>
      </c>
    </row>
    <row r="402" spans="1:1" x14ac:dyDescent="0.3">
      <c r="A402" s="1">
        <v>523</v>
      </c>
    </row>
    <row r="403" spans="1:1" x14ac:dyDescent="0.3">
      <c r="A403" s="1">
        <v>265</v>
      </c>
    </row>
    <row r="404" spans="1:1" x14ac:dyDescent="0.3">
      <c r="A404" s="1">
        <v>617</v>
      </c>
    </row>
    <row r="405" spans="1:1" x14ac:dyDescent="0.3">
      <c r="A405" s="1">
        <v>732</v>
      </c>
    </row>
    <row r="406" spans="1:1" x14ac:dyDescent="0.3">
      <c r="A406" s="1">
        <v>763</v>
      </c>
    </row>
    <row r="407" spans="1:1" x14ac:dyDescent="0.3">
      <c r="A407" s="1">
        <v>680</v>
      </c>
    </row>
    <row r="408" spans="1:1" x14ac:dyDescent="0.3">
      <c r="A408" s="1">
        <v>402</v>
      </c>
    </row>
    <row r="409" spans="1:1" x14ac:dyDescent="0.3">
      <c r="A409" s="1">
        <v>608</v>
      </c>
    </row>
    <row r="410" spans="1:1" x14ac:dyDescent="0.3">
      <c r="A410" s="1">
        <v>499</v>
      </c>
    </row>
    <row r="411" spans="1:1" x14ac:dyDescent="0.3">
      <c r="A411" s="1">
        <v>695</v>
      </c>
    </row>
    <row r="412" spans="1:1" x14ac:dyDescent="0.3">
      <c r="A412" s="1">
        <v>622</v>
      </c>
    </row>
    <row r="413" spans="1:1" x14ac:dyDescent="0.3">
      <c r="A413" s="1">
        <v>608</v>
      </c>
    </row>
    <row r="414" spans="1:1" x14ac:dyDescent="0.3">
      <c r="A414" s="1">
        <v>302</v>
      </c>
    </row>
    <row r="415" spans="1:1" x14ac:dyDescent="0.3">
      <c r="A415" s="1">
        <v>164</v>
      </c>
    </row>
    <row r="416" spans="1:1" x14ac:dyDescent="0.3">
      <c r="A416" s="1">
        <v>969</v>
      </c>
    </row>
    <row r="417" spans="1:1" x14ac:dyDescent="0.3">
      <c r="A417" s="1">
        <v>212</v>
      </c>
    </row>
    <row r="418" spans="1:1" x14ac:dyDescent="0.3">
      <c r="A418" s="1">
        <v>464</v>
      </c>
    </row>
    <row r="419" spans="1:1" x14ac:dyDescent="0.3">
      <c r="A419" s="1">
        <v>600</v>
      </c>
    </row>
    <row r="420" spans="1:1" x14ac:dyDescent="0.3">
      <c r="A420" s="1">
        <v>257</v>
      </c>
    </row>
    <row r="421" spans="1:1" x14ac:dyDescent="0.3">
      <c r="A421" s="1">
        <v>451</v>
      </c>
    </row>
    <row r="422" spans="1:1" x14ac:dyDescent="0.3">
      <c r="A422" s="1">
        <v>383</v>
      </c>
    </row>
    <row r="423" spans="1:1" x14ac:dyDescent="0.3">
      <c r="A423" s="1">
        <v>341</v>
      </c>
    </row>
    <row r="424" spans="1:1" x14ac:dyDescent="0.3">
      <c r="A424" s="1">
        <v>582</v>
      </c>
    </row>
    <row r="425" spans="1:1" x14ac:dyDescent="0.3">
      <c r="A425" s="1">
        <v>468</v>
      </c>
    </row>
    <row r="426" spans="1:1" x14ac:dyDescent="0.3">
      <c r="A426" s="1">
        <v>43</v>
      </c>
    </row>
    <row r="427" spans="1:1" x14ac:dyDescent="0.3">
      <c r="A427" s="1">
        <v>776</v>
      </c>
    </row>
    <row r="428" spans="1:1" x14ac:dyDescent="0.3">
      <c r="A428" s="1">
        <v>66</v>
      </c>
    </row>
    <row r="429" spans="1:1" x14ac:dyDescent="0.3">
      <c r="A429" s="1">
        <v>169</v>
      </c>
    </row>
    <row r="430" spans="1:1" x14ac:dyDescent="0.3">
      <c r="A430" s="1">
        <v>303</v>
      </c>
    </row>
    <row r="431" spans="1:1" x14ac:dyDescent="0.3">
      <c r="A431" s="1">
        <v>845</v>
      </c>
    </row>
    <row r="432" spans="1:1" x14ac:dyDescent="0.3">
      <c r="A432" s="1">
        <v>696</v>
      </c>
    </row>
    <row r="433" spans="1:1" x14ac:dyDescent="0.3">
      <c r="A433" s="1">
        <v>815</v>
      </c>
    </row>
    <row r="434" spans="1:1" x14ac:dyDescent="0.3">
      <c r="A434" s="1">
        <v>188</v>
      </c>
    </row>
    <row r="435" spans="1:1" x14ac:dyDescent="0.3">
      <c r="A435" s="1">
        <v>817</v>
      </c>
    </row>
    <row r="436" spans="1:1" x14ac:dyDescent="0.3">
      <c r="A436" s="1">
        <v>164</v>
      </c>
    </row>
    <row r="437" spans="1:1" x14ac:dyDescent="0.3">
      <c r="A437" s="1">
        <v>404</v>
      </c>
    </row>
    <row r="438" spans="1:1" x14ac:dyDescent="0.3">
      <c r="A438" s="1">
        <v>798</v>
      </c>
    </row>
    <row r="439" spans="1:1" x14ac:dyDescent="0.3">
      <c r="A439" s="1">
        <v>495</v>
      </c>
    </row>
    <row r="440" spans="1:1" x14ac:dyDescent="0.3">
      <c r="A440" s="1">
        <v>946</v>
      </c>
    </row>
    <row r="441" spans="1:1" x14ac:dyDescent="0.3">
      <c r="A441" s="1">
        <v>606</v>
      </c>
    </row>
    <row r="442" spans="1:1" x14ac:dyDescent="0.3">
      <c r="A442" s="1">
        <v>261</v>
      </c>
    </row>
    <row r="443" spans="1:1" x14ac:dyDescent="0.3">
      <c r="A443" s="1">
        <v>435</v>
      </c>
    </row>
    <row r="444" spans="1:1" x14ac:dyDescent="0.3">
      <c r="A444" s="1">
        <v>962</v>
      </c>
    </row>
    <row r="445" spans="1:1" x14ac:dyDescent="0.3">
      <c r="A445" s="1">
        <v>980</v>
      </c>
    </row>
    <row r="446" spans="1:1" x14ac:dyDescent="0.3">
      <c r="A446" s="1">
        <v>495</v>
      </c>
    </row>
    <row r="447" spans="1:1" x14ac:dyDescent="0.3">
      <c r="A447" s="1">
        <v>670</v>
      </c>
    </row>
    <row r="448" spans="1:1" x14ac:dyDescent="0.3">
      <c r="A448" s="1">
        <v>531</v>
      </c>
    </row>
    <row r="449" spans="1:1" x14ac:dyDescent="0.3">
      <c r="A449" s="1">
        <v>140</v>
      </c>
    </row>
    <row r="450" spans="1:1" x14ac:dyDescent="0.3">
      <c r="A450" s="1">
        <v>413</v>
      </c>
    </row>
    <row r="451" spans="1:1" x14ac:dyDescent="0.3">
      <c r="A451" s="1">
        <v>203</v>
      </c>
    </row>
    <row r="452" spans="1:1" x14ac:dyDescent="0.3">
      <c r="A452" s="1">
        <v>102</v>
      </c>
    </row>
    <row r="453" spans="1:1" x14ac:dyDescent="0.3">
      <c r="A453" s="1">
        <v>117</v>
      </c>
    </row>
    <row r="454" spans="1:1" x14ac:dyDescent="0.3">
      <c r="A454" s="1">
        <v>292</v>
      </c>
    </row>
    <row r="455" spans="1:1" x14ac:dyDescent="0.3">
      <c r="A455" s="1">
        <v>633</v>
      </c>
    </row>
    <row r="456" spans="1:1" x14ac:dyDescent="0.3">
      <c r="A456" s="1">
        <v>42</v>
      </c>
    </row>
    <row r="457" spans="1:1" x14ac:dyDescent="0.3">
      <c r="A457" s="1">
        <v>796</v>
      </c>
    </row>
    <row r="458" spans="1:1" x14ac:dyDescent="0.3">
      <c r="A458" s="1">
        <v>518</v>
      </c>
    </row>
    <row r="459" spans="1:1" x14ac:dyDescent="0.3">
      <c r="A459" s="1">
        <v>91</v>
      </c>
    </row>
    <row r="460" spans="1:1" x14ac:dyDescent="0.3">
      <c r="A460" s="1">
        <v>614</v>
      </c>
    </row>
    <row r="461" spans="1:1" x14ac:dyDescent="0.3">
      <c r="A461" s="1">
        <v>944</v>
      </c>
    </row>
    <row r="462" spans="1:1" x14ac:dyDescent="0.3">
      <c r="A462" s="1">
        <v>428</v>
      </c>
    </row>
    <row r="463" spans="1:1" x14ac:dyDescent="0.3">
      <c r="A463" s="1">
        <v>154</v>
      </c>
    </row>
    <row r="464" spans="1:1" x14ac:dyDescent="0.3">
      <c r="A464" s="1">
        <v>661</v>
      </c>
    </row>
    <row r="465" spans="1:1" x14ac:dyDescent="0.3">
      <c r="A465" s="1">
        <v>524</v>
      </c>
    </row>
    <row r="466" spans="1:1" x14ac:dyDescent="0.3">
      <c r="A466" s="1">
        <v>235</v>
      </c>
    </row>
    <row r="467" spans="1:1" x14ac:dyDescent="0.3">
      <c r="A467" s="1">
        <v>564</v>
      </c>
    </row>
    <row r="468" spans="1:1" x14ac:dyDescent="0.3">
      <c r="A468" s="1">
        <v>419</v>
      </c>
    </row>
    <row r="469" spans="1:1" x14ac:dyDescent="0.3">
      <c r="A469" s="1">
        <v>22</v>
      </c>
    </row>
    <row r="470" spans="1:1" x14ac:dyDescent="0.3">
      <c r="A470" s="1">
        <v>997</v>
      </c>
    </row>
    <row r="471" spans="1:1" x14ac:dyDescent="0.3">
      <c r="A471" s="1">
        <v>885</v>
      </c>
    </row>
    <row r="472" spans="1:1" x14ac:dyDescent="0.3">
      <c r="A472" s="1">
        <v>758</v>
      </c>
    </row>
    <row r="473" spans="1:1" x14ac:dyDescent="0.3">
      <c r="A473" s="1">
        <v>237</v>
      </c>
    </row>
    <row r="474" spans="1:1" x14ac:dyDescent="0.3">
      <c r="A474" s="1">
        <v>174</v>
      </c>
    </row>
    <row r="475" spans="1:1" x14ac:dyDescent="0.3">
      <c r="A475" s="1">
        <v>697</v>
      </c>
    </row>
    <row r="476" spans="1:1" x14ac:dyDescent="0.3">
      <c r="A476" s="1">
        <v>824</v>
      </c>
    </row>
    <row r="477" spans="1:1" x14ac:dyDescent="0.3">
      <c r="A477" s="1">
        <v>650</v>
      </c>
    </row>
    <row r="478" spans="1:1" x14ac:dyDescent="0.3">
      <c r="A478" s="1">
        <v>906</v>
      </c>
    </row>
    <row r="479" spans="1:1" x14ac:dyDescent="0.3">
      <c r="A479" s="1">
        <v>735</v>
      </c>
    </row>
    <row r="480" spans="1:1" x14ac:dyDescent="0.3">
      <c r="A480" s="1">
        <v>175</v>
      </c>
    </row>
    <row r="481" spans="1:1" x14ac:dyDescent="0.3">
      <c r="A481" s="1">
        <v>910</v>
      </c>
    </row>
    <row r="482" spans="1:1" x14ac:dyDescent="0.3">
      <c r="A482" s="1">
        <v>822</v>
      </c>
    </row>
    <row r="483" spans="1:1" x14ac:dyDescent="0.3">
      <c r="A483" s="1">
        <v>137</v>
      </c>
    </row>
    <row r="484" spans="1:1" x14ac:dyDescent="0.3">
      <c r="A484" s="1">
        <v>833</v>
      </c>
    </row>
    <row r="485" spans="1:1" x14ac:dyDescent="0.3">
      <c r="A485" s="1">
        <v>791</v>
      </c>
    </row>
    <row r="486" spans="1:1" x14ac:dyDescent="0.3">
      <c r="A486" s="1">
        <v>215</v>
      </c>
    </row>
    <row r="487" spans="1:1" x14ac:dyDescent="0.3">
      <c r="A487" s="1">
        <v>198</v>
      </c>
    </row>
    <row r="488" spans="1:1" x14ac:dyDescent="0.3">
      <c r="A488" s="1">
        <v>407</v>
      </c>
    </row>
    <row r="489" spans="1:1" x14ac:dyDescent="0.3">
      <c r="A489" s="1">
        <v>596</v>
      </c>
    </row>
    <row r="490" spans="1:1" x14ac:dyDescent="0.3">
      <c r="A490" s="1">
        <v>814</v>
      </c>
    </row>
    <row r="491" spans="1:1" x14ac:dyDescent="0.3">
      <c r="A491" s="1">
        <v>813</v>
      </c>
    </row>
    <row r="492" spans="1:1" x14ac:dyDescent="0.3">
      <c r="A492" s="1">
        <v>48</v>
      </c>
    </row>
    <row r="493" spans="1:1" x14ac:dyDescent="0.3">
      <c r="A493" s="1">
        <v>668</v>
      </c>
    </row>
    <row r="494" spans="1:1" x14ac:dyDescent="0.3">
      <c r="A494" s="1">
        <v>987</v>
      </c>
    </row>
    <row r="495" spans="1:1" x14ac:dyDescent="0.3">
      <c r="A495" s="1">
        <v>615</v>
      </c>
    </row>
    <row r="496" spans="1:1" x14ac:dyDescent="0.3">
      <c r="A496" s="1">
        <v>864</v>
      </c>
    </row>
    <row r="497" spans="1:1" x14ac:dyDescent="0.3">
      <c r="A497" s="1">
        <v>663</v>
      </c>
    </row>
    <row r="498" spans="1:1" x14ac:dyDescent="0.3">
      <c r="A498" s="1">
        <v>248</v>
      </c>
    </row>
    <row r="499" spans="1:1" x14ac:dyDescent="0.3">
      <c r="A499" s="1">
        <v>787</v>
      </c>
    </row>
    <row r="500" spans="1:1" x14ac:dyDescent="0.3">
      <c r="A500" s="1">
        <v>766</v>
      </c>
    </row>
    <row r="501" spans="1:1" x14ac:dyDescent="0.3">
      <c r="A501" s="1">
        <v>279</v>
      </c>
    </row>
    <row r="502" spans="1:1" x14ac:dyDescent="0.3">
      <c r="A502" s="1">
        <v>366</v>
      </c>
    </row>
    <row r="503" spans="1:1" x14ac:dyDescent="0.3">
      <c r="A503" s="1">
        <v>405</v>
      </c>
    </row>
    <row r="504" spans="1:1" x14ac:dyDescent="0.3">
      <c r="A504" s="1">
        <v>442</v>
      </c>
    </row>
    <row r="505" spans="1:1" x14ac:dyDescent="0.3">
      <c r="A505" s="1">
        <v>272</v>
      </c>
    </row>
    <row r="506" spans="1:1" x14ac:dyDescent="0.3">
      <c r="A506" s="1">
        <v>85</v>
      </c>
    </row>
    <row r="507" spans="1:1" x14ac:dyDescent="0.3">
      <c r="A507" s="1">
        <v>393</v>
      </c>
    </row>
    <row r="508" spans="1:1" x14ac:dyDescent="0.3">
      <c r="A508" s="1">
        <v>478</v>
      </c>
    </row>
    <row r="509" spans="1:1" x14ac:dyDescent="0.3">
      <c r="A509" s="1">
        <v>955</v>
      </c>
    </row>
    <row r="510" spans="1:1" x14ac:dyDescent="0.3">
      <c r="A510" s="1">
        <v>397</v>
      </c>
    </row>
    <row r="511" spans="1:1" x14ac:dyDescent="0.3">
      <c r="A511" s="1">
        <v>328</v>
      </c>
    </row>
    <row r="512" spans="1:1" x14ac:dyDescent="0.3">
      <c r="A512" s="1">
        <v>116</v>
      </c>
    </row>
    <row r="513" spans="1:1" x14ac:dyDescent="0.3">
      <c r="A513" s="1">
        <v>579</v>
      </c>
    </row>
    <row r="514" spans="1:1" x14ac:dyDescent="0.3">
      <c r="A514" s="1">
        <v>228</v>
      </c>
    </row>
    <row r="515" spans="1:1" x14ac:dyDescent="0.3">
      <c r="A515" s="1">
        <v>341</v>
      </c>
    </row>
    <row r="516" spans="1:1" x14ac:dyDescent="0.3">
      <c r="A516" s="1">
        <v>547</v>
      </c>
    </row>
    <row r="517" spans="1:1" x14ac:dyDescent="0.3">
      <c r="A517" s="1">
        <v>451</v>
      </c>
    </row>
    <row r="518" spans="1:1" x14ac:dyDescent="0.3">
      <c r="A518" s="1">
        <v>987</v>
      </c>
    </row>
    <row r="519" spans="1:1" x14ac:dyDescent="0.3">
      <c r="A519" s="1">
        <v>616</v>
      </c>
    </row>
    <row r="520" spans="1:1" x14ac:dyDescent="0.3">
      <c r="A520" s="1">
        <v>95</v>
      </c>
    </row>
    <row r="521" spans="1:1" x14ac:dyDescent="0.3">
      <c r="A521" s="1">
        <v>203</v>
      </c>
    </row>
    <row r="522" spans="1:1" x14ac:dyDescent="0.3">
      <c r="A522" s="1">
        <v>128</v>
      </c>
    </row>
    <row r="523" spans="1:1" x14ac:dyDescent="0.3">
      <c r="A523" s="1">
        <v>213</v>
      </c>
    </row>
    <row r="524" spans="1:1" x14ac:dyDescent="0.3">
      <c r="A524" s="1">
        <v>58</v>
      </c>
    </row>
    <row r="525" spans="1:1" x14ac:dyDescent="0.3">
      <c r="A525" s="1">
        <v>424</v>
      </c>
    </row>
    <row r="526" spans="1:1" x14ac:dyDescent="0.3">
      <c r="A526" s="1">
        <v>516</v>
      </c>
    </row>
    <row r="527" spans="1:1" x14ac:dyDescent="0.3">
      <c r="A527" s="1">
        <v>73</v>
      </c>
    </row>
    <row r="528" spans="1:1" x14ac:dyDescent="0.3">
      <c r="A528" s="1">
        <v>146</v>
      </c>
    </row>
    <row r="529" spans="1:1" x14ac:dyDescent="0.3">
      <c r="A529" s="1">
        <v>59</v>
      </c>
    </row>
    <row r="530" spans="1:1" x14ac:dyDescent="0.3">
      <c r="A530" s="1">
        <v>197</v>
      </c>
    </row>
    <row r="531" spans="1:1" x14ac:dyDescent="0.3">
      <c r="A531" s="1">
        <v>538</v>
      </c>
    </row>
    <row r="532" spans="1:1" x14ac:dyDescent="0.3">
      <c r="A532" s="1">
        <v>650</v>
      </c>
    </row>
    <row r="533" spans="1:1" x14ac:dyDescent="0.3">
      <c r="A533" s="1">
        <v>709</v>
      </c>
    </row>
    <row r="534" spans="1:1" x14ac:dyDescent="0.3">
      <c r="A534" s="1">
        <v>831</v>
      </c>
    </row>
    <row r="535" spans="1:1" x14ac:dyDescent="0.3">
      <c r="A535" s="1">
        <v>679</v>
      </c>
    </row>
    <row r="536" spans="1:1" x14ac:dyDescent="0.3">
      <c r="A536" s="1">
        <v>557</v>
      </c>
    </row>
    <row r="537" spans="1:1" x14ac:dyDescent="0.3">
      <c r="A537" s="1">
        <v>846</v>
      </c>
    </row>
    <row r="538" spans="1:1" x14ac:dyDescent="0.3">
      <c r="A538" s="1">
        <v>751</v>
      </c>
    </row>
    <row r="539" spans="1:1" x14ac:dyDescent="0.3">
      <c r="A539" s="1">
        <v>165</v>
      </c>
    </row>
    <row r="540" spans="1:1" x14ac:dyDescent="0.3">
      <c r="A540" s="1">
        <v>421</v>
      </c>
    </row>
    <row r="541" spans="1:1" x14ac:dyDescent="0.3">
      <c r="A541" s="1">
        <v>180</v>
      </c>
    </row>
    <row r="542" spans="1:1" x14ac:dyDescent="0.3">
      <c r="A542" s="1">
        <v>543</v>
      </c>
    </row>
    <row r="543" spans="1:1" x14ac:dyDescent="0.3">
      <c r="A543" s="1">
        <v>542</v>
      </c>
    </row>
    <row r="544" spans="1:1" x14ac:dyDescent="0.3">
      <c r="A544" s="1">
        <v>922</v>
      </c>
    </row>
    <row r="545" spans="1:1" x14ac:dyDescent="0.3">
      <c r="A545" s="1">
        <v>824</v>
      </c>
    </row>
    <row r="546" spans="1:1" x14ac:dyDescent="0.3">
      <c r="A546" s="1">
        <v>551</v>
      </c>
    </row>
    <row r="547" spans="1:1" x14ac:dyDescent="0.3">
      <c r="A547" s="1">
        <v>52</v>
      </c>
    </row>
    <row r="548" spans="1:1" x14ac:dyDescent="0.3">
      <c r="A548" s="1">
        <v>815</v>
      </c>
    </row>
    <row r="549" spans="1:1" x14ac:dyDescent="0.3">
      <c r="A549" s="1">
        <v>194</v>
      </c>
    </row>
    <row r="550" spans="1:1" x14ac:dyDescent="0.3">
      <c r="A550" s="1">
        <v>190</v>
      </c>
    </row>
    <row r="551" spans="1:1" x14ac:dyDescent="0.3">
      <c r="A551" s="1">
        <v>994</v>
      </c>
    </row>
    <row r="552" spans="1:1" x14ac:dyDescent="0.3">
      <c r="A552" s="1">
        <v>570</v>
      </c>
    </row>
    <row r="553" spans="1:1" x14ac:dyDescent="0.3">
      <c r="A553" s="1">
        <v>219</v>
      </c>
    </row>
    <row r="554" spans="1:1" x14ac:dyDescent="0.3">
      <c r="A554" s="1">
        <v>273</v>
      </c>
    </row>
    <row r="555" spans="1:1" x14ac:dyDescent="0.3">
      <c r="A555" s="1">
        <v>251</v>
      </c>
    </row>
    <row r="556" spans="1:1" x14ac:dyDescent="0.3">
      <c r="A556" s="1">
        <v>412</v>
      </c>
    </row>
    <row r="557" spans="1:1" x14ac:dyDescent="0.3">
      <c r="A557" s="1">
        <v>218</v>
      </c>
    </row>
    <row r="558" spans="1:1" x14ac:dyDescent="0.3">
      <c r="A558" s="1">
        <v>677</v>
      </c>
    </row>
    <row r="559" spans="1:1" x14ac:dyDescent="0.3">
      <c r="A559" s="1">
        <v>367</v>
      </c>
    </row>
    <row r="560" spans="1:1" x14ac:dyDescent="0.3">
      <c r="A560" s="1">
        <v>546</v>
      </c>
    </row>
    <row r="561" spans="1:1" x14ac:dyDescent="0.3">
      <c r="A561" s="1">
        <v>726</v>
      </c>
    </row>
    <row r="562" spans="1:1" x14ac:dyDescent="0.3">
      <c r="A562" s="1">
        <v>424</v>
      </c>
    </row>
    <row r="563" spans="1:1" x14ac:dyDescent="0.3">
      <c r="A563" s="1">
        <v>243</v>
      </c>
    </row>
    <row r="564" spans="1:1" x14ac:dyDescent="0.3">
      <c r="A564" s="1">
        <v>266</v>
      </c>
    </row>
    <row r="565" spans="1:1" x14ac:dyDescent="0.3">
      <c r="A565" s="1">
        <v>445</v>
      </c>
    </row>
    <row r="566" spans="1:1" x14ac:dyDescent="0.3">
      <c r="A566" s="1">
        <v>651</v>
      </c>
    </row>
    <row r="567" spans="1:1" x14ac:dyDescent="0.3">
      <c r="A567" s="1">
        <v>562</v>
      </c>
    </row>
    <row r="568" spans="1:1" x14ac:dyDescent="0.3">
      <c r="A568" s="1">
        <v>703</v>
      </c>
    </row>
    <row r="569" spans="1:1" x14ac:dyDescent="0.3">
      <c r="A569" s="1">
        <v>442</v>
      </c>
    </row>
    <row r="570" spans="1:1" x14ac:dyDescent="0.3">
      <c r="A570" s="1">
        <v>27</v>
      </c>
    </row>
    <row r="571" spans="1:1" x14ac:dyDescent="0.3">
      <c r="A571" s="1">
        <v>95</v>
      </c>
    </row>
    <row r="572" spans="1:1" x14ac:dyDescent="0.3">
      <c r="A572" s="1">
        <v>308</v>
      </c>
    </row>
    <row r="573" spans="1:1" x14ac:dyDescent="0.3">
      <c r="A573" s="1">
        <v>126</v>
      </c>
    </row>
    <row r="574" spans="1:1" x14ac:dyDescent="0.3">
      <c r="A574" s="1">
        <v>560</v>
      </c>
    </row>
    <row r="575" spans="1:1" x14ac:dyDescent="0.3">
      <c r="A575" s="1">
        <v>676</v>
      </c>
    </row>
    <row r="576" spans="1:1" x14ac:dyDescent="0.3">
      <c r="A576" s="1">
        <v>240</v>
      </c>
    </row>
    <row r="577" spans="1:1" x14ac:dyDescent="0.3">
      <c r="A577" s="1">
        <v>155</v>
      </c>
    </row>
    <row r="578" spans="1:1" x14ac:dyDescent="0.3">
      <c r="A578" s="1">
        <v>157</v>
      </c>
    </row>
    <row r="579" spans="1:1" x14ac:dyDescent="0.3">
      <c r="A579" s="1">
        <v>732</v>
      </c>
    </row>
    <row r="580" spans="1:1" x14ac:dyDescent="0.3">
      <c r="A580" s="1">
        <v>412</v>
      </c>
    </row>
    <row r="581" spans="1:1" x14ac:dyDescent="0.3">
      <c r="A581" s="1">
        <v>353</v>
      </c>
    </row>
    <row r="582" spans="1:1" x14ac:dyDescent="0.3">
      <c r="A582" s="1">
        <v>321</v>
      </c>
    </row>
    <row r="583" spans="1:1" x14ac:dyDescent="0.3">
      <c r="A583" s="1">
        <v>622</v>
      </c>
    </row>
    <row r="584" spans="1:1" x14ac:dyDescent="0.3">
      <c r="A584" s="1">
        <v>801</v>
      </c>
    </row>
    <row r="585" spans="1:1" x14ac:dyDescent="0.3">
      <c r="A585" s="1">
        <v>954</v>
      </c>
    </row>
    <row r="586" spans="1:1" x14ac:dyDescent="0.3">
      <c r="A586" s="1">
        <v>554</v>
      </c>
    </row>
    <row r="587" spans="1:1" x14ac:dyDescent="0.3">
      <c r="A587" s="1">
        <v>889</v>
      </c>
    </row>
    <row r="588" spans="1:1" x14ac:dyDescent="0.3">
      <c r="A588" s="1">
        <v>745</v>
      </c>
    </row>
    <row r="589" spans="1:1" x14ac:dyDescent="0.3">
      <c r="A589" s="1">
        <v>202</v>
      </c>
    </row>
    <row r="590" spans="1:1" x14ac:dyDescent="0.3">
      <c r="A590" s="1">
        <v>368</v>
      </c>
    </row>
    <row r="591" spans="1:1" x14ac:dyDescent="0.3">
      <c r="A591" s="1">
        <v>777</v>
      </c>
    </row>
    <row r="592" spans="1:1" x14ac:dyDescent="0.3">
      <c r="A592" s="1">
        <v>458</v>
      </c>
    </row>
    <row r="593" spans="1:1" x14ac:dyDescent="0.3">
      <c r="A593" s="1">
        <v>638</v>
      </c>
    </row>
    <row r="594" spans="1:1" x14ac:dyDescent="0.3">
      <c r="A594" s="1">
        <v>583</v>
      </c>
    </row>
    <row r="595" spans="1:1" x14ac:dyDescent="0.3">
      <c r="A595" s="1">
        <v>956</v>
      </c>
    </row>
    <row r="596" spans="1:1" x14ac:dyDescent="0.3">
      <c r="A596" s="1">
        <v>459</v>
      </c>
    </row>
    <row r="597" spans="1:1" x14ac:dyDescent="0.3">
      <c r="A597" s="1">
        <v>745</v>
      </c>
    </row>
    <row r="598" spans="1:1" x14ac:dyDescent="0.3">
      <c r="A598" s="1">
        <v>57</v>
      </c>
    </row>
    <row r="599" spans="1:1" x14ac:dyDescent="0.3">
      <c r="A599" s="1">
        <v>984</v>
      </c>
    </row>
    <row r="600" spans="1:1" x14ac:dyDescent="0.3">
      <c r="A600" s="1">
        <v>391</v>
      </c>
    </row>
    <row r="601" spans="1:1" x14ac:dyDescent="0.3">
      <c r="A601" s="1">
        <v>294</v>
      </c>
    </row>
    <row r="602" spans="1:1" x14ac:dyDescent="0.3">
      <c r="A602" s="1">
        <v>935</v>
      </c>
    </row>
    <row r="603" spans="1:1" x14ac:dyDescent="0.3">
      <c r="A603" s="1">
        <v>457</v>
      </c>
    </row>
    <row r="604" spans="1:1" x14ac:dyDescent="0.3">
      <c r="A604" s="1">
        <v>675</v>
      </c>
    </row>
    <row r="605" spans="1:1" x14ac:dyDescent="0.3">
      <c r="A605" s="1">
        <v>192</v>
      </c>
    </row>
    <row r="606" spans="1:1" x14ac:dyDescent="0.3">
      <c r="A606" s="1">
        <v>33</v>
      </c>
    </row>
    <row r="607" spans="1:1" x14ac:dyDescent="0.3">
      <c r="A607" s="1">
        <v>124</v>
      </c>
    </row>
    <row r="608" spans="1:1" x14ac:dyDescent="0.3">
      <c r="A608" s="1">
        <v>296</v>
      </c>
    </row>
    <row r="609" spans="1:1" x14ac:dyDescent="0.3">
      <c r="A609" s="1">
        <v>985</v>
      </c>
    </row>
    <row r="610" spans="1:1" x14ac:dyDescent="0.3">
      <c r="A610" s="1">
        <v>623</v>
      </c>
    </row>
    <row r="611" spans="1:1" x14ac:dyDescent="0.3">
      <c r="A611" s="1">
        <v>297</v>
      </c>
    </row>
    <row r="612" spans="1:1" x14ac:dyDescent="0.3">
      <c r="A612" s="1">
        <v>727</v>
      </c>
    </row>
    <row r="613" spans="1:1" x14ac:dyDescent="0.3">
      <c r="A613" s="1">
        <v>76</v>
      </c>
    </row>
    <row r="614" spans="1:1" x14ac:dyDescent="0.3">
      <c r="A614" s="1">
        <v>457</v>
      </c>
    </row>
    <row r="615" spans="1:1" x14ac:dyDescent="0.3">
      <c r="A615" s="1">
        <v>757</v>
      </c>
    </row>
    <row r="616" spans="1:1" x14ac:dyDescent="0.3">
      <c r="A616" s="1">
        <v>323</v>
      </c>
    </row>
    <row r="617" spans="1:1" x14ac:dyDescent="0.3">
      <c r="A617" s="1">
        <v>437</v>
      </c>
    </row>
    <row r="618" spans="1:1" x14ac:dyDescent="0.3">
      <c r="A618" s="1">
        <v>596</v>
      </c>
    </row>
    <row r="619" spans="1:1" x14ac:dyDescent="0.3">
      <c r="A619" s="1">
        <v>905</v>
      </c>
    </row>
    <row r="620" spans="1:1" x14ac:dyDescent="0.3">
      <c r="A620" s="1">
        <v>413</v>
      </c>
    </row>
    <row r="621" spans="1:1" x14ac:dyDescent="0.3">
      <c r="A621" s="1">
        <v>866</v>
      </c>
    </row>
    <row r="622" spans="1:1" x14ac:dyDescent="0.3">
      <c r="A622" s="1">
        <v>513</v>
      </c>
    </row>
    <row r="623" spans="1:1" x14ac:dyDescent="0.3">
      <c r="A623" s="1">
        <v>978</v>
      </c>
    </row>
    <row r="624" spans="1:1" x14ac:dyDescent="0.3">
      <c r="A624" s="1">
        <v>32</v>
      </c>
    </row>
    <row r="625" spans="1:1" x14ac:dyDescent="0.3">
      <c r="A625" s="1">
        <v>269</v>
      </c>
    </row>
    <row r="626" spans="1:1" x14ac:dyDescent="0.3">
      <c r="A626" s="1">
        <v>822</v>
      </c>
    </row>
    <row r="627" spans="1:1" x14ac:dyDescent="0.3">
      <c r="A627" s="1">
        <v>485</v>
      </c>
    </row>
    <row r="628" spans="1:1" x14ac:dyDescent="0.3">
      <c r="A628" s="1">
        <v>89</v>
      </c>
    </row>
    <row r="629" spans="1:1" x14ac:dyDescent="0.3">
      <c r="A629" s="1">
        <v>883</v>
      </c>
    </row>
    <row r="630" spans="1:1" x14ac:dyDescent="0.3">
      <c r="A630" s="1">
        <v>382</v>
      </c>
    </row>
    <row r="631" spans="1:1" x14ac:dyDescent="0.3">
      <c r="A631" s="1">
        <v>231</v>
      </c>
    </row>
    <row r="632" spans="1:1" x14ac:dyDescent="0.3">
      <c r="A632" s="1">
        <v>173</v>
      </c>
    </row>
    <row r="633" spans="1:1" x14ac:dyDescent="0.3">
      <c r="A633" s="1">
        <v>627</v>
      </c>
    </row>
    <row r="634" spans="1:1" x14ac:dyDescent="0.3">
      <c r="A634" s="1">
        <v>889</v>
      </c>
    </row>
    <row r="635" spans="1:1" x14ac:dyDescent="0.3">
      <c r="A635" s="1">
        <v>408</v>
      </c>
    </row>
    <row r="636" spans="1:1" x14ac:dyDescent="0.3">
      <c r="A636" s="1">
        <v>907</v>
      </c>
    </row>
    <row r="637" spans="1:1" x14ac:dyDescent="0.3">
      <c r="A637" s="1">
        <v>190</v>
      </c>
    </row>
    <row r="638" spans="1:1" x14ac:dyDescent="0.3">
      <c r="A638" s="1">
        <v>917</v>
      </c>
    </row>
    <row r="639" spans="1:1" x14ac:dyDescent="0.3">
      <c r="A639" s="1">
        <v>787</v>
      </c>
    </row>
    <row r="640" spans="1:1" x14ac:dyDescent="0.3">
      <c r="A640" s="1">
        <v>319</v>
      </c>
    </row>
    <row r="641" spans="1:1" x14ac:dyDescent="0.3">
      <c r="A641" s="1">
        <v>682</v>
      </c>
    </row>
    <row r="642" spans="1:1" x14ac:dyDescent="0.3">
      <c r="A642" s="1">
        <v>20</v>
      </c>
    </row>
    <row r="643" spans="1:1" x14ac:dyDescent="0.3">
      <c r="A643" s="1">
        <v>841</v>
      </c>
    </row>
    <row r="644" spans="1:1" x14ac:dyDescent="0.3">
      <c r="A644" s="1">
        <v>198</v>
      </c>
    </row>
    <row r="645" spans="1:1" x14ac:dyDescent="0.3">
      <c r="A645" s="1">
        <v>333</v>
      </c>
    </row>
    <row r="646" spans="1:1" x14ac:dyDescent="0.3">
      <c r="A646" s="1">
        <v>771</v>
      </c>
    </row>
    <row r="647" spans="1:1" x14ac:dyDescent="0.3">
      <c r="A647" s="1">
        <v>143</v>
      </c>
    </row>
    <row r="648" spans="1:1" x14ac:dyDescent="0.3">
      <c r="A648" s="1">
        <v>107</v>
      </c>
    </row>
    <row r="649" spans="1:1" x14ac:dyDescent="0.3">
      <c r="A649" s="1">
        <v>911</v>
      </c>
    </row>
    <row r="650" spans="1:1" x14ac:dyDescent="0.3">
      <c r="A650" s="1">
        <v>44</v>
      </c>
    </row>
    <row r="651" spans="1:1" x14ac:dyDescent="0.3">
      <c r="A651" s="1">
        <v>905</v>
      </c>
    </row>
    <row r="652" spans="1:1" x14ac:dyDescent="0.3">
      <c r="A652" s="1">
        <v>267</v>
      </c>
    </row>
    <row r="653" spans="1:1" x14ac:dyDescent="0.3">
      <c r="A653" s="1">
        <v>266</v>
      </c>
    </row>
    <row r="654" spans="1:1" x14ac:dyDescent="0.3">
      <c r="A654" s="1">
        <v>242</v>
      </c>
    </row>
    <row r="655" spans="1:1" x14ac:dyDescent="0.3">
      <c r="A655" s="1">
        <v>658</v>
      </c>
    </row>
    <row r="656" spans="1:1" x14ac:dyDescent="0.3">
      <c r="A656" s="1">
        <v>846</v>
      </c>
    </row>
    <row r="657" spans="1:1" x14ac:dyDescent="0.3">
      <c r="A657" s="1">
        <v>493</v>
      </c>
    </row>
    <row r="658" spans="1:1" x14ac:dyDescent="0.3">
      <c r="A658" s="1">
        <v>300</v>
      </c>
    </row>
    <row r="659" spans="1:1" x14ac:dyDescent="0.3">
      <c r="A659" s="1">
        <v>785</v>
      </c>
    </row>
    <row r="660" spans="1:1" x14ac:dyDescent="0.3">
      <c r="A660" s="1">
        <v>87</v>
      </c>
    </row>
    <row r="661" spans="1:1" x14ac:dyDescent="0.3">
      <c r="A661" s="1">
        <v>354</v>
      </c>
    </row>
    <row r="662" spans="1:1" x14ac:dyDescent="0.3">
      <c r="A662" s="1">
        <v>457</v>
      </c>
    </row>
    <row r="663" spans="1:1" x14ac:dyDescent="0.3">
      <c r="A663" s="1">
        <v>398</v>
      </c>
    </row>
    <row r="664" spans="1:1" x14ac:dyDescent="0.3">
      <c r="A664" s="1">
        <v>930</v>
      </c>
    </row>
    <row r="665" spans="1:1" x14ac:dyDescent="0.3">
      <c r="A665" s="1">
        <v>993</v>
      </c>
    </row>
    <row r="666" spans="1:1" x14ac:dyDescent="0.3">
      <c r="A666" s="1">
        <v>69</v>
      </c>
    </row>
    <row r="667" spans="1:1" x14ac:dyDescent="0.3">
      <c r="A667" s="1">
        <v>337</v>
      </c>
    </row>
    <row r="668" spans="1:1" x14ac:dyDescent="0.3">
      <c r="A668" s="1">
        <v>885</v>
      </c>
    </row>
    <row r="669" spans="1:1" x14ac:dyDescent="0.3">
      <c r="A669" s="1">
        <v>691</v>
      </c>
    </row>
    <row r="670" spans="1:1" x14ac:dyDescent="0.3">
      <c r="A670" s="1">
        <v>879</v>
      </c>
    </row>
    <row r="671" spans="1:1" x14ac:dyDescent="0.3">
      <c r="A671" s="1">
        <v>199</v>
      </c>
    </row>
    <row r="672" spans="1:1" x14ac:dyDescent="0.3">
      <c r="A672" s="1">
        <v>961</v>
      </c>
    </row>
    <row r="673" spans="1:1" x14ac:dyDescent="0.3">
      <c r="A673" s="1">
        <v>546</v>
      </c>
    </row>
    <row r="674" spans="1:1" x14ac:dyDescent="0.3">
      <c r="A674" s="1">
        <v>582</v>
      </c>
    </row>
    <row r="675" spans="1:1" x14ac:dyDescent="0.3">
      <c r="A675" s="1">
        <v>929</v>
      </c>
    </row>
    <row r="676" spans="1:1" x14ac:dyDescent="0.3">
      <c r="A676" s="1">
        <v>618</v>
      </c>
    </row>
    <row r="677" spans="1:1" x14ac:dyDescent="0.3">
      <c r="A677" s="1">
        <v>958</v>
      </c>
    </row>
    <row r="678" spans="1:1" x14ac:dyDescent="0.3">
      <c r="A678" s="1">
        <v>597</v>
      </c>
    </row>
    <row r="679" spans="1:1" x14ac:dyDescent="0.3">
      <c r="A679" s="1">
        <v>599</v>
      </c>
    </row>
    <row r="680" spans="1:1" x14ac:dyDescent="0.3">
      <c r="A680" s="1">
        <v>247</v>
      </c>
    </row>
    <row r="681" spans="1:1" x14ac:dyDescent="0.3">
      <c r="A681" s="1">
        <v>575</v>
      </c>
    </row>
    <row r="682" spans="1:1" x14ac:dyDescent="0.3">
      <c r="A682" s="1">
        <v>343</v>
      </c>
    </row>
    <row r="683" spans="1:1" x14ac:dyDescent="0.3">
      <c r="A683" s="1">
        <v>30</v>
      </c>
    </row>
    <row r="684" spans="1:1" x14ac:dyDescent="0.3">
      <c r="A684" s="1">
        <v>551</v>
      </c>
    </row>
    <row r="685" spans="1:1" x14ac:dyDescent="0.3">
      <c r="A685" s="1">
        <v>231</v>
      </c>
    </row>
    <row r="686" spans="1:1" x14ac:dyDescent="0.3">
      <c r="A686" s="1">
        <v>445</v>
      </c>
    </row>
    <row r="687" spans="1:1" x14ac:dyDescent="0.3">
      <c r="A687" s="1">
        <v>46</v>
      </c>
    </row>
    <row r="688" spans="1:1" x14ac:dyDescent="0.3">
      <c r="A688" s="1">
        <v>666</v>
      </c>
    </row>
    <row r="689" spans="1:1" x14ac:dyDescent="0.3">
      <c r="A689" s="1">
        <v>258</v>
      </c>
    </row>
    <row r="690" spans="1:1" x14ac:dyDescent="0.3">
      <c r="A690" s="1">
        <v>398</v>
      </c>
    </row>
    <row r="691" spans="1:1" x14ac:dyDescent="0.3">
      <c r="A691" s="1">
        <v>690</v>
      </c>
    </row>
    <row r="692" spans="1:1" x14ac:dyDescent="0.3">
      <c r="A692" s="1">
        <v>561</v>
      </c>
    </row>
    <row r="693" spans="1:1" x14ac:dyDescent="0.3">
      <c r="A693" s="1">
        <v>589</v>
      </c>
    </row>
    <row r="694" spans="1:1" x14ac:dyDescent="0.3">
      <c r="A694" s="1">
        <v>82</v>
      </c>
    </row>
    <row r="695" spans="1:1" x14ac:dyDescent="0.3">
      <c r="A695" s="1">
        <v>28</v>
      </c>
    </row>
    <row r="696" spans="1:1" x14ac:dyDescent="0.3">
      <c r="A696" s="1">
        <v>744</v>
      </c>
    </row>
    <row r="697" spans="1:1" x14ac:dyDescent="0.3">
      <c r="A697" s="1">
        <v>184</v>
      </c>
    </row>
    <row r="698" spans="1:1" x14ac:dyDescent="0.3">
      <c r="A698" s="1">
        <v>337</v>
      </c>
    </row>
    <row r="699" spans="1:1" x14ac:dyDescent="0.3">
      <c r="A699" s="1">
        <v>370</v>
      </c>
    </row>
    <row r="700" spans="1:1" x14ac:dyDescent="0.3">
      <c r="A700" s="1">
        <v>923</v>
      </c>
    </row>
    <row r="701" spans="1:1" x14ac:dyDescent="0.3">
      <c r="A701" s="1">
        <v>630</v>
      </c>
    </row>
    <row r="702" spans="1:1" x14ac:dyDescent="0.3">
      <c r="A702" s="1">
        <v>211</v>
      </c>
    </row>
    <row r="703" spans="1:1" x14ac:dyDescent="0.3">
      <c r="A703" s="1">
        <v>729</v>
      </c>
    </row>
    <row r="704" spans="1:1" x14ac:dyDescent="0.3">
      <c r="A704" s="1">
        <v>75</v>
      </c>
    </row>
    <row r="705" spans="1:1" x14ac:dyDescent="0.3">
      <c r="A705" s="1">
        <v>500</v>
      </c>
    </row>
    <row r="706" spans="1:1" x14ac:dyDescent="0.3">
      <c r="A706" s="1">
        <v>366</v>
      </c>
    </row>
    <row r="707" spans="1:1" x14ac:dyDescent="0.3">
      <c r="A707" s="1">
        <v>999</v>
      </c>
    </row>
    <row r="708" spans="1:1" x14ac:dyDescent="0.3">
      <c r="A708" s="1">
        <v>713</v>
      </c>
    </row>
    <row r="709" spans="1:1" x14ac:dyDescent="0.3">
      <c r="A709" s="1">
        <v>743</v>
      </c>
    </row>
    <row r="710" spans="1:1" x14ac:dyDescent="0.3">
      <c r="A710" s="1">
        <v>464</v>
      </c>
    </row>
    <row r="711" spans="1:1" x14ac:dyDescent="0.3">
      <c r="A711" s="1">
        <v>631</v>
      </c>
    </row>
    <row r="712" spans="1:1" x14ac:dyDescent="0.3">
      <c r="A712" s="1">
        <v>376</v>
      </c>
    </row>
    <row r="713" spans="1:1" x14ac:dyDescent="0.3">
      <c r="A713" s="1">
        <v>662</v>
      </c>
    </row>
    <row r="714" spans="1:1" x14ac:dyDescent="0.3">
      <c r="A714" s="1">
        <v>633</v>
      </c>
    </row>
    <row r="715" spans="1:1" x14ac:dyDescent="0.3">
      <c r="A715" s="1">
        <v>102</v>
      </c>
    </row>
    <row r="716" spans="1:1" x14ac:dyDescent="0.3">
      <c r="A716" s="1">
        <v>799</v>
      </c>
    </row>
    <row r="717" spans="1:1" x14ac:dyDescent="0.3">
      <c r="A717" s="1">
        <v>812</v>
      </c>
    </row>
    <row r="718" spans="1:1" x14ac:dyDescent="0.3">
      <c r="A718" s="1">
        <v>50</v>
      </c>
    </row>
    <row r="719" spans="1:1" x14ac:dyDescent="0.3">
      <c r="A719" s="1">
        <v>197</v>
      </c>
    </row>
    <row r="720" spans="1:1" x14ac:dyDescent="0.3">
      <c r="A720" s="1">
        <v>835</v>
      </c>
    </row>
    <row r="721" spans="1:1" x14ac:dyDescent="0.3">
      <c r="A721" s="1">
        <v>411</v>
      </c>
    </row>
    <row r="722" spans="1:1" x14ac:dyDescent="0.3">
      <c r="A722" s="1">
        <v>822</v>
      </c>
    </row>
    <row r="723" spans="1:1" x14ac:dyDescent="0.3">
      <c r="A723" s="1">
        <v>16</v>
      </c>
    </row>
    <row r="724" spans="1:1" x14ac:dyDescent="0.3">
      <c r="A724" s="1">
        <v>110</v>
      </c>
    </row>
    <row r="725" spans="1:1" x14ac:dyDescent="0.3">
      <c r="A725" s="1">
        <v>366</v>
      </c>
    </row>
    <row r="726" spans="1:1" x14ac:dyDescent="0.3">
      <c r="A726" s="1">
        <v>99</v>
      </c>
    </row>
    <row r="727" spans="1:1" x14ac:dyDescent="0.3">
      <c r="A727" s="1">
        <v>563</v>
      </c>
    </row>
    <row r="728" spans="1:1" x14ac:dyDescent="0.3">
      <c r="A728" s="1">
        <v>522</v>
      </c>
    </row>
    <row r="729" spans="1:1" x14ac:dyDescent="0.3">
      <c r="A729" s="1">
        <v>438</v>
      </c>
    </row>
    <row r="730" spans="1:1" x14ac:dyDescent="0.3">
      <c r="A730" s="1">
        <v>835</v>
      </c>
    </row>
    <row r="731" spans="1:1" x14ac:dyDescent="0.3">
      <c r="A731" s="1">
        <v>419</v>
      </c>
    </row>
    <row r="732" spans="1:1" x14ac:dyDescent="0.3">
      <c r="A732" s="1">
        <v>364</v>
      </c>
    </row>
    <row r="733" spans="1:1" x14ac:dyDescent="0.3">
      <c r="A733" s="1">
        <v>53</v>
      </c>
    </row>
    <row r="734" spans="1:1" x14ac:dyDescent="0.3">
      <c r="A734" s="1">
        <v>36</v>
      </c>
    </row>
    <row r="735" spans="1:1" x14ac:dyDescent="0.3">
      <c r="A735" s="1">
        <v>775</v>
      </c>
    </row>
    <row r="736" spans="1:1" x14ac:dyDescent="0.3">
      <c r="A736" s="1">
        <v>600</v>
      </c>
    </row>
    <row r="737" spans="1:1" x14ac:dyDescent="0.3">
      <c r="A737" s="1">
        <v>713</v>
      </c>
    </row>
    <row r="738" spans="1:1" x14ac:dyDescent="0.3">
      <c r="A738" s="1">
        <v>914</v>
      </c>
    </row>
    <row r="739" spans="1:1" x14ac:dyDescent="0.3">
      <c r="A739" s="1">
        <v>1000</v>
      </c>
    </row>
    <row r="740" spans="1:1" x14ac:dyDescent="0.3">
      <c r="A740" s="1">
        <v>135</v>
      </c>
    </row>
    <row r="741" spans="1:1" x14ac:dyDescent="0.3">
      <c r="A741" s="1">
        <v>540</v>
      </c>
    </row>
    <row r="742" spans="1:1" x14ac:dyDescent="0.3">
      <c r="A742" s="1">
        <v>118</v>
      </c>
    </row>
    <row r="743" spans="1:1" x14ac:dyDescent="0.3">
      <c r="A743" s="1">
        <v>253</v>
      </c>
    </row>
    <row r="744" spans="1:1" x14ac:dyDescent="0.3">
      <c r="A744" s="1">
        <v>901</v>
      </c>
    </row>
    <row r="745" spans="1:1" x14ac:dyDescent="0.3">
      <c r="A745" s="1">
        <v>845</v>
      </c>
    </row>
    <row r="746" spans="1:1" x14ac:dyDescent="0.3">
      <c r="A746" s="1">
        <v>340</v>
      </c>
    </row>
    <row r="747" spans="1:1" x14ac:dyDescent="0.3">
      <c r="A747" s="1">
        <v>613</v>
      </c>
    </row>
    <row r="748" spans="1:1" x14ac:dyDescent="0.3">
      <c r="A748" s="1">
        <v>746</v>
      </c>
    </row>
    <row r="749" spans="1:1" x14ac:dyDescent="0.3">
      <c r="A749" s="1">
        <v>939</v>
      </c>
    </row>
    <row r="750" spans="1:1" x14ac:dyDescent="0.3">
      <c r="A750" s="1">
        <v>876</v>
      </c>
    </row>
    <row r="751" spans="1:1" x14ac:dyDescent="0.3">
      <c r="A751" s="1">
        <v>485</v>
      </c>
    </row>
    <row r="752" spans="1:1" x14ac:dyDescent="0.3">
      <c r="A752" s="1">
        <v>594</v>
      </c>
    </row>
    <row r="753" spans="1:1" x14ac:dyDescent="0.3">
      <c r="A753" s="1">
        <v>471</v>
      </c>
    </row>
    <row r="754" spans="1:1" x14ac:dyDescent="0.3">
      <c r="A754" s="1">
        <v>915</v>
      </c>
    </row>
    <row r="755" spans="1:1" x14ac:dyDescent="0.3">
      <c r="A755" s="1">
        <v>647</v>
      </c>
    </row>
    <row r="756" spans="1:1" x14ac:dyDescent="0.3">
      <c r="A756" s="1">
        <v>383</v>
      </c>
    </row>
    <row r="757" spans="1:1" x14ac:dyDescent="0.3">
      <c r="A757" s="1">
        <v>901</v>
      </c>
    </row>
    <row r="758" spans="1:1" x14ac:dyDescent="0.3">
      <c r="A758" s="1">
        <v>714</v>
      </c>
    </row>
    <row r="759" spans="1:1" x14ac:dyDescent="0.3">
      <c r="A759" s="1">
        <v>649</v>
      </c>
    </row>
    <row r="760" spans="1:1" x14ac:dyDescent="0.3">
      <c r="A760" s="1">
        <v>932</v>
      </c>
    </row>
    <row r="761" spans="1:1" x14ac:dyDescent="0.3">
      <c r="A761" s="1">
        <v>470</v>
      </c>
    </row>
    <row r="762" spans="1:1" x14ac:dyDescent="0.3">
      <c r="A762" s="1">
        <v>840</v>
      </c>
    </row>
    <row r="763" spans="1:1" x14ac:dyDescent="0.3">
      <c r="A763" s="1">
        <v>407</v>
      </c>
    </row>
    <row r="764" spans="1:1" x14ac:dyDescent="0.3">
      <c r="A764" s="1">
        <v>583</v>
      </c>
    </row>
    <row r="765" spans="1:1" x14ac:dyDescent="0.3">
      <c r="A765" s="1">
        <v>796</v>
      </c>
    </row>
    <row r="766" spans="1:1" x14ac:dyDescent="0.3">
      <c r="A766" s="1">
        <v>17</v>
      </c>
    </row>
    <row r="767" spans="1:1" x14ac:dyDescent="0.3">
      <c r="A767" s="1">
        <v>809</v>
      </c>
    </row>
    <row r="768" spans="1:1" x14ac:dyDescent="0.3">
      <c r="A768" s="1">
        <v>365</v>
      </c>
    </row>
    <row r="769" spans="1:1" x14ac:dyDescent="0.3">
      <c r="A769" s="1">
        <v>357</v>
      </c>
    </row>
    <row r="770" spans="1:1" x14ac:dyDescent="0.3">
      <c r="A770" s="1">
        <v>776</v>
      </c>
    </row>
    <row r="771" spans="1:1" x14ac:dyDescent="0.3">
      <c r="A771" s="1">
        <v>355</v>
      </c>
    </row>
    <row r="772" spans="1:1" x14ac:dyDescent="0.3">
      <c r="A772" s="1">
        <v>774</v>
      </c>
    </row>
    <row r="773" spans="1:1" x14ac:dyDescent="0.3">
      <c r="A773" s="1">
        <v>354</v>
      </c>
    </row>
    <row r="774" spans="1:1" x14ac:dyDescent="0.3">
      <c r="A774" s="1">
        <v>23</v>
      </c>
    </row>
    <row r="775" spans="1:1" x14ac:dyDescent="0.3">
      <c r="A775" s="1">
        <v>778</v>
      </c>
    </row>
    <row r="776" spans="1:1" x14ac:dyDescent="0.3">
      <c r="A776" s="1">
        <v>474</v>
      </c>
    </row>
    <row r="777" spans="1:1" x14ac:dyDescent="0.3">
      <c r="A777" s="1">
        <v>950</v>
      </c>
    </row>
    <row r="778" spans="1:1" x14ac:dyDescent="0.3">
      <c r="A778" s="1">
        <v>330</v>
      </c>
    </row>
    <row r="779" spans="1:1" x14ac:dyDescent="0.3">
      <c r="A779" s="1">
        <v>983</v>
      </c>
    </row>
    <row r="780" spans="1:1" x14ac:dyDescent="0.3">
      <c r="A780" s="1">
        <v>984</v>
      </c>
    </row>
    <row r="781" spans="1:1" x14ac:dyDescent="0.3">
      <c r="A781" s="1">
        <v>570</v>
      </c>
    </row>
    <row r="782" spans="1:1" x14ac:dyDescent="0.3">
      <c r="A782" s="1">
        <v>437</v>
      </c>
    </row>
    <row r="783" spans="1:1" x14ac:dyDescent="0.3">
      <c r="A783" s="1">
        <v>39</v>
      </c>
    </row>
    <row r="784" spans="1:1" x14ac:dyDescent="0.3">
      <c r="A784" s="1">
        <v>395</v>
      </c>
    </row>
    <row r="785" spans="1:1" x14ac:dyDescent="0.3">
      <c r="A785" s="1">
        <v>959</v>
      </c>
    </row>
    <row r="786" spans="1:1" x14ac:dyDescent="0.3">
      <c r="A786" s="1">
        <v>649</v>
      </c>
    </row>
    <row r="787" spans="1:1" x14ac:dyDescent="0.3">
      <c r="A787" s="1">
        <v>970</v>
      </c>
    </row>
    <row r="788" spans="1:1" x14ac:dyDescent="0.3">
      <c r="A788" s="1">
        <v>215</v>
      </c>
    </row>
    <row r="789" spans="1:1" x14ac:dyDescent="0.3">
      <c r="A789" s="1">
        <v>533</v>
      </c>
    </row>
    <row r="790" spans="1:1" x14ac:dyDescent="0.3">
      <c r="A790" s="1">
        <v>836</v>
      </c>
    </row>
    <row r="791" spans="1:1" x14ac:dyDescent="0.3">
      <c r="A791" s="1">
        <v>131</v>
      </c>
    </row>
    <row r="792" spans="1:1" x14ac:dyDescent="0.3">
      <c r="A792" s="1">
        <v>641</v>
      </c>
    </row>
    <row r="793" spans="1:1" x14ac:dyDescent="0.3">
      <c r="A793" s="1">
        <v>139</v>
      </c>
    </row>
    <row r="794" spans="1:1" x14ac:dyDescent="0.3">
      <c r="A794" s="1">
        <v>905</v>
      </c>
    </row>
    <row r="795" spans="1:1" x14ac:dyDescent="0.3">
      <c r="A795" s="1">
        <v>746</v>
      </c>
    </row>
    <row r="796" spans="1:1" x14ac:dyDescent="0.3">
      <c r="A796" s="1">
        <v>223</v>
      </c>
    </row>
    <row r="797" spans="1:1" x14ac:dyDescent="0.3">
      <c r="A797" s="1">
        <v>342</v>
      </c>
    </row>
    <row r="798" spans="1:1" x14ac:dyDescent="0.3">
      <c r="A798" s="1">
        <v>431</v>
      </c>
    </row>
    <row r="799" spans="1:1" x14ac:dyDescent="0.3">
      <c r="A799" s="1">
        <v>225</v>
      </c>
    </row>
    <row r="800" spans="1:1" x14ac:dyDescent="0.3">
      <c r="A800" s="1">
        <v>884</v>
      </c>
    </row>
    <row r="801" spans="1:1" x14ac:dyDescent="0.3">
      <c r="A801" s="1">
        <v>590</v>
      </c>
    </row>
    <row r="802" spans="1:1" x14ac:dyDescent="0.3">
      <c r="A802" s="1">
        <v>919</v>
      </c>
    </row>
    <row r="803" spans="1:1" x14ac:dyDescent="0.3">
      <c r="A803" s="1">
        <v>67</v>
      </c>
    </row>
    <row r="804" spans="1:1" x14ac:dyDescent="0.3">
      <c r="A804" s="1">
        <v>265</v>
      </c>
    </row>
    <row r="805" spans="1:1" x14ac:dyDescent="0.3">
      <c r="A805" s="1">
        <v>417</v>
      </c>
    </row>
    <row r="806" spans="1:1" x14ac:dyDescent="0.3">
      <c r="A806" s="1">
        <v>743</v>
      </c>
    </row>
    <row r="807" spans="1:1" x14ac:dyDescent="0.3">
      <c r="A807" s="1">
        <v>186</v>
      </c>
    </row>
    <row r="808" spans="1:1" x14ac:dyDescent="0.3">
      <c r="A808" s="1">
        <v>533</v>
      </c>
    </row>
    <row r="809" spans="1:1" x14ac:dyDescent="0.3">
      <c r="A809" s="1">
        <v>724</v>
      </c>
    </row>
    <row r="810" spans="1:1" x14ac:dyDescent="0.3">
      <c r="A810" s="1">
        <v>223</v>
      </c>
    </row>
    <row r="811" spans="1:1" x14ac:dyDescent="0.3">
      <c r="A811" s="1">
        <v>995</v>
      </c>
    </row>
    <row r="812" spans="1:1" x14ac:dyDescent="0.3">
      <c r="A812" s="1">
        <v>631</v>
      </c>
    </row>
    <row r="813" spans="1:1" x14ac:dyDescent="0.3">
      <c r="A813" s="1">
        <v>735</v>
      </c>
    </row>
    <row r="814" spans="1:1" x14ac:dyDescent="0.3">
      <c r="A814" s="1">
        <v>185</v>
      </c>
    </row>
    <row r="815" spans="1:1" x14ac:dyDescent="0.3">
      <c r="A815" s="1">
        <v>153</v>
      </c>
    </row>
    <row r="816" spans="1:1" x14ac:dyDescent="0.3">
      <c r="A816" s="1">
        <v>322</v>
      </c>
    </row>
    <row r="817" spans="1:1" x14ac:dyDescent="0.3">
      <c r="A817" s="1">
        <v>911</v>
      </c>
    </row>
    <row r="818" spans="1:1" x14ac:dyDescent="0.3">
      <c r="A818" s="1">
        <v>549</v>
      </c>
    </row>
    <row r="819" spans="1:1" x14ac:dyDescent="0.3">
      <c r="A819" s="1">
        <v>426</v>
      </c>
    </row>
    <row r="820" spans="1:1" x14ac:dyDescent="0.3">
      <c r="A820" s="1">
        <v>952</v>
      </c>
    </row>
    <row r="821" spans="1:1" x14ac:dyDescent="0.3">
      <c r="A821" s="1">
        <v>766</v>
      </c>
    </row>
    <row r="822" spans="1:1" x14ac:dyDescent="0.3">
      <c r="A822" s="1">
        <v>944</v>
      </c>
    </row>
    <row r="823" spans="1:1" x14ac:dyDescent="0.3">
      <c r="A823" s="1">
        <v>531</v>
      </c>
    </row>
    <row r="824" spans="1:1" x14ac:dyDescent="0.3">
      <c r="A824" s="1">
        <v>382</v>
      </c>
    </row>
    <row r="825" spans="1:1" x14ac:dyDescent="0.3">
      <c r="A825" s="1">
        <v>783</v>
      </c>
    </row>
    <row r="826" spans="1:1" x14ac:dyDescent="0.3">
      <c r="A826" s="1">
        <v>156</v>
      </c>
    </row>
    <row r="827" spans="1:1" x14ac:dyDescent="0.3">
      <c r="A827" s="1">
        <v>685</v>
      </c>
    </row>
    <row r="828" spans="1:1" x14ac:dyDescent="0.3">
      <c r="A828" s="1">
        <v>375</v>
      </c>
    </row>
    <row r="829" spans="1:1" x14ac:dyDescent="0.3">
      <c r="A829" s="1">
        <v>170</v>
      </c>
    </row>
    <row r="830" spans="1:1" x14ac:dyDescent="0.3">
      <c r="A830" s="1">
        <v>562</v>
      </c>
    </row>
    <row r="831" spans="1:1" x14ac:dyDescent="0.3">
      <c r="A831" s="1">
        <v>276</v>
      </c>
    </row>
    <row r="832" spans="1:1" x14ac:dyDescent="0.3">
      <c r="A832" s="1">
        <v>846</v>
      </c>
    </row>
    <row r="833" spans="1:1" x14ac:dyDescent="0.3">
      <c r="A833" s="1">
        <v>657</v>
      </c>
    </row>
    <row r="834" spans="1:1" x14ac:dyDescent="0.3">
      <c r="A834" s="1">
        <v>854</v>
      </c>
    </row>
    <row r="835" spans="1:1" x14ac:dyDescent="0.3">
      <c r="A835" s="1">
        <v>826</v>
      </c>
    </row>
    <row r="836" spans="1:1" x14ac:dyDescent="0.3">
      <c r="A836" s="1">
        <v>439</v>
      </c>
    </row>
    <row r="837" spans="1:1" x14ac:dyDescent="0.3">
      <c r="A837" s="1">
        <v>989</v>
      </c>
    </row>
    <row r="838" spans="1:1" x14ac:dyDescent="0.3">
      <c r="A838" s="1">
        <v>398</v>
      </c>
    </row>
    <row r="839" spans="1:1" x14ac:dyDescent="0.3">
      <c r="A839" s="1">
        <v>215</v>
      </c>
    </row>
    <row r="840" spans="1:1" x14ac:dyDescent="0.3">
      <c r="A840" s="1">
        <v>848</v>
      </c>
    </row>
    <row r="841" spans="1:1" x14ac:dyDescent="0.3">
      <c r="A841" s="1">
        <v>812</v>
      </c>
    </row>
    <row r="842" spans="1:1" x14ac:dyDescent="0.3">
      <c r="A842" s="1">
        <v>701</v>
      </c>
    </row>
    <row r="843" spans="1:1" x14ac:dyDescent="0.3">
      <c r="A843" s="1">
        <v>702</v>
      </c>
    </row>
    <row r="844" spans="1:1" x14ac:dyDescent="0.3">
      <c r="A844" s="1">
        <v>738</v>
      </c>
    </row>
    <row r="845" spans="1:1" x14ac:dyDescent="0.3">
      <c r="A845" s="1">
        <v>40</v>
      </c>
    </row>
    <row r="846" spans="1:1" x14ac:dyDescent="0.3">
      <c r="A846" s="1">
        <v>329</v>
      </c>
    </row>
    <row r="847" spans="1:1" x14ac:dyDescent="0.3">
      <c r="A847" s="1">
        <v>450</v>
      </c>
    </row>
    <row r="848" spans="1:1" x14ac:dyDescent="0.3">
      <c r="A848" s="1">
        <v>610</v>
      </c>
    </row>
    <row r="849" spans="1:1" x14ac:dyDescent="0.3">
      <c r="A849" s="1">
        <v>589</v>
      </c>
    </row>
    <row r="850" spans="1:1" x14ac:dyDescent="0.3">
      <c r="A850" s="1">
        <v>556</v>
      </c>
    </row>
    <row r="851" spans="1:1" x14ac:dyDescent="0.3">
      <c r="A851" s="1">
        <v>504</v>
      </c>
    </row>
    <row r="852" spans="1:1" x14ac:dyDescent="0.3">
      <c r="A852" s="1">
        <v>586</v>
      </c>
    </row>
    <row r="853" spans="1:1" x14ac:dyDescent="0.3">
      <c r="A853" s="1">
        <v>567</v>
      </c>
    </row>
    <row r="854" spans="1:1" x14ac:dyDescent="0.3">
      <c r="A854" s="1">
        <v>560</v>
      </c>
    </row>
    <row r="855" spans="1:1" x14ac:dyDescent="0.3">
      <c r="A855" s="1">
        <v>420</v>
      </c>
    </row>
    <row r="856" spans="1:1" x14ac:dyDescent="0.3">
      <c r="A856" s="1">
        <v>997</v>
      </c>
    </row>
    <row r="857" spans="1:1" x14ac:dyDescent="0.3">
      <c r="A857" s="1">
        <v>267</v>
      </c>
    </row>
    <row r="858" spans="1:1" x14ac:dyDescent="0.3">
      <c r="A858" s="1">
        <v>655</v>
      </c>
    </row>
    <row r="859" spans="1:1" x14ac:dyDescent="0.3">
      <c r="A859" s="1">
        <v>763</v>
      </c>
    </row>
    <row r="860" spans="1:1" x14ac:dyDescent="0.3">
      <c r="A860" s="1">
        <v>672</v>
      </c>
    </row>
    <row r="861" spans="1:1" x14ac:dyDescent="0.3">
      <c r="A861" s="1">
        <v>779</v>
      </c>
    </row>
    <row r="862" spans="1:1" x14ac:dyDescent="0.3">
      <c r="A862" s="1">
        <v>205</v>
      </c>
    </row>
    <row r="863" spans="1:1" x14ac:dyDescent="0.3">
      <c r="A863" s="1">
        <v>406</v>
      </c>
    </row>
    <row r="864" spans="1:1" x14ac:dyDescent="0.3">
      <c r="A864" s="1">
        <v>33</v>
      </c>
    </row>
    <row r="865" spans="1:1" x14ac:dyDescent="0.3">
      <c r="A865" s="1">
        <v>167</v>
      </c>
    </row>
    <row r="866" spans="1:1" x14ac:dyDescent="0.3">
      <c r="A866" s="1">
        <v>99</v>
      </c>
    </row>
    <row r="867" spans="1:1" x14ac:dyDescent="0.3">
      <c r="A867" s="1">
        <v>254</v>
      </c>
    </row>
    <row r="868" spans="1:1" x14ac:dyDescent="0.3">
      <c r="A868" s="1">
        <v>358</v>
      </c>
    </row>
    <row r="869" spans="1:1" x14ac:dyDescent="0.3">
      <c r="A869" s="1">
        <v>370</v>
      </c>
    </row>
    <row r="870" spans="1:1" x14ac:dyDescent="0.3">
      <c r="A870" s="1">
        <v>492</v>
      </c>
    </row>
    <row r="871" spans="1:1" x14ac:dyDescent="0.3">
      <c r="A871" s="1">
        <v>451</v>
      </c>
    </row>
    <row r="872" spans="1:1" x14ac:dyDescent="0.3">
      <c r="A872" s="1">
        <v>234</v>
      </c>
    </row>
    <row r="873" spans="1:1" x14ac:dyDescent="0.3">
      <c r="A873" s="1">
        <v>91</v>
      </c>
    </row>
    <row r="874" spans="1:1" x14ac:dyDescent="0.3">
      <c r="A874" s="1">
        <v>930</v>
      </c>
    </row>
    <row r="875" spans="1:1" x14ac:dyDescent="0.3">
      <c r="A875" s="1">
        <v>969</v>
      </c>
    </row>
    <row r="876" spans="1:1" x14ac:dyDescent="0.3">
      <c r="A876" s="1">
        <v>834</v>
      </c>
    </row>
    <row r="877" spans="1:1" x14ac:dyDescent="0.3">
      <c r="A877" s="1">
        <v>449</v>
      </c>
    </row>
    <row r="878" spans="1:1" x14ac:dyDescent="0.3">
      <c r="A878" s="1">
        <v>51</v>
      </c>
    </row>
    <row r="879" spans="1:1" x14ac:dyDescent="0.3">
      <c r="A879" s="1">
        <v>460</v>
      </c>
    </row>
    <row r="880" spans="1:1" x14ac:dyDescent="0.3">
      <c r="A880" s="1">
        <v>303</v>
      </c>
    </row>
    <row r="881" spans="1:1" x14ac:dyDescent="0.3">
      <c r="A881" s="1">
        <v>470</v>
      </c>
    </row>
    <row r="882" spans="1:1" x14ac:dyDescent="0.3">
      <c r="A882" s="1">
        <v>411</v>
      </c>
    </row>
    <row r="883" spans="1:1" x14ac:dyDescent="0.3">
      <c r="A883" s="1">
        <v>899</v>
      </c>
    </row>
    <row r="884" spans="1:1" x14ac:dyDescent="0.3">
      <c r="A884" s="1">
        <v>239</v>
      </c>
    </row>
    <row r="885" spans="1:1" x14ac:dyDescent="0.3">
      <c r="A885" s="1">
        <v>651</v>
      </c>
    </row>
    <row r="886" spans="1:1" x14ac:dyDescent="0.3">
      <c r="A886" s="1">
        <v>945</v>
      </c>
    </row>
    <row r="887" spans="1:1" x14ac:dyDescent="0.3">
      <c r="A887" s="1">
        <v>20</v>
      </c>
    </row>
    <row r="888" spans="1:1" x14ac:dyDescent="0.3">
      <c r="A888" s="1">
        <v>169</v>
      </c>
    </row>
    <row r="889" spans="1:1" x14ac:dyDescent="0.3">
      <c r="A889" s="1">
        <v>843</v>
      </c>
    </row>
    <row r="890" spans="1:1" x14ac:dyDescent="0.3">
      <c r="A890" s="1">
        <v>29</v>
      </c>
    </row>
    <row r="891" spans="1:1" x14ac:dyDescent="0.3">
      <c r="A891" s="1">
        <v>871</v>
      </c>
    </row>
    <row r="892" spans="1:1" x14ac:dyDescent="0.3">
      <c r="A892" s="1">
        <v>244</v>
      </c>
    </row>
    <row r="893" spans="1:1" x14ac:dyDescent="0.3">
      <c r="A893" s="1">
        <v>993</v>
      </c>
    </row>
    <row r="894" spans="1:1" x14ac:dyDescent="0.3">
      <c r="A894" s="1">
        <v>657</v>
      </c>
    </row>
    <row r="895" spans="1:1" x14ac:dyDescent="0.3">
      <c r="A895" s="1">
        <v>281</v>
      </c>
    </row>
    <row r="896" spans="1:1" x14ac:dyDescent="0.3">
      <c r="A896" s="1">
        <v>83</v>
      </c>
    </row>
    <row r="897" spans="1:1" x14ac:dyDescent="0.3">
      <c r="A897" s="1">
        <v>308</v>
      </c>
    </row>
    <row r="898" spans="1:1" x14ac:dyDescent="0.3">
      <c r="A898" s="1">
        <v>944</v>
      </c>
    </row>
    <row r="899" spans="1:1" x14ac:dyDescent="0.3">
      <c r="A899" s="1">
        <v>608</v>
      </c>
    </row>
    <row r="900" spans="1:1" x14ac:dyDescent="0.3">
      <c r="A900" s="1">
        <v>692</v>
      </c>
    </row>
    <row r="901" spans="1:1" x14ac:dyDescent="0.3">
      <c r="A901" s="1">
        <v>70</v>
      </c>
    </row>
    <row r="902" spans="1:1" x14ac:dyDescent="0.3">
      <c r="A902" s="1">
        <v>493</v>
      </c>
    </row>
    <row r="903" spans="1:1" x14ac:dyDescent="0.3">
      <c r="A903" s="1">
        <v>516</v>
      </c>
    </row>
    <row r="904" spans="1:1" x14ac:dyDescent="0.3">
      <c r="A904" s="1">
        <v>823</v>
      </c>
    </row>
    <row r="905" spans="1:1" x14ac:dyDescent="0.3">
      <c r="A905" s="1">
        <v>931</v>
      </c>
    </row>
    <row r="906" spans="1:1" x14ac:dyDescent="0.3">
      <c r="A906" s="1">
        <v>770</v>
      </c>
    </row>
    <row r="907" spans="1:1" x14ac:dyDescent="0.3">
      <c r="A907" s="1">
        <v>857</v>
      </c>
    </row>
    <row r="908" spans="1:1" x14ac:dyDescent="0.3">
      <c r="A908" s="1">
        <v>448</v>
      </c>
    </row>
    <row r="909" spans="1:1" x14ac:dyDescent="0.3">
      <c r="A909" s="1">
        <v>910</v>
      </c>
    </row>
    <row r="910" spans="1:1" x14ac:dyDescent="0.3">
      <c r="A910" s="1">
        <v>648</v>
      </c>
    </row>
    <row r="911" spans="1:1" x14ac:dyDescent="0.3">
      <c r="A911" s="1">
        <v>530</v>
      </c>
    </row>
    <row r="912" spans="1:1" x14ac:dyDescent="0.3">
      <c r="A912" s="1">
        <v>416</v>
      </c>
    </row>
    <row r="913" spans="1:1" x14ac:dyDescent="0.3">
      <c r="A913" s="1">
        <v>767</v>
      </c>
    </row>
    <row r="914" spans="1:1" x14ac:dyDescent="0.3">
      <c r="A914" s="1">
        <v>803</v>
      </c>
    </row>
    <row r="915" spans="1:1" x14ac:dyDescent="0.3">
      <c r="A915" s="1">
        <v>962</v>
      </c>
    </row>
    <row r="916" spans="1:1" x14ac:dyDescent="0.3">
      <c r="A916" s="1">
        <v>584</v>
      </c>
    </row>
    <row r="917" spans="1:1" x14ac:dyDescent="0.3">
      <c r="A917" s="1">
        <v>636</v>
      </c>
    </row>
    <row r="918" spans="1:1" x14ac:dyDescent="0.3">
      <c r="A918" s="1">
        <v>362</v>
      </c>
    </row>
    <row r="919" spans="1:1" x14ac:dyDescent="0.3">
      <c r="A919" s="1">
        <v>37</v>
      </c>
    </row>
    <row r="920" spans="1:1" x14ac:dyDescent="0.3">
      <c r="A920" s="1">
        <v>745</v>
      </c>
    </row>
    <row r="921" spans="1:1" x14ac:dyDescent="0.3">
      <c r="A921" s="1">
        <v>377</v>
      </c>
    </row>
    <row r="922" spans="1:1" x14ac:dyDescent="0.3">
      <c r="A922" s="1">
        <v>406</v>
      </c>
    </row>
    <row r="923" spans="1:1" x14ac:dyDescent="0.3">
      <c r="A923" s="1">
        <v>666</v>
      </c>
    </row>
    <row r="924" spans="1:1" x14ac:dyDescent="0.3">
      <c r="A924" s="1">
        <v>935</v>
      </c>
    </row>
    <row r="925" spans="1:1" x14ac:dyDescent="0.3">
      <c r="A925" s="1">
        <v>646</v>
      </c>
    </row>
    <row r="926" spans="1:1" x14ac:dyDescent="0.3">
      <c r="A926" s="1">
        <v>539</v>
      </c>
    </row>
    <row r="927" spans="1:1" x14ac:dyDescent="0.3">
      <c r="A927" s="1">
        <v>787</v>
      </c>
    </row>
    <row r="928" spans="1:1" x14ac:dyDescent="0.3">
      <c r="A928" s="1">
        <v>837</v>
      </c>
    </row>
    <row r="929" spans="1:1" x14ac:dyDescent="0.3">
      <c r="A929" s="1">
        <v>14</v>
      </c>
    </row>
    <row r="930" spans="1:1" x14ac:dyDescent="0.3">
      <c r="A930" s="1">
        <v>935</v>
      </c>
    </row>
    <row r="931" spans="1:1" x14ac:dyDescent="0.3">
      <c r="A931" s="1">
        <v>140</v>
      </c>
    </row>
    <row r="932" spans="1:1" x14ac:dyDescent="0.3">
      <c r="A932" s="1">
        <v>167</v>
      </c>
    </row>
    <row r="933" spans="1:1" x14ac:dyDescent="0.3">
      <c r="A933" s="1">
        <v>605</v>
      </c>
    </row>
    <row r="934" spans="1:1" x14ac:dyDescent="0.3">
      <c r="A934" s="1">
        <v>366</v>
      </c>
    </row>
    <row r="935" spans="1:1" x14ac:dyDescent="0.3">
      <c r="A935" s="1">
        <v>185</v>
      </c>
    </row>
    <row r="936" spans="1:1" x14ac:dyDescent="0.3">
      <c r="A936" s="1">
        <v>438</v>
      </c>
    </row>
    <row r="937" spans="1:1" x14ac:dyDescent="0.3">
      <c r="A937" s="1">
        <v>809</v>
      </c>
    </row>
    <row r="938" spans="1:1" x14ac:dyDescent="0.3">
      <c r="A938" s="1">
        <v>922</v>
      </c>
    </row>
    <row r="939" spans="1:1" x14ac:dyDescent="0.3">
      <c r="A939" s="1">
        <v>745</v>
      </c>
    </row>
    <row r="940" spans="1:1" x14ac:dyDescent="0.3">
      <c r="A940" s="1">
        <v>902</v>
      </c>
    </row>
    <row r="941" spans="1:1" x14ac:dyDescent="0.3">
      <c r="A941" s="1">
        <v>626</v>
      </c>
    </row>
    <row r="942" spans="1:1" x14ac:dyDescent="0.3">
      <c r="A942" s="1">
        <v>246</v>
      </c>
    </row>
    <row r="943" spans="1:1" x14ac:dyDescent="0.3">
      <c r="A943" s="1">
        <v>376</v>
      </c>
    </row>
    <row r="944" spans="1:1" x14ac:dyDescent="0.3">
      <c r="A944" s="1">
        <v>426</v>
      </c>
    </row>
    <row r="945" spans="1:1" x14ac:dyDescent="0.3">
      <c r="A945" s="1">
        <v>660</v>
      </c>
    </row>
    <row r="946" spans="1:1" x14ac:dyDescent="0.3">
      <c r="A946" s="1">
        <v>576</v>
      </c>
    </row>
    <row r="947" spans="1:1" x14ac:dyDescent="0.3">
      <c r="A947" s="1">
        <v>374</v>
      </c>
    </row>
    <row r="948" spans="1:1" x14ac:dyDescent="0.3">
      <c r="A948" s="1">
        <v>805</v>
      </c>
    </row>
    <row r="949" spans="1:1" x14ac:dyDescent="0.3">
      <c r="A949" s="1">
        <v>161</v>
      </c>
    </row>
    <row r="950" spans="1:1" x14ac:dyDescent="0.3">
      <c r="A950" s="1">
        <v>847</v>
      </c>
    </row>
    <row r="951" spans="1:1" x14ac:dyDescent="0.3">
      <c r="A951" s="1">
        <v>280</v>
      </c>
    </row>
    <row r="952" spans="1:1" x14ac:dyDescent="0.3">
      <c r="A952" s="1">
        <v>832</v>
      </c>
    </row>
    <row r="953" spans="1:1" x14ac:dyDescent="0.3">
      <c r="A953" s="1">
        <v>448</v>
      </c>
    </row>
    <row r="954" spans="1:1" x14ac:dyDescent="0.3">
      <c r="A954" s="1">
        <v>763</v>
      </c>
    </row>
    <row r="955" spans="1:1" x14ac:dyDescent="0.3">
      <c r="A955" s="1">
        <v>823</v>
      </c>
    </row>
    <row r="956" spans="1:1" x14ac:dyDescent="0.3">
      <c r="A956" s="1">
        <v>428</v>
      </c>
    </row>
    <row r="957" spans="1:1" x14ac:dyDescent="0.3">
      <c r="A957" s="1">
        <v>286</v>
      </c>
    </row>
    <row r="958" spans="1:1" x14ac:dyDescent="0.3">
      <c r="A958" s="1">
        <v>1000</v>
      </c>
    </row>
    <row r="959" spans="1:1" x14ac:dyDescent="0.3">
      <c r="A959" s="1">
        <v>837</v>
      </c>
    </row>
    <row r="960" spans="1:1" x14ac:dyDescent="0.3">
      <c r="A960" s="1">
        <v>158</v>
      </c>
    </row>
    <row r="961" spans="1:1" x14ac:dyDescent="0.3">
      <c r="A961" s="1">
        <v>149</v>
      </c>
    </row>
    <row r="962" spans="1:1" x14ac:dyDescent="0.3">
      <c r="A962" s="1">
        <v>444</v>
      </c>
    </row>
    <row r="963" spans="1:1" x14ac:dyDescent="0.3">
      <c r="A963" s="1">
        <v>895</v>
      </c>
    </row>
    <row r="964" spans="1:1" x14ac:dyDescent="0.3">
      <c r="A964" s="1">
        <v>678</v>
      </c>
    </row>
    <row r="965" spans="1:1" x14ac:dyDescent="0.3">
      <c r="A965" s="1">
        <v>847</v>
      </c>
    </row>
    <row r="966" spans="1:1" x14ac:dyDescent="0.3">
      <c r="A966" s="1">
        <v>617</v>
      </c>
    </row>
    <row r="967" spans="1:1" x14ac:dyDescent="0.3">
      <c r="A967" s="1">
        <v>559</v>
      </c>
    </row>
    <row r="968" spans="1:1" x14ac:dyDescent="0.3">
      <c r="A968" s="1">
        <v>306</v>
      </c>
    </row>
    <row r="969" spans="1:1" x14ac:dyDescent="0.3">
      <c r="A969" s="1">
        <v>155</v>
      </c>
    </row>
    <row r="970" spans="1:1" x14ac:dyDescent="0.3">
      <c r="A970" s="1">
        <v>14</v>
      </c>
    </row>
    <row r="971" spans="1:1" x14ac:dyDescent="0.3">
      <c r="A971" s="1">
        <v>181</v>
      </c>
    </row>
    <row r="972" spans="1:1" x14ac:dyDescent="0.3">
      <c r="A972" s="1">
        <v>547</v>
      </c>
    </row>
    <row r="973" spans="1:1" x14ac:dyDescent="0.3">
      <c r="A973" s="1">
        <v>131</v>
      </c>
    </row>
    <row r="974" spans="1:1" x14ac:dyDescent="0.3">
      <c r="A974" s="1">
        <v>203</v>
      </c>
    </row>
    <row r="975" spans="1:1" x14ac:dyDescent="0.3">
      <c r="A975" s="1">
        <v>697</v>
      </c>
    </row>
    <row r="976" spans="1:1" x14ac:dyDescent="0.3">
      <c r="A976" s="1">
        <v>214</v>
      </c>
    </row>
    <row r="977" spans="1:1" x14ac:dyDescent="0.3">
      <c r="A977" s="1">
        <v>249</v>
      </c>
    </row>
    <row r="978" spans="1:1" x14ac:dyDescent="0.3">
      <c r="A978" s="1">
        <v>40</v>
      </c>
    </row>
    <row r="979" spans="1:1" x14ac:dyDescent="0.3">
      <c r="A979" s="1">
        <v>851</v>
      </c>
    </row>
    <row r="980" spans="1:1" x14ac:dyDescent="0.3">
      <c r="A980" s="1">
        <v>207</v>
      </c>
    </row>
    <row r="981" spans="1:1" x14ac:dyDescent="0.3">
      <c r="A981" s="1">
        <v>369</v>
      </c>
    </row>
    <row r="982" spans="1:1" x14ac:dyDescent="0.3">
      <c r="A982" s="1">
        <v>304</v>
      </c>
    </row>
    <row r="983" spans="1:1" x14ac:dyDescent="0.3">
      <c r="A983" s="1">
        <v>768</v>
      </c>
    </row>
    <row r="984" spans="1:1" x14ac:dyDescent="0.3">
      <c r="A984" s="1">
        <v>781</v>
      </c>
    </row>
    <row r="985" spans="1:1" x14ac:dyDescent="0.3">
      <c r="A985" s="1">
        <v>444</v>
      </c>
    </row>
    <row r="986" spans="1:1" x14ac:dyDescent="0.3">
      <c r="A986" s="1">
        <v>197</v>
      </c>
    </row>
    <row r="987" spans="1:1" x14ac:dyDescent="0.3">
      <c r="A987" s="1">
        <v>888</v>
      </c>
    </row>
    <row r="988" spans="1:1" x14ac:dyDescent="0.3">
      <c r="A988" s="1">
        <v>340</v>
      </c>
    </row>
    <row r="989" spans="1:1" x14ac:dyDescent="0.3">
      <c r="A989" s="1">
        <v>589</v>
      </c>
    </row>
    <row r="990" spans="1:1" x14ac:dyDescent="0.3">
      <c r="A990" s="1">
        <v>456</v>
      </c>
    </row>
    <row r="991" spans="1:1" x14ac:dyDescent="0.3">
      <c r="A991" s="1">
        <v>86</v>
      </c>
    </row>
    <row r="992" spans="1:1" x14ac:dyDescent="0.3">
      <c r="A992" s="1">
        <v>716</v>
      </c>
    </row>
    <row r="993" spans="1:1" x14ac:dyDescent="0.3">
      <c r="A993" s="1">
        <v>598</v>
      </c>
    </row>
    <row r="994" spans="1:1" x14ac:dyDescent="0.3">
      <c r="A994" s="1">
        <v>762</v>
      </c>
    </row>
    <row r="995" spans="1:1" x14ac:dyDescent="0.3">
      <c r="A995" s="1">
        <v>913</v>
      </c>
    </row>
    <row r="996" spans="1:1" x14ac:dyDescent="0.3">
      <c r="A996" s="1">
        <v>945</v>
      </c>
    </row>
    <row r="997" spans="1:1" x14ac:dyDescent="0.3">
      <c r="A997" s="1">
        <v>263</v>
      </c>
    </row>
    <row r="998" spans="1:1" x14ac:dyDescent="0.3">
      <c r="A998" s="1">
        <v>810</v>
      </c>
    </row>
    <row r="999" spans="1:1" x14ac:dyDescent="0.3">
      <c r="A999" s="1">
        <v>617</v>
      </c>
    </row>
    <row r="1000" spans="1:1" x14ac:dyDescent="0.3">
      <c r="A1000" s="1">
        <v>846</v>
      </c>
    </row>
    <row r="1001" spans="1:1" x14ac:dyDescent="0.3">
      <c r="A1001" s="1">
        <v>661</v>
      </c>
    </row>
    <row r="1002" spans="1:1" x14ac:dyDescent="0.3">
      <c r="A1002" s="1">
        <v>666</v>
      </c>
    </row>
    <row r="1003" spans="1:1" x14ac:dyDescent="0.3">
      <c r="A1003" s="1">
        <v>972</v>
      </c>
    </row>
    <row r="1004" spans="1:1" x14ac:dyDescent="0.3">
      <c r="A1004" s="1">
        <v>214</v>
      </c>
    </row>
    <row r="1005" spans="1:1" x14ac:dyDescent="0.3">
      <c r="A1005" s="1">
        <v>221</v>
      </c>
    </row>
    <row r="1006" spans="1:1" x14ac:dyDescent="0.3">
      <c r="A1006" s="1">
        <v>995</v>
      </c>
    </row>
    <row r="1007" spans="1:1" x14ac:dyDescent="0.3">
      <c r="A1007" s="1">
        <v>213</v>
      </c>
    </row>
    <row r="1008" spans="1:1" x14ac:dyDescent="0.3">
      <c r="A1008" s="1">
        <v>716</v>
      </c>
    </row>
    <row r="1009" spans="1:1" x14ac:dyDescent="0.3">
      <c r="A1009" s="1">
        <v>346</v>
      </c>
    </row>
    <row r="1010" spans="1:1" x14ac:dyDescent="0.3">
      <c r="A1010" s="1">
        <v>781</v>
      </c>
    </row>
    <row r="1011" spans="1:1" x14ac:dyDescent="0.3">
      <c r="A1011" s="1">
        <v>525</v>
      </c>
    </row>
    <row r="1012" spans="1:1" x14ac:dyDescent="0.3">
      <c r="A1012" s="1">
        <v>300</v>
      </c>
    </row>
    <row r="1013" spans="1:1" x14ac:dyDescent="0.3">
      <c r="A1013" s="1">
        <v>677</v>
      </c>
    </row>
    <row r="1014" spans="1:1" x14ac:dyDescent="0.3">
      <c r="A1014" s="1">
        <v>273</v>
      </c>
    </row>
    <row r="1015" spans="1:1" x14ac:dyDescent="0.3">
      <c r="A1015" s="1">
        <v>361</v>
      </c>
    </row>
    <row r="1016" spans="1:1" x14ac:dyDescent="0.3">
      <c r="A1016" s="1">
        <v>928</v>
      </c>
    </row>
    <row r="1017" spans="1:1" x14ac:dyDescent="0.3">
      <c r="A1017" s="1">
        <v>367</v>
      </c>
    </row>
    <row r="1018" spans="1:1" x14ac:dyDescent="0.3">
      <c r="A1018" s="1">
        <v>114</v>
      </c>
    </row>
    <row r="1019" spans="1:1" x14ac:dyDescent="0.3">
      <c r="A1019" s="1">
        <v>154</v>
      </c>
    </row>
    <row r="1020" spans="1:1" x14ac:dyDescent="0.3">
      <c r="A1020" s="1">
        <v>750</v>
      </c>
    </row>
    <row r="1021" spans="1:1" x14ac:dyDescent="0.3">
      <c r="A1021" s="1">
        <v>910</v>
      </c>
    </row>
    <row r="1022" spans="1:1" x14ac:dyDescent="0.3">
      <c r="A1022" s="1">
        <v>988</v>
      </c>
    </row>
    <row r="1023" spans="1:1" x14ac:dyDescent="0.3">
      <c r="A1023" s="1">
        <v>917</v>
      </c>
    </row>
    <row r="1024" spans="1:1" x14ac:dyDescent="0.3">
      <c r="A1024" s="1">
        <v>108</v>
      </c>
    </row>
    <row r="1025" spans="1:1" x14ac:dyDescent="0.3">
      <c r="A1025" s="1">
        <v>49</v>
      </c>
    </row>
    <row r="1026" spans="1:1" x14ac:dyDescent="0.3">
      <c r="A1026" s="1">
        <v>245</v>
      </c>
    </row>
    <row r="1027" spans="1:1" x14ac:dyDescent="0.3">
      <c r="A1027" s="1">
        <v>517</v>
      </c>
    </row>
    <row r="1028" spans="1:1" x14ac:dyDescent="0.3">
      <c r="A1028" s="1">
        <v>688</v>
      </c>
    </row>
    <row r="1029" spans="1:1" x14ac:dyDescent="0.3">
      <c r="A1029" s="1">
        <v>903</v>
      </c>
    </row>
    <row r="1030" spans="1:1" x14ac:dyDescent="0.3">
      <c r="A1030" s="1">
        <v>844</v>
      </c>
    </row>
    <row r="1031" spans="1:1" x14ac:dyDescent="0.3">
      <c r="A1031" s="1">
        <v>436</v>
      </c>
    </row>
    <row r="1032" spans="1:1" x14ac:dyDescent="0.3">
      <c r="A1032" s="1">
        <v>673</v>
      </c>
    </row>
    <row r="1033" spans="1:1" x14ac:dyDescent="0.3">
      <c r="A1033" s="1">
        <v>603</v>
      </c>
    </row>
    <row r="1034" spans="1:1" x14ac:dyDescent="0.3">
      <c r="A1034" s="1">
        <v>328</v>
      </c>
    </row>
    <row r="1035" spans="1:1" x14ac:dyDescent="0.3">
      <c r="A1035" s="1">
        <v>268</v>
      </c>
    </row>
    <row r="1036" spans="1:1" x14ac:dyDescent="0.3">
      <c r="A1036" s="1">
        <v>420</v>
      </c>
    </row>
    <row r="1037" spans="1:1" x14ac:dyDescent="0.3">
      <c r="A1037" s="1">
        <v>428</v>
      </c>
    </row>
    <row r="1038" spans="1:1" x14ac:dyDescent="0.3">
      <c r="A1038" s="1">
        <v>472</v>
      </c>
    </row>
    <row r="1039" spans="1:1" x14ac:dyDescent="0.3">
      <c r="A1039" s="1">
        <v>159</v>
      </c>
    </row>
    <row r="1040" spans="1:1" x14ac:dyDescent="0.3">
      <c r="A1040" s="1">
        <v>51</v>
      </c>
    </row>
    <row r="1041" spans="1:1" x14ac:dyDescent="0.3">
      <c r="A1041" s="1">
        <v>696</v>
      </c>
    </row>
    <row r="1042" spans="1:1" x14ac:dyDescent="0.3">
      <c r="A1042" s="1">
        <v>582</v>
      </c>
    </row>
    <row r="1043" spans="1:1" x14ac:dyDescent="0.3">
      <c r="A1043" s="1">
        <v>56</v>
      </c>
    </row>
    <row r="1044" spans="1:1" x14ac:dyDescent="0.3">
      <c r="A1044" s="1">
        <v>824</v>
      </c>
    </row>
    <row r="1045" spans="1:1" x14ac:dyDescent="0.3">
      <c r="A1045" s="1">
        <v>328</v>
      </c>
    </row>
    <row r="1046" spans="1:1" x14ac:dyDescent="0.3">
      <c r="A1046" s="1">
        <v>141</v>
      </c>
    </row>
    <row r="1047" spans="1:1" x14ac:dyDescent="0.3">
      <c r="A1047" s="1">
        <v>524</v>
      </c>
    </row>
    <row r="1048" spans="1:1" x14ac:dyDescent="0.3">
      <c r="A1048" s="1">
        <v>43</v>
      </c>
    </row>
    <row r="1049" spans="1:1" x14ac:dyDescent="0.3">
      <c r="A1049" s="1">
        <v>156</v>
      </c>
    </row>
    <row r="1050" spans="1:1" x14ac:dyDescent="0.3">
      <c r="A1050" s="1">
        <v>45</v>
      </c>
    </row>
    <row r="1051" spans="1:1" x14ac:dyDescent="0.3">
      <c r="A1051" s="1">
        <v>529</v>
      </c>
    </row>
    <row r="1052" spans="1:1" x14ac:dyDescent="0.3">
      <c r="A1052" s="1">
        <v>154</v>
      </c>
    </row>
    <row r="1053" spans="1:1" x14ac:dyDescent="0.3">
      <c r="A1053" s="1">
        <v>121</v>
      </c>
    </row>
    <row r="1054" spans="1:1" x14ac:dyDescent="0.3">
      <c r="A1054" s="1">
        <v>334</v>
      </c>
    </row>
    <row r="1055" spans="1:1" x14ac:dyDescent="0.3">
      <c r="A1055" s="1">
        <v>693</v>
      </c>
    </row>
    <row r="1056" spans="1:1" x14ac:dyDescent="0.3">
      <c r="A1056" s="1">
        <v>314</v>
      </c>
    </row>
    <row r="1057" spans="1:1" x14ac:dyDescent="0.3">
      <c r="A1057" s="1">
        <v>121</v>
      </c>
    </row>
    <row r="1058" spans="1:1" x14ac:dyDescent="0.3">
      <c r="A1058" s="1">
        <v>438</v>
      </c>
    </row>
    <row r="1059" spans="1:1" x14ac:dyDescent="0.3">
      <c r="A1059" s="1">
        <v>285</v>
      </c>
    </row>
    <row r="1060" spans="1:1" x14ac:dyDescent="0.3">
      <c r="A1060" s="1">
        <v>49</v>
      </c>
    </row>
    <row r="1061" spans="1:1" x14ac:dyDescent="0.3">
      <c r="A1061" s="1">
        <v>756</v>
      </c>
    </row>
    <row r="1062" spans="1:1" x14ac:dyDescent="0.3">
      <c r="A1062" s="1">
        <v>646</v>
      </c>
    </row>
    <row r="1063" spans="1:1" x14ac:dyDescent="0.3">
      <c r="A1063" s="1">
        <v>488</v>
      </c>
    </row>
    <row r="1064" spans="1:1" x14ac:dyDescent="0.3">
      <c r="A1064" s="1">
        <v>526</v>
      </c>
    </row>
    <row r="1065" spans="1:1" x14ac:dyDescent="0.3">
      <c r="A1065" s="1">
        <v>681</v>
      </c>
    </row>
    <row r="1066" spans="1:1" x14ac:dyDescent="0.3">
      <c r="A1066" s="1">
        <v>806</v>
      </c>
    </row>
    <row r="1067" spans="1:1" x14ac:dyDescent="0.3">
      <c r="A1067" s="1">
        <v>548</v>
      </c>
    </row>
    <row r="1068" spans="1:1" x14ac:dyDescent="0.3">
      <c r="A1068" s="1">
        <v>466</v>
      </c>
    </row>
    <row r="1069" spans="1:1" x14ac:dyDescent="0.3">
      <c r="A1069" s="1">
        <v>282</v>
      </c>
    </row>
    <row r="1070" spans="1:1" x14ac:dyDescent="0.3">
      <c r="A1070" s="1">
        <v>477</v>
      </c>
    </row>
    <row r="1071" spans="1:1" x14ac:dyDescent="0.3">
      <c r="A1071" s="1">
        <v>682</v>
      </c>
    </row>
    <row r="1072" spans="1:1" x14ac:dyDescent="0.3">
      <c r="A1072" s="1">
        <v>656</v>
      </c>
    </row>
    <row r="1073" spans="1:1" x14ac:dyDescent="0.3">
      <c r="A1073" s="1">
        <v>50</v>
      </c>
    </row>
    <row r="1074" spans="1:1" x14ac:dyDescent="0.3">
      <c r="A1074" s="1">
        <v>485</v>
      </c>
    </row>
    <row r="1075" spans="1:1" x14ac:dyDescent="0.3">
      <c r="A1075" s="1">
        <v>33</v>
      </c>
    </row>
    <row r="1076" spans="1:1" x14ac:dyDescent="0.3">
      <c r="A1076" s="1">
        <v>947</v>
      </c>
    </row>
    <row r="1077" spans="1:1" x14ac:dyDescent="0.3">
      <c r="A1077" s="1">
        <v>822</v>
      </c>
    </row>
    <row r="1078" spans="1:1" x14ac:dyDescent="0.3">
      <c r="A1078" s="1">
        <v>215</v>
      </c>
    </row>
    <row r="1079" spans="1:1" x14ac:dyDescent="0.3">
      <c r="A1079" s="1">
        <v>165</v>
      </c>
    </row>
    <row r="1080" spans="1:1" x14ac:dyDescent="0.3">
      <c r="A1080" s="1">
        <v>353</v>
      </c>
    </row>
    <row r="1081" spans="1:1" x14ac:dyDescent="0.3">
      <c r="A1081" s="1">
        <v>420</v>
      </c>
    </row>
    <row r="1082" spans="1:1" x14ac:dyDescent="0.3">
      <c r="A1082" s="1">
        <v>53</v>
      </c>
    </row>
    <row r="1083" spans="1:1" x14ac:dyDescent="0.3">
      <c r="A1083" s="1">
        <v>39</v>
      </c>
    </row>
    <row r="1084" spans="1:1" x14ac:dyDescent="0.3">
      <c r="A1084" s="1">
        <v>956</v>
      </c>
    </row>
    <row r="1085" spans="1:1" x14ac:dyDescent="0.3">
      <c r="A1085" s="1">
        <v>117</v>
      </c>
    </row>
    <row r="1086" spans="1:1" x14ac:dyDescent="0.3">
      <c r="A1086" s="1">
        <v>159</v>
      </c>
    </row>
    <row r="1087" spans="1:1" x14ac:dyDescent="0.3">
      <c r="A1087" s="1">
        <v>456</v>
      </c>
    </row>
    <row r="1088" spans="1:1" x14ac:dyDescent="0.3">
      <c r="A1088" s="1">
        <v>510</v>
      </c>
    </row>
    <row r="1089" spans="1:1" x14ac:dyDescent="0.3">
      <c r="A1089" s="1">
        <v>372</v>
      </c>
    </row>
    <row r="1090" spans="1:1" x14ac:dyDescent="0.3">
      <c r="A1090" s="1">
        <v>771</v>
      </c>
    </row>
    <row r="1091" spans="1:1" x14ac:dyDescent="0.3">
      <c r="A1091" s="1">
        <v>157</v>
      </c>
    </row>
    <row r="1092" spans="1:1" x14ac:dyDescent="0.3">
      <c r="A1092" s="1">
        <v>477</v>
      </c>
    </row>
    <row r="1093" spans="1:1" x14ac:dyDescent="0.3">
      <c r="A1093" s="1">
        <v>742</v>
      </c>
    </row>
    <row r="1094" spans="1:1" x14ac:dyDescent="0.3">
      <c r="A1094" s="1">
        <v>166</v>
      </c>
    </row>
    <row r="1095" spans="1:1" x14ac:dyDescent="0.3">
      <c r="A1095" s="1">
        <v>981</v>
      </c>
    </row>
    <row r="1096" spans="1:1" x14ac:dyDescent="0.3">
      <c r="A1096" s="1">
        <v>599</v>
      </c>
    </row>
    <row r="1097" spans="1:1" x14ac:dyDescent="0.3">
      <c r="A1097" s="1">
        <v>529</v>
      </c>
    </row>
    <row r="1098" spans="1:1" x14ac:dyDescent="0.3">
      <c r="A1098" s="1">
        <v>649</v>
      </c>
    </row>
    <row r="1099" spans="1:1" x14ac:dyDescent="0.3">
      <c r="A1099" s="1">
        <v>841</v>
      </c>
    </row>
    <row r="1100" spans="1:1" x14ac:dyDescent="0.3">
      <c r="A1100" s="1">
        <v>494</v>
      </c>
    </row>
    <row r="1101" spans="1:1" x14ac:dyDescent="0.3">
      <c r="A1101" s="1">
        <v>714</v>
      </c>
    </row>
    <row r="1102" spans="1:1" x14ac:dyDescent="0.3">
      <c r="A1102" s="1">
        <v>978</v>
      </c>
    </row>
    <row r="1103" spans="1:1" x14ac:dyDescent="0.3">
      <c r="A1103" s="1">
        <v>672</v>
      </c>
    </row>
    <row r="1104" spans="1:1" x14ac:dyDescent="0.3">
      <c r="A1104" s="1">
        <v>919</v>
      </c>
    </row>
    <row r="1105" spans="1:1" x14ac:dyDescent="0.3">
      <c r="A1105" s="1">
        <v>970</v>
      </c>
    </row>
    <row r="1106" spans="1:1" x14ac:dyDescent="0.3">
      <c r="A1106" s="1">
        <v>181</v>
      </c>
    </row>
    <row r="1107" spans="1:1" x14ac:dyDescent="0.3">
      <c r="A1107" s="1">
        <v>457</v>
      </c>
    </row>
    <row r="1108" spans="1:1" x14ac:dyDescent="0.3">
      <c r="A1108" s="1">
        <v>462</v>
      </c>
    </row>
    <row r="1109" spans="1:1" x14ac:dyDescent="0.3">
      <c r="A1109" s="1">
        <v>603</v>
      </c>
    </row>
    <row r="1110" spans="1:1" x14ac:dyDescent="0.3">
      <c r="A1110" s="1">
        <v>801</v>
      </c>
    </row>
    <row r="1111" spans="1:1" x14ac:dyDescent="0.3">
      <c r="A1111" s="1">
        <v>536</v>
      </c>
    </row>
    <row r="1112" spans="1:1" x14ac:dyDescent="0.3">
      <c r="A1112" s="1">
        <v>388</v>
      </c>
    </row>
    <row r="1113" spans="1:1" x14ac:dyDescent="0.3">
      <c r="A1113" s="1">
        <v>387</v>
      </c>
    </row>
    <row r="1114" spans="1:1" x14ac:dyDescent="0.3">
      <c r="A1114" s="1">
        <v>288</v>
      </c>
    </row>
    <row r="1115" spans="1:1" x14ac:dyDescent="0.3">
      <c r="A1115" s="1">
        <v>467</v>
      </c>
    </row>
    <row r="1116" spans="1:1" x14ac:dyDescent="0.3">
      <c r="A1116" s="1">
        <v>403</v>
      </c>
    </row>
    <row r="1117" spans="1:1" x14ac:dyDescent="0.3">
      <c r="A1117" s="1">
        <v>464</v>
      </c>
    </row>
    <row r="1118" spans="1:1" x14ac:dyDescent="0.3">
      <c r="A1118" s="1">
        <v>972</v>
      </c>
    </row>
    <row r="1119" spans="1:1" x14ac:dyDescent="0.3">
      <c r="A1119" s="1">
        <v>989</v>
      </c>
    </row>
    <row r="1120" spans="1:1" x14ac:dyDescent="0.3">
      <c r="A1120" s="1">
        <v>139</v>
      </c>
    </row>
    <row r="1121" spans="1:1" x14ac:dyDescent="0.3">
      <c r="A1121" s="1">
        <v>64</v>
      </c>
    </row>
    <row r="1122" spans="1:1" x14ac:dyDescent="0.3">
      <c r="A1122" s="1">
        <v>529</v>
      </c>
    </row>
    <row r="1123" spans="1:1" x14ac:dyDescent="0.3">
      <c r="A1123" s="1">
        <v>420</v>
      </c>
    </row>
    <row r="1124" spans="1:1" x14ac:dyDescent="0.3">
      <c r="A1124" s="1">
        <v>375</v>
      </c>
    </row>
    <row r="1125" spans="1:1" x14ac:dyDescent="0.3">
      <c r="A1125" s="1">
        <v>860</v>
      </c>
    </row>
    <row r="1126" spans="1:1" x14ac:dyDescent="0.3">
      <c r="A1126" s="1">
        <v>896</v>
      </c>
    </row>
    <row r="1127" spans="1:1" x14ac:dyDescent="0.3">
      <c r="A1127" s="1">
        <v>275</v>
      </c>
    </row>
    <row r="1128" spans="1:1" x14ac:dyDescent="0.3">
      <c r="A1128" s="1">
        <v>812</v>
      </c>
    </row>
    <row r="1129" spans="1:1" x14ac:dyDescent="0.3">
      <c r="A1129" s="1">
        <v>734</v>
      </c>
    </row>
    <row r="1130" spans="1:1" x14ac:dyDescent="0.3">
      <c r="A1130" s="1">
        <v>127</v>
      </c>
    </row>
    <row r="1131" spans="1:1" x14ac:dyDescent="0.3">
      <c r="A1131" s="1">
        <v>399</v>
      </c>
    </row>
    <row r="1132" spans="1:1" x14ac:dyDescent="0.3">
      <c r="A1132" s="1">
        <v>888</v>
      </c>
    </row>
    <row r="1133" spans="1:1" x14ac:dyDescent="0.3">
      <c r="A1133" s="1">
        <v>520</v>
      </c>
    </row>
    <row r="1134" spans="1:1" x14ac:dyDescent="0.3">
      <c r="A1134" s="1">
        <v>146</v>
      </c>
    </row>
    <row r="1135" spans="1:1" x14ac:dyDescent="0.3">
      <c r="A1135" s="1">
        <v>473</v>
      </c>
    </row>
    <row r="1136" spans="1:1" x14ac:dyDescent="0.3">
      <c r="A1136" s="1">
        <v>389</v>
      </c>
    </row>
    <row r="1137" spans="1:1" x14ac:dyDescent="0.3">
      <c r="A1137" s="1">
        <v>592</v>
      </c>
    </row>
    <row r="1138" spans="1:1" x14ac:dyDescent="0.3">
      <c r="A1138" s="1">
        <v>466</v>
      </c>
    </row>
    <row r="1139" spans="1:1" x14ac:dyDescent="0.3">
      <c r="A1139" s="1">
        <v>527</v>
      </c>
    </row>
    <row r="1140" spans="1:1" x14ac:dyDescent="0.3">
      <c r="A1140" s="1">
        <v>623</v>
      </c>
    </row>
    <row r="1141" spans="1:1" x14ac:dyDescent="0.3">
      <c r="A1141" s="1">
        <v>949</v>
      </c>
    </row>
    <row r="1142" spans="1:1" x14ac:dyDescent="0.3">
      <c r="A1142" s="1">
        <v>738</v>
      </c>
    </row>
    <row r="1143" spans="1:1" x14ac:dyDescent="0.3">
      <c r="A1143" s="1">
        <v>156</v>
      </c>
    </row>
    <row r="1144" spans="1:1" x14ac:dyDescent="0.3">
      <c r="A1144" s="1">
        <v>170</v>
      </c>
    </row>
    <row r="1145" spans="1:1" x14ac:dyDescent="0.3">
      <c r="A1145" s="1">
        <v>794</v>
      </c>
    </row>
    <row r="1146" spans="1:1" x14ac:dyDescent="0.3">
      <c r="A1146" s="1">
        <v>733</v>
      </c>
    </row>
    <row r="1147" spans="1:1" x14ac:dyDescent="0.3">
      <c r="A1147" s="1">
        <v>272</v>
      </c>
    </row>
    <row r="1148" spans="1:1" x14ac:dyDescent="0.3">
      <c r="A1148" s="1">
        <v>199</v>
      </c>
    </row>
    <row r="1149" spans="1:1" x14ac:dyDescent="0.3">
      <c r="A1149" s="1">
        <v>550</v>
      </c>
    </row>
    <row r="1150" spans="1:1" x14ac:dyDescent="0.3">
      <c r="A1150" s="1">
        <v>817</v>
      </c>
    </row>
    <row r="1151" spans="1:1" x14ac:dyDescent="0.3">
      <c r="A1151" s="1">
        <v>475</v>
      </c>
    </row>
    <row r="1152" spans="1:1" x14ac:dyDescent="0.3">
      <c r="A1152" s="1">
        <v>713</v>
      </c>
    </row>
    <row r="1153" spans="1:1" x14ac:dyDescent="0.3">
      <c r="A1153" s="1">
        <v>203</v>
      </c>
    </row>
    <row r="1154" spans="1:1" x14ac:dyDescent="0.3">
      <c r="A1154" s="1">
        <v>299</v>
      </c>
    </row>
    <row r="1155" spans="1:1" x14ac:dyDescent="0.3">
      <c r="A1155" s="1">
        <v>357</v>
      </c>
    </row>
    <row r="1156" spans="1:1" x14ac:dyDescent="0.3">
      <c r="A1156" s="1">
        <v>99</v>
      </c>
    </row>
    <row r="1157" spans="1:1" x14ac:dyDescent="0.3">
      <c r="A1157" s="1">
        <v>457</v>
      </c>
    </row>
    <row r="1158" spans="1:1" x14ac:dyDescent="0.3">
      <c r="A1158" s="1">
        <v>763</v>
      </c>
    </row>
    <row r="1159" spans="1:1" x14ac:dyDescent="0.3">
      <c r="A1159" s="1">
        <v>157</v>
      </c>
    </row>
    <row r="1160" spans="1:1" x14ac:dyDescent="0.3">
      <c r="A1160" s="1">
        <v>809</v>
      </c>
    </row>
    <row r="1161" spans="1:1" x14ac:dyDescent="0.3">
      <c r="A1161" s="1">
        <v>230</v>
      </c>
    </row>
    <row r="1162" spans="1:1" x14ac:dyDescent="0.3">
      <c r="A1162" s="1">
        <v>900</v>
      </c>
    </row>
    <row r="1163" spans="1:1" x14ac:dyDescent="0.3">
      <c r="A1163" s="1">
        <v>496</v>
      </c>
    </row>
    <row r="1164" spans="1:1" x14ac:dyDescent="0.3">
      <c r="A1164" s="1">
        <v>203</v>
      </c>
    </row>
    <row r="1165" spans="1:1" x14ac:dyDescent="0.3">
      <c r="A1165" s="1">
        <v>56</v>
      </c>
    </row>
    <row r="1166" spans="1:1" x14ac:dyDescent="0.3">
      <c r="A1166" s="1">
        <v>94</v>
      </c>
    </row>
    <row r="1167" spans="1:1" x14ac:dyDescent="0.3">
      <c r="A1167" s="1">
        <v>780</v>
      </c>
    </row>
    <row r="1168" spans="1:1" x14ac:dyDescent="0.3">
      <c r="A1168" s="1">
        <v>819</v>
      </c>
    </row>
    <row r="1169" spans="1:1" x14ac:dyDescent="0.3">
      <c r="A1169" s="1">
        <v>964</v>
      </c>
    </row>
    <row r="1170" spans="1:1" x14ac:dyDescent="0.3">
      <c r="A1170" s="1">
        <v>521</v>
      </c>
    </row>
    <row r="1171" spans="1:1" x14ac:dyDescent="0.3">
      <c r="A1171" s="1">
        <v>630</v>
      </c>
    </row>
    <row r="1172" spans="1:1" x14ac:dyDescent="0.3">
      <c r="A1172" s="1">
        <v>330</v>
      </c>
    </row>
    <row r="1173" spans="1:1" x14ac:dyDescent="0.3">
      <c r="A1173" s="1">
        <v>299</v>
      </c>
    </row>
    <row r="1174" spans="1:1" x14ac:dyDescent="0.3">
      <c r="A1174" s="1">
        <v>30</v>
      </c>
    </row>
    <row r="1175" spans="1:1" x14ac:dyDescent="0.3">
      <c r="A1175" s="1">
        <v>572</v>
      </c>
    </row>
    <row r="1176" spans="1:1" x14ac:dyDescent="0.3">
      <c r="A1176" s="1">
        <v>523</v>
      </c>
    </row>
    <row r="1177" spans="1:1" x14ac:dyDescent="0.3">
      <c r="A1177" s="1">
        <v>874</v>
      </c>
    </row>
    <row r="1178" spans="1:1" x14ac:dyDescent="0.3">
      <c r="A1178" s="1">
        <v>476</v>
      </c>
    </row>
    <row r="1179" spans="1:1" x14ac:dyDescent="0.3">
      <c r="A1179" s="1">
        <v>465</v>
      </c>
    </row>
    <row r="1180" spans="1:1" x14ac:dyDescent="0.3">
      <c r="A1180" s="1">
        <v>808</v>
      </c>
    </row>
    <row r="1181" spans="1:1" x14ac:dyDescent="0.3">
      <c r="A1181" s="1">
        <v>851</v>
      </c>
    </row>
    <row r="1182" spans="1:1" x14ac:dyDescent="0.3">
      <c r="A1182" s="1">
        <v>426</v>
      </c>
    </row>
    <row r="1183" spans="1:1" x14ac:dyDescent="0.3">
      <c r="A1183" s="1">
        <v>495</v>
      </c>
    </row>
    <row r="1184" spans="1:1" x14ac:dyDescent="0.3">
      <c r="A1184" s="1">
        <v>868</v>
      </c>
    </row>
    <row r="1185" spans="1:1" x14ac:dyDescent="0.3">
      <c r="A1185" s="1">
        <v>133</v>
      </c>
    </row>
    <row r="1186" spans="1:1" x14ac:dyDescent="0.3">
      <c r="A1186" s="1">
        <v>270</v>
      </c>
    </row>
    <row r="1187" spans="1:1" x14ac:dyDescent="0.3">
      <c r="A1187" s="1">
        <v>984</v>
      </c>
    </row>
    <row r="1188" spans="1:1" x14ac:dyDescent="0.3">
      <c r="A1188" s="1">
        <v>996</v>
      </c>
    </row>
    <row r="1189" spans="1:1" x14ac:dyDescent="0.3">
      <c r="A1189" s="1">
        <v>452</v>
      </c>
    </row>
    <row r="1190" spans="1:1" x14ac:dyDescent="0.3">
      <c r="A1190" s="1">
        <v>342</v>
      </c>
    </row>
    <row r="1191" spans="1:1" x14ac:dyDescent="0.3">
      <c r="A1191" s="1">
        <v>134</v>
      </c>
    </row>
    <row r="1192" spans="1:1" x14ac:dyDescent="0.3">
      <c r="A1192" s="1">
        <v>428</v>
      </c>
    </row>
    <row r="1193" spans="1:1" x14ac:dyDescent="0.3">
      <c r="A1193" s="1">
        <v>639</v>
      </c>
    </row>
    <row r="1194" spans="1:1" x14ac:dyDescent="0.3">
      <c r="A1194" s="1">
        <v>434</v>
      </c>
    </row>
    <row r="1195" spans="1:1" x14ac:dyDescent="0.3">
      <c r="A1195" s="1">
        <v>272</v>
      </c>
    </row>
    <row r="1196" spans="1:1" x14ac:dyDescent="0.3">
      <c r="A1196" s="1">
        <v>631</v>
      </c>
    </row>
    <row r="1197" spans="1:1" x14ac:dyDescent="0.3">
      <c r="A1197" s="1">
        <v>391</v>
      </c>
    </row>
    <row r="1198" spans="1:1" x14ac:dyDescent="0.3">
      <c r="A1198" s="1">
        <v>484</v>
      </c>
    </row>
    <row r="1199" spans="1:1" x14ac:dyDescent="0.3">
      <c r="A1199" s="1">
        <v>497</v>
      </c>
    </row>
    <row r="1200" spans="1:1" x14ac:dyDescent="0.3">
      <c r="A1200" s="1">
        <v>332</v>
      </c>
    </row>
    <row r="1201" spans="1:1" x14ac:dyDescent="0.3">
      <c r="A1201" s="1">
        <v>16</v>
      </c>
    </row>
    <row r="1202" spans="1:1" x14ac:dyDescent="0.3">
      <c r="A1202" s="1">
        <v>432</v>
      </c>
    </row>
    <row r="1203" spans="1:1" x14ac:dyDescent="0.3">
      <c r="A1203" s="1">
        <v>80</v>
      </c>
    </row>
    <row r="1204" spans="1:1" x14ac:dyDescent="0.3">
      <c r="A1204" s="1">
        <v>726</v>
      </c>
    </row>
    <row r="1205" spans="1:1" x14ac:dyDescent="0.3">
      <c r="A1205" s="1">
        <v>979</v>
      </c>
    </row>
    <row r="1206" spans="1:1" x14ac:dyDescent="0.3">
      <c r="A1206" s="1">
        <v>902</v>
      </c>
    </row>
    <row r="1207" spans="1:1" x14ac:dyDescent="0.3">
      <c r="A1207" s="1">
        <v>30</v>
      </c>
    </row>
    <row r="1208" spans="1:1" x14ac:dyDescent="0.3">
      <c r="A1208" s="1">
        <v>36</v>
      </c>
    </row>
    <row r="1209" spans="1:1" x14ac:dyDescent="0.3">
      <c r="A1209" s="1">
        <v>251</v>
      </c>
    </row>
    <row r="1210" spans="1:1" x14ac:dyDescent="0.3">
      <c r="A1210" s="1">
        <v>893</v>
      </c>
    </row>
    <row r="1211" spans="1:1" x14ac:dyDescent="0.3">
      <c r="A1211" s="1">
        <v>281</v>
      </c>
    </row>
    <row r="1212" spans="1:1" x14ac:dyDescent="0.3">
      <c r="A1212" s="1">
        <v>511</v>
      </c>
    </row>
    <row r="1213" spans="1:1" x14ac:dyDescent="0.3">
      <c r="A1213" s="1">
        <v>556</v>
      </c>
    </row>
    <row r="1214" spans="1:1" x14ac:dyDescent="0.3">
      <c r="A1214" s="1">
        <v>120</v>
      </c>
    </row>
    <row r="1215" spans="1:1" x14ac:dyDescent="0.3">
      <c r="A1215" s="1">
        <v>746</v>
      </c>
    </row>
    <row r="1216" spans="1:1" x14ac:dyDescent="0.3">
      <c r="A1216" s="1">
        <v>705</v>
      </c>
    </row>
    <row r="1217" spans="1:1" x14ac:dyDescent="0.3">
      <c r="A1217" s="1">
        <v>71</v>
      </c>
    </row>
    <row r="1218" spans="1:1" x14ac:dyDescent="0.3">
      <c r="A1218" s="1">
        <v>292</v>
      </c>
    </row>
    <row r="1219" spans="1:1" x14ac:dyDescent="0.3">
      <c r="A1219" s="1">
        <v>901</v>
      </c>
    </row>
    <row r="1220" spans="1:1" x14ac:dyDescent="0.3">
      <c r="A1220" s="1">
        <v>303</v>
      </c>
    </row>
    <row r="1221" spans="1:1" x14ac:dyDescent="0.3">
      <c r="A1221" s="1">
        <v>990</v>
      </c>
    </row>
    <row r="1222" spans="1:1" x14ac:dyDescent="0.3">
      <c r="A1222" s="1">
        <v>15</v>
      </c>
    </row>
    <row r="1223" spans="1:1" x14ac:dyDescent="0.3">
      <c r="A1223" s="1">
        <v>568</v>
      </c>
    </row>
    <row r="1224" spans="1:1" x14ac:dyDescent="0.3">
      <c r="A1224" s="1">
        <v>340</v>
      </c>
    </row>
    <row r="1225" spans="1:1" x14ac:dyDescent="0.3">
      <c r="A1225" s="1">
        <v>78</v>
      </c>
    </row>
    <row r="1226" spans="1:1" x14ac:dyDescent="0.3">
      <c r="A1226" s="1">
        <v>350</v>
      </c>
    </row>
    <row r="1227" spans="1:1" x14ac:dyDescent="0.3">
      <c r="A1227" s="1">
        <v>675</v>
      </c>
    </row>
    <row r="1228" spans="1:1" x14ac:dyDescent="0.3">
      <c r="A1228" s="1">
        <v>725</v>
      </c>
    </row>
    <row r="1229" spans="1:1" x14ac:dyDescent="0.3">
      <c r="A1229" s="1">
        <v>459</v>
      </c>
    </row>
    <row r="1230" spans="1:1" x14ac:dyDescent="0.3">
      <c r="A1230" s="1">
        <v>983</v>
      </c>
    </row>
    <row r="1231" spans="1:1" x14ac:dyDescent="0.3">
      <c r="A1231" s="1">
        <v>714</v>
      </c>
    </row>
    <row r="1232" spans="1:1" x14ac:dyDescent="0.3">
      <c r="A1232" s="1">
        <v>58</v>
      </c>
    </row>
    <row r="1233" spans="1:1" x14ac:dyDescent="0.3">
      <c r="A1233" s="1">
        <v>968</v>
      </c>
    </row>
    <row r="1234" spans="1:1" x14ac:dyDescent="0.3">
      <c r="A1234" s="1">
        <v>893</v>
      </c>
    </row>
    <row r="1235" spans="1:1" x14ac:dyDescent="0.3">
      <c r="A1235" s="1">
        <v>650</v>
      </c>
    </row>
    <row r="1236" spans="1:1" x14ac:dyDescent="0.3">
      <c r="A1236" s="1">
        <v>32</v>
      </c>
    </row>
    <row r="1237" spans="1:1" x14ac:dyDescent="0.3">
      <c r="A1237" s="1">
        <v>449</v>
      </c>
    </row>
    <row r="1238" spans="1:1" x14ac:dyDescent="0.3">
      <c r="A1238" s="1">
        <v>221</v>
      </c>
    </row>
    <row r="1239" spans="1:1" x14ac:dyDescent="0.3">
      <c r="A1239" s="1">
        <v>550</v>
      </c>
    </row>
    <row r="1240" spans="1:1" x14ac:dyDescent="0.3">
      <c r="A1240" s="1">
        <v>38</v>
      </c>
    </row>
    <row r="1241" spans="1:1" x14ac:dyDescent="0.3">
      <c r="A1241" s="1">
        <v>888</v>
      </c>
    </row>
    <row r="1242" spans="1:1" x14ac:dyDescent="0.3">
      <c r="A1242" s="1">
        <v>326</v>
      </c>
    </row>
    <row r="1243" spans="1:1" x14ac:dyDescent="0.3">
      <c r="A1243" s="1">
        <v>149</v>
      </c>
    </row>
    <row r="1244" spans="1:1" x14ac:dyDescent="0.3">
      <c r="A1244" s="1">
        <v>227</v>
      </c>
    </row>
    <row r="1245" spans="1:1" x14ac:dyDescent="0.3">
      <c r="A1245" s="1">
        <v>329</v>
      </c>
    </row>
    <row r="1246" spans="1:1" x14ac:dyDescent="0.3">
      <c r="A1246" s="1">
        <v>651</v>
      </c>
    </row>
    <row r="1247" spans="1:1" x14ac:dyDescent="0.3">
      <c r="A1247" s="1">
        <v>50</v>
      </c>
    </row>
    <row r="1248" spans="1:1" x14ac:dyDescent="0.3">
      <c r="A1248" s="1">
        <v>298</v>
      </c>
    </row>
    <row r="1249" spans="1:1" x14ac:dyDescent="0.3">
      <c r="A1249" s="1">
        <v>122</v>
      </c>
    </row>
    <row r="1250" spans="1:1" x14ac:dyDescent="0.3">
      <c r="A1250" s="1">
        <v>685</v>
      </c>
    </row>
    <row r="1251" spans="1:1" x14ac:dyDescent="0.3">
      <c r="A1251" s="1">
        <v>541</v>
      </c>
    </row>
    <row r="1252" spans="1:1" x14ac:dyDescent="0.3">
      <c r="A1252" s="1">
        <v>713</v>
      </c>
    </row>
    <row r="1253" spans="1:1" x14ac:dyDescent="0.3">
      <c r="A1253" s="1">
        <v>658</v>
      </c>
    </row>
    <row r="1254" spans="1:1" x14ac:dyDescent="0.3">
      <c r="A1254" s="1">
        <v>884</v>
      </c>
    </row>
    <row r="1255" spans="1:1" x14ac:dyDescent="0.3">
      <c r="A1255" s="1">
        <v>820</v>
      </c>
    </row>
    <row r="1256" spans="1:1" x14ac:dyDescent="0.3">
      <c r="A1256" s="1">
        <v>790</v>
      </c>
    </row>
    <row r="1257" spans="1:1" x14ac:dyDescent="0.3">
      <c r="A1257" s="1">
        <v>648</v>
      </c>
    </row>
    <row r="1258" spans="1:1" x14ac:dyDescent="0.3">
      <c r="A1258" s="1">
        <v>689</v>
      </c>
    </row>
    <row r="1259" spans="1:1" x14ac:dyDescent="0.3">
      <c r="A1259" s="1">
        <v>566</v>
      </c>
    </row>
    <row r="1260" spans="1:1" x14ac:dyDescent="0.3">
      <c r="A1260" s="1">
        <v>134</v>
      </c>
    </row>
    <row r="1261" spans="1:1" x14ac:dyDescent="0.3">
      <c r="A1261" s="1">
        <v>484</v>
      </c>
    </row>
    <row r="1262" spans="1:1" x14ac:dyDescent="0.3">
      <c r="A1262" s="1">
        <v>408</v>
      </c>
    </row>
    <row r="1263" spans="1:1" x14ac:dyDescent="0.3">
      <c r="A1263" s="1">
        <v>528</v>
      </c>
    </row>
    <row r="1264" spans="1:1" x14ac:dyDescent="0.3">
      <c r="A1264" s="1">
        <v>68</v>
      </c>
    </row>
    <row r="1265" spans="1:1" x14ac:dyDescent="0.3">
      <c r="A1265" s="1">
        <v>11</v>
      </c>
    </row>
    <row r="1266" spans="1:1" x14ac:dyDescent="0.3">
      <c r="A1266" s="1">
        <v>828</v>
      </c>
    </row>
    <row r="1267" spans="1:1" x14ac:dyDescent="0.3">
      <c r="A1267" s="1">
        <v>383</v>
      </c>
    </row>
    <row r="1268" spans="1:1" x14ac:dyDescent="0.3">
      <c r="A1268" s="1">
        <v>773</v>
      </c>
    </row>
    <row r="1269" spans="1:1" x14ac:dyDescent="0.3">
      <c r="A1269" s="1">
        <v>68</v>
      </c>
    </row>
    <row r="1270" spans="1:1" x14ac:dyDescent="0.3">
      <c r="A1270" s="1">
        <v>360</v>
      </c>
    </row>
    <row r="1271" spans="1:1" x14ac:dyDescent="0.3">
      <c r="A1271" s="1">
        <v>21</v>
      </c>
    </row>
    <row r="1272" spans="1:1" x14ac:dyDescent="0.3">
      <c r="A1272" s="1">
        <v>221</v>
      </c>
    </row>
    <row r="1273" spans="1:1" x14ac:dyDescent="0.3">
      <c r="A1273" s="1">
        <v>937</v>
      </c>
    </row>
    <row r="1274" spans="1:1" x14ac:dyDescent="0.3">
      <c r="A1274" s="1">
        <v>514</v>
      </c>
    </row>
    <row r="1275" spans="1:1" x14ac:dyDescent="0.3">
      <c r="A1275" s="1">
        <v>669</v>
      </c>
    </row>
    <row r="1276" spans="1:1" x14ac:dyDescent="0.3">
      <c r="A1276" s="1">
        <v>540</v>
      </c>
    </row>
    <row r="1277" spans="1:1" x14ac:dyDescent="0.3">
      <c r="A1277" s="1">
        <v>922</v>
      </c>
    </row>
    <row r="1278" spans="1:1" x14ac:dyDescent="0.3">
      <c r="A1278" s="1">
        <v>603</v>
      </c>
    </row>
    <row r="1279" spans="1:1" x14ac:dyDescent="0.3">
      <c r="A1279" s="1">
        <v>588</v>
      </c>
    </row>
    <row r="1280" spans="1:1" x14ac:dyDescent="0.3">
      <c r="A1280" s="1">
        <v>792</v>
      </c>
    </row>
    <row r="1281" spans="1:1" x14ac:dyDescent="0.3">
      <c r="A1281" s="1">
        <v>996</v>
      </c>
    </row>
    <row r="1282" spans="1:1" x14ac:dyDescent="0.3">
      <c r="A1282" s="1">
        <v>608</v>
      </c>
    </row>
    <row r="1283" spans="1:1" x14ac:dyDescent="0.3">
      <c r="A1283" s="1">
        <v>996</v>
      </c>
    </row>
    <row r="1284" spans="1:1" x14ac:dyDescent="0.3">
      <c r="A1284" s="1">
        <v>623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2309-2381-4208-9A70-AEB771458291}">
  <dimension ref="A1:L1284"/>
  <sheetViews>
    <sheetView workbookViewId="0">
      <selection activeCell="M15" sqref="M15"/>
    </sheetView>
  </sheetViews>
  <sheetFormatPr defaultRowHeight="14.4" x14ac:dyDescent="0.3"/>
  <cols>
    <col min="1" max="1" width="23.109375" customWidth="1"/>
    <col min="2" max="2" width="3.109375" bestFit="1" customWidth="1"/>
    <col min="8" max="8" width="3.109375" bestFit="1" customWidth="1"/>
    <col min="9" max="9" width="22.109375" bestFit="1" customWidth="1"/>
    <col min="10" max="10" width="23.33203125" bestFit="1" customWidth="1"/>
    <col min="12" max="12" width="3.21875" bestFit="1" customWidth="1"/>
  </cols>
  <sheetData>
    <row r="1" spans="1:12" x14ac:dyDescent="0.3">
      <c r="A1" t="s">
        <v>10</v>
      </c>
      <c r="B1" s="4" t="s">
        <v>2231</v>
      </c>
      <c r="H1" s="4" t="s">
        <v>2249</v>
      </c>
      <c r="L1" s="4" t="s">
        <v>2248</v>
      </c>
    </row>
    <row r="2" spans="1:12" x14ac:dyDescent="0.3">
      <c r="A2" t="s">
        <v>24</v>
      </c>
      <c r="I2" s="6" t="s">
        <v>2250</v>
      </c>
      <c r="J2" t="s">
        <v>2251</v>
      </c>
    </row>
    <row r="3" spans="1:12" x14ac:dyDescent="0.3">
      <c r="A3" t="s">
        <v>36</v>
      </c>
      <c r="I3" s="7" t="s">
        <v>56</v>
      </c>
      <c r="J3">
        <v>51</v>
      </c>
    </row>
    <row r="4" spans="1:12" x14ac:dyDescent="0.3">
      <c r="A4" t="s">
        <v>46</v>
      </c>
      <c r="I4" s="7" t="s">
        <v>343</v>
      </c>
      <c r="J4">
        <v>128</v>
      </c>
    </row>
    <row r="5" spans="1:12" x14ac:dyDescent="0.3">
      <c r="A5" t="s">
        <v>56</v>
      </c>
      <c r="I5" s="7" t="s">
        <v>24</v>
      </c>
      <c r="J5">
        <v>111</v>
      </c>
    </row>
    <row r="6" spans="1:12" x14ac:dyDescent="0.3">
      <c r="A6" t="s">
        <v>66</v>
      </c>
      <c r="I6" s="7" t="s">
        <v>244</v>
      </c>
      <c r="J6">
        <v>54</v>
      </c>
    </row>
    <row r="7" spans="1:12" x14ac:dyDescent="0.3">
      <c r="A7" t="s">
        <v>56</v>
      </c>
      <c r="I7" s="7" t="s">
        <v>404</v>
      </c>
      <c r="J7">
        <v>16</v>
      </c>
    </row>
    <row r="8" spans="1:12" x14ac:dyDescent="0.3">
      <c r="A8" t="s">
        <v>36</v>
      </c>
      <c r="I8" s="7" t="s">
        <v>46</v>
      </c>
      <c r="J8">
        <v>25</v>
      </c>
    </row>
    <row r="9" spans="1:12" x14ac:dyDescent="0.3">
      <c r="A9" t="s">
        <v>66</v>
      </c>
      <c r="I9" s="7" t="s">
        <v>694</v>
      </c>
      <c r="J9">
        <v>11</v>
      </c>
    </row>
    <row r="10" spans="1:12" x14ac:dyDescent="0.3">
      <c r="A10" t="s">
        <v>99</v>
      </c>
      <c r="I10" s="7" t="s">
        <v>195</v>
      </c>
      <c r="J10">
        <v>16</v>
      </c>
    </row>
    <row r="11" spans="1:12" x14ac:dyDescent="0.3">
      <c r="A11" t="s">
        <v>56</v>
      </c>
      <c r="I11" s="7" t="s">
        <v>36</v>
      </c>
      <c r="J11">
        <v>441</v>
      </c>
    </row>
    <row r="12" spans="1:12" x14ac:dyDescent="0.3">
      <c r="A12" t="s">
        <v>36</v>
      </c>
      <c r="I12" s="7" t="s">
        <v>203</v>
      </c>
      <c r="J12">
        <v>33</v>
      </c>
    </row>
    <row r="13" spans="1:12" x14ac:dyDescent="0.3">
      <c r="A13" t="s">
        <v>126</v>
      </c>
      <c r="I13" s="7" t="s">
        <v>66</v>
      </c>
      <c r="J13">
        <v>146</v>
      </c>
    </row>
    <row r="14" spans="1:12" x14ac:dyDescent="0.3">
      <c r="A14" t="s">
        <v>66</v>
      </c>
      <c r="I14" s="7" t="s">
        <v>126</v>
      </c>
      <c r="J14">
        <v>131</v>
      </c>
    </row>
    <row r="15" spans="1:12" x14ac:dyDescent="0.3">
      <c r="A15" t="s">
        <v>36</v>
      </c>
      <c r="I15" s="7" t="s">
        <v>219</v>
      </c>
      <c r="J15">
        <v>11</v>
      </c>
    </row>
    <row r="16" spans="1:12" x14ac:dyDescent="0.3">
      <c r="A16" t="s">
        <v>143</v>
      </c>
      <c r="I16" s="7" t="s">
        <v>447</v>
      </c>
      <c r="J16">
        <v>58</v>
      </c>
    </row>
    <row r="17" spans="1:10" x14ac:dyDescent="0.3">
      <c r="A17" t="s">
        <v>36</v>
      </c>
      <c r="I17" s="7" t="s">
        <v>99</v>
      </c>
      <c r="J17">
        <v>19</v>
      </c>
    </row>
    <row r="18" spans="1:10" x14ac:dyDescent="0.3">
      <c r="A18" t="s">
        <v>24</v>
      </c>
      <c r="I18" s="7" t="s">
        <v>143</v>
      </c>
      <c r="J18">
        <v>32</v>
      </c>
    </row>
    <row r="19" spans="1:10" x14ac:dyDescent="0.3">
      <c r="A19" t="s">
        <v>36</v>
      </c>
      <c r="I19" s="7" t="s">
        <v>2247</v>
      </c>
      <c r="J19">
        <v>1283</v>
      </c>
    </row>
    <row r="20" spans="1:10" x14ac:dyDescent="0.3">
      <c r="A20" t="s">
        <v>36</v>
      </c>
    </row>
    <row r="21" spans="1:10" x14ac:dyDescent="0.3">
      <c r="A21" t="s">
        <v>24</v>
      </c>
      <c r="H21" s="4" t="s">
        <v>2246</v>
      </c>
    </row>
    <row r="22" spans="1:10" x14ac:dyDescent="0.3">
      <c r="A22" t="s">
        <v>36</v>
      </c>
    </row>
    <row r="23" spans="1:10" x14ac:dyDescent="0.3">
      <c r="A23" t="s">
        <v>66</v>
      </c>
    </row>
    <row r="24" spans="1:10" x14ac:dyDescent="0.3">
      <c r="A24" t="s">
        <v>195</v>
      </c>
    </row>
    <row r="25" spans="1:10" x14ac:dyDescent="0.3">
      <c r="A25" t="s">
        <v>203</v>
      </c>
    </row>
    <row r="26" spans="1:10" x14ac:dyDescent="0.3">
      <c r="A26" t="s">
        <v>66</v>
      </c>
    </row>
    <row r="27" spans="1:10" x14ac:dyDescent="0.3">
      <c r="A27" t="s">
        <v>219</v>
      </c>
    </row>
    <row r="28" spans="1:10" x14ac:dyDescent="0.3">
      <c r="A28" t="s">
        <v>203</v>
      </c>
    </row>
    <row r="29" spans="1:10" x14ac:dyDescent="0.3">
      <c r="A29" t="s">
        <v>126</v>
      </c>
    </row>
    <row r="30" spans="1:10" x14ac:dyDescent="0.3">
      <c r="A30" t="s">
        <v>244</v>
      </c>
    </row>
    <row r="31" spans="1:10" x14ac:dyDescent="0.3">
      <c r="A31" t="s">
        <v>143</v>
      </c>
    </row>
    <row r="32" spans="1:10" x14ac:dyDescent="0.3">
      <c r="A32" t="s">
        <v>126</v>
      </c>
    </row>
    <row r="33" spans="1:1" x14ac:dyDescent="0.3">
      <c r="A33" t="s">
        <v>36</v>
      </c>
    </row>
    <row r="34" spans="1:1" x14ac:dyDescent="0.3">
      <c r="A34" t="s">
        <v>24</v>
      </c>
    </row>
    <row r="35" spans="1:1" x14ac:dyDescent="0.3">
      <c r="A35" t="s">
        <v>126</v>
      </c>
    </row>
    <row r="36" spans="1:1" x14ac:dyDescent="0.3">
      <c r="A36" t="s">
        <v>126</v>
      </c>
    </row>
    <row r="37" spans="1:1" x14ac:dyDescent="0.3">
      <c r="A37" t="s">
        <v>24</v>
      </c>
    </row>
    <row r="38" spans="1:1" x14ac:dyDescent="0.3">
      <c r="A38" t="s">
        <v>36</v>
      </c>
    </row>
    <row r="39" spans="1:1" x14ac:dyDescent="0.3">
      <c r="A39" t="s">
        <v>24</v>
      </c>
    </row>
    <row r="40" spans="1:1" x14ac:dyDescent="0.3">
      <c r="A40" t="s">
        <v>36</v>
      </c>
    </row>
    <row r="41" spans="1:1" x14ac:dyDescent="0.3">
      <c r="A41" t="s">
        <v>244</v>
      </c>
    </row>
    <row r="42" spans="1:1" x14ac:dyDescent="0.3">
      <c r="A42" t="s">
        <v>126</v>
      </c>
    </row>
    <row r="43" spans="1:1" x14ac:dyDescent="0.3">
      <c r="A43" t="s">
        <v>36</v>
      </c>
    </row>
    <row r="44" spans="1:1" x14ac:dyDescent="0.3">
      <c r="A44" t="s">
        <v>99</v>
      </c>
    </row>
    <row r="45" spans="1:1" x14ac:dyDescent="0.3">
      <c r="A45" t="s">
        <v>36</v>
      </c>
    </row>
    <row r="46" spans="1:1" x14ac:dyDescent="0.3">
      <c r="A46" t="s">
        <v>126</v>
      </c>
    </row>
    <row r="47" spans="1:1" x14ac:dyDescent="0.3">
      <c r="A47" t="s">
        <v>66</v>
      </c>
    </row>
    <row r="48" spans="1:1" x14ac:dyDescent="0.3">
      <c r="A48" t="s">
        <v>343</v>
      </c>
    </row>
    <row r="49" spans="1:1" x14ac:dyDescent="0.3">
      <c r="A49" t="s">
        <v>36</v>
      </c>
    </row>
    <row r="50" spans="1:1" x14ac:dyDescent="0.3">
      <c r="A50" t="s">
        <v>36</v>
      </c>
    </row>
    <row r="51" spans="1:1" x14ac:dyDescent="0.3">
      <c r="A51" t="s">
        <v>36</v>
      </c>
    </row>
    <row r="52" spans="1:1" x14ac:dyDescent="0.3">
      <c r="A52" t="s">
        <v>143</v>
      </c>
    </row>
    <row r="53" spans="1:1" x14ac:dyDescent="0.3">
      <c r="A53" t="s">
        <v>343</v>
      </c>
    </row>
    <row r="54" spans="1:1" x14ac:dyDescent="0.3">
      <c r="A54" t="s">
        <v>36</v>
      </c>
    </row>
    <row r="55" spans="1:1" x14ac:dyDescent="0.3">
      <c r="A55" t="s">
        <v>66</v>
      </c>
    </row>
    <row r="56" spans="1:1" x14ac:dyDescent="0.3">
      <c r="A56" t="s">
        <v>244</v>
      </c>
    </row>
    <row r="57" spans="1:1" x14ac:dyDescent="0.3">
      <c r="A57" t="s">
        <v>46</v>
      </c>
    </row>
    <row r="58" spans="1:1" x14ac:dyDescent="0.3">
      <c r="A58" t="s">
        <v>56</v>
      </c>
    </row>
    <row r="59" spans="1:1" x14ac:dyDescent="0.3">
      <c r="A59" t="s">
        <v>36</v>
      </c>
    </row>
    <row r="60" spans="1:1" x14ac:dyDescent="0.3">
      <c r="A60" t="s">
        <v>36</v>
      </c>
    </row>
    <row r="61" spans="1:1" x14ac:dyDescent="0.3">
      <c r="A61" t="s">
        <v>404</v>
      </c>
    </row>
    <row r="62" spans="1:1" x14ac:dyDescent="0.3">
      <c r="A62" t="s">
        <v>66</v>
      </c>
    </row>
    <row r="63" spans="1:1" x14ac:dyDescent="0.3">
      <c r="A63" t="s">
        <v>36</v>
      </c>
    </row>
    <row r="64" spans="1:1" x14ac:dyDescent="0.3">
      <c r="A64" t="s">
        <v>56</v>
      </c>
    </row>
    <row r="65" spans="1:1" x14ac:dyDescent="0.3">
      <c r="A65" t="s">
        <v>36</v>
      </c>
    </row>
    <row r="66" spans="1:1" x14ac:dyDescent="0.3">
      <c r="A66" t="s">
        <v>36</v>
      </c>
    </row>
    <row r="67" spans="1:1" x14ac:dyDescent="0.3">
      <c r="A67" t="s">
        <v>195</v>
      </c>
    </row>
    <row r="68" spans="1:1" x14ac:dyDescent="0.3">
      <c r="A68" t="s">
        <v>343</v>
      </c>
    </row>
    <row r="69" spans="1:1" x14ac:dyDescent="0.3">
      <c r="A69" t="s">
        <v>36</v>
      </c>
    </row>
    <row r="70" spans="1:1" x14ac:dyDescent="0.3">
      <c r="A70" t="s">
        <v>203</v>
      </c>
    </row>
    <row r="71" spans="1:1" x14ac:dyDescent="0.3">
      <c r="A71" t="s">
        <v>126</v>
      </c>
    </row>
    <row r="72" spans="1:1" x14ac:dyDescent="0.3">
      <c r="A72" t="s">
        <v>343</v>
      </c>
    </row>
    <row r="73" spans="1:1" x14ac:dyDescent="0.3">
      <c r="A73" t="s">
        <v>36</v>
      </c>
    </row>
    <row r="74" spans="1:1" x14ac:dyDescent="0.3">
      <c r="A74" t="s">
        <v>36</v>
      </c>
    </row>
    <row r="75" spans="1:1" x14ac:dyDescent="0.3">
      <c r="A75" t="s">
        <v>447</v>
      </c>
    </row>
    <row r="76" spans="1:1" x14ac:dyDescent="0.3">
      <c r="A76" t="s">
        <v>126</v>
      </c>
    </row>
    <row r="77" spans="1:1" x14ac:dyDescent="0.3">
      <c r="A77" t="s">
        <v>36</v>
      </c>
    </row>
    <row r="78" spans="1:1" x14ac:dyDescent="0.3">
      <c r="A78" t="s">
        <v>36</v>
      </c>
    </row>
    <row r="79" spans="1:1" x14ac:dyDescent="0.3">
      <c r="A79" t="s">
        <v>447</v>
      </c>
    </row>
    <row r="80" spans="1:1" x14ac:dyDescent="0.3">
      <c r="A80" t="s">
        <v>56</v>
      </c>
    </row>
    <row r="81" spans="1:1" x14ac:dyDescent="0.3">
      <c r="A81" t="s">
        <v>36</v>
      </c>
    </row>
    <row r="82" spans="1:1" x14ac:dyDescent="0.3">
      <c r="A82" t="s">
        <v>66</v>
      </c>
    </row>
    <row r="83" spans="1:1" x14ac:dyDescent="0.3">
      <c r="A83" t="s">
        <v>126</v>
      </c>
    </row>
    <row r="84" spans="1:1" x14ac:dyDescent="0.3">
      <c r="A84" t="s">
        <v>143</v>
      </c>
    </row>
    <row r="85" spans="1:1" x14ac:dyDescent="0.3">
      <c r="A85" t="s">
        <v>56</v>
      </c>
    </row>
    <row r="86" spans="1:1" x14ac:dyDescent="0.3">
      <c r="A86" t="s">
        <v>343</v>
      </c>
    </row>
    <row r="87" spans="1:1" x14ac:dyDescent="0.3">
      <c r="A87" t="s">
        <v>126</v>
      </c>
    </row>
    <row r="88" spans="1:1" x14ac:dyDescent="0.3">
      <c r="A88" t="s">
        <v>66</v>
      </c>
    </row>
    <row r="89" spans="1:1" x14ac:dyDescent="0.3">
      <c r="A89" t="s">
        <v>126</v>
      </c>
    </row>
    <row r="90" spans="1:1" x14ac:dyDescent="0.3">
      <c r="A90" t="s">
        <v>343</v>
      </c>
    </row>
    <row r="91" spans="1:1" x14ac:dyDescent="0.3">
      <c r="A91" t="s">
        <v>36</v>
      </c>
    </row>
    <row r="92" spans="1:1" x14ac:dyDescent="0.3">
      <c r="A92" t="s">
        <v>36</v>
      </c>
    </row>
    <row r="93" spans="1:1" x14ac:dyDescent="0.3">
      <c r="A93" t="s">
        <v>36</v>
      </c>
    </row>
    <row r="94" spans="1:1" x14ac:dyDescent="0.3">
      <c r="A94" t="s">
        <v>343</v>
      </c>
    </row>
    <row r="95" spans="1:1" x14ac:dyDescent="0.3">
      <c r="A95" t="s">
        <v>126</v>
      </c>
    </row>
    <row r="96" spans="1:1" x14ac:dyDescent="0.3">
      <c r="A96" t="s">
        <v>447</v>
      </c>
    </row>
    <row r="97" spans="1:1" x14ac:dyDescent="0.3">
      <c r="A97" t="s">
        <v>36</v>
      </c>
    </row>
    <row r="98" spans="1:1" x14ac:dyDescent="0.3">
      <c r="A98" t="s">
        <v>447</v>
      </c>
    </row>
    <row r="99" spans="1:1" x14ac:dyDescent="0.3">
      <c r="A99" t="s">
        <v>24</v>
      </c>
    </row>
    <row r="100" spans="1:1" x14ac:dyDescent="0.3">
      <c r="A100" t="s">
        <v>126</v>
      </c>
    </row>
    <row r="101" spans="1:1" x14ac:dyDescent="0.3">
      <c r="A101" t="s">
        <v>56</v>
      </c>
    </row>
    <row r="102" spans="1:1" x14ac:dyDescent="0.3">
      <c r="A102" t="s">
        <v>343</v>
      </c>
    </row>
    <row r="103" spans="1:1" x14ac:dyDescent="0.3">
      <c r="A103" t="s">
        <v>36</v>
      </c>
    </row>
    <row r="104" spans="1:1" x14ac:dyDescent="0.3">
      <c r="A104" t="s">
        <v>126</v>
      </c>
    </row>
    <row r="105" spans="1:1" x14ac:dyDescent="0.3">
      <c r="A105" t="s">
        <v>126</v>
      </c>
    </row>
    <row r="106" spans="1:1" x14ac:dyDescent="0.3">
      <c r="A106" t="s">
        <v>244</v>
      </c>
    </row>
    <row r="107" spans="1:1" x14ac:dyDescent="0.3">
      <c r="A107" t="s">
        <v>36</v>
      </c>
    </row>
    <row r="108" spans="1:1" x14ac:dyDescent="0.3">
      <c r="A108" t="s">
        <v>24</v>
      </c>
    </row>
    <row r="109" spans="1:1" x14ac:dyDescent="0.3">
      <c r="A109" t="s">
        <v>126</v>
      </c>
    </row>
    <row r="110" spans="1:1" x14ac:dyDescent="0.3">
      <c r="A110" t="s">
        <v>36</v>
      </c>
    </row>
    <row r="111" spans="1:1" x14ac:dyDescent="0.3">
      <c r="A111" t="s">
        <v>24</v>
      </c>
    </row>
    <row r="112" spans="1:1" x14ac:dyDescent="0.3">
      <c r="A112" t="s">
        <v>24</v>
      </c>
    </row>
    <row r="113" spans="1:1" x14ac:dyDescent="0.3">
      <c r="A113" t="s">
        <v>36</v>
      </c>
    </row>
    <row r="114" spans="1:1" x14ac:dyDescent="0.3">
      <c r="A114" t="s">
        <v>203</v>
      </c>
    </row>
    <row r="115" spans="1:1" x14ac:dyDescent="0.3">
      <c r="A115" t="s">
        <v>36</v>
      </c>
    </row>
    <row r="116" spans="1:1" x14ac:dyDescent="0.3">
      <c r="A116" t="s">
        <v>36</v>
      </c>
    </row>
    <row r="117" spans="1:1" x14ac:dyDescent="0.3">
      <c r="A117" t="s">
        <v>343</v>
      </c>
    </row>
    <row r="118" spans="1:1" x14ac:dyDescent="0.3">
      <c r="A118" t="s">
        <v>56</v>
      </c>
    </row>
    <row r="119" spans="1:1" x14ac:dyDescent="0.3">
      <c r="A119" t="s">
        <v>36</v>
      </c>
    </row>
    <row r="120" spans="1:1" x14ac:dyDescent="0.3">
      <c r="A120" t="s">
        <v>46</v>
      </c>
    </row>
    <row r="121" spans="1:1" x14ac:dyDescent="0.3">
      <c r="A121" t="s">
        <v>36</v>
      </c>
    </row>
    <row r="122" spans="1:1" x14ac:dyDescent="0.3">
      <c r="A122" t="s">
        <v>343</v>
      </c>
    </row>
    <row r="123" spans="1:1" x14ac:dyDescent="0.3">
      <c r="A123" t="s">
        <v>126</v>
      </c>
    </row>
    <row r="124" spans="1:1" x14ac:dyDescent="0.3">
      <c r="A124" t="s">
        <v>126</v>
      </c>
    </row>
    <row r="125" spans="1:1" x14ac:dyDescent="0.3">
      <c r="A125" t="s">
        <v>343</v>
      </c>
    </row>
    <row r="126" spans="1:1" x14ac:dyDescent="0.3">
      <c r="A126" t="s">
        <v>36</v>
      </c>
    </row>
    <row r="127" spans="1:1" x14ac:dyDescent="0.3">
      <c r="A127" t="s">
        <v>36</v>
      </c>
    </row>
    <row r="128" spans="1:1" x14ac:dyDescent="0.3">
      <c r="A128" t="s">
        <v>36</v>
      </c>
    </row>
    <row r="129" spans="1:1" x14ac:dyDescent="0.3">
      <c r="A129" t="s">
        <v>24</v>
      </c>
    </row>
    <row r="130" spans="1:1" x14ac:dyDescent="0.3">
      <c r="A130" t="s">
        <v>447</v>
      </c>
    </row>
    <row r="131" spans="1:1" x14ac:dyDescent="0.3">
      <c r="A131" t="s">
        <v>36</v>
      </c>
    </row>
    <row r="132" spans="1:1" x14ac:dyDescent="0.3">
      <c r="A132" t="s">
        <v>447</v>
      </c>
    </row>
    <row r="133" spans="1:1" x14ac:dyDescent="0.3">
      <c r="A133" t="s">
        <v>343</v>
      </c>
    </row>
    <row r="134" spans="1:1" x14ac:dyDescent="0.3">
      <c r="A134" t="s">
        <v>447</v>
      </c>
    </row>
    <row r="135" spans="1:1" x14ac:dyDescent="0.3">
      <c r="A135" t="s">
        <v>24</v>
      </c>
    </row>
    <row r="136" spans="1:1" x14ac:dyDescent="0.3">
      <c r="A136" t="s">
        <v>56</v>
      </c>
    </row>
    <row r="137" spans="1:1" x14ac:dyDescent="0.3">
      <c r="A137" t="s">
        <v>343</v>
      </c>
    </row>
    <row r="138" spans="1:1" x14ac:dyDescent="0.3">
      <c r="A138" t="s">
        <v>36</v>
      </c>
    </row>
    <row r="139" spans="1:1" x14ac:dyDescent="0.3">
      <c r="A139" t="s">
        <v>36</v>
      </c>
    </row>
    <row r="140" spans="1:1" x14ac:dyDescent="0.3">
      <c r="A140" t="s">
        <v>203</v>
      </c>
    </row>
    <row r="141" spans="1:1" x14ac:dyDescent="0.3">
      <c r="A141" t="s">
        <v>244</v>
      </c>
    </row>
    <row r="142" spans="1:1" x14ac:dyDescent="0.3">
      <c r="A142" t="s">
        <v>56</v>
      </c>
    </row>
    <row r="143" spans="1:1" x14ac:dyDescent="0.3">
      <c r="A143" t="s">
        <v>343</v>
      </c>
    </row>
    <row r="144" spans="1:1" x14ac:dyDescent="0.3">
      <c r="A144" t="s">
        <v>203</v>
      </c>
    </row>
    <row r="145" spans="1:1" x14ac:dyDescent="0.3">
      <c r="A145" t="s">
        <v>36</v>
      </c>
    </row>
    <row r="146" spans="1:1" x14ac:dyDescent="0.3">
      <c r="A146" t="s">
        <v>36</v>
      </c>
    </row>
    <row r="147" spans="1:1" x14ac:dyDescent="0.3">
      <c r="A147" t="s">
        <v>343</v>
      </c>
    </row>
    <row r="148" spans="1:1" x14ac:dyDescent="0.3">
      <c r="A148" t="s">
        <v>66</v>
      </c>
    </row>
    <row r="149" spans="1:1" x14ac:dyDescent="0.3">
      <c r="A149" t="s">
        <v>447</v>
      </c>
    </row>
    <row r="150" spans="1:1" x14ac:dyDescent="0.3">
      <c r="A150" t="s">
        <v>66</v>
      </c>
    </row>
    <row r="151" spans="1:1" x14ac:dyDescent="0.3">
      <c r="A151" t="s">
        <v>343</v>
      </c>
    </row>
    <row r="152" spans="1:1" x14ac:dyDescent="0.3">
      <c r="A152" t="s">
        <v>343</v>
      </c>
    </row>
    <row r="153" spans="1:1" x14ac:dyDescent="0.3">
      <c r="A153" t="s">
        <v>694</v>
      </c>
    </row>
    <row r="154" spans="1:1" x14ac:dyDescent="0.3">
      <c r="A154" t="s">
        <v>24</v>
      </c>
    </row>
    <row r="155" spans="1:1" x14ac:dyDescent="0.3">
      <c r="A155" t="s">
        <v>126</v>
      </c>
    </row>
    <row r="156" spans="1:1" x14ac:dyDescent="0.3">
      <c r="A156" t="s">
        <v>66</v>
      </c>
    </row>
    <row r="157" spans="1:1" x14ac:dyDescent="0.3">
      <c r="A157" t="s">
        <v>66</v>
      </c>
    </row>
    <row r="158" spans="1:1" x14ac:dyDescent="0.3">
      <c r="A158" t="s">
        <v>404</v>
      </c>
    </row>
    <row r="159" spans="1:1" x14ac:dyDescent="0.3">
      <c r="A159" t="s">
        <v>36</v>
      </c>
    </row>
    <row r="160" spans="1:1" x14ac:dyDescent="0.3">
      <c r="A160" t="s">
        <v>36</v>
      </c>
    </row>
    <row r="161" spans="1:1" x14ac:dyDescent="0.3">
      <c r="A161" t="s">
        <v>36</v>
      </c>
    </row>
    <row r="162" spans="1:1" x14ac:dyDescent="0.3">
      <c r="A162" t="s">
        <v>343</v>
      </c>
    </row>
    <row r="163" spans="1:1" x14ac:dyDescent="0.3">
      <c r="A163" t="s">
        <v>36</v>
      </c>
    </row>
    <row r="164" spans="1:1" x14ac:dyDescent="0.3">
      <c r="A164" t="s">
        <v>36</v>
      </c>
    </row>
    <row r="165" spans="1:1" x14ac:dyDescent="0.3">
      <c r="A165" t="s">
        <v>126</v>
      </c>
    </row>
    <row r="166" spans="1:1" x14ac:dyDescent="0.3">
      <c r="A166" t="s">
        <v>36</v>
      </c>
    </row>
    <row r="167" spans="1:1" x14ac:dyDescent="0.3">
      <c r="A167" t="s">
        <v>66</v>
      </c>
    </row>
    <row r="168" spans="1:1" x14ac:dyDescent="0.3">
      <c r="A168" t="s">
        <v>195</v>
      </c>
    </row>
    <row r="169" spans="1:1" x14ac:dyDescent="0.3">
      <c r="A169" t="s">
        <v>56</v>
      </c>
    </row>
    <row r="170" spans="1:1" x14ac:dyDescent="0.3">
      <c r="A170" t="s">
        <v>143</v>
      </c>
    </row>
    <row r="171" spans="1:1" x14ac:dyDescent="0.3">
      <c r="A171" t="s">
        <v>66</v>
      </c>
    </row>
    <row r="172" spans="1:1" x14ac:dyDescent="0.3">
      <c r="A172" t="s">
        <v>56</v>
      </c>
    </row>
    <row r="173" spans="1:1" x14ac:dyDescent="0.3">
      <c r="A173" t="s">
        <v>343</v>
      </c>
    </row>
    <row r="174" spans="1:1" x14ac:dyDescent="0.3">
      <c r="A174" t="s">
        <v>36</v>
      </c>
    </row>
    <row r="175" spans="1:1" x14ac:dyDescent="0.3">
      <c r="A175" t="s">
        <v>24</v>
      </c>
    </row>
    <row r="176" spans="1:1" x14ac:dyDescent="0.3">
      <c r="A176" t="s">
        <v>203</v>
      </c>
    </row>
    <row r="177" spans="1:1" x14ac:dyDescent="0.3">
      <c r="A177" t="s">
        <v>36</v>
      </c>
    </row>
    <row r="178" spans="1:1" x14ac:dyDescent="0.3">
      <c r="A178" t="s">
        <v>36</v>
      </c>
    </row>
    <row r="179" spans="1:1" x14ac:dyDescent="0.3">
      <c r="A179" t="s">
        <v>36</v>
      </c>
    </row>
    <row r="180" spans="1:1" x14ac:dyDescent="0.3">
      <c r="A180" t="s">
        <v>36</v>
      </c>
    </row>
    <row r="181" spans="1:1" x14ac:dyDescent="0.3">
      <c r="A181" t="s">
        <v>36</v>
      </c>
    </row>
    <row r="182" spans="1:1" x14ac:dyDescent="0.3">
      <c r="A182" t="s">
        <v>36</v>
      </c>
    </row>
    <row r="183" spans="1:1" x14ac:dyDescent="0.3">
      <c r="A183" t="s">
        <v>56</v>
      </c>
    </row>
    <row r="184" spans="1:1" x14ac:dyDescent="0.3">
      <c r="A184" t="s">
        <v>66</v>
      </c>
    </row>
    <row r="185" spans="1:1" x14ac:dyDescent="0.3">
      <c r="A185" t="s">
        <v>36</v>
      </c>
    </row>
    <row r="186" spans="1:1" x14ac:dyDescent="0.3">
      <c r="A186" t="s">
        <v>447</v>
      </c>
    </row>
    <row r="187" spans="1:1" x14ac:dyDescent="0.3">
      <c r="A187" t="s">
        <v>36</v>
      </c>
    </row>
    <row r="188" spans="1:1" x14ac:dyDescent="0.3">
      <c r="A188" t="s">
        <v>24</v>
      </c>
    </row>
    <row r="189" spans="1:1" x14ac:dyDescent="0.3">
      <c r="A189" t="s">
        <v>66</v>
      </c>
    </row>
    <row r="190" spans="1:1" x14ac:dyDescent="0.3">
      <c r="A190" t="s">
        <v>66</v>
      </c>
    </row>
    <row r="191" spans="1:1" x14ac:dyDescent="0.3">
      <c r="A191" t="s">
        <v>36</v>
      </c>
    </row>
    <row r="192" spans="1:1" x14ac:dyDescent="0.3">
      <c r="A192" t="s">
        <v>36</v>
      </c>
    </row>
    <row r="193" spans="1:1" x14ac:dyDescent="0.3">
      <c r="A193" t="s">
        <v>36</v>
      </c>
    </row>
    <row r="194" spans="1:1" x14ac:dyDescent="0.3">
      <c r="A194" t="s">
        <v>36</v>
      </c>
    </row>
    <row r="195" spans="1:1" x14ac:dyDescent="0.3">
      <c r="A195" t="s">
        <v>66</v>
      </c>
    </row>
    <row r="196" spans="1:1" x14ac:dyDescent="0.3">
      <c r="A196" t="s">
        <v>56</v>
      </c>
    </row>
    <row r="197" spans="1:1" x14ac:dyDescent="0.3">
      <c r="A197" t="s">
        <v>66</v>
      </c>
    </row>
    <row r="198" spans="1:1" x14ac:dyDescent="0.3">
      <c r="A198" t="s">
        <v>36</v>
      </c>
    </row>
    <row r="199" spans="1:1" x14ac:dyDescent="0.3">
      <c r="A199" t="s">
        <v>244</v>
      </c>
    </row>
    <row r="200" spans="1:1" x14ac:dyDescent="0.3">
      <c r="A200" t="s">
        <v>36</v>
      </c>
    </row>
    <row r="201" spans="1:1" x14ac:dyDescent="0.3">
      <c r="A201" t="s">
        <v>56</v>
      </c>
    </row>
    <row r="202" spans="1:1" x14ac:dyDescent="0.3">
      <c r="A202" t="s">
        <v>36</v>
      </c>
    </row>
    <row r="203" spans="1:1" x14ac:dyDescent="0.3">
      <c r="A203" t="s">
        <v>447</v>
      </c>
    </row>
    <row r="204" spans="1:1" x14ac:dyDescent="0.3">
      <c r="A204" t="s">
        <v>343</v>
      </c>
    </row>
    <row r="205" spans="1:1" x14ac:dyDescent="0.3">
      <c r="A205" t="s">
        <v>36</v>
      </c>
    </row>
    <row r="206" spans="1:1" x14ac:dyDescent="0.3">
      <c r="A206" t="s">
        <v>46</v>
      </c>
    </row>
    <row r="207" spans="1:1" x14ac:dyDescent="0.3">
      <c r="A207" t="s">
        <v>24</v>
      </c>
    </row>
    <row r="208" spans="1:1" x14ac:dyDescent="0.3">
      <c r="A208" t="s">
        <v>36</v>
      </c>
    </row>
    <row r="209" spans="1:1" x14ac:dyDescent="0.3">
      <c r="A209" t="s">
        <v>36</v>
      </c>
    </row>
    <row r="210" spans="1:1" x14ac:dyDescent="0.3">
      <c r="A210" t="s">
        <v>343</v>
      </c>
    </row>
    <row r="211" spans="1:1" x14ac:dyDescent="0.3">
      <c r="A211" t="s">
        <v>66</v>
      </c>
    </row>
    <row r="212" spans="1:1" x14ac:dyDescent="0.3">
      <c r="A212" t="s">
        <v>24</v>
      </c>
    </row>
    <row r="213" spans="1:1" x14ac:dyDescent="0.3">
      <c r="A213" t="s">
        <v>343</v>
      </c>
    </row>
    <row r="214" spans="1:1" x14ac:dyDescent="0.3">
      <c r="A214" t="s">
        <v>36</v>
      </c>
    </row>
    <row r="215" spans="1:1" x14ac:dyDescent="0.3">
      <c r="A215" t="s">
        <v>36</v>
      </c>
    </row>
    <row r="216" spans="1:1" x14ac:dyDescent="0.3">
      <c r="A216" t="s">
        <v>343</v>
      </c>
    </row>
    <row r="217" spans="1:1" x14ac:dyDescent="0.3">
      <c r="A217" t="s">
        <v>66</v>
      </c>
    </row>
    <row r="218" spans="1:1" x14ac:dyDescent="0.3">
      <c r="A218" t="s">
        <v>66</v>
      </c>
    </row>
    <row r="219" spans="1:1" x14ac:dyDescent="0.3">
      <c r="A219" t="s">
        <v>36</v>
      </c>
    </row>
    <row r="220" spans="1:1" x14ac:dyDescent="0.3">
      <c r="A220" t="s">
        <v>36</v>
      </c>
    </row>
    <row r="221" spans="1:1" x14ac:dyDescent="0.3">
      <c r="A221" t="s">
        <v>24</v>
      </c>
    </row>
    <row r="222" spans="1:1" x14ac:dyDescent="0.3">
      <c r="A222" t="s">
        <v>343</v>
      </c>
    </row>
    <row r="223" spans="1:1" x14ac:dyDescent="0.3">
      <c r="A223" t="s">
        <v>36</v>
      </c>
    </row>
    <row r="224" spans="1:1" x14ac:dyDescent="0.3">
      <c r="A224" t="s">
        <v>66</v>
      </c>
    </row>
    <row r="225" spans="1:1" x14ac:dyDescent="0.3">
      <c r="A225" t="s">
        <v>447</v>
      </c>
    </row>
    <row r="226" spans="1:1" x14ac:dyDescent="0.3">
      <c r="A226" t="s">
        <v>126</v>
      </c>
    </row>
    <row r="227" spans="1:1" x14ac:dyDescent="0.3">
      <c r="A227" t="s">
        <v>36</v>
      </c>
    </row>
    <row r="228" spans="1:1" x14ac:dyDescent="0.3">
      <c r="A228" t="s">
        <v>244</v>
      </c>
    </row>
    <row r="229" spans="1:1" x14ac:dyDescent="0.3">
      <c r="A229" t="s">
        <v>36</v>
      </c>
    </row>
    <row r="230" spans="1:1" x14ac:dyDescent="0.3">
      <c r="A230" t="s">
        <v>126</v>
      </c>
    </row>
    <row r="231" spans="1:1" x14ac:dyDescent="0.3">
      <c r="A231" t="s">
        <v>36</v>
      </c>
    </row>
    <row r="232" spans="1:1" x14ac:dyDescent="0.3">
      <c r="A232" t="s">
        <v>24</v>
      </c>
    </row>
    <row r="233" spans="1:1" x14ac:dyDescent="0.3">
      <c r="A233" t="s">
        <v>343</v>
      </c>
    </row>
    <row r="234" spans="1:1" x14ac:dyDescent="0.3">
      <c r="A234" t="s">
        <v>36</v>
      </c>
    </row>
    <row r="235" spans="1:1" x14ac:dyDescent="0.3">
      <c r="A235" t="s">
        <v>343</v>
      </c>
    </row>
    <row r="236" spans="1:1" x14ac:dyDescent="0.3">
      <c r="A236" t="s">
        <v>36</v>
      </c>
    </row>
    <row r="237" spans="1:1" x14ac:dyDescent="0.3">
      <c r="A237" t="s">
        <v>24</v>
      </c>
    </row>
    <row r="238" spans="1:1" x14ac:dyDescent="0.3">
      <c r="A238" t="s">
        <v>66</v>
      </c>
    </row>
    <row r="239" spans="1:1" x14ac:dyDescent="0.3">
      <c r="A239" t="s">
        <v>143</v>
      </c>
    </row>
    <row r="240" spans="1:1" x14ac:dyDescent="0.3">
      <c r="A240" t="s">
        <v>36</v>
      </c>
    </row>
    <row r="241" spans="1:1" x14ac:dyDescent="0.3">
      <c r="A241" t="s">
        <v>66</v>
      </c>
    </row>
    <row r="242" spans="1:1" x14ac:dyDescent="0.3">
      <c r="A242" t="s">
        <v>343</v>
      </c>
    </row>
    <row r="243" spans="1:1" x14ac:dyDescent="0.3">
      <c r="A243" t="s">
        <v>36</v>
      </c>
    </row>
    <row r="244" spans="1:1" x14ac:dyDescent="0.3">
      <c r="A244" t="s">
        <v>36</v>
      </c>
    </row>
    <row r="245" spans="1:1" x14ac:dyDescent="0.3">
      <c r="A245" t="s">
        <v>36</v>
      </c>
    </row>
    <row r="246" spans="1:1" x14ac:dyDescent="0.3">
      <c r="A246" t="s">
        <v>66</v>
      </c>
    </row>
    <row r="247" spans="1:1" x14ac:dyDescent="0.3">
      <c r="A247" t="s">
        <v>126</v>
      </c>
    </row>
    <row r="248" spans="1:1" x14ac:dyDescent="0.3">
      <c r="A248" t="s">
        <v>36</v>
      </c>
    </row>
    <row r="249" spans="1:1" x14ac:dyDescent="0.3">
      <c r="A249" t="s">
        <v>24</v>
      </c>
    </row>
    <row r="250" spans="1:1" x14ac:dyDescent="0.3">
      <c r="A250" t="s">
        <v>56</v>
      </c>
    </row>
    <row r="251" spans="1:1" x14ac:dyDescent="0.3">
      <c r="A251" t="s">
        <v>343</v>
      </c>
    </row>
    <row r="252" spans="1:1" x14ac:dyDescent="0.3">
      <c r="A252" t="s">
        <v>66</v>
      </c>
    </row>
    <row r="253" spans="1:1" x14ac:dyDescent="0.3">
      <c r="A253" t="s">
        <v>24</v>
      </c>
    </row>
    <row r="254" spans="1:1" x14ac:dyDescent="0.3">
      <c r="A254" t="s">
        <v>143</v>
      </c>
    </row>
    <row r="255" spans="1:1" x14ac:dyDescent="0.3">
      <c r="A255" t="s">
        <v>66</v>
      </c>
    </row>
    <row r="256" spans="1:1" x14ac:dyDescent="0.3">
      <c r="A256" t="s">
        <v>36</v>
      </c>
    </row>
    <row r="257" spans="1:1" x14ac:dyDescent="0.3">
      <c r="A257" t="s">
        <v>36</v>
      </c>
    </row>
    <row r="258" spans="1:1" x14ac:dyDescent="0.3">
      <c r="A258" t="s">
        <v>36</v>
      </c>
    </row>
    <row r="259" spans="1:1" x14ac:dyDescent="0.3">
      <c r="A259" t="s">
        <v>36</v>
      </c>
    </row>
    <row r="260" spans="1:1" x14ac:dyDescent="0.3">
      <c r="A260" t="s">
        <v>66</v>
      </c>
    </row>
    <row r="261" spans="1:1" x14ac:dyDescent="0.3">
      <c r="A261" t="s">
        <v>66</v>
      </c>
    </row>
    <row r="262" spans="1:1" x14ac:dyDescent="0.3">
      <c r="A262" t="s">
        <v>244</v>
      </c>
    </row>
    <row r="263" spans="1:1" x14ac:dyDescent="0.3">
      <c r="A263" t="s">
        <v>36</v>
      </c>
    </row>
    <row r="264" spans="1:1" x14ac:dyDescent="0.3">
      <c r="A264" t="s">
        <v>36</v>
      </c>
    </row>
    <row r="265" spans="1:1" x14ac:dyDescent="0.3">
      <c r="A265" t="s">
        <v>24</v>
      </c>
    </row>
    <row r="266" spans="1:1" x14ac:dyDescent="0.3">
      <c r="A266" t="s">
        <v>36</v>
      </c>
    </row>
    <row r="267" spans="1:1" x14ac:dyDescent="0.3">
      <c r="A267" t="s">
        <v>343</v>
      </c>
    </row>
    <row r="268" spans="1:1" x14ac:dyDescent="0.3">
      <c r="A268" t="s">
        <v>24</v>
      </c>
    </row>
    <row r="269" spans="1:1" x14ac:dyDescent="0.3">
      <c r="A269" t="s">
        <v>244</v>
      </c>
    </row>
    <row r="270" spans="1:1" x14ac:dyDescent="0.3">
      <c r="A270" t="s">
        <v>343</v>
      </c>
    </row>
    <row r="271" spans="1:1" x14ac:dyDescent="0.3">
      <c r="A271" t="s">
        <v>36</v>
      </c>
    </row>
    <row r="272" spans="1:1" x14ac:dyDescent="0.3">
      <c r="A272" t="s">
        <v>36</v>
      </c>
    </row>
    <row r="273" spans="1:1" x14ac:dyDescent="0.3">
      <c r="A273" t="s">
        <v>126</v>
      </c>
    </row>
    <row r="274" spans="1:1" x14ac:dyDescent="0.3">
      <c r="A274" t="s">
        <v>36</v>
      </c>
    </row>
    <row r="275" spans="1:1" x14ac:dyDescent="0.3">
      <c r="A275" t="s">
        <v>404</v>
      </c>
    </row>
    <row r="276" spans="1:1" x14ac:dyDescent="0.3">
      <c r="A276" t="s">
        <v>203</v>
      </c>
    </row>
    <row r="277" spans="1:1" x14ac:dyDescent="0.3">
      <c r="A277" t="s">
        <v>24</v>
      </c>
    </row>
    <row r="278" spans="1:1" x14ac:dyDescent="0.3">
      <c r="A278" t="s">
        <v>447</v>
      </c>
    </row>
    <row r="279" spans="1:1" x14ac:dyDescent="0.3">
      <c r="A279" t="s">
        <v>343</v>
      </c>
    </row>
    <row r="280" spans="1:1" x14ac:dyDescent="0.3">
      <c r="A280" t="s">
        <v>24</v>
      </c>
    </row>
    <row r="281" spans="1:1" x14ac:dyDescent="0.3">
      <c r="A281" t="s">
        <v>343</v>
      </c>
    </row>
    <row r="282" spans="1:1" x14ac:dyDescent="0.3">
      <c r="A282" t="s">
        <v>244</v>
      </c>
    </row>
    <row r="283" spans="1:1" x14ac:dyDescent="0.3">
      <c r="A283" t="s">
        <v>343</v>
      </c>
    </row>
    <row r="284" spans="1:1" x14ac:dyDescent="0.3">
      <c r="A284" t="s">
        <v>244</v>
      </c>
    </row>
    <row r="285" spans="1:1" x14ac:dyDescent="0.3">
      <c r="A285" t="s">
        <v>36</v>
      </c>
    </row>
    <row r="286" spans="1:1" x14ac:dyDescent="0.3">
      <c r="A286" t="s">
        <v>343</v>
      </c>
    </row>
    <row r="287" spans="1:1" x14ac:dyDescent="0.3">
      <c r="A287" t="s">
        <v>203</v>
      </c>
    </row>
    <row r="288" spans="1:1" x14ac:dyDescent="0.3">
      <c r="A288" t="s">
        <v>343</v>
      </c>
    </row>
    <row r="289" spans="1:1" x14ac:dyDescent="0.3">
      <c r="A289" t="s">
        <v>24</v>
      </c>
    </row>
    <row r="290" spans="1:1" x14ac:dyDescent="0.3">
      <c r="A290" t="s">
        <v>66</v>
      </c>
    </row>
    <row r="291" spans="1:1" x14ac:dyDescent="0.3">
      <c r="A291" t="s">
        <v>66</v>
      </c>
    </row>
    <row r="292" spans="1:1" x14ac:dyDescent="0.3">
      <c r="A292" t="s">
        <v>36</v>
      </c>
    </row>
    <row r="293" spans="1:1" x14ac:dyDescent="0.3">
      <c r="A293" t="s">
        <v>24</v>
      </c>
    </row>
    <row r="294" spans="1:1" x14ac:dyDescent="0.3">
      <c r="A294" t="s">
        <v>56</v>
      </c>
    </row>
    <row r="295" spans="1:1" x14ac:dyDescent="0.3">
      <c r="A295" t="s">
        <v>66</v>
      </c>
    </row>
    <row r="296" spans="1:1" x14ac:dyDescent="0.3">
      <c r="A296" t="s">
        <v>56</v>
      </c>
    </row>
    <row r="297" spans="1:1" x14ac:dyDescent="0.3">
      <c r="A297" t="s">
        <v>99</v>
      </c>
    </row>
    <row r="298" spans="1:1" x14ac:dyDescent="0.3">
      <c r="A298" t="s">
        <v>24</v>
      </c>
    </row>
    <row r="299" spans="1:1" x14ac:dyDescent="0.3">
      <c r="A299" t="s">
        <v>126</v>
      </c>
    </row>
    <row r="300" spans="1:1" x14ac:dyDescent="0.3">
      <c r="A300" t="s">
        <v>447</v>
      </c>
    </row>
    <row r="301" spans="1:1" x14ac:dyDescent="0.3">
      <c r="A301" t="s">
        <v>36</v>
      </c>
    </row>
    <row r="302" spans="1:1" x14ac:dyDescent="0.3">
      <c r="A302" t="s">
        <v>36</v>
      </c>
    </row>
    <row r="303" spans="1:1" x14ac:dyDescent="0.3">
      <c r="A303" t="s">
        <v>36</v>
      </c>
    </row>
    <row r="304" spans="1:1" x14ac:dyDescent="0.3">
      <c r="A304" t="s">
        <v>195</v>
      </c>
    </row>
    <row r="305" spans="1:1" x14ac:dyDescent="0.3">
      <c r="A305" t="s">
        <v>36</v>
      </c>
    </row>
    <row r="306" spans="1:1" x14ac:dyDescent="0.3">
      <c r="A306" t="s">
        <v>244</v>
      </c>
    </row>
    <row r="307" spans="1:1" x14ac:dyDescent="0.3">
      <c r="A307" t="s">
        <v>36</v>
      </c>
    </row>
    <row r="308" spans="1:1" x14ac:dyDescent="0.3">
      <c r="A308" t="s">
        <v>36</v>
      </c>
    </row>
    <row r="309" spans="1:1" x14ac:dyDescent="0.3">
      <c r="A309" t="s">
        <v>343</v>
      </c>
    </row>
    <row r="310" spans="1:1" x14ac:dyDescent="0.3">
      <c r="A310" t="s">
        <v>36</v>
      </c>
    </row>
    <row r="311" spans="1:1" x14ac:dyDescent="0.3">
      <c r="A311" t="s">
        <v>203</v>
      </c>
    </row>
    <row r="312" spans="1:1" x14ac:dyDescent="0.3">
      <c r="A312" t="s">
        <v>36</v>
      </c>
    </row>
    <row r="313" spans="1:1" x14ac:dyDescent="0.3">
      <c r="A313" t="s">
        <v>66</v>
      </c>
    </row>
    <row r="314" spans="1:1" x14ac:dyDescent="0.3">
      <c r="A314" t="s">
        <v>66</v>
      </c>
    </row>
    <row r="315" spans="1:1" x14ac:dyDescent="0.3">
      <c r="A315" t="s">
        <v>36</v>
      </c>
    </row>
    <row r="316" spans="1:1" x14ac:dyDescent="0.3">
      <c r="A316" t="s">
        <v>36</v>
      </c>
    </row>
    <row r="317" spans="1:1" x14ac:dyDescent="0.3">
      <c r="A317" t="s">
        <v>244</v>
      </c>
    </row>
    <row r="318" spans="1:1" x14ac:dyDescent="0.3">
      <c r="A318" t="s">
        <v>36</v>
      </c>
    </row>
    <row r="319" spans="1:1" x14ac:dyDescent="0.3">
      <c r="A319" t="s">
        <v>126</v>
      </c>
    </row>
    <row r="320" spans="1:1" x14ac:dyDescent="0.3">
      <c r="A320" t="s">
        <v>36</v>
      </c>
    </row>
    <row r="321" spans="1:1" x14ac:dyDescent="0.3">
      <c r="A321" t="s">
        <v>36</v>
      </c>
    </row>
    <row r="322" spans="1:1" x14ac:dyDescent="0.3">
      <c r="A322" t="s">
        <v>36</v>
      </c>
    </row>
    <row r="323" spans="1:1" x14ac:dyDescent="0.3">
      <c r="A323" t="s">
        <v>36</v>
      </c>
    </row>
    <row r="324" spans="1:1" x14ac:dyDescent="0.3">
      <c r="A324" t="s">
        <v>36</v>
      </c>
    </row>
    <row r="325" spans="1:1" x14ac:dyDescent="0.3">
      <c r="A325" t="s">
        <v>24</v>
      </c>
    </row>
    <row r="326" spans="1:1" x14ac:dyDescent="0.3">
      <c r="A326" t="s">
        <v>36</v>
      </c>
    </row>
    <row r="327" spans="1:1" x14ac:dyDescent="0.3">
      <c r="A327" t="s">
        <v>343</v>
      </c>
    </row>
    <row r="328" spans="1:1" x14ac:dyDescent="0.3">
      <c r="A328" t="s">
        <v>343</v>
      </c>
    </row>
    <row r="329" spans="1:1" x14ac:dyDescent="0.3">
      <c r="A329" t="s">
        <v>343</v>
      </c>
    </row>
    <row r="330" spans="1:1" x14ac:dyDescent="0.3">
      <c r="A330" t="s">
        <v>343</v>
      </c>
    </row>
    <row r="331" spans="1:1" x14ac:dyDescent="0.3">
      <c r="A331" t="s">
        <v>244</v>
      </c>
    </row>
    <row r="332" spans="1:1" x14ac:dyDescent="0.3">
      <c r="A332" t="s">
        <v>36</v>
      </c>
    </row>
    <row r="333" spans="1:1" x14ac:dyDescent="0.3">
      <c r="A333" t="s">
        <v>66</v>
      </c>
    </row>
    <row r="334" spans="1:1" x14ac:dyDescent="0.3">
      <c r="A334" t="s">
        <v>56</v>
      </c>
    </row>
    <row r="335" spans="1:1" x14ac:dyDescent="0.3">
      <c r="A335" t="s">
        <v>36</v>
      </c>
    </row>
    <row r="336" spans="1:1" x14ac:dyDescent="0.3">
      <c r="A336" t="s">
        <v>36</v>
      </c>
    </row>
    <row r="337" spans="1:1" x14ac:dyDescent="0.3">
      <c r="A337" t="s">
        <v>126</v>
      </c>
    </row>
    <row r="338" spans="1:1" x14ac:dyDescent="0.3">
      <c r="A338" t="s">
        <v>195</v>
      </c>
    </row>
    <row r="339" spans="1:1" x14ac:dyDescent="0.3">
      <c r="A339" t="s">
        <v>24</v>
      </c>
    </row>
    <row r="340" spans="1:1" x14ac:dyDescent="0.3">
      <c r="A340" t="s">
        <v>36</v>
      </c>
    </row>
    <row r="341" spans="1:1" x14ac:dyDescent="0.3">
      <c r="A341" t="s">
        <v>36</v>
      </c>
    </row>
    <row r="342" spans="1:1" x14ac:dyDescent="0.3">
      <c r="A342" t="s">
        <v>24</v>
      </c>
    </row>
    <row r="343" spans="1:1" x14ac:dyDescent="0.3">
      <c r="A343" t="s">
        <v>36</v>
      </c>
    </row>
    <row r="344" spans="1:1" x14ac:dyDescent="0.3">
      <c r="A344" t="s">
        <v>36</v>
      </c>
    </row>
    <row r="345" spans="1:1" x14ac:dyDescent="0.3">
      <c r="A345" t="s">
        <v>46</v>
      </c>
    </row>
    <row r="346" spans="1:1" x14ac:dyDescent="0.3">
      <c r="A346" t="s">
        <v>66</v>
      </c>
    </row>
    <row r="347" spans="1:1" x14ac:dyDescent="0.3">
      <c r="A347" t="s">
        <v>36</v>
      </c>
    </row>
    <row r="348" spans="1:1" x14ac:dyDescent="0.3">
      <c r="A348" t="s">
        <v>66</v>
      </c>
    </row>
    <row r="349" spans="1:1" x14ac:dyDescent="0.3">
      <c r="A349" t="s">
        <v>36</v>
      </c>
    </row>
    <row r="350" spans="1:1" x14ac:dyDescent="0.3">
      <c r="A350" t="s">
        <v>203</v>
      </c>
    </row>
    <row r="351" spans="1:1" x14ac:dyDescent="0.3">
      <c r="A351" t="s">
        <v>126</v>
      </c>
    </row>
    <row r="352" spans="1:1" x14ac:dyDescent="0.3">
      <c r="A352" t="s">
        <v>36</v>
      </c>
    </row>
    <row r="353" spans="1:1" x14ac:dyDescent="0.3">
      <c r="A353" t="s">
        <v>36</v>
      </c>
    </row>
    <row r="354" spans="1:1" x14ac:dyDescent="0.3">
      <c r="A354" t="s">
        <v>36</v>
      </c>
    </row>
    <row r="355" spans="1:1" x14ac:dyDescent="0.3">
      <c r="A355" t="s">
        <v>343</v>
      </c>
    </row>
    <row r="356" spans="1:1" x14ac:dyDescent="0.3">
      <c r="A356" t="s">
        <v>36</v>
      </c>
    </row>
    <row r="357" spans="1:1" x14ac:dyDescent="0.3">
      <c r="A357" t="s">
        <v>66</v>
      </c>
    </row>
    <row r="358" spans="1:1" x14ac:dyDescent="0.3">
      <c r="A358" t="s">
        <v>36</v>
      </c>
    </row>
    <row r="359" spans="1:1" x14ac:dyDescent="0.3">
      <c r="A359" t="s">
        <v>447</v>
      </c>
    </row>
    <row r="360" spans="1:1" x14ac:dyDescent="0.3">
      <c r="A360" t="s">
        <v>36</v>
      </c>
    </row>
    <row r="361" spans="1:1" x14ac:dyDescent="0.3">
      <c r="A361" t="s">
        <v>99</v>
      </c>
    </row>
    <row r="362" spans="1:1" x14ac:dyDescent="0.3">
      <c r="A362" t="s">
        <v>126</v>
      </c>
    </row>
    <row r="363" spans="1:1" x14ac:dyDescent="0.3">
      <c r="A363" t="s">
        <v>46</v>
      </c>
    </row>
    <row r="364" spans="1:1" x14ac:dyDescent="0.3">
      <c r="A364" t="s">
        <v>36</v>
      </c>
    </row>
    <row r="365" spans="1:1" x14ac:dyDescent="0.3">
      <c r="A365" t="s">
        <v>126</v>
      </c>
    </row>
    <row r="366" spans="1:1" x14ac:dyDescent="0.3">
      <c r="A366" t="s">
        <v>66</v>
      </c>
    </row>
    <row r="367" spans="1:1" x14ac:dyDescent="0.3">
      <c r="A367" t="s">
        <v>36</v>
      </c>
    </row>
    <row r="368" spans="1:1" x14ac:dyDescent="0.3">
      <c r="A368" t="s">
        <v>343</v>
      </c>
    </row>
    <row r="369" spans="1:1" x14ac:dyDescent="0.3">
      <c r="A369" t="s">
        <v>126</v>
      </c>
    </row>
    <row r="370" spans="1:1" x14ac:dyDescent="0.3">
      <c r="A370" t="s">
        <v>66</v>
      </c>
    </row>
    <row r="371" spans="1:1" x14ac:dyDescent="0.3">
      <c r="A371" t="s">
        <v>203</v>
      </c>
    </row>
    <row r="372" spans="1:1" x14ac:dyDescent="0.3">
      <c r="A372" t="s">
        <v>447</v>
      </c>
    </row>
    <row r="373" spans="1:1" x14ac:dyDescent="0.3">
      <c r="A373" t="s">
        <v>24</v>
      </c>
    </row>
    <row r="374" spans="1:1" x14ac:dyDescent="0.3">
      <c r="A374" t="s">
        <v>126</v>
      </c>
    </row>
    <row r="375" spans="1:1" x14ac:dyDescent="0.3">
      <c r="A375" t="s">
        <v>36</v>
      </c>
    </row>
    <row r="376" spans="1:1" x14ac:dyDescent="0.3">
      <c r="A376" t="s">
        <v>46</v>
      </c>
    </row>
    <row r="377" spans="1:1" x14ac:dyDescent="0.3">
      <c r="A377" t="s">
        <v>36</v>
      </c>
    </row>
    <row r="378" spans="1:1" x14ac:dyDescent="0.3">
      <c r="A378" t="s">
        <v>36</v>
      </c>
    </row>
    <row r="379" spans="1:1" x14ac:dyDescent="0.3">
      <c r="A379" t="s">
        <v>244</v>
      </c>
    </row>
    <row r="380" spans="1:1" x14ac:dyDescent="0.3">
      <c r="A380" t="s">
        <v>36</v>
      </c>
    </row>
    <row r="381" spans="1:1" x14ac:dyDescent="0.3">
      <c r="A381" t="s">
        <v>343</v>
      </c>
    </row>
    <row r="382" spans="1:1" x14ac:dyDescent="0.3">
      <c r="A382" t="s">
        <v>126</v>
      </c>
    </row>
    <row r="383" spans="1:1" x14ac:dyDescent="0.3">
      <c r="A383" t="s">
        <v>36</v>
      </c>
    </row>
    <row r="384" spans="1:1" x14ac:dyDescent="0.3">
      <c r="A384" t="s">
        <v>36</v>
      </c>
    </row>
    <row r="385" spans="1:1" x14ac:dyDescent="0.3">
      <c r="A385" t="s">
        <v>343</v>
      </c>
    </row>
    <row r="386" spans="1:1" x14ac:dyDescent="0.3">
      <c r="A386" t="s">
        <v>36</v>
      </c>
    </row>
    <row r="387" spans="1:1" x14ac:dyDescent="0.3">
      <c r="A387" t="s">
        <v>447</v>
      </c>
    </row>
    <row r="388" spans="1:1" x14ac:dyDescent="0.3">
      <c r="A388" t="s">
        <v>36</v>
      </c>
    </row>
    <row r="389" spans="1:1" x14ac:dyDescent="0.3">
      <c r="A389" t="s">
        <v>36</v>
      </c>
    </row>
    <row r="390" spans="1:1" x14ac:dyDescent="0.3">
      <c r="A390" t="s">
        <v>56</v>
      </c>
    </row>
    <row r="391" spans="1:1" x14ac:dyDescent="0.3">
      <c r="A391" t="s">
        <v>36</v>
      </c>
    </row>
    <row r="392" spans="1:1" x14ac:dyDescent="0.3">
      <c r="A392" t="s">
        <v>126</v>
      </c>
    </row>
    <row r="393" spans="1:1" x14ac:dyDescent="0.3">
      <c r="A393" t="s">
        <v>36</v>
      </c>
    </row>
    <row r="394" spans="1:1" x14ac:dyDescent="0.3">
      <c r="A394" t="s">
        <v>343</v>
      </c>
    </row>
    <row r="395" spans="1:1" x14ac:dyDescent="0.3">
      <c r="A395" t="s">
        <v>36</v>
      </c>
    </row>
    <row r="396" spans="1:1" x14ac:dyDescent="0.3">
      <c r="A396" t="s">
        <v>343</v>
      </c>
    </row>
    <row r="397" spans="1:1" x14ac:dyDescent="0.3">
      <c r="A397" t="s">
        <v>66</v>
      </c>
    </row>
    <row r="398" spans="1:1" x14ac:dyDescent="0.3">
      <c r="A398" t="s">
        <v>36</v>
      </c>
    </row>
    <row r="399" spans="1:1" x14ac:dyDescent="0.3">
      <c r="A399" t="s">
        <v>203</v>
      </c>
    </row>
    <row r="400" spans="1:1" x14ac:dyDescent="0.3">
      <c r="A400" t="s">
        <v>36</v>
      </c>
    </row>
    <row r="401" spans="1:1" x14ac:dyDescent="0.3">
      <c r="A401" t="s">
        <v>36</v>
      </c>
    </row>
    <row r="402" spans="1:1" x14ac:dyDescent="0.3">
      <c r="A402" t="s">
        <v>126</v>
      </c>
    </row>
    <row r="403" spans="1:1" x14ac:dyDescent="0.3">
      <c r="A403" t="s">
        <v>126</v>
      </c>
    </row>
    <row r="404" spans="1:1" x14ac:dyDescent="0.3">
      <c r="A404" t="s">
        <v>36</v>
      </c>
    </row>
    <row r="405" spans="1:1" x14ac:dyDescent="0.3">
      <c r="A405" t="s">
        <v>447</v>
      </c>
    </row>
    <row r="406" spans="1:1" x14ac:dyDescent="0.3">
      <c r="A406" t="s">
        <v>126</v>
      </c>
    </row>
    <row r="407" spans="1:1" x14ac:dyDescent="0.3">
      <c r="A407" t="s">
        <v>244</v>
      </c>
    </row>
    <row r="408" spans="1:1" x14ac:dyDescent="0.3">
      <c r="A408" t="s">
        <v>36</v>
      </c>
    </row>
    <row r="409" spans="1:1" x14ac:dyDescent="0.3">
      <c r="A409" t="s">
        <v>66</v>
      </c>
    </row>
    <row r="410" spans="1:1" x14ac:dyDescent="0.3">
      <c r="A410" t="s">
        <v>99</v>
      </c>
    </row>
    <row r="411" spans="1:1" x14ac:dyDescent="0.3">
      <c r="A411" t="s">
        <v>244</v>
      </c>
    </row>
    <row r="412" spans="1:1" x14ac:dyDescent="0.3">
      <c r="A412" t="s">
        <v>126</v>
      </c>
    </row>
    <row r="413" spans="1:1" x14ac:dyDescent="0.3">
      <c r="A413" t="s">
        <v>694</v>
      </c>
    </row>
    <row r="414" spans="1:1" x14ac:dyDescent="0.3">
      <c r="A414" t="s">
        <v>36</v>
      </c>
    </row>
    <row r="415" spans="1:1" x14ac:dyDescent="0.3">
      <c r="A415" t="s">
        <v>24</v>
      </c>
    </row>
    <row r="416" spans="1:1" x14ac:dyDescent="0.3">
      <c r="A416" t="s">
        <v>36</v>
      </c>
    </row>
    <row r="417" spans="1:1" x14ac:dyDescent="0.3">
      <c r="A417" t="s">
        <v>36</v>
      </c>
    </row>
    <row r="418" spans="1:1" x14ac:dyDescent="0.3">
      <c r="A418" t="s">
        <v>203</v>
      </c>
    </row>
    <row r="419" spans="1:1" x14ac:dyDescent="0.3">
      <c r="A419" t="s">
        <v>126</v>
      </c>
    </row>
    <row r="420" spans="1:1" x14ac:dyDescent="0.3">
      <c r="A420" t="s">
        <v>36</v>
      </c>
    </row>
    <row r="421" spans="1:1" x14ac:dyDescent="0.3">
      <c r="A421" t="s">
        <v>126</v>
      </c>
    </row>
    <row r="422" spans="1:1" x14ac:dyDescent="0.3">
      <c r="A422" t="s">
        <v>66</v>
      </c>
    </row>
    <row r="423" spans="1:1" x14ac:dyDescent="0.3">
      <c r="A423" t="s">
        <v>36</v>
      </c>
    </row>
    <row r="424" spans="1:1" x14ac:dyDescent="0.3">
      <c r="A424" t="s">
        <v>203</v>
      </c>
    </row>
    <row r="425" spans="1:1" x14ac:dyDescent="0.3">
      <c r="A425" t="s">
        <v>36</v>
      </c>
    </row>
    <row r="426" spans="1:1" x14ac:dyDescent="0.3">
      <c r="A426" t="s">
        <v>126</v>
      </c>
    </row>
    <row r="427" spans="1:1" x14ac:dyDescent="0.3">
      <c r="A427" t="s">
        <v>36</v>
      </c>
    </row>
    <row r="428" spans="1:1" x14ac:dyDescent="0.3">
      <c r="A428" t="s">
        <v>126</v>
      </c>
    </row>
    <row r="429" spans="1:1" x14ac:dyDescent="0.3">
      <c r="A429" t="s">
        <v>36</v>
      </c>
    </row>
    <row r="430" spans="1:1" x14ac:dyDescent="0.3">
      <c r="A430" t="s">
        <v>36</v>
      </c>
    </row>
    <row r="431" spans="1:1" x14ac:dyDescent="0.3">
      <c r="A431" t="s">
        <v>447</v>
      </c>
    </row>
    <row r="432" spans="1:1" x14ac:dyDescent="0.3">
      <c r="A432" t="s">
        <v>343</v>
      </c>
    </row>
    <row r="433" spans="1:1" x14ac:dyDescent="0.3">
      <c r="A433" t="s">
        <v>694</v>
      </c>
    </row>
    <row r="434" spans="1:1" x14ac:dyDescent="0.3">
      <c r="A434" t="s">
        <v>404</v>
      </c>
    </row>
    <row r="435" spans="1:1" x14ac:dyDescent="0.3">
      <c r="A435" t="s">
        <v>36</v>
      </c>
    </row>
    <row r="436" spans="1:1" x14ac:dyDescent="0.3">
      <c r="A436" t="s">
        <v>36</v>
      </c>
    </row>
    <row r="437" spans="1:1" x14ac:dyDescent="0.3">
      <c r="A437" t="s">
        <v>36</v>
      </c>
    </row>
    <row r="438" spans="1:1" x14ac:dyDescent="0.3">
      <c r="A438" t="s">
        <v>126</v>
      </c>
    </row>
    <row r="439" spans="1:1" x14ac:dyDescent="0.3">
      <c r="A439" t="s">
        <v>99</v>
      </c>
    </row>
    <row r="440" spans="1:1" x14ac:dyDescent="0.3">
      <c r="A440" t="s">
        <v>66</v>
      </c>
    </row>
    <row r="441" spans="1:1" x14ac:dyDescent="0.3">
      <c r="A441" t="s">
        <v>36</v>
      </c>
    </row>
    <row r="442" spans="1:1" x14ac:dyDescent="0.3">
      <c r="A442" t="s">
        <v>126</v>
      </c>
    </row>
    <row r="443" spans="1:1" x14ac:dyDescent="0.3">
      <c r="A443" t="s">
        <v>36</v>
      </c>
    </row>
    <row r="444" spans="1:1" x14ac:dyDescent="0.3">
      <c r="A444" t="s">
        <v>24</v>
      </c>
    </row>
    <row r="445" spans="1:1" x14ac:dyDescent="0.3">
      <c r="A445" t="s">
        <v>126</v>
      </c>
    </row>
    <row r="446" spans="1:1" x14ac:dyDescent="0.3">
      <c r="A446" t="s">
        <v>219</v>
      </c>
    </row>
    <row r="447" spans="1:1" x14ac:dyDescent="0.3">
      <c r="A447" t="s">
        <v>126</v>
      </c>
    </row>
    <row r="448" spans="1:1" x14ac:dyDescent="0.3">
      <c r="A448" t="s">
        <v>126</v>
      </c>
    </row>
    <row r="449" spans="1:1" x14ac:dyDescent="0.3">
      <c r="A449" t="s">
        <v>24</v>
      </c>
    </row>
    <row r="450" spans="1:1" x14ac:dyDescent="0.3">
      <c r="A450" t="s">
        <v>46</v>
      </c>
    </row>
    <row r="451" spans="1:1" x14ac:dyDescent="0.3">
      <c r="A451" t="s">
        <v>447</v>
      </c>
    </row>
    <row r="452" spans="1:1" x14ac:dyDescent="0.3">
      <c r="A452" t="s">
        <v>24</v>
      </c>
    </row>
    <row r="453" spans="1:1" x14ac:dyDescent="0.3">
      <c r="A453" t="s">
        <v>66</v>
      </c>
    </row>
    <row r="454" spans="1:1" x14ac:dyDescent="0.3">
      <c r="A454" t="s">
        <v>126</v>
      </c>
    </row>
    <row r="455" spans="1:1" x14ac:dyDescent="0.3">
      <c r="A455" t="s">
        <v>56</v>
      </c>
    </row>
    <row r="456" spans="1:1" x14ac:dyDescent="0.3">
      <c r="A456" t="s">
        <v>343</v>
      </c>
    </row>
    <row r="457" spans="1:1" x14ac:dyDescent="0.3">
      <c r="A457" t="s">
        <v>24</v>
      </c>
    </row>
    <row r="458" spans="1:1" x14ac:dyDescent="0.3">
      <c r="A458" t="s">
        <v>244</v>
      </c>
    </row>
    <row r="459" spans="1:1" x14ac:dyDescent="0.3">
      <c r="A459" t="s">
        <v>36</v>
      </c>
    </row>
    <row r="460" spans="1:1" x14ac:dyDescent="0.3">
      <c r="A460" t="s">
        <v>126</v>
      </c>
    </row>
    <row r="461" spans="1:1" x14ac:dyDescent="0.3">
      <c r="A461" t="s">
        <v>36</v>
      </c>
    </row>
    <row r="462" spans="1:1" x14ac:dyDescent="0.3">
      <c r="A462" t="s">
        <v>343</v>
      </c>
    </row>
    <row r="463" spans="1:1" x14ac:dyDescent="0.3">
      <c r="A463" t="s">
        <v>343</v>
      </c>
    </row>
    <row r="464" spans="1:1" x14ac:dyDescent="0.3">
      <c r="A464" t="s">
        <v>66</v>
      </c>
    </row>
    <row r="465" spans="1:1" x14ac:dyDescent="0.3">
      <c r="A465" t="s">
        <v>36</v>
      </c>
    </row>
    <row r="466" spans="1:1" x14ac:dyDescent="0.3">
      <c r="A466" t="s">
        <v>126</v>
      </c>
    </row>
    <row r="467" spans="1:1" x14ac:dyDescent="0.3">
      <c r="A467" t="s">
        <v>343</v>
      </c>
    </row>
    <row r="468" spans="1:1" x14ac:dyDescent="0.3">
      <c r="A468" t="s">
        <v>24</v>
      </c>
    </row>
    <row r="469" spans="1:1" x14ac:dyDescent="0.3">
      <c r="A469" t="s">
        <v>343</v>
      </c>
    </row>
    <row r="470" spans="1:1" x14ac:dyDescent="0.3">
      <c r="A470" t="s">
        <v>66</v>
      </c>
    </row>
    <row r="471" spans="1:1" x14ac:dyDescent="0.3">
      <c r="A471" t="s">
        <v>56</v>
      </c>
    </row>
    <row r="472" spans="1:1" x14ac:dyDescent="0.3">
      <c r="A472" t="s">
        <v>143</v>
      </c>
    </row>
    <row r="473" spans="1:1" x14ac:dyDescent="0.3">
      <c r="A473" t="s">
        <v>66</v>
      </c>
    </row>
    <row r="474" spans="1:1" x14ac:dyDescent="0.3">
      <c r="A474" t="s">
        <v>24</v>
      </c>
    </row>
    <row r="475" spans="1:1" x14ac:dyDescent="0.3">
      <c r="A475" t="s">
        <v>66</v>
      </c>
    </row>
    <row r="476" spans="1:1" x14ac:dyDescent="0.3">
      <c r="A476" t="s">
        <v>36</v>
      </c>
    </row>
    <row r="477" spans="1:1" x14ac:dyDescent="0.3">
      <c r="A477" t="s">
        <v>24</v>
      </c>
    </row>
    <row r="478" spans="1:1" x14ac:dyDescent="0.3">
      <c r="A478" t="s">
        <v>66</v>
      </c>
    </row>
    <row r="479" spans="1:1" x14ac:dyDescent="0.3">
      <c r="A479" t="s">
        <v>447</v>
      </c>
    </row>
    <row r="480" spans="1:1" x14ac:dyDescent="0.3">
      <c r="A480" t="s">
        <v>36</v>
      </c>
    </row>
    <row r="481" spans="1:1" x14ac:dyDescent="0.3">
      <c r="A481" t="s">
        <v>36</v>
      </c>
    </row>
    <row r="482" spans="1:1" x14ac:dyDescent="0.3">
      <c r="A482" t="s">
        <v>404</v>
      </c>
    </row>
    <row r="483" spans="1:1" x14ac:dyDescent="0.3">
      <c r="A483" t="s">
        <v>36</v>
      </c>
    </row>
    <row r="484" spans="1:1" x14ac:dyDescent="0.3">
      <c r="A484" t="s">
        <v>24</v>
      </c>
    </row>
    <row r="485" spans="1:1" x14ac:dyDescent="0.3">
      <c r="A485" t="s">
        <v>404</v>
      </c>
    </row>
    <row r="486" spans="1:1" x14ac:dyDescent="0.3">
      <c r="A486" t="s">
        <v>203</v>
      </c>
    </row>
    <row r="487" spans="1:1" x14ac:dyDescent="0.3">
      <c r="A487" t="s">
        <v>56</v>
      </c>
    </row>
    <row r="488" spans="1:1" x14ac:dyDescent="0.3">
      <c r="A488" t="s">
        <v>126</v>
      </c>
    </row>
    <row r="489" spans="1:1" x14ac:dyDescent="0.3">
      <c r="A489" t="s">
        <v>66</v>
      </c>
    </row>
    <row r="490" spans="1:1" x14ac:dyDescent="0.3">
      <c r="A490" t="s">
        <v>66</v>
      </c>
    </row>
    <row r="491" spans="1:1" x14ac:dyDescent="0.3">
      <c r="A491" t="s">
        <v>36</v>
      </c>
    </row>
    <row r="492" spans="1:1" x14ac:dyDescent="0.3">
      <c r="A492" t="s">
        <v>343</v>
      </c>
    </row>
    <row r="493" spans="1:1" x14ac:dyDescent="0.3">
      <c r="A493" t="s">
        <v>244</v>
      </c>
    </row>
    <row r="494" spans="1:1" x14ac:dyDescent="0.3">
      <c r="A494" t="s">
        <v>343</v>
      </c>
    </row>
    <row r="495" spans="1:1" x14ac:dyDescent="0.3">
      <c r="A495" t="s">
        <v>404</v>
      </c>
    </row>
    <row r="496" spans="1:1" x14ac:dyDescent="0.3">
      <c r="A496" t="s">
        <v>447</v>
      </c>
    </row>
    <row r="497" spans="1:1" x14ac:dyDescent="0.3">
      <c r="A497" t="s">
        <v>36</v>
      </c>
    </row>
    <row r="498" spans="1:1" x14ac:dyDescent="0.3">
      <c r="A498" t="s">
        <v>404</v>
      </c>
    </row>
    <row r="499" spans="1:1" x14ac:dyDescent="0.3">
      <c r="A499" t="s">
        <v>24</v>
      </c>
    </row>
    <row r="500" spans="1:1" x14ac:dyDescent="0.3">
      <c r="A500" t="s">
        <v>36</v>
      </c>
    </row>
    <row r="501" spans="1:1" x14ac:dyDescent="0.3">
      <c r="A501" t="s">
        <v>36</v>
      </c>
    </row>
    <row r="502" spans="1:1" x14ac:dyDescent="0.3">
      <c r="A502" t="s">
        <v>66</v>
      </c>
    </row>
    <row r="503" spans="1:1" x14ac:dyDescent="0.3">
      <c r="A503" t="s">
        <v>36</v>
      </c>
    </row>
    <row r="504" spans="1:1" x14ac:dyDescent="0.3">
      <c r="A504" t="s">
        <v>343</v>
      </c>
    </row>
    <row r="505" spans="1:1" x14ac:dyDescent="0.3">
      <c r="A505" t="s">
        <v>36</v>
      </c>
    </row>
    <row r="506" spans="1:1" x14ac:dyDescent="0.3">
      <c r="A506" t="s">
        <v>24</v>
      </c>
    </row>
    <row r="507" spans="1:1" x14ac:dyDescent="0.3">
      <c r="A507" t="s">
        <v>244</v>
      </c>
    </row>
    <row r="508" spans="1:1" x14ac:dyDescent="0.3">
      <c r="A508" t="s">
        <v>343</v>
      </c>
    </row>
    <row r="509" spans="1:1" x14ac:dyDescent="0.3">
      <c r="A509" t="s">
        <v>66</v>
      </c>
    </row>
    <row r="510" spans="1:1" x14ac:dyDescent="0.3">
      <c r="A510" t="s">
        <v>36</v>
      </c>
    </row>
    <row r="511" spans="1:1" x14ac:dyDescent="0.3">
      <c r="A511" t="s">
        <v>36</v>
      </c>
    </row>
    <row r="512" spans="1:1" x14ac:dyDescent="0.3">
      <c r="A512" t="s">
        <v>66</v>
      </c>
    </row>
    <row r="513" spans="1:1" x14ac:dyDescent="0.3">
      <c r="A513" t="s">
        <v>447</v>
      </c>
    </row>
    <row r="514" spans="1:1" x14ac:dyDescent="0.3">
      <c r="A514" t="s">
        <v>126</v>
      </c>
    </row>
    <row r="515" spans="1:1" x14ac:dyDescent="0.3">
      <c r="A515" t="s">
        <v>343</v>
      </c>
    </row>
    <row r="516" spans="1:1" x14ac:dyDescent="0.3">
      <c r="A516" t="s">
        <v>36</v>
      </c>
    </row>
    <row r="517" spans="1:1" x14ac:dyDescent="0.3">
      <c r="A517" t="s">
        <v>56</v>
      </c>
    </row>
    <row r="518" spans="1:1" x14ac:dyDescent="0.3">
      <c r="A518" t="s">
        <v>126</v>
      </c>
    </row>
    <row r="519" spans="1:1" x14ac:dyDescent="0.3">
      <c r="A519" t="s">
        <v>36</v>
      </c>
    </row>
    <row r="520" spans="1:1" x14ac:dyDescent="0.3">
      <c r="A520" t="s">
        <v>36</v>
      </c>
    </row>
    <row r="521" spans="1:1" x14ac:dyDescent="0.3">
      <c r="A521" t="s">
        <v>66</v>
      </c>
    </row>
    <row r="522" spans="1:1" x14ac:dyDescent="0.3">
      <c r="A522" t="s">
        <v>66</v>
      </c>
    </row>
    <row r="523" spans="1:1" x14ac:dyDescent="0.3">
      <c r="A523" t="s">
        <v>24</v>
      </c>
    </row>
    <row r="524" spans="1:1" x14ac:dyDescent="0.3">
      <c r="A524" t="s">
        <v>36</v>
      </c>
    </row>
    <row r="525" spans="1:1" x14ac:dyDescent="0.3">
      <c r="A525" t="s">
        <v>66</v>
      </c>
    </row>
    <row r="526" spans="1:1" x14ac:dyDescent="0.3">
      <c r="A526" t="s">
        <v>66</v>
      </c>
    </row>
    <row r="527" spans="1:1" x14ac:dyDescent="0.3">
      <c r="A527" t="s">
        <v>56</v>
      </c>
    </row>
    <row r="528" spans="1:1" x14ac:dyDescent="0.3">
      <c r="A528" t="s">
        <v>24</v>
      </c>
    </row>
    <row r="529" spans="1:1" x14ac:dyDescent="0.3">
      <c r="A529" t="s">
        <v>46</v>
      </c>
    </row>
    <row r="530" spans="1:1" x14ac:dyDescent="0.3">
      <c r="A530" t="s">
        <v>36</v>
      </c>
    </row>
    <row r="531" spans="1:1" x14ac:dyDescent="0.3">
      <c r="A531" t="s">
        <v>126</v>
      </c>
    </row>
    <row r="532" spans="1:1" x14ac:dyDescent="0.3">
      <c r="A532" t="s">
        <v>36</v>
      </c>
    </row>
    <row r="533" spans="1:1" x14ac:dyDescent="0.3">
      <c r="A533" t="s">
        <v>343</v>
      </c>
    </row>
    <row r="534" spans="1:1" x14ac:dyDescent="0.3">
      <c r="A534" t="s">
        <v>219</v>
      </c>
    </row>
    <row r="535" spans="1:1" x14ac:dyDescent="0.3">
      <c r="A535" t="s">
        <v>56</v>
      </c>
    </row>
    <row r="536" spans="1:1" x14ac:dyDescent="0.3">
      <c r="A536" t="s">
        <v>36</v>
      </c>
    </row>
    <row r="537" spans="1:1" x14ac:dyDescent="0.3">
      <c r="A537" t="s">
        <v>36</v>
      </c>
    </row>
    <row r="538" spans="1:1" x14ac:dyDescent="0.3">
      <c r="A538" t="s">
        <v>404</v>
      </c>
    </row>
    <row r="539" spans="1:1" x14ac:dyDescent="0.3">
      <c r="A539" t="s">
        <v>143</v>
      </c>
    </row>
    <row r="540" spans="1:1" x14ac:dyDescent="0.3">
      <c r="A540" t="s">
        <v>36</v>
      </c>
    </row>
    <row r="541" spans="1:1" x14ac:dyDescent="0.3">
      <c r="A541" t="s">
        <v>447</v>
      </c>
    </row>
    <row r="542" spans="1:1" x14ac:dyDescent="0.3">
      <c r="A542" t="s">
        <v>36</v>
      </c>
    </row>
    <row r="543" spans="1:1" x14ac:dyDescent="0.3">
      <c r="A543" t="s">
        <v>343</v>
      </c>
    </row>
    <row r="544" spans="1:1" x14ac:dyDescent="0.3">
      <c r="A544" t="s">
        <v>36</v>
      </c>
    </row>
    <row r="545" spans="1:1" x14ac:dyDescent="0.3">
      <c r="A545" t="s">
        <v>66</v>
      </c>
    </row>
    <row r="546" spans="1:1" x14ac:dyDescent="0.3">
      <c r="A546" t="s">
        <v>343</v>
      </c>
    </row>
    <row r="547" spans="1:1" x14ac:dyDescent="0.3">
      <c r="A547" t="s">
        <v>143</v>
      </c>
    </row>
    <row r="548" spans="1:1" x14ac:dyDescent="0.3">
      <c r="A548" t="s">
        <v>126</v>
      </c>
    </row>
    <row r="549" spans="1:1" x14ac:dyDescent="0.3">
      <c r="A549" t="s">
        <v>126</v>
      </c>
    </row>
    <row r="550" spans="1:1" x14ac:dyDescent="0.3">
      <c r="A550" t="s">
        <v>36</v>
      </c>
    </row>
    <row r="551" spans="1:1" x14ac:dyDescent="0.3">
      <c r="A551" t="s">
        <v>343</v>
      </c>
    </row>
    <row r="552" spans="1:1" x14ac:dyDescent="0.3">
      <c r="A552" t="s">
        <v>66</v>
      </c>
    </row>
    <row r="553" spans="1:1" x14ac:dyDescent="0.3">
      <c r="A553" t="s">
        <v>195</v>
      </c>
    </row>
    <row r="554" spans="1:1" x14ac:dyDescent="0.3">
      <c r="A554" t="s">
        <v>244</v>
      </c>
    </row>
    <row r="555" spans="1:1" x14ac:dyDescent="0.3">
      <c r="A555" t="s">
        <v>36</v>
      </c>
    </row>
    <row r="556" spans="1:1" x14ac:dyDescent="0.3">
      <c r="A556" t="s">
        <v>36</v>
      </c>
    </row>
    <row r="557" spans="1:1" x14ac:dyDescent="0.3">
      <c r="A557" t="s">
        <v>36</v>
      </c>
    </row>
    <row r="558" spans="1:1" x14ac:dyDescent="0.3">
      <c r="A558" t="s">
        <v>24</v>
      </c>
    </row>
    <row r="559" spans="1:1" x14ac:dyDescent="0.3">
      <c r="A559" t="s">
        <v>66</v>
      </c>
    </row>
    <row r="560" spans="1:1" x14ac:dyDescent="0.3">
      <c r="A560" t="s">
        <v>36</v>
      </c>
    </row>
    <row r="561" spans="1:1" x14ac:dyDescent="0.3">
      <c r="A561" t="s">
        <v>36</v>
      </c>
    </row>
    <row r="562" spans="1:1" x14ac:dyDescent="0.3">
      <c r="A562" t="s">
        <v>36</v>
      </c>
    </row>
    <row r="563" spans="1:1" x14ac:dyDescent="0.3">
      <c r="A563" t="s">
        <v>447</v>
      </c>
    </row>
    <row r="564" spans="1:1" x14ac:dyDescent="0.3">
      <c r="A564" t="s">
        <v>66</v>
      </c>
    </row>
    <row r="565" spans="1:1" x14ac:dyDescent="0.3">
      <c r="A565" t="s">
        <v>694</v>
      </c>
    </row>
    <row r="566" spans="1:1" x14ac:dyDescent="0.3">
      <c r="A566" t="s">
        <v>126</v>
      </c>
    </row>
    <row r="567" spans="1:1" x14ac:dyDescent="0.3">
      <c r="A567" t="s">
        <v>36</v>
      </c>
    </row>
    <row r="568" spans="1:1" x14ac:dyDescent="0.3">
      <c r="A568" t="s">
        <v>99</v>
      </c>
    </row>
    <row r="569" spans="1:1" x14ac:dyDescent="0.3">
      <c r="A569" t="s">
        <v>66</v>
      </c>
    </row>
    <row r="570" spans="1:1" x14ac:dyDescent="0.3">
      <c r="A570" t="s">
        <v>244</v>
      </c>
    </row>
    <row r="571" spans="1:1" x14ac:dyDescent="0.3">
      <c r="A571" t="s">
        <v>36</v>
      </c>
    </row>
    <row r="572" spans="1:1" x14ac:dyDescent="0.3">
      <c r="A572" t="s">
        <v>36</v>
      </c>
    </row>
    <row r="573" spans="1:1" x14ac:dyDescent="0.3">
      <c r="A573" t="s">
        <v>447</v>
      </c>
    </row>
    <row r="574" spans="1:1" x14ac:dyDescent="0.3">
      <c r="A574" t="s">
        <v>46</v>
      </c>
    </row>
    <row r="575" spans="1:1" x14ac:dyDescent="0.3">
      <c r="A575" t="s">
        <v>24</v>
      </c>
    </row>
    <row r="576" spans="1:1" x14ac:dyDescent="0.3">
      <c r="A576" t="s">
        <v>24</v>
      </c>
    </row>
    <row r="577" spans="1:1" x14ac:dyDescent="0.3">
      <c r="A577" t="s">
        <v>447</v>
      </c>
    </row>
    <row r="578" spans="1:1" x14ac:dyDescent="0.3">
      <c r="A578" t="s">
        <v>24</v>
      </c>
    </row>
    <row r="579" spans="1:1" x14ac:dyDescent="0.3">
      <c r="A579" t="s">
        <v>36</v>
      </c>
    </row>
    <row r="580" spans="1:1" x14ac:dyDescent="0.3">
      <c r="A580" t="s">
        <v>36</v>
      </c>
    </row>
    <row r="581" spans="1:1" x14ac:dyDescent="0.3">
      <c r="A581" t="s">
        <v>46</v>
      </c>
    </row>
    <row r="582" spans="1:1" x14ac:dyDescent="0.3">
      <c r="A582" t="s">
        <v>36</v>
      </c>
    </row>
    <row r="583" spans="1:1" x14ac:dyDescent="0.3">
      <c r="A583" t="s">
        <v>46</v>
      </c>
    </row>
    <row r="584" spans="1:1" x14ac:dyDescent="0.3">
      <c r="A584" t="s">
        <v>203</v>
      </c>
    </row>
    <row r="585" spans="1:1" x14ac:dyDescent="0.3">
      <c r="A585" t="s">
        <v>126</v>
      </c>
    </row>
    <row r="586" spans="1:1" x14ac:dyDescent="0.3">
      <c r="A586" t="s">
        <v>66</v>
      </c>
    </row>
    <row r="587" spans="1:1" x14ac:dyDescent="0.3">
      <c r="A587" t="s">
        <v>36</v>
      </c>
    </row>
    <row r="588" spans="1:1" x14ac:dyDescent="0.3">
      <c r="A588" t="s">
        <v>36</v>
      </c>
    </row>
    <row r="589" spans="1:1" x14ac:dyDescent="0.3">
      <c r="A589" t="s">
        <v>244</v>
      </c>
    </row>
    <row r="590" spans="1:1" x14ac:dyDescent="0.3">
      <c r="A590" t="s">
        <v>36</v>
      </c>
    </row>
    <row r="591" spans="1:1" x14ac:dyDescent="0.3">
      <c r="A591" t="s">
        <v>143</v>
      </c>
    </row>
    <row r="592" spans="1:1" x14ac:dyDescent="0.3">
      <c r="A592" t="s">
        <v>36</v>
      </c>
    </row>
    <row r="593" spans="1:1" x14ac:dyDescent="0.3">
      <c r="A593" t="s">
        <v>36</v>
      </c>
    </row>
    <row r="594" spans="1:1" x14ac:dyDescent="0.3">
      <c r="A594" t="s">
        <v>66</v>
      </c>
    </row>
    <row r="595" spans="1:1" x14ac:dyDescent="0.3">
      <c r="A595" t="s">
        <v>66</v>
      </c>
    </row>
    <row r="596" spans="1:1" x14ac:dyDescent="0.3">
      <c r="A596" t="s">
        <v>36</v>
      </c>
    </row>
    <row r="597" spans="1:1" x14ac:dyDescent="0.3">
      <c r="A597" t="s">
        <v>36</v>
      </c>
    </row>
    <row r="598" spans="1:1" x14ac:dyDescent="0.3">
      <c r="A598" t="s">
        <v>694</v>
      </c>
    </row>
    <row r="599" spans="1:1" x14ac:dyDescent="0.3">
      <c r="A599" t="s">
        <v>24</v>
      </c>
    </row>
    <row r="600" spans="1:1" x14ac:dyDescent="0.3">
      <c r="A600" t="s">
        <v>24</v>
      </c>
    </row>
    <row r="601" spans="1:1" x14ac:dyDescent="0.3">
      <c r="A601" t="s">
        <v>36</v>
      </c>
    </row>
    <row r="602" spans="1:1" x14ac:dyDescent="0.3">
      <c r="A602" t="s">
        <v>343</v>
      </c>
    </row>
    <row r="603" spans="1:1" x14ac:dyDescent="0.3">
      <c r="A603" t="s">
        <v>24</v>
      </c>
    </row>
    <row r="604" spans="1:1" x14ac:dyDescent="0.3">
      <c r="A604" t="s">
        <v>56</v>
      </c>
    </row>
    <row r="605" spans="1:1" x14ac:dyDescent="0.3">
      <c r="A605" t="s">
        <v>143</v>
      </c>
    </row>
    <row r="606" spans="1:1" x14ac:dyDescent="0.3">
      <c r="A606" t="s">
        <v>66</v>
      </c>
    </row>
    <row r="607" spans="1:1" x14ac:dyDescent="0.3">
      <c r="A607" t="s">
        <v>36</v>
      </c>
    </row>
    <row r="608" spans="1:1" x14ac:dyDescent="0.3">
      <c r="A608" t="s">
        <v>36</v>
      </c>
    </row>
    <row r="609" spans="1:1" x14ac:dyDescent="0.3">
      <c r="A609" t="s">
        <v>126</v>
      </c>
    </row>
    <row r="610" spans="1:1" x14ac:dyDescent="0.3">
      <c r="A610" t="s">
        <v>343</v>
      </c>
    </row>
    <row r="611" spans="1:1" x14ac:dyDescent="0.3">
      <c r="A611" t="s">
        <v>447</v>
      </c>
    </row>
    <row r="612" spans="1:1" x14ac:dyDescent="0.3">
      <c r="A612" t="s">
        <v>56</v>
      </c>
    </row>
    <row r="613" spans="1:1" x14ac:dyDescent="0.3">
      <c r="A613" t="s">
        <v>404</v>
      </c>
    </row>
    <row r="614" spans="1:1" x14ac:dyDescent="0.3">
      <c r="A614" t="s">
        <v>126</v>
      </c>
    </row>
    <row r="615" spans="1:1" x14ac:dyDescent="0.3">
      <c r="A615" t="s">
        <v>24</v>
      </c>
    </row>
    <row r="616" spans="1:1" x14ac:dyDescent="0.3">
      <c r="A616" t="s">
        <v>36</v>
      </c>
    </row>
    <row r="617" spans="1:1" x14ac:dyDescent="0.3">
      <c r="A617" t="s">
        <v>99</v>
      </c>
    </row>
    <row r="618" spans="1:1" x14ac:dyDescent="0.3">
      <c r="A618" t="s">
        <v>36</v>
      </c>
    </row>
    <row r="619" spans="1:1" x14ac:dyDescent="0.3">
      <c r="A619" t="s">
        <v>203</v>
      </c>
    </row>
    <row r="620" spans="1:1" x14ac:dyDescent="0.3">
      <c r="A620" t="s">
        <v>66</v>
      </c>
    </row>
    <row r="621" spans="1:1" x14ac:dyDescent="0.3">
      <c r="A621" t="s">
        <v>36</v>
      </c>
    </row>
    <row r="622" spans="1:1" x14ac:dyDescent="0.3">
      <c r="A622" t="s">
        <v>36</v>
      </c>
    </row>
    <row r="623" spans="1:1" x14ac:dyDescent="0.3">
      <c r="A623" t="s">
        <v>46</v>
      </c>
    </row>
    <row r="624" spans="1:1" x14ac:dyDescent="0.3">
      <c r="A624" t="s">
        <v>66</v>
      </c>
    </row>
    <row r="625" spans="1:1" x14ac:dyDescent="0.3">
      <c r="A625" t="s">
        <v>24</v>
      </c>
    </row>
    <row r="626" spans="1:1" x14ac:dyDescent="0.3">
      <c r="A626" t="s">
        <v>36</v>
      </c>
    </row>
    <row r="627" spans="1:1" x14ac:dyDescent="0.3">
      <c r="A627" t="s">
        <v>219</v>
      </c>
    </row>
    <row r="628" spans="1:1" x14ac:dyDescent="0.3">
      <c r="A628" t="s">
        <v>36</v>
      </c>
    </row>
    <row r="629" spans="1:1" x14ac:dyDescent="0.3">
      <c r="A629" t="s">
        <v>126</v>
      </c>
    </row>
    <row r="630" spans="1:1" x14ac:dyDescent="0.3">
      <c r="A630" t="s">
        <v>24</v>
      </c>
    </row>
    <row r="631" spans="1:1" x14ac:dyDescent="0.3">
      <c r="A631" t="s">
        <v>36</v>
      </c>
    </row>
    <row r="632" spans="1:1" x14ac:dyDescent="0.3">
      <c r="A632" t="s">
        <v>24</v>
      </c>
    </row>
    <row r="633" spans="1:1" x14ac:dyDescent="0.3">
      <c r="A633" t="s">
        <v>66</v>
      </c>
    </row>
    <row r="634" spans="1:1" x14ac:dyDescent="0.3">
      <c r="A634" t="s">
        <v>24</v>
      </c>
    </row>
    <row r="635" spans="1:1" x14ac:dyDescent="0.3">
      <c r="A635" t="s">
        <v>126</v>
      </c>
    </row>
    <row r="636" spans="1:1" x14ac:dyDescent="0.3">
      <c r="A636" t="s">
        <v>36</v>
      </c>
    </row>
    <row r="637" spans="1:1" x14ac:dyDescent="0.3">
      <c r="A637" t="s">
        <v>36</v>
      </c>
    </row>
    <row r="638" spans="1:1" x14ac:dyDescent="0.3">
      <c r="A638" t="s">
        <v>66</v>
      </c>
    </row>
    <row r="639" spans="1:1" x14ac:dyDescent="0.3">
      <c r="A639" t="s">
        <v>66</v>
      </c>
    </row>
    <row r="640" spans="1:1" x14ac:dyDescent="0.3">
      <c r="A640" t="s">
        <v>219</v>
      </c>
    </row>
    <row r="641" spans="1:1" x14ac:dyDescent="0.3">
      <c r="A641" t="s">
        <v>143</v>
      </c>
    </row>
    <row r="642" spans="1:1" x14ac:dyDescent="0.3">
      <c r="A642" t="s">
        <v>343</v>
      </c>
    </row>
    <row r="643" spans="1:1" x14ac:dyDescent="0.3">
      <c r="A643" t="s">
        <v>36</v>
      </c>
    </row>
    <row r="644" spans="1:1" x14ac:dyDescent="0.3">
      <c r="A644" t="s">
        <v>36</v>
      </c>
    </row>
    <row r="645" spans="1:1" x14ac:dyDescent="0.3">
      <c r="A645" t="s">
        <v>36</v>
      </c>
    </row>
    <row r="646" spans="1:1" x14ac:dyDescent="0.3">
      <c r="A646" t="s">
        <v>66</v>
      </c>
    </row>
    <row r="647" spans="1:1" x14ac:dyDescent="0.3">
      <c r="A647" t="s">
        <v>447</v>
      </c>
    </row>
    <row r="648" spans="1:1" x14ac:dyDescent="0.3">
      <c r="A648" t="s">
        <v>66</v>
      </c>
    </row>
    <row r="649" spans="1:1" x14ac:dyDescent="0.3">
      <c r="A649" t="s">
        <v>203</v>
      </c>
    </row>
    <row r="650" spans="1:1" x14ac:dyDescent="0.3">
      <c r="A650" t="s">
        <v>36</v>
      </c>
    </row>
    <row r="651" spans="1:1" x14ac:dyDescent="0.3">
      <c r="A651" t="s">
        <v>36</v>
      </c>
    </row>
    <row r="652" spans="1:1" x14ac:dyDescent="0.3">
      <c r="A652" t="s">
        <v>447</v>
      </c>
    </row>
    <row r="653" spans="1:1" x14ac:dyDescent="0.3">
      <c r="A653" t="s">
        <v>36</v>
      </c>
    </row>
    <row r="654" spans="1:1" x14ac:dyDescent="0.3">
      <c r="A654" t="s">
        <v>36</v>
      </c>
    </row>
    <row r="655" spans="1:1" x14ac:dyDescent="0.3">
      <c r="A655" t="s">
        <v>99</v>
      </c>
    </row>
    <row r="656" spans="1:1" x14ac:dyDescent="0.3">
      <c r="A656" t="s">
        <v>24</v>
      </c>
    </row>
    <row r="657" spans="1:1" x14ac:dyDescent="0.3">
      <c r="A657" t="s">
        <v>343</v>
      </c>
    </row>
    <row r="658" spans="1:1" x14ac:dyDescent="0.3">
      <c r="A658" t="s">
        <v>343</v>
      </c>
    </row>
    <row r="659" spans="1:1" x14ac:dyDescent="0.3">
      <c r="A659" t="s">
        <v>36</v>
      </c>
    </row>
    <row r="660" spans="1:1" x14ac:dyDescent="0.3">
      <c r="A660" t="s">
        <v>244</v>
      </c>
    </row>
    <row r="661" spans="1:1" x14ac:dyDescent="0.3">
      <c r="A661" t="s">
        <v>143</v>
      </c>
    </row>
    <row r="662" spans="1:1" x14ac:dyDescent="0.3">
      <c r="A662" t="s">
        <v>126</v>
      </c>
    </row>
    <row r="663" spans="1:1" x14ac:dyDescent="0.3">
      <c r="A663" t="s">
        <v>56</v>
      </c>
    </row>
    <row r="664" spans="1:1" x14ac:dyDescent="0.3">
      <c r="A664" t="s">
        <v>343</v>
      </c>
    </row>
    <row r="665" spans="1:1" x14ac:dyDescent="0.3">
      <c r="A665" t="s">
        <v>126</v>
      </c>
    </row>
    <row r="666" spans="1:1" x14ac:dyDescent="0.3">
      <c r="A666" t="s">
        <v>24</v>
      </c>
    </row>
    <row r="667" spans="1:1" x14ac:dyDescent="0.3">
      <c r="A667" t="s">
        <v>36</v>
      </c>
    </row>
    <row r="668" spans="1:1" x14ac:dyDescent="0.3">
      <c r="A668" t="s">
        <v>126</v>
      </c>
    </row>
    <row r="669" spans="1:1" x14ac:dyDescent="0.3">
      <c r="A669" t="s">
        <v>99</v>
      </c>
    </row>
    <row r="670" spans="1:1" x14ac:dyDescent="0.3">
      <c r="A670" t="s">
        <v>36</v>
      </c>
    </row>
    <row r="671" spans="1:1" x14ac:dyDescent="0.3">
      <c r="A671" t="s">
        <v>203</v>
      </c>
    </row>
    <row r="672" spans="1:1" x14ac:dyDescent="0.3">
      <c r="A672" t="s">
        <v>343</v>
      </c>
    </row>
    <row r="673" spans="1:1" x14ac:dyDescent="0.3">
      <c r="A673" t="s">
        <v>36</v>
      </c>
    </row>
    <row r="674" spans="1:1" x14ac:dyDescent="0.3">
      <c r="A674" t="s">
        <v>126</v>
      </c>
    </row>
    <row r="675" spans="1:1" x14ac:dyDescent="0.3">
      <c r="A675" t="s">
        <v>66</v>
      </c>
    </row>
    <row r="676" spans="1:1" x14ac:dyDescent="0.3">
      <c r="A676" t="s">
        <v>24</v>
      </c>
    </row>
    <row r="677" spans="1:1" x14ac:dyDescent="0.3">
      <c r="A677" t="s">
        <v>343</v>
      </c>
    </row>
    <row r="678" spans="1:1" x14ac:dyDescent="0.3">
      <c r="A678" t="s">
        <v>46</v>
      </c>
    </row>
    <row r="679" spans="1:1" x14ac:dyDescent="0.3">
      <c r="A679" t="s">
        <v>343</v>
      </c>
    </row>
    <row r="680" spans="1:1" x14ac:dyDescent="0.3">
      <c r="A680" t="s">
        <v>447</v>
      </c>
    </row>
    <row r="681" spans="1:1" x14ac:dyDescent="0.3">
      <c r="A681" t="s">
        <v>36</v>
      </c>
    </row>
    <row r="682" spans="1:1" x14ac:dyDescent="0.3">
      <c r="A682" t="s">
        <v>66</v>
      </c>
    </row>
    <row r="683" spans="1:1" x14ac:dyDescent="0.3">
      <c r="A683" t="s">
        <v>219</v>
      </c>
    </row>
    <row r="684" spans="1:1" x14ac:dyDescent="0.3">
      <c r="A684" t="s">
        <v>694</v>
      </c>
    </row>
    <row r="685" spans="1:1" x14ac:dyDescent="0.3">
      <c r="A685" t="s">
        <v>126</v>
      </c>
    </row>
    <row r="686" spans="1:1" x14ac:dyDescent="0.3">
      <c r="A686" t="s">
        <v>56</v>
      </c>
    </row>
    <row r="687" spans="1:1" x14ac:dyDescent="0.3">
      <c r="A687" t="s">
        <v>66</v>
      </c>
    </row>
    <row r="688" spans="1:1" x14ac:dyDescent="0.3">
      <c r="A688" t="s">
        <v>126</v>
      </c>
    </row>
    <row r="689" spans="1:1" x14ac:dyDescent="0.3">
      <c r="A689" t="s">
        <v>66</v>
      </c>
    </row>
    <row r="690" spans="1:1" x14ac:dyDescent="0.3">
      <c r="A690" t="s">
        <v>343</v>
      </c>
    </row>
    <row r="691" spans="1:1" x14ac:dyDescent="0.3">
      <c r="A691" t="s">
        <v>126</v>
      </c>
    </row>
    <row r="692" spans="1:1" x14ac:dyDescent="0.3">
      <c r="A692" t="s">
        <v>343</v>
      </c>
    </row>
    <row r="693" spans="1:1" x14ac:dyDescent="0.3">
      <c r="A693" t="s">
        <v>36</v>
      </c>
    </row>
    <row r="694" spans="1:1" x14ac:dyDescent="0.3">
      <c r="A694" t="s">
        <v>99</v>
      </c>
    </row>
    <row r="695" spans="1:1" x14ac:dyDescent="0.3">
      <c r="A695" t="s">
        <v>219</v>
      </c>
    </row>
    <row r="696" spans="1:1" x14ac:dyDescent="0.3">
      <c r="A696" t="s">
        <v>244</v>
      </c>
    </row>
    <row r="697" spans="1:1" x14ac:dyDescent="0.3">
      <c r="A697" t="s">
        <v>66</v>
      </c>
    </row>
    <row r="698" spans="1:1" x14ac:dyDescent="0.3">
      <c r="A698" t="s">
        <v>24</v>
      </c>
    </row>
    <row r="699" spans="1:1" x14ac:dyDescent="0.3">
      <c r="A699" t="s">
        <v>99</v>
      </c>
    </row>
    <row r="700" spans="1:1" x14ac:dyDescent="0.3">
      <c r="A700" t="s">
        <v>195</v>
      </c>
    </row>
    <row r="701" spans="1:1" x14ac:dyDescent="0.3">
      <c r="A701" t="s">
        <v>36</v>
      </c>
    </row>
    <row r="702" spans="1:1" x14ac:dyDescent="0.3">
      <c r="A702" t="s">
        <v>143</v>
      </c>
    </row>
    <row r="703" spans="1:1" x14ac:dyDescent="0.3">
      <c r="A703" t="s">
        <v>36</v>
      </c>
    </row>
    <row r="704" spans="1:1" x14ac:dyDescent="0.3">
      <c r="A704" t="s">
        <v>36</v>
      </c>
    </row>
    <row r="705" spans="1:1" x14ac:dyDescent="0.3">
      <c r="A705" t="s">
        <v>343</v>
      </c>
    </row>
    <row r="706" spans="1:1" x14ac:dyDescent="0.3">
      <c r="A706" t="s">
        <v>66</v>
      </c>
    </row>
    <row r="707" spans="1:1" x14ac:dyDescent="0.3">
      <c r="A707" t="s">
        <v>56</v>
      </c>
    </row>
    <row r="708" spans="1:1" x14ac:dyDescent="0.3">
      <c r="A708" t="s">
        <v>36</v>
      </c>
    </row>
    <row r="709" spans="1:1" x14ac:dyDescent="0.3">
      <c r="A709" t="s">
        <v>66</v>
      </c>
    </row>
    <row r="710" spans="1:1" x14ac:dyDescent="0.3">
      <c r="A710" t="s">
        <v>66</v>
      </c>
    </row>
    <row r="711" spans="1:1" x14ac:dyDescent="0.3">
      <c r="A711" t="s">
        <v>447</v>
      </c>
    </row>
    <row r="712" spans="1:1" x14ac:dyDescent="0.3">
      <c r="A712" t="s">
        <v>143</v>
      </c>
    </row>
    <row r="713" spans="1:1" x14ac:dyDescent="0.3">
      <c r="A713" t="s">
        <v>36</v>
      </c>
    </row>
    <row r="714" spans="1:1" x14ac:dyDescent="0.3">
      <c r="A714" t="s">
        <v>143</v>
      </c>
    </row>
    <row r="715" spans="1:1" x14ac:dyDescent="0.3">
      <c r="A715" t="s">
        <v>36</v>
      </c>
    </row>
    <row r="716" spans="1:1" x14ac:dyDescent="0.3">
      <c r="A716" t="s">
        <v>244</v>
      </c>
    </row>
    <row r="717" spans="1:1" x14ac:dyDescent="0.3">
      <c r="A717" t="s">
        <v>343</v>
      </c>
    </row>
    <row r="718" spans="1:1" x14ac:dyDescent="0.3">
      <c r="A718" t="s">
        <v>36</v>
      </c>
    </row>
    <row r="719" spans="1:1" x14ac:dyDescent="0.3">
      <c r="A719" t="s">
        <v>66</v>
      </c>
    </row>
    <row r="720" spans="1:1" x14ac:dyDescent="0.3">
      <c r="A720" t="s">
        <v>447</v>
      </c>
    </row>
    <row r="721" spans="1:1" x14ac:dyDescent="0.3">
      <c r="A721" t="s">
        <v>36</v>
      </c>
    </row>
    <row r="722" spans="1:1" x14ac:dyDescent="0.3">
      <c r="A722" t="s">
        <v>66</v>
      </c>
    </row>
    <row r="723" spans="1:1" x14ac:dyDescent="0.3">
      <c r="A723" t="s">
        <v>66</v>
      </c>
    </row>
    <row r="724" spans="1:1" x14ac:dyDescent="0.3">
      <c r="A724" t="s">
        <v>126</v>
      </c>
    </row>
    <row r="725" spans="1:1" x14ac:dyDescent="0.3">
      <c r="A725" t="s">
        <v>66</v>
      </c>
    </row>
    <row r="726" spans="1:1" x14ac:dyDescent="0.3">
      <c r="A726" t="s">
        <v>126</v>
      </c>
    </row>
    <row r="727" spans="1:1" x14ac:dyDescent="0.3">
      <c r="A727" t="s">
        <v>66</v>
      </c>
    </row>
    <row r="728" spans="1:1" x14ac:dyDescent="0.3">
      <c r="A728" t="s">
        <v>343</v>
      </c>
    </row>
    <row r="729" spans="1:1" x14ac:dyDescent="0.3">
      <c r="A729" t="s">
        <v>447</v>
      </c>
    </row>
    <row r="730" spans="1:1" x14ac:dyDescent="0.3">
      <c r="A730" t="s">
        <v>66</v>
      </c>
    </row>
    <row r="731" spans="1:1" x14ac:dyDescent="0.3">
      <c r="A731" t="s">
        <v>343</v>
      </c>
    </row>
    <row r="732" spans="1:1" x14ac:dyDescent="0.3">
      <c r="A732" t="s">
        <v>66</v>
      </c>
    </row>
    <row r="733" spans="1:1" x14ac:dyDescent="0.3">
      <c r="A733" t="s">
        <v>36</v>
      </c>
    </row>
    <row r="734" spans="1:1" x14ac:dyDescent="0.3">
      <c r="A734" t="s">
        <v>36</v>
      </c>
    </row>
    <row r="735" spans="1:1" x14ac:dyDescent="0.3">
      <c r="A735" t="s">
        <v>447</v>
      </c>
    </row>
    <row r="736" spans="1:1" x14ac:dyDescent="0.3">
      <c r="A736" t="s">
        <v>126</v>
      </c>
    </row>
    <row r="737" spans="1:1" x14ac:dyDescent="0.3">
      <c r="A737" t="s">
        <v>56</v>
      </c>
    </row>
    <row r="738" spans="1:1" x14ac:dyDescent="0.3">
      <c r="A738" t="s">
        <v>203</v>
      </c>
    </row>
    <row r="739" spans="1:1" x14ac:dyDescent="0.3">
      <c r="A739" t="s">
        <v>36</v>
      </c>
    </row>
    <row r="740" spans="1:1" x14ac:dyDescent="0.3">
      <c r="A740" t="s">
        <v>143</v>
      </c>
    </row>
    <row r="741" spans="1:1" x14ac:dyDescent="0.3">
      <c r="A741" t="s">
        <v>244</v>
      </c>
    </row>
    <row r="742" spans="1:1" x14ac:dyDescent="0.3">
      <c r="A742" t="s">
        <v>24</v>
      </c>
    </row>
    <row r="743" spans="1:1" x14ac:dyDescent="0.3">
      <c r="A743" t="s">
        <v>126</v>
      </c>
    </row>
    <row r="744" spans="1:1" x14ac:dyDescent="0.3">
      <c r="A744" t="s">
        <v>244</v>
      </c>
    </row>
    <row r="745" spans="1:1" x14ac:dyDescent="0.3">
      <c r="A745" t="s">
        <v>24</v>
      </c>
    </row>
    <row r="746" spans="1:1" x14ac:dyDescent="0.3">
      <c r="A746" t="s">
        <v>36</v>
      </c>
    </row>
    <row r="747" spans="1:1" x14ac:dyDescent="0.3">
      <c r="A747" t="s">
        <v>36</v>
      </c>
    </row>
    <row r="748" spans="1:1" x14ac:dyDescent="0.3">
      <c r="A748" t="s">
        <v>46</v>
      </c>
    </row>
    <row r="749" spans="1:1" x14ac:dyDescent="0.3">
      <c r="A749" t="s">
        <v>36</v>
      </c>
    </row>
    <row r="750" spans="1:1" x14ac:dyDescent="0.3">
      <c r="A750" t="s">
        <v>126</v>
      </c>
    </row>
    <row r="751" spans="1:1" x14ac:dyDescent="0.3">
      <c r="A751" t="s">
        <v>36</v>
      </c>
    </row>
    <row r="752" spans="1:1" x14ac:dyDescent="0.3">
      <c r="A752" t="s">
        <v>36</v>
      </c>
    </row>
    <row r="753" spans="1:1" x14ac:dyDescent="0.3">
      <c r="A753" t="s">
        <v>36</v>
      </c>
    </row>
    <row r="754" spans="1:1" x14ac:dyDescent="0.3">
      <c r="A754" t="s">
        <v>56</v>
      </c>
    </row>
    <row r="755" spans="1:1" x14ac:dyDescent="0.3">
      <c r="A755" t="s">
        <v>36</v>
      </c>
    </row>
    <row r="756" spans="1:1" x14ac:dyDescent="0.3">
      <c r="A756" t="s">
        <v>56</v>
      </c>
    </row>
    <row r="757" spans="1:1" x14ac:dyDescent="0.3">
      <c r="A757" t="s">
        <v>24</v>
      </c>
    </row>
    <row r="758" spans="1:1" x14ac:dyDescent="0.3">
      <c r="A758" t="s">
        <v>24</v>
      </c>
    </row>
    <row r="759" spans="1:1" x14ac:dyDescent="0.3">
      <c r="A759" t="s">
        <v>36</v>
      </c>
    </row>
    <row r="760" spans="1:1" x14ac:dyDescent="0.3">
      <c r="A760" t="s">
        <v>126</v>
      </c>
    </row>
    <row r="761" spans="1:1" x14ac:dyDescent="0.3">
      <c r="A761" t="s">
        <v>36</v>
      </c>
    </row>
    <row r="762" spans="1:1" x14ac:dyDescent="0.3">
      <c r="A762" t="s">
        <v>56</v>
      </c>
    </row>
    <row r="763" spans="1:1" x14ac:dyDescent="0.3">
      <c r="A763" t="s">
        <v>244</v>
      </c>
    </row>
    <row r="764" spans="1:1" x14ac:dyDescent="0.3">
      <c r="A764" t="s">
        <v>447</v>
      </c>
    </row>
    <row r="765" spans="1:1" x14ac:dyDescent="0.3">
      <c r="A765" t="s">
        <v>343</v>
      </c>
    </row>
    <row r="766" spans="1:1" x14ac:dyDescent="0.3">
      <c r="A766" t="s">
        <v>343</v>
      </c>
    </row>
    <row r="767" spans="1:1" x14ac:dyDescent="0.3">
      <c r="A767" t="s">
        <v>126</v>
      </c>
    </row>
    <row r="768" spans="1:1" x14ac:dyDescent="0.3">
      <c r="A768" t="s">
        <v>66</v>
      </c>
    </row>
    <row r="769" spans="1:1" x14ac:dyDescent="0.3">
      <c r="A769" t="s">
        <v>36</v>
      </c>
    </row>
    <row r="770" spans="1:1" x14ac:dyDescent="0.3">
      <c r="A770" t="s">
        <v>36</v>
      </c>
    </row>
    <row r="771" spans="1:1" x14ac:dyDescent="0.3">
      <c r="A771" t="s">
        <v>36</v>
      </c>
    </row>
    <row r="772" spans="1:1" x14ac:dyDescent="0.3">
      <c r="A772" t="s">
        <v>36</v>
      </c>
    </row>
    <row r="773" spans="1:1" x14ac:dyDescent="0.3">
      <c r="A773" t="s">
        <v>694</v>
      </c>
    </row>
    <row r="774" spans="1:1" x14ac:dyDescent="0.3">
      <c r="A774" t="s">
        <v>36</v>
      </c>
    </row>
    <row r="775" spans="1:1" x14ac:dyDescent="0.3">
      <c r="A775" t="s">
        <v>36</v>
      </c>
    </row>
    <row r="776" spans="1:1" x14ac:dyDescent="0.3">
      <c r="A776" t="s">
        <v>343</v>
      </c>
    </row>
    <row r="777" spans="1:1" x14ac:dyDescent="0.3">
      <c r="A777" t="s">
        <v>46</v>
      </c>
    </row>
    <row r="778" spans="1:1" x14ac:dyDescent="0.3">
      <c r="A778" t="s">
        <v>694</v>
      </c>
    </row>
    <row r="779" spans="1:1" x14ac:dyDescent="0.3">
      <c r="A779" t="s">
        <v>36</v>
      </c>
    </row>
    <row r="780" spans="1:1" x14ac:dyDescent="0.3">
      <c r="A780" t="s">
        <v>66</v>
      </c>
    </row>
    <row r="781" spans="1:1" x14ac:dyDescent="0.3">
      <c r="A781" t="s">
        <v>66</v>
      </c>
    </row>
    <row r="782" spans="1:1" x14ac:dyDescent="0.3">
      <c r="A782" t="s">
        <v>203</v>
      </c>
    </row>
    <row r="783" spans="1:1" x14ac:dyDescent="0.3">
      <c r="A783" t="s">
        <v>66</v>
      </c>
    </row>
    <row r="784" spans="1:1" x14ac:dyDescent="0.3">
      <c r="A784" t="s">
        <v>343</v>
      </c>
    </row>
    <row r="785" spans="1:1" x14ac:dyDescent="0.3">
      <c r="A785" t="s">
        <v>36</v>
      </c>
    </row>
    <row r="786" spans="1:1" x14ac:dyDescent="0.3">
      <c r="A786" t="s">
        <v>24</v>
      </c>
    </row>
    <row r="787" spans="1:1" x14ac:dyDescent="0.3">
      <c r="A787" t="s">
        <v>36</v>
      </c>
    </row>
    <row r="788" spans="1:1" x14ac:dyDescent="0.3">
      <c r="A788" t="s">
        <v>195</v>
      </c>
    </row>
    <row r="789" spans="1:1" x14ac:dyDescent="0.3">
      <c r="A789" t="s">
        <v>36</v>
      </c>
    </row>
    <row r="790" spans="1:1" x14ac:dyDescent="0.3">
      <c r="A790" t="s">
        <v>447</v>
      </c>
    </row>
    <row r="791" spans="1:1" x14ac:dyDescent="0.3">
      <c r="A791" t="s">
        <v>343</v>
      </c>
    </row>
    <row r="792" spans="1:1" x14ac:dyDescent="0.3">
      <c r="A792" t="s">
        <v>126</v>
      </c>
    </row>
    <row r="793" spans="1:1" x14ac:dyDescent="0.3">
      <c r="A793" t="s">
        <v>24</v>
      </c>
    </row>
    <row r="794" spans="1:1" x14ac:dyDescent="0.3">
      <c r="A794" t="s">
        <v>36</v>
      </c>
    </row>
    <row r="795" spans="1:1" x14ac:dyDescent="0.3">
      <c r="A795" t="s">
        <v>343</v>
      </c>
    </row>
    <row r="796" spans="1:1" x14ac:dyDescent="0.3">
      <c r="A796" t="s">
        <v>244</v>
      </c>
    </row>
    <row r="797" spans="1:1" x14ac:dyDescent="0.3">
      <c r="A797" t="s">
        <v>36</v>
      </c>
    </row>
    <row r="798" spans="1:1" x14ac:dyDescent="0.3">
      <c r="A798" t="s">
        <v>24</v>
      </c>
    </row>
    <row r="799" spans="1:1" x14ac:dyDescent="0.3">
      <c r="A799" t="s">
        <v>143</v>
      </c>
    </row>
    <row r="800" spans="1:1" x14ac:dyDescent="0.3">
      <c r="A800" t="s">
        <v>66</v>
      </c>
    </row>
    <row r="801" spans="1:1" x14ac:dyDescent="0.3">
      <c r="A801" t="s">
        <v>56</v>
      </c>
    </row>
    <row r="802" spans="1:1" x14ac:dyDescent="0.3">
      <c r="A802" t="s">
        <v>126</v>
      </c>
    </row>
    <row r="803" spans="1:1" x14ac:dyDescent="0.3">
      <c r="A803" t="s">
        <v>343</v>
      </c>
    </row>
    <row r="804" spans="1:1" x14ac:dyDescent="0.3">
      <c r="A804" t="s">
        <v>66</v>
      </c>
    </row>
    <row r="805" spans="1:1" x14ac:dyDescent="0.3">
      <c r="A805" t="s">
        <v>36</v>
      </c>
    </row>
    <row r="806" spans="1:1" x14ac:dyDescent="0.3">
      <c r="A806" t="s">
        <v>36</v>
      </c>
    </row>
    <row r="807" spans="1:1" x14ac:dyDescent="0.3">
      <c r="A807" t="s">
        <v>36</v>
      </c>
    </row>
    <row r="808" spans="1:1" x14ac:dyDescent="0.3">
      <c r="A808" t="s">
        <v>203</v>
      </c>
    </row>
    <row r="809" spans="1:1" x14ac:dyDescent="0.3">
      <c r="A809" t="s">
        <v>24</v>
      </c>
    </row>
    <row r="810" spans="1:1" x14ac:dyDescent="0.3">
      <c r="A810" t="s">
        <v>24</v>
      </c>
    </row>
    <row r="811" spans="1:1" x14ac:dyDescent="0.3">
      <c r="A811" t="s">
        <v>24</v>
      </c>
    </row>
    <row r="812" spans="1:1" x14ac:dyDescent="0.3">
      <c r="A812" t="s">
        <v>343</v>
      </c>
    </row>
    <row r="813" spans="1:1" x14ac:dyDescent="0.3">
      <c r="A813" t="s">
        <v>66</v>
      </c>
    </row>
    <row r="814" spans="1:1" x14ac:dyDescent="0.3">
      <c r="A814" t="s">
        <v>24</v>
      </c>
    </row>
    <row r="815" spans="1:1" x14ac:dyDescent="0.3">
      <c r="A815" t="s">
        <v>126</v>
      </c>
    </row>
    <row r="816" spans="1:1" x14ac:dyDescent="0.3">
      <c r="A816" t="s">
        <v>36</v>
      </c>
    </row>
    <row r="817" spans="1:1" x14ac:dyDescent="0.3">
      <c r="A817" t="s">
        <v>447</v>
      </c>
    </row>
    <row r="818" spans="1:1" x14ac:dyDescent="0.3">
      <c r="A818" t="s">
        <v>126</v>
      </c>
    </row>
    <row r="819" spans="1:1" x14ac:dyDescent="0.3">
      <c r="A819" t="s">
        <v>66</v>
      </c>
    </row>
    <row r="820" spans="1:1" x14ac:dyDescent="0.3">
      <c r="A820" t="s">
        <v>36</v>
      </c>
    </row>
    <row r="821" spans="1:1" x14ac:dyDescent="0.3">
      <c r="A821" t="s">
        <v>447</v>
      </c>
    </row>
    <row r="822" spans="1:1" x14ac:dyDescent="0.3">
      <c r="A822" t="s">
        <v>343</v>
      </c>
    </row>
    <row r="823" spans="1:1" x14ac:dyDescent="0.3">
      <c r="A823" t="s">
        <v>126</v>
      </c>
    </row>
    <row r="824" spans="1:1" x14ac:dyDescent="0.3">
      <c r="A824" t="s">
        <v>36</v>
      </c>
    </row>
    <row r="825" spans="1:1" x14ac:dyDescent="0.3">
      <c r="A825" t="s">
        <v>143</v>
      </c>
    </row>
    <row r="826" spans="1:1" x14ac:dyDescent="0.3">
      <c r="A826" t="s">
        <v>36</v>
      </c>
    </row>
    <row r="827" spans="1:1" x14ac:dyDescent="0.3">
      <c r="A827" t="s">
        <v>24</v>
      </c>
    </row>
    <row r="828" spans="1:1" x14ac:dyDescent="0.3">
      <c r="A828" t="s">
        <v>126</v>
      </c>
    </row>
    <row r="829" spans="1:1" x14ac:dyDescent="0.3">
      <c r="A829" t="s">
        <v>126</v>
      </c>
    </row>
    <row r="830" spans="1:1" x14ac:dyDescent="0.3">
      <c r="A830" t="s">
        <v>36</v>
      </c>
    </row>
    <row r="831" spans="1:1" x14ac:dyDescent="0.3">
      <c r="A831" t="s">
        <v>36</v>
      </c>
    </row>
    <row r="832" spans="1:1" x14ac:dyDescent="0.3">
      <c r="A832" t="s">
        <v>99</v>
      </c>
    </row>
    <row r="833" spans="1:1" x14ac:dyDescent="0.3">
      <c r="A833" t="s">
        <v>36</v>
      </c>
    </row>
    <row r="834" spans="1:1" x14ac:dyDescent="0.3">
      <c r="A834" t="s">
        <v>36</v>
      </c>
    </row>
    <row r="835" spans="1:1" x14ac:dyDescent="0.3">
      <c r="A835" t="s">
        <v>66</v>
      </c>
    </row>
    <row r="836" spans="1:1" x14ac:dyDescent="0.3">
      <c r="A836" t="s">
        <v>343</v>
      </c>
    </row>
    <row r="837" spans="1:1" x14ac:dyDescent="0.3">
      <c r="A837" t="s">
        <v>66</v>
      </c>
    </row>
    <row r="838" spans="1:1" x14ac:dyDescent="0.3">
      <c r="A838" t="s">
        <v>126</v>
      </c>
    </row>
    <row r="839" spans="1:1" x14ac:dyDescent="0.3">
      <c r="A839" t="s">
        <v>343</v>
      </c>
    </row>
    <row r="840" spans="1:1" x14ac:dyDescent="0.3">
      <c r="A840" t="s">
        <v>36</v>
      </c>
    </row>
    <row r="841" spans="1:1" x14ac:dyDescent="0.3">
      <c r="A841" t="s">
        <v>46</v>
      </c>
    </row>
    <row r="842" spans="1:1" x14ac:dyDescent="0.3">
      <c r="A842" t="s">
        <v>36</v>
      </c>
    </row>
    <row r="843" spans="1:1" x14ac:dyDescent="0.3">
      <c r="A843" t="s">
        <v>36</v>
      </c>
    </row>
    <row r="844" spans="1:1" x14ac:dyDescent="0.3">
      <c r="A844" t="s">
        <v>36</v>
      </c>
    </row>
    <row r="845" spans="1:1" x14ac:dyDescent="0.3">
      <c r="A845" t="s">
        <v>66</v>
      </c>
    </row>
    <row r="846" spans="1:1" x14ac:dyDescent="0.3">
      <c r="A846" t="s">
        <v>24</v>
      </c>
    </row>
    <row r="847" spans="1:1" x14ac:dyDescent="0.3">
      <c r="A847" t="s">
        <v>36</v>
      </c>
    </row>
    <row r="848" spans="1:1" x14ac:dyDescent="0.3">
      <c r="A848" t="s">
        <v>66</v>
      </c>
    </row>
    <row r="849" spans="1:1" x14ac:dyDescent="0.3">
      <c r="A849" t="s">
        <v>126</v>
      </c>
    </row>
    <row r="850" spans="1:1" x14ac:dyDescent="0.3">
      <c r="A850" t="s">
        <v>36</v>
      </c>
    </row>
    <row r="851" spans="1:1" x14ac:dyDescent="0.3">
      <c r="A851" t="s">
        <v>36</v>
      </c>
    </row>
    <row r="852" spans="1:1" x14ac:dyDescent="0.3">
      <c r="A852" t="s">
        <v>36</v>
      </c>
    </row>
    <row r="853" spans="1:1" x14ac:dyDescent="0.3">
      <c r="A853" t="s">
        <v>244</v>
      </c>
    </row>
    <row r="854" spans="1:1" x14ac:dyDescent="0.3">
      <c r="A854" t="s">
        <v>244</v>
      </c>
    </row>
    <row r="855" spans="1:1" x14ac:dyDescent="0.3">
      <c r="A855" t="s">
        <v>694</v>
      </c>
    </row>
    <row r="856" spans="1:1" x14ac:dyDescent="0.3">
      <c r="A856" t="s">
        <v>36</v>
      </c>
    </row>
    <row r="857" spans="1:1" x14ac:dyDescent="0.3">
      <c r="A857" t="s">
        <v>66</v>
      </c>
    </row>
    <row r="858" spans="1:1" x14ac:dyDescent="0.3">
      <c r="A858" t="s">
        <v>36</v>
      </c>
    </row>
    <row r="859" spans="1:1" x14ac:dyDescent="0.3">
      <c r="A859" t="s">
        <v>447</v>
      </c>
    </row>
    <row r="860" spans="1:1" x14ac:dyDescent="0.3">
      <c r="A860" t="s">
        <v>36</v>
      </c>
    </row>
    <row r="861" spans="1:1" x14ac:dyDescent="0.3">
      <c r="A861" t="s">
        <v>66</v>
      </c>
    </row>
    <row r="862" spans="1:1" x14ac:dyDescent="0.3">
      <c r="A862" t="s">
        <v>203</v>
      </c>
    </row>
    <row r="863" spans="1:1" x14ac:dyDescent="0.3">
      <c r="A863" t="s">
        <v>447</v>
      </c>
    </row>
    <row r="864" spans="1:1" x14ac:dyDescent="0.3">
      <c r="A864" t="s">
        <v>36</v>
      </c>
    </row>
    <row r="865" spans="1:1" x14ac:dyDescent="0.3">
      <c r="A865" t="s">
        <v>343</v>
      </c>
    </row>
    <row r="866" spans="1:1" x14ac:dyDescent="0.3">
      <c r="A866" t="s">
        <v>99</v>
      </c>
    </row>
    <row r="867" spans="1:1" x14ac:dyDescent="0.3">
      <c r="A867" t="s">
        <v>126</v>
      </c>
    </row>
    <row r="868" spans="1:1" x14ac:dyDescent="0.3">
      <c r="A868" t="s">
        <v>244</v>
      </c>
    </row>
    <row r="869" spans="1:1" x14ac:dyDescent="0.3">
      <c r="A869" t="s">
        <v>126</v>
      </c>
    </row>
    <row r="870" spans="1:1" x14ac:dyDescent="0.3">
      <c r="A870" t="s">
        <v>36</v>
      </c>
    </row>
    <row r="871" spans="1:1" x14ac:dyDescent="0.3">
      <c r="A871" t="s">
        <v>36</v>
      </c>
    </row>
    <row r="872" spans="1:1" x14ac:dyDescent="0.3">
      <c r="A872" t="s">
        <v>343</v>
      </c>
    </row>
    <row r="873" spans="1:1" x14ac:dyDescent="0.3">
      <c r="A873" t="s">
        <v>36</v>
      </c>
    </row>
    <row r="874" spans="1:1" x14ac:dyDescent="0.3">
      <c r="A874" t="s">
        <v>343</v>
      </c>
    </row>
    <row r="875" spans="1:1" x14ac:dyDescent="0.3">
      <c r="A875" t="s">
        <v>56</v>
      </c>
    </row>
    <row r="876" spans="1:1" x14ac:dyDescent="0.3">
      <c r="A876" t="s">
        <v>66</v>
      </c>
    </row>
    <row r="877" spans="1:1" x14ac:dyDescent="0.3">
      <c r="A877" t="s">
        <v>36</v>
      </c>
    </row>
    <row r="878" spans="1:1" x14ac:dyDescent="0.3">
      <c r="A878" t="s">
        <v>36</v>
      </c>
    </row>
    <row r="879" spans="1:1" x14ac:dyDescent="0.3">
      <c r="A879" t="s">
        <v>126</v>
      </c>
    </row>
    <row r="880" spans="1:1" x14ac:dyDescent="0.3">
      <c r="A880" t="s">
        <v>36</v>
      </c>
    </row>
    <row r="881" spans="1:1" x14ac:dyDescent="0.3">
      <c r="A881" t="s">
        <v>126</v>
      </c>
    </row>
    <row r="882" spans="1:1" x14ac:dyDescent="0.3">
      <c r="A882" t="s">
        <v>36</v>
      </c>
    </row>
    <row r="883" spans="1:1" x14ac:dyDescent="0.3">
      <c r="A883" t="s">
        <v>66</v>
      </c>
    </row>
    <row r="884" spans="1:1" x14ac:dyDescent="0.3">
      <c r="A884" t="s">
        <v>36</v>
      </c>
    </row>
    <row r="885" spans="1:1" x14ac:dyDescent="0.3">
      <c r="A885" t="s">
        <v>404</v>
      </c>
    </row>
    <row r="886" spans="1:1" x14ac:dyDescent="0.3">
      <c r="A886" t="s">
        <v>36</v>
      </c>
    </row>
    <row r="887" spans="1:1" x14ac:dyDescent="0.3">
      <c r="A887" t="s">
        <v>343</v>
      </c>
    </row>
    <row r="888" spans="1:1" x14ac:dyDescent="0.3">
      <c r="A888" t="s">
        <v>36</v>
      </c>
    </row>
    <row r="889" spans="1:1" x14ac:dyDescent="0.3">
      <c r="A889" t="s">
        <v>36</v>
      </c>
    </row>
    <row r="890" spans="1:1" x14ac:dyDescent="0.3">
      <c r="A890" t="s">
        <v>36</v>
      </c>
    </row>
    <row r="891" spans="1:1" x14ac:dyDescent="0.3">
      <c r="A891" t="s">
        <v>143</v>
      </c>
    </row>
    <row r="892" spans="1:1" x14ac:dyDescent="0.3">
      <c r="A892" t="s">
        <v>36</v>
      </c>
    </row>
    <row r="893" spans="1:1" x14ac:dyDescent="0.3">
      <c r="A893" t="s">
        <v>56</v>
      </c>
    </row>
    <row r="894" spans="1:1" x14ac:dyDescent="0.3">
      <c r="A894" t="s">
        <v>99</v>
      </c>
    </row>
    <row r="895" spans="1:1" x14ac:dyDescent="0.3">
      <c r="A895" t="s">
        <v>36</v>
      </c>
    </row>
    <row r="896" spans="1:1" x14ac:dyDescent="0.3">
      <c r="A896" t="s">
        <v>36</v>
      </c>
    </row>
    <row r="897" spans="1:1" x14ac:dyDescent="0.3">
      <c r="A897" t="s">
        <v>36</v>
      </c>
    </row>
    <row r="898" spans="1:1" x14ac:dyDescent="0.3">
      <c r="A898" t="s">
        <v>36</v>
      </c>
    </row>
    <row r="899" spans="1:1" x14ac:dyDescent="0.3">
      <c r="A899" t="s">
        <v>36</v>
      </c>
    </row>
    <row r="900" spans="1:1" x14ac:dyDescent="0.3">
      <c r="A900" t="s">
        <v>36</v>
      </c>
    </row>
    <row r="901" spans="1:1" x14ac:dyDescent="0.3">
      <c r="A901" t="s">
        <v>244</v>
      </c>
    </row>
    <row r="902" spans="1:1" x14ac:dyDescent="0.3">
      <c r="A902" t="s">
        <v>56</v>
      </c>
    </row>
    <row r="903" spans="1:1" x14ac:dyDescent="0.3">
      <c r="A903" t="s">
        <v>36</v>
      </c>
    </row>
    <row r="904" spans="1:1" x14ac:dyDescent="0.3">
      <c r="A904" t="s">
        <v>36</v>
      </c>
    </row>
    <row r="905" spans="1:1" x14ac:dyDescent="0.3">
      <c r="A905" t="s">
        <v>36</v>
      </c>
    </row>
    <row r="906" spans="1:1" x14ac:dyDescent="0.3">
      <c r="A906" t="s">
        <v>244</v>
      </c>
    </row>
    <row r="907" spans="1:1" x14ac:dyDescent="0.3">
      <c r="A907" t="s">
        <v>143</v>
      </c>
    </row>
    <row r="908" spans="1:1" x14ac:dyDescent="0.3">
      <c r="A908" t="s">
        <v>36</v>
      </c>
    </row>
    <row r="909" spans="1:1" x14ac:dyDescent="0.3">
      <c r="A909" t="s">
        <v>56</v>
      </c>
    </row>
    <row r="910" spans="1:1" x14ac:dyDescent="0.3">
      <c r="A910" t="s">
        <v>66</v>
      </c>
    </row>
    <row r="911" spans="1:1" x14ac:dyDescent="0.3">
      <c r="A911" t="s">
        <v>143</v>
      </c>
    </row>
    <row r="912" spans="1:1" x14ac:dyDescent="0.3">
      <c r="A912" t="s">
        <v>66</v>
      </c>
    </row>
    <row r="913" spans="1:1" x14ac:dyDescent="0.3">
      <c r="A913" t="s">
        <v>36</v>
      </c>
    </row>
    <row r="914" spans="1:1" x14ac:dyDescent="0.3">
      <c r="A914" t="s">
        <v>195</v>
      </c>
    </row>
    <row r="915" spans="1:1" x14ac:dyDescent="0.3">
      <c r="A915" t="s">
        <v>447</v>
      </c>
    </row>
    <row r="916" spans="1:1" x14ac:dyDescent="0.3">
      <c r="A916" t="s">
        <v>24</v>
      </c>
    </row>
    <row r="917" spans="1:1" x14ac:dyDescent="0.3">
      <c r="A917" t="s">
        <v>343</v>
      </c>
    </row>
    <row r="918" spans="1:1" x14ac:dyDescent="0.3">
      <c r="A918" t="s">
        <v>36</v>
      </c>
    </row>
    <row r="919" spans="1:1" x14ac:dyDescent="0.3">
      <c r="A919" t="s">
        <v>343</v>
      </c>
    </row>
    <row r="920" spans="1:1" x14ac:dyDescent="0.3">
      <c r="A920" t="s">
        <v>195</v>
      </c>
    </row>
    <row r="921" spans="1:1" x14ac:dyDescent="0.3">
      <c r="A921" t="s">
        <v>36</v>
      </c>
    </row>
    <row r="922" spans="1:1" x14ac:dyDescent="0.3">
      <c r="A922" t="s">
        <v>36</v>
      </c>
    </row>
    <row r="923" spans="1:1" x14ac:dyDescent="0.3">
      <c r="A923" t="s">
        <v>195</v>
      </c>
    </row>
    <row r="924" spans="1:1" x14ac:dyDescent="0.3">
      <c r="A924" t="s">
        <v>126</v>
      </c>
    </row>
    <row r="925" spans="1:1" x14ac:dyDescent="0.3">
      <c r="A925" t="s">
        <v>36</v>
      </c>
    </row>
    <row r="926" spans="1:1" x14ac:dyDescent="0.3">
      <c r="A926" t="s">
        <v>343</v>
      </c>
    </row>
    <row r="927" spans="1:1" x14ac:dyDescent="0.3">
      <c r="A927" t="s">
        <v>343</v>
      </c>
    </row>
    <row r="928" spans="1:1" x14ac:dyDescent="0.3">
      <c r="A928" t="s">
        <v>36</v>
      </c>
    </row>
    <row r="929" spans="1:1" x14ac:dyDescent="0.3">
      <c r="A929" t="s">
        <v>343</v>
      </c>
    </row>
    <row r="930" spans="1:1" x14ac:dyDescent="0.3">
      <c r="A930" t="s">
        <v>36</v>
      </c>
    </row>
    <row r="931" spans="1:1" x14ac:dyDescent="0.3">
      <c r="A931" t="s">
        <v>126</v>
      </c>
    </row>
    <row r="932" spans="1:1" x14ac:dyDescent="0.3">
      <c r="A932" t="s">
        <v>36</v>
      </c>
    </row>
    <row r="933" spans="1:1" x14ac:dyDescent="0.3">
      <c r="A933" t="s">
        <v>36</v>
      </c>
    </row>
    <row r="934" spans="1:1" x14ac:dyDescent="0.3">
      <c r="A934" t="s">
        <v>66</v>
      </c>
    </row>
    <row r="935" spans="1:1" x14ac:dyDescent="0.3">
      <c r="A935" t="s">
        <v>447</v>
      </c>
    </row>
    <row r="936" spans="1:1" x14ac:dyDescent="0.3">
      <c r="A936" t="s">
        <v>343</v>
      </c>
    </row>
    <row r="937" spans="1:1" x14ac:dyDescent="0.3">
      <c r="A937" t="s">
        <v>36</v>
      </c>
    </row>
    <row r="938" spans="1:1" x14ac:dyDescent="0.3">
      <c r="A938" t="s">
        <v>126</v>
      </c>
    </row>
    <row r="939" spans="1:1" x14ac:dyDescent="0.3">
      <c r="A939" t="s">
        <v>56</v>
      </c>
    </row>
    <row r="940" spans="1:1" x14ac:dyDescent="0.3">
      <c r="A940" t="s">
        <v>24</v>
      </c>
    </row>
    <row r="941" spans="1:1" x14ac:dyDescent="0.3">
      <c r="A941" t="s">
        <v>36</v>
      </c>
    </row>
    <row r="942" spans="1:1" x14ac:dyDescent="0.3">
      <c r="A942" t="s">
        <v>36</v>
      </c>
    </row>
    <row r="943" spans="1:1" x14ac:dyDescent="0.3">
      <c r="A943" t="s">
        <v>66</v>
      </c>
    </row>
    <row r="944" spans="1:1" x14ac:dyDescent="0.3">
      <c r="A944" t="s">
        <v>36</v>
      </c>
    </row>
    <row r="945" spans="1:1" x14ac:dyDescent="0.3">
      <c r="A945" t="s">
        <v>66</v>
      </c>
    </row>
    <row r="946" spans="1:1" x14ac:dyDescent="0.3">
      <c r="A946" t="s">
        <v>36</v>
      </c>
    </row>
    <row r="947" spans="1:1" x14ac:dyDescent="0.3">
      <c r="A947" t="s">
        <v>66</v>
      </c>
    </row>
    <row r="948" spans="1:1" x14ac:dyDescent="0.3">
      <c r="A948" t="s">
        <v>343</v>
      </c>
    </row>
    <row r="949" spans="1:1" x14ac:dyDescent="0.3">
      <c r="A949" t="s">
        <v>66</v>
      </c>
    </row>
    <row r="950" spans="1:1" x14ac:dyDescent="0.3">
      <c r="A950" t="s">
        <v>143</v>
      </c>
    </row>
    <row r="951" spans="1:1" x14ac:dyDescent="0.3">
      <c r="A951" t="s">
        <v>126</v>
      </c>
    </row>
    <row r="952" spans="1:1" x14ac:dyDescent="0.3">
      <c r="A952" t="s">
        <v>36</v>
      </c>
    </row>
    <row r="953" spans="1:1" x14ac:dyDescent="0.3">
      <c r="A953" t="s">
        <v>343</v>
      </c>
    </row>
    <row r="954" spans="1:1" x14ac:dyDescent="0.3">
      <c r="A954" t="s">
        <v>24</v>
      </c>
    </row>
    <row r="955" spans="1:1" x14ac:dyDescent="0.3">
      <c r="A955" t="s">
        <v>244</v>
      </c>
    </row>
    <row r="956" spans="1:1" x14ac:dyDescent="0.3">
      <c r="A956" t="s">
        <v>126</v>
      </c>
    </row>
    <row r="957" spans="1:1" x14ac:dyDescent="0.3">
      <c r="A957" t="s">
        <v>36</v>
      </c>
    </row>
    <row r="958" spans="1:1" x14ac:dyDescent="0.3">
      <c r="A958" t="s">
        <v>36</v>
      </c>
    </row>
    <row r="959" spans="1:1" x14ac:dyDescent="0.3">
      <c r="A959" t="s">
        <v>36</v>
      </c>
    </row>
    <row r="960" spans="1:1" x14ac:dyDescent="0.3">
      <c r="A960" t="s">
        <v>126</v>
      </c>
    </row>
    <row r="961" spans="1:1" x14ac:dyDescent="0.3">
      <c r="A961" t="s">
        <v>343</v>
      </c>
    </row>
    <row r="962" spans="1:1" x14ac:dyDescent="0.3">
      <c r="A962" t="s">
        <v>343</v>
      </c>
    </row>
    <row r="963" spans="1:1" x14ac:dyDescent="0.3">
      <c r="A963" t="s">
        <v>126</v>
      </c>
    </row>
    <row r="964" spans="1:1" x14ac:dyDescent="0.3">
      <c r="A964" t="s">
        <v>36</v>
      </c>
    </row>
    <row r="965" spans="1:1" x14ac:dyDescent="0.3">
      <c r="A965" t="s">
        <v>66</v>
      </c>
    </row>
    <row r="966" spans="1:1" x14ac:dyDescent="0.3">
      <c r="A966" t="s">
        <v>447</v>
      </c>
    </row>
    <row r="967" spans="1:1" x14ac:dyDescent="0.3">
      <c r="A967" t="s">
        <v>24</v>
      </c>
    </row>
    <row r="968" spans="1:1" x14ac:dyDescent="0.3">
      <c r="A968" t="s">
        <v>36</v>
      </c>
    </row>
    <row r="969" spans="1:1" x14ac:dyDescent="0.3">
      <c r="A969" t="s">
        <v>343</v>
      </c>
    </row>
    <row r="970" spans="1:1" x14ac:dyDescent="0.3">
      <c r="A970" t="s">
        <v>99</v>
      </c>
    </row>
    <row r="971" spans="1:1" x14ac:dyDescent="0.3">
      <c r="A971" t="s">
        <v>36</v>
      </c>
    </row>
    <row r="972" spans="1:1" x14ac:dyDescent="0.3">
      <c r="A972" t="s">
        <v>24</v>
      </c>
    </row>
    <row r="973" spans="1:1" x14ac:dyDescent="0.3">
      <c r="A973" t="s">
        <v>24</v>
      </c>
    </row>
    <row r="974" spans="1:1" x14ac:dyDescent="0.3">
      <c r="A974" t="s">
        <v>24</v>
      </c>
    </row>
    <row r="975" spans="1:1" x14ac:dyDescent="0.3">
      <c r="A975" t="s">
        <v>343</v>
      </c>
    </row>
    <row r="976" spans="1:1" x14ac:dyDescent="0.3">
      <c r="A976" t="s">
        <v>36</v>
      </c>
    </row>
    <row r="977" spans="1:1" x14ac:dyDescent="0.3">
      <c r="A977" t="s">
        <v>244</v>
      </c>
    </row>
    <row r="978" spans="1:1" x14ac:dyDescent="0.3">
      <c r="A978" t="s">
        <v>447</v>
      </c>
    </row>
    <row r="979" spans="1:1" x14ac:dyDescent="0.3">
      <c r="A979" t="s">
        <v>126</v>
      </c>
    </row>
    <row r="980" spans="1:1" x14ac:dyDescent="0.3">
      <c r="A980" t="s">
        <v>126</v>
      </c>
    </row>
    <row r="981" spans="1:1" x14ac:dyDescent="0.3">
      <c r="A981" t="s">
        <v>447</v>
      </c>
    </row>
    <row r="982" spans="1:1" x14ac:dyDescent="0.3">
      <c r="A982" t="s">
        <v>126</v>
      </c>
    </row>
    <row r="983" spans="1:1" x14ac:dyDescent="0.3">
      <c r="A983" t="s">
        <v>24</v>
      </c>
    </row>
    <row r="984" spans="1:1" x14ac:dyDescent="0.3">
      <c r="A984" t="s">
        <v>404</v>
      </c>
    </row>
    <row r="985" spans="1:1" x14ac:dyDescent="0.3">
      <c r="A985" t="s">
        <v>36</v>
      </c>
    </row>
    <row r="986" spans="1:1" x14ac:dyDescent="0.3">
      <c r="A986" t="s">
        <v>99</v>
      </c>
    </row>
    <row r="987" spans="1:1" x14ac:dyDescent="0.3">
      <c r="A987" t="s">
        <v>24</v>
      </c>
    </row>
    <row r="988" spans="1:1" x14ac:dyDescent="0.3">
      <c r="A988" t="s">
        <v>36</v>
      </c>
    </row>
    <row r="989" spans="1:1" x14ac:dyDescent="0.3">
      <c r="A989" t="s">
        <v>143</v>
      </c>
    </row>
    <row r="990" spans="1:1" x14ac:dyDescent="0.3">
      <c r="A990" t="s">
        <v>343</v>
      </c>
    </row>
    <row r="991" spans="1:1" x14ac:dyDescent="0.3">
      <c r="A991" t="s">
        <v>36</v>
      </c>
    </row>
    <row r="992" spans="1:1" x14ac:dyDescent="0.3">
      <c r="A992" t="s">
        <v>36</v>
      </c>
    </row>
    <row r="993" spans="1:1" x14ac:dyDescent="0.3">
      <c r="A993" t="s">
        <v>24</v>
      </c>
    </row>
    <row r="994" spans="1:1" x14ac:dyDescent="0.3">
      <c r="A994" t="s">
        <v>343</v>
      </c>
    </row>
    <row r="995" spans="1:1" x14ac:dyDescent="0.3">
      <c r="A995" t="s">
        <v>24</v>
      </c>
    </row>
    <row r="996" spans="1:1" x14ac:dyDescent="0.3">
      <c r="A996" t="s">
        <v>46</v>
      </c>
    </row>
    <row r="997" spans="1:1" x14ac:dyDescent="0.3">
      <c r="A997" t="s">
        <v>343</v>
      </c>
    </row>
    <row r="998" spans="1:1" x14ac:dyDescent="0.3">
      <c r="A998" t="s">
        <v>66</v>
      </c>
    </row>
    <row r="999" spans="1:1" x14ac:dyDescent="0.3">
      <c r="A999" t="s">
        <v>36</v>
      </c>
    </row>
    <row r="1000" spans="1:1" x14ac:dyDescent="0.3">
      <c r="A1000" t="s">
        <v>203</v>
      </c>
    </row>
    <row r="1001" spans="1:1" x14ac:dyDescent="0.3">
      <c r="A1001" t="s">
        <v>66</v>
      </c>
    </row>
    <row r="1002" spans="1:1" x14ac:dyDescent="0.3">
      <c r="A1002" t="s">
        <v>36</v>
      </c>
    </row>
    <row r="1003" spans="1:1" x14ac:dyDescent="0.3">
      <c r="A1003" t="s">
        <v>36</v>
      </c>
    </row>
    <row r="1004" spans="1:1" x14ac:dyDescent="0.3">
      <c r="A1004" t="s">
        <v>447</v>
      </c>
    </row>
    <row r="1005" spans="1:1" x14ac:dyDescent="0.3">
      <c r="A1005" t="s">
        <v>343</v>
      </c>
    </row>
    <row r="1006" spans="1:1" x14ac:dyDescent="0.3">
      <c r="A1006" t="s">
        <v>36</v>
      </c>
    </row>
    <row r="1007" spans="1:1" x14ac:dyDescent="0.3">
      <c r="A1007" t="s">
        <v>143</v>
      </c>
    </row>
    <row r="1008" spans="1:1" x14ac:dyDescent="0.3">
      <c r="A1008" t="s">
        <v>66</v>
      </c>
    </row>
    <row r="1009" spans="1:1" x14ac:dyDescent="0.3">
      <c r="A1009" t="s">
        <v>244</v>
      </c>
    </row>
    <row r="1010" spans="1:1" x14ac:dyDescent="0.3">
      <c r="A1010" t="s">
        <v>24</v>
      </c>
    </row>
    <row r="1011" spans="1:1" x14ac:dyDescent="0.3">
      <c r="A1011" t="s">
        <v>343</v>
      </c>
    </row>
    <row r="1012" spans="1:1" x14ac:dyDescent="0.3">
      <c r="A1012" t="s">
        <v>36</v>
      </c>
    </row>
    <row r="1013" spans="1:1" x14ac:dyDescent="0.3">
      <c r="A1013" t="s">
        <v>36</v>
      </c>
    </row>
    <row r="1014" spans="1:1" x14ac:dyDescent="0.3">
      <c r="A1014" t="s">
        <v>36</v>
      </c>
    </row>
    <row r="1015" spans="1:1" x14ac:dyDescent="0.3">
      <c r="A1015" t="s">
        <v>36</v>
      </c>
    </row>
    <row r="1016" spans="1:1" x14ac:dyDescent="0.3">
      <c r="A1016" t="s">
        <v>24</v>
      </c>
    </row>
    <row r="1017" spans="1:1" x14ac:dyDescent="0.3">
      <c r="A1017" t="s">
        <v>36</v>
      </c>
    </row>
    <row r="1018" spans="1:1" x14ac:dyDescent="0.3">
      <c r="A1018" t="s">
        <v>56</v>
      </c>
    </row>
    <row r="1019" spans="1:1" x14ac:dyDescent="0.3">
      <c r="A1019" t="s">
        <v>66</v>
      </c>
    </row>
    <row r="1020" spans="1:1" x14ac:dyDescent="0.3">
      <c r="A1020" t="s">
        <v>36</v>
      </c>
    </row>
    <row r="1021" spans="1:1" x14ac:dyDescent="0.3">
      <c r="A1021" t="s">
        <v>244</v>
      </c>
    </row>
    <row r="1022" spans="1:1" x14ac:dyDescent="0.3">
      <c r="A1022" t="s">
        <v>66</v>
      </c>
    </row>
    <row r="1023" spans="1:1" x14ac:dyDescent="0.3">
      <c r="A1023" t="s">
        <v>126</v>
      </c>
    </row>
    <row r="1024" spans="1:1" x14ac:dyDescent="0.3">
      <c r="A1024" t="s">
        <v>36</v>
      </c>
    </row>
    <row r="1025" spans="1:1" x14ac:dyDescent="0.3">
      <c r="A1025" t="s">
        <v>126</v>
      </c>
    </row>
    <row r="1026" spans="1:1" x14ac:dyDescent="0.3">
      <c r="A1026" t="s">
        <v>36</v>
      </c>
    </row>
    <row r="1027" spans="1:1" x14ac:dyDescent="0.3">
      <c r="A1027" t="s">
        <v>244</v>
      </c>
    </row>
    <row r="1028" spans="1:1" x14ac:dyDescent="0.3">
      <c r="A1028" t="s">
        <v>244</v>
      </c>
    </row>
    <row r="1029" spans="1:1" x14ac:dyDescent="0.3">
      <c r="A1029" t="s">
        <v>24</v>
      </c>
    </row>
    <row r="1030" spans="1:1" x14ac:dyDescent="0.3">
      <c r="A1030" t="s">
        <v>36</v>
      </c>
    </row>
    <row r="1031" spans="1:1" x14ac:dyDescent="0.3">
      <c r="A1031" t="s">
        <v>126</v>
      </c>
    </row>
    <row r="1032" spans="1:1" x14ac:dyDescent="0.3">
      <c r="A1032" t="s">
        <v>126</v>
      </c>
    </row>
    <row r="1033" spans="1:1" x14ac:dyDescent="0.3">
      <c r="A1033" t="s">
        <v>343</v>
      </c>
    </row>
    <row r="1034" spans="1:1" x14ac:dyDescent="0.3">
      <c r="A1034" t="s">
        <v>24</v>
      </c>
    </row>
    <row r="1035" spans="1:1" x14ac:dyDescent="0.3">
      <c r="A1035" t="s">
        <v>36</v>
      </c>
    </row>
    <row r="1036" spans="1:1" x14ac:dyDescent="0.3">
      <c r="A1036" t="s">
        <v>343</v>
      </c>
    </row>
    <row r="1037" spans="1:1" x14ac:dyDescent="0.3">
      <c r="A1037" t="s">
        <v>447</v>
      </c>
    </row>
    <row r="1038" spans="1:1" x14ac:dyDescent="0.3">
      <c r="A1038" t="s">
        <v>24</v>
      </c>
    </row>
    <row r="1039" spans="1:1" x14ac:dyDescent="0.3">
      <c r="A1039" t="s">
        <v>36</v>
      </c>
    </row>
    <row r="1040" spans="1:1" x14ac:dyDescent="0.3">
      <c r="A1040" t="s">
        <v>36</v>
      </c>
    </row>
    <row r="1041" spans="1:1" x14ac:dyDescent="0.3">
      <c r="A1041" t="s">
        <v>36</v>
      </c>
    </row>
    <row r="1042" spans="1:1" x14ac:dyDescent="0.3">
      <c r="A1042" t="s">
        <v>36</v>
      </c>
    </row>
    <row r="1043" spans="1:1" x14ac:dyDescent="0.3">
      <c r="A1043" t="s">
        <v>694</v>
      </c>
    </row>
    <row r="1044" spans="1:1" x14ac:dyDescent="0.3">
      <c r="A1044" t="s">
        <v>244</v>
      </c>
    </row>
    <row r="1045" spans="1:1" x14ac:dyDescent="0.3">
      <c r="A1045" t="s">
        <v>99</v>
      </c>
    </row>
    <row r="1046" spans="1:1" x14ac:dyDescent="0.3">
      <c r="A1046" t="s">
        <v>36</v>
      </c>
    </row>
    <row r="1047" spans="1:1" x14ac:dyDescent="0.3">
      <c r="A1047" t="s">
        <v>203</v>
      </c>
    </row>
    <row r="1048" spans="1:1" x14ac:dyDescent="0.3">
      <c r="A1048" t="s">
        <v>126</v>
      </c>
    </row>
    <row r="1049" spans="1:1" x14ac:dyDescent="0.3">
      <c r="A1049" t="s">
        <v>66</v>
      </c>
    </row>
    <row r="1050" spans="1:1" x14ac:dyDescent="0.3">
      <c r="A1050" t="s">
        <v>36</v>
      </c>
    </row>
    <row r="1051" spans="1:1" x14ac:dyDescent="0.3">
      <c r="A1051" t="s">
        <v>36</v>
      </c>
    </row>
    <row r="1052" spans="1:1" x14ac:dyDescent="0.3">
      <c r="A1052" t="s">
        <v>36</v>
      </c>
    </row>
    <row r="1053" spans="1:1" x14ac:dyDescent="0.3">
      <c r="A1053" t="s">
        <v>56</v>
      </c>
    </row>
    <row r="1054" spans="1:1" x14ac:dyDescent="0.3">
      <c r="A1054" t="s">
        <v>203</v>
      </c>
    </row>
    <row r="1055" spans="1:1" x14ac:dyDescent="0.3">
      <c r="A1055" t="s">
        <v>36</v>
      </c>
    </row>
    <row r="1056" spans="1:1" x14ac:dyDescent="0.3">
      <c r="A1056" t="s">
        <v>126</v>
      </c>
    </row>
    <row r="1057" spans="1:1" x14ac:dyDescent="0.3">
      <c r="A1057" t="s">
        <v>66</v>
      </c>
    </row>
    <row r="1058" spans="1:1" x14ac:dyDescent="0.3">
      <c r="A1058" t="s">
        <v>66</v>
      </c>
    </row>
    <row r="1059" spans="1:1" x14ac:dyDescent="0.3">
      <c r="A1059" t="s">
        <v>219</v>
      </c>
    </row>
    <row r="1060" spans="1:1" x14ac:dyDescent="0.3">
      <c r="A1060" t="s">
        <v>36</v>
      </c>
    </row>
    <row r="1061" spans="1:1" x14ac:dyDescent="0.3">
      <c r="A1061" t="s">
        <v>24</v>
      </c>
    </row>
    <row r="1062" spans="1:1" x14ac:dyDescent="0.3">
      <c r="A1062" t="s">
        <v>36</v>
      </c>
    </row>
    <row r="1063" spans="1:1" x14ac:dyDescent="0.3">
      <c r="A1063" t="s">
        <v>36</v>
      </c>
    </row>
    <row r="1064" spans="1:1" x14ac:dyDescent="0.3">
      <c r="A1064" t="s">
        <v>24</v>
      </c>
    </row>
    <row r="1065" spans="1:1" x14ac:dyDescent="0.3">
      <c r="A1065" t="s">
        <v>195</v>
      </c>
    </row>
    <row r="1066" spans="1:1" x14ac:dyDescent="0.3">
      <c r="A1066" t="s">
        <v>203</v>
      </c>
    </row>
    <row r="1067" spans="1:1" x14ac:dyDescent="0.3">
      <c r="A1067" t="s">
        <v>36</v>
      </c>
    </row>
    <row r="1068" spans="1:1" x14ac:dyDescent="0.3">
      <c r="A1068" t="s">
        <v>36</v>
      </c>
    </row>
    <row r="1069" spans="1:1" x14ac:dyDescent="0.3">
      <c r="A1069" t="s">
        <v>126</v>
      </c>
    </row>
    <row r="1070" spans="1:1" x14ac:dyDescent="0.3">
      <c r="A1070" t="s">
        <v>36</v>
      </c>
    </row>
    <row r="1071" spans="1:1" x14ac:dyDescent="0.3">
      <c r="A1071" t="s">
        <v>66</v>
      </c>
    </row>
    <row r="1072" spans="1:1" x14ac:dyDescent="0.3">
      <c r="A1072" t="s">
        <v>126</v>
      </c>
    </row>
    <row r="1073" spans="1:1" x14ac:dyDescent="0.3">
      <c r="A1073" t="s">
        <v>36</v>
      </c>
    </row>
    <row r="1074" spans="1:1" x14ac:dyDescent="0.3">
      <c r="A1074" t="s">
        <v>143</v>
      </c>
    </row>
    <row r="1075" spans="1:1" x14ac:dyDescent="0.3">
      <c r="A1075" t="s">
        <v>36</v>
      </c>
    </row>
    <row r="1076" spans="1:1" x14ac:dyDescent="0.3">
      <c r="A1076" t="s">
        <v>36</v>
      </c>
    </row>
    <row r="1077" spans="1:1" x14ac:dyDescent="0.3">
      <c r="A1077" t="s">
        <v>244</v>
      </c>
    </row>
    <row r="1078" spans="1:1" x14ac:dyDescent="0.3">
      <c r="A1078" t="s">
        <v>126</v>
      </c>
    </row>
    <row r="1079" spans="1:1" x14ac:dyDescent="0.3">
      <c r="A1079" t="s">
        <v>36</v>
      </c>
    </row>
    <row r="1080" spans="1:1" x14ac:dyDescent="0.3">
      <c r="A1080" t="s">
        <v>36</v>
      </c>
    </row>
    <row r="1081" spans="1:1" x14ac:dyDescent="0.3">
      <c r="A1081" t="s">
        <v>447</v>
      </c>
    </row>
    <row r="1082" spans="1:1" x14ac:dyDescent="0.3">
      <c r="A1082" t="s">
        <v>203</v>
      </c>
    </row>
    <row r="1083" spans="1:1" x14ac:dyDescent="0.3">
      <c r="A1083" t="s">
        <v>36</v>
      </c>
    </row>
    <row r="1084" spans="1:1" x14ac:dyDescent="0.3">
      <c r="A1084" t="s">
        <v>195</v>
      </c>
    </row>
    <row r="1085" spans="1:1" x14ac:dyDescent="0.3">
      <c r="A1085" t="s">
        <v>24</v>
      </c>
    </row>
    <row r="1086" spans="1:1" x14ac:dyDescent="0.3">
      <c r="A1086" t="s">
        <v>66</v>
      </c>
    </row>
    <row r="1087" spans="1:1" x14ac:dyDescent="0.3">
      <c r="A1087" t="s">
        <v>36</v>
      </c>
    </row>
    <row r="1088" spans="1:1" x14ac:dyDescent="0.3">
      <c r="A1088" t="s">
        <v>36</v>
      </c>
    </row>
    <row r="1089" spans="1:1" x14ac:dyDescent="0.3">
      <c r="A1089" t="s">
        <v>343</v>
      </c>
    </row>
    <row r="1090" spans="1:1" x14ac:dyDescent="0.3">
      <c r="A1090" t="s">
        <v>36</v>
      </c>
    </row>
    <row r="1091" spans="1:1" x14ac:dyDescent="0.3">
      <c r="A1091" t="s">
        <v>343</v>
      </c>
    </row>
    <row r="1092" spans="1:1" x14ac:dyDescent="0.3">
      <c r="A1092" t="s">
        <v>203</v>
      </c>
    </row>
    <row r="1093" spans="1:1" x14ac:dyDescent="0.3">
      <c r="A1093" t="s">
        <v>36</v>
      </c>
    </row>
    <row r="1094" spans="1:1" x14ac:dyDescent="0.3">
      <c r="A1094" t="s">
        <v>143</v>
      </c>
    </row>
    <row r="1095" spans="1:1" x14ac:dyDescent="0.3">
      <c r="A1095" t="s">
        <v>343</v>
      </c>
    </row>
    <row r="1096" spans="1:1" x14ac:dyDescent="0.3">
      <c r="A1096" t="s">
        <v>36</v>
      </c>
    </row>
    <row r="1097" spans="1:1" x14ac:dyDescent="0.3">
      <c r="A1097" t="s">
        <v>66</v>
      </c>
    </row>
    <row r="1098" spans="1:1" x14ac:dyDescent="0.3">
      <c r="A1098" t="s">
        <v>24</v>
      </c>
    </row>
    <row r="1099" spans="1:1" x14ac:dyDescent="0.3">
      <c r="A1099" t="s">
        <v>343</v>
      </c>
    </row>
    <row r="1100" spans="1:1" x14ac:dyDescent="0.3">
      <c r="A1100" t="s">
        <v>244</v>
      </c>
    </row>
    <row r="1101" spans="1:1" x14ac:dyDescent="0.3">
      <c r="A1101" t="s">
        <v>36</v>
      </c>
    </row>
    <row r="1102" spans="1:1" x14ac:dyDescent="0.3">
      <c r="A1102" t="s">
        <v>126</v>
      </c>
    </row>
    <row r="1103" spans="1:1" x14ac:dyDescent="0.3">
      <c r="A1103" t="s">
        <v>46</v>
      </c>
    </row>
    <row r="1104" spans="1:1" x14ac:dyDescent="0.3">
      <c r="A1104" t="s">
        <v>36</v>
      </c>
    </row>
    <row r="1105" spans="1:1" x14ac:dyDescent="0.3">
      <c r="A1105" t="s">
        <v>447</v>
      </c>
    </row>
    <row r="1106" spans="1:1" x14ac:dyDescent="0.3">
      <c r="A1106" t="s">
        <v>36</v>
      </c>
    </row>
    <row r="1107" spans="1:1" x14ac:dyDescent="0.3">
      <c r="A1107" t="s">
        <v>36</v>
      </c>
    </row>
    <row r="1108" spans="1:1" x14ac:dyDescent="0.3">
      <c r="A1108" t="s">
        <v>343</v>
      </c>
    </row>
    <row r="1109" spans="1:1" x14ac:dyDescent="0.3">
      <c r="A1109" t="s">
        <v>24</v>
      </c>
    </row>
    <row r="1110" spans="1:1" x14ac:dyDescent="0.3">
      <c r="A1110" t="s">
        <v>56</v>
      </c>
    </row>
    <row r="1111" spans="1:1" x14ac:dyDescent="0.3">
      <c r="A1111" t="s">
        <v>36</v>
      </c>
    </row>
    <row r="1112" spans="1:1" x14ac:dyDescent="0.3">
      <c r="A1112" t="s">
        <v>24</v>
      </c>
    </row>
    <row r="1113" spans="1:1" x14ac:dyDescent="0.3">
      <c r="A1113" t="s">
        <v>99</v>
      </c>
    </row>
    <row r="1114" spans="1:1" x14ac:dyDescent="0.3">
      <c r="A1114" t="s">
        <v>36</v>
      </c>
    </row>
    <row r="1115" spans="1:1" x14ac:dyDescent="0.3">
      <c r="A1115" t="s">
        <v>56</v>
      </c>
    </row>
    <row r="1116" spans="1:1" x14ac:dyDescent="0.3">
      <c r="A1116" t="s">
        <v>343</v>
      </c>
    </row>
    <row r="1117" spans="1:1" x14ac:dyDescent="0.3">
      <c r="A1117" t="s">
        <v>24</v>
      </c>
    </row>
    <row r="1118" spans="1:1" x14ac:dyDescent="0.3">
      <c r="A1118" t="s">
        <v>126</v>
      </c>
    </row>
    <row r="1119" spans="1:1" x14ac:dyDescent="0.3">
      <c r="A1119" t="s">
        <v>24</v>
      </c>
    </row>
    <row r="1120" spans="1:1" x14ac:dyDescent="0.3">
      <c r="A1120" t="s">
        <v>36</v>
      </c>
    </row>
    <row r="1121" spans="1:1" x14ac:dyDescent="0.3">
      <c r="A1121" t="s">
        <v>36</v>
      </c>
    </row>
    <row r="1122" spans="1:1" x14ac:dyDescent="0.3">
      <c r="A1122" t="s">
        <v>24</v>
      </c>
    </row>
    <row r="1123" spans="1:1" x14ac:dyDescent="0.3">
      <c r="A1123" t="s">
        <v>143</v>
      </c>
    </row>
    <row r="1124" spans="1:1" x14ac:dyDescent="0.3">
      <c r="A1124" t="s">
        <v>46</v>
      </c>
    </row>
    <row r="1125" spans="1:1" x14ac:dyDescent="0.3">
      <c r="A1125" t="s">
        <v>36</v>
      </c>
    </row>
    <row r="1126" spans="1:1" x14ac:dyDescent="0.3">
      <c r="A1126" t="s">
        <v>66</v>
      </c>
    </row>
    <row r="1127" spans="1:1" x14ac:dyDescent="0.3">
      <c r="A1127" t="s">
        <v>24</v>
      </c>
    </row>
    <row r="1128" spans="1:1" x14ac:dyDescent="0.3">
      <c r="A1128" t="s">
        <v>66</v>
      </c>
    </row>
    <row r="1129" spans="1:1" x14ac:dyDescent="0.3">
      <c r="A1129" t="s">
        <v>203</v>
      </c>
    </row>
    <row r="1130" spans="1:1" x14ac:dyDescent="0.3">
      <c r="A1130" t="s">
        <v>36</v>
      </c>
    </row>
    <row r="1131" spans="1:1" x14ac:dyDescent="0.3">
      <c r="A1131" t="s">
        <v>36</v>
      </c>
    </row>
    <row r="1132" spans="1:1" x14ac:dyDescent="0.3">
      <c r="A1132" t="s">
        <v>343</v>
      </c>
    </row>
    <row r="1133" spans="1:1" x14ac:dyDescent="0.3">
      <c r="A1133" t="s">
        <v>66</v>
      </c>
    </row>
    <row r="1134" spans="1:1" x14ac:dyDescent="0.3">
      <c r="A1134" t="s">
        <v>36</v>
      </c>
    </row>
    <row r="1135" spans="1:1" x14ac:dyDescent="0.3">
      <c r="A1135" t="s">
        <v>24</v>
      </c>
    </row>
    <row r="1136" spans="1:1" x14ac:dyDescent="0.3">
      <c r="A1136" t="s">
        <v>56</v>
      </c>
    </row>
    <row r="1137" spans="1:1" x14ac:dyDescent="0.3">
      <c r="A1137" t="s">
        <v>36</v>
      </c>
    </row>
    <row r="1138" spans="1:1" x14ac:dyDescent="0.3">
      <c r="A1138" t="s">
        <v>46</v>
      </c>
    </row>
    <row r="1139" spans="1:1" x14ac:dyDescent="0.3">
      <c r="A1139" t="s">
        <v>24</v>
      </c>
    </row>
    <row r="1140" spans="1:1" x14ac:dyDescent="0.3">
      <c r="A1140" t="s">
        <v>36</v>
      </c>
    </row>
    <row r="1141" spans="1:1" x14ac:dyDescent="0.3">
      <c r="A1141" t="s">
        <v>36</v>
      </c>
    </row>
    <row r="1142" spans="1:1" x14ac:dyDescent="0.3">
      <c r="A1142" t="s">
        <v>244</v>
      </c>
    </row>
    <row r="1143" spans="1:1" x14ac:dyDescent="0.3">
      <c r="A1143" t="s">
        <v>36</v>
      </c>
    </row>
    <row r="1144" spans="1:1" x14ac:dyDescent="0.3">
      <c r="A1144" t="s">
        <v>447</v>
      </c>
    </row>
    <row r="1145" spans="1:1" x14ac:dyDescent="0.3">
      <c r="A1145" t="s">
        <v>66</v>
      </c>
    </row>
    <row r="1146" spans="1:1" x14ac:dyDescent="0.3">
      <c r="A1146" t="s">
        <v>56</v>
      </c>
    </row>
    <row r="1147" spans="1:1" x14ac:dyDescent="0.3">
      <c r="A1147" t="s">
        <v>36</v>
      </c>
    </row>
    <row r="1148" spans="1:1" x14ac:dyDescent="0.3">
      <c r="A1148" t="s">
        <v>36</v>
      </c>
    </row>
    <row r="1149" spans="1:1" x14ac:dyDescent="0.3">
      <c r="A1149" t="s">
        <v>36</v>
      </c>
    </row>
    <row r="1150" spans="1:1" x14ac:dyDescent="0.3">
      <c r="A1150" t="s">
        <v>36</v>
      </c>
    </row>
    <row r="1151" spans="1:1" x14ac:dyDescent="0.3">
      <c r="A1151" t="s">
        <v>126</v>
      </c>
    </row>
    <row r="1152" spans="1:1" x14ac:dyDescent="0.3">
      <c r="A1152" t="s">
        <v>126</v>
      </c>
    </row>
    <row r="1153" spans="1:1" x14ac:dyDescent="0.3">
      <c r="A1153" t="s">
        <v>219</v>
      </c>
    </row>
    <row r="1154" spans="1:1" x14ac:dyDescent="0.3">
      <c r="A1154" t="s">
        <v>36</v>
      </c>
    </row>
    <row r="1155" spans="1:1" x14ac:dyDescent="0.3">
      <c r="A1155" t="s">
        <v>404</v>
      </c>
    </row>
    <row r="1156" spans="1:1" x14ac:dyDescent="0.3">
      <c r="A1156" t="s">
        <v>143</v>
      </c>
    </row>
    <row r="1157" spans="1:1" x14ac:dyDescent="0.3">
      <c r="A1157" t="s">
        <v>66</v>
      </c>
    </row>
    <row r="1158" spans="1:1" x14ac:dyDescent="0.3">
      <c r="A1158" t="s">
        <v>343</v>
      </c>
    </row>
    <row r="1159" spans="1:1" x14ac:dyDescent="0.3">
      <c r="A1159" t="s">
        <v>244</v>
      </c>
    </row>
    <row r="1160" spans="1:1" x14ac:dyDescent="0.3">
      <c r="A1160" t="s">
        <v>46</v>
      </c>
    </row>
    <row r="1161" spans="1:1" x14ac:dyDescent="0.3">
      <c r="A1161" t="s">
        <v>36</v>
      </c>
    </row>
    <row r="1162" spans="1:1" x14ac:dyDescent="0.3">
      <c r="A1162" t="s">
        <v>36</v>
      </c>
    </row>
    <row r="1163" spans="1:1" x14ac:dyDescent="0.3">
      <c r="A1163" t="s">
        <v>36</v>
      </c>
    </row>
    <row r="1164" spans="1:1" x14ac:dyDescent="0.3">
      <c r="A1164" t="s">
        <v>36</v>
      </c>
    </row>
    <row r="1165" spans="1:1" x14ac:dyDescent="0.3">
      <c r="A1165" t="s">
        <v>343</v>
      </c>
    </row>
    <row r="1166" spans="1:1" x14ac:dyDescent="0.3">
      <c r="A1166" t="s">
        <v>36</v>
      </c>
    </row>
    <row r="1167" spans="1:1" x14ac:dyDescent="0.3">
      <c r="A1167" t="s">
        <v>244</v>
      </c>
    </row>
    <row r="1168" spans="1:1" x14ac:dyDescent="0.3">
      <c r="A1168" t="s">
        <v>36</v>
      </c>
    </row>
    <row r="1169" spans="1:1" x14ac:dyDescent="0.3">
      <c r="A1169" t="s">
        <v>24</v>
      </c>
    </row>
    <row r="1170" spans="1:1" x14ac:dyDescent="0.3">
      <c r="A1170" t="s">
        <v>244</v>
      </c>
    </row>
    <row r="1171" spans="1:1" x14ac:dyDescent="0.3">
      <c r="A1171" t="s">
        <v>36</v>
      </c>
    </row>
    <row r="1172" spans="1:1" x14ac:dyDescent="0.3">
      <c r="A1172" t="s">
        <v>36</v>
      </c>
    </row>
    <row r="1173" spans="1:1" x14ac:dyDescent="0.3">
      <c r="A1173" t="s">
        <v>126</v>
      </c>
    </row>
    <row r="1174" spans="1:1" x14ac:dyDescent="0.3">
      <c r="A1174" t="s">
        <v>195</v>
      </c>
    </row>
    <row r="1175" spans="1:1" x14ac:dyDescent="0.3">
      <c r="A1175" t="s">
        <v>404</v>
      </c>
    </row>
    <row r="1176" spans="1:1" x14ac:dyDescent="0.3">
      <c r="A1176" t="s">
        <v>447</v>
      </c>
    </row>
    <row r="1177" spans="1:1" x14ac:dyDescent="0.3">
      <c r="A1177" t="s">
        <v>126</v>
      </c>
    </row>
    <row r="1178" spans="1:1" x14ac:dyDescent="0.3">
      <c r="A1178" t="s">
        <v>36</v>
      </c>
    </row>
    <row r="1179" spans="1:1" x14ac:dyDescent="0.3">
      <c r="A1179" t="s">
        <v>126</v>
      </c>
    </row>
    <row r="1180" spans="1:1" x14ac:dyDescent="0.3">
      <c r="A1180" t="s">
        <v>244</v>
      </c>
    </row>
    <row r="1181" spans="1:1" x14ac:dyDescent="0.3">
      <c r="A1181" t="s">
        <v>66</v>
      </c>
    </row>
    <row r="1182" spans="1:1" x14ac:dyDescent="0.3">
      <c r="A1182" t="s">
        <v>447</v>
      </c>
    </row>
    <row r="1183" spans="1:1" x14ac:dyDescent="0.3">
      <c r="A1183" t="s">
        <v>244</v>
      </c>
    </row>
    <row r="1184" spans="1:1" x14ac:dyDescent="0.3">
      <c r="A1184" t="s">
        <v>66</v>
      </c>
    </row>
    <row r="1185" spans="1:1" x14ac:dyDescent="0.3">
      <c r="A1185" t="s">
        <v>404</v>
      </c>
    </row>
    <row r="1186" spans="1:1" x14ac:dyDescent="0.3">
      <c r="A1186" t="s">
        <v>195</v>
      </c>
    </row>
    <row r="1187" spans="1:1" x14ac:dyDescent="0.3">
      <c r="A1187" t="s">
        <v>36</v>
      </c>
    </row>
    <row r="1188" spans="1:1" x14ac:dyDescent="0.3">
      <c r="A1188" t="s">
        <v>66</v>
      </c>
    </row>
    <row r="1189" spans="1:1" x14ac:dyDescent="0.3">
      <c r="A1189" t="s">
        <v>203</v>
      </c>
    </row>
    <row r="1190" spans="1:1" x14ac:dyDescent="0.3">
      <c r="A1190" t="s">
        <v>126</v>
      </c>
    </row>
    <row r="1191" spans="1:1" x14ac:dyDescent="0.3">
      <c r="A1191" t="s">
        <v>66</v>
      </c>
    </row>
    <row r="1192" spans="1:1" x14ac:dyDescent="0.3">
      <c r="A1192" t="s">
        <v>66</v>
      </c>
    </row>
    <row r="1193" spans="1:1" x14ac:dyDescent="0.3">
      <c r="A1193" t="s">
        <v>24</v>
      </c>
    </row>
    <row r="1194" spans="1:1" x14ac:dyDescent="0.3">
      <c r="A1194" t="s">
        <v>195</v>
      </c>
    </row>
    <row r="1195" spans="1:1" x14ac:dyDescent="0.3">
      <c r="A1195" t="s">
        <v>36</v>
      </c>
    </row>
    <row r="1196" spans="1:1" x14ac:dyDescent="0.3">
      <c r="A1196" t="s">
        <v>343</v>
      </c>
    </row>
    <row r="1197" spans="1:1" x14ac:dyDescent="0.3">
      <c r="A1197" t="s">
        <v>343</v>
      </c>
    </row>
    <row r="1198" spans="1:1" x14ac:dyDescent="0.3">
      <c r="A1198" t="s">
        <v>36</v>
      </c>
    </row>
    <row r="1199" spans="1:1" x14ac:dyDescent="0.3">
      <c r="A1199" t="s">
        <v>36</v>
      </c>
    </row>
    <row r="1200" spans="1:1" x14ac:dyDescent="0.3">
      <c r="A1200" t="s">
        <v>126</v>
      </c>
    </row>
    <row r="1201" spans="1:1" x14ac:dyDescent="0.3">
      <c r="A1201" t="s">
        <v>36</v>
      </c>
    </row>
    <row r="1202" spans="1:1" x14ac:dyDescent="0.3">
      <c r="A1202" t="s">
        <v>244</v>
      </c>
    </row>
    <row r="1203" spans="1:1" x14ac:dyDescent="0.3">
      <c r="A1203" t="s">
        <v>126</v>
      </c>
    </row>
    <row r="1204" spans="1:1" x14ac:dyDescent="0.3">
      <c r="A1204" t="s">
        <v>24</v>
      </c>
    </row>
    <row r="1205" spans="1:1" x14ac:dyDescent="0.3">
      <c r="A1205" t="s">
        <v>343</v>
      </c>
    </row>
    <row r="1206" spans="1:1" x14ac:dyDescent="0.3">
      <c r="A1206" t="s">
        <v>343</v>
      </c>
    </row>
    <row r="1207" spans="1:1" x14ac:dyDescent="0.3">
      <c r="A1207" t="s">
        <v>126</v>
      </c>
    </row>
    <row r="1208" spans="1:1" x14ac:dyDescent="0.3">
      <c r="A1208" t="s">
        <v>36</v>
      </c>
    </row>
    <row r="1209" spans="1:1" x14ac:dyDescent="0.3">
      <c r="A1209" t="s">
        <v>244</v>
      </c>
    </row>
    <row r="1210" spans="1:1" x14ac:dyDescent="0.3">
      <c r="A1210" t="s">
        <v>36</v>
      </c>
    </row>
    <row r="1211" spans="1:1" x14ac:dyDescent="0.3">
      <c r="A1211" t="s">
        <v>126</v>
      </c>
    </row>
    <row r="1212" spans="1:1" x14ac:dyDescent="0.3">
      <c r="A1212" t="s">
        <v>343</v>
      </c>
    </row>
    <row r="1213" spans="1:1" x14ac:dyDescent="0.3">
      <c r="A1213" t="s">
        <v>36</v>
      </c>
    </row>
    <row r="1214" spans="1:1" x14ac:dyDescent="0.3">
      <c r="A1214" t="s">
        <v>343</v>
      </c>
    </row>
    <row r="1215" spans="1:1" x14ac:dyDescent="0.3">
      <c r="A1215" t="s">
        <v>36</v>
      </c>
    </row>
    <row r="1216" spans="1:1" x14ac:dyDescent="0.3">
      <c r="A1216" t="s">
        <v>36</v>
      </c>
    </row>
    <row r="1217" spans="1:1" x14ac:dyDescent="0.3">
      <c r="A1217" t="s">
        <v>343</v>
      </c>
    </row>
    <row r="1218" spans="1:1" x14ac:dyDescent="0.3">
      <c r="A1218" t="s">
        <v>66</v>
      </c>
    </row>
    <row r="1219" spans="1:1" x14ac:dyDescent="0.3">
      <c r="A1219" t="s">
        <v>126</v>
      </c>
    </row>
    <row r="1220" spans="1:1" x14ac:dyDescent="0.3">
      <c r="A1220" t="s">
        <v>126</v>
      </c>
    </row>
    <row r="1221" spans="1:1" x14ac:dyDescent="0.3">
      <c r="A1221" t="s">
        <v>126</v>
      </c>
    </row>
    <row r="1222" spans="1:1" x14ac:dyDescent="0.3">
      <c r="A1222" t="s">
        <v>36</v>
      </c>
    </row>
    <row r="1223" spans="1:1" x14ac:dyDescent="0.3">
      <c r="A1223" t="s">
        <v>694</v>
      </c>
    </row>
    <row r="1224" spans="1:1" x14ac:dyDescent="0.3">
      <c r="A1224" t="s">
        <v>447</v>
      </c>
    </row>
    <row r="1225" spans="1:1" x14ac:dyDescent="0.3">
      <c r="A1225" t="s">
        <v>343</v>
      </c>
    </row>
    <row r="1226" spans="1:1" x14ac:dyDescent="0.3">
      <c r="A1226" t="s">
        <v>36</v>
      </c>
    </row>
    <row r="1227" spans="1:1" x14ac:dyDescent="0.3">
      <c r="A1227" t="s">
        <v>36</v>
      </c>
    </row>
    <row r="1228" spans="1:1" x14ac:dyDescent="0.3">
      <c r="A1228" t="s">
        <v>219</v>
      </c>
    </row>
    <row r="1229" spans="1:1" x14ac:dyDescent="0.3">
      <c r="A1229" t="s">
        <v>66</v>
      </c>
    </row>
    <row r="1230" spans="1:1" x14ac:dyDescent="0.3">
      <c r="A1230" t="s">
        <v>36</v>
      </c>
    </row>
    <row r="1231" spans="1:1" x14ac:dyDescent="0.3">
      <c r="A1231" t="s">
        <v>66</v>
      </c>
    </row>
    <row r="1232" spans="1:1" x14ac:dyDescent="0.3">
      <c r="A1232" t="s">
        <v>343</v>
      </c>
    </row>
    <row r="1233" spans="1:1" x14ac:dyDescent="0.3">
      <c r="A1233" t="s">
        <v>126</v>
      </c>
    </row>
    <row r="1234" spans="1:1" x14ac:dyDescent="0.3">
      <c r="A1234" t="s">
        <v>244</v>
      </c>
    </row>
    <row r="1235" spans="1:1" x14ac:dyDescent="0.3">
      <c r="A1235" t="s">
        <v>56</v>
      </c>
    </row>
    <row r="1236" spans="1:1" x14ac:dyDescent="0.3">
      <c r="A1236" t="s">
        <v>36</v>
      </c>
    </row>
    <row r="1237" spans="1:1" x14ac:dyDescent="0.3">
      <c r="A1237" t="s">
        <v>36</v>
      </c>
    </row>
    <row r="1238" spans="1:1" x14ac:dyDescent="0.3">
      <c r="A1238" t="s">
        <v>36</v>
      </c>
    </row>
    <row r="1239" spans="1:1" x14ac:dyDescent="0.3">
      <c r="A1239" t="s">
        <v>66</v>
      </c>
    </row>
    <row r="1240" spans="1:1" x14ac:dyDescent="0.3">
      <c r="A1240" t="s">
        <v>24</v>
      </c>
    </row>
    <row r="1241" spans="1:1" x14ac:dyDescent="0.3">
      <c r="A1241" t="s">
        <v>24</v>
      </c>
    </row>
    <row r="1242" spans="1:1" x14ac:dyDescent="0.3">
      <c r="A1242" t="s">
        <v>36</v>
      </c>
    </row>
    <row r="1243" spans="1:1" x14ac:dyDescent="0.3">
      <c r="A1243" t="s">
        <v>219</v>
      </c>
    </row>
    <row r="1244" spans="1:1" x14ac:dyDescent="0.3">
      <c r="A1244" t="s">
        <v>126</v>
      </c>
    </row>
    <row r="1245" spans="1:1" x14ac:dyDescent="0.3">
      <c r="A1245" t="s">
        <v>126</v>
      </c>
    </row>
    <row r="1246" spans="1:1" x14ac:dyDescent="0.3">
      <c r="A1246" t="s">
        <v>24</v>
      </c>
    </row>
    <row r="1247" spans="1:1" x14ac:dyDescent="0.3">
      <c r="A1247" t="s">
        <v>36</v>
      </c>
    </row>
    <row r="1248" spans="1:1" x14ac:dyDescent="0.3">
      <c r="A1248" t="s">
        <v>447</v>
      </c>
    </row>
    <row r="1249" spans="1:1" x14ac:dyDescent="0.3">
      <c r="A1249" t="s">
        <v>404</v>
      </c>
    </row>
    <row r="1250" spans="1:1" x14ac:dyDescent="0.3">
      <c r="A1250" t="s">
        <v>36</v>
      </c>
    </row>
    <row r="1251" spans="1:1" x14ac:dyDescent="0.3">
      <c r="A1251" t="s">
        <v>143</v>
      </c>
    </row>
    <row r="1252" spans="1:1" x14ac:dyDescent="0.3">
      <c r="A1252" t="s">
        <v>36</v>
      </c>
    </row>
    <row r="1253" spans="1:1" x14ac:dyDescent="0.3">
      <c r="A1253" t="s">
        <v>66</v>
      </c>
    </row>
    <row r="1254" spans="1:1" x14ac:dyDescent="0.3">
      <c r="A1254" t="s">
        <v>203</v>
      </c>
    </row>
    <row r="1255" spans="1:1" x14ac:dyDescent="0.3">
      <c r="A1255" t="s">
        <v>36</v>
      </c>
    </row>
    <row r="1256" spans="1:1" x14ac:dyDescent="0.3">
      <c r="A1256" t="s">
        <v>126</v>
      </c>
    </row>
    <row r="1257" spans="1:1" x14ac:dyDescent="0.3">
      <c r="A1257" t="s">
        <v>447</v>
      </c>
    </row>
    <row r="1258" spans="1:1" x14ac:dyDescent="0.3">
      <c r="A1258" t="s">
        <v>66</v>
      </c>
    </row>
    <row r="1259" spans="1:1" x14ac:dyDescent="0.3">
      <c r="A1259" t="s">
        <v>56</v>
      </c>
    </row>
    <row r="1260" spans="1:1" x14ac:dyDescent="0.3">
      <c r="A1260" t="s">
        <v>143</v>
      </c>
    </row>
    <row r="1261" spans="1:1" x14ac:dyDescent="0.3">
      <c r="A1261" t="s">
        <v>24</v>
      </c>
    </row>
    <row r="1262" spans="1:1" x14ac:dyDescent="0.3">
      <c r="A1262" t="s">
        <v>56</v>
      </c>
    </row>
    <row r="1263" spans="1:1" x14ac:dyDescent="0.3">
      <c r="A1263" t="s">
        <v>66</v>
      </c>
    </row>
    <row r="1264" spans="1:1" x14ac:dyDescent="0.3">
      <c r="A1264" t="s">
        <v>447</v>
      </c>
    </row>
    <row r="1265" spans="1:1" x14ac:dyDescent="0.3">
      <c r="A1265" t="s">
        <v>36</v>
      </c>
    </row>
    <row r="1266" spans="1:1" x14ac:dyDescent="0.3">
      <c r="A1266" t="s">
        <v>447</v>
      </c>
    </row>
    <row r="1267" spans="1:1" x14ac:dyDescent="0.3">
      <c r="A1267" t="s">
        <v>126</v>
      </c>
    </row>
    <row r="1268" spans="1:1" x14ac:dyDescent="0.3">
      <c r="A1268" t="s">
        <v>36</v>
      </c>
    </row>
    <row r="1269" spans="1:1" x14ac:dyDescent="0.3">
      <c r="A1269" t="s">
        <v>126</v>
      </c>
    </row>
    <row r="1270" spans="1:1" x14ac:dyDescent="0.3">
      <c r="A1270" t="s">
        <v>36</v>
      </c>
    </row>
    <row r="1271" spans="1:1" x14ac:dyDescent="0.3">
      <c r="A1271" t="s">
        <v>126</v>
      </c>
    </row>
    <row r="1272" spans="1:1" x14ac:dyDescent="0.3">
      <c r="A1272" t="s">
        <v>36</v>
      </c>
    </row>
    <row r="1273" spans="1:1" x14ac:dyDescent="0.3">
      <c r="A1273" t="s">
        <v>36</v>
      </c>
    </row>
    <row r="1274" spans="1:1" x14ac:dyDescent="0.3">
      <c r="A1274" t="s">
        <v>66</v>
      </c>
    </row>
    <row r="1275" spans="1:1" x14ac:dyDescent="0.3">
      <c r="A1275" t="s">
        <v>36</v>
      </c>
    </row>
    <row r="1276" spans="1:1" x14ac:dyDescent="0.3">
      <c r="A1276" t="s">
        <v>244</v>
      </c>
    </row>
    <row r="1277" spans="1:1" x14ac:dyDescent="0.3">
      <c r="A1277" t="s">
        <v>36</v>
      </c>
    </row>
    <row r="1278" spans="1:1" x14ac:dyDescent="0.3">
      <c r="A1278" t="s">
        <v>447</v>
      </c>
    </row>
    <row r="1279" spans="1:1" x14ac:dyDescent="0.3">
      <c r="A1279" t="s">
        <v>24</v>
      </c>
    </row>
    <row r="1280" spans="1:1" x14ac:dyDescent="0.3">
      <c r="A1280" t="s">
        <v>36</v>
      </c>
    </row>
    <row r="1281" spans="1:1" x14ac:dyDescent="0.3">
      <c r="A1281" t="s">
        <v>46</v>
      </c>
    </row>
    <row r="1282" spans="1:1" x14ac:dyDescent="0.3">
      <c r="A1282" t="s">
        <v>46</v>
      </c>
    </row>
    <row r="1283" spans="1:1" x14ac:dyDescent="0.3">
      <c r="A1283" t="s">
        <v>46</v>
      </c>
    </row>
    <row r="1284" spans="1:1" x14ac:dyDescent="0.3">
      <c r="A1284" t="s">
        <v>36</v>
      </c>
    </row>
  </sheetData>
  <conditionalFormatting pivot="1" sqref="J3:J18">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062A-57AB-4291-9458-1D770B0592F5}">
  <dimension ref="A1:H1284"/>
  <sheetViews>
    <sheetView workbookViewId="0">
      <selection activeCell="F21" sqref="F21"/>
    </sheetView>
  </sheetViews>
  <sheetFormatPr defaultRowHeight="14.4" x14ac:dyDescent="0.3"/>
  <cols>
    <col min="1" max="1" width="16.33203125" bestFit="1" customWidth="1"/>
    <col min="2" max="2" width="3.109375" bestFit="1" customWidth="1"/>
    <col min="4" max="4" width="16.5546875" bestFit="1" customWidth="1"/>
    <col min="6" max="6" width="13.5546875" bestFit="1" customWidth="1"/>
    <col min="7" max="7" width="11.77734375" bestFit="1" customWidth="1"/>
    <col min="8" max="8" width="11.6640625" bestFit="1" customWidth="1"/>
  </cols>
  <sheetData>
    <row r="1" spans="1:8" x14ac:dyDescent="0.3">
      <c r="A1" t="s">
        <v>2227</v>
      </c>
      <c r="B1" s="4" t="s">
        <v>2252</v>
      </c>
    </row>
    <row r="2" spans="1:8" x14ac:dyDescent="0.3">
      <c r="A2" s="1">
        <v>26.03448275862069</v>
      </c>
    </row>
    <row r="3" spans="1:8" x14ac:dyDescent="0.3">
      <c r="A3" s="1">
        <v>30</v>
      </c>
    </row>
    <row r="4" spans="1:8" x14ac:dyDescent="0.3">
      <c r="A4" s="1">
        <v>46.142857142857146</v>
      </c>
    </row>
    <row r="5" spans="1:8" x14ac:dyDescent="0.3">
      <c r="A5" s="1">
        <v>34.700000000000003</v>
      </c>
    </row>
    <row r="6" spans="1:8" x14ac:dyDescent="0.3">
      <c r="A6" s="1">
        <v>35.269230769230766</v>
      </c>
    </row>
    <row r="7" spans="1:8" x14ac:dyDescent="0.3">
      <c r="A7" s="1">
        <v>35.826086956521742</v>
      </c>
    </row>
    <row r="8" spans="1:8" x14ac:dyDescent="0.3">
      <c r="A8" s="1">
        <v>49</v>
      </c>
      <c r="B8" s="4" t="s">
        <v>2252</v>
      </c>
      <c r="C8" t="s">
        <v>2232</v>
      </c>
      <c r="D8" t="s">
        <v>2253</v>
      </c>
      <c r="E8" t="s">
        <v>2254</v>
      </c>
      <c r="F8" t="s">
        <v>2255</v>
      </c>
      <c r="G8" t="s">
        <v>2241</v>
      </c>
      <c r="H8" t="s">
        <v>2242</v>
      </c>
    </row>
    <row r="9" spans="1:8" x14ac:dyDescent="0.3">
      <c r="A9" s="1">
        <v>24.888888888888889</v>
      </c>
      <c r="C9" s="8">
        <f>AVERAGE(A:A)</f>
        <v>34.745427982930757</v>
      </c>
      <c r="D9">
        <f>_xlfn.STDEV.S(A:A)</f>
        <v>6.6215470291344189</v>
      </c>
      <c r="E9">
        <f>COUNT(A:A)</f>
        <v>1283</v>
      </c>
      <c r="F9">
        <f>_xlfn.CONFIDENCE.NORM(0.05,D9,E9)</f>
        <v>0.36232160439799133</v>
      </c>
      <c r="G9" s="8">
        <f>C9-F9</f>
        <v>34.383106378532766</v>
      </c>
      <c r="H9" s="8">
        <f>C9+F9</f>
        <v>35.107749587328748</v>
      </c>
    </row>
    <row r="10" spans="1:8" x14ac:dyDescent="0.3">
      <c r="A10" s="1">
        <v>32.714285714285715</v>
      </c>
    </row>
    <row r="11" spans="1:8" x14ac:dyDescent="0.3">
      <c r="A11" s="1">
        <v>41.266666666666666</v>
      </c>
      <c r="B11" s="4" t="s">
        <v>2256</v>
      </c>
    </row>
    <row r="12" spans="1:8" x14ac:dyDescent="0.3">
      <c r="A12" s="1">
        <v>45.166666666666664</v>
      </c>
    </row>
    <row r="13" spans="1:8" x14ac:dyDescent="0.3">
      <c r="A13" s="1">
        <v>34.666666666666664</v>
      </c>
    </row>
    <row r="14" spans="1:8" x14ac:dyDescent="0.3">
      <c r="A14" s="1">
        <v>25.076923076923077</v>
      </c>
    </row>
    <row r="15" spans="1:8" x14ac:dyDescent="0.3">
      <c r="A15" s="1">
        <v>30.391304347826086</v>
      </c>
    </row>
    <row r="16" spans="1:8" x14ac:dyDescent="0.3">
      <c r="A16" s="1">
        <v>35.75</v>
      </c>
    </row>
    <row r="17" spans="1:1" x14ac:dyDescent="0.3">
      <c r="A17" s="1">
        <v>27.846153846153847</v>
      </c>
    </row>
    <row r="18" spans="1:1" x14ac:dyDescent="0.3">
      <c r="A18" s="1">
        <v>28.333333333333332</v>
      </c>
    </row>
    <row r="19" spans="1:1" x14ac:dyDescent="0.3">
      <c r="A19" s="1">
        <v>36.5</v>
      </c>
    </row>
    <row r="20" spans="1:1" x14ac:dyDescent="0.3">
      <c r="A20" s="1">
        <v>37.80952380952381</v>
      </c>
    </row>
    <row r="21" spans="1:1" x14ac:dyDescent="0.3">
      <c r="A21" s="1">
        <v>33.333333333333336</v>
      </c>
    </row>
    <row r="22" spans="1:1" x14ac:dyDescent="0.3">
      <c r="A22" s="1">
        <v>28.444444444444443</v>
      </c>
    </row>
    <row r="23" spans="1:1" x14ac:dyDescent="0.3">
      <c r="A23" s="1">
        <v>30.4</v>
      </c>
    </row>
    <row r="24" spans="1:1" x14ac:dyDescent="0.3">
      <c r="A24" s="1">
        <v>35.25</v>
      </c>
    </row>
    <row r="25" spans="1:1" x14ac:dyDescent="0.3">
      <c r="A25" s="1">
        <v>27.615384615384617</v>
      </c>
    </row>
    <row r="26" spans="1:1" x14ac:dyDescent="0.3">
      <c r="A26" s="1">
        <v>44.25</v>
      </c>
    </row>
    <row r="27" spans="1:1" x14ac:dyDescent="0.3">
      <c r="A27" s="1">
        <v>27.823529411764707</v>
      </c>
    </row>
    <row r="28" spans="1:1" x14ac:dyDescent="0.3">
      <c r="A28" s="1">
        <v>29</v>
      </c>
    </row>
    <row r="29" spans="1:1" x14ac:dyDescent="0.3">
      <c r="A29" s="1">
        <v>36.428571428571431</v>
      </c>
    </row>
    <row r="30" spans="1:1" x14ac:dyDescent="0.3">
      <c r="A30" s="1">
        <v>54</v>
      </c>
    </row>
    <row r="31" spans="1:1" x14ac:dyDescent="0.3">
      <c r="A31" s="1">
        <v>31.0625</v>
      </c>
    </row>
    <row r="32" spans="1:1" x14ac:dyDescent="0.3">
      <c r="A32" s="1">
        <v>36.866666666666667</v>
      </c>
    </row>
    <row r="33" spans="1:1" x14ac:dyDescent="0.3">
      <c r="A33" s="1">
        <v>31.291666666666668</v>
      </c>
    </row>
    <row r="34" spans="1:1" x14ac:dyDescent="0.3">
      <c r="A34" s="1">
        <v>36.476190476190474</v>
      </c>
    </row>
    <row r="35" spans="1:1" x14ac:dyDescent="0.3">
      <c r="A35" s="1">
        <v>26.76</v>
      </c>
    </row>
    <row r="36" spans="1:1" x14ac:dyDescent="0.3">
      <c r="A36" s="1">
        <v>33.61904761904762</v>
      </c>
    </row>
    <row r="37" spans="1:1" x14ac:dyDescent="0.3">
      <c r="A37" s="1">
        <v>44.8</v>
      </c>
    </row>
    <row r="38" spans="1:1" x14ac:dyDescent="0.3">
      <c r="A38" s="1">
        <v>42.666666666666664</v>
      </c>
    </row>
    <row r="39" spans="1:1" x14ac:dyDescent="0.3">
      <c r="A39" s="1">
        <v>39.5</v>
      </c>
    </row>
    <row r="40" spans="1:1" x14ac:dyDescent="0.3">
      <c r="A40" s="1">
        <v>30.333333333333332</v>
      </c>
    </row>
    <row r="41" spans="1:1" x14ac:dyDescent="0.3">
      <c r="A41" s="1">
        <v>32.684210526315788</v>
      </c>
    </row>
    <row r="42" spans="1:1" x14ac:dyDescent="0.3">
      <c r="A42" s="1">
        <v>29.555555555555557</v>
      </c>
    </row>
    <row r="43" spans="1:1" x14ac:dyDescent="0.3">
      <c r="A43" s="1">
        <v>26.1</v>
      </c>
    </row>
    <row r="44" spans="1:1" x14ac:dyDescent="0.3">
      <c r="A44" s="1">
        <v>40.142857142857146</v>
      </c>
    </row>
    <row r="45" spans="1:1" x14ac:dyDescent="0.3">
      <c r="A45" s="1">
        <v>36</v>
      </c>
    </row>
    <row r="46" spans="1:1" x14ac:dyDescent="0.3">
      <c r="A46" s="1">
        <v>42.466666666666669</v>
      </c>
    </row>
    <row r="47" spans="1:1" x14ac:dyDescent="0.3">
      <c r="A47" s="1">
        <v>38.875</v>
      </c>
    </row>
    <row r="48" spans="1:1" x14ac:dyDescent="0.3">
      <c r="A48" s="1">
        <v>35.846153846153847</v>
      </c>
    </row>
    <row r="49" spans="1:1" x14ac:dyDescent="0.3">
      <c r="A49" s="1">
        <v>15</v>
      </c>
    </row>
    <row r="50" spans="1:1" x14ac:dyDescent="0.3">
      <c r="A50" s="1">
        <v>38.266666666666666</v>
      </c>
    </row>
    <row r="51" spans="1:1" x14ac:dyDescent="0.3">
      <c r="A51" s="1">
        <v>32.416666666666664</v>
      </c>
    </row>
    <row r="52" spans="1:1" x14ac:dyDescent="0.3">
      <c r="A52" s="1">
        <v>38.119999999999997</v>
      </c>
    </row>
    <row r="53" spans="1:1" x14ac:dyDescent="0.3">
      <c r="A53" s="1">
        <v>39.307692307692307</v>
      </c>
    </row>
    <row r="54" spans="1:1" x14ac:dyDescent="0.3">
      <c r="A54" s="1">
        <v>42.214285714285715</v>
      </c>
    </row>
    <row r="55" spans="1:1" x14ac:dyDescent="0.3">
      <c r="A55" s="1">
        <v>39.25</v>
      </c>
    </row>
    <row r="56" spans="1:1" x14ac:dyDescent="0.3">
      <c r="A56" s="1">
        <v>30.263157894736842</v>
      </c>
    </row>
    <row r="57" spans="1:1" x14ac:dyDescent="0.3">
      <c r="A57" s="1">
        <v>38.5</v>
      </c>
    </row>
    <row r="58" spans="1:1" x14ac:dyDescent="0.3">
      <c r="A58" s="1">
        <v>28.75</v>
      </c>
    </row>
    <row r="59" spans="1:1" x14ac:dyDescent="0.3">
      <c r="A59" s="1">
        <v>34.5</v>
      </c>
    </row>
    <row r="60" spans="1:1" x14ac:dyDescent="0.3">
      <c r="A60" s="1">
        <v>43.3125</v>
      </c>
    </row>
    <row r="61" spans="1:1" x14ac:dyDescent="0.3">
      <c r="A61" s="1">
        <v>34.764705882352942</v>
      </c>
    </row>
    <row r="62" spans="1:1" x14ac:dyDescent="0.3">
      <c r="A62" s="1">
        <v>33.736842105263158</v>
      </c>
    </row>
    <row r="63" spans="1:1" x14ac:dyDescent="0.3">
      <c r="A63" s="1">
        <v>36.444444444444443</v>
      </c>
    </row>
    <row r="64" spans="1:1" x14ac:dyDescent="0.3">
      <c r="A64" s="1">
        <v>40.200000000000003</v>
      </c>
    </row>
    <row r="65" spans="1:1" x14ac:dyDescent="0.3">
      <c r="A65" s="1">
        <v>42.333333333333336</v>
      </c>
    </row>
    <row r="66" spans="1:1" x14ac:dyDescent="0.3">
      <c r="A66" s="1">
        <v>33.5</v>
      </c>
    </row>
    <row r="67" spans="1:1" x14ac:dyDescent="0.3">
      <c r="A67" s="1">
        <v>28.173913043478262</v>
      </c>
    </row>
    <row r="68" spans="1:1" x14ac:dyDescent="0.3">
      <c r="A68" s="1">
        <v>41.428571428571431</v>
      </c>
    </row>
    <row r="69" spans="1:1" x14ac:dyDescent="0.3">
      <c r="A69" s="1">
        <v>26.181818181818183</v>
      </c>
    </row>
    <row r="70" spans="1:1" x14ac:dyDescent="0.3">
      <c r="A70" s="1">
        <v>38.652173913043477</v>
      </c>
    </row>
    <row r="71" spans="1:1" x14ac:dyDescent="0.3">
      <c r="A71" s="1">
        <v>27</v>
      </c>
    </row>
    <row r="72" spans="1:1" x14ac:dyDescent="0.3">
      <c r="A72" s="1">
        <v>44.428571428571431</v>
      </c>
    </row>
    <row r="73" spans="1:1" x14ac:dyDescent="0.3">
      <c r="A73" s="1">
        <v>30</v>
      </c>
    </row>
    <row r="74" spans="1:1" x14ac:dyDescent="0.3">
      <c r="A74" s="1">
        <v>26.5625</v>
      </c>
    </row>
    <row r="75" spans="1:1" x14ac:dyDescent="0.3">
      <c r="A75" s="1">
        <v>39.92</v>
      </c>
    </row>
    <row r="76" spans="1:1" x14ac:dyDescent="0.3">
      <c r="A76" s="1">
        <v>26.5</v>
      </c>
    </row>
    <row r="77" spans="1:1" x14ac:dyDescent="0.3">
      <c r="A77" s="1">
        <v>42.333333333333336</v>
      </c>
    </row>
    <row r="78" spans="1:1" x14ac:dyDescent="0.3">
      <c r="A78" s="1">
        <v>34.666666666666664</v>
      </c>
    </row>
    <row r="79" spans="1:1" x14ac:dyDescent="0.3">
      <c r="A79" s="1">
        <v>43</v>
      </c>
    </row>
    <row r="80" spans="1:1" x14ac:dyDescent="0.3">
      <c r="A80" s="1">
        <v>43.625</v>
      </c>
    </row>
    <row r="81" spans="1:1" x14ac:dyDescent="0.3">
      <c r="A81" s="1">
        <v>29.2</v>
      </c>
    </row>
    <row r="82" spans="1:1" x14ac:dyDescent="0.3">
      <c r="A82" s="1">
        <v>39.0625</v>
      </c>
    </row>
    <row r="83" spans="1:1" x14ac:dyDescent="0.3">
      <c r="A83" s="1">
        <v>34.875</v>
      </c>
    </row>
    <row r="84" spans="1:1" x14ac:dyDescent="0.3">
      <c r="A84" s="1">
        <v>34.727272727272727</v>
      </c>
    </row>
    <row r="85" spans="1:1" x14ac:dyDescent="0.3">
      <c r="A85" s="1">
        <v>25</v>
      </c>
    </row>
    <row r="86" spans="1:1" x14ac:dyDescent="0.3">
      <c r="A86" s="1">
        <v>25.861111111111111</v>
      </c>
    </row>
    <row r="87" spans="1:1" x14ac:dyDescent="0.3">
      <c r="A87" s="1">
        <v>34.545454545454547</v>
      </c>
    </row>
    <row r="88" spans="1:1" x14ac:dyDescent="0.3">
      <c r="A88" s="1">
        <v>27.638888888888889</v>
      </c>
    </row>
    <row r="89" spans="1:1" x14ac:dyDescent="0.3">
      <c r="A89" s="1">
        <v>34.115384615384613</v>
      </c>
    </row>
    <row r="90" spans="1:1" x14ac:dyDescent="0.3">
      <c r="A90" s="1">
        <v>40.357142857142854</v>
      </c>
    </row>
    <row r="91" spans="1:1" x14ac:dyDescent="0.3">
      <c r="A91" s="1">
        <v>44</v>
      </c>
    </row>
    <row r="92" spans="1:1" x14ac:dyDescent="0.3">
      <c r="A92" s="1">
        <v>41.636363636363633</v>
      </c>
    </row>
    <row r="93" spans="1:1" x14ac:dyDescent="0.3">
      <c r="A93" s="1">
        <v>28.80952380952381</v>
      </c>
    </row>
    <row r="94" spans="1:1" x14ac:dyDescent="0.3">
      <c r="A94" s="1">
        <v>28.4</v>
      </c>
    </row>
    <row r="95" spans="1:1" x14ac:dyDescent="0.3">
      <c r="A95" s="1">
        <v>25.470588235294116</v>
      </c>
    </row>
    <row r="96" spans="1:1" x14ac:dyDescent="0.3">
      <c r="A96" s="1">
        <v>29.5</v>
      </c>
    </row>
    <row r="97" spans="1:1" x14ac:dyDescent="0.3">
      <c r="A97" s="1">
        <v>41.454545454545453</v>
      </c>
    </row>
    <row r="98" spans="1:1" x14ac:dyDescent="0.3">
      <c r="A98" s="1">
        <v>46.666666666666664</v>
      </c>
    </row>
    <row r="99" spans="1:1" x14ac:dyDescent="0.3">
      <c r="A99" s="1">
        <v>26</v>
      </c>
    </row>
    <row r="100" spans="1:1" x14ac:dyDescent="0.3">
      <c r="A100" s="1">
        <v>38.944444444444443</v>
      </c>
    </row>
    <row r="101" spans="1:1" x14ac:dyDescent="0.3">
      <c r="A101" s="1">
        <v>43.111111111111114</v>
      </c>
    </row>
    <row r="102" spans="1:1" x14ac:dyDescent="0.3">
      <c r="A102" s="1">
        <v>45.5</v>
      </c>
    </row>
    <row r="103" spans="1:1" x14ac:dyDescent="0.3">
      <c r="A103" s="1">
        <v>41.090909090909093</v>
      </c>
    </row>
    <row r="104" spans="1:1" x14ac:dyDescent="0.3">
      <c r="A104" s="1">
        <v>37.842105263157897</v>
      </c>
    </row>
    <row r="105" spans="1:1" x14ac:dyDescent="0.3">
      <c r="A105" s="1">
        <v>27.5</v>
      </c>
    </row>
    <row r="106" spans="1:1" x14ac:dyDescent="0.3">
      <c r="A106" s="1">
        <v>36.529411764705884</v>
      </c>
    </row>
    <row r="107" spans="1:1" x14ac:dyDescent="0.3">
      <c r="A107" s="1">
        <v>31.9375</v>
      </c>
    </row>
    <row r="108" spans="1:1" x14ac:dyDescent="0.3">
      <c r="A108" s="1">
        <v>25.705882352941178</v>
      </c>
    </row>
    <row r="109" spans="1:1" x14ac:dyDescent="0.3">
      <c r="A109" s="1">
        <v>32.4</v>
      </c>
    </row>
    <row r="110" spans="1:1" x14ac:dyDescent="0.3">
      <c r="A110" s="1">
        <v>34.4</v>
      </c>
    </row>
    <row r="111" spans="1:1" x14ac:dyDescent="0.3">
      <c r="A111" s="1">
        <v>35.6</v>
      </c>
    </row>
    <row r="112" spans="1:1" x14ac:dyDescent="0.3">
      <c r="A112" s="1">
        <v>26.171428571428571</v>
      </c>
    </row>
    <row r="113" spans="1:1" x14ac:dyDescent="0.3">
      <c r="A113" s="1">
        <v>42.055555555555557</v>
      </c>
    </row>
    <row r="114" spans="1:1" x14ac:dyDescent="0.3">
      <c r="A114" s="1">
        <v>27.478260869565219</v>
      </c>
    </row>
    <row r="115" spans="1:1" x14ac:dyDescent="0.3">
      <c r="A115" s="1">
        <v>45.833333333333336</v>
      </c>
    </row>
    <row r="116" spans="1:1" x14ac:dyDescent="0.3">
      <c r="A116" s="1">
        <v>27.333333333333332</v>
      </c>
    </row>
    <row r="117" spans="1:1" x14ac:dyDescent="0.3">
      <c r="A117" s="1">
        <v>26.529411764705884</v>
      </c>
    </row>
    <row r="118" spans="1:1" x14ac:dyDescent="0.3">
      <c r="A118" s="1">
        <v>46.666666666666664</v>
      </c>
    </row>
    <row r="119" spans="1:1" x14ac:dyDescent="0.3">
      <c r="A119" s="1">
        <v>27.884615384615383</v>
      </c>
    </row>
    <row r="120" spans="1:1" x14ac:dyDescent="0.3">
      <c r="A120" s="1">
        <v>43.272727272727273</v>
      </c>
    </row>
    <row r="121" spans="1:1" x14ac:dyDescent="0.3">
      <c r="A121" s="1">
        <v>24.62962962962963</v>
      </c>
    </row>
    <row r="122" spans="1:1" x14ac:dyDescent="0.3">
      <c r="A122" s="1">
        <v>23.666666666666668</v>
      </c>
    </row>
    <row r="123" spans="1:1" x14ac:dyDescent="0.3">
      <c r="A123" s="1">
        <v>36.05263157894737</v>
      </c>
    </row>
    <row r="124" spans="1:1" x14ac:dyDescent="0.3">
      <c r="A124" s="1">
        <v>35.615384615384613</v>
      </c>
    </row>
    <row r="125" spans="1:1" x14ac:dyDescent="0.3">
      <c r="A125" s="1">
        <v>43.777777777777779</v>
      </c>
    </row>
    <row r="126" spans="1:1" x14ac:dyDescent="0.3">
      <c r="A126" s="1">
        <v>46</v>
      </c>
    </row>
    <row r="127" spans="1:1" x14ac:dyDescent="0.3">
      <c r="A127" s="1">
        <v>38</v>
      </c>
    </row>
    <row r="128" spans="1:1" x14ac:dyDescent="0.3">
      <c r="A128" s="1">
        <v>38.529411764705884</v>
      </c>
    </row>
    <row r="129" spans="1:1" x14ac:dyDescent="0.3">
      <c r="A129" s="1">
        <v>42.307692307692307</v>
      </c>
    </row>
    <row r="130" spans="1:1" x14ac:dyDescent="0.3">
      <c r="A130" s="1">
        <v>29.363636363636363</v>
      </c>
    </row>
    <row r="131" spans="1:1" x14ac:dyDescent="0.3">
      <c r="A131" s="1">
        <v>26.53846153846154</v>
      </c>
    </row>
    <row r="132" spans="1:1" x14ac:dyDescent="0.3">
      <c r="A132" s="1">
        <v>31.258064516129032</v>
      </c>
    </row>
    <row r="133" spans="1:1" x14ac:dyDescent="0.3">
      <c r="A133" s="1">
        <v>30.428571428571427</v>
      </c>
    </row>
    <row r="134" spans="1:1" x14ac:dyDescent="0.3">
      <c r="A134" s="1">
        <v>33.666666666666664</v>
      </c>
    </row>
    <row r="135" spans="1:1" x14ac:dyDescent="0.3">
      <c r="A135" s="1">
        <v>30</v>
      </c>
    </row>
    <row r="136" spans="1:1" x14ac:dyDescent="0.3">
      <c r="A136" s="1">
        <v>27.125</v>
      </c>
    </row>
    <row r="137" spans="1:1" x14ac:dyDescent="0.3">
      <c r="A137" s="1">
        <v>30.866666666666667</v>
      </c>
    </row>
    <row r="138" spans="1:1" x14ac:dyDescent="0.3">
      <c r="A138" s="1">
        <v>40</v>
      </c>
    </row>
    <row r="139" spans="1:1" x14ac:dyDescent="0.3">
      <c r="A139" s="1">
        <v>33</v>
      </c>
    </row>
    <row r="140" spans="1:1" x14ac:dyDescent="0.3">
      <c r="A140" s="1">
        <v>31</v>
      </c>
    </row>
    <row r="141" spans="1:1" x14ac:dyDescent="0.3">
      <c r="A141" s="1">
        <v>42.714285714285715</v>
      </c>
    </row>
    <row r="142" spans="1:1" x14ac:dyDescent="0.3">
      <c r="A142" s="1">
        <v>32.200000000000003</v>
      </c>
    </row>
    <row r="143" spans="1:1" x14ac:dyDescent="0.3">
      <c r="A143" s="1">
        <v>39.652173913043477</v>
      </c>
    </row>
    <row r="144" spans="1:1" x14ac:dyDescent="0.3">
      <c r="A144" s="1">
        <v>24.636363636363637</v>
      </c>
    </row>
    <row r="145" spans="1:1" x14ac:dyDescent="0.3">
      <c r="A145" s="1">
        <v>44.571428571428569</v>
      </c>
    </row>
    <row r="146" spans="1:1" x14ac:dyDescent="0.3">
      <c r="A146" s="1">
        <v>28.74074074074074</v>
      </c>
    </row>
    <row r="147" spans="1:1" x14ac:dyDescent="0.3">
      <c r="A147" s="1">
        <v>43.285714285714285</v>
      </c>
    </row>
    <row r="148" spans="1:1" x14ac:dyDescent="0.3">
      <c r="A148" s="1">
        <v>46.25</v>
      </c>
    </row>
    <row r="149" spans="1:1" x14ac:dyDescent="0.3">
      <c r="A149" s="1">
        <v>39.31818181818182</v>
      </c>
    </row>
    <row r="150" spans="1:1" x14ac:dyDescent="0.3">
      <c r="A150" s="1">
        <v>34.592592592592595</v>
      </c>
    </row>
    <row r="151" spans="1:1" x14ac:dyDescent="0.3">
      <c r="A151" s="1">
        <v>33.363636363636367</v>
      </c>
    </row>
    <row r="152" spans="1:1" x14ac:dyDescent="0.3">
      <c r="A152" s="1">
        <v>43.666666666666664</v>
      </c>
    </row>
    <row r="153" spans="1:1" x14ac:dyDescent="0.3">
      <c r="A153" s="1">
        <v>41</v>
      </c>
    </row>
    <row r="154" spans="1:1" x14ac:dyDescent="0.3">
      <c r="A154" s="1">
        <v>31.222222222222221</v>
      </c>
    </row>
    <row r="155" spans="1:1" x14ac:dyDescent="0.3">
      <c r="A155" s="1">
        <v>40.4</v>
      </c>
    </row>
    <row r="156" spans="1:1" x14ac:dyDescent="0.3">
      <c r="A156" s="1">
        <v>27.266666666666666</v>
      </c>
    </row>
    <row r="157" spans="1:1" x14ac:dyDescent="0.3">
      <c r="A157" s="1">
        <v>29.5</v>
      </c>
    </row>
    <row r="158" spans="1:1" x14ac:dyDescent="0.3">
      <c r="A158" s="1">
        <v>39</v>
      </c>
    </row>
    <row r="159" spans="1:1" x14ac:dyDescent="0.3">
      <c r="A159" s="1">
        <v>44.6</v>
      </c>
    </row>
    <row r="160" spans="1:1" x14ac:dyDescent="0.3">
      <c r="A160" s="1">
        <v>39</v>
      </c>
    </row>
    <row r="161" spans="1:1" x14ac:dyDescent="0.3">
      <c r="A161" s="1">
        <v>28.307692307692307</v>
      </c>
    </row>
    <row r="162" spans="1:1" x14ac:dyDescent="0.3">
      <c r="A162" s="1">
        <v>36.5</v>
      </c>
    </row>
    <row r="163" spans="1:1" x14ac:dyDescent="0.3">
      <c r="A163" s="1">
        <v>28.166666666666668</v>
      </c>
    </row>
    <row r="164" spans="1:1" x14ac:dyDescent="0.3">
      <c r="A164" s="1">
        <v>41</v>
      </c>
    </row>
    <row r="165" spans="1:1" x14ac:dyDescent="0.3">
      <c r="A165" s="1">
        <v>34.833333333333336</v>
      </c>
    </row>
    <row r="166" spans="1:1" x14ac:dyDescent="0.3">
      <c r="A166" s="1">
        <v>33.454545454545453</v>
      </c>
    </row>
    <row r="167" spans="1:1" x14ac:dyDescent="0.3">
      <c r="A167" s="1">
        <v>30.92</v>
      </c>
    </row>
    <row r="168" spans="1:1" x14ac:dyDescent="0.3">
      <c r="A168" s="1">
        <v>45.75</v>
      </c>
    </row>
    <row r="169" spans="1:1" x14ac:dyDescent="0.3">
      <c r="A169" s="1">
        <v>36.761904761904759</v>
      </c>
    </row>
    <row r="170" spans="1:1" x14ac:dyDescent="0.3">
      <c r="A170" s="1">
        <v>28.1</v>
      </c>
    </row>
    <row r="171" spans="1:1" x14ac:dyDescent="0.3">
      <c r="A171" s="1">
        <v>39.142857142857146</v>
      </c>
    </row>
    <row r="172" spans="1:1" x14ac:dyDescent="0.3">
      <c r="A172" s="1">
        <v>36.75</v>
      </c>
    </row>
    <row r="173" spans="1:1" x14ac:dyDescent="0.3">
      <c r="A173" s="1">
        <v>41.125</v>
      </c>
    </row>
    <row r="174" spans="1:1" x14ac:dyDescent="0.3">
      <c r="A174" s="1">
        <v>39.944444444444443</v>
      </c>
    </row>
    <row r="175" spans="1:1" x14ac:dyDescent="0.3">
      <c r="A175" s="1">
        <v>37</v>
      </c>
    </row>
    <row r="176" spans="1:1" x14ac:dyDescent="0.3">
      <c r="A176" s="1">
        <v>35.733333333333334</v>
      </c>
    </row>
    <row r="177" spans="1:1" x14ac:dyDescent="0.3">
      <c r="A177" s="1">
        <v>29.071428571428573</v>
      </c>
    </row>
    <row r="178" spans="1:1" x14ac:dyDescent="0.3">
      <c r="A178" s="1">
        <v>35.133333333333333</v>
      </c>
    </row>
    <row r="179" spans="1:1" x14ac:dyDescent="0.3">
      <c r="A179" s="1">
        <v>24</v>
      </c>
    </row>
    <row r="180" spans="1:1" x14ac:dyDescent="0.3">
      <c r="A180" s="1">
        <v>41.2</v>
      </c>
    </row>
    <row r="181" spans="1:1" x14ac:dyDescent="0.3">
      <c r="A181" s="1">
        <v>43.8</v>
      </c>
    </row>
    <row r="182" spans="1:1" x14ac:dyDescent="0.3">
      <c r="A182" s="1">
        <v>36.72</v>
      </c>
    </row>
    <row r="183" spans="1:1" x14ac:dyDescent="0.3">
      <c r="A183" s="1">
        <v>27.027027027027028</v>
      </c>
    </row>
    <row r="184" spans="1:1" x14ac:dyDescent="0.3">
      <c r="A184" s="1">
        <v>42.476190476190474</v>
      </c>
    </row>
    <row r="185" spans="1:1" x14ac:dyDescent="0.3">
      <c r="A185" s="1">
        <v>35</v>
      </c>
    </row>
    <row r="186" spans="1:1" x14ac:dyDescent="0.3">
      <c r="A186" s="1">
        <v>33</v>
      </c>
    </row>
    <row r="187" spans="1:1" x14ac:dyDescent="0.3">
      <c r="A187" s="1">
        <v>36.789473684210527</v>
      </c>
    </row>
    <row r="188" spans="1:1" x14ac:dyDescent="0.3">
      <c r="A188" s="1">
        <v>28.217391304347824</v>
      </c>
    </row>
    <row r="189" spans="1:1" x14ac:dyDescent="0.3">
      <c r="A189" s="1">
        <v>38</v>
      </c>
    </row>
    <row r="190" spans="1:1" x14ac:dyDescent="0.3">
      <c r="A190" s="1">
        <v>42.05</v>
      </c>
    </row>
    <row r="191" spans="1:1" x14ac:dyDescent="0.3">
      <c r="A191" s="1">
        <v>25.72972972972973</v>
      </c>
    </row>
    <row r="192" spans="1:1" x14ac:dyDescent="0.3">
      <c r="A192" s="1">
        <v>44.142857142857146</v>
      </c>
    </row>
    <row r="193" spans="1:1" x14ac:dyDescent="0.3">
      <c r="A193" s="1">
        <v>31.363636363636363</v>
      </c>
    </row>
    <row r="194" spans="1:1" x14ac:dyDescent="0.3">
      <c r="A194" s="1">
        <v>25.684210526315791</v>
      </c>
    </row>
    <row r="195" spans="1:1" x14ac:dyDescent="0.3">
      <c r="A195" s="1">
        <v>49</v>
      </c>
    </row>
    <row r="196" spans="1:1" x14ac:dyDescent="0.3">
      <c r="A196" s="1">
        <v>27.1875</v>
      </c>
    </row>
    <row r="197" spans="1:1" x14ac:dyDescent="0.3">
      <c r="A197" s="1">
        <v>31.5</v>
      </c>
    </row>
    <row r="198" spans="1:1" x14ac:dyDescent="0.3">
      <c r="A198" s="1">
        <v>41.307692307692307</v>
      </c>
    </row>
    <row r="199" spans="1:1" x14ac:dyDescent="0.3">
      <c r="A199" s="1">
        <v>32.862068965517238</v>
      </c>
    </row>
    <row r="200" spans="1:1" x14ac:dyDescent="0.3">
      <c r="A200" s="1">
        <v>32.333333333333336</v>
      </c>
    </row>
    <row r="201" spans="1:1" x14ac:dyDescent="0.3">
      <c r="A201" s="1">
        <v>35</v>
      </c>
    </row>
    <row r="202" spans="1:1" x14ac:dyDescent="0.3">
      <c r="A202" s="1">
        <v>23</v>
      </c>
    </row>
    <row r="203" spans="1:1" x14ac:dyDescent="0.3">
      <c r="A203" s="1">
        <v>43.222222222222221</v>
      </c>
    </row>
    <row r="204" spans="1:1" x14ac:dyDescent="0.3">
      <c r="A204" s="1">
        <v>40.294117647058826</v>
      </c>
    </row>
    <row r="205" spans="1:1" x14ac:dyDescent="0.3">
      <c r="A205" s="1">
        <v>36.75</v>
      </c>
    </row>
    <row r="206" spans="1:1" x14ac:dyDescent="0.3">
      <c r="A206" s="1">
        <v>36.25</v>
      </c>
    </row>
    <row r="207" spans="1:1" x14ac:dyDescent="0.3">
      <c r="A207" s="1">
        <v>37.352941176470587</v>
      </c>
    </row>
    <row r="208" spans="1:1" x14ac:dyDescent="0.3">
      <c r="A208" s="1">
        <v>41.75</v>
      </c>
    </row>
    <row r="209" spans="1:1" x14ac:dyDescent="0.3">
      <c r="A209" s="1">
        <v>28</v>
      </c>
    </row>
    <row r="210" spans="1:1" x14ac:dyDescent="0.3">
      <c r="A210" s="1">
        <v>42.8</v>
      </c>
    </row>
    <row r="211" spans="1:1" x14ac:dyDescent="0.3">
      <c r="A211" s="1">
        <v>33.65</v>
      </c>
    </row>
    <row r="212" spans="1:1" x14ac:dyDescent="0.3">
      <c r="A212" s="1">
        <v>34.482758620689658</v>
      </c>
    </row>
    <row r="213" spans="1:1" x14ac:dyDescent="0.3">
      <c r="A213" s="1">
        <v>36.6</v>
      </c>
    </row>
    <row r="214" spans="1:1" x14ac:dyDescent="0.3">
      <c r="A214" s="1">
        <v>36.142857142857146</v>
      </c>
    </row>
    <row r="215" spans="1:1" x14ac:dyDescent="0.3">
      <c r="A215" s="1">
        <v>29</v>
      </c>
    </row>
    <row r="216" spans="1:1" x14ac:dyDescent="0.3">
      <c r="A216" s="1">
        <v>27.5</v>
      </c>
    </row>
    <row r="217" spans="1:1" x14ac:dyDescent="0.3">
      <c r="A217" s="1">
        <v>32</v>
      </c>
    </row>
    <row r="218" spans="1:1" x14ac:dyDescent="0.3">
      <c r="A218" s="1">
        <v>30.916666666666668</v>
      </c>
    </row>
    <row r="219" spans="1:1" x14ac:dyDescent="0.3">
      <c r="A219" s="1">
        <v>26.222222222222221</v>
      </c>
    </row>
    <row r="220" spans="1:1" x14ac:dyDescent="0.3">
      <c r="A220" s="1">
        <v>25.3</v>
      </c>
    </row>
    <row r="221" spans="1:1" x14ac:dyDescent="0.3">
      <c r="A221" s="1">
        <v>34.25</v>
      </c>
    </row>
    <row r="222" spans="1:1" x14ac:dyDescent="0.3">
      <c r="A222" s="1">
        <v>27.466666666666665</v>
      </c>
    </row>
    <row r="223" spans="1:1" x14ac:dyDescent="0.3">
      <c r="A223" s="1">
        <v>40.4</v>
      </c>
    </row>
    <row r="224" spans="1:1" x14ac:dyDescent="0.3">
      <c r="A224" s="1">
        <v>36.888888888888886</v>
      </c>
    </row>
    <row r="225" spans="1:1" x14ac:dyDescent="0.3">
      <c r="A225" s="1">
        <v>42.1</v>
      </c>
    </row>
    <row r="226" spans="1:1" x14ac:dyDescent="0.3">
      <c r="A226" s="1">
        <v>27.529411764705884</v>
      </c>
    </row>
    <row r="227" spans="1:1" x14ac:dyDescent="0.3">
      <c r="A227" s="1">
        <v>39</v>
      </c>
    </row>
    <row r="228" spans="1:1" x14ac:dyDescent="0.3">
      <c r="A228" s="1">
        <v>40.615384615384613</v>
      </c>
    </row>
    <row r="229" spans="1:1" x14ac:dyDescent="0.3">
      <c r="A229" s="1">
        <v>32.033333333333331</v>
      </c>
    </row>
    <row r="230" spans="1:1" x14ac:dyDescent="0.3">
      <c r="A230" s="1">
        <v>39.692307692307693</v>
      </c>
    </row>
    <row r="231" spans="1:1" x14ac:dyDescent="0.3">
      <c r="A231" s="1">
        <v>31.793103448275861</v>
      </c>
    </row>
    <row r="232" spans="1:1" x14ac:dyDescent="0.3">
      <c r="A232" s="1">
        <v>34.6</v>
      </c>
    </row>
    <row r="233" spans="1:1" x14ac:dyDescent="0.3">
      <c r="A233" s="1">
        <v>41.833333333333336</v>
      </c>
    </row>
    <row r="234" spans="1:1" x14ac:dyDescent="0.3">
      <c r="A234" s="1">
        <v>41.541666666666664</v>
      </c>
    </row>
    <row r="235" spans="1:1" x14ac:dyDescent="0.3">
      <c r="A235" s="1">
        <v>35</v>
      </c>
    </row>
    <row r="236" spans="1:1" x14ac:dyDescent="0.3">
      <c r="A236" s="1">
        <v>34.555555555555557</v>
      </c>
    </row>
    <row r="237" spans="1:1" x14ac:dyDescent="0.3">
      <c r="A237" s="1">
        <v>26.875</v>
      </c>
    </row>
    <row r="238" spans="1:1" x14ac:dyDescent="0.3">
      <c r="A238" s="1">
        <v>33.299999999999997</v>
      </c>
    </row>
    <row r="239" spans="1:1" x14ac:dyDescent="0.3">
      <c r="A239" s="1">
        <v>30.857142857142858</v>
      </c>
    </row>
    <row r="240" spans="1:1" x14ac:dyDescent="0.3">
      <c r="A240" s="1">
        <v>41.470588235294116</v>
      </c>
    </row>
    <row r="241" spans="1:1" x14ac:dyDescent="0.3">
      <c r="A241" s="1">
        <v>31.454545454545453</v>
      </c>
    </row>
    <row r="242" spans="1:1" x14ac:dyDescent="0.3">
      <c r="A242" s="1">
        <v>35.5</v>
      </c>
    </row>
    <row r="243" spans="1:1" x14ac:dyDescent="0.3">
      <c r="A243" s="1">
        <v>33.700000000000003</v>
      </c>
    </row>
    <row r="244" spans="1:1" x14ac:dyDescent="0.3">
      <c r="A244" s="1">
        <v>41.733333333333334</v>
      </c>
    </row>
    <row r="245" spans="1:1" x14ac:dyDescent="0.3">
      <c r="A245" s="1">
        <v>29.375</v>
      </c>
    </row>
    <row r="246" spans="1:1" x14ac:dyDescent="0.3">
      <c r="A246" s="1">
        <v>24.2</v>
      </c>
    </row>
    <row r="247" spans="1:1" x14ac:dyDescent="0.3">
      <c r="A247" s="1">
        <v>31.846153846153847</v>
      </c>
    </row>
    <row r="248" spans="1:1" x14ac:dyDescent="0.3">
      <c r="A248" s="1">
        <v>45.8125</v>
      </c>
    </row>
    <row r="249" spans="1:1" x14ac:dyDescent="0.3">
      <c r="A249" s="1">
        <v>36.80952380952381</v>
      </c>
    </row>
    <row r="250" spans="1:1" x14ac:dyDescent="0.3">
      <c r="A250" s="1">
        <v>27.4</v>
      </c>
    </row>
    <row r="251" spans="1:1" x14ac:dyDescent="0.3">
      <c r="A251" s="1">
        <v>38.733333333333334</v>
      </c>
    </row>
    <row r="252" spans="1:1" x14ac:dyDescent="0.3">
      <c r="A252" s="1">
        <v>46.2</v>
      </c>
    </row>
    <row r="253" spans="1:1" x14ac:dyDescent="0.3">
      <c r="A253" s="1">
        <v>38.72</v>
      </c>
    </row>
    <row r="254" spans="1:1" x14ac:dyDescent="0.3">
      <c r="A254" s="1">
        <v>44</v>
      </c>
    </row>
    <row r="255" spans="1:1" x14ac:dyDescent="0.3">
      <c r="A255" s="1">
        <v>44.857142857142854</v>
      </c>
    </row>
    <row r="256" spans="1:1" x14ac:dyDescent="0.3">
      <c r="A256" s="1">
        <v>38.666666666666664</v>
      </c>
    </row>
    <row r="257" spans="1:1" x14ac:dyDescent="0.3">
      <c r="A257" s="1">
        <v>35.555555555555557</v>
      </c>
    </row>
    <row r="258" spans="1:1" x14ac:dyDescent="0.3">
      <c r="A258" s="1">
        <v>40.333333333333336</v>
      </c>
    </row>
    <row r="259" spans="1:1" x14ac:dyDescent="0.3">
      <c r="A259" s="1">
        <v>25.416666666666668</v>
      </c>
    </row>
    <row r="260" spans="1:1" x14ac:dyDescent="0.3">
      <c r="A260" s="1">
        <v>25.4</v>
      </c>
    </row>
    <row r="261" spans="1:1" x14ac:dyDescent="0.3">
      <c r="A261" s="1">
        <v>36.363636363636367</v>
      </c>
    </row>
    <row r="262" spans="1:1" x14ac:dyDescent="0.3">
      <c r="A262" s="1">
        <v>66</v>
      </c>
    </row>
    <row r="263" spans="1:1" x14ac:dyDescent="0.3">
      <c r="A263" s="1">
        <v>36.454545454545453</v>
      </c>
    </row>
    <row r="264" spans="1:1" x14ac:dyDescent="0.3">
      <c r="A264" s="1">
        <v>42.5</v>
      </c>
    </row>
    <row r="265" spans="1:1" x14ac:dyDescent="0.3">
      <c r="A265" s="1">
        <v>40.5</v>
      </c>
    </row>
    <row r="266" spans="1:1" x14ac:dyDescent="0.3">
      <c r="A266" s="1">
        <v>43.611111111111114</v>
      </c>
    </row>
    <row r="267" spans="1:1" x14ac:dyDescent="0.3">
      <c r="A267" s="1">
        <v>31.5</v>
      </c>
    </row>
    <row r="268" spans="1:1" x14ac:dyDescent="0.3">
      <c r="A268" s="1">
        <v>32.94736842105263</v>
      </c>
    </row>
    <row r="269" spans="1:1" x14ac:dyDescent="0.3">
      <c r="A269" s="1">
        <v>28.75</v>
      </c>
    </row>
    <row r="270" spans="1:1" x14ac:dyDescent="0.3">
      <c r="A270" s="1">
        <v>29</v>
      </c>
    </row>
    <row r="271" spans="1:1" x14ac:dyDescent="0.3">
      <c r="A271" s="1">
        <v>29.666666666666668</v>
      </c>
    </row>
    <row r="272" spans="1:1" x14ac:dyDescent="0.3">
      <c r="A272" s="1">
        <v>28.181818181818183</v>
      </c>
    </row>
    <row r="273" spans="1:1" x14ac:dyDescent="0.3">
      <c r="A273" s="1">
        <v>26.03448275862069</v>
      </c>
    </row>
    <row r="274" spans="1:1" x14ac:dyDescent="0.3">
      <c r="A274" s="1">
        <v>41.421052631578945</v>
      </c>
    </row>
    <row r="275" spans="1:1" x14ac:dyDescent="0.3">
      <c r="A275" s="1">
        <v>36.157894736842103</v>
      </c>
    </row>
    <row r="276" spans="1:1" x14ac:dyDescent="0.3">
      <c r="A276" s="1">
        <v>30.636363636363637</v>
      </c>
    </row>
    <row r="277" spans="1:1" x14ac:dyDescent="0.3">
      <c r="A277" s="1">
        <v>42.625</v>
      </c>
    </row>
    <row r="278" spans="1:1" x14ac:dyDescent="0.3">
      <c r="A278" s="1">
        <v>26.166666666666668</v>
      </c>
    </row>
    <row r="279" spans="1:1" x14ac:dyDescent="0.3">
      <c r="A279" s="1">
        <v>27.352941176470587</v>
      </c>
    </row>
    <row r="280" spans="1:1" x14ac:dyDescent="0.3">
      <c r="A280" s="1">
        <v>32.125</v>
      </c>
    </row>
    <row r="281" spans="1:1" x14ac:dyDescent="0.3">
      <c r="A281" s="1">
        <v>42.75</v>
      </c>
    </row>
    <row r="282" spans="1:1" x14ac:dyDescent="0.3">
      <c r="A282" s="1">
        <v>30.923076923076923</v>
      </c>
    </row>
    <row r="283" spans="1:1" x14ac:dyDescent="0.3">
      <c r="A283" s="1">
        <v>27.37142857142857</v>
      </c>
    </row>
    <row r="284" spans="1:1" x14ac:dyDescent="0.3">
      <c r="A284" s="1">
        <v>29.428571428571427</v>
      </c>
    </row>
    <row r="285" spans="1:1" x14ac:dyDescent="0.3">
      <c r="A285" s="1">
        <v>27.3</v>
      </c>
    </row>
    <row r="286" spans="1:1" x14ac:dyDescent="0.3">
      <c r="A286" s="1">
        <v>32.571428571428569</v>
      </c>
    </row>
    <row r="287" spans="1:1" x14ac:dyDescent="0.3">
      <c r="A287" s="1">
        <v>38.5</v>
      </c>
    </row>
    <row r="288" spans="1:1" x14ac:dyDescent="0.3">
      <c r="A288" s="1">
        <v>34</v>
      </c>
    </row>
    <row r="289" spans="1:1" x14ac:dyDescent="0.3">
      <c r="A289" s="1">
        <v>25.833333333333332</v>
      </c>
    </row>
    <row r="290" spans="1:1" x14ac:dyDescent="0.3">
      <c r="A290" s="1">
        <v>41.736842105263158</v>
      </c>
    </row>
    <row r="291" spans="1:1" x14ac:dyDescent="0.3">
      <c r="A291" s="1">
        <v>46.666666666666664</v>
      </c>
    </row>
    <row r="292" spans="1:1" x14ac:dyDescent="0.3">
      <c r="A292" s="1">
        <v>42.5</v>
      </c>
    </row>
    <row r="293" spans="1:1" x14ac:dyDescent="0.3">
      <c r="A293" s="1">
        <v>33.714285714285715</v>
      </c>
    </row>
    <row r="294" spans="1:1" x14ac:dyDescent="0.3">
      <c r="A294" s="1">
        <v>36.833333333333336</v>
      </c>
    </row>
    <row r="295" spans="1:1" x14ac:dyDescent="0.3">
      <c r="A295" s="1">
        <v>42.5</v>
      </c>
    </row>
    <row r="296" spans="1:1" x14ac:dyDescent="0.3">
      <c r="A296" s="1">
        <v>40.090909090909093</v>
      </c>
    </row>
    <row r="297" spans="1:1" x14ac:dyDescent="0.3">
      <c r="A297" s="1">
        <v>44.4</v>
      </c>
    </row>
    <row r="298" spans="1:1" x14ac:dyDescent="0.3">
      <c r="A298" s="1">
        <v>37.625</v>
      </c>
    </row>
    <row r="299" spans="1:1" x14ac:dyDescent="0.3">
      <c r="A299" s="1">
        <v>37.833333333333336</v>
      </c>
    </row>
    <row r="300" spans="1:1" x14ac:dyDescent="0.3">
      <c r="A300" s="1">
        <v>37.928571428571431</v>
      </c>
    </row>
    <row r="301" spans="1:1" x14ac:dyDescent="0.3">
      <c r="A301" s="1">
        <v>36.75</v>
      </c>
    </row>
    <row r="302" spans="1:1" x14ac:dyDescent="0.3">
      <c r="A302" s="1">
        <v>28.6875</v>
      </c>
    </row>
    <row r="303" spans="1:1" x14ac:dyDescent="0.3">
      <c r="A303" s="1">
        <v>19</v>
      </c>
    </row>
    <row r="304" spans="1:1" x14ac:dyDescent="0.3">
      <c r="A304" s="1">
        <v>29.304347826086957</v>
      </c>
    </row>
    <row r="305" spans="1:1" x14ac:dyDescent="0.3">
      <c r="A305" s="1">
        <v>42</v>
      </c>
    </row>
    <row r="306" spans="1:1" x14ac:dyDescent="0.3">
      <c r="A306" s="1">
        <v>39.909090909090907</v>
      </c>
    </row>
    <row r="307" spans="1:1" x14ac:dyDescent="0.3">
      <c r="A307" s="1">
        <v>38.875</v>
      </c>
    </row>
    <row r="308" spans="1:1" x14ac:dyDescent="0.3">
      <c r="A308" s="1">
        <v>36.4</v>
      </c>
    </row>
    <row r="309" spans="1:1" x14ac:dyDescent="0.3">
      <c r="A309" s="1">
        <v>38.25</v>
      </c>
    </row>
    <row r="310" spans="1:1" x14ac:dyDescent="0.3">
      <c r="A310" s="1">
        <v>26.454545454545453</v>
      </c>
    </row>
    <row r="311" spans="1:1" x14ac:dyDescent="0.3">
      <c r="A311" s="1">
        <v>17</v>
      </c>
    </row>
    <row r="312" spans="1:1" x14ac:dyDescent="0.3">
      <c r="A312" s="1">
        <v>29</v>
      </c>
    </row>
    <row r="313" spans="1:1" x14ac:dyDescent="0.3">
      <c r="A313" s="1">
        <v>55</v>
      </c>
    </row>
    <row r="314" spans="1:1" x14ac:dyDescent="0.3">
      <c r="A314" s="1">
        <v>38.479999999999997</v>
      </c>
    </row>
    <row r="315" spans="1:1" x14ac:dyDescent="0.3">
      <c r="A315" s="1">
        <v>33.92307692307692</v>
      </c>
    </row>
    <row r="316" spans="1:1" x14ac:dyDescent="0.3">
      <c r="A316" s="1">
        <v>40.06666666666667</v>
      </c>
    </row>
    <row r="317" spans="1:1" x14ac:dyDescent="0.3">
      <c r="A317" s="1">
        <v>29.90909090909091</v>
      </c>
    </row>
    <row r="318" spans="1:1" x14ac:dyDescent="0.3">
      <c r="A318" s="1">
        <v>40.111111111111114</v>
      </c>
    </row>
    <row r="319" spans="1:1" x14ac:dyDescent="0.3">
      <c r="A319" s="1">
        <v>34.888888888888886</v>
      </c>
    </row>
    <row r="320" spans="1:1" x14ac:dyDescent="0.3">
      <c r="A320" s="1">
        <v>25.735294117647058</v>
      </c>
    </row>
    <row r="321" spans="1:1" x14ac:dyDescent="0.3">
      <c r="A321" s="1">
        <v>39.428571428571431</v>
      </c>
    </row>
    <row r="322" spans="1:1" x14ac:dyDescent="0.3">
      <c r="A322" s="1">
        <v>32.799999999999997</v>
      </c>
    </row>
    <row r="323" spans="1:1" x14ac:dyDescent="0.3">
      <c r="A323" s="1">
        <v>36.884615384615387</v>
      </c>
    </row>
    <row r="324" spans="1:1" x14ac:dyDescent="0.3">
      <c r="A324" s="1">
        <v>26.48</v>
      </c>
    </row>
    <row r="325" spans="1:1" x14ac:dyDescent="0.3">
      <c r="A325" s="1">
        <v>36.6</v>
      </c>
    </row>
    <row r="326" spans="1:1" x14ac:dyDescent="0.3">
      <c r="A326" s="1">
        <v>39.80952380952381</v>
      </c>
    </row>
    <row r="327" spans="1:1" x14ac:dyDescent="0.3">
      <c r="A327" s="1">
        <v>34.450000000000003</v>
      </c>
    </row>
    <row r="328" spans="1:1" x14ac:dyDescent="0.3">
      <c r="A328" s="1">
        <v>37.545454545454547</v>
      </c>
    </row>
    <row r="329" spans="1:1" x14ac:dyDescent="0.3">
      <c r="A329" s="1">
        <v>38.176470588235297</v>
      </c>
    </row>
    <row r="330" spans="1:1" x14ac:dyDescent="0.3">
      <c r="A330" s="1">
        <v>26.09375</v>
      </c>
    </row>
    <row r="331" spans="1:1" x14ac:dyDescent="0.3">
      <c r="A331" s="1">
        <v>34.583333333333336</v>
      </c>
    </row>
    <row r="332" spans="1:1" x14ac:dyDescent="0.3">
      <c r="A332" s="1">
        <v>28.68</v>
      </c>
    </row>
    <row r="333" spans="1:1" x14ac:dyDescent="0.3">
      <c r="A333" s="1">
        <v>36.411764705882355</v>
      </c>
    </row>
    <row r="334" spans="1:1" x14ac:dyDescent="0.3">
      <c r="A334" s="1">
        <v>42</v>
      </c>
    </row>
    <row r="335" spans="1:1" x14ac:dyDescent="0.3">
      <c r="A335" s="1">
        <v>25.736842105263158</v>
      </c>
    </row>
    <row r="336" spans="1:1" x14ac:dyDescent="0.3">
      <c r="A336" s="1">
        <v>21</v>
      </c>
    </row>
    <row r="337" spans="1:1" x14ac:dyDescent="0.3">
      <c r="A337" s="1">
        <v>28.625</v>
      </c>
    </row>
    <row r="338" spans="1:1" x14ac:dyDescent="0.3">
      <c r="A338" s="1">
        <v>32.81818181818182</v>
      </c>
    </row>
    <row r="339" spans="1:1" x14ac:dyDescent="0.3">
      <c r="A339" s="1">
        <v>39.05263157894737</v>
      </c>
    </row>
    <row r="340" spans="1:1" x14ac:dyDescent="0.3">
      <c r="A340" s="1">
        <v>27.894736842105264</v>
      </c>
    </row>
    <row r="341" spans="1:1" x14ac:dyDescent="0.3">
      <c r="A341" s="1">
        <v>38.269230769230766</v>
      </c>
    </row>
    <row r="342" spans="1:1" x14ac:dyDescent="0.3">
      <c r="A342" s="1">
        <v>34.260869565217391</v>
      </c>
    </row>
    <row r="343" spans="1:1" x14ac:dyDescent="0.3">
      <c r="A343" s="1">
        <v>34.666666666666664</v>
      </c>
    </row>
    <row r="344" spans="1:1" x14ac:dyDescent="0.3">
      <c r="A344" s="1">
        <v>45.545454545454547</v>
      </c>
    </row>
    <row r="345" spans="1:1" x14ac:dyDescent="0.3">
      <c r="A345" s="1">
        <v>37</v>
      </c>
    </row>
    <row r="346" spans="1:1" x14ac:dyDescent="0.3">
      <c r="A346" s="1">
        <v>33.541666666666664</v>
      </c>
    </row>
    <row r="347" spans="1:1" x14ac:dyDescent="0.3">
      <c r="A347" s="1">
        <v>44.05</v>
      </c>
    </row>
    <row r="348" spans="1:1" x14ac:dyDescent="0.3">
      <c r="A348" s="1">
        <v>26.764705882352942</v>
      </c>
    </row>
    <row r="349" spans="1:1" x14ac:dyDescent="0.3">
      <c r="A349" s="1">
        <v>42.125</v>
      </c>
    </row>
    <row r="350" spans="1:1" x14ac:dyDescent="0.3">
      <c r="A350" s="1">
        <v>44.285714285714285</v>
      </c>
    </row>
    <row r="351" spans="1:1" x14ac:dyDescent="0.3">
      <c r="A351" s="1">
        <v>35.5</v>
      </c>
    </row>
    <row r="352" spans="1:1" x14ac:dyDescent="0.3">
      <c r="A352" s="1">
        <v>45.3125</v>
      </c>
    </row>
    <row r="353" spans="1:1" x14ac:dyDescent="0.3">
      <c r="A353" s="1">
        <v>25.444444444444443</v>
      </c>
    </row>
    <row r="354" spans="1:1" x14ac:dyDescent="0.3">
      <c r="A354" s="1">
        <v>32.411764705882355</v>
      </c>
    </row>
    <row r="355" spans="1:1" x14ac:dyDescent="0.3">
      <c r="A355" s="1">
        <v>44.333333333333336</v>
      </c>
    </row>
    <row r="356" spans="1:1" x14ac:dyDescent="0.3">
      <c r="A356" s="1">
        <v>36.058823529411768</v>
      </c>
    </row>
    <row r="357" spans="1:1" x14ac:dyDescent="0.3">
      <c r="A357" s="1">
        <v>34.666666666666664</v>
      </c>
    </row>
    <row r="358" spans="1:1" x14ac:dyDescent="0.3">
      <c r="A358" s="1">
        <v>35.571428571428569</v>
      </c>
    </row>
    <row r="359" spans="1:1" x14ac:dyDescent="0.3">
      <c r="A359" s="1">
        <v>33.3125</v>
      </c>
    </row>
    <row r="360" spans="1:1" x14ac:dyDescent="0.3">
      <c r="A360" s="1">
        <v>30.818181818181817</v>
      </c>
    </row>
    <row r="361" spans="1:1" x14ac:dyDescent="0.3">
      <c r="A361" s="1">
        <v>12</v>
      </c>
    </row>
    <row r="362" spans="1:1" x14ac:dyDescent="0.3">
      <c r="A362" s="1">
        <v>41</v>
      </c>
    </row>
    <row r="363" spans="1:1" x14ac:dyDescent="0.3">
      <c r="A363" s="1">
        <v>32</v>
      </c>
    </row>
    <row r="364" spans="1:1" x14ac:dyDescent="0.3">
      <c r="A364" s="1">
        <v>33.090909090909093</v>
      </c>
    </row>
    <row r="365" spans="1:1" x14ac:dyDescent="0.3">
      <c r="A365" s="1">
        <v>30.5</v>
      </c>
    </row>
    <row r="366" spans="1:1" x14ac:dyDescent="0.3">
      <c r="A366" s="1">
        <v>38.200000000000003</v>
      </c>
    </row>
    <row r="367" spans="1:1" x14ac:dyDescent="0.3">
      <c r="A367" s="1">
        <v>26.238095238095237</v>
      </c>
    </row>
    <row r="368" spans="1:1" x14ac:dyDescent="0.3">
      <c r="A368" s="1">
        <v>33.049999999999997</v>
      </c>
    </row>
    <row r="369" spans="1:1" x14ac:dyDescent="0.3">
      <c r="A369" s="1">
        <v>33.64</v>
      </c>
    </row>
    <row r="370" spans="1:1" x14ac:dyDescent="0.3">
      <c r="A370" s="1">
        <v>43.571428571428569</v>
      </c>
    </row>
    <row r="371" spans="1:1" x14ac:dyDescent="0.3">
      <c r="A371" s="1">
        <v>41.888888888888886</v>
      </c>
    </row>
    <row r="372" spans="1:1" x14ac:dyDescent="0.3">
      <c r="A372" s="1">
        <v>44.53846153846154</v>
      </c>
    </row>
    <row r="373" spans="1:1" x14ac:dyDescent="0.3">
      <c r="A373" s="1">
        <v>27</v>
      </c>
    </row>
    <row r="374" spans="1:1" x14ac:dyDescent="0.3">
      <c r="A374" s="1">
        <v>40</v>
      </c>
    </row>
    <row r="375" spans="1:1" x14ac:dyDescent="0.3">
      <c r="A375" s="1">
        <v>28.814814814814813</v>
      </c>
    </row>
    <row r="376" spans="1:1" x14ac:dyDescent="0.3">
      <c r="A376" s="1">
        <v>35.6</v>
      </c>
    </row>
    <row r="377" spans="1:1" x14ac:dyDescent="0.3">
      <c r="A377" s="1">
        <v>30.333333333333332</v>
      </c>
    </row>
    <row r="378" spans="1:1" x14ac:dyDescent="0.3">
      <c r="A378" s="1">
        <v>35.666666666666664</v>
      </c>
    </row>
    <row r="379" spans="1:1" x14ac:dyDescent="0.3">
      <c r="A379" s="1">
        <v>34.578947368421055</v>
      </c>
    </row>
    <row r="380" spans="1:1" x14ac:dyDescent="0.3">
      <c r="A380" s="1">
        <v>36.666666666666664</v>
      </c>
    </row>
    <row r="381" spans="1:1" x14ac:dyDescent="0.3">
      <c r="A381" s="1">
        <v>36.5</v>
      </c>
    </row>
    <row r="382" spans="1:1" x14ac:dyDescent="0.3">
      <c r="A382" s="1">
        <v>38.227272727272727</v>
      </c>
    </row>
    <row r="383" spans="1:1" x14ac:dyDescent="0.3">
      <c r="A383" s="1">
        <v>30.523809523809526</v>
      </c>
    </row>
    <row r="384" spans="1:1" x14ac:dyDescent="0.3">
      <c r="A384" s="1">
        <v>26</v>
      </c>
    </row>
    <row r="385" spans="1:1" x14ac:dyDescent="0.3">
      <c r="A385" s="1">
        <v>36.214285714285715</v>
      </c>
    </row>
    <row r="386" spans="1:1" x14ac:dyDescent="0.3">
      <c r="A386" s="1">
        <v>24.375</v>
      </c>
    </row>
    <row r="387" spans="1:1" x14ac:dyDescent="0.3">
      <c r="A387" s="1">
        <v>36.5</v>
      </c>
    </row>
    <row r="388" spans="1:1" x14ac:dyDescent="0.3">
      <c r="A388" s="1">
        <v>32</v>
      </c>
    </row>
    <row r="389" spans="1:1" x14ac:dyDescent="0.3">
      <c r="A389" s="1">
        <v>34.571428571428569</v>
      </c>
    </row>
    <row r="390" spans="1:1" x14ac:dyDescent="0.3">
      <c r="A390" s="1">
        <v>29.5</v>
      </c>
    </row>
    <row r="391" spans="1:1" x14ac:dyDescent="0.3">
      <c r="A391" s="1">
        <v>27.64</v>
      </c>
    </row>
    <row r="392" spans="1:1" x14ac:dyDescent="0.3">
      <c r="A392" s="1">
        <v>30.4</v>
      </c>
    </row>
    <row r="393" spans="1:1" x14ac:dyDescent="0.3">
      <c r="A393" s="1">
        <v>28.59090909090909</v>
      </c>
    </row>
    <row r="394" spans="1:1" x14ac:dyDescent="0.3">
      <c r="A394" s="1">
        <v>25.852941176470587</v>
      </c>
    </row>
    <row r="395" spans="1:1" x14ac:dyDescent="0.3">
      <c r="A395" s="1">
        <v>42.714285714285715</v>
      </c>
    </row>
    <row r="396" spans="1:1" x14ac:dyDescent="0.3">
      <c r="A396" s="1">
        <v>32.421052631578945</v>
      </c>
    </row>
    <row r="397" spans="1:1" x14ac:dyDescent="0.3">
      <c r="A397" s="1">
        <v>45.416666666666664</v>
      </c>
    </row>
    <row r="398" spans="1:1" x14ac:dyDescent="0.3">
      <c r="A398" s="1">
        <v>32.962962962962962</v>
      </c>
    </row>
    <row r="399" spans="1:1" x14ac:dyDescent="0.3">
      <c r="A399" s="1">
        <v>28.541666666666668</v>
      </c>
    </row>
    <row r="400" spans="1:1" x14ac:dyDescent="0.3">
      <c r="A400" s="1">
        <v>26.454545454545453</v>
      </c>
    </row>
    <row r="401" spans="1:1" x14ac:dyDescent="0.3">
      <c r="A401" s="1">
        <v>34.6</v>
      </c>
    </row>
    <row r="402" spans="1:1" x14ac:dyDescent="0.3">
      <c r="A402" s="1">
        <v>43.583333333333336</v>
      </c>
    </row>
    <row r="403" spans="1:1" x14ac:dyDescent="0.3">
      <c r="A403" s="1">
        <v>29.444444444444443</v>
      </c>
    </row>
    <row r="404" spans="1:1" x14ac:dyDescent="0.3">
      <c r="A404" s="1">
        <v>29.38095238095238</v>
      </c>
    </row>
    <row r="405" spans="1:1" x14ac:dyDescent="0.3">
      <c r="A405" s="1">
        <v>38.526315789473685</v>
      </c>
    </row>
    <row r="406" spans="1:1" x14ac:dyDescent="0.3">
      <c r="A406" s="1">
        <v>27.25</v>
      </c>
    </row>
    <row r="407" spans="1:1" x14ac:dyDescent="0.3">
      <c r="A407" s="1">
        <v>29.565217391304348</v>
      </c>
    </row>
    <row r="408" spans="1:1" x14ac:dyDescent="0.3">
      <c r="A408" s="1">
        <v>30.923076923076923</v>
      </c>
    </row>
    <row r="409" spans="1:1" x14ac:dyDescent="0.3">
      <c r="A409" s="1">
        <v>43.428571428571431</v>
      </c>
    </row>
    <row r="410" spans="1:1" x14ac:dyDescent="0.3">
      <c r="A410" s="1">
        <v>33.266666666666666</v>
      </c>
    </row>
    <row r="411" spans="1:1" x14ac:dyDescent="0.3">
      <c r="A411" s="1">
        <v>28.958333333333332</v>
      </c>
    </row>
    <row r="412" spans="1:1" x14ac:dyDescent="0.3">
      <c r="A412" s="1">
        <v>32.736842105263158</v>
      </c>
    </row>
    <row r="413" spans="1:1" x14ac:dyDescent="0.3">
      <c r="A413" s="1">
        <v>30.4</v>
      </c>
    </row>
    <row r="414" spans="1:1" x14ac:dyDescent="0.3">
      <c r="A414" s="1">
        <v>43.142857142857146</v>
      </c>
    </row>
    <row r="415" spans="1:1" x14ac:dyDescent="0.3">
      <c r="A415" s="1">
        <v>27.333333333333332</v>
      </c>
    </row>
    <row r="416" spans="1:1" x14ac:dyDescent="0.3">
      <c r="A416" s="1">
        <v>38.76</v>
      </c>
    </row>
    <row r="417" spans="1:1" x14ac:dyDescent="0.3">
      <c r="A417" s="1">
        <v>35.333333333333336</v>
      </c>
    </row>
    <row r="418" spans="1:1" x14ac:dyDescent="0.3">
      <c r="A418" s="1">
        <v>35.692307692307693</v>
      </c>
    </row>
    <row r="419" spans="1:1" x14ac:dyDescent="0.3">
      <c r="A419" s="1">
        <v>33.333333333333336</v>
      </c>
    </row>
    <row r="420" spans="1:1" x14ac:dyDescent="0.3">
      <c r="A420" s="1">
        <v>32.125</v>
      </c>
    </row>
    <row r="421" spans="1:1" x14ac:dyDescent="0.3">
      <c r="A421" s="1">
        <v>34.692307692307693</v>
      </c>
    </row>
    <row r="422" spans="1:1" x14ac:dyDescent="0.3">
      <c r="A422" s="1">
        <v>38.299999999999997</v>
      </c>
    </row>
    <row r="423" spans="1:1" x14ac:dyDescent="0.3">
      <c r="A423" s="1">
        <v>31</v>
      </c>
    </row>
    <row r="424" spans="1:1" x14ac:dyDescent="0.3">
      <c r="A424" s="1">
        <v>38.799999999999997</v>
      </c>
    </row>
    <row r="425" spans="1:1" x14ac:dyDescent="0.3">
      <c r="A425" s="1">
        <v>31.2</v>
      </c>
    </row>
    <row r="426" spans="1:1" x14ac:dyDescent="0.3">
      <c r="A426" s="1">
        <v>21.5</v>
      </c>
    </row>
    <row r="427" spans="1:1" x14ac:dyDescent="0.3">
      <c r="A427" s="1">
        <v>36.952380952380949</v>
      </c>
    </row>
    <row r="428" spans="1:1" x14ac:dyDescent="0.3">
      <c r="A428" s="1">
        <v>33</v>
      </c>
    </row>
    <row r="429" spans="1:1" x14ac:dyDescent="0.3">
      <c r="A429" s="1">
        <v>33.799999999999997</v>
      </c>
    </row>
    <row r="430" spans="1:1" x14ac:dyDescent="0.3">
      <c r="A430" s="1">
        <v>43.285714285714285</v>
      </c>
    </row>
    <row r="431" spans="1:1" x14ac:dyDescent="0.3">
      <c r="A431" s="1">
        <v>36.739130434782609</v>
      </c>
    </row>
    <row r="432" spans="1:1" x14ac:dyDescent="0.3">
      <c r="A432" s="1">
        <v>30.260869565217391</v>
      </c>
    </row>
    <row r="433" spans="1:1" x14ac:dyDescent="0.3">
      <c r="A433" s="1">
        <v>42.89473684210526</v>
      </c>
    </row>
    <row r="434" spans="1:1" x14ac:dyDescent="0.3">
      <c r="A434" s="1">
        <v>47</v>
      </c>
    </row>
    <row r="435" spans="1:1" x14ac:dyDescent="0.3">
      <c r="A435" s="1">
        <v>29.178571428571427</v>
      </c>
    </row>
    <row r="436" spans="1:1" x14ac:dyDescent="0.3">
      <c r="A436" s="1">
        <v>41</v>
      </c>
    </row>
    <row r="437" spans="1:1" x14ac:dyDescent="0.3">
      <c r="A437" s="1">
        <v>28.857142857142858</v>
      </c>
    </row>
    <row r="438" spans="1:1" x14ac:dyDescent="0.3">
      <c r="A438" s="1">
        <v>24.9375</v>
      </c>
    </row>
    <row r="439" spans="1:1" x14ac:dyDescent="0.3">
      <c r="A439" s="1">
        <v>33</v>
      </c>
    </row>
    <row r="440" spans="1:1" x14ac:dyDescent="0.3">
      <c r="A440" s="1">
        <v>27.028571428571428</v>
      </c>
    </row>
    <row r="441" spans="1:1" x14ac:dyDescent="0.3">
      <c r="A441" s="1">
        <v>31.894736842105264</v>
      </c>
    </row>
    <row r="442" spans="1:1" x14ac:dyDescent="0.3">
      <c r="A442" s="1">
        <v>37.285714285714285</v>
      </c>
    </row>
    <row r="443" spans="1:1" x14ac:dyDescent="0.3">
      <c r="A443" s="1">
        <v>43.5</v>
      </c>
    </row>
    <row r="444" spans="1:1" x14ac:dyDescent="0.3">
      <c r="A444" s="1">
        <v>32.06666666666667</v>
      </c>
    </row>
    <row r="445" spans="1:1" x14ac:dyDescent="0.3">
      <c r="A445" s="1">
        <v>33.793103448275865</v>
      </c>
    </row>
    <row r="446" spans="1:1" x14ac:dyDescent="0.3">
      <c r="A446" s="1">
        <v>38.07692307692308</v>
      </c>
    </row>
    <row r="447" spans="1:1" x14ac:dyDescent="0.3">
      <c r="A447" s="1">
        <v>44.666666666666664</v>
      </c>
    </row>
    <row r="448" spans="1:1" x14ac:dyDescent="0.3">
      <c r="A448" s="1">
        <v>29.5</v>
      </c>
    </row>
    <row r="449" spans="1:1" x14ac:dyDescent="0.3">
      <c r="A449" s="1">
        <v>46.666666666666664</v>
      </c>
    </row>
    <row r="450" spans="1:1" x14ac:dyDescent="0.3">
      <c r="A450" s="1">
        <v>41.3</v>
      </c>
    </row>
    <row r="451" spans="1:1" x14ac:dyDescent="0.3">
      <c r="A451" s="1">
        <v>29</v>
      </c>
    </row>
    <row r="452" spans="1:1" x14ac:dyDescent="0.3">
      <c r="A452" s="1">
        <v>34</v>
      </c>
    </row>
    <row r="453" spans="1:1" x14ac:dyDescent="0.3">
      <c r="A453" s="1">
        <v>39</v>
      </c>
    </row>
    <row r="454" spans="1:1" x14ac:dyDescent="0.3">
      <c r="A454" s="1">
        <v>36.5</v>
      </c>
    </row>
    <row r="455" spans="1:1" x14ac:dyDescent="0.3">
      <c r="A455" s="1">
        <v>26.375</v>
      </c>
    </row>
    <row r="456" spans="1:1" x14ac:dyDescent="0.3">
      <c r="A456" s="1">
        <v>42</v>
      </c>
    </row>
    <row r="457" spans="1:1" x14ac:dyDescent="0.3">
      <c r="A457" s="1">
        <v>41.89473684210526</v>
      </c>
    </row>
    <row r="458" spans="1:1" x14ac:dyDescent="0.3">
      <c r="A458" s="1">
        <v>39.846153846153847</v>
      </c>
    </row>
    <row r="459" spans="1:1" x14ac:dyDescent="0.3">
      <c r="A459" s="1">
        <v>45.5</v>
      </c>
    </row>
    <row r="460" spans="1:1" x14ac:dyDescent="0.3">
      <c r="A460" s="1">
        <v>29.238095238095237</v>
      </c>
    </row>
    <row r="461" spans="1:1" x14ac:dyDescent="0.3">
      <c r="A461" s="1">
        <v>26.971428571428572</v>
      </c>
    </row>
    <row r="462" spans="1:1" x14ac:dyDescent="0.3">
      <c r="A462" s="1">
        <v>28.533333333333335</v>
      </c>
    </row>
    <row r="463" spans="1:1" x14ac:dyDescent="0.3">
      <c r="A463" s="1">
        <v>38.5</v>
      </c>
    </row>
    <row r="464" spans="1:1" x14ac:dyDescent="0.3">
      <c r="A464" s="1">
        <v>36.722222222222221</v>
      </c>
    </row>
    <row r="465" spans="1:1" x14ac:dyDescent="0.3">
      <c r="A465" s="1">
        <v>40.307692307692307</v>
      </c>
    </row>
    <row r="466" spans="1:1" x14ac:dyDescent="0.3">
      <c r="A466" s="1">
        <v>29.375</v>
      </c>
    </row>
    <row r="467" spans="1:1" x14ac:dyDescent="0.3">
      <c r="A467" s="1">
        <v>37.6</v>
      </c>
    </row>
    <row r="468" spans="1:1" x14ac:dyDescent="0.3">
      <c r="A468" s="1">
        <v>29.928571428571427</v>
      </c>
    </row>
    <row r="469" spans="1:1" x14ac:dyDescent="0.3">
      <c r="A469" s="1">
        <v>22</v>
      </c>
    </row>
    <row r="470" spans="1:1" x14ac:dyDescent="0.3">
      <c r="A470" s="1">
        <v>31.15625</v>
      </c>
    </row>
    <row r="471" spans="1:1" x14ac:dyDescent="0.3">
      <c r="A471" s="1">
        <v>42.142857142857146</v>
      </c>
    </row>
    <row r="472" spans="1:1" x14ac:dyDescent="0.3">
      <c r="A472" s="1">
        <v>25.266666666666666</v>
      </c>
    </row>
    <row r="473" spans="1:1" x14ac:dyDescent="0.3">
      <c r="A473" s="1">
        <v>39.5</v>
      </c>
    </row>
    <row r="474" spans="1:1" x14ac:dyDescent="0.3">
      <c r="A474" s="1">
        <v>34.799999999999997</v>
      </c>
    </row>
    <row r="475" spans="1:1" x14ac:dyDescent="0.3">
      <c r="A475" s="1">
        <v>26.807692307692307</v>
      </c>
    </row>
    <row r="476" spans="1:1" x14ac:dyDescent="0.3">
      <c r="A476" s="1">
        <v>29.428571428571427</v>
      </c>
    </row>
    <row r="477" spans="1:1" x14ac:dyDescent="0.3">
      <c r="A477" s="1">
        <v>27.083333333333332</v>
      </c>
    </row>
    <row r="478" spans="1:1" x14ac:dyDescent="0.3">
      <c r="A478" s="1">
        <v>34.846153846153847</v>
      </c>
    </row>
    <row r="479" spans="1:1" x14ac:dyDescent="0.3">
      <c r="A479" s="1">
        <v>33.409090909090907</v>
      </c>
    </row>
    <row r="480" spans="1:1" x14ac:dyDescent="0.3">
      <c r="A480" s="1">
        <v>29.166666666666668</v>
      </c>
    </row>
    <row r="481" spans="1:1" x14ac:dyDescent="0.3">
      <c r="A481" s="1">
        <v>25.277777777777779</v>
      </c>
    </row>
    <row r="482" spans="1:1" x14ac:dyDescent="0.3">
      <c r="A482" s="1">
        <v>41.1</v>
      </c>
    </row>
    <row r="483" spans="1:1" x14ac:dyDescent="0.3">
      <c r="A483" s="1">
        <v>34.25</v>
      </c>
    </row>
    <row r="484" spans="1:1" x14ac:dyDescent="0.3">
      <c r="A484" s="1">
        <v>36.217391304347828</v>
      </c>
    </row>
    <row r="485" spans="1:1" x14ac:dyDescent="0.3">
      <c r="A485" s="1">
        <v>26.366666666666667</v>
      </c>
    </row>
    <row r="486" spans="1:1" x14ac:dyDescent="0.3">
      <c r="A486" s="1">
        <v>26.875</v>
      </c>
    </row>
    <row r="487" spans="1:1" x14ac:dyDescent="0.3">
      <c r="A487" s="1">
        <v>28.285714285714285</v>
      </c>
    </row>
    <row r="488" spans="1:1" x14ac:dyDescent="0.3">
      <c r="A488" s="1">
        <v>29.071428571428573</v>
      </c>
    </row>
    <row r="489" spans="1:1" x14ac:dyDescent="0.3">
      <c r="A489" s="1">
        <v>35.058823529411768</v>
      </c>
    </row>
    <row r="490" spans="1:1" x14ac:dyDescent="0.3">
      <c r="A490" s="1">
        <v>27.133333333333333</v>
      </c>
    </row>
    <row r="491" spans="1:1" x14ac:dyDescent="0.3">
      <c r="A491" s="1">
        <v>38.714285714285715</v>
      </c>
    </row>
    <row r="492" spans="1:1" x14ac:dyDescent="0.3">
      <c r="A492" s="1">
        <v>24</v>
      </c>
    </row>
    <row r="493" spans="1:1" x14ac:dyDescent="0.3">
      <c r="A493" s="1">
        <v>27.833333333333332</v>
      </c>
    </row>
    <row r="494" spans="1:1" x14ac:dyDescent="0.3">
      <c r="A494" s="1">
        <v>26.675675675675677</v>
      </c>
    </row>
    <row r="495" spans="1:1" x14ac:dyDescent="0.3">
      <c r="A495" s="1">
        <v>38.4375</v>
      </c>
    </row>
    <row r="496" spans="1:1" x14ac:dyDescent="0.3">
      <c r="A496" s="1">
        <v>32</v>
      </c>
    </row>
    <row r="497" spans="1:1" x14ac:dyDescent="0.3">
      <c r="A497" s="1">
        <v>44.2</v>
      </c>
    </row>
    <row r="498" spans="1:1" x14ac:dyDescent="0.3">
      <c r="A498" s="1">
        <v>41.333333333333336</v>
      </c>
    </row>
    <row r="499" spans="1:1" x14ac:dyDescent="0.3">
      <c r="A499" s="1">
        <v>27.137931034482758</v>
      </c>
    </row>
    <row r="500" spans="1:1" x14ac:dyDescent="0.3">
      <c r="A500" s="1">
        <v>27.357142857142858</v>
      </c>
    </row>
    <row r="501" spans="1:1" x14ac:dyDescent="0.3">
      <c r="A501" s="1">
        <v>31</v>
      </c>
    </row>
    <row r="502" spans="1:1" x14ac:dyDescent="0.3">
      <c r="A502" s="1">
        <v>26.142857142857142</v>
      </c>
    </row>
    <row r="503" spans="1:1" x14ac:dyDescent="0.3">
      <c r="A503" s="1">
        <v>36.81818181818182</v>
      </c>
    </row>
    <row r="504" spans="1:1" x14ac:dyDescent="0.3">
      <c r="A504" s="1">
        <v>27.625</v>
      </c>
    </row>
    <row r="505" spans="1:1" x14ac:dyDescent="0.3">
      <c r="A505" s="1">
        <v>45.333333333333336</v>
      </c>
    </row>
    <row r="506" spans="1:1" x14ac:dyDescent="0.3">
      <c r="A506" s="1">
        <v>28.333333333333332</v>
      </c>
    </row>
    <row r="507" spans="1:1" x14ac:dyDescent="0.3">
      <c r="A507" s="1">
        <v>43.666666666666664</v>
      </c>
    </row>
    <row r="508" spans="1:1" x14ac:dyDescent="0.3">
      <c r="A508" s="1">
        <v>43.454545454545453</v>
      </c>
    </row>
    <row r="509" spans="1:1" x14ac:dyDescent="0.3">
      <c r="A509" s="1">
        <v>36.730769230769234</v>
      </c>
    </row>
    <row r="510" spans="1:1" x14ac:dyDescent="0.3">
      <c r="A510" s="1">
        <v>28.357142857142858</v>
      </c>
    </row>
    <row r="511" spans="1:1" x14ac:dyDescent="0.3">
      <c r="A511" s="1">
        <v>36.444444444444443</v>
      </c>
    </row>
    <row r="512" spans="1:1" x14ac:dyDescent="0.3">
      <c r="A512" s="1">
        <v>38.666666666666664</v>
      </c>
    </row>
    <row r="513" spans="1:1" x14ac:dyDescent="0.3">
      <c r="A513" s="1">
        <v>30.473684210526315</v>
      </c>
    </row>
    <row r="514" spans="1:1" x14ac:dyDescent="0.3">
      <c r="A514" s="1">
        <v>32.571428571428569</v>
      </c>
    </row>
    <row r="515" spans="1:1" x14ac:dyDescent="0.3">
      <c r="A515" s="1">
        <v>37.888888888888886</v>
      </c>
    </row>
    <row r="516" spans="1:1" x14ac:dyDescent="0.3">
      <c r="A516" s="1">
        <v>42.07692307692308</v>
      </c>
    </row>
    <row r="517" spans="1:1" x14ac:dyDescent="0.3">
      <c r="A517" s="1">
        <v>37.583333333333336</v>
      </c>
    </row>
    <row r="518" spans="1:1" x14ac:dyDescent="0.3">
      <c r="A518" s="1">
        <v>41.125</v>
      </c>
    </row>
    <row r="519" spans="1:1" x14ac:dyDescent="0.3">
      <c r="A519" s="1">
        <v>41.06666666666667</v>
      </c>
    </row>
    <row r="520" spans="1:1" x14ac:dyDescent="0.3">
      <c r="A520" s="1">
        <v>31.666666666666668</v>
      </c>
    </row>
    <row r="521" spans="1:1" x14ac:dyDescent="0.3">
      <c r="A521" s="1">
        <v>29</v>
      </c>
    </row>
    <row r="522" spans="1:1" x14ac:dyDescent="0.3">
      <c r="A522" s="1">
        <v>32</v>
      </c>
    </row>
    <row r="523" spans="1:1" x14ac:dyDescent="0.3">
      <c r="A523" s="1">
        <v>26.625</v>
      </c>
    </row>
    <row r="524" spans="1:1" x14ac:dyDescent="0.3">
      <c r="A524" s="1">
        <v>29</v>
      </c>
    </row>
    <row r="525" spans="1:1" x14ac:dyDescent="0.3">
      <c r="A525" s="1">
        <v>24.941176470588236</v>
      </c>
    </row>
    <row r="526" spans="1:1" x14ac:dyDescent="0.3">
      <c r="A526" s="1">
        <v>39.692307692307693</v>
      </c>
    </row>
    <row r="527" spans="1:1" x14ac:dyDescent="0.3">
      <c r="A527" s="1">
        <v>24.333333333333332</v>
      </c>
    </row>
    <row r="528" spans="1:1" x14ac:dyDescent="0.3">
      <c r="A528" s="1">
        <v>36.5</v>
      </c>
    </row>
    <row r="529" spans="1:1" x14ac:dyDescent="0.3">
      <c r="A529" s="1">
        <v>29.5</v>
      </c>
    </row>
    <row r="530" spans="1:1" x14ac:dyDescent="0.3">
      <c r="A530" s="1">
        <v>24.625</v>
      </c>
    </row>
    <row r="531" spans="1:1" x14ac:dyDescent="0.3">
      <c r="A531" s="1">
        <v>35.866666666666667</v>
      </c>
    </row>
    <row r="532" spans="1:1" x14ac:dyDescent="0.3">
      <c r="A532" s="1">
        <v>29.545454545454547</v>
      </c>
    </row>
    <row r="533" spans="1:1" x14ac:dyDescent="0.3">
      <c r="A533" s="1">
        <v>35.450000000000003</v>
      </c>
    </row>
    <row r="534" spans="1:1" x14ac:dyDescent="0.3">
      <c r="A534" s="1">
        <v>31.96153846153846</v>
      </c>
    </row>
    <row r="535" spans="1:1" x14ac:dyDescent="0.3">
      <c r="A535" s="1">
        <v>25.148148148148149</v>
      </c>
    </row>
    <row r="536" spans="1:1" x14ac:dyDescent="0.3">
      <c r="A536" s="1">
        <v>37.133333333333333</v>
      </c>
    </row>
    <row r="537" spans="1:1" x14ac:dyDescent="0.3">
      <c r="A537" s="1">
        <v>38.454545454545453</v>
      </c>
    </row>
    <row r="538" spans="1:1" x14ac:dyDescent="0.3">
      <c r="A538" s="1">
        <v>32.652173913043477</v>
      </c>
    </row>
    <row r="539" spans="1:1" x14ac:dyDescent="0.3">
      <c r="A539" s="1">
        <v>33</v>
      </c>
    </row>
    <row r="540" spans="1:1" x14ac:dyDescent="0.3">
      <c r="A540" s="1">
        <v>30.071428571428573</v>
      </c>
    </row>
    <row r="541" spans="1:1" x14ac:dyDescent="0.3">
      <c r="A541" s="1">
        <v>36</v>
      </c>
    </row>
    <row r="542" spans="1:1" x14ac:dyDescent="0.3">
      <c r="A542" s="1">
        <v>38.785714285714285</v>
      </c>
    </row>
    <row r="543" spans="1:1" x14ac:dyDescent="0.3">
      <c r="A543" s="1">
        <v>36.133333333333333</v>
      </c>
    </row>
    <row r="544" spans="1:1" x14ac:dyDescent="0.3">
      <c r="A544" s="1">
        <v>31.793103448275861</v>
      </c>
    </row>
    <row r="545" spans="1:1" x14ac:dyDescent="0.3">
      <c r="A545" s="1">
        <v>25.75</v>
      </c>
    </row>
    <row r="546" spans="1:1" x14ac:dyDescent="0.3">
      <c r="A546" s="1">
        <v>34.4375</v>
      </c>
    </row>
    <row r="547" spans="1:1" x14ac:dyDescent="0.3">
      <c r="A547" s="1">
        <v>52</v>
      </c>
    </row>
    <row r="548" spans="1:1" x14ac:dyDescent="0.3">
      <c r="A548" s="1">
        <v>38.80952380952381</v>
      </c>
    </row>
    <row r="549" spans="1:1" x14ac:dyDescent="0.3">
      <c r="A549" s="1">
        <v>38.799999999999997</v>
      </c>
    </row>
    <row r="550" spans="1:1" x14ac:dyDescent="0.3">
      <c r="A550" s="1">
        <v>27.142857142857142</v>
      </c>
    </row>
    <row r="551" spans="1:1" x14ac:dyDescent="0.3">
      <c r="A551" s="1">
        <v>35.5</v>
      </c>
    </row>
    <row r="552" spans="1:1" x14ac:dyDescent="0.3">
      <c r="A552" s="1">
        <v>38</v>
      </c>
    </row>
    <row r="553" spans="1:1" x14ac:dyDescent="0.3">
      <c r="A553" s="1">
        <v>31.285714285714285</v>
      </c>
    </row>
    <row r="554" spans="1:1" x14ac:dyDescent="0.3">
      <c r="A554" s="1">
        <v>27.3</v>
      </c>
    </row>
    <row r="555" spans="1:1" x14ac:dyDescent="0.3">
      <c r="A555" s="1">
        <v>41.833333333333336</v>
      </c>
    </row>
    <row r="556" spans="1:1" x14ac:dyDescent="0.3">
      <c r="A556" s="1">
        <v>37.454545454545453</v>
      </c>
    </row>
    <row r="557" spans="1:1" x14ac:dyDescent="0.3">
      <c r="A557" s="1">
        <v>31.142857142857142</v>
      </c>
    </row>
    <row r="558" spans="1:1" x14ac:dyDescent="0.3">
      <c r="A558" s="1">
        <v>37.611111111111114</v>
      </c>
    </row>
    <row r="559" spans="1:1" x14ac:dyDescent="0.3">
      <c r="A559" s="1">
        <v>28.23076923076923</v>
      </c>
    </row>
    <row r="560" spans="1:1" x14ac:dyDescent="0.3">
      <c r="A560" s="1">
        <v>30.333333333333332</v>
      </c>
    </row>
    <row r="561" spans="1:1" x14ac:dyDescent="0.3">
      <c r="A561" s="1">
        <v>38.210526315789473</v>
      </c>
    </row>
    <row r="562" spans="1:1" x14ac:dyDescent="0.3">
      <c r="A562" s="1">
        <v>38.545454545454547</v>
      </c>
    </row>
    <row r="563" spans="1:1" x14ac:dyDescent="0.3">
      <c r="A563" s="1">
        <v>34.714285714285715</v>
      </c>
    </row>
    <row r="564" spans="1:1" x14ac:dyDescent="0.3">
      <c r="A564" s="1">
        <v>44.333333333333336</v>
      </c>
    </row>
    <row r="565" spans="1:1" x14ac:dyDescent="0.3">
      <c r="A565" s="1">
        <v>24.722222222222221</v>
      </c>
    </row>
    <row r="566" spans="1:1" x14ac:dyDescent="0.3">
      <c r="A566" s="1">
        <v>31</v>
      </c>
    </row>
    <row r="567" spans="1:1" x14ac:dyDescent="0.3">
      <c r="A567" s="1">
        <v>33.058823529411768</v>
      </c>
    </row>
    <row r="568" spans="1:1" x14ac:dyDescent="0.3">
      <c r="A568" s="1">
        <v>33.476190476190474</v>
      </c>
    </row>
    <row r="569" spans="1:1" x14ac:dyDescent="0.3">
      <c r="A569" s="1">
        <v>44.2</v>
      </c>
    </row>
    <row r="570" spans="1:1" x14ac:dyDescent="0.3">
      <c r="A570" s="1">
        <v>27</v>
      </c>
    </row>
    <row r="571" spans="1:1" x14ac:dyDescent="0.3">
      <c r="A571" s="1">
        <v>31.666666666666668</v>
      </c>
    </row>
    <row r="572" spans="1:1" x14ac:dyDescent="0.3">
      <c r="A572" s="1">
        <v>44</v>
      </c>
    </row>
    <row r="573" spans="1:1" x14ac:dyDescent="0.3">
      <c r="A573" s="1">
        <v>31.5</v>
      </c>
    </row>
    <row r="574" spans="1:1" x14ac:dyDescent="0.3">
      <c r="A574" s="1">
        <v>43.07692307692308</v>
      </c>
    </row>
    <row r="575" spans="1:1" x14ac:dyDescent="0.3">
      <c r="A575" s="1">
        <v>29.391304347826086</v>
      </c>
    </row>
    <row r="576" spans="1:1" x14ac:dyDescent="0.3">
      <c r="A576" s="1">
        <v>30</v>
      </c>
    </row>
    <row r="577" spans="1:1" x14ac:dyDescent="0.3">
      <c r="A577" s="1">
        <v>25.833333333333332</v>
      </c>
    </row>
    <row r="578" spans="1:1" x14ac:dyDescent="0.3">
      <c r="A578" s="1">
        <v>31.4</v>
      </c>
    </row>
    <row r="579" spans="1:1" x14ac:dyDescent="0.3">
      <c r="A579" s="1">
        <v>36.6</v>
      </c>
    </row>
    <row r="580" spans="1:1" x14ac:dyDescent="0.3">
      <c r="A580" s="1">
        <v>31.692307692307693</v>
      </c>
    </row>
    <row r="581" spans="1:1" x14ac:dyDescent="0.3">
      <c r="A581" s="1">
        <v>35.299999999999997</v>
      </c>
    </row>
    <row r="582" spans="1:1" x14ac:dyDescent="0.3">
      <c r="A582" s="1">
        <v>35.666666666666664</v>
      </c>
    </row>
    <row r="583" spans="1:1" x14ac:dyDescent="0.3">
      <c r="A583" s="1">
        <v>44.428571428571431</v>
      </c>
    </row>
    <row r="584" spans="1:1" x14ac:dyDescent="0.3">
      <c r="A584" s="1">
        <v>27.620689655172413</v>
      </c>
    </row>
    <row r="585" spans="1:1" x14ac:dyDescent="0.3">
      <c r="A585" s="1">
        <v>31.8</v>
      </c>
    </row>
    <row r="586" spans="1:1" x14ac:dyDescent="0.3">
      <c r="A586" s="1">
        <v>30.777777777777779</v>
      </c>
    </row>
    <row r="587" spans="1:1" x14ac:dyDescent="0.3">
      <c r="A587" s="1">
        <v>28.677419354838708</v>
      </c>
    </row>
    <row r="588" spans="1:1" x14ac:dyDescent="0.3">
      <c r="A588" s="1">
        <v>26.607142857142858</v>
      </c>
    </row>
    <row r="589" spans="1:1" x14ac:dyDescent="0.3">
      <c r="A589" s="1">
        <v>33.666666666666664</v>
      </c>
    </row>
    <row r="590" spans="1:1" x14ac:dyDescent="0.3">
      <c r="A590" s="1">
        <v>40.888888888888886</v>
      </c>
    </row>
    <row r="591" spans="1:1" x14ac:dyDescent="0.3">
      <c r="A591" s="1">
        <v>45.705882352941174</v>
      </c>
    </row>
    <row r="592" spans="1:1" x14ac:dyDescent="0.3">
      <c r="A592" s="1">
        <v>41.636363636363633</v>
      </c>
    </row>
    <row r="593" spans="1:1" x14ac:dyDescent="0.3">
      <c r="A593" s="1">
        <v>31.9</v>
      </c>
    </row>
    <row r="594" spans="1:1" x14ac:dyDescent="0.3">
      <c r="A594" s="1">
        <v>30.684210526315791</v>
      </c>
    </row>
    <row r="595" spans="1:1" x14ac:dyDescent="0.3">
      <c r="A595" s="1">
        <v>38.24</v>
      </c>
    </row>
    <row r="596" spans="1:1" x14ac:dyDescent="0.3">
      <c r="A596" s="1">
        <v>41.727272727272727</v>
      </c>
    </row>
    <row r="597" spans="1:1" x14ac:dyDescent="0.3">
      <c r="A597" s="1">
        <v>41.388888888888886</v>
      </c>
    </row>
    <row r="598" spans="1:1" x14ac:dyDescent="0.3">
      <c r="A598" s="1">
        <v>28.5</v>
      </c>
    </row>
    <row r="599" spans="1:1" x14ac:dyDescent="0.3">
      <c r="A599" s="1">
        <v>30.75</v>
      </c>
    </row>
    <row r="600" spans="1:1" x14ac:dyDescent="0.3">
      <c r="A600" s="1">
        <v>39.1</v>
      </c>
    </row>
    <row r="601" spans="1:1" x14ac:dyDescent="0.3">
      <c r="A601" s="1">
        <v>32.666666666666664</v>
      </c>
    </row>
    <row r="602" spans="1:1" x14ac:dyDescent="0.3">
      <c r="A602" s="1">
        <v>42.5</v>
      </c>
    </row>
    <row r="603" spans="1:1" x14ac:dyDescent="0.3">
      <c r="A603" s="1">
        <v>41.545454545454547</v>
      </c>
    </row>
    <row r="604" spans="1:1" x14ac:dyDescent="0.3">
      <c r="A604" s="1">
        <v>25</v>
      </c>
    </row>
    <row r="605" spans="1:1" x14ac:dyDescent="0.3">
      <c r="A605" s="1">
        <v>38.4</v>
      </c>
    </row>
    <row r="606" spans="1:1" x14ac:dyDescent="0.3">
      <c r="A606" s="1">
        <v>33</v>
      </c>
    </row>
    <row r="607" spans="1:1" x14ac:dyDescent="0.3">
      <c r="A607" s="1">
        <v>31</v>
      </c>
    </row>
    <row r="608" spans="1:1" x14ac:dyDescent="0.3">
      <c r="A608" s="1">
        <v>26.90909090909091</v>
      </c>
    </row>
    <row r="609" spans="1:1" x14ac:dyDescent="0.3">
      <c r="A609" s="1">
        <v>39.4</v>
      </c>
    </row>
    <row r="610" spans="1:1" x14ac:dyDescent="0.3">
      <c r="A610" s="1">
        <v>24.92</v>
      </c>
    </row>
    <row r="611" spans="1:1" x14ac:dyDescent="0.3">
      <c r="A611" s="1">
        <v>33</v>
      </c>
    </row>
    <row r="612" spans="1:1" x14ac:dyDescent="0.3">
      <c r="A612" s="1">
        <v>29.08</v>
      </c>
    </row>
    <row r="613" spans="1:1" x14ac:dyDescent="0.3">
      <c r="A613" s="1">
        <v>38</v>
      </c>
    </row>
    <row r="614" spans="1:1" x14ac:dyDescent="0.3">
      <c r="A614" s="1">
        <v>28.5625</v>
      </c>
    </row>
    <row r="615" spans="1:1" x14ac:dyDescent="0.3">
      <c r="A615" s="1">
        <v>34.409090909090907</v>
      </c>
    </row>
    <row r="616" spans="1:1" x14ac:dyDescent="0.3">
      <c r="A616" s="1">
        <v>26.916666666666668</v>
      </c>
    </row>
    <row r="617" spans="1:1" x14ac:dyDescent="0.3">
      <c r="A617" s="1">
        <v>33.615384615384613</v>
      </c>
    </row>
    <row r="618" spans="1:1" x14ac:dyDescent="0.3">
      <c r="A618" s="1">
        <v>33.111111111111114</v>
      </c>
    </row>
    <row r="619" spans="1:1" x14ac:dyDescent="0.3">
      <c r="A619" s="1">
        <v>26.617647058823529</v>
      </c>
    </row>
    <row r="620" spans="1:1" x14ac:dyDescent="0.3">
      <c r="A620" s="1">
        <v>27.533333333333335</v>
      </c>
    </row>
    <row r="621" spans="1:1" x14ac:dyDescent="0.3">
      <c r="A621" s="1">
        <v>34.64</v>
      </c>
    </row>
    <row r="622" spans="1:1" x14ac:dyDescent="0.3">
      <c r="A622" s="1">
        <v>30.176470588235293</v>
      </c>
    </row>
    <row r="623" spans="1:1" x14ac:dyDescent="0.3">
      <c r="A623" s="1">
        <v>44.454545454545453</v>
      </c>
    </row>
    <row r="624" spans="1:1" x14ac:dyDescent="0.3">
      <c r="A624" s="1">
        <v>32</v>
      </c>
    </row>
    <row r="625" spans="1:1" x14ac:dyDescent="0.3">
      <c r="A625" s="1">
        <v>44.833333333333336</v>
      </c>
    </row>
    <row r="626" spans="1:1" x14ac:dyDescent="0.3">
      <c r="A626" s="1">
        <v>32.880000000000003</v>
      </c>
    </row>
    <row r="627" spans="1:1" x14ac:dyDescent="0.3">
      <c r="A627" s="1">
        <v>34.642857142857146</v>
      </c>
    </row>
    <row r="628" spans="1:1" x14ac:dyDescent="0.3">
      <c r="A628" s="1">
        <v>44.5</v>
      </c>
    </row>
    <row r="629" spans="1:1" x14ac:dyDescent="0.3">
      <c r="A629" s="1">
        <v>27.59375</v>
      </c>
    </row>
    <row r="630" spans="1:1" x14ac:dyDescent="0.3">
      <c r="A630" s="1">
        <v>27.285714285714285</v>
      </c>
    </row>
    <row r="631" spans="1:1" x14ac:dyDescent="0.3">
      <c r="A631" s="1">
        <v>33</v>
      </c>
    </row>
    <row r="632" spans="1:1" x14ac:dyDescent="0.3">
      <c r="A632" s="1">
        <v>28.833333333333332</v>
      </c>
    </row>
    <row r="633" spans="1:1" x14ac:dyDescent="0.3">
      <c r="A633" s="1">
        <v>28.5</v>
      </c>
    </row>
    <row r="634" spans="1:1" x14ac:dyDescent="0.3">
      <c r="A634" s="1">
        <v>38.652173913043477</v>
      </c>
    </row>
    <row r="635" spans="1:1" x14ac:dyDescent="0.3">
      <c r="A635" s="1">
        <v>34</v>
      </c>
    </row>
    <row r="636" spans="1:1" x14ac:dyDescent="0.3">
      <c r="A636" s="1">
        <v>33.592592592592595</v>
      </c>
    </row>
    <row r="637" spans="1:1" x14ac:dyDescent="0.3">
      <c r="A637" s="1">
        <v>38</v>
      </c>
    </row>
    <row r="638" spans="1:1" x14ac:dyDescent="0.3">
      <c r="A638" s="1">
        <v>43.666666666666664</v>
      </c>
    </row>
    <row r="639" spans="1:1" x14ac:dyDescent="0.3">
      <c r="A639" s="1">
        <v>31.48</v>
      </c>
    </row>
    <row r="640" spans="1:1" x14ac:dyDescent="0.3">
      <c r="A640" s="1">
        <v>35.444444444444443</v>
      </c>
    </row>
    <row r="641" spans="1:1" x14ac:dyDescent="0.3">
      <c r="A641" s="1">
        <v>28.416666666666668</v>
      </c>
    </row>
    <row r="642" spans="1:1" x14ac:dyDescent="0.3">
      <c r="A642" s="1">
        <v>20</v>
      </c>
    </row>
    <row r="643" spans="1:1" x14ac:dyDescent="0.3">
      <c r="A643" s="1">
        <v>36.565217391304351</v>
      </c>
    </row>
    <row r="644" spans="1:1" x14ac:dyDescent="0.3">
      <c r="A644" s="1">
        <v>24.75</v>
      </c>
    </row>
    <row r="645" spans="1:1" x14ac:dyDescent="0.3">
      <c r="A645" s="1">
        <v>37</v>
      </c>
    </row>
    <row r="646" spans="1:1" x14ac:dyDescent="0.3">
      <c r="A646" s="1">
        <v>33.521739130434781</v>
      </c>
    </row>
    <row r="647" spans="1:1" x14ac:dyDescent="0.3">
      <c r="A647" s="1">
        <v>35.75</v>
      </c>
    </row>
    <row r="648" spans="1:1" x14ac:dyDescent="0.3">
      <c r="A648" s="1">
        <v>35.666666666666664</v>
      </c>
    </row>
    <row r="649" spans="1:1" x14ac:dyDescent="0.3">
      <c r="A649" s="1">
        <v>29.387096774193548</v>
      </c>
    </row>
    <row r="650" spans="1:1" x14ac:dyDescent="0.3">
      <c r="A650" s="1">
        <v>44</v>
      </c>
    </row>
    <row r="651" spans="1:1" x14ac:dyDescent="0.3">
      <c r="A651" s="1">
        <v>41.136363636363633</v>
      </c>
    </row>
    <row r="652" spans="1:1" x14ac:dyDescent="0.3">
      <c r="A652" s="1">
        <v>44.5</v>
      </c>
    </row>
    <row r="653" spans="1:1" x14ac:dyDescent="0.3">
      <c r="A653" s="1">
        <v>33.25</v>
      </c>
    </row>
    <row r="654" spans="1:1" x14ac:dyDescent="0.3">
      <c r="A654" s="1">
        <v>26.888888888888889</v>
      </c>
    </row>
    <row r="655" spans="1:1" x14ac:dyDescent="0.3">
      <c r="A655" s="1">
        <v>38.705882352941174</v>
      </c>
    </row>
    <row r="656" spans="1:1" x14ac:dyDescent="0.3">
      <c r="A656" s="1">
        <v>42.3</v>
      </c>
    </row>
    <row r="657" spans="1:1" x14ac:dyDescent="0.3">
      <c r="A657" s="1">
        <v>27.388888888888889</v>
      </c>
    </row>
    <row r="658" spans="1:1" x14ac:dyDescent="0.3">
      <c r="A658" s="1">
        <v>25</v>
      </c>
    </row>
    <row r="659" spans="1:1" x14ac:dyDescent="0.3">
      <c r="A659" s="1">
        <v>31.4</v>
      </c>
    </row>
    <row r="660" spans="1:1" x14ac:dyDescent="0.3">
      <c r="A660" s="1">
        <v>43.5</v>
      </c>
    </row>
    <row r="661" spans="1:1" x14ac:dyDescent="0.3">
      <c r="A661" s="1">
        <v>25.285714285714285</v>
      </c>
    </row>
    <row r="662" spans="1:1" x14ac:dyDescent="0.3">
      <c r="A662" s="1">
        <v>41.545454545454547</v>
      </c>
    </row>
    <row r="663" spans="1:1" x14ac:dyDescent="0.3">
      <c r="A663" s="1">
        <v>39.799999999999997</v>
      </c>
    </row>
    <row r="664" spans="1:1" x14ac:dyDescent="0.3">
      <c r="A664" s="1">
        <v>32.068965517241381</v>
      </c>
    </row>
    <row r="665" spans="1:1" x14ac:dyDescent="0.3">
      <c r="A665" s="1">
        <v>39.72</v>
      </c>
    </row>
    <row r="666" spans="1:1" x14ac:dyDescent="0.3">
      <c r="A666" s="1">
        <v>34.5</v>
      </c>
    </row>
    <row r="667" spans="1:1" x14ac:dyDescent="0.3">
      <c r="A667" s="1">
        <v>30.636363636363637</v>
      </c>
    </row>
    <row r="668" spans="1:1" x14ac:dyDescent="0.3">
      <c r="A668" s="1">
        <v>35.4</v>
      </c>
    </row>
    <row r="669" spans="1:1" x14ac:dyDescent="0.3">
      <c r="A669" s="1">
        <v>25.592592592592592</v>
      </c>
    </row>
    <row r="670" spans="1:1" x14ac:dyDescent="0.3">
      <c r="A670" s="1">
        <v>43.95</v>
      </c>
    </row>
    <row r="671" spans="1:1" x14ac:dyDescent="0.3">
      <c r="A671" s="1">
        <v>39.799999999999997</v>
      </c>
    </row>
    <row r="672" spans="1:1" x14ac:dyDescent="0.3">
      <c r="A672" s="1">
        <v>25.972972972972972</v>
      </c>
    </row>
    <row r="673" spans="1:1" x14ac:dyDescent="0.3">
      <c r="A673" s="1">
        <v>36.4</v>
      </c>
    </row>
    <row r="674" spans="1:1" x14ac:dyDescent="0.3">
      <c r="A674" s="1">
        <v>36.375</v>
      </c>
    </row>
    <row r="675" spans="1:1" x14ac:dyDescent="0.3">
      <c r="A675" s="1">
        <v>25.805555555555557</v>
      </c>
    </row>
    <row r="676" spans="1:1" x14ac:dyDescent="0.3">
      <c r="A676" s="1">
        <v>34.333333333333336</v>
      </c>
    </row>
    <row r="677" spans="1:1" x14ac:dyDescent="0.3">
      <c r="A677" s="1">
        <v>31.933333333333334</v>
      </c>
    </row>
    <row r="678" spans="1:1" x14ac:dyDescent="0.3">
      <c r="A678" s="1">
        <v>31.421052631578949</v>
      </c>
    </row>
    <row r="679" spans="1:1" x14ac:dyDescent="0.3">
      <c r="A679" s="1">
        <v>42.785714285714285</v>
      </c>
    </row>
    <row r="680" spans="1:1" x14ac:dyDescent="0.3">
      <c r="A680" s="1">
        <v>41.166666666666664</v>
      </c>
    </row>
    <row r="681" spans="1:1" x14ac:dyDescent="0.3">
      <c r="A681" s="1">
        <v>38.333333333333336</v>
      </c>
    </row>
    <row r="682" spans="1:1" x14ac:dyDescent="0.3">
      <c r="A682" s="1">
        <v>34.299999999999997</v>
      </c>
    </row>
    <row r="683" spans="1:1" x14ac:dyDescent="0.3">
      <c r="A683" s="1">
        <v>30</v>
      </c>
    </row>
    <row r="684" spans="1:1" x14ac:dyDescent="0.3">
      <c r="A684" s="1">
        <v>32.411764705882355</v>
      </c>
    </row>
    <row r="685" spans="1:1" x14ac:dyDescent="0.3">
      <c r="A685" s="1">
        <v>46.2</v>
      </c>
    </row>
    <row r="686" spans="1:1" x14ac:dyDescent="0.3">
      <c r="A686" s="1">
        <v>31.785714285714285</v>
      </c>
    </row>
    <row r="687" spans="1:1" x14ac:dyDescent="0.3">
      <c r="A687" s="1">
        <v>46</v>
      </c>
    </row>
    <row r="688" spans="1:1" x14ac:dyDescent="0.3">
      <c r="A688" s="1">
        <v>31.714285714285715</v>
      </c>
    </row>
    <row r="689" spans="1:1" x14ac:dyDescent="0.3">
      <c r="A689" s="1">
        <v>43</v>
      </c>
    </row>
    <row r="690" spans="1:1" x14ac:dyDescent="0.3">
      <c r="A690" s="1">
        <v>39.799999999999997</v>
      </c>
    </row>
    <row r="691" spans="1:1" x14ac:dyDescent="0.3">
      <c r="A691" s="1">
        <v>36.315789473684212</v>
      </c>
    </row>
    <row r="692" spans="1:1" x14ac:dyDescent="0.3">
      <c r="A692" s="1">
        <v>29.526315789473685</v>
      </c>
    </row>
    <row r="693" spans="1:1" x14ac:dyDescent="0.3">
      <c r="A693" s="1">
        <v>42.071428571428569</v>
      </c>
    </row>
    <row r="694" spans="1:1" x14ac:dyDescent="0.3">
      <c r="A694" s="1">
        <v>27.333333333333332</v>
      </c>
    </row>
    <row r="695" spans="1:1" x14ac:dyDescent="0.3">
      <c r="A695" s="1">
        <v>28</v>
      </c>
    </row>
    <row r="696" spans="1:1" x14ac:dyDescent="0.3">
      <c r="A696" s="1">
        <v>24.8</v>
      </c>
    </row>
    <row r="697" spans="1:1" x14ac:dyDescent="0.3">
      <c r="A697" s="1">
        <v>30.666666666666668</v>
      </c>
    </row>
    <row r="698" spans="1:1" x14ac:dyDescent="0.3">
      <c r="A698" s="1">
        <v>37.444444444444443</v>
      </c>
    </row>
    <row r="699" spans="1:1" x14ac:dyDescent="0.3">
      <c r="A699" s="1">
        <v>41.111111111111114</v>
      </c>
    </row>
    <row r="700" spans="1:1" x14ac:dyDescent="0.3">
      <c r="A700" s="1">
        <v>29.774193548387096</v>
      </c>
    </row>
    <row r="701" spans="1:1" x14ac:dyDescent="0.3">
      <c r="A701" s="1">
        <v>37.058823529411768</v>
      </c>
    </row>
    <row r="702" spans="1:1" x14ac:dyDescent="0.3">
      <c r="A702" s="1">
        <v>26.375</v>
      </c>
    </row>
    <row r="703" spans="1:1" x14ac:dyDescent="0.3">
      <c r="A703" s="1">
        <v>30.375</v>
      </c>
    </row>
    <row r="704" spans="1:1" x14ac:dyDescent="0.3">
      <c r="A704" s="1">
        <v>37.5</v>
      </c>
    </row>
    <row r="705" spans="1:1" x14ac:dyDescent="0.3">
      <c r="A705" s="1">
        <v>41.666666666666664</v>
      </c>
    </row>
    <row r="706" spans="1:1" x14ac:dyDescent="0.3">
      <c r="A706" s="1">
        <v>40.666666666666664</v>
      </c>
    </row>
    <row r="707" spans="1:1" x14ac:dyDescent="0.3">
      <c r="A707" s="1">
        <v>41.625</v>
      </c>
    </row>
    <row r="708" spans="1:1" x14ac:dyDescent="0.3">
      <c r="A708" s="1">
        <v>26.407407407407408</v>
      </c>
    </row>
    <row r="709" spans="1:1" x14ac:dyDescent="0.3">
      <c r="A709" s="1">
        <v>39.10526315789474</v>
      </c>
    </row>
    <row r="710" spans="1:1" x14ac:dyDescent="0.3">
      <c r="A710" s="1">
        <v>42.18181818181818</v>
      </c>
    </row>
    <row r="711" spans="1:1" x14ac:dyDescent="0.3">
      <c r="A711" s="1">
        <v>33.210526315789473</v>
      </c>
    </row>
    <row r="712" spans="1:1" x14ac:dyDescent="0.3">
      <c r="A712" s="1">
        <v>28.923076923076923</v>
      </c>
    </row>
    <row r="713" spans="1:1" x14ac:dyDescent="0.3">
      <c r="A713" s="1">
        <v>44.133333333333333</v>
      </c>
    </row>
    <row r="714" spans="1:1" x14ac:dyDescent="0.3">
      <c r="A714" s="1">
        <v>35.166666666666664</v>
      </c>
    </row>
    <row r="715" spans="1:1" x14ac:dyDescent="0.3">
      <c r="A715" s="1">
        <v>51</v>
      </c>
    </row>
    <row r="716" spans="1:1" x14ac:dyDescent="0.3">
      <c r="A716" s="1">
        <v>44.388888888888886</v>
      </c>
    </row>
    <row r="717" spans="1:1" x14ac:dyDescent="0.3">
      <c r="A717" s="1">
        <v>35.304347826086953</v>
      </c>
    </row>
    <row r="718" spans="1:1" x14ac:dyDescent="0.3">
      <c r="A718" s="1">
        <v>25</v>
      </c>
    </row>
    <row r="719" spans="1:1" x14ac:dyDescent="0.3">
      <c r="A719" s="1">
        <v>39.4</v>
      </c>
    </row>
    <row r="720" spans="1:1" x14ac:dyDescent="0.3">
      <c r="A720" s="1">
        <v>36.304347826086953</v>
      </c>
    </row>
    <row r="721" spans="1:1" x14ac:dyDescent="0.3">
      <c r="A721" s="1">
        <v>45.666666666666664</v>
      </c>
    </row>
    <row r="722" spans="1:1" x14ac:dyDescent="0.3">
      <c r="A722" s="1">
        <v>30.444444444444443</v>
      </c>
    </row>
    <row r="723" spans="1:1" x14ac:dyDescent="0.3">
      <c r="A723" s="1">
        <v>16</v>
      </c>
    </row>
    <row r="724" spans="1:1" x14ac:dyDescent="0.3">
      <c r="A724" s="1">
        <v>36.666666666666664</v>
      </c>
    </row>
    <row r="725" spans="1:1" x14ac:dyDescent="0.3">
      <c r="A725" s="1">
        <v>30.5</v>
      </c>
    </row>
    <row r="726" spans="1:1" x14ac:dyDescent="0.3">
      <c r="A726" s="1">
        <v>33</v>
      </c>
    </row>
    <row r="727" spans="1:1" x14ac:dyDescent="0.3">
      <c r="A727" s="1">
        <v>37.533333333333331</v>
      </c>
    </row>
    <row r="728" spans="1:1" x14ac:dyDescent="0.3">
      <c r="A728" s="1">
        <v>32.625</v>
      </c>
    </row>
    <row r="729" spans="1:1" x14ac:dyDescent="0.3">
      <c r="A729" s="1">
        <v>29.2</v>
      </c>
    </row>
    <row r="730" spans="1:1" x14ac:dyDescent="0.3">
      <c r="A730" s="1">
        <v>43.94736842105263</v>
      </c>
    </row>
    <row r="731" spans="1:1" x14ac:dyDescent="0.3">
      <c r="A731" s="1">
        <v>41.9</v>
      </c>
    </row>
    <row r="732" spans="1:1" x14ac:dyDescent="0.3">
      <c r="A732" s="1">
        <v>36.4</v>
      </c>
    </row>
    <row r="733" spans="1:1" x14ac:dyDescent="0.3">
      <c r="A733" s="1">
        <v>53</v>
      </c>
    </row>
    <row r="734" spans="1:1" x14ac:dyDescent="0.3">
      <c r="A734" s="1">
        <v>36</v>
      </c>
    </row>
    <row r="735" spans="1:1" x14ac:dyDescent="0.3">
      <c r="A735" s="1">
        <v>36.904761904761905</v>
      </c>
    </row>
    <row r="736" spans="1:1" x14ac:dyDescent="0.3">
      <c r="A736" s="1">
        <v>30</v>
      </c>
    </row>
    <row r="737" spans="1:1" x14ac:dyDescent="0.3">
      <c r="A737" s="1">
        <v>32.409090909090907</v>
      </c>
    </row>
    <row r="738" spans="1:1" x14ac:dyDescent="0.3">
      <c r="A738" s="1">
        <v>31.517241379310345</v>
      </c>
    </row>
    <row r="739" spans="1:1" x14ac:dyDescent="0.3">
      <c r="A739" s="1">
        <v>45.454545454545453</v>
      </c>
    </row>
    <row r="740" spans="1:1" x14ac:dyDescent="0.3">
      <c r="A740" s="1">
        <v>27</v>
      </c>
    </row>
    <row r="741" spans="1:1" x14ac:dyDescent="0.3">
      <c r="A741" s="1">
        <v>36</v>
      </c>
    </row>
    <row r="742" spans="1:1" x14ac:dyDescent="0.3">
      <c r="A742" s="1">
        <v>39.333333333333336</v>
      </c>
    </row>
    <row r="743" spans="1:1" x14ac:dyDescent="0.3">
      <c r="A743" s="1">
        <v>42.166666666666664</v>
      </c>
    </row>
    <row r="744" spans="1:1" x14ac:dyDescent="0.3">
      <c r="A744" s="1">
        <v>39.173913043478258</v>
      </c>
    </row>
    <row r="745" spans="1:1" x14ac:dyDescent="0.3">
      <c r="A745" s="1">
        <v>30.178571428571427</v>
      </c>
    </row>
    <row r="746" spans="1:1" x14ac:dyDescent="0.3">
      <c r="A746" s="1">
        <v>28.333333333333332</v>
      </c>
    </row>
    <row r="747" spans="1:1" x14ac:dyDescent="0.3">
      <c r="A747" s="1">
        <v>24.52</v>
      </c>
    </row>
    <row r="748" spans="1:1" x14ac:dyDescent="0.3">
      <c r="A748" s="1">
        <v>37.299999999999997</v>
      </c>
    </row>
    <row r="749" spans="1:1" x14ac:dyDescent="0.3">
      <c r="A749" s="1">
        <v>42.68181818181818</v>
      </c>
    </row>
    <row r="750" spans="1:1" x14ac:dyDescent="0.3">
      <c r="A750" s="1">
        <v>35.04</v>
      </c>
    </row>
    <row r="751" spans="1:1" x14ac:dyDescent="0.3">
      <c r="A751" s="1">
        <v>34.642857142857146</v>
      </c>
    </row>
    <row r="752" spans="1:1" x14ac:dyDescent="0.3">
      <c r="A752" s="1">
        <v>29.7</v>
      </c>
    </row>
    <row r="753" spans="1:1" x14ac:dyDescent="0.3">
      <c r="A753" s="1">
        <v>42.81818181818182</v>
      </c>
    </row>
    <row r="754" spans="1:1" x14ac:dyDescent="0.3">
      <c r="A754" s="1">
        <v>26.142857142857142</v>
      </c>
    </row>
    <row r="755" spans="1:1" x14ac:dyDescent="0.3">
      <c r="A755" s="1">
        <v>46.214285714285715</v>
      </c>
    </row>
    <row r="756" spans="1:1" x14ac:dyDescent="0.3">
      <c r="A756" s="1">
        <v>34.81818181818182</v>
      </c>
    </row>
    <row r="757" spans="1:1" x14ac:dyDescent="0.3">
      <c r="A757" s="1">
        <v>40.954545454545453</v>
      </c>
    </row>
    <row r="758" spans="1:1" x14ac:dyDescent="0.3">
      <c r="A758" s="1">
        <v>26.444444444444443</v>
      </c>
    </row>
    <row r="759" spans="1:1" x14ac:dyDescent="0.3">
      <c r="A759" s="1">
        <v>40.5625</v>
      </c>
    </row>
    <row r="760" spans="1:1" x14ac:dyDescent="0.3">
      <c r="A760" s="1">
        <v>34.518518518518519</v>
      </c>
    </row>
    <row r="761" spans="1:1" x14ac:dyDescent="0.3">
      <c r="A761" s="1">
        <v>39.166666666666664</v>
      </c>
    </row>
    <row r="762" spans="1:1" x14ac:dyDescent="0.3">
      <c r="A762" s="1">
        <v>33.6</v>
      </c>
    </row>
    <row r="763" spans="1:1" x14ac:dyDescent="0.3">
      <c r="A763" s="1">
        <v>37</v>
      </c>
    </row>
    <row r="764" spans="1:1" x14ac:dyDescent="0.3">
      <c r="A764" s="1">
        <v>25.347826086956523</v>
      </c>
    </row>
    <row r="765" spans="1:1" x14ac:dyDescent="0.3">
      <c r="A765" s="1">
        <v>25.677419354838708</v>
      </c>
    </row>
    <row r="766" spans="1:1" x14ac:dyDescent="0.3">
      <c r="A766" s="1">
        <v>17</v>
      </c>
    </row>
    <row r="767" spans="1:1" x14ac:dyDescent="0.3">
      <c r="A767" s="1">
        <v>36.772727272727273</v>
      </c>
    </row>
    <row r="768" spans="1:1" x14ac:dyDescent="0.3">
      <c r="A768" s="1">
        <v>26.071428571428573</v>
      </c>
    </row>
    <row r="769" spans="1:1" x14ac:dyDescent="0.3">
      <c r="A769" s="1">
        <v>29.75</v>
      </c>
    </row>
    <row r="770" spans="1:1" x14ac:dyDescent="0.3">
      <c r="A770" s="1">
        <v>38.799999999999997</v>
      </c>
    </row>
    <row r="771" spans="1:1" x14ac:dyDescent="0.3">
      <c r="A771" s="1">
        <v>25.357142857142858</v>
      </c>
    </row>
    <row r="772" spans="1:1" x14ac:dyDescent="0.3">
      <c r="A772" s="1">
        <v>36.857142857142854</v>
      </c>
    </row>
    <row r="773" spans="1:1" x14ac:dyDescent="0.3">
      <c r="A773" s="1">
        <v>39.333333333333336</v>
      </c>
    </row>
    <row r="774" spans="1:1" x14ac:dyDescent="0.3">
      <c r="A774" s="1">
        <v>23</v>
      </c>
    </row>
    <row r="775" spans="1:1" x14ac:dyDescent="0.3">
      <c r="A775" s="1">
        <v>32.416666666666664</v>
      </c>
    </row>
    <row r="776" spans="1:1" x14ac:dyDescent="0.3">
      <c r="A776" s="1">
        <v>36.46153846153846</v>
      </c>
    </row>
    <row r="777" spans="1:1" x14ac:dyDescent="0.3">
      <c r="A777" s="1">
        <v>27.142857142857142</v>
      </c>
    </row>
    <row r="778" spans="1:1" x14ac:dyDescent="0.3">
      <c r="A778" s="1">
        <v>36.666666666666664</v>
      </c>
    </row>
    <row r="779" spans="1:1" x14ac:dyDescent="0.3">
      <c r="A779" s="1">
        <v>40.958333333333336</v>
      </c>
    </row>
    <row r="780" spans="1:1" x14ac:dyDescent="0.3">
      <c r="A780" s="1">
        <v>25.894736842105264</v>
      </c>
    </row>
    <row r="781" spans="1:1" x14ac:dyDescent="0.3">
      <c r="A781" s="1">
        <v>38</v>
      </c>
    </row>
    <row r="782" spans="1:1" x14ac:dyDescent="0.3">
      <c r="A782" s="1">
        <v>43.7</v>
      </c>
    </row>
    <row r="783" spans="1:1" x14ac:dyDescent="0.3">
      <c r="A783" s="1">
        <v>39</v>
      </c>
    </row>
    <row r="784" spans="1:1" x14ac:dyDescent="0.3">
      <c r="A784" s="1">
        <v>26.333333333333332</v>
      </c>
    </row>
    <row r="785" spans="1:1" x14ac:dyDescent="0.3">
      <c r="A785" s="1">
        <v>39.958333333333336</v>
      </c>
    </row>
    <row r="786" spans="1:1" x14ac:dyDescent="0.3">
      <c r="A786" s="1">
        <v>36.055555555555557</v>
      </c>
    </row>
    <row r="787" spans="1:1" x14ac:dyDescent="0.3">
      <c r="A787" s="1">
        <v>30.3125</v>
      </c>
    </row>
    <row r="788" spans="1:1" x14ac:dyDescent="0.3">
      <c r="A788" s="1">
        <v>30.714285714285715</v>
      </c>
    </row>
    <row r="789" spans="1:1" x14ac:dyDescent="0.3">
      <c r="A789" s="1">
        <v>25.38095238095238</v>
      </c>
    </row>
    <row r="790" spans="1:1" x14ac:dyDescent="0.3">
      <c r="A790" s="1">
        <v>44</v>
      </c>
    </row>
    <row r="791" spans="1:1" x14ac:dyDescent="0.3">
      <c r="A791" s="1">
        <v>43.666666666666664</v>
      </c>
    </row>
    <row r="792" spans="1:1" x14ac:dyDescent="0.3">
      <c r="A792" s="1">
        <v>30.523809523809526</v>
      </c>
    </row>
    <row r="793" spans="1:1" x14ac:dyDescent="0.3">
      <c r="A793" s="1">
        <v>34.75</v>
      </c>
    </row>
    <row r="794" spans="1:1" x14ac:dyDescent="0.3">
      <c r="A794" s="1">
        <v>37.708333333333336</v>
      </c>
    </row>
    <row r="795" spans="1:1" x14ac:dyDescent="0.3">
      <c r="A795" s="1">
        <v>26.642857142857142</v>
      </c>
    </row>
    <row r="796" spans="1:1" x14ac:dyDescent="0.3">
      <c r="A796" s="1">
        <v>44.6</v>
      </c>
    </row>
    <row r="797" spans="1:1" x14ac:dyDescent="0.3">
      <c r="A797" s="1">
        <v>31.09090909090909</v>
      </c>
    </row>
    <row r="798" spans="1:1" x14ac:dyDescent="0.3">
      <c r="A798" s="1">
        <v>30.785714285714285</v>
      </c>
    </row>
    <row r="799" spans="1:1" x14ac:dyDescent="0.3">
      <c r="A799" s="1">
        <v>37.5</v>
      </c>
    </row>
    <row r="800" spans="1:1" x14ac:dyDescent="0.3">
      <c r="A800" s="1">
        <v>40.18181818181818</v>
      </c>
    </row>
    <row r="801" spans="1:1" x14ac:dyDescent="0.3">
      <c r="A801" s="1">
        <v>34.705882352941174</v>
      </c>
    </row>
    <row r="802" spans="1:1" x14ac:dyDescent="0.3">
      <c r="A802" s="1">
        <v>27.029411764705884</v>
      </c>
    </row>
    <row r="803" spans="1:1" x14ac:dyDescent="0.3">
      <c r="A803" s="1">
        <v>33.5</v>
      </c>
    </row>
    <row r="804" spans="1:1" x14ac:dyDescent="0.3">
      <c r="A804" s="1">
        <v>44.166666666666664</v>
      </c>
    </row>
    <row r="805" spans="1:1" x14ac:dyDescent="0.3">
      <c r="A805" s="1">
        <v>24.529411764705884</v>
      </c>
    </row>
    <row r="806" spans="1:1" x14ac:dyDescent="0.3">
      <c r="A806" s="1">
        <v>25.620689655172413</v>
      </c>
    </row>
    <row r="807" spans="1:1" x14ac:dyDescent="0.3">
      <c r="A807" s="1">
        <v>37.200000000000003</v>
      </c>
    </row>
    <row r="808" spans="1:1" x14ac:dyDescent="0.3">
      <c r="A808" s="1">
        <v>38.071428571428569</v>
      </c>
    </row>
    <row r="809" spans="1:1" x14ac:dyDescent="0.3">
      <c r="A809" s="1">
        <v>42.588235294117645</v>
      </c>
    </row>
    <row r="810" spans="1:1" x14ac:dyDescent="0.3">
      <c r="A810" s="1">
        <v>31.857142857142858</v>
      </c>
    </row>
    <row r="811" spans="1:1" x14ac:dyDescent="0.3">
      <c r="A811" s="1">
        <v>41.458333333333336</v>
      </c>
    </row>
    <row r="812" spans="1:1" x14ac:dyDescent="0.3">
      <c r="A812" s="1">
        <v>26.291666666666668</v>
      </c>
    </row>
    <row r="813" spans="1:1" x14ac:dyDescent="0.3">
      <c r="A813" s="1">
        <v>38.684210526315788</v>
      </c>
    </row>
    <row r="814" spans="1:1" x14ac:dyDescent="0.3">
      <c r="A814" s="1">
        <v>37</v>
      </c>
    </row>
    <row r="815" spans="1:1" x14ac:dyDescent="0.3">
      <c r="A815" s="1">
        <v>30.6</v>
      </c>
    </row>
    <row r="816" spans="1:1" x14ac:dyDescent="0.3">
      <c r="A816" s="1">
        <v>46</v>
      </c>
    </row>
    <row r="817" spans="1:1" x14ac:dyDescent="0.3">
      <c r="A817" s="1">
        <v>26.794117647058822</v>
      </c>
    </row>
    <row r="818" spans="1:1" x14ac:dyDescent="0.3">
      <c r="A818" s="1">
        <v>42.230769230769234</v>
      </c>
    </row>
    <row r="819" spans="1:1" x14ac:dyDescent="0.3">
      <c r="A819" s="1">
        <v>35.5</v>
      </c>
    </row>
    <row r="820" spans="1:1" x14ac:dyDescent="0.3">
      <c r="A820" s="1">
        <v>36.615384615384613</v>
      </c>
    </row>
    <row r="821" spans="1:1" x14ac:dyDescent="0.3">
      <c r="A821" s="1">
        <v>40.315789473684212</v>
      </c>
    </row>
    <row r="822" spans="1:1" x14ac:dyDescent="0.3">
      <c r="A822" s="1">
        <v>36.307692307692307</v>
      </c>
    </row>
    <row r="823" spans="1:1" x14ac:dyDescent="0.3">
      <c r="A823" s="1">
        <v>35.4</v>
      </c>
    </row>
    <row r="824" spans="1:1" x14ac:dyDescent="0.3">
      <c r="A824" s="1">
        <v>42.444444444444443</v>
      </c>
    </row>
    <row r="825" spans="1:1" x14ac:dyDescent="0.3">
      <c r="A825" s="1">
        <v>35.590909090909093</v>
      </c>
    </row>
    <row r="826" spans="1:1" x14ac:dyDescent="0.3">
      <c r="A826" s="1">
        <v>26</v>
      </c>
    </row>
    <row r="827" spans="1:1" x14ac:dyDescent="0.3">
      <c r="A827" s="1">
        <v>34.25</v>
      </c>
    </row>
    <row r="828" spans="1:1" x14ac:dyDescent="0.3">
      <c r="A828" s="1">
        <v>37.5</v>
      </c>
    </row>
    <row r="829" spans="1:1" x14ac:dyDescent="0.3">
      <c r="A829" s="1">
        <v>34</v>
      </c>
    </row>
    <row r="830" spans="1:1" x14ac:dyDescent="0.3">
      <c r="A830" s="1">
        <v>31.222222222222221</v>
      </c>
    </row>
    <row r="831" spans="1:1" x14ac:dyDescent="0.3">
      <c r="A831" s="1">
        <v>46</v>
      </c>
    </row>
    <row r="832" spans="1:1" x14ac:dyDescent="0.3">
      <c r="A832" s="1">
        <v>33.840000000000003</v>
      </c>
    </row>
    <row r="833" spans="1:1" x14ac:dyDescent="0.3">
      <c r="A833" s="1">
        <v>38.647058823529413</v>
      </c>
    </row>
    <row r="834" spans="1:1" x14ac:dyDescent="0.3">
      <c r="A834" s="1">
        <v>31.62962962962963</v>
      </c>
    </row>
    <row r="835" spans="1:1" x14ac:dyDescent="0.3">
      <c r="A835" s="1">
        <v>43.473684210526315</v>
      </c>
    </row>
    <row r="836" spans="1:1" x14ac:dyDescent="0.3">
      <c r="A836" s="1">
        <v>29.266666666666666</v>
      </c>
    </row>
    <row r="837" spans="1:1" x14ac:dyDescent="0.3">
      <c r="A837" s="1">
        <v>35.321428571428569</v>
      </c>
    </row>
    <row r="838" spans="1:1" x14ac:dyDescent="0.3">
      <c r="A838" s="1">
        <v>28.428571428571427</v>
      </c>
    </row>
    <row r="839" spans="1:1" x14ac:dyDescent="0.3">
      <c r="A839" s="1">
        <v>35.833333333333336</v>
      </c>
    </row>
    <row r="840" spans="1:1" x14ac:dyDescent="0.3">
      <c r="A840" s="1">
        <v>42.4</v>
      </c>
    </row>
    <row r="841" spans="1:1" x14ac:dyDescent="0.3">
      <c r="A841" s="1">
        <v>26.193548387096776</v>
      </c>
    </row>
    <row r="842" spans="1:1" x14ac:dyDescent="0.3">
      <c r="A842" s="1">
        <v>33.38095238095238</v>
      </c>
    </row>
    <row r="843" spans="1:1" x14ac:dyDescent="0.3">
      <c r="A843" s="1">
        <v>25.071428571428573</v>
      </c>
    </row>
    <row r="844" spans="1:1" x14ac:dyDescent="0.3">
      <c r="A844" s="1">
        <v>43.411764705882355</v>
      </c>
    </row>
    <row r="845" spans="1:1" x14ac:dyDescent="0.3">
      <c r="A845" s="1">
        <v>40</v>
      </c>
    </row>
    <row r="846" spans="1:1" x14ac:dyDescent="0.3">
      <c r="A846" s="1">
        <v>36.555555555555557</v>
      </c>
    </row>
    <row r="847" spans="1:1" x14ac:dyDescent="0.3">
      <c r="A847" s="1">
        <v>28.125</v>
      </c>
    </row>
    <row r="848" spans="1:1" x14ac:dyDescent="0.3">
      <c r="A848" s="1">
        <v>40.666666666666664</v>
      </c>
    </row>
    <row r="849" spans="1:1" x14ac:dyDescent="0.3">
      <c r="A849" s="1">
        <v>24.541666666666668</v>
      </c>
    </row>
    <row r="850" spans="1:1" x14ac:dyDescent="0.3">
      <c r="A850" s="1">
        <v>37.06666666666667</v>
      </c>
    </row>
    <row r="851" spans="1:1" x14ac:dyDescent="0.3">
      <c r="A851" s="1">
        <v>38.769230769230766</v>
      </c>
    </row>
    <row r="852" spans="1:1" x14ac:dyDescent="0.3">
      <c r="A852" s="1">
        <v>25.478260869565219</v>
      </c>
    </row>
    <row r="853" spans="1:1" x14ac:dyDescent="0.3">
      <c r="A853" s="1">
        <v>37.799999999999997</v>
      </c>
    </row>
    <row r="854" spans="1:1" x14ac:dyDescent="0.3">
      <c r="A854" s="1">
        <v>31.111111111111111</v>
      </c>
    </row>
    <row r="855" spans="1:1" x14ac:dyDescent="0.3">
      <c r="A855" s="1">
        <v>42</v>
      </c>
    </row>
    <row r="856" spans="1:1" x14ac:dyDescent="0.3">
      <c r="A856" s="1">
        <v>41.541666666666664</v>
      </c>
    </row>
    <row r="857" spans="1:1" x14ac:dyDescent="0.3">
      <c r="A857" s="1">
        <v>29.666666666666668</v>
      </c>
    </row>
    <row r="858" spans="1:1" x14ac:dyDescent="0.3">
      <c r="A858" s="1">
        <v>32.75</v>
      </c>
    </row>
    <row r="859" spans="1:1" x14ac:dyDescent="0.3">
      <c r="A859" s="1">
        <v>30.52</v>
      </c>
    </row>
    <row r="860" spans="1:1" x14ac:dyDescent="0.3">
      <c r="A860" s="1">
        <v>37.333333333333336</v>
      </c>
    </row>
    <row r="861" spans="1:1" x14ac:dyDescent="0.3">
      <c r="A861" s="1">
        <v>43.277777777777779</v>
      </c>
    </row>
    <row r="862" spans="1:1" x14ac:dyDescent="0.3">
      <c r="A862" s="1">
        <v>34.166666666666664</v>
      </c>
    </row>
    <row r="863" spans="1:1" x14ac:dyDescent="0.3">
      <c r="A863" s="1">
        <v>36.909090909090907</v>
      </c>
    </row>
    <row r="864" spans="1:1" x14ac:dyDescent="0.3">
      <c r="A864" s="1">
        <v>33</v>
      </c>
    </row>
    <row r="865" spans="1:1" x14ac:dyDescent="0.3">
      <c r="A865" s="1">
        <v>41.75</v>
      </c>
    </row>
    <row r="866" spans="1:1" x14ac:dyDescent="0.3">
      <c r="A866" s="1">
        <v>33</v>
      </c>
    </row>
    <row r="867" spans="1:1" x14ac:dyDescent="0.3">
      <c r="A867" s="1">
        <v>25.4</v>
      </c>
    </row>
    <row r="868" spans="1:1" x14ac:dyDescent="0.3">
      <c r="A868" s="1">
        <v>29.833333333333332</v>
      </c>
    </row>
    <row r="869" spans="1:1" x14ac:dyDescent="0.3">
      <c r="A869" s="1">
        <v>26.428571428571427</v>
      </c>
    </row>
    <row r="870" spans="1:1" x14ac:dyDescent="0.3">
      <c r="A870" s="1">
        <v>32.799999999999997</v>
      </c>
    </row>
    <row r="871" spans="1:1" x14ac:dyDescent="0.3">
      <c r="A871" s="1">
        <v>41</v>
      </c>
    </row>
    <row r="872" spans="1:1" x14ac:dyDescent="0.3">
      <c r="A872" s="1">
        <v>39</v>
      </c>
    </row>
    <row r="873" spans="1:1" x14ac:dyDescent="0.3">
      <c r="A873" s="1">
        <v>30.333333333333332</v>
      </c>
    </row>
    <row r="874" spans="1:1" x14ac:dyDescent="0.3">
      <c r="A874" s="1">
        <v>44.285714285714285</v>
      </c>
    </row>
    <row r="875" spans="1:1" x14ac:dyDescent="0.3">
      <c r="A875" s="1">
        <v>44.045454545454547</v>
      </c>
    </row>
    <row r="876" spans="1:1" x14ac:dyDescent="0.3">
      <c r="A876" s="1">
        <v>36.260869565217391</v>
      </c>
    </row>
    <row r="877" spans="1:1" x14ac:dyDescent="0.3">
      <c r="A877" s="1">
        <v>29.933333333333334</v>
      </c>
    </row>
    <row r="878" spans="1:1" x14ac:dyDescent="0.3">
      <c r="A878" s="1">
        <v>25.5</v>
      </c>
    </row>
    <row r="879" spans="1:1" x14ac:dyDescent="0.3">
      <c r="A879" s="1">
        <v>38.333333333333336</v>
      </c>
    </row>
    <row r="880" spans="1:1" x14ac:dyDescent="0.3">
      <c r="A880" s="1">
        <v>43.285714285714285</v>
      </c>
    </row>
    <row r="881" spans="1:1" x14ac:dyDescent="0.3">
      <c r="A881" s="1">
        <v>27.647058823529413</v>
      </c>
    </row>
    <row r="882" spans="1:1" x14ac:dyDescent="0.3">
      <c r="A882" s="1">
        <v>41.1</v>
      </c>
    </row>
    <row r="883" spans="1:1" x14ac:dyDescent="0.3">
      <c r="A883" s="1">
        <v>44.95</v>
      </c>
    </row>
    <row r="884" spans="1:1" x14ac:dyDescent="0.3">
      <c r="A884" s="1">
        <v>39.833333333333336</v>
      </c>
    </row>
    <row r="885" spans="1:1" x14ac:dyDescent="0.3">
      <c r="A885" s="1">
        <v>40.6875</v>
      </c>
    </row>
    <row r="886" spans="1:1" x14ac:dyDescent="0.3">
      <c r="A886" s="1">
        <v>35</v>
      </c>
    </row>
    <row r="887" spans="1:1" x14ac:dyDescent="0.3">
      <c r="A887" s="1">
        <v>20</v>
      </c>
    </row>
    <row r="888" spans="1:1" x14ac:dyDescent="0.3">
      <c r="A888" s="1">
        <v>33.799999999999997</v>
      </c>
    </row>
    <row r="889" spans="1:1" x14ac:dyDescent="0.3">
      <c r="A889" s="1">
        <v>40.142857142857146</v>
      </c>
    </row>
    <row r="890" spans="1:1" x14ac:dyDescent="0.3">
      <c r="A890" s="1">
        <v>29</v>
      </c>
    </row>
    <row r="891" spans="1:1" x14ac:dyDescent="0.3">
      <c r="A891" s="1">
        <v>30.03448275862069</v>
      </c>
    </row>
    <row r="892" spans="1:1" x14ac:dyDescent="0.3">
      <c r="A892" s="1">
        <v>40.666666666666664</v>
      </c>
    </row>
    <row r="893" spans="1:1" x14ac:dyDescent="0.3">
      <c r="A893" s="1">
        <v>45.136363636363633</v>
      </c>
    </row>
    <row r="894" spans="1:1" x14ac:dyDescent="0.3">
      <c r="A894" s="1">
        <v>43.8</v>
      </c>
    </row>
    <row r="895" spans="1:1" x14ac:dyDescent="0.3">
      <c r="A895" s="1">
        <v>31.222222222222221</v>
      </c>
    </row>
    <row r="896" spans="1:1" x14ac:dyDescent="0.3">
      <c r="A896" s="1">
        <v>41.5</v>
      </c>
    </row>
    <row r="897" spans="1:1" x14ac:dyDescent="0.3">
      <c r="A897" s="1">
        <v>38.5</v>
      </c>
    </row>
    <row r="898" spans="1:1" x14ac:dyDescent="0.3">
      <c r="A898" s="1">
        <v>26.222222222222221</v>
      </c>
    </row>
    <row r="899" spans="1:1" x14ac:dyDescent="0.3">
      <c r="A899" s="1">
        <v>30.4</v>
      </c>
    </row>
    <row r="900" spans="1:1" x14ac:dyDescent="0.3">
      <c r="A900" s="1">
        <v>38.444444444444443</v>
      </c>
    </row>
    <row r="901" spans="1:1" x14ac:dyDescent="0.3">
      <c r="A901" s="1">
        <v>35</v>
      </c>
    </row>
    <row r="902" spans="1:1" x14ac:dyDescent="0.3">
      <c r="A902" s="1">
        <v>32.866666666666667</v>
      </c>
    </row>
    <row r="903" spans="1:1" x14ac:dyDescent="0.3">
      <c r="A903" s="1">
        <v>43</v>
      </c>
    </row>
    <row r="904" spans="1:1" x14ac:dyDescent="0.3">
      <c r="A904" s="1">
        <v>43.315789473684212</v>
      </c>
    </row>
    <row r="905" spans="1:1" x14ac:dyDescent="0.3">
      <c r="A905" s="1">
        <v>27.382352941176471</v>
      </c>
    </row>
    <row r="906" spans="1:1" x14ac:dyDescent="0.3">
      <c r="A906" s="1">
        <v>26.551724137931036</v>
      </c>
    </row>
    <row r="907" spans="1:1" x14ac:dyDescent="0.3">
      <c r="A907" s="1">
        <v>34.28</v>
      </c>
    </row>
    <row r="908" spans="1:1" x14ac:dyDescent="0.3">
      <c r="A908" s="1">
        <v>26.352941176470587</v>
      </c>
    </row>
    <row r="909" spans="1:1" x14ac:dyDescent="0.3">
      <c r="A909" s="1">
        <v>26</v>
      </c>
    </row>
    <row r="910" spans="1:1" x14ac:dyDescent="0.3">
      <c r="A910" s="1">
        <v>36</v>
      </c>
    </row>
    <row r="911" spans="1:1" x14ac:dyDescent="0.3">
      <c r="A911" s="1">
        <v>40.769230769230766</v>
      </c>
    </row>
    <row r="912" spans="1:1" x14ac:dyDescent="0.3">
      <c r="A912" s="1">
        <v>41.6</v>
      </c>
    </row>
    <row r="913" spans="1:1" x14ac:dyDescent="0.3">
      <c r="A913" s="1">
        <v>38.35</v>
      </c>
    </row>
    <row r="914" spans="1:1" x14ac:dyDescent="0.3">
      <c r="A914" s="1">
        <v>40.15</v>
      </c>
    </row>
    <row r="915" spans="1:1" x14ac:dyDescent="0.3">
      <c r="A915" s="1">
        <v>38.479999999999997</v>
      </c>
    </row>
    <row r="916" spans="1:1" x14ac:dyDescent="0.3">
      <c r="A916" s="1">
        <v>27.80952380952381</v>
      </c>
    </row>
    <row r="917" spans="1:1" x14ac:dyDescent="0.3">
      <c r="A917" s="1">
        <v>33.473684210526315</v>
      </c>
    </row>
    <row r="918" spans="1:1" x14ac:dyDescent="0.3">
      <c r="A918" s="1">
        <v>36.200000000000003</v>
      </c>
    </row>
    <row r="919" spans="1:1" x14ac:dyDescent="0.3">
      <c r="A919" s="1">
        <v>37</v>
      </c>
    </row>
    <row r="920" spans="1:1" x14ac:dyDescent="0.3">
      <c r="A920" s="1">
        <v>32.391304347826086</v>
      </c>
    </row>
    <row r="921" spans="1:1" x14ac:dyDescent="0.3">
      <c r="A921" s="1">
        <v>37.700000000000003</v>
      </c>
    </row>
    <row r="922" spans="1:1" x14ac:dyDescent="0.3">
      <c r="A922" s="1">
        <v>36.909090909090907</v>
      </c>
    </row>
    <row r="923" spans="1:1" x14ac:dyDescent="0.3">
      <c r="A923" s="1">
        <v>37</v>
      </c>
    </row>
    <row r="924" spans="1:1" x14ac:dyDescent="0.3">
      <c r="A924" s="1">
        <v>29.21875</v>
      </c>
    </row>
    <row r="925" spans="1:1" x14ac:dyDescent="0.3">
      <c r="A925" s="1">
        <v>38</v>
      </c>
    </row>
    <row r="926" spans="1:1" x14ac:dyDescent="0.3">
      <c r="A926" s="1">
        <v>31.705882352941178</v>
      </c>
    </row>
    <row r="927" spans="1:1" x14ac:dyDescent="0.3">
      <c r="A927" s="1">
        <v>32.791666666666664</v>
      </c>
    </row>
    <row r="928" spans="1:1" x14ac:dyDescent="0.3">
      <c r="A928" s="1">
        <v>41.85</v>
      </c>
    </row>
    <row r="929" spans="1:1" x14ac:dyDescent="0.3">
      <c r="A929" s="1">
        <v>14</v>
      </c>
    </row>
    <row r="930" spans="1:1" x14ac:dyDescent="0.3">
      <c r="A930" s="1">
        <v>25.972222222222221</v>
      </c>
    </row>
    <row r="931" spans="1:1" x14ac:dyDescent="0.3">
      <c r="A931" s="1">
        <v>35</v>
      </c>
    </row>
    <row r="932" spans="1:1" x14ac:dyDescent="0.3">
      <c r="A932" s="1">
        <v>27.833333333333332</v>
      </c>
    </row>
    <row r="933" spans="1:1" x14ac:dyDescent="0.3">
      <c r="A933" s="1">
        <v>43.214285714285715</v>
      </c>
    </row>
    <row r="934" spans="1:1" x14ac:dyDescent="0.3">
      <c r="A934" s="1">
        <v>28.153846153846153</v>
      </c>
    </row>
    <row r="935" spans="1:1" x14ac:dyDescent="0.3">
      <c r="A935" s="1">
        <v>30.833333333333332</v>
      </c>
    </row>
    <row r="936" spans="1:1" x14ac:dyDescent="0.3">
      <c r="A936" s="1">
        <v>29.2</v>
      </c>
    </row>
    <row r="937" spans="1:1" x14ac:dyDescent="0.3">
      <c r="A937" s="1">
        <v>25.28125</v>
      </c>
    </row>
    <row r="938" spans="1:1" x14ac:dyDescent="0.3">
      <c r="A938" s="1">
        <v>43.904761904761905</v>
      </c>
    </row>
    <row r="939" spans="1:1" x14ac:dyDescent="0.3">
      <c r="A939" s="1">
        <v>37.25</v>
      </c>
    </row>
    <row r="940" spans="1:1" x14ac:dyDescent="0.3">
      <c r="A940" s="1">
        <v>27.333333333333332</v>
      </c>
    </row>
    <row r="941" spans="1:1" x14ac:dyDescent="0.3">
      <c r="A941" s="1">
        <v>28.454545454545453</v>
      </c>
    </row>
    <row r="942" spans="1:1" x14ac:dyDescent="0.3">
      <c r="A942" s="1">
        <v>30.75</v>
      </c>
    </row>
    <row r="943" spans="1:1" x14ac:dyDescent="0.3">
      <c r="A943" s="1">
        <v>47</v>
      </c>
    </row>
    <row r="944" spans="1:1" x14ac:dyDescent="0.3">
      <c r="A944" s="1">
        <v>38.727272727272727</v>
      </c>
    </row>
    <row r="945" spans="1:1" x14ac:dyDescent="0.3">
      <c r="A945" s="1">
        <v>33</v>
      </c>
    </row>
    <row r="946" spans="1:1" x14ac:dyDescent="0.3">
      <c r="A946" s="1">
        <v>25.043478260869566</v>
      </c>
    </row>
    <row r="947" spans="1:1" x14ac:dyDescent="0.3">
      <c r="A947" s="1">
        <v>28.76923076923077</v>
      </c>
    </row>
    <row r="948" spans="1:1" x14ac:dyDescent="0.3">
      <c r="A948" s="1">
        <v>33.541666666666664</v>
      </c>
    </row>
    <row r="949" spans="1:1" x14ac:dyDescent="0.3">
      <c r="A949" s="1">
        <v>26.833333333333332</v>
      </c>
    </row>
    <row r="950" spans="1:1" x14ac:dyDescent="0.3">
      <c r="A950" s="1">
        <v>36.826086956521742</v>
      </c>
    </row>
    <row r="951" spans="1:1" x14ac:dyDescent="0.3">
      <c r="A951" s="1">
        <v>35</v>
      </c>
    </row>
    <row r="952" spans="1:1" x14ac:dyDescent="0.3">
      <c r="A952" s="1">
        <v>30.814814814814813</v>
      </c>
    </row>
    <row r="953" spans="1:1" x14ac:dyDescent="0.3">
      <c r="A953" s="1">
        <v>37.333333333333336</v>
      </c>
    </row>
    <row r="954" spans="1:1" x14ac:dyDescent="0.3">
      <c r="A954" s="1">
        <v>44.882352941176471</v>
      </c>
    </row>
    <row r="955" spans="1:1" x14ac:dyDescent="0.3">
      <c r="A955" s="1">
        <v>35.782608695652172</v>
      </c>
    </row>
    <row r="956" spans="1:1" x14ac:dyDescent="0.3">
      <c r="A956" s="1">
        <v>42.8</v>
      </c>
    </row>
    <row r="957" spans="1:1" x14ac:dyDescent="0.3">
      <c r="A957" s="1">
        <v>35.75</v>
      </c>
    </row>
    <row r="958" spans="1:1" x14ac:dyDescent="0.3">
      <c r="A958" s="1">
        <v>43.478260869565219</v>
      </c>
    </row>
    <row r="959" spans="1:1" x14ac:dyDescent="0.3">
      <c r="A959" s="1">
        <v>38.045454545454547</v>
      </c>
    </row>
    <row r="960" spans="1:1" x14ac:dyDescent="0.3">
      <c r="A960" s="1">
        <v>31.6</v>
      </c>
    </row>
    <row r="961" spans="1:1" x14ac:dyDescent="0.3">
      <c r="A961" s="1">
        <v>49.666666666666664</v>
      </c>
    </row>
    <row r="962" spans="1:1" x14ac:dyDescent="0.3">
      <c r="A962" s="1">
        <v>37</v>
      </c>
    </row>
    <row r="963" spans="1:1" x14ac:dyDescent="0.3">
      <c r="A963" s="1">
        <v>28.870967741935484</v>
      </c>
    </row>
    <row r="964" spans="1:1" x14ac:dyDescent="0.3">
      <c r="A964" s="1">
        <v>39.882352941176471</v>
      </c>
    </row>
    <row r="965" spans="1:1" x14ac:dyDescent="0.3">
      <c r="A965" s="1">
        <v>32.57692307692308</v>
      </c>
    </row>
    <row r="966" spans="1:1" x14ac:dyDescent="0.3">
      <c r="A966" s="1">
        <v>41.133333333333333</v>
      </c>
    </row>
    <row r="967" spans="1:1" x14ac:dyDescent="0.3">
      <c r="A967" s="1">
        <v>29.421052631578949</v>
      </c>
    </row>
    <row r="968" spans="1:1" x14ac:dyDescent="0.3">
      <c r="A968" s="1">
        <v>38.25</v>
      </c>
    </row>
    <row r="969" spans="1:1" x14ac:dyDescent="0.3">
      <c r="A969" s="1">
        <v>38.75</v>
      </c>
    </row>
    <row r="970" spans="1:1" x14ac:dyDescent="0.3">
      <c r="A970" s="1">
        <v>14</v>
      </c>
    </row>
    <row r="971" spans="1:1" x14ac:dyDescent="0.3">
      <c r="A971" s="1">
        <v>36.200000000000003</v>
      </c>
    </row>
    <row r="972" spans="1:1" x14ac:dyDescent="0.3">
      <c r="A972" s="1">
        <v>34.1875</v>
      </c>
    </row>
    <row r="973" spans="1:1" x14ac:dyDescent="0.3">
      <c r="A973" s="1">
        <v>43.666666666666664</v>
      </c>
    </row>
    <row r="974" spans="1:1" x14ac:dyDescent="0.3">
      <c r="A974" s="1">
        <v>40.6</v>
      </c>
    </row>
    <row r="975" spans="1:1" x14ac:dyDescent="0.3">
      <c r="A975" s="1">
        <v>41</v>
      </c>
    </row>
    <row r="976" spans="1:1" x14ac:dyDescent="0.3">
      <c r="A976" s="1">
        <v>30.571428571428573</v>
      </c>
    </row>
    <row r="977" spans="1:1" x14ac:dyDescent="0.3">
      <c r="A977" s="1">
        <v>41.5</v>
      </c>
    </row>
    <row r="978" spans="1:1" x14ac:dyDescent="0.3">
      <c r="A978" s="1">
        <v>40</v>
      </c>
    </row>
    <row r="979" spans="1:1" x14ac:dyDescent="0.3">
      <c r="A979" s="1">
        <v>38.68181818181818</v>
      </c>
    </row>
    <row r="980" spans="1:1" x14ac:dyDescent="0.3">
      <c r="A980" s="1">
        <v>41.4</v>
      </c>
    </row>
    <row r="981" spans="1:1" x14ac:dyDescent="0.3">
      <c r="A981" s="1">
        <v>30.75</v>
      </c>
    </row>
    <row r="982" spans="1:1" x14ac:dyDescent="0.3">
      <c r="A982" s="1">
        <v>38</v>
      </c>
    </row>
    <row r="983" spans="1:1" x14ac:dyDescent="0.3">
      <c r="A983" s="1">
        <v>33.391304347826086</v>
      </c>
    </row>
    <row r="984" spans="1:1" x14ac:dyDescent="0.3">
      <c r="A984" s="1">
        <v>25.193548387096776</v>
      </c>
    </row>
    <row r="985" spans="1:1" x14ac:dyDescent="0.3">
      <c r="A985" s="1">
        <v>37</v>
      </c>
    </row>
    <row r="986" spans="1:1" x14ac:dyDescent="0.3">
      <c r="A986" s="1">
        <v>39.4</v>
      </c>
    </row>
    <row r="987" spans="1:1" x14ac:dyDescent="0.3">
      <c r="A987" s="1">
        <v>42.285714285714285</v>
      </c>
    </row>
    <row r="988" spans="1:1" x14ac:dyDescent="0.3">
      <c r="A988" s="1">
        <v>28.333333333333332</v>
      </c>
    </row>
    <row r="989" spans="1:1" x14ac:dyDescent="0.3">
      <c r="A989" s="1">
        <v>36.8125</v>
      </c>
    </row>
    <row r="990" spans="1:1" x14ac:dyDescent="0.3">
      <c r="A990" s="1">
        <v>25.333333333333332</v>
      </c>
    </row>
    <row r="991" spans="1:1" x14ac:dyDescent="0.3">
      <c r="A991" s="1">
        <v>28.666666666666668</v>
      </c>
    </row>
    <row r="992" spans="1:1" x14ac:dyDescent="0.3">
      <c r="A992" s="1">
        <v>44.75</v>
      </c>
    </row>
    <row r="993" spans="1:1" x14ac:dyDescent="0.3">
      <c r="A993" s="1">
        <v>42.714285714285715</v>
      </c>
    </row>
    <row r="994" spans="1:1" x14ac:dyDescent="0.3">
      <c r="A994" s="1">
        <v>34.636363636363633</v>
      </c>
    </row>
    <row r="995" spans="1:1" x14ac:dyDescent="0.3">
      <c r="A995" s="1">
        <v>27.666666666666668</v>
      </c>
    </row>
    <row r="996" spans="1:1" x14ac:dyDescent="0.3">
      <c r="A996" s="1">
        <v>39.375</v>
      </c>
    </row>
    <row r="997" spans="1:1" x14ac:dyDescent="0.3">
      <c r="A997" s="1">
        <v>32.875</v>
      </c>
    </row>
    <row r="998" spans="1:1" x14ac:dyDescent="0.3">
      <c r="A998" s="1">
        <v>31.153846153846153</v>
      </c>
    </row>
    <row r="999" spans="1:1" x14ac:dyDescent="0.3">
      <c r="A999" s="1">
        <v>24.68</v>
      </c>
    </row>
    <row r="1000" spans="1:1" x14ac:dyDescent="0.3">
      <c r="A1000" s="1">
        <v>28.2</v>
      </c>
    </row>
    <row r="1001" spans="1:1" x14ac:dyDescent="0.3">
      <c r="A1001" s="1">
        <v>27.541666666666668</v>
      </c>
    </row>
    <row r="1002" spans="1:1" x14ac:dyDescent="0.3">
      <c r="A1002" s="1">
        <v>44.4</v>
      </c>
    </row>
    <row r="1003" spans="1:1" x14ac:dyDescent="0.3">
      <c r="A1003" s="1">
        <v>34.714285714285715</v>
      </c>
    </row>
    <row r="1004" spans="1:1" x14ac:dyDescent="0.3">
      <c r="A1004" s="1">
        <v>35.666666666666664</v>
      </c>
    </row>
    <row r="1005" spans="1:1" x14ac:dyDescent="0.3">
      <c r="A1005" s="1">
        <v>31.571428571428573</v>
      </c>
    </row>
    <row r="1006" spans="1:1" x14ac:dyDescent="0.3">
      <c r="A1006" s="1">
        <v>34.310344827586206</v>
      </c>
    </row>
    <row r="1007" spans="1:1" x14ac:dyDescent="0.3">
      <c r="A1007" s="1">
        <v>30.428571428571427</v>
      </c>
    </row>
    <row r="1008" spans="1:1" x14ac:dyDescent="0.3">
      <c r="A1008" s="1">
        <v>29.833333333333332</v>
      </c>
    </row>
    <row r="1009" spans="1:1" x14ac:dyDescent="0.3">
      <c r="A1009" s="1">
        <v>34.6</v>
      </c>
    </row>
    <row r="1010" spans="1:1" x14ac:dyDescent="0.3">
      <c r="A1010" s="1">
        <v>43.388888888888886</v>
      </c>
    </row>
    <row r="1011" spans="1:1" x14ac:dyDescent="0.3">
      <c r="A1011" s="1">
        <v>35</v>
      </c>
    </row>
    <row r="1012" spans="1:1" x14ac:dyDescent="0.3">
      <c r="A1012" s="1">
        <v>25</v>
      </c>
    </row>
    <row r="1013" spans="1:1" x14ac:dyDescent="0.3">
      <c r="A1013" s="1">
        <v>37.611111111111114</v>
      </c>
    </row>
    <row r="1014" spans="1:1" x14ac:dyDescent="0.3">
      <c r="A1014" s="1">
        <v>39</v>
      </c>
    </row>
    <row r="1015" spans="1:1" x14ac:dyDescent="0.3">
      <c r="A1015" s="1">
        <v>27.76923076923077</v>
      </c>
    </row>
    <row r="1016" spans="1:1" x14ac:dyDescent="0.3">
      <c r="A1016" s="1">
        <v>27.294117647058822</v>
      </c>
    </row>
    <row r="1017" spans="1:1" x14ac:dyDescent="0.3">
      <c r="A1017" s="1">
        <v>45.875</v>
      </c>
    </row>
    <row r="1018" spans="1:1" x14ac:dyDescent="0.3">
      <c r="A1018" s="1">
        <v>38</v>
      </c>
    </row>
    <row r="1019" spans="1:1" x14ac:dyDescent="0.3">
      <c r="A1019" s="1">
        <v>38.5</v>
      </c>
    </row>
    <row r="1020" spans="1:1" x14ac:dyDescent="0.3">
      <c r="A1020" s="1">
        <v>44.117647058823529</v>
      </c>
    </row>
    <row r="1021" spans="1:1" x14ac:dyDescent="0.3">
      <c r="A1021" s="1">
        <v>26</v>
      </c>
    </row>
    <row r="1022" spans="1:1" x14ac:dyDescent="0.3">
      <c r="A1022" s="1">
        <v>34.068965517241381</v>
      </c>
    </row>
    <row r="1023" spans="1:1" x14ac:dyDescent="0.3">
      <c r="A1023" s="1">
        <v>38.208333333333336</v>
      </c>
    </row>
    <row r="1024" spans="1:1" x14ac:dyDescent="0.3">
      <c r="A1024" s="1">
        <v>27</v>
      </c>
    </row>
    <row r="1025" spans="1:1" x14ac:dyDescent="0.3">
      <c r="A1025" s="1">
        <v>24.5</v>
      </c>
    </row>
    <row r="1026" spans="1:1" x14ac:dyDescent="0.3">
      <c r="A1026" s="1">
        <v>40.833333333333336</v>
      </c>
    </row>
    <row r="1027" spans="1:1" x14ac:dyDescent="0.3">
      <c r="A1027" s="1">
        <v>34.466666666666669</v>
      </c>
    </row>
    <row r="1028" spans="1:1" x14ac:dyDescent="0.3">
      <c r="A1028" s="1">
        <v>38.222222222222221</v>
      </c>
    </row>
    <row r="1029" spans="1:1" x14ac:dyDescent="0.3">
      <c r="A1029" s="1">
        <v>36.119999999999997</v>
      </c>
    </row>
    <row r="1030" spans="1:1" x14ac:dyDescent="0.3">
      <c r="A1030" s="1">
        <v>44.421052631578945</v>
      </c>
    </row>
    <row r="1031" spans="1:1" x14ac:dyDescent="0.3">
      <c r="A1031" s="1">
        <v>43.6</v>
      </c>
    </row>
    <row r="1032" spans="1:1" x14ac:dyDescent="0.3">
      <c r="A1032" s="1">
        <v>35.421052631578945</v>
      </c>
    </row>
    <row r="1033" spans="1:1" x14ac:dyDescent="0.3">
      <c r="A1033" s="1">
        <v>33.5</v>
      </c>
    </row>
    <row r="1034" spans="1:1" x14ac:dyDescent="0.3">
      <c r="A1034" s="1">
        <v>32.799999999999997</v>
      </c>
    </row>
    <row r="1035" spans="1:1" x14ac:dyDescent="0.3">
      <c r="A1035" s="1">
        <v>33.5</v>
      </c>
    </row>
    <row r="1036" spans="1:1" x14ac:dyDescent="0.3">
      <c r="A1036" s="1">
        <v>30</v>
      </c>
    </row>
    <row r="1037" spans="1:1" x14ac:dyDescent="0.3">
      <c r="A1037" s="1">
        <v>42.8</v>
      </c>
    </row>
    <row r="1038" spans="1:1" x14ac:dyDescent="0.3">
      <c r="A1038" s="1">
        <v>27.764705882352942</v>
      </c>
    </row>
    <row r="1039" spans="1:1" x14ac:dyDescent="0.3">
      <c r="A1039" s="1">
        <v>39.75</v>
      </c>
    </row>
    <row r="1040" spans="1:1" x14ac:dyDescent="0.3">
      <c r="A1040" s="1">
        <v>51</v>
      </c>
    </row>
    <row r="1041" spans="1:1" x14ac:dyDescent="0.3">
      <c r="A1041" s="1">
        <v>40.941176470588232</v>
      </c>
    </row>
    <row r="1042" spans="1:1" x14ac:dyDescent="0.3">
      <c r="A1042" s="1">
        <v>32.333333333333336</v>
      </c>
    </row>
    <row r="1043" spans="1:1" x14ac:dyDescent="0.3">
      <c r="A1043" s="1">
        <v>28</v>
      </c>
    </row>
    <row r="1044" spans="1:1" x14ac:dyDescent="0.3">
      <c r="A1044" s="1">
        <v>25.75</v>
      </c>
    </row>
    <row r="1045" spans="1:1" x14ac:dyDescent="0.3">
      <c r="A1045" s="1">
        <v>36.444444444444443</v>
      </c>
    </row>
    <row r="1046" spans="1:1" x14ac:dyDescent="0.3">
      <c r="A1046" s="1">
        <v>28.2</v>
      </c>
    </row>
    <row r="1047" spans="1:1" x14ac:dyDescent="0.3">
      <c r="A1047" s="1">
        <v>32.75</v>
      </c>
    </row>
    <row r="1048" spans="1:1" x14ac:dyDescent="0.3">
      <c r="A1048" s="1">
        <v>43</v>
      </c>
    </row>
    <row r="1049" spans="1:1" x14ac:dyDescent="0.3">
      <c r="A1049" s="1">
        <v>39</v>
      </c>
    </row>
    <row r="1050" spans="1:1" x14ac:dyDescent="0.3">
      <c r="A1050" s="1">
        <v>45</v>
      </c>
    </row>
    <row r="1051" spans="1:1" x14ac:dyDescent="0.3">
      <c r="A1051" s="1">
        <v>29.388888888888889</v>
      </c>
    </row>
    <row r="1052" spans="1:1" x14ac:dyDescent="0.3">
      <c r="A1052" s="1">
        <v>30.8</v>
      </c>
    </row>
    <row r="1053" spans="1:1" x14ac:dyDescent="0.3">
      <c r="A1053" s="1">
        <v>24.2</v>
      </c>
    </row>
    <row r="1054" spans="1:1" x14ac:dyDescent="0.3">
      <c r="A1054" s="1">
        <v>37.111111111111114</v>
      </c>
    </row>
    <row r="1055" spans="1:1" x14ac:dyDescent="0.3">
      <c r="A1055" s="1">
        <v>26.653846153846153</v>
      </c>
    </row>
    <row r="1056" spans="1:1" x14ac:dyDescent="0.3">
      <c r="A1056" s="1">
        <v>44.857142857142854</v>
      </c>
    </row>
    <row r="1057" spans="1:1" x14ac:dyDescent="0.3">
      <c r="A1057" s="1">
        <v>30.25</v>
      </c>
    </row>
    <row r="1058" spans="1:1" x14ac:dyDescent="0.3">
      <c r="A1058" s="1">
        <v>36.5</v>
      </c>
    </row>
    <row r="1059" spans="1:1" x14ac:dyDescent="0.3">
      <c r="A1059" s="1">
        <v>35.625</v>
      </c>
    </row>
    <row r="1060" spans="1:1" x14ac:dyDescent="0.3">
      <c r="A1060" s="1">
        <v>24.5</v>
      </c>
    </row>
    <row r="1061" spans="1:1" x14ac:dyDescent="0.3">
      <c r="A1061" s="1">
        <v>29.076923076923077</v>
      </c>
    </row>
    <row r="1062" spans="1:1" x14ac:dyDescent="0.3">
      <c r="A1062" s="1">
        <v>25.84</v>
      </c>
    </row>
    <row r="1063" spans="1:1" x14ac:dyDescent="0.3">
      <c r="A1063" s="1">
        <v>34.857142857142854</v>
      </c>
    </row>
    <row r="1064" spans="1:1" x14ac:dyDescent="0.3">
      <c r="A1064" s="1">
        <v>32.875</v>
      </c>
    </row>
    <row r="1065" spans="1:1" x14ac:dyDescent="0.3">
      <c r="A1065" s="1">
        <v>35.842105263157897</v>
      </c>
    </row>
    <row r="1066" spans="1:1" x14ac:dyDescent="0.3">
      <c r="A1066" s="1">
        <v>27.793103448275861</v>
      </c>
    </row>
    <row r="1067" spans="1:1" x14ac:dyDescent="0.3">
      <c r="A1067" s="1">
        <v>34.25</v>
      </c>
    </row>
    <row r="1068" spans="1:1" x14ac:dyDescent="0.3">
      <c r="A1068" s="1">
        <v>33.285714285714285</v>
      </c>
    </row>
    <row r="1069" spans="1:1" x14ac:dyDescent="0.3">
      <c r="A1069" s="1">
        <v>40.285714285714285</v>
      </c>
    </row>
    <row r="1070" spans="1:1" x14ac:dyDescent="0.3">
      <c r="A1070" s="1">
        <v>36.692307692307693</v>
      </c>
    </row>
    <row r="1071" spans="1:1" x14ac:dyDescent="0.3">
      <c r="A1071" s="1">
        <v>37.888888888888886</v>
      </c>
    </row>
    <row r="1072" spans="1:1" x14ac:dyDescent="0.3">
      <c r="A1072" s="1">
        <v>26.24</v>
      </c>
    </row>
    <row r="1073" spans="1:1" x14ac:dyDescent="0.3">
      <c r="A1073" s="1">
        <v>50</v>
      </c>
    </row>
    <row r="1074" spans="1:1" x14ac:dyDescent="0.3">
      <c r="A1074" s="1">
        <v>40.416666666666664</v>
      </c>
    </row>
    <row r="1075" spans="1:1" x14ac:dyDescent="0.3">
      <c r="A1075" s="1">
        <v>33</v>
      </c>
    </row>
    <row r="1076" spans="1:1" x14ac:dyDescent="0.3">
      <c r="A1076" s="1">
        <v>30.548387096774192</v>
      </c>
    </row>
    <row r="1077" spans="1:1" x14ac:dyDescent="0.3">
      <c r="A1077" s="1">
        <v>45.666666666666664</v>
      </c>
    </row>
    <row r="1078" spans="1:1" x14ac:dyDescent="0.3">
      <c r="A1078" s="1">
        <v>30.714285714285715</v>
      </c>
    </row>
    <row r="1079" spans="1:1" x14ac:dyDescent="0.3">
      <c r="A1079" s="1">
        <v>41.25</v>
      </c>
    </row>
    <row r="1080" spans="1:1" x14ac:dyDescent="0.3">
      <c r="A1080" s="1">
        <v>35.299999999999997</v>
      </c>
    </row>
    <row r="1081" spans="1:1" x14ac:dyDescent="0.3">
      <c r="A1081" s="1">
        <v>32.307692307692307</v>
      </c>
    </row>
    <row r="1082" spans="1:1" x14ac:dyDescent="0.3">
      <c r="A1082" s="1">
        <v>26.5</v>
      </c>
    </row>
    <row r="1083" spans="1:1" x14ac:dyDescent="0.3">
      <c r="A1083" s="1">
        <v>39</v>
      </c>
    </row>
    <row r="1084" spans="1:1" x14ac:dyDescent="0.3">
      <c r="A1084" s="1">
        <v>27.314285714285713</v>
      </c>
    </row>
    <row r="1085" spans="1:1" x14ac:dyDescent="0.3">
      <c r="A1085" s="1">
        <v>39</v>
      </c>
    </row>
    <row r="1086" spans="1:1" x14ac:dyDescent="0.3">
      <c r="A1086" s="1">
        <v>31.8</v>
      </c>
    </row>
    <row r="1087" spans="1:1" x14ac:dyDescent="0.3">
      <c r="A1087" s="1">
        <v>35.07692307692308</v>
      </c>
    </row>
    <row r="1088" spans="1:1" x14ac:dyDescent="0.3">
      <c r="A1088" s="1">
        <v>36.428571428571431</v>
      </c>
    </row>
    <row r="1089" spans="1:1" x14ac:dyDescent="0.3">
      <c r="A1089" s="1">
        <v>28.615384615384617</v>
      </c>
    </row>
    <row r="1090" spans="1:1" x14ac:dyDescent="0.3">
      <c r="A1090" s="1">
        <v>32.125</v>
      </c>
    </row>
    <row r="1091" spans="1:1" x14ac:dyDescent="0.3">
      <c r="A1091" s="1">
        <v>31.4</v>
      </c>
    </row>
    <row r="1092" spans="1:1" x14ac:dyDescent="0.3">
      <c r="A1092" s="1">
        <v>31.8</v>
      </c>
    </row>
    <row r="1093" spans="1:1" x14ac:dyDescent="0.3">
      <c r="A1093" s="1">
        <v>39.05263157894737</v>
      </c>
    </row>
    <row r="1094" spans="1:1" x14ac:dyDescent="0.3">
      <c r="A1094" s="1">
        <v>41.5</v>
      </c>
    </row>
    <row r="1095" spans="1:1" x14ac:dyDescent="0.3">
      <c r="A1095" s="1">
        <v>27.25</v>
      </c>
    </row>
    <row r="1096" spans="1:1" x14ac:dyDescent="0.3">
      <c r="A1096" s="1">
        <v>42.785714285714285</v>
      </c>
    </row>
    <row r="1097" spans="1:1" x14ac:dyDescent="0.3">
      <c r="A1097" s="1">
        <v>44.083333333333336</v>
      </c>
    </row>
    <row r="1098" spans="1:1" x14ac:dyDescent="0.3">
      <c r="A1098" s="1">
        <v>43.266666666666666</v>
      </c>
    </row>
    <row r="1099" spans="1:1" x14ac:dyDescent="0.3">
      <c r="A1099" s="1">
        <v>33.64</v>
      </c>
    </row>
    <row r="1100" spans="1:1" x14ac:dyDescent="0.3">
      <c r="A1100" s="1">
        <v>41.166666666666664</v>
      </c>
    </row>
    <row r="1101" spans="1:1" x14ac:dyDescent="0.3">
      <c r="A1101" s="1">
        <v>37.578947368421055</v>
      </c>
    </row>
    <row r="1102" spans="1:1" x14ac:dyDescent="0.3">
      <c r="A1102" s="1">
        <v>44.454545454545453</v>
      </c>
    </row>
    <row r="1103" spans="1:1" x14ac:dyDescent="0.3">
      <c r="A1103" s="1">
        <v>25.846153846153847</v>
      </c>
    </row>
    <row r="1104" spans="1:1" x14ac:dyDescent="0.3">
      <c r="A1104" s="1">
        <v>34.037037037037038</v>
      </c>
    </row>
    <row r="1105" spans="1:1" x14ac:dyDescent="0.3">
      <c r="A1105" s="1">
        <v>44.090909090909093</v>
      </c>
    </row>
    <row r="1106" spans="1:1" x14ac:dyDescent="0.3">
      <c r="A1106" s="1">
        <v>30.166666666666668</v>
      </c>
    </row>
    <row r="1107" spans="1:1" x14ac:dyDescent="0.3">
      <c r="A1107" s="1">
        <v>35.153846153846153</v>
      </c>
    </row>
    <row r="1108" spans="1:1" x14ac:dyDescent="0.3">
      <c r="A1108" s="1">
        <v>27.176470588235293</v>
      </c>
    </row>
    <row r="1109" spans="1:1" x14ac:dyDescent="0.3">
      <c r="A1109" s="1">
        <v>26.217391304347824</v>
      </c>
    </row>
    <row r="1110" spans="1:1" x14ac:dyDescent="0.3">
      <c r="A1110" s="1">
        <v>40.049999999999997</v>
      </c>
    </row>
    <row r="1111" spans="1:1" x14ac:dyDescent="0.3">
      <c r="A1111" s="1">
        <v>31.529411764705884</v>
      </c>
    </row>
    <row r="1112" spans="1:1" x14ac:dyDescent="0.3">
      <c r="A1112" s="1">
        <v>38.799999999999997</v>
      </c>
    </row>
    <row r="1113" spans="1:1" x14ac:dyDescent="0.3">
      <c r="A1113" s="1">
        <v>32.25</v>
      </c>
    </row>
    <row r="1114" spans="1:1" x14ac:dyDescent="0.3">
      <c r="A1114" s="1">
        <v>48</v>
      </c>
    </row>
    <row r="1115" spans="1:1" x14ac:dyDescent="0.3">
      <c r="A1115" s="1">
        <v>42.454545454545453</v>
      </c>
    </row>
    <row r="1116" spans="1:1" x14ac:dyDescent="0.3">
      <c r="A1116" s="1">
        <v>25.1875</v>
      </c>
    </row>
    <row r="1117" spans="1:1" x14ac:dyDescent="0.3">
      <c r="A1117" s="1">
        <v>38.666666666666664</v>
      </c>
    </row>
    <row r="1118" spans="1:1" x14ac:dyDescent="0.3">
      <c r="A1118" s="1">
        <v>40.5</v>
      </c>
    </row>
    <row r="1119" spans="1:1" x14ac:dyDescent="0.3">
      <c r="A1119" s="1">
        <v>32.966666666666669</v>
      </c>
    </row>
    <row r="1120" spans="1:1" x14ac:dyDescent="0.3">
      <c r="A1120" s="1">
        <v>34.75</v>
      </c>
    </row>
    <row r="1121" spans="1:1" x14ac:dyDescent="0.3">
      <c r="A1121" s="1">
        <v>32</v>
      </c>
    </row>
    <row r="1122" spans="1:1" x14ac:dyDescent="0.3">
      <c r="A1122" s="1">
        <v>44.083333333333336</v>
      </c>
    </row>
    <row r="1123" spans="1:1" x14ac:dyDescent="0.3">
      <c r="A1123" s="1">
        <v>26.25</v>
      </c>
    </row>
    <row r="1124" spans="1:1" x14ac:dyDescent="0.3">
      <c r="A1124" s="1">
        <v>37.5</v>
      </c>
    </row>
    <row r="1125" spans="1:1" x14ac:dyDescent="0.3">
      <c r="A1125" s="1">
        <v>43</v>
      </c>
    </row>
    <row r="1126" spans="1:1" x14ac:dyDescent="0.3">
      <c r="A1126" s="1">
        <v>44.8</v>
      </c>
    </row>
    <row r="1127" spans="1:1" x14ac:dyDescent="0.3">
      <c r="A1127" s="1">
        <v>27.5</v>
      </c>
    </row>
    <row r="1128" spans="1:1" x14ac:dyDescent="0.3">
      <c r="A1128" s="1">
        <v>26.193548387096776</v>
      </c>
    </row>
    <row r="1129" spans="1:1" x14ac:dyDescent="0.3">
      <c r="A1129" s="1">
        <v>33.363636363636367</v>
      </c>
    </row>
    <row r="1130" spans="1:1" x14ac:dyDescent="0.3">
      <c r="A1130" s="1">
        <v>42.333333333333336</v>
      </c>
    </row>
    <row r="1131" spans="1:1" x14ac:dyDescent="0.3">
      <c r="A1131" s="1">
        <v>28.5</v>
      </c>
    </row>
    <row r="1132" spans="1:1" x14ac:dyDescent="0.3">
      <c r="A1132" s="1">
        <v>38.608695652173914</v>
      </c>
    </row>
    <row r="1133" spans="1:1" x14ac:dyDescent="0.3">
      <c r="A1133" s="1">
        <v>43.333333333333336</v>
      </c>
    </row>
    <row r="1134" spans="1:1" x14ac:dyDescent="0.3">
      <c r="A1134" s="1">
        <v>36.5</v>
      </c>
    </row>
    <row r="1135" spans="1:1" x14ac:dyDescent="0.3">
      <c r="A1135" s="1">
        <v>26.277777777777779</v>
      </c>
    </row>
    <row r="1136" spans="1:1" x14ac:dyDescent="0.3">
      <c r="A1136" s="1">
        <v>43.222222222222221</v>
      </c>
    </row>
    <row r="1137" spans="1:1" x14ac:dyDescent="0.3">
      <c r="A1137" s="1">
        <v>42.285714285714285</v>
      </c>
    </row>
    <row r="1138" spans="1:1" x14ac:dyDescent="0.3">
      <c r="A1138" s="1">
        <v>38.833333333333336</v>
      </c>
    </row>
    <row r="1139" spans="1:1" x14ac:dyDescent="0.3">
      <c r="A1139" s="1">
        <v>40.53846153846154</v>
      </c>
    </row>
    <row r="1140" spans="1:1" x14ac:dyDescent="0.3">
      <c r="A1140" s="1">
        <v>44.5</v>
      </c>
    </row>
    <row r="1141" spans="1:1" x14ac:dyDescent="0.3">
      <c r="A1141" s="1">
        <v>27.114285714285714</v>
      </c>
    </row>
    <row r="1142" spans="1:1" x14ac:dyDescent="0.3">
      <c r="A1142" s="1">
        <v>32.086956521739133</v>
      </c>
    </row>
    <row r="1143" spans="1:1" x14ac:dyDescent="0.3">
      <c r="A1143" s="1">
        <v>26</v>
      </c>
    </row>
    <row r="1144" spans="1:1" x14ac:dyDescent="0.3">
      <c r="A1144" s="1">
        <v>24.285714285714285</v>
      </c>
    </row>
    <row r="1145" spans="1:1" x14ac:dyDescent="0.3">
      <c r="A1145" s="1">
        <v>39.700000000000003</v>
      </c>
    </row>
    <row r="1146" spans="1:1" x14ac:dyDescent="0.3">
      <c r="A1146" s="1">
        <v>30.541666666666668</v>
      </c>
    </row>
    <row r="1147" spans="1:1" x14ac:dyDescent="0.3">
      <c r="A1147" s="1">
        <v>45.333333333333336</v>
      </c>
    </row>
    <row r="1148" spans="1:1" x14ac:dyDescent="0.3">
      <c r="A1148" s="1">
        <v>39.799999999999997</v>
      </c>
    </row>
    <row r="1149" spans="1:1" x14ac:dyDescent="0.3">
      <c r="A1149" s="1">
        <v>39.285714285714285</v>
      </c>
    </row>
    <row r="1150" spans="1:1" x14ac:dyDescent="0.3">
      <c r="A1150" s="1">
        <v>27.233333333333334</v>
      </c>
    </row>
    <row r="1151" spans="1:1" x14ac:dyDescent="0.3">
      <c r="A1151" s="1">
        <v>33.928571428571431</v>
      </c>
    </row>
    <row r="1152" spans="1:1" x14ac:dyDescent="0.3">
      <c r="A1152" s="1">
        <v>29.708333333333332</v>
      </c>
    </row>
    <row r="1153" spans="1:1" x14ac:dyDescent="0.3">
      <c r="A1153" s="1">
        <v>33.833333333333336</v>
      </c>
    </row>
    <row r="1154" spans="1:1" x14ac:dyDescent="0.3">
      <c r="A1154" s="1">
        <v>29.9</v>
      </c>
    </row>
    <row r="1155" spans="1:1" x14ac:dyDescent="0.3">
      <c r="A1155" s="1">
        <v>44.625</v>
      </c>
    </row>
    <row r="1156" spans="1:1" x14ac:dyDescent="0.3">
      <c r="A1156" s="1">
        <v>49.5</v>
      </c>
    </row>
    <row r="1157" spans="1:1" x14ac:dyDescent="0.3">
      <c r="A1157" s="1">
        <v>35.153846153846153</v>
      </c>
    </row>
    <row r="1158" spans="1:1" x14ac:dyDescent="0.3">
      <c r="A1158" s="1">
        <v>28.25925925925926</v>
      </c>
    </row>
    <row r="1159" spans="1:1" x14ac:dyDescent="0.3">
      <c r="A1159" s="1">
        <v>26.166666666666668</v>
      </c>
    </row>
    <row r="1160" spans="1:1" x14ac:dyDescent="0.3">
      <c r="A1160" s="1">
        <v>36.772727272727273</v>
      </c>
    </row>
    <row r="1161" spans="1:1" x14ac:dyDescent="0.3">
      <c r="A1161" s="1">
        <v>32.857142857142854</v>
      </c>
    </row>
    <row r="1162" spans="1:1" x14ac:dyDescent="0.3">
      <c r="A1162" s="1">
        <v>28.125</v>
      </c>
    </row>
    <row r="1163" spans="1:1" x14ac:dyDescent="0.3">
      <c r="A1163" s="1">
        <v>41.333333333333336</v>
      </c>
    </row>
    <row r="1164" spans="1:1" x14ac:dyDescent="0.3">
      <c r="A1164" s="1">
        <v>25.375</v>
      </c>
    </row>
    <row r="1165" spans="1:1" x14ac:dyDescent="0.3">
      <c r="A1165" s="1">
        <v>56</v>
      </c>
    </row>
    <row r="1166" spans="1:1" x14ac:dyDescent="0.3">
      <c r="A1166" s="1">
        <v>31.333333333333332</v>
      </c>
    </row>
    <row r="1167" spans="1:1" x14ac:dyDescent="0.3">
      <c r="A1167" s="1">
        <v>41.05263157894737</v>
      </c>
    </row>
    <row r="1168" spans="1:1" x14ac:dyDescent="0.3">
      <c r="A1168" s="1">
        <v>29.25</v>
      </c>
    </row>
    <row r="1169" spans="1:1" x14ac:dyDescent="0.3">
      <c r="A1169" s="1">
        <v>41.913043478260867</v>
      </c>
    </row>
    <row r="1170" spans="1:1" x14ac:dyDescent="0.3">
      <c r="A1170" s="1">
        <v>43.416666666666664</v>
      </c>
    </row>
    <row r="1171" spans="1:1" x14ac:dyDescent="0.3">
      <c r="A1171" s="1">
        <v>39.375</v>
      </c>
    </row>
    <row r="1172" spans="1:1" x14ac:dyDescent="0.3">
      <c r="A1172" s="1">
        <v>41.25</v>
      </c>
    </row>
    <row r="1173" spans="1:1" x14ac:dyDescent="0.3">
      <c r="A1173" s="1">
        <v>33.222222222222221</v>
      </c>
    </row>
    <row r="1174" spans="1:1" x14ac:dyDescent="0.3">
      <c r="A1174" s="1">
        <v>30</v>
      </c>
    </row>
    <row r="1175" spans="1:1" x14ac:dyDescent="0.3">
      <c r="A1175" s="1">
        <v>38.133333333333333</v>
      </c>
    </row>
    <row r="1176" spans="1:1" x14ac:dyDescent="0.3">
      <c r="A1176" s="1">
        <v>43.583333333333336</v>
      </c>
    </row>
    <row r="1177" spans="1:1" x14ac:dyDescent="0.3">
      <c r="A1177" s="1">
        <v>38</v>
      </c>
    </row>
    <row r="1178" spans="1:1" x14ac:dyDescent="0.3">
      <c r="A1178" s="1">
        <v>34</v>
      </c>
    </row>
    <row r="1179" spans="1:1" x14ac:dyDescent="0.3">
      <c r="A1179" s="1">
        <v>31</v>
      </c>
    </row>
    <row r="1180" spans="1:1" x14ac:dyDescent="0.3">
      <c r="A1180" s="1">
        <v>31.076923076923077</v>
      </c>
    </row>
    <row r="1181" spans="1:1" x14ac:dyDescent="0.3">
      <c r="A1181" s="1">
        <v>40.523809523809526</v>
      </c>
    </row>
    <row r="1182" spans="1:1" x14ac:dyDescent="0.3">
      <c r="A1182" s="1">
        <v>32.769230769230766</v>
      </c>
    </row>
    <row r="1183" spans="1:1" x14ac:dyDescent="0.3">
      <c r="A1183" s="1">
        <v>41.25</v>
      </c>
    </row>
    <row r="1184" spans="1:1" x14ac:dyDescent="0.3">
      <c r="A1184" s="1">
        <v>39.454545454545453</v>
      </c>
    </row>
    <row r="1185" spans="1:1" x14ac:dyDescent="0.3">
      <c r="A1185" s="1">
        <v>26.6</v>
      </c>
    </row>
    <row r="1186" spans="1:1" x14ac:dyDescent="0.3">
      <c r="A1186" s="1">
        <v>45</v>
      </c>
    </row>
    <row r="1187" spans="1:1" x14ac:dyDescent="0.3">
      <c r="A1187" s="1">
        <v>39.36</v>
      </c>
    </row>
    <row r="1188" spans="1:1" x14ac:dyDescent="0.3">
      <c r="A1188" s="1">
        <v>43.304347826086953</v>
      </c>
    </row>
    <row r="1189" spans="1:1" x14ac:dyDescent="0.3">
      <c r="A1189" s="1">
        <v>34.769230769230766</v>
      </c>
    </row>
    <row r="1190" spans="1:1" x14ac:dyDescent="0.3">
      <c r="A1190" s="1">
        <v>38</v>
      </c>
    </row>
    <row r="1191" spans="1:1" x14ac:dyDescent="0.3">
      <c r="A1191" s="1">
        <v>44.666666666666664</v>
      </c>
    </row>
    <row r="1192" spans="1:1" x14ac:dyDescent="0.3">
      <c r="A1192" s="1">
        <v>26.75</v>
      </c>
    </row>
    <row r="1193" spans="1:1" x14ac:dyDescent="0.3">
      <c r="A1193" s="1">
        <v>37.588235294117645</v>
      </c>
    </row>
    <row r="1194" spans="1:1" x14ac:dyDescent="0.3">
      <c r="A1194" s="1">
        <v>43.4</v>
      </c>
    </row>
    <row r="1195" spans="1:1" x14ac:dyDescent="0.3">
      <c r="A1195" s="1">
        <v>38.857142857142854</v>
      </c>
    </row>
    <row r="1196" spans="1:1" x14ac:dyDescent="0.3">
      <c r="A1196" s="1">
        <v>45.071428571428569</v>
      </c>
    </row>
    <row r="1197" spans="1:1" x14ac:dyDescent="0.3">
      <c r="A1197" s="1">
        <v>39.1</v>
      </c>
    </row>
    <row r="1198" spans="1:1" x14ac:dyDescent="0.3">
      <c r="A1198" s="1">
        <v>40.333333333333336</v>
      </c>
    </row>
    <row r="1199" spans="1:1" x14ac:dyDescent="0.3">
      <c r="A1199" s="1">
        <v>31.0625</v>
      </c>
    </row>
    <row r="1200" spans="1:1" x14ac:dyDescent="0.3">
      <c r="A1200" s="1">
        <v>36.888888888888886</v>
      </c>
    </row>
    <row r="1201" spans="1:1" x14ac:dyDescent="0.3">
      <c r="A1201" s="1">
        <v>16</v>
      </c>
    </row>
    <row r="1202" spans="1:1" x14ac:dyDescent="0.3">
      <c r="A1202" s="1">
        <v>43.2</v>
      </c>
    </row>
    <row r="1203" spans="1:1" x14ac:dyDescent="0.3">
      <c r="A1203" s="1">
        <v>26.666666666666668</v>
      </c>
    </row>
    <row r="1204" spans="1:1" x14ac:dyDescent="0.3">
      <c r="A1204" s="1">
        <v>31.565217391304348</v>
      </c>
    </row>
    <row r="1205" spans="1:1" x14ac:dyDescent="0.3">
      <c r="A1205" s="1">
        <v>25.763157894736842</v>
      </c>
    </row>
    <row r="1206" spans="1:1" x14ac:dyDescent="0.3">
      <c r="A1206" s="1">
        <v>37.583333333333336</v>
      </c>
    </row>
    <row r="1207" spans="1:1" x14ac:dyDescent="0.3">
      <c r="A1207" s="1">
        <v>30</v>
      </c>
    </row>
    <row r="1208" spans="1:1" x14ac:dyDescent="0.3">
      <c r="A1208" s="1">
        <v>36</v>
      </c>
    </row>
    <row r="1209" spans="1:1" x14ac:dyDescent="0.3">
      <c r="A1209" s="1">
        <v>41.833333333333336</v>
      </c>
    </row>
    <row r="1210" spans="1:1" x14ac:dyDescent="0.3">
      <c r="A1210" s="1">
        <v>42.523809523809526</v>
      </c>
    </row>
    <row r="1211" spans="1:1" x14ac:dyDescent="0.3">
      <c r="A1211" s="1">
        <v>31.222222222222221</v>
      </c>
    </row>
    <row r="1212" spans="1:1" x14ac:dyDescent="0.3">
      <c r="A1212" s="1">
        <v>34.06666666666667</v>
      </c>
    </row>
    <row r="1213" spans="1:1" x14ac:dyDescent="0.3">
      <c r="A1213" s="1">
        <v>27.8</v>
      </c>
    </row>
    <row r="1214" spans="1:1" x14ac:dyDescent="0.3">
      <c r="A1214" s="1">
        <v>40</v>
      </c>
    </row>
    <row r="1215" spans="1:1" x14ac:dyDescent="0.3">
      <c r="A1215" s="1">
        <v>32.434782608695649</v>
      </c>
    </row>
    <row r="1216" spans="1:1" x14ac:dyDescent="0.3">
      <c r="A1216" s="1">
        <v>37.10526315789474</v>
      </c>
    </row>
    <row r="1217" spans="1:1" x14ac:dyDescent="0.3">
      <c r="A1217" s="1">
        <v>35.5</v>
      </c>
    </row>
    <row r="1218" spans="1:1" x14ac:dyDescent="0.3">
      <c r="A1218" s="1">
        <v>41.714285714285715</v>
      </c>
    </row>
    <row r="1219" spans="1:1" x14ac:dyDescent="0.3">
      <c r="A1219" s="1">
        <v>37.541666666666664</v>
      </c>
    </row>
    <row r="1220" spans="1:1" x14ac:dyDescent="0.3">
      <c r="A1220" s="1">
        <v>37.875</v>
      </c>
    </row>
    <row r="1221" spans="1:1" x14ac:dyDescent="0.3">
      <c r="A1221" s="1">
        <v>30</v>
      </c>
    </row>
    <row r="1222" spans="1:1" x14ac:dyDescent="0.3">
      <c r="A1222" s="1">
        <v>15</v>
      </c>
    </row>
    <row r="1223" spans="1:1" x14ac:dyDescent="0.3">
      <c r="A1223" s="1">
        <v>29.894736842105264</v>
      </c>
    </row>
    <row r="1224" spans="1:1" x14ac:dyDescent="0.3">
      <c r="A1224" s="1">
        <v>37.777777777777779</v>
      </c>
    </row>
    <row r="1225" spans="1:1" x14ac:dyDescent="0.3">
      <c r="A1225" s="1">
        <v>39</v>
      </c>
    </row>
    <row r="1226" spans="1:1" x14ac:dyDescent="0.3">
      <c r="A1226" s="1">
        <v>35</v>
      </c>
    </row>
    <row r="1227" spans="1:1" x14ac:dyDescent="0.3">
      <c r="A1227" s="1">
        <v>25.96153846153846</v>
      </c>
    </row>
    <row r="1228" spans="1:1" x14ac:dyDescent="0.3">
      <c r="A1228" s="1">
        <v>30.208333333333332</v>
      </c>
    </row>
    <row r="1229" spans="1:1" x14ac:dyDescent="0.3">
      <c r="A1229" s="1">
        <v>41.727272727272727</v>
      </c>
    </row>
    <row r="1230" spans="1:1" x14ac:dyDescent="0.3">
      <c r="A1230" s="1">
        <v>39.32</v>
      </c>
    </row>
    <row r="1231" spans="1:1" x14ac:dyDescent="0.3">
      <c r="A1231" s="1">
        <v>27.46153846153846</v>
      </c>
    </row>
    <row r="1232" spans="1:1" x14ac:dyDescent="0.3">
      <c r="A1232" s="1">
        <v>58</v>
      </c>
    </row>
    <row r="1233" spans="1:1" x14ac:dyDescent="0.3">
      <c r="A1233" s="1">
        <v>37.230769230769234</v>
      </c>
    </row>
    <row r="1234" spans="1:1" x14ac:dyDescent="0.3">
      <c r="A1234" s="1">
        <v>26.264705882352942</v>
      </c>
    </row>
    <row r="1235" spans="1:1" x14ac:dyDescent="0.3">
      <c r="A1235" s="1">
        <v>30.952380952380953</v>
      </c>
    </row>
    <row r="1236" spans="1:1" x14ac:dyDescent="0.3">
      <c r="A1236" s="1">
        <v>32</v>
      </c>
    </row>
    <row r="1237" spans="1:1" x14ac:dyDescent="0.3">
      <c r="A1237" s="1">
        <v>29.933333333333334</v>
      </c>
    </row>
    <row r="1238" spans="1:1" x14ac:dyDescent="0.3">
      <c r="A1238" s="1">
        <v>31.571428571428573</v>
      </c>
    </row>
    <row r="1239" spans="1:1" x14ac:dyDescent="0.3">
      <c r="A1239" s="1">
        <v>42.307692307692307</v>
      </c>
    </row>
    <row r="1240" spans="1:1" x14ac:dyDescent="0.3">
      <c r="A1240" s="1">
        <v>38</v>
      </c>
    </row>
    <row r="1241" spans="1:1" x14ac:dyDescent="0.3">
      <c r="A1241" s="1">
        <v>32.888888888888886</v>
      </c>
    </row>
    <row r="1242" spans="1:1" x14ac:dyDescent="0.3">
      <c r="A1242" s="1">
        <v>40.75</v>
      </c>
    </row>
    <row r="1243" spans="1:1" x14ac:dyDescent="0.3">
      <c r="A1243" s="1">
        <v>29.8</v>
      </c>
    </row>
    <row r="1244" spans="1:1" x14ac:dyDescent="0.3">
      <c r="A1244" s="1">
        <v>28.375</v>
      </c>
    </row>
    <row r="1245" spans="1:1" x14ac:dyDescent="0.3">
      <c r="A1245" s="1">
        <v>36.555555555555557</v>
      </c>
    </row>
    <row r="1246" spans="1:1" x14ac:dyDescent="0.3">
      <c r="A1246" s="1">
        <v>43.4</v>
      </c>
    </row>
    <row r="1247" spans="1:1" x14ac:dyDescent="0.3">
      <c r="A1247" s="1">
        <v>25</v>
      </c>
    </row>
    <row r="1248" spans="1:1" x14ac:dyDescent="0.3">
      <c r="A1248" s="1">
        <v>27.09090909090909</v>
      </c>
    </row>
    <row r="1249" spans="1:1" x14ac:dyDescent="0.3">
      <c r="A1249" s="1">
        <v>40.666666666666664</v>
      </c>
    </row>
    <row r="1250" spans="1:1" x14ac:dyDescent="0.3">
      <c r="A1250" s="1">
        <v>36.05263157894737</v>
      </c>
    </row>
    <row r="1251" spans="1:1" x14ac:dyDescent="0.3">
      <c r="A1251" s="1">
        <v>28.473684210526315</v>
      </c>
    </row>
    <row r="1252" spans="1:1" x14ac:dyDescent="0.3">
      <c r="A1252" s="1">
        <v>41.941176470588232</v>
      </c>
    </row>
    <row r="1253" spans="1:1" x14ac:dyDescent="0.3">
      <c r="A1253" s="1">
        <v>34.631578947368418</v>
      </c>
    </row>
    <row r="1254" spans="1:1" x14ac:dyDescent="0.3">
      <c r="A1254" s="1">
        <v>30.482758620689655</v>
      </c>
    </row>
    <row r="1255" spans="1:1" x14ac:dyDescent="0.3">
      <c r="A1255" s="1">
        <v>24.848484848484848</v>
      </c>
    </row>
    <row r="1256" spans="1:1" x14ac:dyDescent="0.3">
      <c r="A1256" s="1">
        <v>32.916666666666664</v>
      </c>
    </row>
    <row r="1257" spans="1:1" x14ac:dyDescent="0.3">
      <c r="A1257" s="1">
        <v>24.923076923076923</v>
      </c>
    </row>
    <row r="1258" spans="1:1" x14ac:dyDescent="0.3">
      <c r="A1258" s="1">
        <v>34.450000000000003</v>
      </c>
    </row>
    <row r="1259" spans="1:1" x14ac:dyDescent="0.3">
      <c r="A1259" s="1">
        <v>26.952380952380953</v>
      </c>
    </row>
    <row r="1260" spans="1:1" x14ac:dyDescent="0.3">
      <c r="A1260" s="1">
        <v>26.8</v>
      </c>
    </row>
    <row r="1261" spans="1:1" x14ac:dyDescent="0.3">
      <c r="A1261" s="1">
        <v>25.473684210526315</v>
      </c>
    </row>
    <row r="1262" spans="1:1" x14ac:dyDescent="0.3">
      <c r="A1262" s="1">
        <v>31.384615384615383</v>
      </c>
    </row>
    <row r="1263" spans="1:1" x14ac:dyDescent="0.3">
      <c r="A1263" s="1">
        <v>35.200000000000003</v>
      </c>
    </row>
    <row r="1264" spans="1:1" x14ac:dyDescent="0.3">
      <c r="A1264" s="1">
        <v>34</v>
      </c>
    </row>
    <row r="1265" spans="1:1" x14ac:dyDescent="0.3">
      <c r="A1265" s="1">
        <v>2.75</v>
      </c>
    </row>
    <row r="1266" spans="1:1" x14ac:dyDescent="0.3">
      <c r="A1266" s="1">
        <v>36</v>
      </c>
    </row>
    <row r="1267" spans="1:1" x14ac:dyDescent="0.3">
      <c r="A1267" s="1">
        <v>38.299999999999997</v>
      </c>
    </row>
    <row r="1268" spans="1:1" x14ac:dyDescent="0.3">
      <c r="A1268" s="1">
        <v>42.944444444444443</v>
      </c>
    </row>
    <row r="1269" spans="1:1" x14ac:dyDescent="0.3">
      <c r="A1269" s="1">
        <v>34</v>
      </c>
    </row>
    <row r="1270" spans="1:1" x14ac:dyDescent="0.3">
      <c r="A1270" s="1">
        <v>40</v>
      </c>
    </row>
    <row r="1271" spans="1:1" x14ac:dyDescent="0.3">
      <c r="A1271" s="1">
        <v>5.25</v>
      </c>
    </row>
    <row r="1272" spans="1:1" x14ac:dyDescent="0.3">
      <c r="A1272" s="1">
        <v>36.833333333333336</v>
      </c>
    </row>
    <row r="1273" spans="1:1" x14ac:dyDescent="0.3">
      <c r="A1273" s="1">
        <v>37.479999999999997</v>
      </c>
    </row>
    <row r="1274" spans="1:1" x14ac:dyDescent="0.3">
      <c r="A1274" s="1">
        <v>36.714285714285715</v>
      </c>
    </row>
    <row r="1275" spans="1:1" x14ac:dyDescent="0.3">
      <c r="A1275" s="1">
        <v>35.210526315789473</v>
      </c>
    </row>
    <row r="1276" spans="1:1" x14ac:dyDescent="0.3">
      <c r="A1276" s="1">
        <v>33.75</v>
      </c>
    </row>
    <row r="1277" spans="1:1" x14ac:dyDescent="0.3">
      <c r="A1277" s="1">
        <v>41.909090909090907</v>
      </c>
    </row>
    <row r="1278" spans="1:1" x14ac:dyDescent="0.3">
      <c r="A1278" s="1">
        <v>40.200000000000003</v>
      </c>
    </row>
    <row r="1279" spans="1:1" x14ac:dyDescent="0.3">
      <c r="A1279" s="1">
        <v>42</v>
      </c>
    </row>
    <row r="1280" spans="1:1" x14ac:dyDescent="0.3">
      <c r="A1280" s="1">
        <v>39.6</v>
      </c>
    </row>
    <row r="1281" spans="1:1" x14ac:dyDescent="0.3">
      <c r="A1281" s="1">
        <v>35.571428571428569</v>
      </c>
    </row>
    <row r="1282" spans="1:1" x14ac:dyDescent="0.3">
      <c r="A1282" s="1">
        <v>33.777777777777779</v>
      </c>
    </row>
    <row r="1283" spans="1:1" x14ac:dyDescent="0.3">
      <c r="A1283" s="1">
        <v>24.9</v>
      </c>
    </row>
    <row r="1284" spans="1:1" x14ac:dyDescent="0.3">
      <c r="A1284" s="1">
        <v>41.533333333333331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49A0-B98E-4B02-A48D-ABC471E925A2}">
  <dimension ref="A1:I1284"/>
  <sheetViews>
    <sheetView workbookViewId="0">
      <selection activeCell="G16" sqref="G16"/>
    </sheetView>
  </sheetViews>
  <sheetFormatPr defaultRowHeight="14.4" x14ac:dyDescent="0.3"/>
  <cols>
    <col min="1" max="1" width="7.109375" customWidth="1"/>
    <col min="2" max="2" width="12.5546875" bestFit="1" customWidth="1"/>
    <col min="3" max="3" width="3.109375" bestFit="1" customWidth="1"/>
    <col min="4" max="4" width="9.77734375" bestFit="1" customWidth="1"/>
    <col min="6" max="6" width="12.77734375" bestFit="1" customWidth="1"/>
    <col min="7" max="7" width="13.5546875" bestFit="1" customWidth="1"/>
    <col min="8" max="8" width="11.77734375" bestFit="1" customWidth="1"/>
    <col min="9" max="9" width="11.6640625" bestFit="1" customWidth="1"/>
  </cols>
  <sheetData>
    <row r="1" spans="1:9" x14ac:dyDescent="0.3">
      <c r="A1" t="s">
        <v>7</v>
      </c>
      <c r="B1" t="s">
        <v>2257</v>
      </c>
      <c r="C1" s="4" t="s">
        <v>2231</v>
      </c>
    </row>
    <row r="2" spans="1:9" x14ac:dyDescent="0.3">
      <c r="A2" t="s">
        <v>22</v>
      </c>
      <c r="B2">
        <f>IF(A2="Female",1,0)</f>
        <v>1</v>
      </c>
    </row>
    <row r="3" spans="1:9" x14ac:dyDescent="0.3">
      <c r="A3" t="s">
        <v>34</v>
      </c>
      <c r="B3">
        <f t="shared" ref="B3:B66" si="0">IF(A3="Female",1,0)</f>
        <v>0</v>
      </c>
    </row>
    <row r="4" spans="1:9" x14ac:dyDescent="0.3">
      <c r="A4" t="s">
        <v>34</v>
      </c>
      <c r="B4">
        <f t="shared" si="0"/>
        <v>0</v>
      </c>
    </row>
    <row r="5" spans="1:9" x14ac:dyDescent="0.3">
      <c r="A5" t="s">
        <v>22</v>
      </c>
      <c r="B5">
        <f t="shared" si="0"/>
        <v>1</v>
      </c>
    </row>
    <row r="6" spans="1:9" x14ac:dyDescent="0.3">
      <c r="A6" t="s">
        <v>34</v>
      </c>
      <c r="B6">
        <f t="shared" si="0"/>
        <v>0</v>
      </c>
      <c r="C6" s="4" t="s">
        <v>2231</v>
      </c>
      <c r="D6" t="s">
        <v>2258</v>
      </c>
      <c r="E6" t="s">
        <v>2254</v>
      </c>
      <c r="F6" t="s">
        <v>2259</v>
      </c>
      <c r="G6" t="s">
        <v>2255</v>
      </c>
      <c r="H6" t="s">
        <v>2241</v>
      </c>
      <c r="I6" t="s">
        <v>2242</v>
      </c>
    </row>
    <row r="7" spans="1:9" x14ac:dyDescent="0.3">
      <c r="A7" t="s">
        <v>22</v>
      </c>
      <c r="B7">
        <f t="shared" si="0"/>
        <v>1</v>
      </c>
      <c r="D7" s="9">
        <f>AVERAGE(B:B)</f>
        <v>0.55105222135619647</v>
      </c>
      <c r="E7">
        <f>COUNT(B:B)</f>
        <v>1283</v>
      </c>
      <c r="F7">
        <f>SQRT(D7*(1-D7)/E7)</f>
        <v>1.388612160056537E-2</v>
      </c>
      <c r="G7">
        <f>1.96*F7</f>
        <v>2.7216798337108123E-2</v>
      </c>
      <c r="H7" s="9">
        <f>D7-G7</f>
        <v>0.52383542301908836</v>
      </c>
      <c r="I7" s="9">
        <f>D7+G7</f>
        <v>0.57826901969330458</v>
      </c>
    </row>
    <row r="8" spans="1:9" x14ac:dyDescent="0.3">
      <c r="A8" t="s">
        <v>22</v>
      </c>
      <c r="B8">
        <f t="shared" si="0"/>
        <v>1</v>
      </c>
    </row>
    <row r="9" spans="1:9" x14ac:dyDescent="0.3">
      <c r="A9" t="s">
        <v>34</v>
      </c>
      <c r="B9">
        <f t="shared" si="0"/>
        <v>0</v>
      </c>
      <c r="C9" s="4" t="s">
        <v>2249</v>
      </c>
    </row>
    <row r="10" spans="1:9" x14ac:dyDescent="0.3">
      <c r="A10" t="s">
        <v>22</v>
      </c>
      <c r="B10">
        <f t="shared" si="0"/>
        <v>1</v>
      </c>
    </row>
    <row r="11" spans="1:9" x14ac:dyDescent="0.3">
      <c r="A11" t="s">
        <v>34</v>
      </c>
      <c r="B11">
        <f t="shared" si="0"/>
        <v>0</v>
      </c>
    </row>
    <row r="12" spans="1:9" x14ac:dyDescent="0.3">
      <c r="A12" t="s">
        <v>34</v>
      </c>
      <c r="B12">
        <f t="shared" si="0"/>
        <v>0</v>
      </c>
    </row>
    <row r="13" spans="1:9" x14ac:dyDescent="0.3">
      <c r="A13" t="s">
        <v>22</v>
      </c>
      <c r="B13">
        <f t="shared" si="0"/>
        <v>1</v>
      </c>
    </row>
    <row r="14" spans="1:9" x14ac:dyDescent="0.3">
      <c r="A14" t="s">
        <v>34</v>
      </c>
      <c r="B14">
        <f t="shared" si="0"/>
        <v>0</v>
      </c>
    </row>
    <row r="15" spans="1:9" x14ac:dyDescent="0.3">
      <c r="A15" t="s">
        <v>22</v>
      </c>
      <c r="B15">
        <f t="shared" si="0"/>
        <v>1</v>
      </c>
    </row>
    <row r="16" spans="1:9" x14ac:dyDescent="0.3">
      <c r="A16" t="s">
        <v>34</v>
      </c>
      <c r="B16">
        <f t="shared" si="0"/>
        <v>0</v>
      </c>
    </row>
    <row r="17" spans="1:2" x14ac:dyDescent="0.3">
      <c r="A17" t="s">
        <v>34</v>
      </c>
      <c r="B17">
        <f t="shared" si="0"/>
        <v>0</v>
      </c>
    </row>
    <row r="18" spans="1:2" x14ac:dyDescent="0.3">
      <c r="A18" t="s">
        <v>34</v>
      </c>
      <c r="B18">
        <f t="shared" si="0"/>
        <v>0</v>
      </c>
    </row>
    <row r="19" spans="1:2" x14ac:dyDescent="0.3">
      <c r="A19" t="s">
        <v>22</v>
      </c>
      <c r="B19">
        <f t="shared" si="0"/>
        <v>1</v>
      </c>
    </row>
    <row r="20" spans="1:2" x14ac:dyDescent="0.3">
      <c r="A20" t="s">
        <v>22</v>
      </c>
      <c r="B20">
        <f t="shared" si="0"/>
        <v>1</v>
      </c>
    </row>
    <row r="21" spans="1:2" x14ac:dyDescent="0.3">
      <c r="A21" t="s">
        <v>22</v>
      </c>
      <c r="B21">
        <f t="shared" si="0"/>
        <v>1</v>
      </c>
    </row>
    <row r="22" spans="1:2" x14ac:dyDescent="0.3">
      <c r="A22" t="s">
        <v>34</v>
      </c>
      <c r="B22">
        <f t="shared" si="0"/>
        <v>0</v>
      </c>
    </row>
    <row r="23" spans="1:2" x14ac:dyDescent="0.3">
      <c r="A23" t="s">
        <v>34</v>
      </c>
      <c r="B23">
        <f t="shared" si="0"/>
        <v>0</v>
      </c>
    </row>
    <row r="24" spans="1:2" x14ac:dyDescent="0.3">
      <c r="A24" t="s">
        <v>34</v>
      </c>
      <c r="B24">
        <f t="shared" si="0"/>
        <v>0</v>
      </c>
    </row>
    <row r="25" spans="1:2" x14ac:dyDescent="0.3">
      <c r="A25" t="s">
        <v>22</v>
      </c>
      <c r="B25">
        <f t="shared" si="0"/>
        <v>1</v>
      </c>
    </row>
    <row r="26" spans="1:2" x14ac:dyDescent="0.3">
      <c r="A26" t="s">
        <v>34</v>
      </c>
      <c r="B26">
        <f t="shared" si="0"/>
        <v>0</v>
      </c>
    </row>
    <row r="27" spans="1:2" x14ac:dyDescent="0.3">
      <c r="A27" t="s">
        <v>22</v>
      </c>
      <c r="B27">
        <f t="shared" si="0"/>
        <v>1</v>
      </c>
    </row>
    <row r="28" spans="1:2" x14ac:dyDescent="0.3">
      <c r="A28" t="s">
        <v>34</v>
      </c>
      <c r="B28">
        <f t="shared" si="0"/>
        <v>0</v>
      </c>
    </row>
    <row r="29" spans="1:2" x14ac:dyDescent="0.3">
      <c r="A29" t="s">
        <v>34</v>
      </c>
      <c r="B29">
        <f t="shared" si="0"/>
        <v>0</v>
      </c>
    </row>
    <row r="30" spans="1:2" x14ac:dyDescent="0.3">
      <c r="A30" t="s">
        <v>22</v>
      </c>
      <c r="B30">
        <f t="shared" si="0"/>
        <v>1</v>
      </c>
    </row>
    <row r="31" spans="1:2" x14ac:dyDescent="0.3">
      <c r="A31" t="s">
        <v>22</v>
      </c>
      <c r="B31">
        <f t="shared" si="0"/>
        <v>1</v>
      </c>
    </row>
    <row r="32" spans="1:2" x14ac:dyDescent="0.3">
      <c r="A32" t="s">
        <v>34</v>
      </c>
      <c r="B32">
        <f t="shared" si="0"/>
        <v>0</v>
      </c>
    </row>
    <row r="33" spans="1:2" x14ac:dyDescent="0.3">
      <c r="A33" t="s">
        <v>34</v>
      </c>
      <c r="B33">
        <f t="shared" si="0"/>
        <v>0</v>
      </c>
    </row>
    <row r="34" spans="1:2" x14ac:dyDescent="0.3">
      <c r="A34" t="s">
        <v>22</v>
      </c>
      <c r="B34">
        <f t="shared" si="0"/>
        <v>1</v>
      </c>
    </row>
    <row r="35" spans="1:2" x14ac:dyDescent="0.3">
      <c r="A35" t="s">
        <v>34</v>
      </c>
      <c r="B35">
        <f t="shared" si="0"/>
        <v>0</v>
      </c>
    </row>
    <row r="36" spans="1:2" x14ac:dyDescent="0.3">
      <c r="A36" t="s">
        <v>22</v>
      </c>
      <c r="B36">
        <f t="shared" si="0"/>
        <v>1</v>
      </c>
    </row>
    <row r="37" spans="1:2" x14ac:dyDescent="0.3">
      <c r="A37" t="s">
        <v>34</v>
      </c>
      <c r="B37">
        <f t="shared" si="0"/>
        <v>0</v>
      </c>
    </row>
    <row r="38" spans="1:2" x14ac:dyDescent="0.3">
      <c r="A38" t="s">
        <v>34</v>
      </c>
      <c r="B38">
        <f t="shared" si="0"/>
        <v>0</v>
      </c>
    </row>
    <row r="39" spans="1:2" x14ac:dyDescent="0.3">
      <c r="A39" t="s">
        <v>34</v>
      </c>
      <c r="B39">
        <f t="shared" si="0"/>
        <v>0</v>
      </c>
    </row>
    <row r="40" spans="1:2" x14ac:dyDescent="0.3">
      <c r="A40" t="s">
        <v>22</v>
      </c>
      <c r="B40">
        <f t="shared" si="0"/>
        <v>1</v>
      </c>
    </row>
    <row r="41" spans="1:2" x14ac:dyDescent="0.3">
      <c r="A41" t="s">
        <v>34</v>
      </c>
      <c r="B41">
        <f t="shared" si="0"/>
        <v>0</v>
      </c>
    </row>
    <row r="42" spans="1:2" x14ac:dyDescent="0.3">
      <c r="A42" t="s">
        <v>34</v>
      </c>
      <c r="B42">
        <f t="shared" si="0"/>
        <v>0</v>
      </c>
    </row>
    <row r="43" spans="1:2" x14ac:dyDescent="0.3">
      <c r="A43" t="s">
        <v>22</v>
      </c>
      <c r="B43">
        <f t="shared" si="0"/>
        <v>1</v>
      </c>
    </row>
    <row r="44" spans="1:2" x14ac:dyDescent="0.3">
      <c r="A44" t="s">
        <v>22</v>
      </c>
      <c r="B44">
        <f t="shared" si="0"/>
        <v>1</v>
      </c>
    </row>
    <row r="45" spans="1:2" x14ac:dyDescent="0.3">
      <c r="A45" t="s">
        <v>22</v>
      </c>
      <c r="B45">
        <f t="shared" si="0"/>
        <v>1</v>
      </c>
    </row>
    <row r="46" spans="1:2" x14ac:dyDescent="0.3">
      <c r="A46" t="s">
        <v>34</v>
      </c>
      <c r="B46">
        <f t="shared" si="0"/>
        <v>0</v>
      </c>
    </row>
    <row r="47" spans="1:2" x14ac:dyDescent="0.3">
      <c r="A47" t="s">
        <v>22</v>
      </c>
      <c r="B47">
        <f t="shared" si="0"/>
        <v>1</v>
      </c>
    </row>
    <row r="48" spans="1:2" x14ac:dyDescent="0.3">
      <c r="A48" t="s">
        <v>22</v>
      </c>
      <c r="B48">
        <f t="shared" si="0"/>
        <v>1</v>
      </c>
    </row>
    <row r="49" spans="1:2" x14ac:dyDescent="0.3">
      <c r="A49" t="s">
        <v>34</v>
      </c>
      <c r="B49">
        <f t="shared" si="0"/>
        <v>0</v>
      </c>
    </row>
    <row r="50" spans="1:2" x14ac:dyDescent="0.3">
      <c r="A50" t="s">
        <v>22</v>
      </c>
      <c r="B50">
        <f t="shared" si="0"/>
        <v>1</v>
      </c>
    </row>
    <row r="51" spans="1:2" x14ac:dyDescent="0.3">
      <c r="A51" t="s">
        <v>34</v>
      </c>
      <c r="B51">
        <f t="shared" si="0"/>
        <v>0</v>
      </c>
    </row>
    <row r="52" spans="1:2" x14ac:dyDescent="0.3">
      <c r="A52" t="s">
        <v>22</v>
      </c>
      <c r="B52">
        <f t="shared" si="0"/>
        <v>1</v>
      </c>
    </row>
    <row r="53" spans="1:2" x14ac:dyDescent="0.3">
      <c r="A53" t="s">
        <v>22</v>
      </c>
      <c r="B53">
        <f t="shared" si="0"/>
        <v>1</v>
      </c>
    </row>
    <row r="54" spans="1:2" x14ac:dyDescent="0.3">
      <c r="A54" t="s">
        <v>34</v>
      </c>
      <c r="B54">
        <f t="shared" si="0"/>
        <v>0</v>
      </c>
    </row>
    <row r="55" spans="1:2" x14ac:dyDescent="0.3">
      <c r="A55" t="s">
        <v>34</v>
      </c>
      <c r="B55">
        <f t="shared" si="0"/>
        <v>0</v>
      </c>
    </row>
    <row r="56" spans="1:2" x14ac:dyDescent="0.3">
      <c r="A56" t="s">
        <v>22</v>
      </c>
      <c r="B56">
        <f t="shared" si="0"/>
        <v>1</v>
      </c>
    </row>
    <row r="57" spans="1:2" x14ac:dyDescent="0.3">
      <c r="A57" t="s">
        <v>22</v>
      </c>
      <c r="B57">
        <f t="shared" si="0"/>
        <v>1</v>
      </c>
    </row>
    <row r="58" spans="1:2" x14ac:dyDescent="0.3">
      <c r="A58" t="s">
        <v>34</v>
      </c>
      <c r="B58">
        <f t="shared" si="0"/>
        <v>0</v>
      </c>
    </row>
    <row r="59" spans="1:2" x14ac:dyDescent="0.3">
      <c r="A59" t="s">
        <v>22</v>
      </c>
      <c r="B59">
        <f t="shared" si="0"/>
        <v>1</v>
      </c>
    </row>
    <row r="60" spans="1:2" x14ac:dyDescent="0.3">
      <c r="A60" t="s">
        <v>22</v>
      </c>
      <c r="B60">
        <f t="shared" si="0"/>
        <v>1</v>
      </c>
    </row>
    <row r="61" spans="1:2" x14ac:dyDescent="0.3">
      <c r="A61" t="s">
        <v>22</v>
      </c>
      <c r="B61">
        <f t="shared" si="0"/>
        <v>1</v>
      </c>
    </row>
    <row r="62" spans="1:2" x14ac:dyDescent="0.3">
      <c r="A62" t="s">
        <v>34</v>
      </c>
      <c r="B62">
        <f t="shared" si="0"/>
        <v>0</v>
      </c>
    </row>
    <row r="63" spans="1:2" x14ac:dyDescent="0.3">
      <c r="A63" t="s">
        <v>34</v>
      </c>
      <c r="B63">
        <f t="shared" si="0"/>
        <v>0</v>
      </c>
    </row>
    <row r="64" spans="1:2" x14ac:dyDescent="0.3">
      <c r="A64" t="s">
        <v>22</v>
      </c>
      <c r="B64">
        <f t="shared" si="0"/>
        <v>1</v>
      </c>
    </row>
    <row r="65" spans="1:2" x14ac:dyDescent="0.3">
      <c r="A65" t="s">
        <v>34</v>
      </c>
      <c r="B65">
        <f t="shared" si="0"/>
        <v>0</v>
      </c>
    </row>
    <row r="66" spans="1:2" x14ac:dyDescent="0.3">
      <c r="A66" t="s">
        <v>34</v>
      </c>
      <c r="B66">
        <f t="shared" si="0"/>
        <v>0</v>
      </c>
    </row>
    <row r="67" spans="1:2" x14ac:dyDescent="0.3">
      <c r="A67" t="s">
        <v>22</v>
      </c>
      <c r="B67">
        <f t="shared" ref="B67:B130" si="1">IF(A67="Female",1,0)</f>
        <v>1</v>
      </c>
    </row>
    <row r="68" spans="1:2" x14ac:dyDescent="0.3">
      <c r="A68" t="s">
        <v>22</v>
      </c>
      <c r="B68">
        <f t="shared" si="1"/>
        <v>1</v>
      </c>
    </row>
    <row r="69" spans="1:2" x14ac:dyDescent="0.3">
      <c r="A69" t="s">
        <v>22</v>
      </c>
      <c r="B69">
        <f t="shared" si="1"/>
        <v>1</v>
      </c>
    </row>
    <row r="70" spans="1:2" x14ac:dyDescent="0.3">
      <c r="A70" t="s">
        <v>34</v>
      </c>
      <c r="B70">
        <f t="shared" si="1"/>
        <v>0</v>
      </c>
    </row>
    <row r="71" spans="1:2" x14ac:dyDescent="0.3">
      <c r="A71" t="s">
        <v>34</v>
      </c>
      <c r="B71">
        <f t="shared" si="1"/>
        <v>0</v>
      </c>
    </row>
    <row r="72" spans="1:2" x14ac:dyDescent="0.3">
      <c r="A72" t="s">
        <v>22</v>
      </c>
      <c r="B72">
        <f t="shared" si="1"/>
        <v>1</v>
      </c>
    </row>
    <row r="73" spans="1:2" x14ac:dyDescent="0.3">
      <c r="A73" t="s">
        <v>22</v>
      </c>
      <c r="B73">
        <f t="shared" si="1"/>
        <v>1</v>
      </c>
    </row>
    <row r="74" spans="1:2" x14ac:dyDescent="0.3">
      <c r="A74" t="s">
        <v>22</v>
      </c>
      <c r="B74">
        <f t="shared" si="1"/>
        <v>1</v>
      </c>
    </row>
    <row r="75" spans="1:2" x14ac:dyDescent="0.3">
      <c r="A75" t="s">
        <v>22</v>
      </c>
      <c r="B75">
        <f t="shared" si="1"/>
        <v>1</v>
      </c>
    </row>
    <row r="76" spans="1:2" x14ac:dyDescent="0.3">
      <c r="A76" t="s">
        <v>34</v>
      </c>
      <c r="B76">
        <f t="shared" si="1"/>
        <v>0</v>
      </c>
    </row>
    <row r="77" spans="1:2" x14ac:dyDescent="0.3">
      <c r="A77" t="s">
        <v>22</v>
      </c>
      <c r="B77">
        <f t="shared" si="1"/>
        <v>1</v>
      </c>
    </row>
    <row r="78" spans="1:2" x14ac:dyDescent="0.3">
      <c r="A78" t="s">
        <v>22</v>
      </c>
      <c r="B78">
        <f t="shared" si="1"/>
        <v>1</v>
      </c>
    </row>
    <row r="79" spans="1:2" x14ac:dyDescent="0.3">
      <c r="A79" t="s">
        <v>22</v>
      </c>
      <c r="B79">
        <f t="shared" si="1"/>
        <v>1</v>
      </c>
    </row>
    <row r="80" spans="1:2" x14ac:dyDescent="0.3">
      <c r="A80" t="s">
        <v>34</v>
      </c>
      <c r="B80">
        <f t="shared" si="1"/>
        <v>0</v>
      </c>
    </row>
    <row r="81" spans="1:2" x14ac:dyDescent="0.3">
      <c r="A81" t="s">
        <v>22</v>
      </c>
      <c r="B81">
        <f t="shared" si="1"/>
        <v>1</v>
      </c>
    </row>
    <row r="82" spans="1:2" x14ac:dyDescent="0.3">
      <c r="A82" t="s">
        <v>34</v>
      </c>
      <c r="B82">
        <f t="shared" si="1"/>
        <v>0</v>
      </c>
    </row>
    <row r="83" spans="1:2" x14ac:dyDescent="0.3">
      <c r="A83" t="s">
        <v>34</v>
      </c>
      <c r="B83">
        <f t="shared" si="1"/>
        <v>0</v>
      </c>
    </row>
    <row r="84" spans="1:2" x14ac:dyDescent="0.3">
      <c r="A84" t="s">
        <v>34</v>
      </c>
      <c r="B84">
        <f t="shared" si="1"/>
        <v>0</v>
      </c>
    </row>
    <row r="85" spans="1:2" x14ac:dyDescent="0.3">
      <c r="A85" t="s">
        <v>34</v>
      </c>
      <c r="B85">
        <f t="shared" si="1"/>
        <v>0</v>
      </c>
    </row>
    <row r="86" spans="1:2" x14ac:dyDescent="0.3">
      <c r="A86" t="s">
        <v>22</v>
      </c>
      <c r="B86">
        <f t="shared" si="1"/>
        <v>1</v>
      </c>
    </row>
    <row r="87" spans="1:2" x14ac:dyDescent="0.3">
      <c r="A87" t="s">
        <v>34</v>
      </c>
      <c r="B87">
        <f t="shared" si="1"/>
        <v>0</v>
      </c>
    </row>
    <row r="88" spans="1:2" x14ac:dyDescent="0.3">
      <c r="A88" t="s">
        <v>34</v>
      </c>
      <c r="B88">
        <f t="shared" si="1"/>
        <v>0</v>
      </c>
    </row>
    <row r="89" spans="1:2" x14ac:dyDescent="0.3">
      <c r="A89" t="s">
        <v>34</v>
      </c>
      <c r="B89">
        <f t="shared" si="1"/>
        <v>0</v>
      </c>
    </row>
    <row r="90" spans="1:2" x14ac:dyDescent="0.3">
      <c r="A90" t="s">
        <v>34</v>
      </c>
      <c r="B90">
        <f t="shared" si="1"/>
        <v>0</v>
      </c>
    </row>
    <row r="91" spans="1:2" x14ac:dyDescent="0.3">
      <c r="A91" t="s">
        <v>34</v>
      </c>
      <c r="B91">
        <f t="shared" si="1"/>
        <v>0</v>
      </c>
    </row>
    <row r="92" spans="1:2" x14ac:dyDescent="0.3">
      <c r="A92" t="s">
        <v>34</v>
      </c>
      <c r="B92">
        <f t="shared" si="1"/>
        <v>0</v>
      </c>
    </row>
    <row r="93" spans="1:2" x14ac:dyDescent="0.3">
      <c r="A93" t="s">
        <v>22</v>
      </c>
      <c r="B93">
        <f t="shared" si="1"/>
        <v>1</v>
      </c>
    </row>
    <row r="94" spans="1:2" x14ac:dyDescent="0.3">
      <c r="A94" t="s">
        <v>22</v>
      </c>
      <c r="B94">
        <f t="shared" si="1"/>
        <v>1</v>
      </c>
    </row>
    <row r="95" spans="1:2" x14ac:dyDescent="0.3">
      <c r="A95" t="s">
        <v>22</v>
      </c>
      <c r="B95">
        <f t="shared" si="1"/>
        <v>1</v>
      </c>
    </row>
    <row r="96" spans="1:2" x14ac:dyDescent="0.3">
      <c r="A96" t="s">
        <v>22</v>
      </c>
      <c r="B96">
        <f t="shared" si="1"/>
        <v>1</v>
      </c>
    </row>
    <row r="97" spans="1:2" x14ac:dyDescent="0.3">
      <c r="A97" t="s">
        <v>22</v>
      </c>
      <c r="B97">
        <f t="shared" si="1"/>
        <v>1</v>
      </c>
    </row>
    <row r="98" spans="1:2" x14ac:dyDescent="0.3">
      <c r="A98" t="s">
        <v>22</v>
      </c>
      <c r="B98">
        <f t="shared" si="1"/>
        <v>1</v>
      </c>
    </row>
    <row r="99" spans="1:2" x14ac:dyDescent="0.3">
      <c r="A99" t="s">
        <v>34</v>
      </c>
      <c r="B99">
        <f t="shared" si="1"/>
        <v>0</v>
      </c>
    </row>
    <row r="100" spans="1:2" x14ac:dyDescent="0.3">
      <c r="A100" t="s">
        <v>22</v>
      </c>
      <c r="B100">
        <f t="shared" si="1"/>
        <v>1</v>
      </c>
    </row>
    <row r="101" spans="1:2" x14ac:dyDescent="0.3">
      <c r="A101" t="s">
        <v>22</v>
      </c>
      <c r="B101">
        <f t="shared" si="1"/>
        <v>1</v>
      </c>
    </row>
    <row r="102" spans="1:2" x14ac:dyDescent="0.3">
      <c r="A102" t="s">
        <v>22</v>
      </c>
      <c r="B102">
        <f t="shared" si="1"/>
        <v>1</v>
      </c>
    </row>
    <row r="103" spans="1:2" x14ac:dyDescent="0.3">
      <c r="A103" t="s">
        <v>34</v>
      </c>
      <c r="B103">
        <f t="shared" si="1"/>
        <v>0</v>
      </c>
    </row>
    <row r="104" spans="1:2" x14ac:dyDescent="0.3">
      <c r="A104" t="s">
        <v>22</v>
      </c>
      <c r="B104">
        <f t="shared" si="1"/>
        <v>1</v>
      </c>
    </row>
    <row r="105" spans="1:2" x14ac:dyDescent="0.3">
      <c r="A105" t="s">
        <v>22</v>
      </c>
      <c r="B105">
        <f t="shared" si="1"/>
        <v>1</v>
      </c>
    </row>
    <row r="106" spans="1:2" x14ac:dyDescent="0.3">
      <c r="A106" t="s">
        <v>34</v>
      </c>
      <c r="B106">
        <f t="shared" si="1"/>
        <v>0</v>
      </c>
    </row>
    <row r="107" spans="1:2" x14ac:dyDescent="0.3">
      <c r="A107" t="s">
        <v>34</v>
      </c>
      <c r="B107">
        <f t="shared" si="1"/>
        <v>0</v>
      </c>
    </row>
    <row r="108" spans="1:2" x14ac:dyDescent="0.3">
      <c r="A108" t="s">
        <v>22</v>
      </c>
      <c r="B108">
        <f t="shared" si="1"/>
        <v>1</v>
      </c>
    </row>
    <row r="109" spans="1:2" x14ac:dyDescent="0.3">
      <c r="A109" t="s">
        <v>22</v>
      </c>
      <c r="B109">
        <f t="shared" si="1"/>
        <v>1</v>
      </c>
    </row>
    <row r="110" spans="1:2" x14ac:dyDescent="0.3">
      <c r="A110" t="s">
        <v>34</v>
      </c>
      <c r="B110">
        <f t="shared" si="1"/>
        <v>0</v>
      </c>
    </row>
    <row r="111" spans="1:2" x14ac:dyDescent="0.3">
      <c r="A111" t="s">
        <v>34</v>
      </c>
      <c r="B111">
        <f t="shared" si="1"/>
        <v>0</v>
      </c>
    </row>
    <row r="112" spans="1:2" x14ac:dyDescent="0.3">
      <c r="A112" t="s">
        <v>34</v>
      </c>
      <c r="B112">
        <f t="shared" si="1"/>
        <v>0</v>
      </c>
    </row>
    <row r="113" spans="1:2" x14ac:dyDescent="0.3">
      <c r="A113" t="s">
        <v>22</v>
      </c>
      <c r="B113">
        <f t="shared" si="1"/>
        <v>1</v>
      </c>
    </row>
    <row r="114" spans="1:2" x14ac:dyDescent="0.3">
      <c r="A114" t="s">
        <v>34</v>
      </c>
      <c r="B114">
        <f t="shared" si="1"/>
        <v>0</v>
      </c>
    </row>
    <row r="115" spans="1:2" x14ac:dyDescent="0.3">
      <c r="A115" t="s">
        <v>34</v>
      </c>
      <c r="B115">
        <f t="shared" si="1"/>
        <v>0</v>
      </c>
    </row>
    <row r="116" spans="1:2" x14ac:dyDescent="0.3">
      <c r="A116" t="s">
        <v>34</v>
      </c>
      <c r="B116">
        <f t="shared" si="1"/>
        <v>0</v>
      </c>
    </row>
    <row r="117" spans="1:2" x14ac:dyDescent="0.3">
      <c r="A117" t="s">
        <v>22</v>
      </c>
      <c r="B117">
        <f t="shared" si="1"/>
        <v>1</v>
      </c>
    </row>
    <row r="118" spans="1:2" x14ac:dyDescent="0.3">
      <c r="A118" t="s">
        <v>34</v>
      </c>
      <c r="B118">
        <f t="shared" si="1"/>
        <v>0</v>
      </c>
    </row>
    <row r="119" spans="1:2" x14ac:dyDescent="0.3">
      <c r="A119" t="s">
        <v>22</v>
      </c>
      <c r="B119">
        <f t="shared" si="1"/>
        <v>1</v>
      </c>
    </row>
    <row r="120" spans="1:2" x14ac:dyDescent="0.3">
      <c r="A120" t="s">
        <v>22</v>
      </c>
      <c r="B120">
        <f t="shared" si="1"/>
        <v>1</v>
      </c>
    </row>
    <row r="121" spans="1:2" x14ac:dyDescent="0.3">
      <c r="A121" t="s">
        <v>34</v>
      </c>
      <c r="B121">
        <f t="shared" si="1"/>
        <v>0</v>
      </c>
    </row>
    <row r="122" spans="1:2" x14ac:dyDescent="0.3">
      <c r="A122" t="s">
        <v>22</v>
      </c>
      <c r="B122">
        <f t="shared" si="1"/>
        <v>1</v>
      </c>
    </row>
    <row r="123" spans="1:2" x14ac:dyDescent="0.3">
      <c r="A123" t="s">
        <v>34</v>
      </c>
      <c r="B123">
        <f t="shared" si="1"/>
        <v>0</v>
      </c>
    </row>
    <row r="124" spans="1:2" x14ac:dyDescent="0.3">
      <c r="A124" t="s">
        <v>34</v>
      </c>
      <c r="B124">
        <f t="shared" si="1"/>
        <v>0</v>
      </c>
    </row>
    <row r="125" spans="1:2" x14ac:dyDescent="0.3">
      <c r="A125" t="s">
        <v>22</v>
      </c>
      <c r="B125">
        <f t="shared" si="1"/>
        <v>1</v>
      </c>
    </row>
    <row r="126" spans="1:2" x14ac:dyDescent="0.3">
      <c r="A126" t="s">
        <v>22</v>
      </c>
      <c r="B126">
        <f t="shared" si="1"/>
        <v>1</v>
      </c>
    </row>
    <row r="127" spans="1:2" x14ac:dyDescent="0.3">
      <c r="A127" t="s">
        <v>34</v>
      </c>
      <c r="B127">
        <f t="shared" si="1"/>
        <v>0</v>
      </c>
    </row>
    <row r="128" spans="1:2" x14ac:dyDescent="0.3">
      <c r="A128" t="s">
        <v>22</v>
      </c>
      <c r="B128">
        <f t="shared" si="1"/>
        <v>1</v>
      </c>
    </row>
    <row r="129" spans="1:2" x14ac:dyDescent="0.3">
      <c r="A129" t="s">
        <v>34</v>
      </c>
      <c r="B129">
        <f t="shared" si="1"/>
        <v>0</v>
      </c>
    </row>
    <row r="130" spans="1:2" x14ac:dyDescent="0.3">
      <c r="A130" t="s">
        <v>34</v>
      </c>
      <c r="B130">
        <f t="shared" si="1"/>
        <v>0</v>
      </c>
    </row>
    <row r="131" spans="1:2" x14ac:dyDescent="0.3">
      <c r="A131" t="s">
        <v>22</v>
      </c>
      <c r="B131">
        <f t="shared" ref="B131:B194" si="2">IF(A131="Female",1,0)</f>
        <v>1</v>
      </c>
    </row>
    <row r="132" spans="1:2" x14ac:dyDescent="0.3">
      <c r="A132" t="s">
        <v>22</v>
      </c>
      <c r="B132">
        <f t="shared" si="2"/>
        <v>1</v>
      </c>
    </row>
    <row r="133" spans="1:2" x14ac:dyDescent="0.3">
      <c r="A133" t="s">
        <v>22</v>
      </c>
      <c r="B133">
        <f t="shared" si="2"/>
        <v>1</v>
      </c>
    </row>
    <row r="134" spans="1:2" x14ac:dyDescent="0.3">
      <c r="A134" t="s">
        <v>22</v>
      </c>
      <c r="B134">
        <f t="shared" si="2"/>
        <v>1</v>
      </c>
    </row>
    <row r="135" spans="1:2" x14ac:dyDescent="0.3">
      <c r="A135" t="s">
        <v>34</v>
      </c>
      <c r="B135">
        <f t="shared" si="2"/>
        <v>0</v>
      </c>
    </row>
    <row r="136" spans="1:2" x14ac:dyDescent="0.3">
      <c r="A136" t="s">
        <v>22</v>
      </c>
      <c r="B136">
        <f t="shared" si="2"/>
        <v>1</v>
      </c>
    </row>
    <row r="137" spans="1:2" x14ac:dyDescent="0.3">
      <c r="A137" t="s">
        <v>22</v>
      </c>
      <c r="B137">
        <f t="shared" si="2"/>
        <v>1</v>
      </c>
    </row>
    <row r="138" spans="1:2" x14ac:dyDescent="0.3">
      <c r="A138" t="s">
        <v>22</v>
      </c>
      <c r="B138">
        <f t="shared" si="2"/>
        <v>1</v>
      </c>
    </row>
    <row r="139" spans="1:2" x14ac:dyDescent="0.3">
      <c r="A139" t="s">
        <v>34</v>
      </c>
      <c r="B139">
        <f t="shared" si="2"/>
        <v>0</v>
      </c>
    </row>
    <row r="140" spans="1:2" x14ac:dyDescent="0.3">
      <c r="A140" t="s">
        <v>34</v>
      </c>
      <c r="B140">
        <f t="shared" si="2"/>
        <v>0</v>
      </c>
    </row>
    <row r="141" spans="1:2" x14ac:dyDescent="0.3">
      <c r="A141" t="s">
        <v>22</v>
      </c>
      <c r="B141">
        <f t="shared" si="2"/>
        <v>1</v>
      </c>
    </row>
    <row r="142" spans="1:2" x14ac:dyDescent="0.3">
      <c r="A142" t="s">
        <v>22</v>
      </c>
      <c r="B142">
        <f t="shared" si="2"/>
        <v>1</v>
      </c>
    </row>
    <row r="143" spans="1:2" x14ac:dyDescent="0.3">
      <c r="A143" t="s">
        <v>22</v>
      </c>
      <c r="B143">
        <f t="shared" si="2"/>
        <v>1</v>
      </c>
    </row>
    <row r="144" spans="1:2" x14ac:dyDescent="0.3">
      <c r="A144" t="s">
        <v>22</v>
      </c>
      <c r="B144">
        <f t="shared" si="2"/>
        <v>1</v>
      </c>
    </row>
    <row r="145" spans="1:2" x14ac:dyDescent="0.3">
      <c r="A145" t="s">
        <v>22</v>
      </c>
      <c r="B145">
        <f t="shared" si="2"/>
        <v>1</v>
      </c>
    </row>
    <row r="146" spans="1:2" x14ac:dyDescent="0.3">
      <c r="A146" t="s">
        <v>22</v>
      </c>
      <c r="B146">
        <f t="shared" si="2"/>
        <v>1</v>
      </c>
    </row>
    <row r="147" spans="1:2" x14ac:dyDescent="0.3">
      <c r="A147" t="s">
        <v>22</v>
      </c>
      <c r="B147">
        <f t="shared" si="2"/>
        <v>1</v>
      </c>
    </row>
    <row r="148" spans="1:2" x14ac:dyDescent="0.3">
      <c r="A148" t="s">
        <v>34</v>
      </c>
      <c r="B148">
        <f t="shared" si="2"/>
        <v>0</v>
      </c>
    </row>
    <row r="149" spans="1:2" x14ac:dyDescent="0.3">
      <c r="A149" t="s">
        <v>22</v>
      </c>
      <c r="B149">
        <f t="shared" si="2"/>
        <v>1</v>
      </c>
    </row>
    <row r="150" spans="1:2" x14ac:dyDescent="0.3">
      <c r="A150" t="s">
        <v>34</v>
      </c>
      <c r="B150">
        <f t="shared" si="2"/>
        <v>0</v>
      </c>
    </row>
    <row r="151" spans="1:2" x14ac:dyDescent="0.3">
      <c r="A151" t="s">
        <v>22</v>
      </c>
      <c r="B151">
        <f t="shared" si="2"/>
        <v>1</v>
      </c>
    </row>
    <row r="152" spans="1:2" x14ac:dyDescent="0.3">
      <c r="A152" t="s">
        <v>22</v>
      </c>
      <c r="B152">
        <f t="shared" si="2"/>
        <v>1</v>
      </c>
    </row>
    <row r="153" spans="1:2" x14ac:dyDescent="0.3">
      <c r="A153" t="s">
        <v>22</v>
      </c>
      <c r="B153">
        <f t="shared" si="2"/>
        <v>1</v>
      </c>
    </row>
    <row r="154" spans="1:2" x14ac:dyDescent="0.3">
      <c r="A154" t="s">
        <v>34</v>
      </c>
      <c r="B154">
        <f t="shared" si="2"/>
        <v>0</v>
      </c>
    </row>
    <row r="155" spans="1:2" x14ac:dyDescent="0.3">
      <c r="A155" t="s">
        <v>34</v>
      </c>
      <c r="B155">
        <f t="shared" si="2"/>
        <v>0</v>
      </c>
    </row>
    <row r="156" spans="1:2" x14ac:dyDescent="0.3">
      <c r="A156" t="s">
        <v>34</v>
      </c>
      <c r="B156">
        <f t="shared" si="2"/>
        <v>0</v>
      </c>
    </row>
    <row r="157" spans="1:2" x14ac:dyDescent="0.3">
      <c r="A157" t="s">
        <v>22</v>
      </c>
      <c r="B157">
        <f t="shared" si="2"/>
        <v>1</v>
      </c>
    </row>
    <row r="158" spans="1:2" x14ac:dyDescent="0.3">
      <c r="A158" t="s">
        <v>22</v>
      </c>
      <c r="B158">
        <f t="shared" si="2"/>
        <v>1</v>
      </c>
    </row>
    <row r="159" spans="1:2" x14ac:dyDescent="0.3">
      <c r="A159" t="s">
        <v>22</v>
      </c>
      <c r="B159">
        <f t="shared" si="2"/>
        <v>1</v>
      </c>
    </row>
    <row r="160" spans="1:2" x14ac:dyDescent="0.3">
      <c r="A160" t="s">
        <v>34</v>
      </c>
      <c r="B160">
        <f t="shared" si="2"/>
        <v>0</v>
      </c>
    </row>
    <row r="161" spans="1:2" x14ac:dyDescent="0.3">
      <c r="A161" t="s">
        <v>22</v>
      </c>
      <c r="B161">
        <f t="shared" si="2"/>
        <v>1</v>
      </c>
    </row>
    <row r="162" spans="1:2" x14ac:dyDescent="0.3">
      <c r="A162" t="s">
        <v>22</v>
      </c>
      <c r="B162">
        <f t="shared" si="2"/>
        <v>1</v>
      </c>
    </row>
    <row r="163" spans="1:2" x14ac:dyDescent="0.3">
      <c r="A163" t="s">
        <v>22</v>
      </c>
      <c r="B163">
        <f t="shared" si="2"/>
        <v>1</v>
      </c>
    </row>
    <row r="164" spans="1:2" x14ac:dyDescent="0.3">
      <c r="A164" t="s">
        <v>22</v>
      </c>
      <c r="B164">
        <f t="shared" si="2"/>
        <v>1</v>
      </c>
    </row>
    <row r="165" spans="1:2" x14ac:dyDescent="0.3">
      <c r="A165" t="s">
        <v>34</v>
      </c>
      <c r="B165">
        <f t="shared" si="2"/>
        <v>0</v>
      </c>
    </row>
    <row r="166" spans="1:2" x14ac:dyDescent="0.3">
      <c r="A166" t="s">
        <v>22</v>
      </c>
      <c r="B166">
        <f t="shared" si="2"/>
        <v>1</v>
      </c>
    </row>
    <row r="167" spans="1:2" x14ac:dyDescent="0.3">
      <c r="A167" t="s">
        <v>34</v>
      </c>
      <c r="B167">
        <f t="shared" si="2"/>
        <v>0</v>
      </c>
    </row>
    <row r="168" spans="1:2" x14ac:dyDescent="0.3">
      <c r="A168" t="s">
        <v>34</v>
      </c>
      <c r="B168">
        <f t="shared" si="2"/>
        <v>0</v>
      </c>
    </row>
    <row r="169" spans="1:2" x14ac:dyDescent="0.3">
      <c r="A169" t="s">
        <v>22</v>
      </c>
      <c r="B169">
        <f t="shared" si="2"/>
        <v>1</v>
      </c>
    </row>
    <row r="170" spans="1:2" x14ac:dyDescent="0.3">
      <c r="A170" t="s">
        <v>22</v>
      </c>
      <c r="B170">
        <f t="shared" si="2"/>
        <v>1</v>
      </c>
    </row>
    <row r="171" spans="1:2" x14ac:dyDescent="0.3">
      <c r="A171" t="s">
        <v>34</v>
      </c>
      <c r="B171">
        <f t="shared" si="2"/>
        <v>0</v>
      </c>
    </row>
    <row r="172" spans="1:2" x14ac:dyDescent="0.3">
      <c r="A172" t="s">
        <v>34</v>
      </c>
      <c r="B172">
        <f t="shared" si="2"/>
        <v>0</v>
      </c>
    </row>
    <row r="173" spans="1:2" x14ac:dyDescent="0.3">
      <c r="A173" t="s">
        <v>22</v>
      </c>
      <c r="B173">
        <f t="shared" si="2"/>
        <v>1</v>
      </c>
    </row>
    <row r="174" spans="1:2" x14ac:dyDescent="0.3">
      <c r="A174" t="s">
        <v>34</v>
      </c>
      <c r="B174">
        <f t="shared" si="2"/>
        <v>0</v>
      </c>
    </row>
    <row r="175" spans="1:2" x14ac:dyDescent="0.3">
      <c r="A175" t="s">
        <v>34</v>
      </c>
      <c r="B175">
        <f t="shared" si="2"/>
        <v>0</v>
      </c>
    </row>
    <row r="176" spans="1:2" x14ac:dyDescent="0.3">
      <c r="A176" t="s">
        <v>34</v>
      </c>
      <c r="B176">
        <f t="shared" si="2"/>
        <v>0</v>
      </c>
    </row>
    <row r="177" spans="1:2" x14ac:dyDescent="0.3">
      <c r="A177" t="s">
        <v>22</v>
      </c>
      <c r="B177">
        <f t="shared" si="2"/>
        <v>1</v>
      </c>
    </row>
    <row r="178" spans="1:2" x14ac:dyDescent="0.3">
      <c r="A178" t="s">
        <v>22</v>
      </c>
      <c r="B178">
        <f t="shared" si="2"/>
        <v>1</v>
      </c>
    </row>
    <row r="179" spans="1:2" x14ac:dyDescent="0.3">
      <c r="A179" t="s">
        <v>22</v>
      </c>
      <c r="B179">
        <f t="shared" si="2"/>
        <v>1</v>
      </c>
    </row>
    <row r="180" spans="1:2" x14ac:dyDescent="0.3">
      <c r="A180" t="s">
        <v>22</v>
      </c>
      <c r="B180">
        <f t="shared" si="2"/>
        <v>1</v>
      </c>
    </row>
    <row r="181" spans="1:2" x14ac:dyDescent="0.3">
      <c r="A181" t="s">
        <v>34</v>
      </c>
      <c r="B181">
        <f t="shared" si="2"/>
        <v>0</v>
      </c>
    </row>
    <row r="182" spans="1:2" x14ac:dyDescent="0.3">
      <c r="A182" t="s">
        <v>34</v>
      </c>
      <c r="B182">
        <f t="shared" si="2"/>
        <v>0</v>
      </c>
    </row>
    <row r="183" spans="1:2" x14ac:dyDescent="0.3">
      <c r="A183" t="s">
        <v>22</v>
      </c>
      <c r="B183">
        <f t="shared" si="2"/>
        <v>1</v>
      </c>
    </row>
    <row r="184" spans="1:2" x14ac:dyDescent="0.3">
      <c r="A184" t="s">
        <v>34</v>
      </c>
      <c r="B184">
        <f t="shared" si="2"/>
        <v>0</v>
      </c>
    </row>
    <row r="185" spans="1:2" x14ac:dyDescent="0.3">
      <c r="A185" t="s">
        <v>22</v>
      </c>
      <c r="B185">
        <f t="shared" si="2"/>
        <v>1</v>
      </c>
    </row>
    <row r="186" spans="1:2" x14ac:dyDescent="0.3">
      <c r="A186" t="s">
        <v>22</v>
      </c>
      <c r="B186">
        <f t="shared" si="2"/>
        <v>1</v>
      </c>
    </row>
    <row r="187" spans="1:2" x14ac:dyDescent="0.3">
      <c r="A187" t="s">
        <v>22</v>
      </c>
      <c r="B187">
        <f t="shared" si="2"/>
        <v>1</v>
      </c>
    </row>
    <row r="188" spans="1:2" x14ac:dyDescent="0.3">
      <c r="A188" t="s">
        <v>34</v>
      </c>
      <c r="B188">
        <f t="shared" si="2"/>
        <v>0</v>
      </c>
    </row>
    <row r="189" spans="1:2" x14ac:dyDescent="0.3">
      <c r="A189" t="s">
        <v>34</v>
      </c>
      <c r="B189">
        <f t="shared" si="2"/>
        <v>0</v>
      </c>
    </row>
    <row r="190" spans="1:2" x14ac:dyDescent="0.3">
      <c r="A190" t="s">
        <v>22</v>
      </c>
      <c r="B190">
        <f t="shared" si="2"/>
        <v>1</v>
      </c>
    </row>
    <row r="191" spans="1:2" x14ac:dyDescent="0.3">
      <c r="A191" t="s">
        <v>22</v>
      </c>
      <c r="B191">
        <f t="shared" si="2"/>
        <v>1</v>
      </c>
    </row>
    <row r="192" spans="1:2" x14ac:dyDescent="0.3">
      <c r="A192" t="s">
        <v>22</v>
      </c>
      <c r="B192">
        <f t="shared" si="2"/>
        <v>1</v>
      </c>
    </row>
    <row r="193" spans="1:2" x14ac:dyDescent="0.3">
      <c r="A193" t="s">
        <v>22</v>
      </c>
      <c r="B193">
        <f t="shared" si="2"/>
        <v>1</v>
      </c>
    </row>
    <row r="194" spans="1:2" x14ac:dyDescent="0.3">
      <c r="A194" t="s">
        <v>34</v>
      </c>
      <c r="B194">
        <f t="shared" si="2"/>
        <v>0</v>
      </c>
    </row>
    <row r="195" spans="1:2" x14ac:dyDescent="0.3">
      <c r="A195" t="s">
        <v>34</v>
      </c>
      <c r="B195">
        <f t="shared" ref="B195:B258" si="3">IF(A195="Female",1,0)</f>
        <v>0</v>
      </c>
    </row>
    <row r="196" spans="1:2" x14ac:dyDescent="0.3">
      <c r="A196" t="s">
        <v>34</v>
      </c>
      <c r="B196">
        <f t="shared" si="3"/>
        <v>0</v>
      </c>
    </row>
    <row r="197" spans="1:2" x14ac:dyDescent="0.3">
      <c r="A197" t="s">
        <v>34</v>
      </c>
      <c r="B197">
        <f t="shared" si="3"/>
        <v>0</v>
      </c>
    </row>
    <row r="198" spans="1:2" x14ac:dyDescent="0.3">
      <c r="A198" t="s">
        <v>22</v>
      </c>
      <c r="B198">
        <f t="shared" si="3"/>
        <v>1</v>
      </c>
    </row>
    <row r="199" spans="1:2" x14ac:dyDescent="0.3">
      <c r="A199" t="s">
        <v>34</v>
      </c>
      <c r="B199">
        <f t="shared" si="3"/>
        <v>0</v>
      </c>
    </row>
    <row r="200" spans="1:2" x14ac:dyDescent="0.3">
      <c r="A200" t="s">
        <v>22</v>
      </c>
      <c r="B200">
        <f t="shared" si="3"/>
        <v>1</v>
      </c>
    </row>
    <row r="201" spans="1:2" x14ac:dyDescent="0.3">
      <c r="A201" t="s">
        <v>34</v>
      </c>
      <c r="B201">
        <f t="shared" si="3"/>
        <v>0</v>
      </c>
    </row>
    <row r="202" spans="1:2" x14ac:dyDescent="0.3">
      <c r="A202" t="s">
        <v>22</v>
      </c>
      <c r="B202">
        <f t="shared" si="3"/>
        <v>1</v>
      </c>
    </row>
    <row r="203" spans="1:2" x14ac:dyDescent="0.3">
      <c r="A203" t="s">
        <v>34</v>
      </c>
      <c r="B203">
        <f t="shared" si="3"/>
        <v>0</v>
      </c>
    </row>
    <row r="204" spans="1:2" x14ac:dyDescent="0.3">
      <c r="A204" t="s">
        <v>34</v>
      </c>
      <c r="B204">
        <f t="shared" si="3"/>
        <v>0</v>
      </c>
    </row>
    <row r="205" spans="1:2" x14ac:dyDescent="0.3">
      <c r="A205" t="s">
        <v>22</v>
      </c>
      <c r="B205">
        <f t="shared" si="3"/>
        <v>1</v>
      </c>
    </row>
    <row r="206" spans="1:2" x14ac:dyDescent="0.3">
      <c r="A206" t="s">
        <v>22</v>
      </c>
      <c r="B206">
        <f t="shared" si="3"/>
        <v>1</v>
      </c>
    </row>
    <row r="207" spans="1:2" x14ac:dyDescent="0.3">
      <c r="A207" t="s">
        <v>22</v>
      </c>
      <c r="B207">
        <f t="shared" si="3"/>
        <v>1</v>
      </c>
    </row>
    <row r="208" spans="1:2" x14ac:dyDescent="0.3">
      <c r="A208" t="s">
        <v>22</v>
      </c>
      <c r="B208">
        <f t="shared" si="3"/>
        <v>1</v>
      </c>
    </row>
    <row r="209" spans="1:2" x14ac:dyDescent="0.3">
      <c r="A209" t="s">
        <v>34</v>
      </c>
      <c r="B209">
        <f t="shared" si="3"/>
        <v>0</v>
      </c>
    </row>
    <row r="210" spans="1:2" x14ac:dyDescent="0.3">
      <c r="A210" t="s">
        <v>22</v>
      </c>
      <c r="B210">
        <f t="shared" si="3"/>
        <v>1</v>
      </c>
    </row>
    <row r="211" spans="1:2" x14ac:dyDescent="0.3">
      <c r="A211" t="s">
        <v>22</v>
      </c>
      <c r="B211">
        <f t="shared" si="3"/>
        <v>1</v>
      </c>
    </row>
    <row r="212" spans="1:2" x14ac:dyDescent="0.3">
      <c r="A212" t="s">
        <v>34</v>
      </c>
      <c r="B212">
        <f t="shared" si="3"/>
        <v>0</v>
      </c>
    </row>
    <row r="213" spans="1:2" x14ac:dyDescent="0.3">
      <c r="A213" t="s">
        <v>22</v>
      </c>
      <c r="B213">
        <f t="shared" si="3"/>
        <v>1</v>
      </c>
    </row>
    <row r="214" spans="1:2" x14ac:dyDescent="0.3">
      <c r="A214" t="s">
        <v>22</v>
      </c>
      <c r="B214">
        <f t="shared" si="3"/>
        <v>1</v>
      </c>
    </row>
    <row r="215" spans="1:2" x14ac:dyDescent="0.3">
      <c r="A215" t="s">
        <v>22</v>
      </c>
      <c r="B215">
        <f t="shared" si="3"/>
        <v>1</v>
      </c>
    </row>
    <row r="216" spans="1:2" x14ac:dyDescent="0.3">
      <c r="A216" t="s">
        <v>22</v>
      </c>
      <c r="B216">
        <f t="shared" si="3"/>
        <v>1</v>
      </c>
    </row>
    <row r="217" spans="1:2" x14ac:dyDescent="0.3">
      <c r="A217" t="s">
        <v>34</v>
      </c>
      <c r="B217">
        <f t="shared" si="3"/>
        <v>0</v>
      </c>
    </row>
    <row r="218" spans="1:2" x14ac:dyDescent="0.3">
      <c r="A218" t="s">
        <v>34</v>
      </c>
      <c r="B218">
        <f t="shared" si="3"/>
        <v>0</v>
      </c>
    </row>
    <row r="219" spans="1:2" x14ac:dyDescent="0.3">
      <c r="A219" t="s">
        <v>22</v>
      </c>
      <c r="B219">
        <f t="shared" si="3"/>
        <v>1</v>
      </c>
    </row>
    <row r="220" spans="1:2" x14ac:dyDescent="0.3">
      <c r="A220" t="s">
        <v>22</v>
      </c>
      <c r="B220">
        <f t="shared" si="3"/>
        <v>1</v>
      </c>
    </row>
    <row r="221" spans="1:2" x14ac:dyDescent="0.3">
      <c r="A221" t="s">
        <v>34</v>
      </c>
      <c r="B221">
        <f t="shared" si="3"/>
        <v>0</v>
      </c>
    </row>
    <row r="222" spans="1:2" x14ac:dyDescent="0.3">
      <c r="A222" t="s">
        <v>22</v>
      </c>
      <c r="B222">
        <f t="shared" si="3"/>
        <v>1</v>
      </c>
    </row>
    <row r="223" spans="1:2" x14ac:dyDescent="0.3">
      <c r="A223" t="s">
        <v>34</v>
      </c>
      <c r="B223">
        <f t="shared" si="3"/>
        <v>0</v>
      </c>
    </row>
    <row r="224" spans="1:2" x14ac:dyDescent="0.3">
      <c r="A224" t="s">
        <v>34</v>
      </c>
      <c r="B224">
        <f t="shared" si="3"/>
        <v>0</v>
      </c>
    </row>
    <row r="225" spans="1:2" x14ac:dyDescent="0.3">
      <c r="A225" t="s">
        <v>22</v>
      </c>
      <c r="B225">
        <f t="shared" si="3"/>
        <v>1</v>
      </c>
    </row>
    <row r="226" spans="1:2" x14ac:dyDescent="0.3">
      <c r="A226" t="s">
        <v>22</v>
      </c>
      <c r="B226">
        <f t="shared" si="3"/>
        <v>1</v>
      </c>
    </row>
    <row r="227" spans="1:2" x14ac:dyDescent="0.3">
      <c r="A227" t="s">
        <v>34</v>
      </c>
      <c r="B227">
        <f t="shared" si="3"/>
        <v>0</v>
      </c>
    </row>
    <row r="228" spans="1:2" x14ac:dyDescent="0.3">
      <c r="A228" t="s">
        <v>34</v>
      </c>
      <c r="B228">
        <f t="shared" si="3"/>
        <v>0</v>
      </c>
    </row>
    <row r="229" spans="1:2" x14ac:dyDescent="0.3">
      <c r="A229" t="s">
        <v>22</v>
      </c>
      <c r="B229">
        <f t="shared" si="3"/>
        <v>1</v>
      </c>
    </row>
    <row r="230" spans="1:2" x14ac:dyDescent="0.3">
      <c r="A230" t="s">
        <v>34</v>
      </c>
      <c r="B230">
        <f t="shared" si="3"/>
        <v>0</v>
      </c>
    </row>
    <row r="231" spans="1:2" x14ac:dyDescent="0.3">
      <c r="A231" t="s">
        <v>22</v>
      </c>
      <c r="B231">
        <f t="shared" si="3"/>
        <v>1</v>
      </c>
    </row>
    <row r="232" spans="1:2" x14ac:dyDescent="0.3">
      <c r="A232" t="s">
        <v>34</v>
      </c>
      <c r="B232">
        <f t="shared" si="3"/>
        <v>0</v>
      </c>
    </row>
    <row r="233" spans="1:2" x14ac:dyDescent="0.3">
      <c r="A233" t="s">
        <v>22</v>
      </c>
      <c r="B233">
        <f t="shared" si="3"/>
        <v>1</v>
      </c>
    </row>
    <row r="234" spans="1:2" x14ac:dyDescent="0.3">
      <c r="A234" t="s">
        <v>34</v>
      </c>
      <c r="B234">
        <f t="shared" si="3"/>
        <v>0</v>
      </c>
    </row>
    <row r="235" spans="1:2" x14ac:dyDescent="0.3">
      <c r="A235" t="s">
        <v>22</v>
      </c>
      <c r="B235">
        <f t="shared" si="3"/>
        <v>1</v>
      </c>
    </row>
    <row r="236" spans="1:2" x14ac:dyDescent="0.3">
      <c r="A236" t="s">
        <v>34</v>
      </c>
      <c r="B236">
        <f t="shared" si="3"/>
        <v>0</v>
      </c>
    </row>
    <row r="237" spans="1:2" x14ac:dyDescent="0.3">
      <c r="A237" t="s">
        <v>22</v>
      </c>
      <c r="B237">
        <f t="shared" si="3"/>
        <v>1</v>
      </c>
    </row>
    <row r="238" spans="1:2" x14ac:dyDescent="0.3">
      <c r="A238" t="s">
        <v>34</v>
      </c>
      <c r="B238">
        <f t="shared" si="3"/>
        <v>0</v>
      </c>
    </row>
    <row r="239" spans="1:2" x14ac:dyDescent="0.3">
      <c r="A239" t="s">
        <v>22</v>
      </c>
      <c r="B239">
        <f t="shared" si="3"/>
        <v>1</v>
      </c>
    </row>
    <row r="240" spans="1:2" x14ac:dyDescent="0.3">
      <c r="A240" t="s">
        <v>34</v>
      </c>
      <c r="B240">
        <f t="shared" si="3"/>
        <v>0</v>
      </c>
    </row>
    <row r="241" spans="1:2" x14ac:dyDescent="0.3">
      <c r="A241" t="s">
        <v>22</v>
      </c>
      <c r="B241">
        <f t="shared" si="3"/>
        <v>1</v>
      </c>
    </row>
    <row r="242" spans="1:2" x14ac:dyDescent="0.3">
      <c r="A242" t="s">
        <v>22</v>
      </c>
      <c r="B242">
        <f t="shared" si="3"/>
        <v>1</v>
      </c>
    </row>
    <row r="243" spans="1:2" x14ac:dyDescent="0.3">
      <c r="A243" t="s">
        <v>22</v>
      </c>
      <c r="B243">
        <f t="shared" si="3"/>
        <v>1</v>
      </c>
    </row>
    <row r="244" spans="1:2" x14ac:dyDescent="0.3">
      <c r="A244" t="s">
        <v>22</v>
      </c>
      <c r="B244">
        <f t="shared" si="3"/>
        <v>1</v>
      </c>
    </row>
    <row r="245" spans="1:2" x14ac:dyDescent="0.3">
      <c r="A245" t="s">
        <v>34</v>
      </c>
      <c r="B245">
        <f t="shared" si="3"/>
        <v>0</v>
      </c>
    </row>
    <row r="246" spans="1:2" x14ac:dyDescent="0.3">
      <c r="A246" t="s">
        <v>34</v>
      </c>
      <c r="B246">
        <f t="shared" si="3"/>
        <v>0</v>
      </c>
    </row>
    <row r="247" spans="1:2" x14ac:dyDescent="0.3">
      <c r="A247" t="s">
        <v>22</v>
      </c>
      <c r="B247">
        <f t="shared" si="3"/>
        <v>1</v>
      </c>
    </row>
    <row r="248" spans="1:2" x14ac:dyDescent="0.3">
      <c r="A248" t="s">
        <v>34</v>
      </c>
      <c r="B248">
        <f t="shared" si="3"/>
        <v>0</v>
      </c>
    </row>
    <row r="249" spans="1:2" x14ac:dyDescent="0.3">
      <c r="A249" t="s">
        <v>34</v>
      </c>
      <c r="B249">
        <f t="shared" si="3"/>
        <v>0</v>
      </c>
    </row>
    <row r="250" spans="1:2" x14ac:dyDescent="0.3">
      <c r="A250" t="s">
        <v>34</v>
      </c>
      <c r="B250">
        <f t="shared" si="3"/>
        <v>0</v>
      </c>
    </row>
    <row r="251" spans="1:2" x14ac:dyDescent="0.3">
      <c r="A251" t="s">
        <v>22</v>
      </c>
      <c r="B251">
        <f t="shared" si="3"/>
        <v>1</v>
      </c>
    </row>
    <row r="252" spans="1:2" x14ac:dyDescent="0.3">
      <c r="A252" t="s">
        <v>22</v>
      </c>
      <c r="B252">
        <f t="shared" si="3"/>
        <v>1</v>
      </c>
    </row>
    <row r="253" spans="1:2" x14ac:dyDescent="0.3">
      <c r="A253" t="s">
        <v>34</v>
      </c>
      <c r="B253">
        <f t="shared" si="3"/>
        <v>0</v>
      </c>
    </row>
    <row r="254" spans="1:2" x14ac:dyDescent="0.3">
      <c r="A254" t="s">
        <v>22</v>
      </c>
      <c r="B254">
        <f t="shared" si="3"/>
        <v>1</v>
      </c>
    </row>
    <row r="255" spans="1:2" x14ac:dyDescent="0.3">
      <c r="A255" t="s">
        <v>22</v>
      </c>
      <c r="B255">
        <f t="shared" si="3"/>
        <v>1</v>
      </c>
    </row>
    <row r="256" spans="1:2" x14ac:dyDescent="0.3">
      <c r="A256" t="s">
        <v>22</v>
      </c>
      <c r="B256">
        <f t="shared" si="3"/>
        <v>1</v>
      </c>
    </row>
    <row r="257" spans="1:2" x14ac:dyDescent="0.3">
      <c r="A257" t="s">
        <v>34</v>
      </c>
      <c r="B257">
        <f t="shared" si="3"/>
        <v>0</v>
      </c>
    </row>
    <row r="258" spans="1:2" x14ac:dyDescent="0.3">
      <c r="A258" t="s">
        <v>22</v>
      </c>
      <c r="B258">
        <f t="shared" si="3"/>
        <v>1</v>
      </c>
    </row>
    <row r="259" spans="1:2" x14ac:dyDescent="0.3">
      <c r="A259" t="s">
        <v>34</v>
      </c>
      <c r="B259">
        <f t="shared" ref="B259:B322" si="4">IF(A259="Female",1,0)</f>
        <v>0</v>
      </c>
    </row>
    <row r="260" spans="1:2" x14ac:dyDescent="0.3">
      <c r="A260" t="s">
        <v>34</v>
      </c>
      <c r="B260">
        <f t="shared" si="4"/>
        <v>0</v>
      </c>
    </row>
    <row r="261" spans="1:2" x14ac:dyDescent="0.3">
      <c r="A261" t="s">
        <v>34</v>
      </c>
      <c r="B261">
        <f t="shared" si="4"/>
        <v>0</v>
      </c>
    </row>
    <row r="262" spans="1:2" x14ac:dyDescent="0.3">
      <c r="A262" t="s">
        <v>34</v>
      </c>
      <c r="B262">
        <f t="shared" si="4"/>
        <v>0</v>
      </c>
    </row>
    <row r="263" spans="1:2" x14ac:dyDescent="0.3">
      <c r="A263" t="s">
        <v>22</v>
      </c>
      <c r="B263">
        <f t="shared" si="4"/>
        <v>1</v>
      </c>
    </row>
    <row r="264" spans="1:2" x14ac:dyDescent="0.3">
      <c r="A264" t="s">
        <v>22</v>
      </c>
      <c r="B264">
        <f t="shared" si="4"/>
        <v>1</v>
      </c>
    </row>
    <row r="265" spans="1:2" x14ac:dyDescent="0.3">
      <c r="A265" t="s">
        <v>34</v>
      </c>
      <c r="B265">
        <f t="shared" si="4"/>
        <v>0</v>
      </c>
    </row>
    <row r="266" spans="1:2" x14ac:dyDescent="0.3">
      <c r="A266" t="s">
        <v>34</v>
      </c>
      <c r="B266">
        <f t="shared" si="4"/>
        <v>0</v>
      </c>
    </row>
    <row r="267" spans="1:2" x14ac:dyDescent="0.3">
      <c r="A267" t="s">
        <v>22</v>
      </c>
      <c r="B267">
        <f t="shared" si="4"/>
        <v>1</v>
      </c>
    </row>
    <row r="268" spans="1:2" x14ac:dyDescent="0.3">
      <c r="A268" t="s">
        <v>22</v>
      </c>
      <c r="B268">
        <f t="shared" si="4"/>
        <v>1</v>
      </c>
    </row>
    <row r="269" spans="1:2" x14ac:dyDescent="0.3">
      <c r="A269" t="s">
        <v>22</v>
      </c>
      <c r="B269">
        <f t="shared" si="4"/>
        <v>1</v>
      </c>
    </row>
    <row r="270" spans="1:2" x14ac:dyDescent="0.3">
      <c r="A270" t="s">
        <v>22</v>
      </c>
      <c r="B270">
        <f t="shared" si="4"/>
        <v>1</v>
      </c>
    </row>
    <row r="271" spans="1:2" x14ac:dyDescent="0.3">
      <c r="A271" t="s">
        <v>34</v>
      </c>
      <c r="B271">
        <f t="shared" si="4"/>
        <v>0</v>
      </c>
    </row>
    <row r="272" spans="1:2" x14ac:dyDescent="0.3">
      <c r="A272" t="s">
        <v>22</v>
      </c>
      <c r="B272">
        <f t="shared" si="4"/>
        <v>1</v>
      </c>
    </row>
    <row r="273" spans="1:2" x14ac:dyDescent="0.3">
      <c r="A273" t="s">
        <v>34</v>
      </c>
      <c r="B273">
        <f t="shared" si="4"/>
        <v>0</v>
      </c>
    </row>
    <row r="274" spans="1:2" x14ac:dyDescent="0.3">
      <c r="A274" t="s">
        <v>34</v>
      </c>
      <c r="B274">
        <f t="shared" si="4"/>
        <v>0</v>
      </c>
    </row>
    <row r="275" spans="1:2" x14ac:dyDescent="0.3">
      <c r="A275" t="s">
        <v>34</v>
      </c>
      <c r="B275">
        <f t="shared" si="4"/>
        <v>0</v>
      </c>
    </row>
    <row r="276" spans="1:2" x14ac:dyDescent="0.3">
      <c r="A276" t="s">
        <v>22</v>
      </c>
      <c r="B276">
        <f t="shared" si="4"/>
        <v>1</v>
      </c>
    </row>
    <row r="277" spans="1:2" x14ac:dyDescent="0.3">
      <c r="A277" t="s">
        <v>34</v>
      </c>
      <c r="B277">
        <f t="shared" si="4"/>
        <v>0</v>
      </c>
    </row>
    <row r="278" spans="1:2" x14ac:dyDescent="0.3">
      <c r="A278" t="s">
        <v>22</v>
      </c>
      <c r="B278">
        <f t="shared" si="4"/>
        <v>1</v>
      </c>
    </row>
    <row r="279" spans="1:2" x14ac:dyDescent="0.3">
      <c r="A279" t="s">
        <v>22</v>
      </c>
      <c r="B279">
        <f t="shared" si="4"/>
        <v>1</v>
      </c>
    </row>
    <row r="280" spans="1:2" x14ac:dyDescent="0.3">
      <c r="A280" t="s">
        <v>22</v>
      </c>
      <c r="B280">
        <f t="shared" si="4"/>
        <v>1</v>
      </c>
    </row>
    <row r="281" spans="1:2" x14ac:dyDescent="0.3">
      <c r="A281" t="s">
        <v>22</v>
      </c>
      <c r="B281">
        <f t="shared" si="4"/>
        <v>1</v>
      </c>
    </row>
    <row r="282" spans="1:2" x14ac:dyDescent="0.3">
      <c r="A282" t="s">
        <v>34</v>
      </c>
      <c r="B282">
        <f t="shared" si="4"/>
        <v>0</v>
      </c>
    </row>
    <row r="283" spans="1:2" x14ac:dyDescent="0.3">
      <c r="A283" t="s">
        <v>22</v>
      </c>
      <c r="B283">
        <f t="shared" si="4"/>
        <v>1</v>
      </c>
    </row>
    <row r="284" spans="1:2" x14ac:dyDescent="0.3">
      <c r="A284" t="s">
        <v>34</v>
      </c>
      <c r="B284">
        <f t="shared" si="4"/>
        <v>0</v>
      </c>
    </row>
    <row r="285" spans="1:2" x14ac:dyDescent="0.3">
      <c r="A285" t="s">
        <v>22</v>
      </c>
      <c r="B285">
        <f t="shared" si="4"/>
        <v>1</v>
      </c>
    </row>
    <row r="286" spans="1:2" x14ac:dyDescent="0.3">
      <c r="A286" t="s">
        <v>22</v>
      </c>
      <c r="B286">
        <f t="shared" si="4"/>
        <v>1</v>
      </c>
    </row>
    <row r="287" spans="1:2" x14ac:dyDescent="0.3">
      <c r="A287" t="s">
        <v>34</v>
      </c>
      <c r="B287">
        <f t="shared" si="4"/>
        <v>0</v>
      </c>
    </row>
    <row r="288" spans="1:2" x14ac:dyDescent="0.3">
      <c r="A288" t="s">
        <v>22</v>
      </c>
      <c r="B288">
        <f t="shared" si="4"/>
        <v>1</v>
      </c>
    </row>
    <row r="289" spans="1:2" x14ac:dyDescent="0.3">
      <c r="A289" t="s">
        <v>22</v>
      </c>
      <c r="B289">
        <f t="shared" si="4"/>
        <v>1</v>
      </c>
    </row>
    <row r="290" spans="1:2" x14ac:dyDescent="0.3">
      <c r="A290" t="s">
        <v>34</v>
      </c>
      <c r="B290">
        <f t="shared" si="4"/>
        <v>0</v>
      </c>
    </row>
    <row r="291" spans="1:2" x14ac:dyDescent="0.3">
      <c r="A291" t="s">
        <v>34</v>
      </c>
      <c r="B291">
        <f t="shared" si="4"/>
        <v>0</v>
      </c>
    </row>
    <row r="292" spans="1:2" x14ac:dyDescent="0.3">
      <c r="A292" t="s">
        <v>22</v>
      </c>
      <c r="B292">
        <f t="shared" si="4"/>
        <v>1</v>
      </c>
    </row>
    <row r="293" spans="1:2" x14ac:dyDescent="0.3">
      <c r="A293" t="s">
        <v>34</v>
      </c>
      <c r="B293">
        <f t="shared" si="4"/>
        <v>0</v>
      </c>
    </row>
    <row r="294" spans="1:2" x14ac:dyDescent="0.3">
      <c r="A294" t="s">
        <v>34</v>
      </c>
      <c r="B294">
        <f t="shared" si="4"/>
        <v>0</v>
      </c>
    </row>
    <row r="295" spans="1:2" x14ac:dyDescent="0.3">
      <c r="A295" t="s">
        <v>34</v>
      </c>
      <c r="B295">
        <f t="shared" si="4"/>
        <v>0</v>
      </c>
    </row>
    <row r="296" spans="1:2" x14ac:dyDescent="0.3">
      <c r="A296" t="s">
        <v>22</v>
      </c>
      <c r="B296">
        <f t="shared" si="4"/>
        <v>1</v>
      </c>
    </row>
    <row r="297" spans="1:2" x14ac:dyDescent="0.3">
      <c r="A297" t="s">
        <v>34</v>
      </c>
      <c r="B297">
        <f t="shared" si="4"/>
        <v>0</v>
      </c>
    </row>
    <row r="298" spans="1:2" x14ac:dyDescent="0.3">
      <c r="A298" t="s">
        <v>34</v>
      </c>
      <c r="B298">
        <f t="shared" si="4"/>
        <v>0</v>
      </c>
    </row>
    <row r="299" spans="1:2" x14ac:dyDescent="0.3">
      <c r="A299" t="s">
        <v>22</v>
      </c>
      <c r="B299">
        <f t="shared" si="4"/>
        <v>1</v>
      </c>
    </row>
    <row r="300" spans="1:2" x14ac:dyDescent="0.3">
      <c r="A300" t="s">
        <v>22</v>
      </c>
      <c r="B300">
        <f t="shared" si="4"/>
        <v>1</v>
      </c>
    </row>
    <row r="301" spans="1:2" x14ac:dyDescent="0.3">
      <c r="A301" t="s">
        <v>22</v>
      </c>
      <c r="B301">
        <f t="shared" si="4"/>
        <v>1</v>
      </c>
    </row>
    <row r="302" spans="1:2" x14ac:dyDescent="0.3">
      <c r="A302" t="s">
        <v>34</v>
      </c>
      <c r="B302">
        <f t="shared" si="4"/>
        <v>0</v>
      </c>
    </row>
    <row r="303" spans="1:2" x14ac:dyDescent="0.3">
      <c r="A303" t="s">
        <v>22</v>
      </c>
      <c r="B303">
        <f t="shared" si="4"/>
        <v>1</v>
      </c>
    </row>
    <row r="304" spans="1:2" x14ac:dyDescent="0.3">
      <c r="A304" t="s">
        <v>34</v>
      </c>
      <c r="B304">
        <f t="shared" si="4"/>
        <v>0</v>
      </c>
    </row>
    <row r="305" spans="1:2" x14ac:dyDescent="0.3">
      <c r="A305" t="s">
        <v>22</v>
      </c>
      <c r="B305">
        <f t="shared" si="4"/>
        <v>1</v>
      </c>
    </row>
    <row r="306" spans="1:2" x14ac:dyDescent="0.3">
      <c r="A306" t="s">
        <v>34</v>
      </c>
      <c r="B306">
        <f t="shared" si="4"/>
        <v>0</v>
      </c>
    </row>
    <row r="307" spans="1:2" x14ac:dyDescent="0.3">
      <c r="A307" t="s">
        <v>22</v>
      </c>
      <c r="B307">
        <f t="shared" si="4"/>
        <v>1</v>
      </c>
    </row>
    <row r="308" spans="1:2" x14ac:dyDescent="0.3">
      <c r="A308" t="s">
        <v>22</v>
      </c>
      <c r="B308">
        <f t="shared" si="4"/>
        <v>1</v>
      </c>
    </row>
    <row r="309" spans="1:2" x14ac:dyDescent="0.3">
      <c r="A309" t="s">
        <v>22</v>
      </c>
      <c r="B309">
        <f t="shared" si="4"/>
        <v>1</v>
      </c>
    </row>
    <row r="310" spans="1:2" x14ac:dyDescent="0.3">
      <c r="A310" t="s">
        <v>22</v>
      </c>
      <c r="B310">
        <f t="shared" si="4"/>
        <v>1</v>
      </c>
    </row>
    <row r="311" spans="1:2" x14ac:dyDescent="0.3">
      <c r="A311" t="s">
        <v>34</v>
      </c>
      <c r="B311">
        <f t="shared" si="4"/>
        <v>0</v>
      </c>
    </row>
    <row r="312" spans="1:2" x14ac:dyDescent="0.3">
      <c r="A312" t="s">
        <v>34</v>
      </c>
      <c r="B312">
        <f t="shared" si="4"/>
        <v>0</v>
      </c>
    </row>
    <row r="313" spans="1:2" x14ac:dyDescent="0.3">
      <c r="A313" t="s">
        <v>22</v>
      </c>
      <c r="B313">
        <f t="shared" si="4"/>
        <v>1</v>
      </c>
    </row>
    <row r="314" spans="1:2" x14ac:dyDescent="0.3">
      <c r="A314" t="s">
        <v>34</v>
      </c>
      <c r="B314">
        <f t="shared" si="4"/>
        <v>0</v>
      </c>
    </row>
    <row r="315" spans="1:2" x14ac:dyDescent="0.3">
      <c r="A315" t="s">
        <v>22</v>
      </c>
      <c r="B315">
        <f t="shared" si="4"/>
        <v>1</v>
      </c>
    </row>
    <row r="316" spans="1:2" x14ac:dyDescent="0.3">
      <c r="A316" t="s">
        <v>22</v>
      </c>
      <c r="B316">
        <f t="shared" si="4"/>
        <v>1</v>
      </c>
    </row>
    <row r="317" spans="1:2" x14ac:dyDescent="0.3">
      <c r="A317" t="s">
        <v>34</v>
      </c>
      <c r="B317">
        <f t="shared" si="4"/>
        <v>0</v>
      </c>
    </row>
    <row r="318" spans="1:2" x14ac:dyDescent="0.3">
      <c r="A318" t="s">
        <v>34</v>
      </c>
      <c r="B318">
        <f t="shared" si="4"/>
        <v>0</v>
      </c>
    </row>
    <row r="319" spans="1:2" x14ac:dyDescent="0.3">
      <c r="A319" t="s">
        <v>34</v>
      </c>
      <c r="B319">
        <f t="shared" si="4"/>
        <v>0</v>
      </c>
    </row>
    <row r="320" spans="1:2" x14ac:dyDescent="0.3">
      <c r="A320" t="s">
        <v>22</v>
      </c>
      <c r="B320">
        <f t="shared" si="4"/>
        <v>1</v>
      </c>
    </row>
    <row r="321" spans="1:2" x14ac:dyDescent="0.3">
      <c r="A321" t="s">
        <v>34</v>
      </c>
      <c r="B321">
        <f t="shared" si="4"/>
        <v>0</v>
      </c>
    </row>
    <row r="322" spans="1:2" x14ac:dyDescent="0.3">
      <c r="A322" t="s">
        <v>34</v>
      </c>
      <c r="B322">
        <f t="shared" si="4"/>
        <v>0</v>
      </c>
    </row>
    <row r="323" spans="1:2" x14ac:dyDescent="0.3">
      <c r="A323" t="s">
        <v>22</v>
      </c>
      <c r="B323">
        <f t="shared" ref="B323:B386" si="5">IF(A323="Female",1,0)</f>
        <v>1</v>
      </c>
    </row>
    <row r="324" spans="1:2" x14ac:dyDescent="0.3">
      <c r="A324" t="s">
        <v>22</v>
      </c>
      <c r="B324">
        <f t="shared" si="5"/>
        <v>1</v>
      </c>
    </row>
    <row r="325" spans="1:2" x14ac:dyDescent="0.3">
      <c r="A325" t="s">
        <v>22</v>
      </c>
      <c r="B325">
        <f t="shared" si="5"/>
        <v>1</v>
      </c>
    </row>
    <row r="326" spans="1:2" x14ac:dyDescent="0.3">
      <c r="A326" t="s">
        <v>22</v>
      </c>
      <c r="B326">
        <f t="shared" si="5"/>
        <v>1</v>
      </c>
    </row>
    <row r="327" spans="1:2" x14ac:dyDescent="0.3">
      <c r="A327" t="s">
        <v>22</v>
      </c>
      <c r="B327">
        <f t="shared" si="5"/>
        <v>1</v>
      </c>
    </row>
    <row r="328" spans="1:2" x14ac:dyDescent="0.3">
      <c r="A328" t="s">
        <v>22</v>
      </c>
      <c r="B328">
        <f t="shared" si="5"/>
        <v>1</v>
      </c>
    </row>
    <row r="329" spans="1:2" x14ac:dyDescent="0.3">
      <c r="A329" t="s">
        <v>22</v>
      </c>
      <c r="B329">
        <f t="shared" si="5"/>
        <v>1</v>
      </c>
    </row>
    <row r="330" spans="1:2" x14ac:dyDescent="0.3">
      <c r="A330" t="s">
        <v>34</v>
      </c>
      <c r="B330">
        <f t="shared" si="5"/>
        <v>0</v>
      </c>
    </row>
    <row r="331" spans="1:2" x14ac:dyDescent="0.3">
      <c r="A331" t="s">
        <v>34</v>
      </c>
      <c r="B331">
        <f t="shared" si="5"/>
        <v>0</v>
      </c>
    </row>
    <row r="332" spans="1:2" x14ac:dyDescent="0.3">
      <c r="A332" t="s">
        <v>22</v>
      </c>
      <c r="B332">
        <f t="shared" si="5"/>
        <v>1</v>
      </c>
    </row>
    <row r="333" spans="1:2" x14ac:dyDescent="0.3">
      <c r="A333" t="s">
        <v>22</v>
      </c>
      <c r="B333">
        <f t="shared" si="5"/>
        <v>1</v>
      </c>
    </row>
    <row r="334" spans="1:2" x14ac:dyDescent="0.3">
      <c r="A334" t="s">
        <v>22</v>
      </c>
      <c r="B334">
        <f t="shared" si="5"/>
        <v>1</v>
      </c>
    </row>
    <row r="335" spans="1:2" x14ac:dyDescent="0.3">
      <c r="A335" t="s">
        <v>22</v>
      </c>
      <c r="B335">
        <f t="shared" si="5"/>
        <v>1</v>
      </c>
    </row>
    <row r="336" spans="1:2" x14ac:dyDescent="0.3">
      <c r="A336" t="s">
        <v>22</v>
      </c>
      <c r="B336">
        <f t="shared" si="5"/>
        <v>1</v>
      </c>
    </row>
    <row r="337" spans="1:2" x14ac:dyDescent="0.3">
      <c r="A337" t="s">
        <v>34</v>
      </c>
      <c r="B337">
        <f t="shared" si="5"/>
        <v>0</v>
      </c>
    </row>
    <row r="338" spans="1:2" x14ac:dyDescent="0.3">
      <c r="A338" t="s">
        <v>34</v>
      </c>
      <c r="B338">
        <f t="shared" si="5"/>
        <v>0</v>
      </c>
    </row>
    <row r="339" spans="1:2" x14ac:dyDescent="0.3">
      <c r="A339" t="s">
        <v>34</v>
      </c>
      <c r="B339">
        <f t="shared" si="5"/>
        <v>0</v>
      </c>
    </row>
    <row r="340" spans="1:2" x14ac:dyDescent="0.3">
      <c r="A340" t="s">
        <v>22</v>
      </c>
      <c r="B340">
        <f t="shared" si="5"/>
        <v>1</v>
      </c>
    </row>
    <row r="341" spans="1:2" x14ac:dyDescent="0.3">
      <c r="A341" t="s">
        <v>22</v>
      </c>
      <c r="B341">
        <f t="shared" si="5"/>
        <v>1</v>
      </c>
    </row>
    <row r="342" spans="1:2" x14ac:dyDescent="0.3">
      <c r="A342" t="s">
        <v>22</v>
      </c>
      <c r="B342">
        <f t="shared" si="5"/>
        <v>1</v>
      </c>
    </row>
    <row r="343" spans="1:2" x14ac:dyDescent="0.3">
      <c r="A343" t="s">
        <v>22</v>
      </c>
      <c r="B343">
        <f t="shared" si="5"/>
        <v>1</v>
      </c>
    </row>
    <row r="344" spans="1:2" x14ac:dyDescent="0.3">
      <c r="A344" t="s">
        <v>34</v>
      </c>
      <c r="B344">
        <f t="shared" si="5"/>
        <v>0</v>
      </c>
    </row>
    <row r="345" spans="1:2" x14ac:dyDescent="0.3">
      <c r="A345" t="s">
        <v>22</v>
      </c>
      <c r="B345">
        <f t="shared" si="5"/>
        <v>1</v>
      </c>
    </row>
    <row r="346" spans="1:2" x14ac:dyDescent="0.3">
      <c r="A346" t="s">
        <v>22</v>
      </c>
      <c r="B346">
        <f t="shared" si="5"/>
        <v>1</v>
      </c>
    </row>
    <row r="347" spans="1:2" x14ac:dyDescent="0.3">
      <c r="A347" t="s">
        <v>22</v>
      </c>
      <c r="B347">
        <f t="shared" si="5"/>
        <v>1</v>
      </c>
    </row>
    <row r="348" spans="1:2" x14ac:dyDescent="0.3">
      <c r="A348" t="s">
        <v>34</v>
      </c>
      <c r="B348">
        <f t="shared" si="5"/>
        <v>0</v>
      </c>
    </row>
    <row r="349" spans="1:2" x14ac:dyDescent="0.3">
      <c r="A349" t="s">
        <v>22</v>
      </c>
      <c r="B349">
        <f t="shared" si="5"/>
        <v>1</v>
      </c>
    </row>
    <row r="350" spans="1:2" x14ac:dyDescent="0.3">
      <c r="A350" t="s">
        <v>34</v>
      </c>
      <c r="B350">
        <f t="shared" si="5"/>
        <v>0</v>
      </c>
    </row>
    <row r="351" spans="1:2" x14ac:dyDescent="0.3">
      <c r="A351" t="s">
        <v>34</v>
      </c>
      <c r="B351">
        <f t="shared" si="5"/>
        <v>0</v>
      </c>
    </row>
    <row r="352" spans="1:2" x14ac:dyDescent="0.3">
      <c r="A352" t="s">
        <v>22</v>
      </c>
      <c r="B352">
        <f t="shared" si="5"/>
        <v>1</v>
      </c>
    </row>
    <row r="353" spans="1:2" x14ac:dyDescent="0.3">
      <c r="A353" t="s">
        <v>34</v>
      </c>
      <c r="B353">
        <f t="shared" si="5"/>
        <v>0</v>
      </c>
    </row>
    <row r="354" spans="1:2" x14ac:dyDescent="0.3">
      <c r="A354" t="s">
        <v>22</v>
      </c>
      <c r="B354">
        <f t="shared" si="5"/>
        <v>1</v>
      </c>
    </row>
    <row r="355" spans="1:2" x14ac:dyDescent="0.3">
      <c r="A355" t="s">
        <v>22</v>
      </c>
      <c r="B355">
        <f t="shared" si="5"/>
        <v>1</v>
      </c>
    </row>
    <row r="356" spans="1:2" x14ac:dyDescent="0.3">
      <c r="A356" t="s">
        <v>22</v>
      </c>
      <c r="B356">
        <f t="shared" si="5"/>
        <v>1</v>
      </c>
    </row>
    <row r="357" spans="1:2" x14ac:dyDescent="0.3">
      <c r="A357" t="s">
        <v>22</v>
      </c>
      <c r="B357">
        <f t="shared" si="5"/>
        <v>1</v>
      </c>
    </row>
    <row r="358" spans="1:2" x14ac:dyDescent="0.3">
      <c r="A358" t="s">
        <v>34</v>
      </c>
      <c r="B358">
        <f t="shared" si="5"/>
        <v>0</v>
      </c>
    </row>
    <row r="359" spans="1:2" x14ac:dyDescent="0.3">
      <c r="A359" t="s">
        <v>22</v>
      </c>
      <c r="B359">
        <f t="shared" si="5"/>
        <v>1</v>
      </c>
    </row>
    <row r="360" spans="1:2" x14ac:dyDescent="0.3">
      <c r="A360" t="s">
        <v>22</v>
      </c>
      <c r="B360">
        <f t="shared" si="5"/>
        <v>1</v>
      </c>
    </row>
    <row r="361" spans="1:2" x14ac:dyDescent="0.3">
      <c r="A361" t="s">
        <v>22</v>
      </c>
      <c r="B361">
        <f t="shared" si="5"/>
        <v>1</v>
      </c>
    </row>
    <row r="362" spans="1:2" x14ac:dyDescent="0.3">
      <c r="A362" t="s">
        <v>22</v>
      </c>
      <c r="B362">
        <f t="shared" si="5"/>
        <v>1</v>
      </c>
    </row>
    <row r="363" spans="1:2" x14ac:dyDescent="0.3">
      <c r="A363" t="s">
        <v>22</v>
      </c>
      <c r="B363">
        <f t="shared" si="5"/>
        <v>1</v>
      </c>
    </row>
    <row r="364" spans="1:2" x14ac:dyDescent="0.3">
      <c r="A364" t="s">
        <v>22</v>
      </c>
      <c r="B364">
        <f t="shared" si="5"/>
        <v>1</v>
      </c>
    </row>
    <row r="365" spans="1:2" x14ac:dyDescent="0.3">
      <c r="A365" t="s">
        <v>22</v>
      </c>
      <c r="B365">
        <f t="shared" si="5"/>
        <v>1</v>
      </c>
    </row>
    <row r="366" spans="1:2" x14ac:dyDescent="0.3">
      <c r="A366" t="s">
        <v>34</v>
      </c>
      <c r="B366">
        <f t="shared" si="5"/>
        <v>0</v>
      </c>
    </row>
    <row r="367" spans="1:2" x14ac:dyDescent="0.3">
      <c r="A367" t="s">
        <v>34</v>
      </c>
      <c r="B367">
        <f t="shared" si="5"/>
        <v>0</v>
      </c>
    </row>
    <row r="368" spans="1:2" x14ac:dyDescent="0.3">
      <c r="A368" t="s">
        <v>22</v>
      </c>
      <c r="B368">
        <f t="shared" si="5"/>
        <v>1</v>
      </c>
    </row>
    <row r="369" spans="1:2" x14ac:dyDescent="0.3">
      <c r="A369" t="s">
        <v>34</v>
      </c>
      <c r="B369">
        <f t="shared" si="5"/>
        <v>0</v>
      </c>
    </row>
    <row r="370" spans="1:2" x14ac:dyDescent="0.3">
      <c r="A370" t="s">
        <v>34</v>
      </c>
      <c r="B370">
        <f t="shared" si="5"/>
        <v>0</v>
      </c>
    </row>
    <row r="371" spans="1:2" x14ac:dyDescent="0.3">
      <c r="A371" t="s">
        <v>34</v>
      </c>
      <c r="B371">
        <f t="shared" si="5"/>
        <v>0</v>
      </c>
    </row>
    <row r="372" spans="1:2" x14ac:dyDescent="0.3">
      <c r="A372" t="s">
        <v>22</v>
      </c>
      <c r="B372">
        <f t="shared" si="5"/>
        <v>1</v>
      </c>
    </row>
    <row r="373" spans="1:2" x14ac:dyDescent="0.3">
      <c r="A373" t="s">
        <v>34</v>
      </c>
      <c r="B373">
        <f t="shared" si="5"/>
        <v>0</v>
      </c>
    </row>
    <row r="374" spans="1:2" x14ac:dyDescent="0.3">
      <c r="A374" t="s">
        <v>34</v>
      </c>
      <c r="B374">
        <f t="shared" si="5"/>
        <v>0</v>
      </c>
    </row>
    <row r="375" spans="1:2" x14ac:dyDescent="0.3">
      <c r="A375" t="s">
        <v>22</v>
      </c>
      <c r="B375">
        <f t="shared" si="5"/>
        <v>1</v>
      </c>
    </row>
    <row r="376" spans="1:2" x14ac:dyDescent="0.3">
      <c r="A376" t="s">
        <v>22</v>
      </c>
      <c r="B376">
        <f t="shared" si="5"/>
        <v>1</v>
      </c>
    </row>
    <row r="377" spans="1:2" x14ac:dyDescent="0.3">
      <c r="A377" t="s">
        <v>22</v>
      </c>
      <c r="B377">
        <f t="shared" si="5"/>
        <v>1</v>
      </c>
    </row>
    <row r="378" spans="1:2" x14ac:dyDescent="0.3">
      <c r="A378" t="s">
        <v>34</v>
      </c>
      <c r="B378">
        <f t="shared" si="5"/>
        <v>0</v>
      </c>
    </row>
    <row r="379" spans="1:2" x14ac:dyDescent="0.3">
      <c r="A379" t="s">
        <v>34</v>
      </c>
      <c r="B379">
        <f t="shared" si="5"/>
        <v>0</v>
      </c>
    </row>
    <row r="380" spans="1:2" x14ac:dyDescent="0.3">
      <c r="A380" t="s">
        <v>34</v>
      </c>
      <c r="B380">
        <f t="shared" si="5"/>
        <v>0</v>
      </c>
    </row>
    <row r="381" spans="1:2" x14ac:dyDescent="0.3">
      <c r="A381" t="s">
        <v>22</v>
      </c>
      <c r="B381">
        <f t="shared" si="5"/>
        <v>1</v>
      </c>
    </row>
    <row r="382" spans="1:2" x14ac:dyDescent="0.3">
      <c r="A382" t="s">
        <v>34</v>
      </c>
      <c r="B382">
        <f t="shared" si="5"/>
        <v>0</v>
      </c>
    </row>
    <row r="383" spans="1:2" x14ac:dyDescent="0.3">
      <c r="A383" t="s">
        <v>22</v>
      </c>
      <c r="B383">
        <f t="shared" si="5"/>
        <v>1</v>
      </c>
    </row>
    <row r="384" spans="1:2" x14ac:dyDescent="0.3">
      <c r="A384" t="s">
        <v>34</v>
      </c>
      <c r="B384">
        <f t="shared" si="5"/>
        <v>0</v>
      </c>
    </row>
    <row r="385" spans="1:2" x14ac:dyDescent="0.3">
      <c r="A385" t="s">
        <v>22</v>
      </c>
      <c r="B385">
        <f t="shared" si="5"/>
        <v>1</v>
      </c>
    </row>
    <row r="386" spans="1:2" x14ac:dyDescent="0.3">
      <c r="A386" t="s">
        <v>34</v>
      </c>
      <c r="B386">
        <f t="shared" si="5"/>
        <v>0</v>
      </c>
    </row>
    <row r="387" spans="1:2" x14ac:dyDescent="0.3">
      <c r="A387" t="s">
        <v>22</v>
      </c>
      <c r="B387">
        <f t="shared" ref="B387:B450" si="6">IF(A387="Female",1,0)</f>
        <v>1</v>
      </c>
    </row>
    <row r="388" spans="1:2" x14ac:dyDescent="0.3">
      <c r="A388" t="s">
        <v>22</v>
      </c>
      <c r="B388">
        <f t="shared" si="6"/>
        <v>1</v>
      </c>
    </row>
    <row r="389" spans="1:2" x14ac:dyDescent="0.3">
      <c r="A389" t="s">
        <v>34</v>
      </c>
      <c r="B389">
        <f t="shared" si="6"/>
        <v>0</v>
      </c>
    </row>
    <row r="390" spans="1:2" x14ac:dyDescent="0.3">
      <c r="A390" t="s">
        <v>22</v>
      </c>
      <c r="B390">
        <f t="shared" si="6"/>
        <v>1</v>
      </c>
    </row>
    <row r="391" spans="1:2" x14ac:dyDescent="0.3">
      <c r="A391" t="s">
        <v>22</v>
      </c>
      <c r="B391">
        <f t="shared" si="6"/>
        <v>1</v>
      </c>
    </row>
    <row r="392" spans="1:2" x14ac:dyDescent="0.3">
      <c r="A392" t="s">
        <v>22</v>
      </c>
      <c r="B392">
        <f t="shared" si="6"/>
        <v>1</v>
      </c>
    </row>
    <row r="393" spans="1:2" x14ac:dyDescent="0.3">
      <c r="A393" t="s">
        <v>34</v>
      </c>
      <c r="B393">
        <f t="shared" si="6"/>
        <v>0</v>
      </c>
    </row>
    <row r="394" spans="1:2" x14ac:dyDescent="0.3">
      <c r="A394" t="s">
        <v>22</v>
      </c>
      <c r="B394">
        <f t="shared" si="6"/>
        <v>1</v>
      </c>
    </row>
    <row r="395" spans="1:2" x14ac:dyDescent="0.3">
      <c r="A395" t="s">
        <v>34</v>
      </c>
      <c r="B395">
        <f t="shared" si="6"/>
        <v>0</v>
      </c>
    </row>
    <row r="396" spans="1:2" x14ac:dyDescent="0.3">
      <c r="A396" t="s">
        <v>22</v>
      </c>
      <c r="B396">
        <f t="shared" si="6"/>
        <v>1</v>
      </c>
    </row>
    <row r="397" spans="1:2" x14ac:dyDescent="0.3">
      <c r="A397" t="s">
        <v>34</v>
      </c>
      <c r="B397">
        <f t="shared" si="6"/>
        <v>0</v>
      </c>
    </row>
    <row r="398" spans="1:2" x14ac:dyDescent="0.3">
      <c r="A398" t="s">
        <v>34</v>
      </c>
      <c r="B398">
        <f t="shared" si="6"/>
        <v>0</v>
      </c>
    </row>
    <row r="399" spans="1:2" x14ac:dyDescent="0.3">
      <c r="A399" t="s">
        <v>34</v>
      </c>
      <c r="B399">
        <f t="shared" si="6"/>
        <v>0</v>
      </c>
    </row>
    <row r="400" spans="1:2" x14ac:dyDescent="0.3">
      <c r="A400" t="s">
        <v>22</v>
      </c>
      <c r="B400">
        <f t="shared" si="6"/>
        <v>1</v>
      </c>
    </row>
    <row r="401" spans="1:2" x14ac:dyDescent="0.3">
      <c r="A401" t="s">
        <v>22</v>
      </c>
      <c r="B401">
        <f t="shared" si="6"/>
        <v>1</v>
      </c>
    </row>
    <row r="402" spans="1:2" x14ac:dyDescent="0.3">
      <c r="A402" t="s">
        <v>34</v>
      </c>
      <c r="B402">
        <f t="shared" si="6"/>
        <v>0</v>
      </c>
    </row>
    <row r="403" spans="1:2" x14ac:dyDescent="0.3">
      <c r="A403" t="s">
        <v>22</v>
      </c>
      <c r="B403">
        <f t="shared" si="6"/>
        <v>1</v>
      </c>
    </row>
    <row r="404" spans="1:2" x14ac:dyDescent="0.3">
      <c r="A404" t="s">
        <v>22</v>
      </c>
      <c r="B404">
        <f t="shared" si="6"/>
        <v>1</v>
      </c>
    </row>
    <row r="405" spans="1:2" x14ac:dyDescent="0.3">
      <c r="A405" t="s">
        <v>22</v>
      </c>
      <c r="B405">
        <f t="shared" si="6"/>
        <v>1</v>
      </c>
    </row>
    <row r="406" spans="1:2" x14ac:dyDescent="0.3">
      <c r="A406" t="s">
        <v>22</v>
      </c>
      <c r="B406">
        <f t="shared" si="6"/>
        <v>1</v>
      </c>
    </row>
    <row r="407" spans="1:2" x14ac:dyDescent="0.3">
      <c r="A407" t="s">
        <v>34</v>
      </c>
      <c r="B407">
        <f t="shared" si="6"/>
        <v>0</v>
      </c>
    </row>
    <row r="408" spans="1:2" x14ac:dyDescent="0.3">
      <c r="A408" t="s">
        <v>22</v>
      </c>
      <c r="B408">
        <f t="shared" si="6"/>
        <v>1</v>
      </c>
    </row>
    <row r="409" spans="1:2" x14ac:dyDescent="0.3">
      <c r="A409" t="s">
        <v>22</v>
      </c>
      <c r="B409">
        <f t="shared" si="6"/>
        <v>1</v>
      </c>
    </row>
    <row r="410" spans="1:2" x14ac:dyDescent="0.3">
      <c r="A410" t="s">
        <v>22</v>
      </c>
      <c r="B410">
        <f t="shared" si="6"/>
        <v>1</v>
      </c>
    </row>
    <row r="411" spans="1:2" x14ac:dyDescent="0.3">
      <c r="A411" t="s">
        <v>34</v>
      </c>
      <c r="B411">
        <f t="shared" si="6"/>
        <v>0</v>
      </c>
    </row>
    <row r="412" spans="1:2" x14ac:dyDescent="0.3">
      <c r="A412" t="s">
        <v>22</v>
      </c>
      <c r="B412">
        <f t="shared" si="6"/>
        <v>1</v>
      </c>
    </row>
    <row r="413" spans="1:2" x14ac:dyDescent="0.3">
      <c r="A413" t="s">
        <v>22</v>
      </c>
      <c r="B413">
        <f t="shared" si="6"/>
        <v>1</v>
      </c>
    </row>
    <row r="414" spans="1:2" x14ac:dyDescent="0.3">
      <c r="A414" t="s">
        <v>22</v>
      </c>
      <c r="B414">
        <f t="shared" si="6"/>
        <v>1</v>
      </c>
    </row>
    <row r="415" spans="1:2" x14ac:dyDescent="0.3">
      <c r="A415" t="s">
        <v>22</v>
      </c>
      <c r="B415">
        <f t="shared" si="6"/>
        <v>1</v>
      </c>
    </row>
    <row r="416" spans="1:2" x14ac:dyDescent="0.3">
      <c r="A416" t="s">
        <v>22</v>
      </c>
      <c r="B416">
        <f t="shared" si="6"/>
        <v>1</v>
      </c>
    </row>
    <row r="417" spans="1:2" x14ac:dyDescent="0.3">
      <c r="A417" t="s">
        <v>22</v>
      </c>
      <c r="B417">
        <f t="shared" si="6"/>
        <v>1</v>
      </c>
    </row>
    <row r="418" spans="1:2" x14ac:dyDescent="0.3">
      <c r="A418" t="s">
        <v>34</v>
      </c>
      <c r="B418">
        <f t="shared" si="6"/>
        <v>0</v>
      </c>
    </row>
    <row r="419" spans="1:2" x14ac:dyDescent="0.3">
      <c r="A419" t="s">
        <v>22</v>
      </c>
      <c r="B419">
        <f t="shared" si="6"/>
        <v>1</v>
      </c>
    </row>
    <row r="420" spans="1:2" x14ac:dyDescent="0.3">
      <c r="A420" t="s">
        <v>22</v>
      </c>
      <c r="B420">
        <f t="shared" si="6"/>
        <v>1</v>
      </c>
    </row>
    <row r="421" spans="1:2" x14ac:dyDescent="0.3">
      <c r="A421" t="s">
        <v>22</v>
      </c>
      <c r="B421">
        <f t="shared" si="6"/>
        <v>1</v>
      </c>
    </row>
    <row r="422" spans="1:2" x14ac:dyDescent="0.3">
      <c r="A422" t="s">
        <v>34</v>
      </c>
      <c r="B422">
        <f t="shared" si="6"/>
        <v>0</v>
      </c>
    </row>
    <row r="423" spans="1:2" x14ac:dyDescent="0.3">
      <c r="A423" t="s">
        <v>22</v>
      </c>
      <c r="B423">
        <f t="shared" si="6"/>
        <v>1</v>
      </c>
    </row>
    <row r="424" spans="1:2" x14ac:dyDescent="0.3">
      <c r="A424" t="s">
        <v>34</v>
      </c>
      <c r="B424">
        <f t="shared" si="6"/>
        <v>0</v>
      </c>
    </row>
    <row r="425" spans="1:2" x14ac:dyDescent="0.3">
      <c r="A425" t="s">
        <v>22</v>
      </c>
      <c r="B425">
        <f t="shared" si="6"/>
        <v>1</v>
      </c>
    </row>
    <row r="426" spans="1:2" x14ac:dyDescent="0.3">
      <c r="A426" t="s">
        <v>34</v>
      </c>
      <c r="B426">
        <f t="shared" si="6"/>
        <v>0</v>
      </c>
    </row>
    <row r="427" spans="1:2" x14ac:dyDescent="0.3">
      <c r="A427" t="s">
        <v>34</v>
      </c>
      <c r="B427">
        <f t="shared" si="6"/>
        <v>0</v>
      </c>
    </row>
    <row r="428" spans="1:2" x14ac:dyDescent="0.3">
      <c r="A428" t="s">
        <v>34</v>
      </c>
      <c r="B428">
        <f t="shared" si="6"/>
        <v>0</v>
      </c>
    </row>
    <row r="429" spans="1:2" x14ac:dyDescent="0.3">
      <c r="A429" t="s">
        <v>34</v>
      </c>
      <c r="B429">
        <f t="shared" si="6"/>
        <v>0</v>
      </c>
    </row>
    <row r="430" spans="1:2" x14ac:dyDescent="0.3">
      <c r="A430" t="s">
        <v>22</v>
      </c>
      <c r="B430">
        <f t="shared" si="6"/>
        <v>1</v>
      </c>
    </row>
    <row r="431" spans="1:2" x14ac:dyDescent="0.3">
      <c r="A431" t="s">
        <v>22</v>
      </c>
      <c r="B431">
        <f t="shared" si="6"/>
        <v>1</v>
      </c>
    </row>
    <row r="432" spans="1:2" x14ac:dyDescent="0.3">
      <c r="A432" t="s">
        <v>22</v>
      </c>
      <c r="B432">
        <f t="shared" si="6"/>
        <v>1</v>
      </c>
    </row>
    <row r="433" spans="1:2" x14ac:dyDescent="0.3">
      <c r="A433" t="s">
        <v>34</v>
      </c>
      <c r="B433">
        <f t="shared" si="6"/>
        <v>0</v>
      </c>
    </row>
    <row r="434" spans="1:2" x14ac:dyDescent="0.3">
      <c r="A434" t="s">
        <v>34</v>
      </c>
      <c r="B434">
        <f t="shared" si="6"/>
        <v>0</v>
      </c>
    </row>
    <row r="435" spans="1:2" x14ac:dyDescent="0.3">
      <c r="A435" t="s">
        <v>22</v>
      </c>
      <c r="B435">
        <f t="shared" si="6"/>
        <v>1</v>
      </c>
    </row>
    <row r="436" spans="1:2" x14ac:dyDescent="0.3">
      <c r="A436" t="s">
        <v>34</v>
      </c>
      <c r="B436">
        <f t="shared" si="6"/>
        <v>0</v>
      </c>
    </row>
    <row r="437" spans="1:2" x14ac:dyDescent="0.3">
      <c r="A437" t="s">
        <v>22</v>
      </c>
      <c r="B437">
        <f t="shared" si="6"/>
        <v>1</v>
      </c>
    </row>
    <row r="438" spans="1:2" x14ac:dyDescent="0.3">
      <c r="A438" t="s">
        <v>34</v>
      </c>
      <c r="B438">
        <f t="shared" si="6"/>
        <v>0</v>
      </c>
    </row>
    <row r="439" spans="1:2" x14ac:dyDescent="0.3">
      <c r="A439" t="s">
        <v>34</v>
      </c>
      <c r="B439">
        <f t="shared" si="6"/>
        <v>0</v>
      </c>
    </row>
    <row r="440" spans="1:2" x14ac:dyDescent="0.3">
      <c r="A440" t="s">
        <v>22</v>
      </c>
      <c r="B440">
        <f t="shared" si="6"/>
        <v>1</v>
      </c>
    </row>
    <row r="441" spans="1:2" x14ac:dyDescent="0.3">
      <c r="A441" t="s">
        <v>34</v>
      </c>
      <c r="B441">
        <f t="shared" si="6"/>
        <v>0</v>
      </c>
    </row>
    <row r="442" spans="1:2" x14ac:dyDescent="0.3">
      <c r="A442" t="s">
        <v>34</v>
      </c>
      <c r="B442">
        <f t="shared" si="6"/>
        <v>0</v>
      </c>
    </row>
    <row r="443" spans="1:2" x14ac:dyDescent="0.3">
      <c r="A443" t="s">
        <v>34</v>
      </c>
      <c r="B443">
        <f t="shared" si="6"/>
        <v>0</v>
      </c>
    </row>
    <row r="444" spans="1:2" x14ac:dyDescent="0.3">
      <c r="A444" t="s">
        <v>34</v>
      </c>
      <c r="B444">
        <f t="shared" si="6"/>
        <v>0</v>
      </c>
    </row>
    <row r="445" spans="1:2" x14ac:dyDescent="0.3">
      <c r="A445" t="s">
        <v>34</v>
      </c>
      <c r="B445">
        <f t="shared" si="6"/>
        <v>0</v>
      </c>
    </row>
    <row r="446" spans="1:2" x14ac:dyDescent="0.3">
      <c r="A446" t="s">
        <v>34</v>
      </c>
      <c r="B446">
        <f t="shared" si="6"/>
        <v>0</v>
      </c>
    </row>
    <row r="447" spans="1:2" x14ac:dyDescent="0.3">
      <c r="A447" t="s">
        <v>34</v>
      </c>
      <c r="B447">
        <f t="shared" si="6"/>
        <v>0</v>
      </c>
    </row>
    <row r="448" spans="1:2" x14ac:dyDescent="0.3">
      <c r="A448" t="s">
        <v>22</v>
      </c>
      <c r="B448">
        <f t="shared" si="6"/>
        <v>1</v>
      </c>
    </row>
    <row r="449" spans="1:2" x14ac:dyDescent="0.3">
      <c r="A449" t="s">
        <v>34</v>
      </c>
      <c r="B449">
        <f t="shared" si="6"/>
        <v>0</v>
      </c>
    </row>
    <row r="450" spans="1:2" x14ac:dyDescent="0.3">
      <c r="A450" t="s">
        <v>22</v>
      </c>
      <c r="B450">
        <f t="shared" si="6"/>
        <v>1</v>
      </c>
    </row>
    <row r="451" spans="1:2" x14ac:dyDescent="0.3">
      <c r="A451" t="s">
        <v>34</v>
      </c>
      <c r="B451">
        <f t="shared" ref="B451:B514" si="7">IF(A451="Female",1,0)</f>
        <v>0</v>
      </c>
    </row>
    <row r="452" spans="1:2" x14ac:dyDescent="0.3">
      <c r="A452" t="s">
        <v>34</v>
      </c>
      <c r="B452">
        <f t="shared" si="7"/>
        <v>0</v>
      </c>
    </row>
    <row r="453" spans="1:2" x14ac:dyDescent="0.3">
      <c r="A453" t="s">
        <v>22</v>
      </c>
      <c r="B453">
        <f t="shared" si="7"/>
        <v>1</v>
      </c>
    </row>
    <row r="454" spans="1:2" x14ac:dyDescent="0.3">
      <c r="A454" t="s">
        <v>34</v>
      </c>
      <c r="B454">
        <f t="shared" si="7"/>
        <v>0</v>
      </c>
    </row>
    <row r="455" spans="1:2" x14ac:dyDescent="0.3">
      <c r="A455" t="s">
        <v>34</v>
      </c>
      <c r="B455">
        <f t="shared" si="7"/>
        <v>0</v>
      </c>
    </row>
    <row r="456" spans="1:2" x14ac:dyDescent="0.3">
      <c r="A456" t="s">
        <v>22</v>
      </c>
      <c r="B456">
        <f t="shared" si="7"/>
        <v>1</v>
      </c>
    </row>
    <row r="457" spans="1:2" x14ac:dyDescent="0.3">
      <c r="A457" t="s">
        <v>34</v>
      </c>
      <c r="B457">
        <f t="shared" si="7"/>
        <v>0</v>
      </c>
    </row>
    <row r="458" spans="1:2" x14ac:dyDescent="0.3">
      <c r="A458" t="s">
        <v>34</v>
      </c>
      <c r="B458">
        <f t="shared" si="7"/>
        <v>0</v>
      </c>
    </row>
    <row r="459" spans="1:2" x14ac:dyDescent="0.3">
      <c r="A459" t="s">
        <v>34</v>
      </c>
      <c r="B459">
        <f t="shared" si="7"/>
        <v>0</v>
      </c>
    </row>
    <row r="460" spans="1:2" x14ac:dyDescent="0.3">
      <c r="A460" t="s">
        <v>34</v>
      </c>
      <c r="B460">
        <f t="shared" si="7"/>
        <v>0</v>
      </c>
    </row>
    <row r="461" spans="1:2" x14ac:dyDescent="0.3">
      <c r="A461" t="s">
        <v>22</v>
      </c>
      <c r="B461">
        <f t="shared" si="7"/>
        <v>1</v>
      </c>
    </row>
    <row r="462" spans="1:2" x14ac:dyDescent="0.3">
      <c r="A462" t="s">
        <v>22</v>
      </c>
      <c r="B462">
        <f t="shared" si="7"/>
        <v>1</v>
      </c>
    </row>
    <row r="463" spans="1:2" x14ac:dyDescent="0.3">
      <c r="A463" t="s">
        <v>22</v>
      </c>
      <c r="B463">
        <f t="shared" si="7"/>
        <v>1</v>
      </c>
    </row>
    <row r="464" spans="1:2" x14ac:dyDescent="0.3">
      <c r="A464" t="s">
        <v>34</v>
      </c>
      <c r="B464">
        <f t="shared" si="7"/>
        <v>0</v>
      </c>
    </row>
    <row r="465" spans="1:2" x14ac:dyDescent="0.3">
      <c r="A465" t="s">
        <v>22</v>
      </c>
      <c r="B465">
        <f t="shared" si="7"/>
        <v>1</v>
      </c>
    </row>
    <row r="466" spans="1:2" x14ac:dyDescent="0.3">
      <c r="A466" t="s">
        <v>22</v>
      </c>
      <c r="B466">
        <f t="shared" si="7"/>
        <v>1</v>
      </c>
    </row>
    <row r="467" spans="1:2" x14ac:dyDescent="0.3">
      <c r="A467" t="s">
        <v>22</v>
      </c>
      <c r="B467">
        <f t="shared" si="7"/>
        <v>1</v>
      </c>
    </row>
    <row r="468" spans="1:2" x14ac:dyDescent="0.3">
      <c r="A468" t="s">
        <v>34</v>
      </c>
      <c r="B468">
        <f t="shared" si="7"/>
        <v>0</v>
      </c>
    </row>
    <row r="469" spans="1:2" x14ac:dyDescent="0.3">
      <c r="A469" t="s">
        <v>22</v>
      </c>
      <c r="B469">
        <f t="shared" si="7"/>
        <v>1</v>
      </c>
    </row>
    <row r="470" spans="1:2" x14ac:dyDescent="0.3">
      <c r="A470" t="s">
        <v>22</v>
      </c>
      <c r="B470">
        <f t="shared" si="7"/>
        <v>1</v>
      </c>
    </row>
    <row r="471" spans="1:2" x14ac:dyDescent="0.3">
      <c r="A471" t="s">
        <v>22</v>
      </c>
      <c r="B471">
        <f t="shared" si="7"/>
        <v>1</v>
      </c>
    </row>
    <row r="472" spans="1:2" x14ac:dyDescent="0.3">
      <c r="A472" t="s">
        <v>22</v>
      </c>
      <c r="B472">
        <f t="shared" si="7"/>
        <v>1</v>
      </c>
    </row>
    <row r="473" spans="1:2" x14ac:dyDescent="0.3">
      <c r="A473" t="s">
        <v>22</v>
      </c>
      <c r="B473">
        <f t="shared" si="7"/>
        <v>1</v>
      </c>
    </row>
    <row r="474" spans="1:2" x14ac:dyDescent="0.3">
      <c r="A474" t="s">
        <v>22</v>
      </c>
      <c r="B474">
        <f t="shared" si="7"/>
        <v>1</v>
      </c>
    </row>
    <row r="475" spans="1:2" x14ac:dyDescent="0.3">
      <c r="A475" t="s">
        <v>34</v>
      </c>
      <c r="B475">
        <f t="shared" si="7"/>
        <v>0</v>
      </c>
    </row>
    <row r="476" spans="1:2" x14ac:dyDescent="0.3">
      <c r="A476" t="s">
        <v>34</v>
      </c>
      <c r="B476">
        <f t="shared" si="7"/>
        <v>0</v>
      </c>
    </row>
    <row r="477" spans="1:2" x14ac:dyDescent="0.3">
      <c r="A477" t="s">
        <v>22</v>
      </c>
      <c r="B477">
        <f t="shared" si="7"/>
        <v>1</v>
      </c>
    </row>
    <row r="478" spans="1:2" x14ac:dyDescent="0.3">
      <c r="A478" t="s">
        <v>22</v>
      </c>
      <c r="B478">
        <f t="shared" si="7"/>
        <v>1</v>
      </c>
    </row>
    <row r="479" spans="1:2" x14ac:dyDescent="0.3">
      <c r="A479" t="s">
        <v>22</v>
      </c>
      <c r="B479">
        <f t="shared" si="7"/>
        <v>1</v>
      </c>
    </row>
    <row r="480" spans="1:2" x14ac:dyDescent="0.3">
      <c r="A480" t="s">
        <v>22</v>
      </c>
      <c r="B480">
        <f t="shared" si="7"/>
        <v>1</v>
      </c>
    </row>
    <row r="481" spans="1:2" x14ac:dyDescent="0.3">
      <c r="A481" t="s">
        <v>34</v>
      </c>
      <c r="B481">
        <f t="shared" si="7"/>
        <v>0</v>
      </c>
    </row>
    <row r="482" spans="1:2" x14ac:dyDescent="0.3">
      <c r="A482" t="s">
        <v>22</v>
      </c>
      <c r="B482">
        <f t="shared" si="7"/>
        <v>1</v>
      </c>
    </row>
    <row r="483" spans="1:2" x14ac:dyDescent="0.3">
      <c r="A483" t="s">
        <v>22</v>
      </c>
      <c r="B483">
        <f t="shared" si="7"/>
        <v>1</v>
      </c>
    </row>
    <row r="484" spans="1:2" x14ac:dyDescent="0.3">
      <c r="A484" t="s">
        <v>34</v>
      </c>
      <c r="B484">
        <f t="shared" si="7"/>
        <v>0</v>
      </c>
    </row>
    <row r="485" spans="1:2" x14ac:dyDescent="0.3">
      <c r="A485" t="s">
        <v>22</v>
      </c>
      <c r="B485">
        <f t="shared" si="7"/>
        <v>1</v>
      </c>
    </row>
    <row r="486" spans="1:2" x14ac:dyDescent="0.3">
      <c r="A486" t="s">
        <v>22</v>
      </c>
      <c r="B486">
        <f t="shared" si="7"/>
        <v>1</v>
      </c>
    </row>
    <row r="487" spans="1:2" x14ac:dyDescent="0.3">
      <c r="A487" t="s">
        <v>34</v>
      </c>
      <c r="B487">
        <f t="shared" si="7"/>
        <v>0</v>
      </c>
    </row>
    <row r="488" spans="1:2" x14ac:dyDescent="0.3">
      <c r="A488" t="s">
        <v>22</v>
      </c>
      <c r="B488">
        <f t="shared" si="7"/>
        <v>1</v>
      </c>
    </row>
    <row r="489" spans="1:2" x14ac:dyDescent="0.3">
      <c r="A489" t="s">
        <v>34</v>
      </c>
      <c r="B489">
        <f t="shared" si="7"/>
        <v>0</v>
      </c>
    </row>
    <row r="490" spans="1:2" x14ac:dyDescent="0.3">
      <c r="A490" t="s">
        <v>34</v>
      </c>
      <c r="B490">
        <f t="shared" si="7"/>
        <v>0</v>
      </c>
    </row>
    <row r="491" spans="1:2" x14ac:dyDescent="0.3">
      <c r="A491" t="s">
        <v>22</v>
      </c>
      <c r="B491">
        <f t="shared" si="7"/>
        <v>1</v>
      </c>
    </row>
    <row r="492" spans="1:2" x14ac:dyDescent="0.3">
      <c r="A492" t="s">
        <v>22</v>
      </c>
      <c r="B492">
        <f t="shared" si="7"/>
        <v>1</v>
      </c>
    </row>
    <row r="493" spans="1:2" x14ac:dyDescent="0.3">
      <c r="A493" t="s">
        <v>34</v>
      </c>
      <c r="B493">
        <f t="shared" si="7"/>
        <v>0</v>
      </c>
    </row>
    <row r="494" spans="1:2" x14ac:dyDescent="0.3">
      <c r="A494" t="s">
        <v>22</v>
      </c>
      <c r="B494">
        <f t="shared" si="7"/>
        <v>1</v>
      </c>
    </row>
    <row r="495" spans="1:2" x14ac:dyDescent="0.3">
      <c r="A495" t="s">
        <v>22</v>
      </c>
      <c r="B495">
        <f t="shared" si="7"/>
        <v>1</v>
      </c>
    </row>
    <row r="496" spans="1:2" x14ac:dyDescent="0.3">
      <c r="A496" t="s">
        <v>22</v>
      </c>
      <c r="B496">
        <f t="shared" si="7"/>
        <v>1</v>
      </c>
    </row>
    <row r="497" spans="1:2" x14ac:dyDescent="0.3">
      <c r="A497" t="s">
        <v>34</v>
      </c>
      <c r="B497">
        <f t="shared" si="7"/>
        <v>0</v>
      </c>
    </row>
    <row r="498" spans="1:2" x14ac:dyDescent="0.3">
      <c r="A498" t="s">
        <v>34</v>
      </c>
      <c r="B498">
        <f t="shared" si="7"/>
        <v>0</v>
      </c>
    </row>
    <row r="499" spans="1:2" x14ac:dyDescent="0.3">
      <c r="A499" t="s">
        <v>34</v>
      </c>
      <c r="B499">
        <f t="shared" si="7"/>
        <v>0</v>
      </c>
    </row>
    <row r="500" spans="1:2" x14ac:dyDescent="0.3">
      <c r="A500" t="s">
        <v>34</v>
      </c>
      <c r="B500">
        <f t="shared" si="7"/>
        <v>0</v>
      </c>
    </row>
    <row r="501" spans="1:2" x14ac:dyDescent="0.3">
      <c r="A501" t="s">
        <v>22</v>
      </c>
      <c r="B501">
        <f t="shared" si="7"/>
        <v>1</v>
      </c>
    </row>
    <row r="502" spans="1:2" x14ac:dyDescent="0.3">
      <c r="A502" t="s">
        <v>34</v>
      </c>
      <c r="B502">
        <f t="shared" si="7"/>
        <v>0</v>
      </c>
    </row>
    <row r="503" spans="1:2" x14ac:dyDescent="0.3">
      <c r="A503" t="s">
        <v>34</v>
      </c>
      <c r="B503">
        <f t="shared" si="7"/>
        <v>0</v>
      </c>
    </row>
    <row r="504" spans="1:2" x14ac:dyDescent="0.3">
      <c r="A504" t="s">
        <v>22</v>
      </c>
      <c r="B504">
        <f t="shared" si="7"/>
        <v>1</v>
      </c>
    </row>
    <row r="505" spans="1:2" x14ac:dyDescent="0.3">
      <c r="A505" t="s">
        <v>34</v>
      </c>
      <c r="B505">
        <f t="shared" si="7"/>
        <v>0</v>
      </c>
    </row>
    <row r="506" spans="1:2" x14ac:dyDescent="0.3">
      <c r="A506" t="s">
        <v>34</v>
      </c>
      <c r="B506">
        <f t="shared" si="7"/>
        <v>0</v>
      </c>
    </row>
    <row r="507" spans="1:2" x14ac:dyDescent="0.3">
      <c r="A507" t="s">
        <v>34</v>
      </c>
      <c r="B507">
        <f t="shared" si="7"/>
        <v>0</v>
      </c>
    </row>
    <row r="508" spans="1:2" x14ac:dyDescent="0.3">
      <c r="A508" t="s">
        <v>22</v>
      </c>
      <c r="B508">
        <f t="shared" si="7"/>
        <v>1</v>
      </c>
    </row>
    <row r="509" spans="1:2" x14ac:dyDescent="0.3">
      <c r="A509" t="s">
        <v>34</v>
      </c>
      <c r="B509">
        <f t="shared" si="7"/>
        <v>0</v>
      </c>
    </row>
    <row r="510" spans="1:2" x14ac:dyDescent="0.3">
      <c r="A510" t="s">
        <v>34</v>
      </c>
      <c r="B510">
        <f t="shared" si="7"/>
        <v>0</v>
      </c>
    </row>
    <row r="511" spans="1:2" x14ac:dyDescent="0.3">
      <c r="A511" t="s">
        <v>34</v>
      </c>
      <c r="B511">
        <f t="shared" si="7"/>
        <v>0</v>
      </c>
    </row>
    <row r="512" spans="1:2" x14ac:dyDescent="0.3">
      <c r="A512" t="s">
        <v>22</v>
      </c>
      <c r="B512">
        <f t="shared" si="7"/>
        <v>1</v>
      </c>
    </row>
    <row r="513" spans="1:2" x14ac:dyDescent="0.3">
      <c r="A513" t="s">
        <v>22</v>
      </c>
      <c r="B513">
        <f t="shared" si="7"/>
        <v>1</v>
      </c>
    </row>
    <row r="514" spans="1:2" x14ac:dyDescent="0.3">
      <c r="A514" t="s">
        <v>22</v>
      </c>
      <c r="B514">
        <f t="shared" si="7"/>
        <v>1</v>
      </c>
    </row>
    <row r="515" spans="1:2" x14ac:dyDescent="0.3">
      <c r="A515" t="s">
        <v>22</v>
      </c>
      <c r="B515">
        <f t="shared" ref="B515:B578" si="8">IF(A515="Female",1,0)</f>
        <v>1</v>
      </c>
    </row>
    <row r="516" spans="1:2" x14ac:dyDescent="0.3">
      <c r="A516" t="s">
        <v>22</v>
      </c>
      <c r="B516">
        <f t="shared" si="8"/>
        <v>1</v>
      </c>
    </row>
    <row r="517" spans="1:2" x14ac:dyDescent="0.3">
      <c r="A517" t="s">
        <v>22</v>
      </c>
      <c r="B517">
        <f t="shared" si="8"/>
        <v>1</v>
      </c>
    </row>
    <row r="518" spans="1:2" x14ac:dyDescent="0.3">
      <c r="A518" t="s">
        <v>34</v>
      </c>
      <c r="B518">
        <f t="shared" si="8"/>
        <v>0</v>
      </c>
    </row>
    <row r="519" spans="1:2" x14ac:dyDescent="0.3">
      <c r="A519" t="s">
        <v>22</v>
      </c>
      <c r="B519">
        <f t="shared" si="8"/>
        <v>1</v>
      </c>
    </row>
    <row r="520" spans="1:2" x14ac:dyDescent="0.3">
      <c r="A520" t="s">
        <v>34</v>
      </c>
      <c r="B520">
        <f t="shared" si="8"/>
        <v>0</v>
      </c>
    </row>
    <row r="521" spans="1:2" x14ac:dyDescent="0.3">
      <c r="A521" t="s">
        <v>34</v>
      </c>
      <c r="B521">
        <f t="shared" si="8"/>
        <v>0</v>
      </c>
    </row>
    <row r="522" spans="1:2" x14ac:dyDescent="0.3">
      <c r="A522" t="s">
        <v>22</v>
      </c>
      <c r="B522">
        <f t="shared" si="8"/>
        <v>1</v>
      </c>
    </row>
    <row r="523" spans="1:2" x14ac:dyDescent="0.3">
      <c r="A523" t="s">
        <v>34</v>
      </c>
      <c r="B523">
        <f t="shared" si="8"/>
        <v>0</v>
      </c>
    </row>
    <row r="524" spans="1:2" x14ac:dyDescent="0.3">
      <c r="A524" t="s">
        <v>22</v>
      </c>
      <c r="B524">
        <f t="shared" si="8"/>
        <v>1</v>
      </c>
    </row>
    <row r="525" spans="1:2" x14ac:dyDescent="0.3">
      <c r="A525" t="s">
        <v>34</v>
      </c>
      <c r="B525">
        <f t="shared" si="8"/>
        <v>0</v>
      </c>
    </row>
    <row r="526" spans="1:2" x14ac:dyDescent="0.3">
      <c r="A526" t="s">
        <v>34</v>
      </c>
      <c r="B526">
        <f t="shared" si="8"/>
        <v>0</v>
      </c>
    </row>
    <row r="527" spans="1:2" x14ac:dyDescent="0.3">
      <c r="A527" t="s">
        <v>22</v>
      </c>
      <c r="B527">
        <f t="shared" si="8"/>
        <v>1</v>
      </c>
    </row>
    <row r="528" spans="1:2" x14ac:dyDescent="0.3">
      <c r="A528" t="s">
        <v>34</v>
      </c>
      <c r="B528">
        <f t="shared" si="8"/>
        <v>0</v>
      </c>
    </row>
    <row r="529" spans="1:2" x14ac:dyDescent="0.3">
      <c r="A529" t="s">
        <v>34</v>
      </c>
      <c r="B529">
        <f t="shared" si="8"/>
        <v>0</v>
      </c>
    </row>
    <row r="530" spans="1:2" x14ac:dyDescent="0.3">
      <c r="A530" t="s">
        <v>34</v>
      </c>
      <c r="B530">
        <f t="shared" si="8"/>
        <v>0</v>
      </c>
    </row>
    <row r="531" spans="1:2" x14ac:dyDescent="0.3">
      <c r="A531" t="s">
        <v>22</v>
      </c>
      <c r="B531">
        <f t="shared" si="8"/>
        <v>1</v>
      </c>
    </row>
    <row r="532" spans="1:2" x14ac:dyDescent="0.3">
      <c r="A532" t="s">
        <v>22</v>
      </c>
      <c r="B532">
        <f t="shared" si="8"/>
        <v>1</v>
      </c>
    </row>
    <row r="533" spans="1:2" x14ac:dyDescent="0.3">
      <c r="A533" t="s">
        <v>22</v>
      </c>
      <c r="B533">
        <f t="shared" si="8"/>
        <v>1</v>
      </c>
    </row>
    <row r="534" spans="1:2" x14ac:dyDescent="0.3">
      <c r="A534" t="s">
        <v>34</v>
      </c>
      <c r="B534">
        <f t="shared" si="8"/>
        <v>0</v>
      </c>
    </row>
    <row r="535" spans="1:2" x14ac:dyDescent="0.3">
      <c r="A535" t="s">
        <v>34</v>
      </c>
      <c r="B535">
        <f t="shared" si="8"/>
        <v>0</v>
      </c>
    </row>
    <row r="536" spans="1:2" x14ac:dyDescent="0.3">
      <c r="A536" t="s">
        <v>22</v>
      </c>
      <c r="B536">
        <f t="shared" si="8"/>
        <v>1</v>
      </c>
    </row>
    <row r="537" spans="1:2" x14ac:dyDescent="0.3">
      <c r="A537" t="s">
        <v>22</v>
      </c>
      <c r="B537">
        <f t="shared" si="8"/>
        <v>1</v>
      </c>
    </row>
    <row r="538" spans="1:2" x14ac:dyDescent="0.3">
      <c r="A538" t="s">
        <v>34</v>
      </c>
      <c r="B538">
        <f t="shared" si="8"/>
        <v>0</v>
      </c>
    </row>
    <row r="539" spans="1:2" x14ac:dyDescent="0.3">
      <c r="A539" t="s">
        <v>34</v>
      </c>
      <c r="B539">
        <f t="shared" si="8"/>
        <v>0</v>
      </c>
    </row>
    <row r="540" spans="1:2" x14ac:dyDescent="0.3">
      <c r="A540" t="s">
        <v>34</v>
      </c>
      <c r="B540">
        <f t="shared" si="8"/>
        <v>0</v>
      </c>
    </row>
    <row r="541" spans="1:2" x14ac:dyDescent="0.3">
      <c r="A541" t="s">
        <v>22</v>
      </c>
      <c r="B541">
        <f t="shared" si="8"/>
        <v>1</v>
      </c>
    </row>
    <row r="542" spans="1:2" x14ac:dyDescent="0.3">
      <c r="A542" t="s">
        <v>22</v>
      </c>
      <c r="B542">
        <f t="shared" si="8"/>
        <v>1</v>
      </c>
    </row>
    <row r="543" spans="1:2" x14ac:dyDescent="0.3">
      <c r="A543" t="s">
        <v>22</v>
      </c>
      <c r="B543">
        <f t="shared" si="8"/>
        <v>1</v>
      </c>
    </row>
    <row r="544" spans="1:2" x14ac:dyDescent="0.3">
      <c r="A544" t="s">
        <v>22</v>
      </c>
      <c r="B544">
        <f t="shared" si="8"/>
        <v>1</v>
      </c>
    </row>
    <row r="545" spans="1:2" x14ac:dyDescent="0.3">
      <c r="A545" t="s">
        <v>34</v>
      </c>
      <c r="B545">
        <f t="shared" si="8"/>
        <v>0</v>
      </c>
    </row>
    <row r="546" spans="1:2" x14ac:dyDescent="0.3">
      <c r="A546" t="s">
        <v>22</v>
      </c>
      <c r="B546">
        <f t="shared" si="8"/>
        <v>1</v>
      </c>
    </row>
    <row r="547" spans="1:2" x14ac:dyDescent="0.3">
      <c r="A547" t="s">
        <v>22</v>
      </c>
      <c r="B547">
        <f t="shared" si="8"/>
        <v>1</v>
      </c>
    </row>
    <row r="548" spans="1:2" x14ac:dyDescent="0.3">
      <c r="A548" t="s">
        <v>34</v>
      </c>
      <c r="B548">
        <f t="shared" si="8"/>
        <v>0</v>
      </c>
    </row>
    <row r="549" spans="1:2" x14ac:dyDescent="0.3">
      <c r="A549" t="s">
        <v>22</v>
      </c>
      <c r="B549">
        <f t="shared" si="8"/>
        <v>1</v>
      </c>
    </row>
    <row r="550" spans="1:2" x14ac:dyDescent="0.3">
      <c r="A550" t="s">
        <v>22</v>
      </c>
      <c r="B550">
        <f t="shared" si="8"/>
        <v>1</v>
      </c>
    </row>
    <row r="551" spans="1:2" x14ac:dyDescent="0.3">
      <c r="A551" t="s">
        <v>22</v>
      </c>
      <c r="B551">
        <f t="shared" si="8"/>
        <v>1</v>
      </c>
    </row>
    <row r="552" spans="1:2" x14ac:dyDescent="0.3">
      <c r="A552" t="s">
        <v>22</v>
      </c>
      <c r="B552">
        <f t="shared" si="8"/>
        <v>1</v>
      </c>
    </row>
    <row r="553" spans="1:2" x14ac:dyDescent="0.3">
      <c r="A553" t="s">
        <v>34</v>
      </c>
      <c r="B553">
        <f t="shared" si="8"/>
        <v>0</v>
      </c>
    </row>
    <row r="554" spans="1:2" x14ac:dyDescent="0.3">
      <c r="A554" t="s">
        <v>34</v>
      </c>
      <c r="B554">
        <f t="shared" si="8"/>
        <v>0</v>
      </c>
    </row>
    <row r="555" spans="1:2" x14ac:dyDescent="0.3">
      <c r="A555" t="s">
        <v>22</v>
      </c>
      <c r="B555">
        <f t="shared" si="8"/>
        <v>1</v>
      </c>
    </row>
    <row r="556" spans="1:2" x14ac:dyDescent="0.3">
      <c r="A556" t="s">
        <v>22</v>
      </c>
      <c r="B556">
        <f t="shared" si="8"/>
        <v>1</v>
      </c>
    </row>
    <row r="557" spans="1:2" x14ac:dyDescent="0.3">
      <c r="A557" t="s">
        <v>22</v>
      </c>
      <c r="B557">
        <f t="shared" si="8"/>
        <v>1</v>
      </c>
    </row>
    <row r="558" spans="1:2" x14ac:dyDescent="0.3">
      <c r="A558" t="s">
        <v>34</v>
      </c>
      <c r="B558">
        <f t="shared" si="8"/>
        <v>0</v>
      </c>
    </row>
    <row r="559" spans="1:2" x14ac:dyDescent="0.3">
      <c r="A559" t="s">
        <v>34</v>
      </c>
      <c r="B559">
        <f t="shared" si="8"/>
        <v>0</v>
      </c>
    </row>
    <row r="560" spans="1:2" x14ac:dyDescent="0.3">
      <c r="A560" t="s">
        <v>22</v>
      </c>
      <c r="B560">
        <f t="shared" si="8"/>
        <v>1</v>
      </c>
    </row>
    <row r="561" spans="1:2" x14ac:dyDescent="0.3">
      <c r="A561" t="s">
        <v>22</v>
      </c>
      <c r="B561">
        <f t="shared" si="8"/>
        <v>1</v>
      </c>
    </row>
    <row r="562" spans="1:2" x14ac:dyDescent="0.3">
      <c r="A562" t="s">
        <v>22</v>
      </c>
      <c r="B562">
        <f t="shared" si="8"/>
        <v>1</v>
      </c>
    </row>
    <row r="563" spans="1:2" x14ac:dyDescent="0.3">
      <c r="A563" t="s">
        <v>22</v>
      </c>
      <c r="B563">
        <f t="shared" si="8"/>
        <v>1</v>
      </c>
    </row>
    <row r="564" spans="1:2" x14ac:dyDescent="0.3">
      <c r="A564" t="s">
        <v>22</v>
      </c>
      <c r="B564">
        <f t="shared" si="8"/>
        <v>1</v>
      </c>
    </row>
    <row r="565" spans="1:2" x14ac:dyDescent="0.3">
      <c r="A565" t="s">
        <v>22</v>
      </c>
      <c r="B565">
        <f t="shared" si="8"/>
        <v>1</v>
      </c>
    </row>
    <row r="566" spans="1:2" x14ac:dyDescent="0.3">
      <c r="A566" t="s">
        <v>34</v>
      </c>
      <c r="B566">
        <f t="shared" si="8"/>
        <v>0</v>
      </c>
    </row>
    <row r="567" spans="1:2" x14ac:dyDescent="0.3">
      <c r="A567" t="s">
        <v>22</v>
      </c>
      <c r="B567">
        <f t="shared" si="8"/>
        <v>1</v>
      </c>
    </row>
    <row r="568" spans="1:2" x14ac:dyDescent="0.3">
      <c r="A568" t="s">
        <v>22</v>
      </c>
      <c r="B568">
        <f t="shared" si="8"/>
        <v>1</v>
      </c>
    </row>
    <row r="569" spans="1:2" x14ac:dyDescent="0.3">
      <c r="A569" t="s">
        <v>34</v>
      </c>
      <c r="B569">
        <f t="shared" si="8"/>
        <v>0</v>
      </c>
    </row>
    <row r="570" spans="1:2" x14ac:dyDescent="0.3">
      <c r="A570" t="s">
        <v>22</v>
      </c>
      <c r="B570">
        <f t="shared" si="8"/>
        <v>1</v>
      </c>
    </row>
    <row r="571" spans="1:2" x14ac:dyDescent="0.3">
      <c r="A571" t="s">
        <v>22</v>
      </c>
      <c r="B571">
        <f t="shared" si="8"/>
        <v>1</v>
      </c>
    </row>
    <row r="572" spans="1:2" x14ac:dyDescent="0.3">
      <c r="A572" t="s">
        <v>34</v>
      </c>
      <c r="B572">
        <f t="shared" si="8"/>
        <v>0</v>
      </c>
    </row>
    <row r="573" spans="1:2" x14ac:dyDescent="0.3">
      <c r="A573" t="s">
        <v>34</v>
      </c>
      <c r="B573">
        <f t="shared" si="8"/>
        <v>0</v>
      </c>
    </row>
    <row r="574" spans="1:2" x14ac:dyDescent="0.3">
      <c r="A574" t="s">
        <v>22</v>
      </c>
      <c r="B574">
        <f t="shared" si="8"/>
        <v>1</v>
      </c>
    </row>
    <row r="575" spans="1:2" x14ac:dyDescent="0.3">
      <c r="A575" t="s">
        <v>34</v>
      </c>
      <c r="B575">
        <f t="shared" si="8"/>
        <v>0</v>
      </c>
    </row>
    <row r="576" spans="1:2" x14ac:dyDescent="0.3">
      <c r="A576" t="s">
        <v>34</v>
      </c>
      <c r="B576">
        <f t="shared" si="8"/>
        <v>0</v>
      </c>
    </row>
    <row r="577" spans="1:2" x14ac:dyDescent="0.3">
      <c r="A577" t="s">
        <v>22</v>
      </c>
      <c r="B577">
        <f t="shared" si="8"/>
        <v>1</v>
      </c>
    </row>
    <row r="578" spans="1:2" x14ac:dyDescent="0.3">
      <c r="A578" t="s">
        <v>22</v>
      </c>
      <c r="B578">
        <f t="shared" si="8"/>
        <v>1</v>
      </c>
    </row>
    <row r="579" spans="1:2" x14ac:dyDescent="0.3">
      <c r="A579" t="s">
        <v>22</v>
      </c>
      <c r="B579">
        <f t="shared" ref="B579:B642" si="9">IF(A579="Female",1,0)</f>
        <v>1</v>
      </c>
    </row>
    <row r="580" spans="1:2" x14ac:dyDescent="0.3">
      <c r="A580" t="s">
        <v>22</v>
      </c>
      <c r="B580">
        <f t="shared" si="9"/>
        <v>1</v>
      </c>
    </row>
    <row r="581" spans="1:2" x14ac:dyDescent="0.3">
      <c r="A581" t="s">
        <v>22</v>
      </c>
      <c r="B581">
        <f t="shared" si="9"/>
        <v>1</v>
      </c>
    </row>
    <row r="582" spans="1:2" x14ac:dyDescent="0.3">
      <c r="A582" t="s">
        <v>22</v>
      </c>
      <c r="B582">
        <f t="shared" si="9"/>
        <v>1</v>
      </c>
    </row>
    <row r="583" spans="1:2" x14ac:dyDescent="0.3">
      <c r="A583" t="s">
        <v>22</v>
      </c>
      <c r="B583">
        <f t="shared" si="9"/>
        <v>1</v>
      </c>
    </row>
    <row r="584" spans="1:2" x14ac:dyDescent="0.3">
      <c r="A584" t="s">
        <v>34</v>
      </c>
      <c r="B584">
        <f t="shared" si="9"/>
        <v>0</v>
      </c>
    </row>
    <row r="585" spans="1:2" x14ac:dyDescent="0.3">
      <c r="A585" t="s">
        <v>34</v>
      </c>
      <c r="B585">
        <f t="shared" si="9"/>
        <v>0</v>
      </c>
    </row>
    <row r="586" spans="1:2" x14ac:dyDescent="0.3">
      <c r="A586" t="s">
        <v>34</v>
      </c>
      <c r="B586">
        <f t="shared" si="9"/>
        <v>0</v>
      </c>
    </row>
    <row r="587" spans="1:2" x14ac:dyDescent="0.3">
      <c r="A587" t="s">
        <v>22</v>
      </c>
      <c r="B587">
        <f t="shared" si="9"/>
        <v>1</v>
      </c>
    </row>
    <row r="588" spans="1:2" x14ac:dyDescent="0.3">
      <c r="A588" t="s">
        <v>22</v>
      </c>
      <c r="B588">
        <f t="shared" si="9"/>
        <v>1</v>
      </c>
    </row>
    <row r="589" spans="1:2" x14ac:dyDescent="0.3">
      <c r="A589" t="s">
        <v>34</v>
      </c>
      <c r="B589">
        <f t="shared" si="9"/>
        <v>0</v>
      </c>
    </row>
    <row r="590" spans="1:2" x14ac:dyDescent="0.3">
      <c r="A590" t="s">
        <v>34</v>
      </c>
      <c r="B590">
        <f t="shared" si="9"/>
        <v>0</v>
      </c>
    </row>
    <row r="591" spans="1:2" x14ac:dyDescent="0.3">
      <c r="A591" t="s">
        <v>34</v>
      </c>
      <c r="B591">
        <f t="shared" si="9"/>
        <v>0</v>
      </c>
    </row>
    <row r="592" spans="1:2" x14ac:dyDescent="0.3">
      <c r="A592" t="s">
        <v>34</v>
      </c>
      <c r="B592">
        <f t="shared" si="9"/>
        <v>0</v>
      </c>
    </row>
    <row r="593" spans="1:2" x14ac:dyDescent="0.3">
      <c r="A593" t="s">
        <v>34</v>
      </c>
      <c r="B593">
        <f t="shared" si="9"/>
        <v>0</v>
      </c>
    </row>
    <row r="594" spans="1:2" x14ac:dyDescent="0.3">
      <c r="A594" t="s">
        <v>34</v>
      </c>
      <c r="B594">
        <f t="shared" si="9"/>
        <v>0</v>
      </c>
    </row>
    <row r="595" spans="1:2" x14ac:dyDescent="0.3">
      <c r="A595" t="s">
        <v>34</v>
      </c>
      <c r="B595">
        <f t="shared" si="9"/>
        <v>0</v>
      </c>
    </row>
    <row r="596" spans="1:2" x14ac:dyDescent="0.3">
      <c r="A596" t="s">
        <v>22</v>
      </c>
      <c r="B596">
        <f t="shared" si="9"/>
        <v>1</v>
      </c>
    </row>
    <row r="597" spans="1:2" x14ac:dyDescent="0.3">
      <c r="A597" t="s">
        <v>22</v>
      </c>
      <c r="B597">
        <f t="shared" si="9"/>
        <v>1</v>
      </c>
    </row>
    <row r="598" spans="1:2" x14ac:dyDescent="0.3">
      <c r="A598" t="s">
        <v>34</v>
      </c>
      <c r="B598">
        <f t="shared" si="9"/>
        <v>0</v>
      </c>
    </row>
    <row r="599" spans="1:2" x14ac:dyDescent="0.3">
      <c r="A599" t="s">
        <v>34</v>
      </c>
      <c r="B599">
        <f t="shared" si="9"/>
        <v>0</v>
      </c>
    </row>
    <row r="600" spans="1:2" x14ac:dyDescent="0.3">
      <c r="A600" t="s">
        <v>34</v>
      </c>
      <c r="B600">
        <f t="shared" si="9"/>
        <v>0</v>
      </c>
    </row>
    <row r="601" spans="1:2" x14ac:dyDescent="0.3">
      <c r="A601" t="s">
        <v>34</v>
      </c>
      <c r="B601">
        <f t="shared" si="9"/>
        <v>0</v>
      </c>
    </row>
    <row r="602" spans="1:2" x14ac:dyDescent="0.3">
      <c r="A602" t="s">
        <v>34</v>
      </c>
      <c r="B602">
        <f t="shared" si="9"/>
        <v>0</v>
      </c>
    </row>
    <row r="603" spans="1:2" x14ac:dyDescent="0.3">
      <c r="A603" t="s">
        <v>34</v>
      </c>
      <c r="B603">
        <f t="shared" si="9"/>
        <v>0</v>
      </c>
    </row>
    <row r="604" spans="1:2" x14ac:dyDescent="0.3">
      <c r="A604" t="s">
        <v>22</v>
      </c>
      <c r="B604">
        <f t="shared" si="9"/>
        <v>1</v>
      </c>
    </row>
    <row r="605" spans="1:2" x14ac:dyDescent="0.3">
      <c r="A605" t="s">
        <v>22</v>
      </c>
      <c r="B605">
        <f t="shared" si="9"/>
        <v>1</v>
      </c>
    </row>
    <row r="606" spans="1:2" x14ac:dyDescent="0.3">
      <c r="A606" t="s">
        <v>34</v>
      </c>
      <c r="B606">
        <f t="shared" si="9"/>
        <v>0</v>
      </c>
    </row>
    <row r="607" spans="1:2" x14ac:dyDescent="0.3">
      <c r="A607" t="s">
        <v>34</v>
      </c>
      <c r="B607">
        <f t="shared" si="9"/>
        <v>0</v>
      </c>
    </row>
    <row r="608" spans="1:2" x14ac:dyDescent="0.3">
      <c r="A608" t="s">
        <v>34</v>
      </c>
      <c r="B608">
        <f t="shared" si="9"/>
        <v>0</v>
      </c>
    </row>
    <row r="609" spans="1:2" x14ac:dyDescent="0.3">
      <c r="A609" t="s">
        <v>22</v>
      </c>
      <c r="B609">
        <f t="shared" si="9"/>
        <v>1</v>
      </c>
    </row>
    <row r="610" spans="1:2" x14ac:dyDescent="0.3">
      <c r="A610" t="s">
        <v>22</v>
      </c>
      <c r="B610">
        <f t="shared" si="9"/>
        <v>1</v>
      </c>
    </row>
    <row r="611" spans="1:2" x14ac:dyDescent="0.3">
      <c r="A611" t="s">
        <v>22</v>
      </c>
      <c r="B611">
        <f t="shared" si="9"/>
        <v>1</v>
      </c>
    </row>
    <row r="612" spans="1:2" x14ac:dyDescent="0.3">
      <c r="A612" t="s">
        <v>22</v>
      </c>
      <c r="B612">
        <f t="shared" si="9"/>
        <v>1</v>
      </c>
    </row>
    <row r="613" spans="1:2" x14ac:dyDescent="0.3">
      <c r="A613" t="s">
        <v>22</v>
      </c>
      <c r="B613">
        <f t="shared" si="9"/>
        <v>1</v>
      </c>
    </row>
    <row r="614" spans="1:2" x14ac:dyDescent="0.3">
      <c r="A614" t="s">
        <v>22</v>
      </c>
      <c r="B614">
        <f t="shared" si="9"/>
        <v>1</v>
      </c>
    </row>
    <row r="615" spans="1:2" x14ac:dyDescent="0.3">
      <c r="A615" t="s">
        <v>22</v>
      </c>
      <c r="B615">
        <f t="shared" si="9"/>
        <v>1</v>
      </c>
    </row>
    <row r="616" spans="1:2" x14ac:dyDescent="0.3">
      <c r="A616" t="s">
        <v>34</v>
      </c>
      <c r="B616">
        <f t="shared" si="9"/>
        <v>0</v>
      </c>
    </row>
    <row r="617" spans="1:2" x14ac:dyDescent="0.3">
      <c r="A617" t="s">
        <v>22</v>
      </c>
      <c r="B617">
        <f t="shared" si="9"/>
        <v>1</v>
      </c>
    </row>
    <row r="618" spans="1:2" x14ac:dyDescent="0.3">
      <c r="A618" t="s">
        <v>34</v>
      </c>
      <c r="B618">
        <f t="shared" si="9"/>
        <v>0</v>
      </c>
    </row>
    <row r="619" spans="1:2" x14ac:dyDescent="0.3">
      <c r="A619" t="s">
        <v>34</v>
      </c>
      <c r="B619">
        <f t="shared" si="9"/>
        <v>0</v>
      </c>
    </row>
    <row r="620" spans="1:2" x14ac:dyDescent="0.3">
      <c r="A620" t="s">
        <v>22</v>
      </c>
      <c r="B620">
        <f t="shared" si="9"/>
        <v>1</v>
      </c>
    </row>
    <row r="621" spans="1:2" x14ac:dyDescent="0.3">
      <c r="A621" t="s">
        <v>22</v>
      </c>
      <c r="B621">
        <f t="shared" si="9"/>
        <v>1</v>
      </c>
    </row>
    <row r="622" spans="1:2" x14ac:dyDescent="0.3">
      <c r="A622" t="s">
        <v>22</v>
      </c>
      <c r="B622">
        <f t="shared" si="9"/>
        <v>1</v>
      </c>
    </row>
    <row r="623" spans="1:2" x14ac:dyDescent="0.3">
      <c r="A623" t="s">
        <v>22</v>
      </c>
      <c r="B623">
        <f t="shared" si="9"/>
        <v>1</v>
      </c>
    </row>
    <row r="624" spans="1:2" x14ac:dyDescent="0.3">
      <c r="A624" t="s">
        <v>22</v>
      </c>
      <c r="B624">
        <f t="shared" si="9"/>
        <v>1</v>
      </c>
    </row>
    <row r="625" spans="1:2" x14ac:dyDescent="0.3">
      <c r="A625" t="s">
        <v>34</v>
      </c>
      <c r="B625">
        <f t="shared" si="9"/>
        <v>0</v>
      </c>
    </row>
    <row r="626" spans="1:2" x14ac:dyDescent="0.3">
      <c r="A626" t="s">
        <v>22</v>
      </c>
      <c r="B626">
        <f t="shared" si="9"/>
        <v>1</v>
      </c>
    </row>
    <row r="627" spans="1:2" x14ac:dyDescent="0.3">
      <c r="A627" t="s">
        <v>34</v>
      </c>
      <c r="B627">
        <f t="shared" si="9"/>
        <v>0</v>
      </c>
    </row>
    <row r="628" spans="1:2" x14ac:dyDescent="0.3">
      <c r="A628" t="s">
        <v>22</v>
      </c>
      <c r="B628">
        <f t="shared" si="9"/>
        <v>1</v>
      </c>
    </row>
    <row r="629" spans="1:2" x14ac:dyDescent="0.3">
      <c r="A629" t="s">
        <v>22</v>
      </c>
      <c r="B629">
        <f t="shared" si="9"/>
        <v>1</v>
      </c>
    </row>
    <row r="630" spans="1:2" x14ac:dyDescent="0.3">
      <c r="A630" t="s">
        <v>34</v>
      </c>
      <c r="B630">
        <f t="shared" si="9"/>
        <v>0</v>
      </c>
    </row>
    <row r="631" spans="1:2" x14ac:dyDescent="0.3">
      <c r="A631" t="s">
        <v>22</v>
      </c>
      <c r="B631">
        <f t="shared" si="9"/>
        <v>1</v>
      </c>
    </row>
    <row r="632" spans="1:2" x14ac:dyDescent="0.3">
      <c r="A632" t="s">
        <v>34</v>
      </c>
      <c r="B632">
        <f t="shared" si="9"/>
        <v>0</v>
      </c>
    </row>
    <row r="633" spans="1:2" x14ac:dyDescent="0.3">
      <c r="A633" t="s">
        <v>34</v>
      </c>
      <c r="B633">
        <f t="shared" si="9"/>
        <v>0</v>
      </c>
    </row>
    <row r="634" spans="1:2" x14ac:dyDescent="0.3">
      <c r="A634" t="s">
        <v>34</v>
      </c>
      <c r="B634">
        <f t="shared" si="9"/>
        <v>0</v>
      </c>
    </row>
    <row r="635" spans="1:2" x14ac:dyDescent="0.3">
      <c r="A635" t="s">
        <v>34</v>
      </c>
      <c r="B635">
        <f t="shared" si="9"/>
        <v>0</v>
      </c>
    </row>
    <row r="636" spans="1:2" x14ac:dyDescent="0.3">
      <c r="A636" t="s">
        <v>22</v>
      </c>
      <c r="B636">
        <f t="shared" si="9"/>
        <v>1</v>
      </c>
    </row>
    <row r="637" spans="1:2" x14ac:dyDescent="0.3">
      <c r="A637" t="s">
        <v>34</v>
      </c>
      <c r="B637">
        <f t="shared" si="9"/>
        <v>0</v>
      </c>
    </row>
    <row r="638" spans="1:2" x14ac:dyDescent="0.3">
      <c r="A638" t="s">
        <v>22</v>
      </c>
      <c r="B638">
        <f t="shared" si="9"/>
        <v>1</v>
      </c>
    </row>
    <row r="639" spans="1:2" x14ac:dyDescent="0.3">
      <c r="A639" t="s">
        <v>34</v>
      </c>
      <c r="B639">
        <f t="shared" si="9"/>
        <v>0</v>
      </c>
    </row>
    <row r="640" spans="1:2" x14ac:dyDescent="0.3">
      <c r="A640" t="s">
        <v>34</v>
      </c>
      <c r="B640">
        <f t="shared" si="9"/>
        <v>0</v>
      </c>
    </row>
    <row r="641" spans="1:2" x14ac:dyDescent="0.3">
      <c r="A641" t="s">
        <v>22</v>
      </c>
      <c r="B641">
        <f t="shared" si="9"/>
        <v>1</v>
      </c>
    </row>
    <row r="642" spans="1:2" x14ac:dyDescent="0.3">
      <c r="A642" t="s">
        <v>22</v>
      </c>
      <c r="B642">
        <f t="shared" si="9"/>
        <v>1</v>
      </c>
    </row>
    <row r="643" spans="1:2" x14ac:dyDescent="0.3">
      <c r="A643" t="s">
        <v>22</v>
      </c>
      <c r="B643">
        <f t="shared" ref="B643:B706" si="10">IF(A643="Female",1,0)</f>
        <v>1</v>
      </c>
    </row>
    <row r="644" spans="1:2" x14ac:dyDescent="0.3">
      <c r="A644" t="s">
        <v>22</v>
      </c>
      <c r="B644">
        <f t="shared" si="10"/>
        <v>1</v>
      </c>
    </row>
    <row r="645" spans="1:2" x14ac:dyDescent="0.3">
      <c r="A645" t="s">
        <v>22</v>
      </c>
      <c r="B645">
        <f t="shared" si="10"/>
        <v>1</v>
      </c>
    </row>
    <row r="646" spans="1:2" x14ac:dyDescent="0.3">
      <c r="A646" t="s">
        <v>22</v>
      </c>
      <c r="B646">
        <f t="shared" si="10"/>
        <v>1</v>
      </c>
    </row>
    <row r="647" spans="1:2" x14ac:dyDescent="0.3">
      <c r="A647" t="s">
        <v>22</v>
      </c>
      <c r="B647">
        <f t="shared" si="10"/>
        <v>1</v>
      </c>
    </row>
    <row r="648" spans="1:2" x14ac:dyDescent="0.3">
      <c r="A648" t="s">
        <v>22</v>
      </c>
      <c r="B648">
        <f t="shared" si="10"/>
        <v>1</v>
      </c>
    </row>
    <row r="649" spans="1:2" x14ac:dyDescent="0.3">
      <c r="A649" t="s">
        <v>34</v>
      </c>
      <c r="B649">
        <f t="shared" si="10"/>
        <v>0</v>
      </c>
    </row>
    <row r="650" spans="1:2" x14ac:dyDescent="0.3">
      <c r="A650" t="s">
        <v>22</v>
      </c>
      <c r="B650">
        <f t="shared" si="10"/>
        <v>1</v>
      </c>
    </row>
    <row r="651" spans="1:2" x14ac:dyDescent="0.3">
      <c r="A651" t="s">
        <v>22</v>
      </c>
      <c r="B651">
        <f t="shared" si="10"/>
        <v>1</v>
      </c>
    </row>
    <row r="652" spans="1:2" x14ac:dyDescent="0.3">
      <c r="A652" t="s">
        <v>22</v>
      </c>
      <c r="B652">
        <f t="shared" si="10"/>
        <v>1</v>
      </c>
    </row>
    <row r="653" spans="1:2" x14ac:dyDescent="0.3">
      <c r="A653" t="s">
        <v>22</v>
      </c>
      <c r="B653">
        <f t="shared" si="10"/>
        <v>1</v>
      </c>
    </row>
    <row r="654" spans="1:2" x14ac:dyDescent="0.3">
      <c r="A654" t="s">
        <v>34</v>
      </c>
      <c r="B654">
        <f t="shared" si="10"/>
        <v>0</v>
      </c>
    </row>
    <row r="655" spans="1:2" x14ac:dyDescent="0.3">
      <c r="A655" t="s">
        <v>34</v>
      </c>
      <c r="B655">
        <f t="shared" si="10"/>
        <v>0</v>
      </c>
    </row>
    <row r="656" spans="1:2" x14ac:dyDescent="0.3">
      <c r="A656" t="s">
        <v>34</v>
      </c>
      <c r="B656">
        <f t="shared" si="10"/>
        <v>0</v>
      </c>
    </row>
    <row r="657" spans="1:2" x14ac:dyDescent="0.3">
      <c r="A657" t="s">
        <v>34</v>
      </c>
      <c r="B657">
        <f t="shared" si="10"/>
        <v>0</v>
      </c>
    </row>
    <row r="658" spans="1:2" x14ac:dyDescent="0.3">
      <c r="A658" t="s">
        <v>22</v>
      </c>
      <c r="B658">
        <f t="shared" si="10"/>
        <v>1</v>
      </c>
    </row>
    <row r="659" spans="1:2" x14ac:dyDescent="0.3">
      <c r="A659" t="s">
        <v>22</v>
      </c>
      <c r="B659">
        <f t="shared" si="10"/>
        <v>1</v>
      </c>
    </row>
    <row r="660" spans="1:2" x14ac:dyDescent="0.3">
      <c r="A660" t="s">
        <v>34</v>
      </c>
      <c r="B660">
        <f t="shared" si="10"/>
        <v>0</v>
      </c>
    </row>
    <row r="661" spans="1:2" x14ac:dyDescent="0.3">
      <c r="A661" t="s">
        <v>34</v>
      </c>
      <c r="B661">
        <f t="shared" si="10"/>
        <v>0</v>
      </c>
    </row>
    <row r="662" spans="1:2" x14ac:dyDescent="0.3">
      <c r="A662" t="s">
        <v>22</v>
      </c>
      <c r="B662">
        <f t="shared" si="10"/>
        <v>1</v>
      </c>
    </row>
    <row r="663" spans="1:2" x14ac:dyDescent="0.3">
      <c r="A663" t="s">
        <v>34</v>
      </c>
      <c r="B663">
        <f t="shared" si="10"/>
        <v>0</v>
      </c>
    </row>
    <row r="664" spans="1:2" x14ac:dyDescent="0.3">
      <c r="A664" t="s">
        <v>22</v>
      </c>
      <c r="B664">
        <f t="shared" si="10"/>
        <v>1</v>
      </c>
    </row>
    <row r="665" spans="1:2" x14ac:dyDescent="0.3">
      <c r="A665" t="s">
        <v>22</v>
      </c>
      <c r="B665">
        <f t="shared" si="10"/>
        <v>1</v>
      </c>
    </row>
    <row r="666" spans="1:2" x14ac:dyDescent="0.3">
      <c r="A666" t="s">
        <v>34</v>
      </c>
      <c r="B666">
        <f t="shared" si="10"/>
        <v>0</v>
      </c>
    </row>
    <row r="667" spans="1:2" x14ac:dyDescent="0.3">
      <c r="A667" t="s">
        <v>22</v>
      </c>
      <c r="B667">
        <f t="shared" si="10"/>
        <v>1</v>
      </c>
    </row>
    <row r="668" spans="1:2" x14ac:dyDescent="0.3">
      <c r="A668" t="s">
        <v>22</v>
      </c>
      <c r="B668">
        <f t="shared" si="10"/>
        <v>1</v>
      </c>
    </row>
    <row r="669" spans="1:2" x14ac:dyDescent="0.3">
      <c r="A669" t="s">
        <v>34</v>
      </c>
      <c r="B669">
        <f t="shared" si="10"/>
        <v>0</v>
      </c>
    </row>
    <row r="670" spans="1:2" x14ac:dyDescent="0.3">
      <c r="A670" t="s">
        <v>34</v>
      </c>
      <c r="B670">
        <f t="shared" si="10"/>
        <v>0</v>
      </c>
    </row>
    <row r="671" spans="1:2" x14ac:dyDescent="0.3">
      <c r="A671" t="s">
        <v>22</v>
      </c>
      <c r="B671">
        <f t="shared" si="10"/>
        <v>1</v>
      </c>
    </row>
    <row r="672" spans="1:2" x14ac:dyDescent="0.3">
      <c r="A672" t="s">
        <v>22</v>
      </c>
      <c r="B672">
        <f t="shared" si="10"/>
        <v>1</v>
      </c>
    </row>
    <row r="673" spans="1:2" x14ac:dyDescent="0.3">
      <c r="A673" t="s">
        <v>22</v>
      </c>
      <c r="B673">
        <f t="shared" si="10"/>
        <v>1</v>
      </c>
    </row>
    <row r="674" spans="1:2" x14ac:dyDescent="0.3">
      <c r="A674" t="s">
        <v>22</v>
      </c>
      <c r="B674">
        <f t="shared" si="10"/>
        <v>1</v>
      </c>
    </row>
    <row r="675" spans="1:2" x14ac:dyDescent="0.3">
      <c r="A675" t="s">
        <v>34</v>
      </c>
      <c r="B675">
        <f t="shared" si="10"/>
        <v>0</v>
      </c>
    </row>
    <row r="676" spans="1:2" x14ac:dyDescent="0.3">
      <c r="A676" t="s">
        <v>22</v>
      </c>
      <c r="B676">
        <f t="shared" si="10"/>
        <v>1</v>
      </c>
    </row>
    <row r="677" spans="1:2" x14ac:dyDescent="0.3">
      <c r="A677" t="s">
        <v>22</v>
      </c>
      <c r="B677">
        <f t="shared" si="10"/>
        <v>1</v>
      </c>
    </row>
    <row r="678" spans="1:2" x14ac:dyDescent="0.3">
      <c r="A678" t="s">
        <v>22</v>
      </c>
      <c r="B678">
        <f t="shared" si="10"/>
        <v>1</v>
      </c>
    </row>
    <row r="679" spans="1:2" x14ac:dyDescent="0.3">
      <c r="A679" t="s">
        <v>22</v>
      </c>
      <c r="B679">
        <f t="shared" si="10"/>
        <v>1</v>
      </c>
    </row>
    <row r="680" spans="1:2" x14ac:dyDescent="0.3">
      <c r="A680" t="s">
        <v>22</v>
      </c>
      <c r="B680">
        <f t="shared" si="10"/>
        <v>1</v>
      </c>
    </row>
    <row r="681" spans="1:2" x14ac:dyDescent="0.3">
      <c r="A681" t="s">
        <v>22</v>
      </c>
      <c r="B681">
        <f t="shared" si="10"/>
        <v>1</v>
      </c>
    </row>
    <row r="682" spans="1:2" x14ac:dyDescent="0.3">
      <c r="A682" t="s">
        <v>34</v>
      </c>
      <c r="B682">
        <f t="shared" si="10"/>
        <v>0</v>
      </c>
    </row>
    <row r="683" spans="1:2" x14ac:dyDescent="0.3">
      <c r="A683" t="s">
        <v>22</v>
      </c>
      <c r="B683">
        <f t="shared" si="10"/>
        <v>1</v>
      </c>
    </row>
    <row r="684" spans="1:2" x14ac:dyDescent="0.3">
      <c r="A684" t="s">
        <v>22</v>
      </c>
      <c r="B684">
        <f t="shared" si="10"/>
        <v>1</v>
      </c>
    </row>
    <row r="685" spans="1:2" x14ac:dyDescent="0.3">
      <c r="A685" t="s">
        <v>34</v>
      </c>
      <c r="B685">
        <f t="shared" si="10"/>
        <v>0</v>
      </c>
    </row>
    <row r="686" spans="1:2" x14ac:dyDescent="0.3">
      <c r="A686" t="s">
        <v>22</v>
      </c>
      <c r="B686">
        <f t="shared" si="10"/>
        <v>1</v>
      </c>
    </row>
    <row r="687" spans="1:2" x14ac:dyDescent="0.3">
      <c r="A687" t="s">
        <v>22</v>
      </c>
      <c r="B687">
        <f t="shared" si="10"/>
        <v>1</v>
      </c>
    </row>
    <row r="688" spans="1:2" x14ac:dyDescent="0.3">
      <c r="A688" t="s">
        <v>22</v>
      </c>
      <c r="B688">
        <f t="shared" si="10"/>
        <v>1</v>
      </c>
    </row>
    <row r="689" spans="1:2" x14ac:dyDescent="0.3">
      <c r="A689" t="s">
        <v>22</v>
      </c>
      <c r="B689">
        <f t="shared" si="10"/>
        <v>1</v>
      </c>
    </row>
    <row r="690" spans="1:2" x14ac:dyDescent="0.3">
      <c r="A690" t="s">
        <v>22</v>
      </c>
      <c r="B690">
        <f t="shared" si="10"/>
        <v>1</v>
      </c>
    </row>
    <row r="691" spans="1:2" x14ac:dyDescent="0.3">
      <c r="A691" t="s">
        <v>34</v>
      </c>
      <c r="B691">
        <f t="shared" si="10"/>
        <v>0</v>
      </c>
    </row>
    <row r="692" spans="1:2" x14ac:dyDescent="0.3">
      <c r="A692" t="s">
        <v>22</v>
      </c>
      <c r="B692">
        <f t="shared" si="10"/>
        <v>1</v>
      </c>
    </row>
    <row r="693" spans="1:2" x14ac:dyDescent="0.3">
      <c r="A693" t="s">
        <v>34</v>
      </c>
      <c r="B693">
        <f t="shared" si="10"/>
        <v>0</v>
      </c>
    </row>
    <row r="694" spans="1:2" x14ac:dyDescent="0.3">
      <c r="A694" t="s">
        <v>34</v>
      </c>
      <c r="B694">
        <f t="shared" si="10"/>
        <v>0</v>
      </c>
    </row>
    <row r="695" spans="1:2" x14ac:dyDescent="0.3">
      <c r="A695" t="s">
        <v>22</v>
      </c>
      <c r="B695">
        <f t="shared" si="10"/>
        <v>1</v>
      </c>
    </row>
    <row r="696" spans="1:2" x14ac:dyDescent="0.3">
      <c r="A696" t="s">
        <v>34</v>
      </c>
      <c r="B696">
        <f t="shared" si="10"/>
        <v>0</v>
      </c>
    </row>
    <row r="697" spans="1:2" x14ac:dyDescent="0.3">
      <c r="A697" t="s">
        <v>22</v>
      </c>
      <c r="B697">
        <f t="shared" si="10"/>
        <v>1</v>
      </c>
    </row>
    <row r="698" spans="1:2" x14ac:dyDescent="0.3">
      <c r="A698" t="s">
        <v>34</v>
      </c>
      <c r="B698">
        <f t="shared" si="10"/>
        <v>0</v>
      </c>
    </row>
    <row r="699" spans="1:2" x14ac:dyDescent="0.3">
      <c r="A699" t="s">
        <v>34</v>
      </c>
      <c r="B699">
        <f t="shared" si="10"/>
        <v>0</v>
      </c>
    </row>
    <row r="700" spans="1:2" x14ac:dyDescent="0.3">
      <c r="A700" t="s">
        <v>22</v>
      </c>
      <c r="B700">
        <f t="shared" si="10"/>
        <v>1</v>
      </c>
    </row>
    <row r="701" spans="1:2" x14ac:dyDescent="0.3">
      <c r="A701" t="s">
        <v>22</v>
      </c>
      <c r="B701">
        <f t="shared" si="10"/>
        <v>1</v>
      </c>
    </row>
    <row r="702" spans="1:2" x14ac:dyDescent="0.3">
      <c r="A702" t="s">
        <v>22</v>
      </c>
      <c r="B702">
        <f t="shared" si="10"/>
        <v>1</v>
      </c>
    </row>
    <row r="703" spans="1:2" x14ac:dyDescent="0.3">
      <c r="A703" t="s">
        <v>22</v>
      </c>
      <c r="B703">
        <f t="shared" si="10"/>
        <v>1</v>
      </c>
    </row>
    <row r="704" spans="1:2" x14ac:dyDescent="0.3">
      <c r="A704" t="s">
        <v>22</v>
      </c>
      <c r="B704">
        <f t="shared" si="10"/>
        <v>1</v>
      </c>
    </row>
    <row r="705" spans="1:2" x14ac:dyDescent="0.3">
      <c r="A705" t="s">
        <v>22</v>
      </c>
      <c r="B705">
        <f t="shared" si="10"/>
        <v>1</v>
      </c>
    </row>
    <row r="706" spans="1:2" x14ac:dyDescent="0.3">
      <c r="A706" t="s">
        <v>34</v>
      </c>
      <c r="B706">
        <f t="shared" si="10"/>
        <v>0</v>
      </c>
    </row>
    <row r="707" spans="1:2" x14ac:dyDescent="0.3">
      <c r="A707" t="s">
        <v>22</v>
      </c>
      <c r="B707">
        <f t="shared" ref="B707:B770" si="11">IF(A707="Female",1,0)</f>
        <v>1</v>
      </c>
    </row>
    <row r="708" spans="1:2" x14ac:dyDescent="0.3">
      <c r="A708" t="s">
        <v>34</v>
      </c>
      <c r="B708">
        <f t="shared" si="11"/>
        <v>0</v>
      </c>
    </row>
    <row r="709" spans="1:2" x14ac:dyDescent="0.3">
      <c r="A709" t="s">
        <v>34</v>
      </c>
      <c r="B709">
        <f t="shared" si="11"/>
        <v>0</v>
      </c>
    </row>
    <row r="710" spans="1:2" x14ac:dyDescent="0.3">
      <c r="A710" t="s">
        <v>34</v>
      </c>
      <c r="B710">
        <f t="shared" si="11"/>
        <v>0</v>
      </c>
    </row>
    <row r="711" spans="1:2" x14ac:dyDescent="0.3">
      <c r="A711" t="s">
        <v>34</v>
      </c>
      <c r="B711">
        <f t="shared" si="11"/>
        <v>0</v>
      </c>
    </row>
    <row r="712" spans="1:2" x14ac:dyDescent="0.3">
      <c r="A712" t="s">
        <v>34</v>
      </c>
      <c r="B712">
        <f t="shared" si="11"/>
        <v>0</v>
      </c>
    </row>
    <row r="713" spans="1:2" x14ac:dyDescent="0.3">
      <c r="A713" t="s">
        <v>34</v>
      </c>
      <c r="B713">
        <f t="shared" si="11"/>
        <v>0</v>
      </c>
    </row>
    <row r="714" spans="1:2" x14ac:dyDescent="0.3">
      <c r="A714" t="s">
        <v>34</v>
      </c>
      <c r="B714">
        <f t="shared" si="11"/>
        <v>0</v>
      </c>
    </row>
    <row r="715" spans="1:2" x14ac:dyDescent="0.3">
      <c r="A715" t="s">
        <v>34</v>
      </c>
      <c r="B715">
        <f t="shared" si="11"/>
        <v>0</v>
      </c>
    </row>
    <row r="716" spans="1:2" x14ac:dyDescent="0.3">
      <c r="A716" t="s">
        <v>34</v>
      </c>
      <c r="B716">
        <f t="shared" si="11"/>
        <v>0</v>
      </c>
    </row>
    <row r="717" spans="1:2" x14ac:dyDescent="0.3">
      <c r="A717" t="s">
        <v>22</v>
      </c>
      <c r="B717">
        <f t="shared" si="11"/>
        <v>1</v>
      </c>
    </row>
    <row r="718" spans="1:2" x14ac:dyDescent="0.3">
      <c r="A718" t="s">
        <v>22</v>
      </c>
      <c r="B718">
        <f t="shared" si="11"/>
        <v>1</v>
      </c>
    </row>
    <row r="719" spans="1:2" x14ac:dyDescent="0.3">
      <c r="A719" t="s">
        <v>34</v>
      </c>
      <c r="B719">
        <f t="shared" si="11"/>
        <v>0</v>
      </c>
    </row>
    <row r="720" spans="1:2" x14ac:dyDescent="0.3">
      <c r="A720" t="s">
        <v>22</v>
      </c>
      <c r="B720">
        <f t="shared" si="11"/>
        <v>1</v>
      </c>
    </row>
    <row r="721" spans="1:2" x14ac:dyDescent="0.3">
      <c r="A721" t="s">
        <v>34</v>
      </c>
      <c r="B721">
        <f t="shared" si="11"/>
        <v>0</v>
      </c>
    </row>
    <row r="722" spans="1:2" x14ac:dyDescent="0.3">
      <c r="A722" t="s">
        <v>34</v>
      </c>
      <c r="B722">
        <f t="shared" si="11"/>
        <v>0</v>
      </c>
    </row>
    <row r="723" spans="1:2" x14ac:dyDescent="0.3">
      <c r="A723" t="s">
        <v>22</v>
      </c>
      <c r="B723">
        <f t="shared" si="11"/>
        <v>1</v>
      </c>
    </row>
    <row r="724" spans="1:2" x14ac:dyDescent="0.3">
      <c r="A724" t="s">
        <v>22</v>
      </c>
      <c r="B724">
        <f t="shared" si="11"/>
        <v>1</v>
      </c>
    </row>
    <row r="725" spans="1:2" x14ac:dyDescent="0.3">
      <c r="A725" t="s">
        <v>34</v>
      </c>
      <c r="B725">
        <f t="shared" si="11"/>
        <v>0</v>
      </c>
    </row>
    <row r="726" spans="1:2" x14ac:dyDescent="0.3">
      <c r="A726" t="s">
        <v>34</v>
      </c>
      <c r="B726">
        <f t="shared" si="11"/>
        <v>0</v>
      </c>
    </row>
    <row r="727" spans="1:2" x14ac:dyDescent="0.3">
      <c r="A727" t="s">
        <v>22</v>
      </c>
      <c r="B727">
        <f t="shared" si="11"/>
        <v>1</v>
      </c>
    </row>
    <row r="728" spans="1:2" x14ac:dyDescent="0.3">
      <c r="A728" t="s">
        <v>22</v>
      </c>
      <c r="B728">
        <f t="shared" si="11"/>
        <v>1</v>
      </c>
    </row>
    <row r="729" spans="1:2" x14ac:dyDescent="0.3">
      <c r="A729" t="s">
        <v>22</v>
      </c>
      <c r="B729">
        <f t="shared" si="11"/>
        <v>1</v>
      </c>
    </row>
    <row r="730" spans="1:2" x14ac:dyDescent="0.3">
      <c r="A730" t="s">
        <v>34</v>
      </c>
      <c r="B730">
        <f t="shared" si="11"/>
        <v>0</v>
      </c>
    </row>
    <row r="731" spans="1:2" x14ac:dyDescent="0.3">
      <c r="A731" t="s">
        <v>22</v>
      </c>
      <c r="B731">
        <f t="shared" si="11"/>
        <v>1</v>
      </c>
    </row>
    <row r="732" spans="1:2" x14ac:dyDescent="0.3">
      <c r="A732" t="s">
        <v>34</v>
      </c>
      <c r="B732">
        <f t="shared" si="11"/>
        <v>0</v>
      </c>
    </row>
    <row r="733" spans="1:2" x14ac:dyDescent="0.3">
      <c r="A733" t="s">
        <v>22</v>
      </c>
      <c r="B733">
        <f t="shared" si="11"/>
        <v>1</v>
      </c>
    </row>
    <row r="734" spans="1:2" x14ac:dyDescent="0.3">
      <c r="A734" t="s">
        <v>34</v>
      </c>
      <c r="B734">
        <f t="shared" si="11"/>
        <v>0</v>
      </c>
    </row>
    <row r="735" spans="1:2" x14ac:dyDescent="0.3">
      <c r="A735" t="s">
        <v>22</v>
      </c>
      <c r="B735">
        <f t="shared" si="11"/>
        <v>1</v>
      </c>
    </row>
    <row r="736" spans="1:2" x14ac:dyDescent="0.3">
      <c r="A736" t="s">
        <v>34</v>
      </c>
      <c r="B736">
        <f t="shared" si="11"/>
        <v>0</v>
      </c>
    </row>
    <row r="737" spans="1:2" x14ac:dyDescent="0.3">
      <c r="A737" t="s">
        <v>22</v>
      </c>
      <c r="B737">
        <f t="shared" si="11"/>
        <v>1</v>
      </c>
    </row>
    <row r="738" spans="1:2" x14ac:dyDescent="0.3">
      <c r="A738" t="s">
        <v>34</v>
      </c>
      <c r="B738">
        <f t="shared" si="11"/>
        <v>0</v>
      </c>
    </row>
    <row r="739" spans="1:2" x14ac:dyDescent="0.3">
      <c r="A739" t="s">
        <v>22</v>
      </c>
      <c r="B739">
        <f t="shared" si="11"/>
        <v>1</v>
      </c>
    </row>
    <row r="740" spans="1:2" x14ac:dyDescent="0.3">
      <c r="A740" t="s">
        <v>22</v>
      </c>
      <c r="B740">
        <f t="shared" si="11"/>
        <v>1</v>
      </c>
    </row>
    <row r="741" spans="1:2" x14ac:dyDescent="0.3">
      <c r="A741" t="s">
        <v>34</v>
      </c>
      <c r="B741">
        <f t="shared" si="11"/>
        <v>0</v>
      </c>
    </row>
    <row r="742" spans="1:2" x14ac:dyDescent="0.3">
      <c r="A742" t="s">
        <v>34</v>
      </c>
      <c r="B742">
        <f t="shared" si="11"/>
        <v>0</v>
      </c>
    </row>
    <row r="743" spans="1:2" x14ac:dyDescent="0.3">
      <c r="A743" t="s">
        <v>22</v>
      </c>
      <c r="B743">
        <f t="shared" si="11"/>
        <v>1</v>
      </c>
    </row>
    <row r="744" spans="1:2" x14ac:dyDescent="0.3">
      <c r="A744" t="s">
        <v>34</v>
      </c>
      <c r="B744">
        <f t="shared" si="11"/>
        <v>0</v>
      </c>
    </row>
    <row r="745" spans="1:2" x14ac:dyDescent="0.3">
      <c r="A745" t="s">
        <v>34</v>
      </c>
      <c r="B745">
        <f t="shared" si="11"/>
        <v>0</v>
      </c>
    </row>
    <row r="746" spans="1:2" x14ac:dyDescent="0.3">
      <c r="A746" t="s">
        <v>22</v>
      </c>
      <c r="B746">
        <f t="shared" si="11"/>
        <v>1</v>
      </c>
    </row>
    <row r="747" spans="1:2" x14ac:dyDescent="0.3">
      <c r="A747" t="s">
        <v>34</v>
      </c>
      <c r="B747">
        <f t="shared" si="11"/>
        <v>0</v>
      </c>
    </row>
    <row r="748" spans="1:2" x14ac:dyDescent="0.3">
      <c r="A748" t="s">
        <v>22</v>
      </c>
      <c r="B748">
        <f t="shared" si="11"/>
        <v>1</v>
      </c>
    </row>
    <row r="749" spans="1:2" x14ac:dyDescent="0.3">
      <c r="A749" t="s">
        <v>22</v>
      </c>
      <c r="B749">
        <f t="shared" si="11"/>
        <v>1</v>
      </c>
    </row>
    <row r="750" spans="1:2" x14ac:dyDescent="0.3">
      <c r="A750" t="s">
        <v>34</v>
      </c>
      <c r="B750">
        <f t="shared" si="11"/>
        <v>0</v>
      </c>
    </row>
    <row r="751" spans="1:2" x14ac:dyDescent="0.3">
      <c r="A751" t="s">
        <v>22</v>
      </c>
      <c r="B751">
        <f t="shared" si="11"/>
        <v>1</v>
      </c>
    </row>
    <row r="752" spans="1:2" x14ac:dyDescent="0.3">
      <c r="A752" t="s">
        <v>34</v>
      </c>
      <c r="B752">
        <f t="shared" si="11"/>
        <v>0</v>
      </c>
    </row>
    <row r="753" spans="1:2" x14ac:dyDescent="0.3">
      <c r="A753" t="s">
        <v>22</v>
      </c>
      <c r="B753">
        <f t="shared" si="11"/>
        <v>1</v>
      </c>
    </row>
    <row r="754" spans="1:2" x14ac:dyDescent="0.3">
      <c r="A754" t="s">
        <v>22</v>
      </c>
      <c r="B754">
        <f t="shared" si="11"/>
        <v>1</v>
      </c>
    </row>
    <row r="755" spans="1:2" x14ac:dyDescent="0.3">
      <c r="A755" t="s">
        <v>34</v>
      </c>
      <c r="B755">
        <f t="shared" si="11"/>
        <v>0</v>
      </c>
    </row>
    <row r="756" spans="1:2" x14ac:dyDescent="0.3">
      <c r="A756" t="s">
        <v>34</v>
      </c>
      <c r="B756">
        <f t="shared" si="11"/>
        <v>0</v>
      </c>
    </row>
    <row r="757" spans="1:2" x14ac:dyDescent="0.3">
      <c r="A757" t="s">
        <v>22</v>
      </c>
      <c r="B757">
        <f t="shared" si="11"/>
        <v>1</v>
      </c>
    </row>
    <row r="758" spans="1:2" x14ac:dyDescent="0.3">
      <c r="A758" t="s">
        <v>34</v>
      </c>
      <c r="B758">
        <f t="shared" si="11"/>
        <v>0</v>
      </c>
    </row>
    <row r="759" spans="1:2" x14ac:dyDescent="0.3">
      <c r="A759" t="s">
        <v>34</v>
      </c>
      <c r="B759">
        <f t="shared" si="11"/>
        <v>0</v>
      </c>
    </row>
    <row r="760" spans="1:2" x14ac:dyDescent="0.3">
      <c r="A760" t="s">
        <v>22</v>
      </c>
      <c r="B760">
        <f t="shared" si="11"/>
        <v>1</v>
      </c>
    </row>
    <row r="761" spans="1:2" x14ac:dyDescent="0.3">
      <c r="A761" t="s">
        <v>22</v>
      </c>
      <c r="B761">
        <f t="shared" si="11"/>
        <v>1</v>
      </c>
    </row>
    <row r="762" spans="1:2" x14ac:dyDescent="0.3">
      <c r="A762" t="s">
        <v>34</v>
      </c>
      <c r="B762">
        <f t="shared" si="11"/>
        <v>0</v>
      </c>
    </row>
    <row r="763" spans="1:2" x14ac:dyDescent="0.3">
      <c r="A763" t="s">
        <v>34</v>
      </c>
      <c r="B763">
        <f t="shared" si="11"/>
        <v>0</v>
      </c>
    </row>
    <row r="764" spans="1:2" x14ac:dyDescent="0.3">
      <c r="A764" t="s">
        <v>22</v>
      </c>
      <c r="B764">
        <f t="shared" si="11"/>
        <v>1</v>
      </c>
    </row>
    <row r="765" spans="1:2" x14ac:dyDescent="0.3">
      <c r="A765" t="s">
        <v>22</v>
      </c>
      <c r="B765">
        <f t="shared" si="11"/>
        <v>1</v>
      </c>
    </row>
    <row r="766" spans="1:2" x14ac:dyDescent="0.3">
      <c r="A766" t="s">
        <v>22</v>
      </c>
      <c r="B766">
        <f t="shared" si="11"/>
        <v>1</v>
      </c>
    </row>
    <row r="767" spans="1:2" x14ac:dyDescent="0.3">
      <c r="A767" t="s">
        <v>34</v>
      </c>
      <c r="B767">
        <f t="shared" si="11"/>
        <v>0</v>
      </c>
    </row>
    <row r="768" spans="1:2" x14ac:dyDescent="0.3">
      <c r="A768" t="s">
        <v>34</v>
      </c>
      <c r="B768">
        <f t="shared" si="11"/>
        <v>0</v>
      </c>
    </row>
    <row r="769" spans="1:2" x14ac:dyDescent="0.3">
      <c r="A769" t="s">
        <v>22</v>
      </c>
      <c r="B769">
        <f t="shared" si="11"/>
        <v>1</v>
      </c>
    </row>
    <row r="770" spans="1:2" x14ac:dyDescent="0.3">
      <c r="A770" t="s">
        <v>34</v>
      </c>
      <c r="B770">
        <f t="shared" si="11"/>
        <v>0</v>
      </c>
    </row>
    <row r="771" spans="1:2" x14ac:dyDescent="0.3">
      <c r="A771" t="s">
        <v>22</v>
      </c>
      <c r="B771">
        <f t="shared" ref="B771:B834" si="12">IF(A771="Female",1,0)</f>
        <v>1</v>
      </c>
    </row>
    <row r="772" spans="1:2" x14ac:dyDescent="0.3">
      <c r="A772" t="s">
        <v>34</v>
      </c>
      <c r="B772">
        <f t="shared" si="12"/>
        <v>0</v>
      </c>
    </row>
    <row r="773" spans="1:2" x14ac:dyDescent="0.3">
      <c r="A773" t="s">
        <v>22</v>
      </c>
      <c r="B773">
        <f t="shared" si="12"/>
        <v>1</v>
      </c>
    </row>
    <row r="774" spans="1:2" x14ac:dyDescent="0.3">
      <c r="A774" t="s">
        <v>34</v>
      </c>
      <c r="B774">
        <f t="shared" si="12"/>
        <v>0</v>
      </c>
    </row>
    <row r="775" spans="1:2" x14ac:dyDescent="0.3">
      <c r="A775" t="s">
        <v>22</v>
      </c>
      <c r="B775">
        <f t="shared" si="12"/>
        <v>1</v>
      </c>
    </row>
    <row r="776" spans="1:2" x14ac:dyDescent="0.3">
      <c r="A776" t="s">
        <v>22</v>
      </c>
      <c r="B776">
        <f t="shared" si="12"/>
        <v>1</v>
      </c>
    </row>
    <row r="777" spans="1:2" x14ac:dyDescent="0.3">
      <c r="A777" t="s">
        <v>22</v>
      </c>
      <c r="B777">
        <f t="shared" si="12"/>
        <v>1</v>
      </c>
    </row>
    <row r="778" spans="1:2" x14ac:dyDescent="0.3">
      <c r="A778" t="s">
        <v>34</v>
      </c>
      <c r="B778">
        <f t="shared" si="12"/>
        <v>0</v>
      </c>
    </row>
    <row r="779" spans="1:2" x14ac:dyDescent="0.3">
      <c r="A779" t="s">
        <v>34</v>
      </c>
      <c r="B779">
        <f t="shared" si="12"/>
        <v>0</v>
      </c>
    </row>
    <row r="780" spans="1:2" x14ac:dyDescent="0.3">
      <c r="A780" t="s">
        <v>22</v>
      </c>
      <c r="B780">
        <f t="shared" si="12"/>
        <v>1</v>
      </c>
    </row>
    <row r="781" spans="1:2" x14ac:dyDescent="0.3">
      <c r="A781" t="s">
        <v>34</v>
      </c>
      <c r="B781">
        <f t="shared" si="12"/>
        <v>0</v>
      </c>
    </row>
    <row r="782" spans="1:2" x14ac:dyDescent="0.3">
      <c r="A782" t="s">
        <v>34</v>
      </c>
      <c r="B782">
        <f t="shared" si="12"/>
        <v>0</v>
      </c>
    </row>
    <row r="783" spans="1:2" x14ac:dyDescent="0.3">
      <c r="A783" t="s">
        <v>22</v>
      </c>
      <c r="B783">
        <f t="shared" si="12"/>
        <v>1</v>
      </c>
    </row>
    <row r="784" spans="1:2" x14ac:dyDescent="0.3">
      <c r="A784" t="s">
        <v>22</v>
      </c>
      <c r="B784">
        <f t="shared" si="12"/>
        <v>1</v>
      </c>
    </row>
    <row r="785" spans="1:2" x14ac:dyDescent="0.3">
      <c r="A785" t="s">
        <v>22</v>
      </c>
      <c r="B785">
        <f t="shared" si="12"/>
        <v>1</v>
      </c>
    </row>
    <row r="786" spans="1:2" x14ac:dyDescent="0.3">
      <c r="A786" t="s">
        <v>22</v>
      </c>
      <c r="B786">
        <f t="shared" si="12"/>
        <v>1</v>
      </c>
    </row>
    <row r="787" spans="1:2" x14ac:dyDescent="0.3">
      <c r="A787" t="s">
        <v>22</v>
      </c>
      <c r="B787">
        <f t="shared" si="12"/>
        <v>1</v>
      </c>
    </row>
    <row r="788" spans="1:2" x14ac:dyDescent="0.3">
      <c r="A788" t="s">
        <v>34</v>
      </c>
      <c r="B788">
        <f t="shared" si="12"/>
        <v>0</v>
      </c>
    </row>
    <row r="789" spans="1:2" x14ac:dyDescent="0.3">
      <c r="A789" t="s">
        <v>22</v>
      </c>
      <c r="B789">
        <f t="shared" si="12"/>
        <v>1</v>
      </c>
    </row>
    <row r="790" spans="1:2" x14ac:dyDescent="0.3">
      <c r="A790" t="s">
        <v>22</v>
      </c>
      <c r="B790">
        <f t="shared" si="12"/>
        <v>1</v>
      </c>
    </row>
    <row r="791" spans="1:2" x14ac:dyDescent="0.3">
      <c r="A791" t="s">
        <v>22</v>
      </c>
      <c r="B791">
        <f t="shared" si="12"/>
        <v>1</v>
      </c>
    </row>
    <row r="792" spans="1:2" x14ac:dyDescent="0.3">
      <c r="A792" t="s">
        <v>34</v>
      </c>
      <c r="B792">
        <f t="shared" si="12"/>
        <v>0</v>
      </c>
    </row>
    <row r="793" spans="1:2" x14ac:dyDescent="0.3">
      <c r="A793" t="s">
        <v>34</v>
      </c>
      <c r="B793">
        <f t="shared" si="12"/>
        <v>0</v>
      </c>
    </row>
    <row r="794" spans="1:2" x14ac:dyDescent="0.3">
      <c r="A794" t="s">
        <v>22</v>
      </c>
      <c r="B794">
        <f t="shared" si="12"/>
        <v>1</v>
      </c>
    </row>
    <row r="795" spans="1:2" x14ac:dyDescent="0.3">
      <c r="A795" t="s">
        <v>22</v>
      </c>
      <c r="B795">
        <f t="shared" si="12"/>
        <v>1</v>
      </c>
    </row>
    <row r="796" spans="1:2" x14ac:dyDescent="0.3">
      <c r="A796" t="s">
        <v>34</v>
      </c>
      <c r="B796">
        <f t="shared" si="12"/>
        <v>0</v>
      </c>
    </row>
    <row r="797" spans="1:2" x14ac:dyDescent="0.3">
      <c r="A797" t="s">
        <v>22</v>
      </c>
      <c r="B797">
        <f t="shared" si="12"/>
        <v>1</v>
      </c>
    </row>
    <row r="798" spans="1:2" x14ac:dyDescent="0.3">
      <c r="A798" t="s">
        <v>34</v>
      </c>
      <c r="B798">
        <f t="shared" si="12"/>
        <v>0</v>
      </c>
    </row>
    <row r="799" spans="1:2" x14ac:dyDescent="0.3">
      <c r="A799" t="s">
        <v>22</v>
      </c>
      <c r="B799">
        <f t="shared" si="12"/>
        <v>1</v>
      </c>
    </row>
    <row r="800" spans="1:2" x14ac:dyDescent="0.3">
      <c r="A800" t="s">
        <v>22</v>
      </c>
      <c r="B800">
        <f t="shared" si="12"/>
        <v>1</v>
      </c>
    </row>
    <row r="801" spans="1:2" x14ac:dyDescent="0.3">
      <c r="A801" t="s">
        <v>22</v>
      </c>
      <c r="B801">
        <f t="shared" si="12"/>
        <v>1</v>
      </c>
    </row>
    <row r="802" spans="1:2" x14ac:dyDescent="0.3">
      <c r="A802" t="s">
        <v>22</v>
      </c>
      <c r="B802">
        <f t="shared" si="12"/>
        <v>1</v>
      </c>
    </row>
    <row r="803" spans="1:2" x14ac:dyDescent="0.3">
      <c r="A803" t="s">
        <v>22</v>
      </c>
      <c r="B803">
        <f t="shared" si="12"/>
        <v>1</v>
      </c>
    </row>
    <row r="804" spans="1:2" x14ac:dyDescent="0.3">
      <c r="A804" t="s">
        <v>22</v>
      </c>
      <c r="B804">
        <f t="shared" si="12"/>
        <v>1</v>
      </c>
    </row>
    <row r="805" spans="1:2" x14ac:dyDescent="0.3">
      <c r="A805" t="s">
        <v>22</v>
      </c>
      <c r="B805">
        <f t="shared" si="12"/>
        <v>1</v>
      </c>
    </row>
    <row r="806" spans="1:2" x14ac:dyDescent="0.3">
      <c r="A806" t="s">
        <v>22</v>
      </c>
      <c r="B806">
        <f t="shared" si="12"/>
        <v>1</v>
      </c>
    </row>
    <row r="807" spans="1:2" x14ac:dyDescent="0.3">
      <c r="A807" t="s">
        <v>22</v>
      </c>
      <c r="B807">
        <f t="shared" si="12"/>
        <v>1</v>
      </c>
    </row>
    <row r="808" spans="1:2" x14ac:dyDescent="0.3">
      <c r="A808" t="s">
        <v>34</v>
      </c>
      <c r="B808">
        <f t="shared" si="12"/>
        <v>0</v>
      </c>
    </row>
    <row r="809" spans="1:2" x14ac:dyDescent="0.3">
      <c r="A809" t="s">
        <v>22</v>
      </c>
      <c r="B809">
        <f t="shared" si="12"/>
        <v>1</v>
      </c>
    </row>
    <row r="810" spans="1:2" x14ac:dyDescent="0.3">
      <c r="A810" t="s">
        <v>34</v>
      </c>
      <c r="B810">
        <f t="shared" si="12"/>
        <v>0</v>
      </c>
    </row>
    <row r="811" spans="1:2" x14ac:dyDescent="0.3">
      <c r="A811" t="s">
        <v>34</v>
      </c>
      <c r="B811">
        <f t="shared" si="12"/>
        <v>0</v>
      </c>
    </row>
    <row r="812" spans="1:2" x14ac:dyDescent="0.3">
      <c r="A812" t="s">
        <v>22</v>
      </c>
      <c r="B812">
        <f t="shared" si="12"/>
        <v>1</v>
      </c>
    </row>
    <row r="813" spans="1:2" x14ac:dyDescent="0.3">
      <c r="A813" t="s">
        <v>34</v>
      </c>
      <c r="B813">
        <f t="shared" si="12"/>
        <v>0</v>
      </c>
    </row>
    <row r="814" spans="1:2" x14ac:dyDescent="0.3">
      <c r="A814" t="s">
        <v>34</v>
      </c>
      <c r="B814">
        <f t="shared" si="12"/>
        <v>0</v>
      </c>
    </row>
    <row r="815" spans="1:2" x14ac:dyDescent="0.3">
      <c r="A815" t="s">
        <v>22</v>
      </c>
      <c r="B815">
        <f t="shared" si="12"/>
        <v>1</v>
      </c>
    </row>
    <row r="816" spans="1:2" x14ac:dyDescent="0.3">
      <c r="A816" t="s">
        <v>34</v>
      </c>
      <c r="B816">
        <f t="shared" si="12"/>
        <v>0</v>
      </c>
    </row>
    <row r="817" spans="1:2" x14ac:dyDescent="0.3">
      <c r="A817" t="s">
        <v>22</v>
      </c>
      <c r="B817">
        <f t="shared" si="12"/>
        <v>1</v>
      </c>
    </row>
    <row r="818" spans="1:2" x14ac:dyDescent="0.3">
      <c r="A818" t="s">
        <v>22</v>
      </c>
      <c r="B818">
        <f t="shared" si="12"/>
        <v>1</v>
      </c>
    </row>
    <row r="819" spans="1:2" x14ac:dyDescent="0.3">
      <c r="A819" t="s">
        <v>34</v>
      </c>
      <c r="B819">
        <f t="shared" si="12"/>
        <v>0</v>
      </c>
    </row>
    <row r="820" spans="1:2" x14ac:dyDescent="0.3">
      <c r="A820" t="s">
        <v>22</v>
      </c>
      <c r="B820">
        <f t="shared" si="12"/>
        <v>1</v>
      </c>
    </row>
    <row r="821" spans="1:2" x14ac:dyDescent="0.3">
      <c r="A821" t="s">
        <v>22</v>
      </c>
      <c r="B821">
        <f t="shared" si="12"/>
        <v>1</v>
      </c>
    </row>
    <row r="822" spans="1:2" x14ac:dyDescent="0.3">
      <c r="A822" t="s">
        <v>34</v>
      </c>
      <c r="B822">
        <f t="shared" si="12"/>
        <v>0</v>
      </c>
    </row>
    <row r="823" spans="1:2" x14ac:dyDescent="0.3">
      <c r="A823" t="s">
        <v>34</v>
      </c>
      <c r="B823">
        <f t="shared" si="12"/>
        <v>0</v>
      </c>
    </row>
    <row r="824" spans="1:2" x14ac:dyDescent="0.3">
      <c r="A824" t="s">
        <v>22</v>
      </c>
      <c r="B824">
        <f t="shared" si="12"/>
        <v>1</v>
      </c>
    </row>
    <row r="825" spans="1:2" x14ac:dyDescent="0.3">
      <c r="A825" t="s">
        <v>22</v>
      </c>
      <c r="B825">
        <f t="shared" si="12"/>
        <v>1</v>
      </c>
    </row>
    <row r="826" spans="1:2" x14ac:dyDescent="0.3">
      <c r="A826" t="s">
        <v>22</v>
      </c>
      <c r="B826">
        <f t="shared" si="12"/>
        <v>1</v>
      </c>
    </row>
    <row r="827" spans="1:2" x14ac:dyDescent="0.3">
      <c r="A827" t="s">
        <v>34</v>
      </c>
      <c r="B827">
        <f t="shared" si="12"/>
        <v>0</v>
      </c>
    </row>
    <row r="828" spans="1:2" x14ac:dyDescent="0.3">
      <c r="A828" t="s">
        <v>22</v>
      </c>
      <c r="B828">
        <f t="shared" si="12"/>
        <v>1</v>
      </c>
    </row>
    <row r="829" spans="1:2" x14ac:dyDescent="0.3">
      <c r="A829" t="s">
        <v>22</v>
      </c>
      <c r="B829">
        <f t="shared" si="12"/>
        <v>1</v>
      </c>
    </row>
    <row r="830" spans="1:2" x14ac:dyDescent="0.3">
      <c r="A830" t="s">
        <v>34</v>
      </c>
      <c r="B830">
        <f t="shared" si="12"/>
        <v>0</v>
      </c>
    </row>
    <row r="831" spans="1:2" x14ac:dyDescent="0.3">
      <c r="A831" t="s">
        <v>22</v>
      </c>
      <c r="B831">
        <f t="shared" si="12"/>
        <v>1</v>
      </c>
    </row>
    <row r="832" spans="1:2" x14ac:dyDescent="0.3">
      <c r="A832" t="s">
        <v>22</v>
      </c>
      <c r="B832">
        <f t="shared" si="12"/>
        <v>1</v>
      </c>
    </row>
    <row r="833" spans="1:2" x14ac:dyDescent="0.3">
      <c r="A833" t="s">
        <v>22</v>
      </c>
      <c r="B833">
        <f t="shared" si="12"/>
        <v>1</v>
      </c>
    </row>
    <row r="834" spans="1:2" x14ac:dyDescent="0.3">
      <c r="A834" t="s">
        <v>34</v>
      </c>
      <c r="B834">
        <f t="shared" si="12"/>
        <v>0</v>
      </c>
    </row>
    <row r="835" spans="1:2" x14ac:dyDescent="0.3">
      <c r="A835" t="s">
        <v>22</v>
      </c>
      <c r="B835">
        <f t="shared" ref="B835:B898" si="13">IF(A835="Female",1,0)</f>
        <v>1</v>
      </c>
    </row>
    <row r="836" spans="1:2" x14ac:dyDescent="0.3">
      <c r="A836" t="s">
        <v>22</v>
      </c>
      <c r="B836">
        <f t="shared" si="13"/>
        <v>1</v>
      </c>
    </row>
    <row r="837" spans="1:2" x14ac:dyDescent="0.3">
      <c r="A837" t="s">
        <v>34</v>
      </c>
      <c r="B837">
        <f t="shared" si="13"/>
        <v>0</v>
      </c>
    </row>
    <row r="838" spans="1:2" x14ac:dyDescent="0.3">
      <c r="A838" t="s">
        <v>22</v>
      </c>
      <c r="B838">
        <f t="shared" si="13"/>
        <v>1</v>
      </c>
    </row>
    <row r="839" spans="1:2" x14ac:dyDescent="0.3">
      <c r="A839" t="s">
        <v>22</v>
      </c>
      <c r="B839">
        <f t="shared" si="13"/>
        <v>1</v>
      </c>
    </row>
    <row r="840" spans="1:2" x14ac:dyDescent="0.3">
      <c r="A840" t="s">
        <v>22</v>
      </c>
      <c r="B840">
        <f t="shared" si="13"/>
        <v>1</v>
      </c>
    </row>
    <row r="841" spans="1:2" x14ac:dyDescent="0.3">
      <c r="A841" t="s">
        <v>22</v>
      </c>
      <c r="B841">
        <f t="shared" si="13"/>
        <v>1</v>
      </c>
    </row>
    <row r="842" spans="1:2" x14ac:dyDescent="0.3">
      <c r="A842" t="s">
        <v>22</v>
      </c>
      <c r="B842">
        <f t="shared" si="13"/>
        <v>1</v>
      </c>
    </row>
    <row r="843" spans="1:2" x14ac:dyDescent="0.3">
      <c r="A843" t="s">
        <v>34</v>
      </c>
      <c r="B843">
        <f t="shared" si="13"/>
        <v>0</v>
      </c>
    </row>
    <row r="844" spans="1:2" x14ac:dyDescent="0.3">
      <c r="A844" t="s">
        <v>22</v>
      </c>
      <c r="B844">
        <f t="shared" si="13"/>
        <v>1</v>
      </c>
    </row>
    <row r="845" spans="1:2" x14ac:dyDescent="0.3">
      <c r="A845" t="s">
        <v>22</v>
      </c>
      <c r="B845">
        <f t="shared" si="13"/>
        <v>1</v>
      </c>
    </row>
    <row r="846" spans="1:2" x14ac:dyDescent="0.3">
      <c r="A846" t="s">
        <v>22</v>
      </c>
      <c r="B846">
        <f t="shared" si="13"/>
        <v>1</v>
      </c>
    </row>
    <row r="847" spans="1:2" x14ac:dyDescent="0.3">
      <c r="A847" t="s">
        <v>22</v>
      </c>
      <c r="B847">
        <f t="shared" si="13"/>
        <v>1</v>
      </c>
    </row>
    <row r="848" spans="1:2" x14ac:dyDescent="0.3">
      <c r="A848" t="s">
        <v>34</v>
      </c>
      <c r="B848">
        <f t="shared" si="13"/>
        <v>0</v>
      </c>
    </row>
    <row r="849" spans="1:2" x14ac:dyDescent="0.3">
      <c r="A849" t="s">
        <v>22</v>
      </c>
      <c r="B849">
        <f t="shared" si="13"/>
        <v>1</v>
      </c>
    </row>
    <row r="850" spans="1:2" x14ac:dyDescent="0.3">
      <c r="A850" t="s">
        <v>34</v>
      </c>
      <c r="B850">
        <f t="shared" si="13"/>
        <v>0</v>
      </c>
    </row>
    <row r="851" spans="1:2" x14ac:dyDescent="0.3">
      <c r="A851" t="s">
        <v>34</v>
      </c>
      <c r="B851">
        <f t="shared" si="13"/>
        <v>0</v>
      </c>
    </row>
    <row r="852" spans="1:2" x14ac:dyDescent="0.3">
      <c r="A852" t="s">
        <v>22</v>
      </c>
      <c r="B852">
        <f t="shared" si="13"/>
        <v>1</v>
      </c>
    </row>
    <row r="853" spans="1:2" x14ac:dyDescent="0.3">
      <c r="A853" t="s">
        <v>34</v>
      </c>
      <c r="B853">
        <f t="shared" si="13"/>
        <v>0</v>
      </c>
    </row>
    <row r="854" spans="1:2" x14ac:dyDescent="0.3">
      <c r="A854" t="s">
        <v>22</v>
      </c>
      <c r="B854">
        <f t="shared" si="13"/>
        <v>1</v>
      </c>
    </row>
    <row r="855" spans="1:2" x14ac:dyDescent="0.3">
      <c r="A855" t="s">
        <v>22</v>
      </c>
      <c r="B855">
        <f t="shared" si="13"/>
        <v>1</v>
      </c>
    </row>
    <row r="856" spans="1:2" x14ac:dyDescent="0.3">
      <c r="A856" t="s">
        <v>34</v>
      </c>
      <c r="B856">
        <f t="shared" si="13"/>
        <v>0</v>
      </c>
    </row>
    <row r="857" spans="1:2" x14ac:dyDescent="0.3">
      <c r="A857" t="s">
        <v>22</v>
      </c>
      <c r="B857">
        <f t="shared" si="13"/>
        <v>1</v>
      </c>
    </row>
    <row r="858" spans="1:2" x14ac:dyDescent="0.3">
      <c r="A858" t="s">
        <v>22</v>
      </c>
      <c r="B858">
        <f t="shared" si="13"/>
        <v>1</v>
      </c>
    </row>
    <row r="859" spans="1:2" x14ac:dyDescent="0.3">
      <c r="A859" t="s">
        <v>34</v>
      </c>
      <c r="B859">
        <f t="shared" si="13"/>
        <v>0</v>
      </c>
    </row>
    <row r="860" spans="1:2" x14ac:dyDescent="0.3">
      <c r="A860" t="s">
        <v>34</v>
      </c>
      <c r="B860">
        <f t="shared" si="13"/>
        <v>0</v>
      </c>
    </row>
    <row r="861" spans="1:2" x14ac:dyDescent="0.3">
      <c r="A861" t="s">
        <v>34</v>
      </c>
      <c r="B861">
        <f t="shared" si="13"/>
        <v>0</v>
      </c>
    </row>
    <row r="862" spans="1:2" x14ac:dyDescent="0.3">
      <c r="A862" t="s">
        <v>34</v>
      </c>
      <c r="B862">
        <f t="shared" si="13"/>
        <v>0</v>
      </c>
    </row>
    <row r="863" spans="1:2" x14ac:dyDescent="0.3">
      <c r="A863" t="s">
        <v>34</v>
      </c>
      <c r="B863">
        <f t="shared" si="13"/>
        <v>0</v>
      </c>
    </row>
    <row r="864" spans="1:2" x14ac:dyDescent="0.3">
      <c r="A864" t="s">
        <v>22</v>
      </c>
      <c r="B864">
        <f t="shared" si="13"/>
        <v>1</v>
      </c>
    </row>
    <row r="865" spans="1:2" x14ac:dyDescent="0.3">
      <c r="A865" t="s">
        <v>22</v>
      </c>
      <c r="B865">
        <f t="shared" si="13"/>
        <v>1</v>
      </c>
    </row>
    <row r="866" spans="1:2" x14ac:dyDescent="0.3">
      <c r="A866" t="s">
        <v>34</v>
      </c>
      <c r="B866">
        <f t="shared" si="13"/>
        <v>0</v>
      </c>
    </row>
    <row r="867" spans="1:2" x14ac:dyDescent="0.3">
      <c r="A867" t="s">
        <v>34</v>
      </c>
      <c r="B867">
        <f t="shared" si="13"/>
        <v>0</v>
      </c>
    </row>
    <row r="868" spans="1:2" x14ac:dyDescent="0.3">
      <c r="A868" t="s">
        <v>22</v>
      </c>
      <c r="B868">
        <f t="shared" si="13"/>
        <v>1</v>
      </c>
    </row>
    <row r="869" spans="1:2" x14ac:dyDescent="0.3">
      <c r="A869" t="s">
        <v>34</v>
      </c>
      <c r="B869">
        <f t="shared" si="13"/>
        <v>0</v>
      </c>
    </row>
    <row r="870" spans="1:2" x14ac:dyDescent="0.3">
      <c r="A870" t="s">
        <v>22</v>
      </c>
      <c r="B870">
        <f t="shared" si="13"/>
        <v>1</v>
      </c>
    </row>
    <row r="871" spans="1:2" x14ac:dyDescent="0.3">
      <c r="A871" t="s">
        <v>22</v>
      </c>
      <c r="B871">
        <f t="shared" si="13"/>
        <v>1</v>
      </c>
    </row>
    <row r="872" spans="1:2" x14ac:dyDescent="0.3">
      <c r="A872" t="s">
        <v>22</v>
      </c>
      <c r="B872">
        <f t="shared" si="13"/>
        <v>1</v>
      </c>
    </row>
    <row r="873" spans="1:2" x14ac:dyDescent="0.3">
      <c r="A873" t="s">
        <v>34</v>
      </c>
      <c r="B873">
        <f t="shared" si="13"/>
        <v>0</v>
      </c>
    </row>
    <row r="874" spans="1:2" x14ac:dyDescent="0.3">
      <c r="A874" t="s">
        <v>22</v>
      </c>
      <c r="B874">
        <f t="shared" si="13"/>
        <v>1</v>
      </c>
    </row>
    <row r="875" spans="1:2" x14ac:dyDescent="0.3">
      <c r="A875" t="s">
        <v>34</v>
      </c>
      <c r="B875">
        <f t="shared" si="13"/>
        <v>0</v>
      </c>
    </row>
    <row r="876" spans="1:2" x14ac:dyDescent="0.3">
      <c r="A876" t="s">
        <v>22</v>
      </c>
      <c r="B876">
        <f t="shared" si="13"/>
        <v>1</v>
      </c>
    </row>
    <row r="877" spans="1:2" x14ac:dyDescent="0.3">
      <c r="A877" t="s">
        <v>22</v>
      </c>
      <c r="B877">
        <f t="shared" si="13"/>
        <v>1</v>
      </c>
    </row>
    <row r="878" spans="1:2" x14ac:dyDescent="0.3">
      <c r="A878" t="s">
        <v>22</v>
      </c>
      <c r="B878">
        <f t="shared" si="13"/>
        <v>1</v>
      </c>
    </row>
    <row r="879" spans="1:2" x14ac:dyDescent="0.3">
      <c r="A879" t="s">
        <v>34</v>
      </c>
      <c r="B879">
        <f t="shared" si="13"/>
        <v>0</v>
      </c>
    </row>
    <row r="880" spans="1:2" x14ac:dyDescent="0.3">
      <c r="A880" t="s">
        <v>22</v>
      </c>
      <c r="B880">
        <f t="shared" si="13"/>
        <v>1</v>
      </c>
    </row>
    <row r="881" spans="1:2" x14ac:dyDescent="0.3">
      <c r="A881" t="s">
        <v>34</v>
      </c>
      <c r="B881">
        <f t="shared" si="13"/>
        <v>0</v>
      </c>
    </row>
    <row r="882" spans="1:2" x14ac:dyDescent="0.3">
      <c r="A882" t="s">
        <v>34</v>
      </c>
      <c r="B882">
        <f t="shared" si="13"/>
        <v>0</v>
      </c>
    </row>
    <row r="883" spans="1:2" x14ac:dyDescent="0.3">
      <c r="A883" t="s">
        <v>22</v>
      </c>
      <c r="B883">
        <f t="shared" si="13"/>
        <v>1</v>
      </c>
    </row>
    <row r="884" spans="1:2" x14ac:dyDescent="0.3">
      <c r="A884" t="s">
        <v>22</v>
      </c>
      <c r="B884">
        <f t="shared" si="13"/>
        <v>1</v>
      </c>
    </row>
    <row r="885" spans="1:2" x14ac:dyDescent="0.3">
      <c r="A885" t="s">
        <v>34</v>
      </c>
      <c r="B885">
        <f t="shared" si="13"/>
        <v>0</v>
      </c>
    </row>
    <row r="886" spans="1:2" x14ac:dyDescent="0.3">
      <c r="A886" t="s">
        <v>34</v>
      </c>
      <c r="B886">
        <f t="shared" si="13"/>
        <v>0</v>
      </c>
    </row>
    <row r="887" spans="1:2" x14ac:dyDescent="0.3">
      <c r="A887" t="s">
        <v>22</v>
      </c>
      <c r="B887">
        <f t="shared" si="13"/>
        <v>1</v>
      </c>
    </row>
    <row r="888" spans="1:2" x14ac:dyDescent="0.3">
      <c r="A888" t="s">
        <v>22</v>
      </c>
      <c r="B888">
        <f t="shared" si="13"/>
        <v>1</v>
      </c>
    </row>
    <row r="889" spans="1:2" x14ac:dyDescent="0.3">
      <c r="A889" t="s">
        <v>22</v>
      </c>
      <c r="B889">
        <f t="shared" si="13"/>
        <v>1</v>
      </c>
    </row>
    <row r="890" spans="1:2" x14ac:dyDescent="0.3">
      <c r="A890" t="s">
        <v>34</v>
      </c>
      <c r="B890">
        <f t="shared" si="13"/>
        <v>0</v>
      </c>
    </row>
    <row r="891" spans="1:2" x14ac:dyDescent="0.3">
      <c r="A891" t="s">
        <v>22</v>
      </c>
      <c r="B891">
        <f t="shared" si="13"/>
        <v>1</v>
      </c>
    </row>
    <row r="892" spans="1:2" x14ac:dyDescent="0.3">
      <c r="A892" t="s">
        <v>22</v>
      </c>
      <c r="B892">
        <f t="shared" si="13"/>
        <v>1</v>
      </c>
    </row>
    <row r="893" spans="1:2" x14ac:dyDescent="0.3">
      <c r="A893" t="s">
        <v>22</v>
      </c>
      <c r="B893">
        <f t="shared" si="13"/>
        <v>1</v>
      </c>
    </row>
    <row r="894" spans="1:2" x14ac:dyDescent="0.3">
      <c r="A894" t="s">
        <v>22</v>
      </c>
      <c r="B894">
        <f t="shared" si="13"/>
        <v>1</v>
      </c>
    </row>
    <row r="895" spans="1:2" x14ac:dyDescent="0.3">
      <c r="A895" t="s">
        <v>34</v>
      </c>
      <c r="B895">
        <f t="shared" si="13"/>
        <v>0</v>
      </c>
    </row>
    <row r="896" spans="1:2" x14ac:dyDescent="0.3">
      <c r="A896" t="s">
        <v>22</v>
      </c>
      <c r="B896">
        <f t="shared" si="13"/>
        <v>1</v>
      </c>
    </row>
    <row r="897" spans="1:2" x14ac:dyDescent="0.3">
      <c r="A897" t="s">
        <v>22</v>
      </c>
      <c r="B897">
        <f t="shared" si="13"/>
        <v>1</v>
      </c>
    </row>
    <row r="898" spans="1:2" x14ac:dyDescent="0.3">
      <c r="A898" t="s">
        <v>34</v>
      </c>
      <c r="B898">
        <f t="shared" si="13"/>
        <v>0</v>
      </c>
    </row>
    <row r="899" spans="1:2" x14ac:dyDescent="0.3">
      <c r="A899" t="s">
        <v>22</v>
      </c>
      <c r="B899">
        <f t="shared" ref="B899:B962" si="14">IF(A899="Female",1,0)</f>
        <v>1</v>
      </c>
    </row>
    <row r="900" spans="1:2" x14ac:dyDescent="0.3">
      <c r="A900" t="s">
        <v>22</v>
      </c>
      <c r="B900">
        <f t="shared" si="14"/>
        <v>1</v>
      </c>
    </row>
    <row r="901" spans="1:2" x14ac:dyDescent="0.3">
      <c r="A901" t="s">
        <v>34</v>
      </c>
      <c r="B901">
        <f t="shared" si="14"/>
        <v>0</v>
      </c>
    </row>
    <row r="902" spans="1:2" x14ac:dyDescent="0.3">
      <c r="A902" t="s">
        <v>22</v>
      </c>
      <c r="B902">
        <f t="shared" si="14"/>
        <v>1</v>
      </c>
    </row>
    <row r="903" spans="1:2" x14ac:dyDescent="0.3">
      <c r="A903" t="s">
        <v>34</v>
      </c>
      <c r="B903">
        <f t="shared" si="14"/>
        <v>0</v>
      </c>
    </row>
    <row r="904" spans="1:2" x14ac:dyDescent="0.3">
      <c r="A904" t="s">
        <v>22</v>
      </c>
      <c r="B904">
        <f t="shared" si="14"/>
        <v>1</v>
      </c>
    </row>
    <row r="905" spans="1:2" x14ac:dyDescent="0.3">
      <c r="A905" t="s">
        <v>34</v>
      </c>
      <c r="B905">
        <f t="shared" si="14"/>
        <v>0</v>
      </c>
    </row>
    <row r="906" spans="1:2" x14ac:dyDescent="0.3">
      <c r="A906" t="s">
        <v>34</v>
      </c>
      <c r="B906">
        <f t="shared" si="14"/>
        <v>0</v>
      </c>
    </row>
    <row r="907" spans="1:2" x14ac:dyDescent="0.3">
      <c r="A907" t="s">
        <v>22</v>
      </c>
      <c r="B907">
        <f t="shared" si="14"/>
        <v>1</v>
      </c>
    </row>
    <row r="908" spans="1:2" x14ac:dyDescent="0.3">
      <c r="A908" t="s">
        <v>22</v>
      </c>
      <c r="B908">
        <f t="shared" si="14"/>
        <v>1</v>
      </c>
    </row>
    <row r="909" spans="1:2" x14ac:dyDescent="0.3">
      <c r="A909" t="s">
        <v>22</v>
      </c>
      <c r="B909">
        <f t="shared" si="14"/>
        <v>1</v>
      </c>
    </row>
    <row r="910" spans="1:2" x14ac:dyDescent="0.3">
      <c r="A910" t="s">
        <v>34</v>
      </c>
      <c r="B910">
        <f t="shared" si="14"/>
        <v>0</v>
      </c>
    </row>
    <row r="911" spans="1:2" x14ac:dyDescent="0.3">
      <c r="A911" t="s">
        <v>34</v>
      </c>
      <c r="B911">
        <f t="shared" si="14"/>
        <v>0</v>
      </c>
    </row>
    <row r="912" spans="1:2" x14ac:dyDescent="0.3">
      <c r="A912" t="s">
        <v>34</v>
      </c>
      <c r="B912">
        <f t="shared" si="14"/>
        <v>0</v>
      </c>
    </row>
    <row r="913" spans="1:2" x14ac:dyDescent="0.3">
      <c r="A913" t="s">
        <v>34</v>
      </c>
      <c r="B913">
        <f t="shared" si="14"/>
        <v>0</v>
      </c>
    </row>
    <row r="914" spans="1:2" x14ac:dyDescent="0.3">
      <c r="A914" t="s">
        <v>34</v>
      </c>
      <c r="B914">
        <f t="shared" si="14"/>
        <v>0</v>
      </c>
    </row>
    <row r="915" spans="1:2" x14ac:dyDescent="0.3">
      <c r="A915" t="s">
        <v>22</v>
      </c>
      <c r="B915">
        <f t="shared" si="14"/>
        <v>1</v>
      </c>
    </row>
    <row r="916" spans="1:2" x14ac:dyDescent="0.3">
      <c r="A916" t="s">
        <v>34</v>
      </c>
      <c r="B916">
        <f t="shared" si="14"/>
        <v>0</v>
      </c>
    </row>
    <row r="917" spans="1:2" x14ac:dyDescent="0.3">
      <c r="A917" t="s">
        <v>22</v>
      </c>
      <c r="B917">
        <f t="shared" si="14"/>
        <v>1</v>
      </c>
    </row>
    <row r="918" spans="1:2" x14ac:dyDescent="0.3">
      <c r="A918" t="s">
        <v>34</v>
      </c>
      <c r="B918">
        <f t="shared" si="14"/>
        <v>0</v>
      </c>
    </row>
    <row r="919" spans="1:2" x14ac:dyDescent="0.3">
      <c r="A919" t="s">
        <v>22</v>
      </c>
      <c r="B919">
        <f t="shared" si="14"/>
        <v>1</v>
      </c>
    </row>
    <row r="920" spans="1:2" x14ac:dyDescent="0.3">
      <c r="A920" t="s">
        <v>34</v>
      </c>
      <c r="B920">
        <f t="shared" si="14"/>
        <v>0</v>
      </c>
    </row>
    <row r="921" spans="1:2" x14ac:dyDescent="0.3">
      <c r="A921" t="s">
        <v>22</v>
      </c>
      <c r="B921">
        <f t="shared" si="14"/>
        <v>1</v>
      </c>
    </row>
    <row r="922" spans="1:2" x14ac:dyDescent="0.3">
      <c r="A922" t="s">
        <v>22</v>
      </c>
      <c r="B922">
        <f t="shared" si="14"/>
        <v>1</v>
      </c>
    </row>
    <row r="923" spans="1:2" x14ac:dyDescent="0.3">
      <c r="A923" t="s">
        <v>34</v>
      </c>
      <c r="B923">
        <f t="shared" si="14"/>
        <v>0</v>
      </c>
    </row>
    <row r="924" spans="1:2" x14ac:dyDescent="0.3">
      <c r="A924" t="s">
        <v>34</v>
      </c>
      <c r="B924">
        <f t="shared" si="14"/>
        <v>0</v>
      </c>
    </row>
    <row r="925" spans="1:2" x14ac:dyDescent="0.3">
      <c r="A925" t="s">
        <v>34</v>
      </c>
      <c r="B925">
        <f t="shared" si="14"/>
        <v>0</v>
      </c>
    </row>
    <row r="926" spans="1:2" x14ac:dyDescent="0.3">
      <c r="A926" t="s">
        <v>22</v>
      </c>
      <c r="B926">
        <f t="shared" si="14"/>
        <v>1</v>
      </c>
    </row>
    <row r="927" spans="1:2" x14ac:dyDescent="0.3">
      <c r="A927" t="s">
        <v>22</v>
      </c>
      <c r="B927">
        <f t="shared" si="14"/>
        <v>1</v>
      </c>
    </row>
    <row r="928" spans="1:2" x14ac:dyDescent="0.3">
      <c r="A928" t="s">
        <v>34</v>
      </c>
      <c r="B928">
        <f t="shared" si="14"/>
        <v>0</v>
      </c>
    </row>
    <row r="929" spans="1:2" x14ac:dyDescent="0.3">
      <c r="A929" t="s">
        <v>22</v>
      </c>
      <c r="B929">
        <f t="shared" si="14"/>
        <v>1</v>
      </c>
    </row>
    <row r="930" spans="1:2" x14ac:dyDescent="0.3">
      <c r="A930" t="s">
        <v>22</v>
      </c>
      <c r="B930">
        <f t="shared" si="14"/>
        <v>1</v>
      </c>
    </row>
    <row r="931" spans="1:2" x14ac:dyDescent="0.3">
      <c r="A931" t="s">
        <v>22</v>
      </c>
      <c r="B931">
        <f t="shared" si="14"/>
        <v>1</v>
      </c>
    </row>
    <row r="932" spans="1:2" x14ac:dyDescent="0.3">
      <c r="A932" t="s">
        <v>34</v>
      </c>
      <c r="B932">
        <f t="shared" si="14"/>
        <v>0</v>
      </c>
    </row>
    <row r="933" spans="1:2" x14ac:dyDescent="0.3">
      <c r="A933" t="s">
        <v>22</v>
      </c>
      <c r="B933">
        <f t="shared" si="14"/>
        <v>1</v>
      </c>
    </row>
    <row r="934" spans="1:2" x14ac:dyDescent="0.3">
      <c r="A934" t="s">
        <v>34</v>
      </c>
      <c r="B934">
        <f t="shared" si="14"/>
        <v>0</v>
      </c>
    </row>
    <row r="935" spans="1:2" x14ac:dyDescent="0.3">
      <c r="A935" t="s">
        <v>22</v>
      </c>
      <c r="B935">
        <f t="shared" si="14"/>
        <v>1</v>
      </c>
    </row>
    <row r="936" spans="1:2" x14ac:dyDescent="0.3">
      <c r="A936" t="s">
        <v>22</v>
      </c>
      <c r="B936">
        <f t="shared" si="14"/>
        <v>1</v>
      </c>
    </row>
    <row r="937" spans="1:2" x14ac:dyDescent="0.3">
      <c r="A937" t="s">
        <v>22</v>
      </c>
      <c r="B937">
        <f t="shared" si="14"/>
        <v>1</v>
      </c>
    </row>
    <row r="938" spans="1:2" x14ac:dyDescent="0.3">
      <c r="A938" t="s">
        <v>34</v>
      </c>
      <c r="B938">
        <f t="shared" si="14"/>
        <v>0</v>
      </c>
    </row>
    <row r="939" spans="1:2" x14ac:dyDescent="0.3">
      <c r="A939" t="s">
        <v>22</v>
      </c>
      <c r="B939">
        <f t="shared" si="14"/>
        <v>1</v>
      </c>
    </row>
    <row r="940" spans="1:2" x14ac:dyDescent="0.3">
      <c r="A940" t="s">
        <v>34</v>
      </c>
      <c r="B940">
        <f t="shared" si="14"/>
        <v>0</v>
      </c>
    </row>
    <row r="941" spans="1:2" x14ac:dyDescent="0.3">
      <c r="A941" t="s">
        <v>22</v>
      </c>
      <c r="B941">
        <f t="shared" si="14"/>
        <v>1</v>
      </c>
    </row>
    <row r="942" spans="1:2" x14ac:dyDescent="0.3">
      <c r="A942" t="s">
        <v>22</v>
      </c>
      <c r="B942">
        <f t="shared" si="14"/>
        <v>1</v>
      </c>
    </row>
    <row r="943" spans="1:2" x14ac:dyDescent="0.3">
      <c r="A943" t="s">
        <v>22</v>
      </c>
      <c r="B943">
        <f t="shared" si="14"/>
        <v>1</v>
      </c>
    </row>
    <row r="944" spans="1:2" x14ac:dyDescent="0.3">
      <c r="A944" t="s">
        <v>34</v>
      </c>
      <c r="B944">
        <f t="shared" si="14"/>
        <v>0</v>
      </c>
    </row>
    <row r="945" spans="1:2" x14ac:dyDescent="0.3">
      <c r="A945" t="s">
        <v>22</v>
      </c>
      <c r="B945">
        <f t="shared" si="14"/>
        <v>1</v>
      </c>
    </row>
    <row r="946" spans="1:2" x14ac:dyDescent="0.3">
      <c r="A946" t="s">
        <v>22</v>
      </c>
      <c r="B946">
        <f t="shared" si="14"/>
        <v>1</v>
      </c>
    </row>
    <row r="947" spans="1:2" x14ac:dyDescent="0.3">
      <c r="A947" t="s">
        <v>34</v>
      </c>
      <c r="B947">
        <f t="shared" si="14"/>
        <v>0</v>
      </c>
    </row>
    <row r="948" spans="1:2" x14ac:dyDescent="0.3">
      <c r="A948" t="s">
        <v>22</v>
      </c>
      <c r="B948">
        <f t="shared" si="14"/>
        <v>1</v>
      </c>
    </row>
    <row r="949" spans="1:2" x14ac:dyDescent="0.3">
      <c r="A949" t="s">
        <v>34</v>
      </c>
      <c r="B949">
        <f t="shared" si="14"/>
        <v>0</v>
      </c>
    </row>
    <row r="950" spans="1:2" x14ac:dyDescent="0.3">
      <c r="A950" t="s">
        <v>34</v>
      </c>
      <c r="B950">
        <f t="shared" si="14"/>
        <v>0</v>
      </c>
    </row>
    <row r="951" spans="1:2" x14ac:dyDescent="0.3">
      <c r="A951" t="s">
        <v>22</v>
      </c>
      <c r="B951">
        <f t="shared" si="14"/>
        <v>1</v>
      </c>
    </row>
    <row r="952" spans="1:2" x14ac:dyDescent="0.3">
      <c r="A952" t="s">
        <v>22</v>
      </c>
      <c r="B952">
        <f t="shared" si="14"/>
        <v>1</v>
      </c>
    </row>
    <row r="953" spans="1:2" x14ac:dyDescent="0.3">
      <c r="A953" t="s">
        <v>22</v>
      </c>
      <c r="B953">
        <f t="shared" si="14"/>
        <v>1</v>
      </c>
    </row>
    <row r="954" spans="1:2" x14ac:dyDescent="0.3">
      <c r="A954" t="s">
        <v>34</v>
      </c>
      <c r="B954">
        <f t="shared" si="14"/>
        <v>0</v>
      </c>
    </row>
    <row r="955" spans="1:2" x14ac:dyDescent="0.3">
      <c r="A955" t="s">
        <v>34</v>
      </c>
      <c r="B955">
        <f t="shared" si="14"/>
        <v>0</v>
      </c>
    </row>
    <row r="956" spans="1:2" x14ac:dyDescent="0.3">
      <c r="A956" t="s">
        <v>22</v>
      </c>
      <c r="B956">
        <f t="shared" si="14"/>
        <v>1</v>
      </c>
    </row>
    <row r="957" spans="1:2" x14ac:dyDescent="0.3">
      <c r="A957" t="s">
        <v>22</v>
      </c>
      <c r="B957">
        <f t="shared" si="14"/>
        <v>1</v>
      </c>
    </row>
    <row r="958" spans="1:2" x14ac:dyDescent="0.3">
      <c r="A958" t="s">
        <v>22</v>
      </c>
      <c r="B958">
        <f t="shared" si="14"/>
        <v>1</v>
      </c>
    </row>
    <row r="959" spans="1:2" x14ac:dyDescent="0.3">
      <c r="A959" t="s">
        <v>34</v>
      </c>
      <c r="B959">
        <f t="shared" si="14"/>
        <v>0</v>
      </c>
    </row>
    <row r="960" spans="1:2" x14ac:dyDescent="0.3">
      <c r="A960" t="s">
        <v>22</v>
      </c>
      <c r="B960">
        <f t="shared" si="14"/>
        <v>1</v>
      </c>
    </row>
    <row r="961" spans="1:2" x14ac:dyDescent="0.3">
      <c r="A961" t="s">
        <v>22</v>
      </c>
      <c r="B961">
        <f t="shared" si="14"/>
        <v>1</v>
      </c>
    </row>
    <row r="962" spans="1:2" x14ac:dyDescent="0.3">
      <c r="A962" t="s">
        <v>22</v>
      </c>
      <c r="B962">
        <f t="shared" si="14"/>
        <v>1</v>
      </c>
    </row>
    <row r="963" spans="1:2" x14ac:dyDescent="0.3">
      <c r="A963" t="s">
        <v>22</v>
      </c>
      <c r="B963">
        <f t="shared" ref="B963:B1026" si="15">IF(A963="Female",1,0)</f>
        <v>1</v>
      </c>
    </row>
    <row r="964" spans="1:2" x14ac:dyDescent="0.3">
      <c r="A964" t="s">
        <v>22</v>
      </c>
      <c r="B964">
        <f t="shared" si="15"/>
        <v>1</v>
      </c>
    </row>
    <row r="965" spans="1:2" x14ac:dyDescent="0.3">
      <c r="A965" t="s">
        <v>22</v>
      </c>
      <c r="B965">
        <f t="shared" si="15"/>
        <v>1</v>
      </c>
    </row>
    <row r="966" spans="1:2" x14ac:dyDescent="0.3">
      <c r="A966" t="s">
        <v>22</v>
      </c>
      <c r="B966">
        <f t="shared" si="15"/>
        <v>1</v>
      </c>
    </row>
    <row r="967" spans="1:2" x14ac:dyDescent="0.3">
      <c r="A967" t="s">
        <v>22</v>
      </c>
      <c r="B967">
        <f t="shared" si="15"/>
        <v>1</v>
      </c>
    </row>
    <row r="968" spans="1:2" x14ac:dyDescent="0.3">
      <c r="A968" t="s">
        <v>22</v>
      </c>
      <c r="B968">
        <f t="shared" si="15"/>
        <v>1</v>
      </c>
    </row>
    <row r="969" spans="1:2" x14ac:dyDescent="0.3">
      <c r="A969" t="s">
        <v>22</v>
      </c>
      <c r="B969">
        <f t="shared" si="15"/>
        <v>1</v>
      </c>
    </row>
    <row r="970" spans="1:2" x14ac:dyDescent="0.3">
      <c r="A970" t="s">
        <v>22</v>
      </c>
      <c r="B970">
        <f t="shared" si="15"/>
        <v>1</v>
      </c>
    </row>
    <row r="971" spans="1:2" x14ac:dyDescent="0.3">
      <c r="A971" t="s">
        <v>22</v>
      </c>
      <c r="B971">
        <f t="shared" si="15"/>
        <v>1</v>
      </c>
    </row>
    <row r="972" spans="1:2" x14ac:dyDescent="0.3">
      <c r="A972" t="s">
        <v>34</v>
      </c>
      <c r="B972">
        <f t="shared" si="15"/>
        <v>0</v>
      </c>
    </row>
    <row r="973" spans="1:2" x14ac:dyDescent="0.3">
      <c r="A973" t="s">
        <v>34</v>
      </c>
      <c r="B973">
        <f t="shared" si="15"/>
        <v>0</v>
      </c>
    </row>
    <row r="974" spans="1:2" x14ac:dyDescent="0.3">
      <c r="A974" t="s">
        <v>34</v>
      </c>
      <c r="B974">
        <f t="shared" si="15"/>
        <v>0</v>
      </c>
    </row>
    <row r="975" spans="1:2" x14ac:dyDescent="0.3">
      <c r="A975" t="s">
        <v>22</v>
      </c>
      <c r="B975">
        <f t="shared" si="15"/>
        <v>1</v>
      </c>
    </row>
    <row r="976" spans="1:2" x14ac:dyDescent="0.3">
      <c r="A976" t="s">
        <v>34</v>
      </c>
      <c r="B976">
        <f t="shared" si="15"/>
        <v>0</v>
      </c>
    </row>
    <row r="977" spans="1:2" x14ac:dyDescent="0.3">
      <c r="A977" t="s">
        <v>34</v>
      </c>
      <c r="B977">
        <f t="shared" si="15"/>
        <v>0</v>
      </c>
    </row>
    <row r="978" spans="1:2" x14ac:dyDescent="0.3">
      <c r="A978" t="s">
        <v>22</v>
      </c>
      <c r="B978">
        <f t="shared" si="15"/>
        <v>1</v>
      </c>
    </row>
    <row r="979" spans="1:2" x14ac:dyDescent="0.3">
      <c r="A979" t="s">
        <v>34</v>
      </c>
      <c r="B979">
        <f t="shared" si="15"/>
        <v>0</v>
      </c>
    </row>
    <row r="980" spans="1:2" x14ac:dyDescent="0.3">
      <c r="A980" t="s">
        <v>22</v>
      </c>
      <c r="B980">
        <f t="shared" si="15"/>
        <v>1</v>
      </c>
    </row>
    <row r="981" spans="1:2" x14ac:dyDescent="0.3">
      <c r="A981" t="s">
        <v>34</v>
      </c>
      <c r="B981">
        <f t="shared" si="15"/>
        <v>0</v>
      </c>
    </row>
    <row r="982" spans="1:2" x14ac:dyDescent="0.3">
      <c r="A982" t="s">
        <v>22</v>
      </c>
      <c r="B982">
        <f t="shared" si="15"/>
        <v>1</v>
      </c>
    </row>
    <row r="983" spans="1:2" x14ac:dyDescent="0.3">
      <c r="A983" t="s">
        <v>34</v>
      </c>
      <c r="B983">
        <f t="shared" si="15"/>
        <v>0</v>
      </c>
    </row>
    <row r="984" spans="1:2" x14ac:dyDescent="0.3">
      <c r="A984" t="s">
        <v>34</v>
      </c>
      <c r="B984">
        <f t="shared" si="15"/>
        <v>0</v>
      </c>
    </row>
    <row r="985" spans="1:2" x14ac:dyDescent="0.3">
      <c r="A985" t="s">
        <v>22</v>
      </c>
      <c r="B985">
        <f t="shared" si="15"/>
        <v>1</v>
      </c>
    </row>
    <row r="986" spans="1:2" x14ac:dyDescent="0.3">
      <c r="A986" t="s">
        <v>22</v>
      </c>
      <c r="B986">
        <f t="shared" si="15"/>
        <v>1</v>
      </c>
    </row>
    <row r="987" spans="1:2" x14ac:dyDescent="0.3">
      <c r="A987" t="s">
        <v>22</v>
      </c>
      <c r="B987">
        <f t="shared" si="15"/>
        <v>1</v>
      </c>
    </row>
    <row r="988" spans="1:2" x14ac:dyDescent="0.3">
      <c r="A988" t="s">
        <v>22</v>
      </c>
      <c r="B988">
        <f t="shared" si="15"/>
        <v>1</v>
      </c>
    </row>
    <row r="989" spans="1:2" x14ac:dyDescent="0.3">
      <c r="A989" t="s">
        <v>22</v>
      </c>
      <c r="B989">
        <f t="shared" si="15"/>
        <v>1</v>
      </c>
    </row>
    <row r="990" spans="1:2" x14ac:dyDescent="0.3">
      <c r="A990" t="s">
        <v>22</v>
      </c>
      <c r="B990">
        <f t="shared" si="15"/>
        <v>1</v>
      </c>
    </row>
    <row r="991" spans="1:2" x14ac:dyDescent="0.3">
      <c r="A991" t="s">
        <v>22</v>
      </c>
      <c r="B991">
        <f t="shared" si="15"/>
        <v>1</v>
      </c>
    </row>
    <row r="992" spans="1:2" x14ac:dyDescent="0.3">
      <c r="A992" t="s">
        <v>22</v>
      </c>
      <c r="B992">
        <f t="shared" si="15"/>
        <v>1</v>
      </c>
    </row>
    <row r="993" spans="1:2" x14ac:dyDescent="0.3">
      <c r="A993" t="s">
        <v>34</v>
      </c>
      <c r="B993">
        <f t="shared" si="15"/>
        <v>0</v>
      </c>
    </row>
    <row r="994" spans="1:2" x14ac:dyDescent="0.3">
      <c r="A994" t="s">
        <v>34</v>
      </c>
      <c r="B994">
        <f t="shared" si="15"/>
        <v>0</v>
      </c>
    </row>
    <row r="995" spans="1:2" x14ac:dyDescent="0.3">
      <c r="A995" t="s">
        <v>34</v>
      </c>
      <c r="B995">
        <f t="shared" si="15"/>
        <v>0</v>
      </c>
    </row>
    <row r="996" spans="1:2" x14ac:dyDescent="0.3">
      <c r="A996" t="s">
        <v>34</v>
      </c>
      <c r="B996">
        <f t="shared" si="15"/>
        <v>0</v>
      </c>
    </row>
    <row r="997" spans="1:2" x14ac:dyDescent="0.3">
      <c r="A997" t="s">
        <v>22</v>
      </c>
      <c r="B997">
        <f t="shared" si="15"/>
        <v>1</v>
      </c>
    </row>
    <row r="998" spans="1:2" x14ac:dyDescent="0.3">
      <c r="A998" t="s">
        <v>22</v>
      </c>
      <c r="B998">
        <f t="shared" si="15"/>
        <v>1</v>
      </c>
    </row>
    <row r="999" spans="1:2" x14ac:dyDescent="0.3">
      <c r="A999" t="s">
        <v>34</v>
      </c>
      <c r="B999">
        <f t="shared" si="15"/>
        <v>0</v>
      </c>
    </row>
    <row r="1000" spans="1:2" x14ac:dyDescent="0.3">
      <c r="A1000" t="s">
        <v>34</v>
      </c>
      <c r="B1000">
        <f t="shared" si="15"/>
        <v>0</v>
      </c>
    </row>
    <row r="1001" spans="1:2" x14ac:dyDescent="0.3">
      <c r="A1001" t="s">
        <v>22</v>
      </c>
      <c r="B1001">
        <f t="shared" si="15"/>
        <v>1</v>
      </c>
    </row>
    <row r="1002" spans="1:2" x14ac:dyDescent="0.3">
      <c r="A1002" t="s">
        <v>22</v>
      </c>
      <c r="B1002">
        <f t="shared" si="15"/>
        <v>1</v>
      </c>
    </row>
    <row r="1003" spans="1:2" x14ac:dyDescent="0.3">
      <c r="A1003" t="s">
        <v>34</v>
      </c>
      <c r="B1003">
        <f t="shared" si="15"/>
        <v>0</v>
      </c>
    </row>
    <row r="1004" spans="1:2" x14ac:dyDescent="0.3">
      <c r="A1004" t="s">
        <v>22</v>
      </c>
      <c r="B1004">
        <f t="shared" si="15"/>
        <v>1</v>
      </c>
    </row>
    <row r="1005" spans="1:2" x14ac:dyDescent="0.3">
      <c r="A1005" t="s">
        <v>22</v>
      </c>
      <c r="B1005">
        <f t="shared" si="15"/>
        <v>1</v>
      </c>
    </row>
    <row r="1006" spans="1:2" x14ac:dyDescent="0.3">
      <c r="A1006" t="s">
        <v>34</v>
      </c>
      <c r="B1006">
        <f t="shared" si="15"/>
        <v>0</v>
      </c>
    </row>
    <row r="1007" spans="1:2" x14ac:dyDescent="0.3">
      <c r="A1007" t="s">
        <v>22</v>
      </c>
      <c r="B1007">
        <f t="shared" si="15"/>
        <v>1</v>
      </c>
    </row>
    <row r="1008" spans="1:2" x14ac:dyDescent="0.3">
      <c r="A1008" t="s">
        <v>34</v>
      </c>
      <c r="B1008">
        <f t="shared" si="15"/>
        <v>0</v>
      </c>
    </row>
    <row r="1009" spans="1:2" x14ac:dyDescent="0.3">
      <c r="A1009" t="s">
        <v>34</v>
      </c>
      <c r="B1009">
        <f t="shared" si="15"/>
        <v>0</v>
      </c>
    </row>
    <row r="1010" spans="1:2" x14ac:dyDescent="0.3">
      <c r="A1010" t="s">
        <v>34</v>
      </c>
      <c r="B1010">
        <f t="shared" si="15"/>
        <v>0</v>
      </c>
    </row>
    <row r="1011" spans="1:2" x14ac:dyDescent="0.3">
      <c r="A1011" t="s">
        <v>22</v>
      </c>
      <c r="B1011">
        <f t="shared" si="15"/>
        <v>1</v>
      </c>
    </row>
    <row r="1012" spans="1:2" x14ac:dyDescent="0.3">
      <c r="A1012" t="s">
        <v>34</v>
      </c>
      <c r="B1012">
        <f t="shared" si="15"/>
        <v>0</v>
      </c>
    </row>
    <row r="1013" spans="1:2" x14ac:dyDescent="0.3">
      <c r="A1013" t="s">
        <v>34</v>
      </c>
      <c r="B1013">
        <f t="shared" si="15"/>
        <v>0</v>
      </c>
    </row>
    <row r="1014" spans="1:2" x14ac:dyDescent="0.3">
      <c r="A1014" t="s">
        <v>34</v>
      </c>
      <c r="B1014">
        <f t="shared" si="15"/>
        <v>0</v>
      </c>
    </row>
    <row r="1015" spans="1:2" x14ac:dyDescent="0.3">
      <c r="A1015" t="s">
        <v>22</v>
      </c>
      <c r="B1015">
        <f t="shared" si="15"/>
        <v>1</v>
      </c>
    </row>
    <row r="1016" spans="1:2" x14ac:dyDescent="0.3">
      <c r="A1016" t="s">
        <v>34</v>
      </c>
      <c r="B1016">
        <f t="shared" si="15"/>
        <v>0</v>
      </c>
    </row>
    <row r="1017" spans="1:2" x14ac:dyDescent="0.3">
      <c r="A1017" t="s">
        <v>22</v>
      </c>
      <c r="B1017">
        <f t="shared" si="15"/>
        <v>1</v>
      </c>
    </row>
    <row r="1018" spans="1:2" x14ac:dyDescent="0.3">
      <c r="A1018" t="s">
        <v>34</v>
      </c>
      <c r="B1018">
        <f t="shared" si="15"/>
        <v>0</v>
      </c>
    </row>
    <row r="1019" spans="1:2" x14ac:dyDescent="0.3">
      <c r="A1019" t="s">
        <v>34</v>
      </c>
      <c r="B1019">
        <f t="shared" si="15"/>
        <v>0</v>
      </c>
    </row>
    <row r="1020" spans="1:2" x14ac:dyDescent="0.3">
      <c r="A1020" t="s">
        <v>34</v>
      </c>
      <c r="B1020">
        <f t="shared" si="15"/>
        <v>0</v>
      </c>
    </row>
    <row r="1021" spans="1:2" x14ac:dyDescent="0.3">
      <c r="A1021" t="s">
        <v>34</v>
      </c>
      <c r="B1021">
        <f t="shared" si="15"/>
        <v>0</v>
      </c>
    </row>
    <row r="1022" spans="1:2" x14ac:dyDescent="0.3">
      <c r="A1022" t="s">
        <v>22</v>
      </c>
      <c r="B1022">
        <f t="shared" si="15"/>
        <v>1</v>
      </c>
    </row>
    <row r="1023" spans="1:2" x14ac:dyDescent="0.3">
      <c r="A1023" t="s">
        <v>22</v>
      </c>
      <c r="B1023">
        <f t="shared" si="15"/>
        <v>1</v>
      </c>
    </row>
    <row r="1024" spans="1:2" x14ac:dyDescent="0.3">
      <c r="A1024" t="s">
        <v>34</v>
      </c>
      <c r="B1024">
        <f t="shared" si="15"/>
        <v>0</v>
      </c>
    </row>
    <row r="1025" spans="1:2" x14ac:dyDescent="0.3">
      <c r="A1025" t="s">
        <v>22</v>
      </c>
      <c r="B1025">
        <f t="shared" si="15"/>
        <v>1</v>
      </c>
    </row>
    <row r="1026" spans="1:2" x14ac:dyDescent="0.3">
      <c r="A1026" t="s">
        <v>22</v>
      </c>
      <c r="B1026">
        <f t="shared" si="15"/>
        <v>1</v>
      </c>
    </row>
    <row r="1027" spans="1:2" x14ac:dyDescent="0.3">
      <c r="A1027" t="s">
        <v>34</v>
      </c>
      <c r="B1027">
        <f t="shared" ref="B1027:B1090" si="16">IF(A1027="Female",1,0)</f>
        <v>0</v>
      </c>
    </row>
    <row r="1028" spans="1:2" x14ac:dyDescent="0.3">
      <c r="A1028" t="s">
        <v>34</v>
      </c>
      <c r="B1028">
        <f t="shared" si="16"/>
        <v>0</v>
      </c>
    </row>
    <row r="1029" spans="1:2" x14ac:dyDescent="0.3">
      <c r="A1029" t="s">
        <v>34</v>
      </c>
      <c r="B1029">
        <f t="shared" si="16"/>
        <v>0</v>
      </c>
    </row>
    <row r="1030" spans="1:2" x14ac:dyDescent="0.3">
      <c r="A1030" t="s">
        <v>22</v>
      </c>
      <c r="B1030">
        <f t="shared" si="16"/>
        <v>1</v>
      </c>
    </row>
    <row r="1031" spans="1:2" x14ac:dyDescent="0.3">
      <c r="A1031" t="s">
        <v>34</v>
      </c>
      <c r="B1031">
        <f t="shared" si="16"/>
        <v>0</v>
      </c>
    </row>
    <row r="1032" spans="1:2" x14ac:dyDescent="0.3">
      <c r="A1032" t="s">
        <v>34</v>
      </c>
      <c r="B1032">
        <f t="shared" si="16"/>
        <v>0</v>
      </c>
    </row>
    <row r="1033" spans="1:2" x14ac:dyDescent="0.3">
      <c r="A1033" t="s">
        <v>22</v>
      </c>
      <c r="B1033">
        <f t="shared" si="16"/>
        <v>1</v>
      </c>
    </row>
    <row r="1034" spans="1:2" x14ac:dyDescent="0.3">
      <c r="A1034" t="s">
        <v>34</v>
      </c>
      <c r="B1034">
        <f t="shared" si="16"/>
        <v>0</v>
      </c>
    </row>
    <row r="1035" spans="1:2" x14ac:dyDescent="0.3">
      <c r="A1035" t="s">
        <v>34</v>
      </c>
      <c r="B1035">
        <f t="shared" si="16"/>
        <v>0</v>
      </c>
    </row>
    <row r="1036" spans="1:2" x14ac:dyDescent="0.3">
      <c r="A1036" t="s">
        <v>22</v>
      </c>
      <c r="B1036">
        <f t="shared" si="16"/>
        <v>1</v>
      </c>
    </row>
    <row r="1037" spans="1:2" x14ac:dyDescent="0.3">
      <c r="A1037" t="s">
        <v>22</v>
      </c>
      <c r="B1037">
        <f t="shared" si="16"/>
        <v>1</v>
      </c>
    </row>
    <row r="1038" spans="1:2" x14ac:dyDescent="0.3">
      <c r="A1038" t="s">
        <v>34</v>
      </c>
      <c r="B1038">
        <f t="shared" si="16"/>
        <v>0</v>
      </c>
    </row>
    <row r="1039" spans="1:2" x14ac:dyDescent="0.3">
      <c r="A1039" t="s">
        <v>22</v>
      </c>
      <c r="B1039">
        <f t="shared" si="16"/>
        <v>1</v>
      </c>
    </row>
    <row r="1040" spans="1:2" x14ac:dyDescent="0.3">
      <c r="A1040" t="s">
        <v>22</v>
      </c>
      <c r="B1040">
        <f t="shared" si="16"/>
        <v>1</v>
      </c>
    </row>
    <row r="1041" spans="1:2" x14ac:dyDescent="0.3">
      <c r="A1041" t="s">
        <v>22</v>
      </c>
      <c r="B1041">
        <f t="shared" si="16"/>
        <v>1</v>
      </c>
    </row>
    <row r="1042" spans="1:2" x14ac:dyDescent="0.3">
      <c r="A1042" t="s">
        <v>34</v>
      </c>
      <c r="B1042">
        <f t="shared" si="16"/>
        <v>0</v>
      </c>
    </row>
    <row r="1043" spans="1:2" x14ac:dyDescent="0.3">
      <c r="A1043" t="s">
        <v>22</v>
      </c>
      <c r="B1043">
        <f t="shared" si="16"/>
        <v>1</v>
      </c>
    </row>
    <row r="1044" spans="1:2" x14ac:dyDescent="0.3">
      <c r="A1044" t="s">
        <v>34</v>
      </c>
      <c r="B1044">
        <f t="shared" si="16"/>
        <v>0</v>
      </c>
    </row>
    <row r="1045" spans="1:2" x14ac:dyDescent="0.3">
      <c r="A1045" t="s">
        <v>22</v>
      </c>
      <c r="B1045">
        <f t="shared" si="16"/>
        <v>1</v>
      </c>
    </row>
    <row r="1046" spans="1:2" x14ac:dyDescent="0.3">
      <c r="A1046" t="s">
        <v>22</v>
      </c>
      <c r="B1046">
        <f t="shared" si="16"/>
        <v>1</v>
      </c>
    </row>
    <row r="1047" spans="1:2" x14ac:dyDescent="0.3">
      <c r="A1047" t="s">
        <v>34</v>
      </c>
      <c r="B1047">
        <f t="shared" si="16"/>
        <v>0</v>
      </c>
    </row>
    <row r="1048" spans="1:2" x14ac:dyDescent="0.3">
      <c r="A1048" t="s">
        <v>34</v>
      </c>
      <c r="B1048">
        <f t="shared" si="16"/>
        <v>0</v>
      </c>
    </row>
    <row r="1049" spans="1:2" x14ac:dyDescent="0.3">
      <c r="A1049" t="s">
        <v>34</v>
      </c>
      <c r="B1049">
        <f t="shared" si="16"/>
        <v>0</v>
      </c>
    </row>
    <row r="1050" spans="1:2" x14ac:dyDescent="0.3">
      <c r="A1050" t="s">
        <v>34</v>
      </c>
      <c r="B1050">
        <f t="shared" si="16"/>
        <v>0</v>
      </c>
    </row>
    <row r="1051" spans="1:2" x14ac:dyDescent="0.3">
      <c r="A1051" t="s">
        <v>34</v>
      </c>
      <c r="B1051">
        <f t="shared" si="16"/>
        <v>0</v>
      </c>
    </row>
    <row r="1052" spans="1:2" x14ac:dyDescent="0.3">
      <c r="A1052" t="s">
        <v>22</v>
      </c>
      <c r="B1052">
        <f t="shared" si="16"/>
        <v>1</v>
      </c>
    </row>
    <row r="1053" spans="1:2" x14ac:dyDescent="0.3">
      <c r="A1053" t="s">
        <v>22</v>
      </c>
      <c r="B1053">
        <f t="shared" si="16"/>
        <v>1</v>
      </c>
    </row>
    <row r="1054" spans="1:2" x14ac:dyDescent="0.3">
      <c r="A1054" t="s">
        <v>34</v>
      </c>
      <c r="B1054">
        <f t="shared" si="16"/>
        <v>0</v>
      </c>
    </row>
    <row r="1055" spans="1:2" x14ac:dyDescent="0.3">
      <c r="A1055" t="s">
        <v>22</v>
      </c>
      <c r="B1055">
        <f t="shared" si="16"/>
        <v>1</v>
      </c>
    </row>
    <row r="1056" spans="1:2" x14ac:dyDescent="0.3">
      <c r="A1056" t="s">
        <v>34</v>
      </c>
      <c r="B1056">
        <f t="shared" si="16"/>
        <v>0</v>
      </c>
    </row>
    <row r="1057" spans="1:2" x14ac:dyDescent="0.3">
      <c r="A1057" t="s">
        <v>22</v>
      </c>
      <c r="B1057">
        <f t="shared" si="16"/>
        <v>1</v>
      </c>
    </row>
    <row r="1058" spans="1:2" x14ac:dyDescent="0.3">
      <c r="A1058" t="s">
        <v>34</v>
      </c>
      <c r="B1058">
        <f t="shared" si="16"/>
        <v>0</v>
      </c>
    </row>
    <row r="1059" spans="1:2" x14ac:dyDescent="0.3">
      <c r="A1059" t="s">
        <v>34</v>
      </c>
      <c r="B1059">
        <f t="shared" si="16"/>
        <v>0</v>
      </c>
    </row>
    <row r="1060" spans="1:2" x14ac:dyDescent="0.3">
      <c r="A1060" t="s">
        <v>22</v>
      </c>
      <c r="B1060">
        <f t="shared" si="16"/>
        <v>1</v>
      </c>
    </row>
    <row r="1061" spans="1:2" x14ac:dyDescent="0.3">
      <c r="A1061" t="s">
        <v>22</v>
      </c>
      <c r="B1061">
        <f t="shared" si="16"/>
        <v>1</v>
      </c>
    </row>
    <row r="1062" spans="1:2" x14ac:dyDescent="0.3">
      <c r="A1062" t="s">
        <v>34</v>
      </c>
      <c r="B1062">
        <f t="shared" si="16"/>
        <v>0</v>
      </c>
    </row>
    <row r="1063" spans="1:2" x14ac:dyDescent="0.3">
      <c r="A1063" t="s">
        <v>22</v>
      </c>
      <c r="B1063">
        <f t="shared" si="16"/>
        <v>1</v>
      </c>
    </row>
    <row r="1064" spans="1:2" x14ac:dyDescent="0.3">
      <c r="A1064" t="s">
        <v>22</v>
      </c>
      <c r="B1064">
        <f t="shared" si="16"/>
        <v>1</v>
      </c>
    </row>
    <row r="1065" spans="1:2" x14ac:dyDescent="0.3">
      <c r="A1065" t="s">
        <v>22</v>
      </c>
      <c r="B1065">
        <f t="shared" si="16"/>
        <v>1</v>
      </c>
    </row>
    <row r="1066" spans="1:2" x14ac:dyDescent="0.3">
      <c r="A1066" t="s">
        <v>34</v>
      </c>
      <c r="B1066">
        <f t="shared" si="16"/>
        <v>0</v>
      </c>
    </row>
    <row r="1067" spans="1:2" x14ac:dyDescent="0.3">
      <c r="A1067" t="s">
        <v>22</v>
      </c>
      <c r="B1067">
        <f t="shared" si="16"/>
        <v>1</v>
      </c>
    </row>
    <row r="1068" spans="1:2" x14ac:dyDescent="0.3">
      <c r="A1068" t="s">
        <v>22</v>
      </c>
      <c r="B1068">
        <f t="shared" si="16"/>
        <v>1</v>
      </c>
    </row>
    <row r="1069" spans="1:2" x14ac:dyDescent="0.3">
      <c r="A1069" t="s">
        <v>22</v>
      </c>
      <c r="B1069">
        <f t="shared" si="16"/>
        <v>1</v>
      </c>
    </row>
    <row r="1070" spans="1:2" x14ac:dyDescent="0.3">
      <c r="A1070" t="s">
        <v>22</v>
      </c>
      <c r="B1070">
        <f t="shared" si="16"/>
        <v>1</v>
      </c>
    </row>
    <row r="1071" spans="1:2" x14ac:dyDescent="0.3">
      <c r="A1071" t="s">
        <v>22</v>
      </c>
      <c r="B1071">
        <f t="shared" si="16"/>
        <v>1</v>
      </c>
    </row>
    <row r="1072" spans="1:2" x14ac:dyDescent="0.3">
      <c r="A1072" t="s">
        <v>22</v>
      </c>
      <c r="B1072">
        <f t="shared" si="16"/>
        <v>1</v>
      </c>
    </row>
    <row r="1073" spans="1:2" x14ac:dyDescent="0.3">
      <c r="A1073" t="s">
        <v>22</v>
      </c>
      <c r="B1073">
        <f t="shared" si="16"/>
        <v>1</v>
      </c>
    </row>
    <row r="1074" spans="1:2" x14ac:dyDescent="0.3">
      <c r="A1074" t="s">
        <v>22</v>
      </c>
      <c r="B1074">
        <f t="shared" si="16"/>
        <v>1</v>
      </c>
    </row>
    <row r="1075" spans="1:2" x14ac:dyDescent="0.3">
      <c r="A1075" t="s">
        <v>22</v>
      </c>
      <c r="B1075">
        <f t="shared" si="16"/>
        <v>1</v>
      </c>
    </row>
    <row r="1076" spans="1:2" x14ac:dyDescent="0.3">
      <c r="A1076" t="s">
        <v>34</v>
      </c>
      <c r="B1076">
        <f t="shared" si="16"/>
        <v>0</v>
      </c>
    </row>
    <row r="1077" spans="1:2" x14ac:dyDescent="0.3">
      <c r="A1077" t="s">
        <v>34</v>
      </c>
      <c r="B1077">
        <f t="shared" si="16"/>
        <v>0</v>
      </c>
    </row>
    <row r="1078" spans="1:2" x14ac:dyDescent="0.3">
      <c r="A1078" t="s">
        <v>34</v>
      </c>
      <c r="B1078">
        <f t="shared" si="16"/>
        <v>0</v>
      </c>
    </row>
    <row r="1079" spans="1:2" x14ac:dyDescent="0.3">
      <c r="A1079" t="s">
        <v>34</v>
      </c>
      <c r="B1079">
        <f t="shared" si="16"/>
        <v>0</v>
      </c>
    </row>
    <row r="1080" spans="1:2" x14ac:dyDescent="0.3">
      <c r="A1080" t="s">
        <v>34</v>
      </c>
      <c r="B1080">
        <f t="shared" si="16"/>
        <v>0</v>
      </c>
    </row>
    <row r="1081" spans="1:2" x14ac:dyDescent="0.3">
      <c r="A1081" t="s">
        <v>22</v>
      </c>
      <c r="B1081">
        <f t="shared" si="16"/>
        <v>1</v>
      </c>
    </row>
    <row r="1082" spans="1:2" x14ac:dyDescent="0.3">
      <c r="A1082" t="s">
        <v>22</v>
      </c>
      <c r="B1082">
        <f t="shared" si="16"/>
        <v>1</v>
      </c>
    </row>
    <row r="1083" spans="1:2" x14ac:dyDescent="0.3">
      <c r="A1083" t="s">
        <v>22</v>
      </c>
      <c r="B1083">
        <f t="shared" si="16"/>
        <v>1</v>
      </c>
    </row>
    <row r="1084" spans="1:2" x14ac:dyDescent="0.3">
      <c r="A1084" t="s">
        <v>22</v>
      </c>
      <c r="B1084">
        <f t="shared" si="16"/>
        <v>1</v>
      </c>
    </row>
    <row r="1085" spans="1:2" x14ac:dyDescent="0.3">
      <c r="A1085" t="s">
        <v>34</v>
      </c>
      <c r="B1085">
        <f t="shared" si="16"/>
        <v>0</v>
      </c>
    </row>
    <row r="1086" spans="1:2" x14ac:dyDescent="0.3">
      <c r="A1086" t="s">
        <v>22</v>
      </c>
      <c r="B1086">
        <f t="shared" si="16"/>
        <v>1</v>
      </c>
    </row>
    <row r="1087" spans="1:2" x14ac:dyDescent="0.3">
      <c r="A1087" t="s">
        <v>34</v>
      </c>
      <c r="B1087">
        <f t="shared" si="16"/>
        <v>0</v>
      </c>
    </row>
    <row r="1088" spans="1:2" x14ac:dyDescent="0.3">
      <c r="A1088" t="s">
        <v>34</v>
      </c>
      <c r="B1088">
        <f t="shared" si="16"/>
        <v>0</v>
      </c>
    </row>
    <row r="1089" spans="1:2" x14ac:dyDescent="0.3">
      <c r="A1089" t="s">
        <v>22</v>
      </c>
      <c r="B1089">
        <f t="shared" si="16"/>
        <v>1</v>
      </c>
    </row>
    <row r="1090" spans="1:2" x14ac:dyDescent="0.3">
      <c r="A1090" t="s">
        <v>34</v>
      </c>
      <c r="B1090">
        <f t="shared" si="16"/>
        <v>0</v>
      </c>
    </row>
    <row r="1091" spans="1:2" x14ac:dyDescent="0.3">
      <c r="A1091" t="s">
        <v>22</v>
      </c>
      <c r="B1091">
        <f t="shared" ref="B1091:B1154" si="17">IF(A1091="Female",1,0)</f>
        <v>1</v>
      </c>
    </row>
    <row r="1092" spans="1:2" x14ac:dyDescent="0.3">
      <c r="A1092" t="s">
        <v>34</v>
      </c>
      <c r="B1092">
        <f t="shared" si="17"/>
        <v>0</v>
      </c>
    </row>
    <row r="1093" spans="1:2" x14ac:dyDescent="0.3">
      <c r="A1093" t="s">
        <v>34</v>
      </c>
      <c r="B1093">
        <f t="shared" si="17"/>
        <v>0</v>
      </c>
    </row>
    <row r="1094" spans="1:2" x14ac:dyDescent="0.3">
      <c r="A1094" t="s">
        <v>34</v>
      </c>
      <c r="B1094">
        <f t="shared" si="17"/>
        <v>0</v>
      </c>
    </row>
    <row r="1095" spans="1:2" x14ac:dyDescent="0.3">
      <c r="A1095" t="s">
        <v>22</v>
      </c>
      <c r="B1095">
        <f t="shared" si="17"/>
        <v>1</v>
      </c>
    </row>
    <row r="1096" spans="1:2" x14ac:dyDescent="0.3">
      <c r="A1096" t="s">
        <v>34</v>
      </c>
      <c r="B1096">
        <f t="shared" si="17"/>
        <v>0</v>
      </c>
    </row>
    <row r="1097" spans="1:2" x14ac:dyDescent="0.3">
      <c r="A1097" t="s">
        <v>34</v>
      </c>
      <c r="B1097">
        <f t="shared" si="17"/>
        <v>0</v>
      </c>
    </row>
    <row r="1098" spans="1:2" x14ac:dyDescent="0.3">
      <c r="A1098" t="s">
        <v>34</v>
      </c>
      <c r="B1098">
        <f t="shared" si="17"/>
        <v>0</v>
      </c>
    </row>
    <row r="1099" spans="1:2" x14ac:dyDescent="0.3">
      <c r="A1099" t="s">
        <v>22</v>
      </c>
      <c r="B1099">
        <f t="shared" si="17"/>
        <v>1</v>
      </c>
    </row>
    <row r="1100" spans="1:2" x14ac:dyDescent="0.3">
      <c r="A1100" t="s">
        <v>34</v>
      </c>
      <c r="B1100">
        <f t="shared" si="17"/>
        <v>0</v>
      </c>
    </row>
    <row r="1101" spans="1:2" x14ac:dyDescent="0.3">
      <c r="A1101" t="s">
        <v>22</v>
      </c>
      <c r="B1101">
        <f t="shared" si="17"/>
        <v>1</v>
      </c>
    </row>
    <row r="1102" spans="1:2" x14ac:dyDescent="0.3">
      <c r="A1102" t="s">
        <v>22</v>
      </c>
      <c r="B1102">
        <f t="shared" si="17"/>
        <v>1</v>
      </c>
    </row>
    <row r="1103" spans="1:2" x14ac:dyDescent="0.3">
      <c r="A1103" t="s">
        <v>22</v>
      </c>
      <c r="B1103">
        <f t="shared" si="17"/>
        <v>1</v>
      </c>
    </row>
    <row r="1104" spans="1:2" x14ac:dyDescent="0.3">
      <c r="A1104" t="s">
        <v>34</v>
      </c>
      <c r="B1104">
        <f t="shared" si="17"/>
        <v>0</v>
      </c>
    </row>
    <row r="1105" spans="1:2" x14ac:dyDescent="0.3">
      <c r="A1105" t="s">
        <v>22</v>
      </c>
      <c r="B1105">
        <f t="shared" si="17"/>
        <v>1</v>
      </c>
    </row>
    <row r="1106" spans="1:2" x14ac:dyDescent="0.3">
      <c r="A1106" t="s">
        <v>22</v>
      </c>
      <c r="B1106">
        <f t="shared" si="17"/>
        <v>1</v>
      </c>
    </row>
    <row r="1107" spans="1:2" x14ac:dyDescent="0.3">
      <c r="A1107" t="s">
        <v>22</v>
      </c>
      <c r="B1107">
        <f t="shared" si="17"/>
        <v>1</v>
      </c>
    </row>
    <row r="1108" spans="1:2" x14ac:dyDescent="0.3">
      <c r="A1108" t="s">
        <v>22</v>
      </c>
      <c r="B1108">
        <f t="shared" si="17"/>
        <v>1</v>
      </c>
    </row>
    <row r="1109" spans="1:2" x14ac:dyDescent="0.3">
      <c r="A1109" t="s">
        <v>34</v>
      </c>
      <c r="B1109">
        <f t="shared" si="17"/>
        <v>0</v>
      </c>
    </row>
    <row r="1110" spans="1:2" x14ac:dyDescent="0.3">
      <c r="A1110" t="s">
        <v>34</v>
      </c>
      <c r="B1110">
        <f t="shared" si="17"/>
        <v>0</v>
      </c>
    </row>
    <row r="1111" spans="1:2" x14ac:dyDescent="0.3">
      <c r="A1111" t="s">
        <v>22</v>
      </c>
      <c r="B1111">
        <f t="shared" si="17"/>
        <v>1</v>
      </c>
    </row>
    <row r="1112" spans="1:2" x14ac:dyDescent="0.3">
      <c r="A1112" t="s">
        <v>34</v>
      </c>
      <c r="B1112">
        <f t="shared" si="17"/>
        <v>0</v>
      </c>
    </row>
    <row r="1113" spans="1:2" x14ac:dyDescent="0.3">
      <c r="A1113" t="s">
        <v>22</v>
      </c>
      <c r="B1113">
        <f t="shared" si="17"/>
        <v>1</v>
      </c>
    </row>
    <row r="1114" spans="1:2" x14ac:dyDescent="0.3">
      <c r="A1114" t="s">
        <v>22</v>
      </c>
      <c r="B1114">
        <f t="shared" si="17"/>
        <v>1</v>
      </c>
    </row>
    <row r="1115" spans="1:2" x14ac:dyDescent="0.3">
      <c r="A1115" t="s">
        <v>34</v>
      </c>
      <c r="B1115">
        <f t="shared" si="17"/>
        <v>0</v>
      </c>
    </row>
    <row r="1116" spans="1:2" x14ac:dyDescent="0.3">
      <c r="A1116" t="s">
        <v>22</v>
      </c>
      <c r="B1116">
        <f t="shared" si="17"/>
        <v>1</v>
      </c>
    </row>
    <row r="1117" spans="1:2" x14ac:dyDescent="0.3">
      <c r="A1117" t="s">
        <v>34</v>
      </c>
      <c r="B1117">
        <f t="shared" si="17"/>
        <v>0</v>
      </c>
    </row>
    <row r="1118" spans="1:2" x14ac:dyDescent="0.3">
      <c r="A1118" t="s">
        <v>22</v>
      </c>
      <c r="B1118">
        <f t="shared" si="17"/>
        <v>1</v>
      </c>
    </row>
    <row r="1119" spans="1:2" x14ac:dyDescent="0.3">
      <c r="A1119" t="s">
        <v>34</v>
      </c>
      <c r="B1119">
        <f t="shared" si="17"/>
        <v>0</v>
      </c>
    </row>
    <row r="1120" spans="1:2" x14ac:dyDescent="0.3">
      <c r="A1120" t="s">
        <v>34</v>
      </c>
      <c r="B1120">
        <f t="shared" si="17"/>
        <v>0</v>
      </c>
    </row>
    <row r="1121" spans="1:2" x14ac:dyDescent="0.3">
      <c r="A1121" t="s">
        <v>22</v>
      </c>
      <c r="B1121">
        <f t="shared" si="17"/>
        <v>1</v>
      </c>
    </row>
    <row r="1122" spans="1:2" x14ac:dyDescent="0.3">
      <c r="A1122" t="s">
        <v>34</v>
      </c>
      <c r="B1122">
        <f t="shared" si="17"/>
        <v>0</v>
      </c>
    </row>
    <row r="1123" spans="1:2" x14ac:dyDescent="0.3">
      <c r="A1123" t="s">
        <v>34</v>
      </c>
      <c r="B1123">
        <f t="shared" si="17"/>
        <v>0</v>
      </c>
    </row>
    <row r="1124" spans="1:2" x14ac:dyDescent="0.3">
      <c r="A1124" t="s">
        <v>22</v>
      </c>
      <c r="B1124">
        <f t="shared" si="17"/>
        <v>1</v>
      </c>
    </row>
    <row r="1125" spans="1:2" x14ac:dyDescent="0.3">
      <c r="A1125" t="s">
        <v>22</v>
      </c>
      <c r="B1125">
        <f t="shared" si="17"/>
        <v>1</v>
      </c>
    </row>
    <row r="1126" spans="1:2" x14ac:dyDescent="0.3">
      <c r="A1126" t="s">
        <v>34</v>
      </c>
      <c r="B1126">
        <f t="shared" si="17"/>
        <v>0</v>
      </c>
    </row>
    <row r="1127" spans="1:2" x14ac:dyDescent="0.3">
      <c r="A1127" t="s">
        <v>34</v>
      </c>
      <c r="B1127">
        <f t="shared" si="17"/>
        <v>0</v>
      </c>
    </row>
    <row r="1128" spans="1:2" x14ac:dyDescent="0.3">
      <c r="A1128" t="s">
        <v>34</v>
      </c>
      <c r="B1128">
        <f t="shared" si="17"/>
        <v>0</v>
      </c>
    </row>
    <row r="1129" spans="1:2" x14ac:dyDescent="0.3">
      <c r="A1129" t="s">
        <v>34</v>
      </c>
      <c r="B1129">
        <f t="shared" si="17"/>
        <v>0</v>
      </c>
    </row>
    <row r="1130" spans="1:2" x14ac:dyDescent="0.3">
      <c r="A1130" t="s">
        <v>22</v>
      </c>
      <c r="B1130">
        <f t="shared" si="17"/>
        <v>1</v>
      </c>
    </row>
    <row r="1131" spans="1:2" x14ac:dyDescent="0.3">
      <c r="A1131" t="s">
        <v>34</v>
      </c>
      <c r="B1131">
        <f t="shared" si="17"/>
        <v>0</v>
      </c>
    </row>
    <row r="1132" spans="1:2" x14ac:dyDescent="0.3">
      <c r="A1132" t="s">
        <v>22</v>
      </c>
      <c r="B1132">
        <f t="shared" si="17"/>
        <v>1</v>
      </c>
    </row>
    <row r="1133" spans="1:2" x14ac:dyDescent="0.3">
      <c r="A1133" t="s">
        <v>34</v>
      </c>
      <c r="B1133">
        <f t="shared" si="17"/>
        <v>0</v>
      </c>
    </row>
    <row r="1134" spans="1:2" x14ac:dyDescent="0.3">
      <c r="A1134" t="s">
        <v>22</v>
      </c>
      <c r="B1134">
        <f t="shared" si="17"/>
        <v>1</v>
      </c>
    </row>
    <row r="1135" spans="1:2" x14ac:dyDescent="0.3">
      <c r="A1135" t="s">
        <v>34</v>
      </c>
      <c r="B1135">
        <f t="shared" si="17"/>
        <v>0</v>
      </c>
    </row>
    <row r="1136" spans="1:2" x14ac:dyDescent="0.3">
      <c r="A1136" t="s">
        <v>22</v>
      </c>
      <c r="B1136">
        <f t="shared" si="17"/>
        <v>1</v>
      </c>
    </row>
    <row r="1137" spans="1:2" x14ac:dyDescent="0.3">
      <c r="A1137" t="s">
        <v>34</v>
      </c>
      <c r="B1137">
        <f t="shared" si="17"/>
        <v>0</v>
      </c>
    </row>
    <row r="1138" spans="1:2" x14ac:dyDescent="0.3">
      <c r="A1138" t="s">
        <v>22</v>
      </c>
      <c r="B1138">
        <f t="shared" si="17"/>
        <v>1</v>
      </c>
    </row>
    <row r="1139" spans="1:2" x14ac:dyDescent="0.3">
      <c r="A1139" t="s">
        <v>34</v>
      </c>
      <c r="B1139">
        <f t="shared" si="17"/>
        <v>0</v>
      </c>
    </row>
    <row r="1140" spans="1:2" x14ac:dyDescent="0.3">
      <c r="A1140" t="s">
        <v>34</v>
      </c>
      <c r="B1140">
        <f t="shared" si="17"/>
        <v>0</v>
      </c>
    </row>
    <row r="1141" spans="1:2" x14ac:dyDescent="0.3">
      <c r="A1141" t="s">
        <v>34</v>
      </c>
      <c r="B1141">
        <f t="shared" si="17"/>
        <v>0</v>
      </c>
    </row>
    <row r="1142" spans="1:2" x14ac:dyDescent="0.3">
      <c r="A1142" t="s">
        <v>34</v>
      </c>
      <c r="B1142">
        <f t="shared" si="17"/>
        <v>0</v>
      </c>
    </row>
    <row r="1143" spans="1:2" x14ac:dyDescent="0.3">
      <c r="A1143" t="s">
        <v>22</v>
      </c>
      <c r="B1143">
        <f t="shared" si="17"/>
        <v>1</v>
      </c>
    </row>
    <row r="1144" spans="1:2" x14ac:dyDescent="0.3">
      <c r="A1144" t="s">
        <v>22</v>
      </c>
      <c r="B1144">
        <f t="shared" si="17"/>
        <v>1</v>
      </c>
    </row>
    <row r="1145" spans="1:2" x14ac:dyDescent="0.3">
      <c r="A1145" t="s">
        <v>34</v>
      </c>
      <c r="B1145">
        <f t="shared" si="17"/>
        <v>0</v>
      </c>
    </row>
    <row r="1146" spans="1:2" x14ac:dyDescent="0.3">
      <c r="A1146" t="s">
        <v>22</v>
      </c>
      <c r="B1146">
        <f t="shared" si="17"/>
        <v>1</v>
      </c>
    </row>
    <row r="1147" spans="1:2" x14ac:dyDescent="0.3">
      <c r="A1147" t="s">
        <v>22</v>
      </c>
      <c r="B1147">
        <f t="shared" si="17"/>
        <v>1</v>
      </c>
    </row>
    <row r="1148" spans="1:2" x14ac:dyDescent="0.3">
      <c r="A1148" t="s">
        <v>22</v>
      </c>
      <c r="B1148">
        <f t="shared" si="17"/>
        <v>1</v>
      </c>
    </row>
    <row r="1149" spans="1:2" x14ac:dyDescent="0.3">
      <c r="A1149" t="s">
        <v>22</v>
      </c>
      <c r="B1149">
        <f t="shared" si="17"/>
        <v>1</v>
      </c>
    </row>
    <row r="1150" spans="1:2" x14ac:dyDescent="0.3">
      <c r="A1150" t="s">
        <v>22</v>
      </c>
      <c r="B1150">
        <f t="shared" si="17"/>
        <v>1</v>
      </c>
    </row>
    <row r="1151" spans="1:2" x14ac:dyDescent="0.3">
      <c r="A1151" t="s">
        <v>34</v>
      </c>
      <c r="B1151">
        <f t="shared" si="17"/>
        <v>0</v>
      </c>
    </row>
    <row r="1152" spans="1:2" x14ac:dyDescent="0.3">
      <c r="A1152" t="s">
        <v>22</v>
      </c>
      <c r="B1152">
        <f t="shared" si="17"/>
        <v>1</v>
      </c>
    </row>
    <row r="1153" spans="1:2" x14ac:dyDescent="0.3">
      <c r="A1153" t="s">
        <v>34</v>
      </c>
      <c r="B1153">
        <f t="shared" si="17"/>
        <v>0</v>
      </c>
    </row>
    <row r="1154" spans="1:2" x14ac:dyDescent="0.3">
      <c r="A1154" t="s">
        <v>34</v>
      </c>
      <c r="B1154">
        <f t="shared" si="17"/>
        <v>0</v>
      </c>
    </row>
    <row r="1155" spans="1:2" x14ac:dyDescent="0.3">
      <c r="A1155" t="s">
        <v>22</v>
      </c>
      <c r="B1155">
        <f t="shared" ref="B1155:B1218" si="18">IF(A1155="Female",1,0)</f>
        <v>1</v>
      </c>
    </row>
    <row r="1156" spans="1:2" x14ac:dyDescent="0.3">
      <c r="A1156" t="s">
        <v>34</v>
      </c>
      <c r="B1156">
        <f t="shared" si="18"/>
        <v>0</v>
      </c>
    </row>
    <row r="1157" spans="1:2" x14ac:dyDescent="0.3">
      <c r="A1157" t="s">
        <v>22</v>
      </c>
      <c r="B1157">
        <f t="shared" si="18"/>
        <v>1</v>
      </c>
    </row>
    <row r="1158" spans="1:2" x14ac:dyDescent="0.3">
      <c r="A1158" t="s">
        <v>22</v>
      </c>
      <c r="B1158">
        <f t="shared" si="18"/>
        <v>1</v>
      </c>
    </row>
    <row r="1159" spans="1:2" x14ac:dyDescent="0.3">
      <c r="A1159" t="s">
        <v>34</v>
      </c>
      <c r="B1159">
        <f t="shared" si="18"/>
        <v>0</v>
      </c>
    </row>
    <row r="1160" spans="1:2" x14ac:dyDescent="0.3">
      <c r="A1160" t="s">
        <v>34</v>
      </c>
      <c r="B1160">
        <f t="shared" si="18"/>
        <v>0</v>
      </c>
    </row>
    <row r="1161" spans="1:2" x14ac:dyDescent="0.3">
      <c r="A1161" t="s">
        <v>34</v>
      </c>
      <c r="B1161">
        <f t="shared" si="18"/>
        <v>0</v>
      </c>
    </row>
    <row r="1162" spans="1:2" x14ac:dyDescent="0.3">
      <c r="A1162" t="s">
        <v>22</v>
      </c>
      <c r="B1162">
        <f t="shared" si="18"/>
        <v>1</v>
      </c>
    </row>
    <row r="1163" spans="1:2" x14ac:dyDescent="0.3">
      <c r="A1163" t="s">
        <v>22</v>
      </c>
      <c r="B1163">
        <f t="shared" si="18"/>
        <v>1</v>
      </c>
    </row>
    <row r="1164" spans="1:2" x14ac:dyDescent="0.3">
      <c r="A1164" t="s">
        <v>22</v>
      </c>
      <c r="B1164">
        <f t="shared" si="18"/>
        <v>1</v>
      </c>
    </row>
    <row r="1165" spans="1:2" x14ac:dyDescent="0.3">
      <c r="A1165" t="s">
        <v>22</v>
      </c>
      <c r="B1165">
        <f t="shared" si="18"/>
        <v>1</v>
      </c>
    </row>
    <row r="1166" spans="1:2" x14ac:dyDescent="0.3">
      <c r="A1166" t="s">
        <v>22</v>
      </c>
      <c r="B1166">
        <f t="shared" si="18"/>
        <v>1</v>
      </c>
    </row>
    <row r="1167" spans="1:2" x14ac:dyDescent="0.3">
      <c r="A1167" t="s">
        <v>22</v>
      </c>
      <c r="B1167">
        <f t="shared" si="18"/>
        <v>1</v>
      </c>
    </row>
    <row r="1168" spans="1:2" x14ac:dyDescent="0.3">
      <c r="A1168" t="s">
        <v>34</v>
      </c>
      <c r="B1168">
        <f t="shared" si="18"/>
        <v>0</v>
      </c>
    </row>
    <row r="1169" spans="1:2" x14ac:dyDescent="0.3">
      <c r="A1169" t="s">
        <v>34</v>
      </c>
      <c r="B1169">
        <f t="shared" si="18"/>
        <v>0</v>
      </c>
    </row>
    <row r="1170" spans="1:2" x14ac:dyDescent="0.3">
      <c r="A1170" t="s">
        <v>22</v>
      </c>
      <c r="B1170">
        <f t="shared" si="18"/>
        <v>1</v>
      </c>
    </row>
    <row r="1171" spans="1:2" x14ac:dyDescent="0.3">
      <c r="A1171" t="s">
        <v>22</v>
      </c>
      <c r="B1171">
        <f t="shared" si="18"/>
        <v>1</v>
      </c>
    </row>
    <row r="1172" spans="1:2" x14ac:dyDescent="0.3">
      <c r="A1172" t="s">
        <v>22</v>
      </c>
      <c r="B1172">
        <f t="shared" si="18"/>
        <v>1</v>
      </c>
    </row>
    <row r="1173" spans="1:2" x14ac:dyDescent="0.3">
      <c r="A1173" t="s">
        <v>34</v>
      </c>
      <c r="B1173">
        <f t="shared" si="18"/>
        <v>0</v>
      </c>
    </row>
    <row r="1174" spans="1:2" x14ac:dyDescent="0.3">
      <c r="A1174" t="s">
        <v>34</v>
      </c>
      <c r="B1174">
        <f t="shared" si="18"/>
        <v>0</v>
      </c>
    </row>
    <row r="1175" spans="1:2" x14ac:dyDescent="0.3">
      <c r="A1175" t="s">
        <v>22</v>
      </c>
      <c r="B1175">
        <f t="shared" si="18"/>
        <v>1</v>
      </c>
    </row>
    <row r="1176" spans="1:2" x14ac:dyDescent="0.3">
      <c r="A1176" t="s">
        <v>22</v>
      </c>
      <c r="B1176">
        <f t="shared" si="18"/>
        <v>1</v>
      </c>
    </row>
    <row r="1177" spans="1:2" x14ac:dyDescent="0.3">
      <c r="A1177" t="s">
        <v>34</v>
      </c>
      <c r="B1177">
        <f t="shared" si="18"/>
        <v>0</v>
      </c>
    </row>
    <row r="1178" spans="1:2" x14ac:dyDescent="0.3">
      <c r="A1178" t="s">
        <v>34</v>
      </c>
      <c r="B1178">
        <f t="shared" si="18"/>
        <v>0</v>
      </c>
    </row>
    <row r="1179" spans="1:2" x14ac:dyDescent="0.3">
      <c r="A1179" t="s">
        <v>22</v>
      </c>
      <c r="B1179">
        <f t="shared" si="18"/>
        <v>1</v>
      </c>
    </row>
    <row r="1180" spans="1:2" x14ac:dyDescent="0.3">
      <c r="A1180" t="s">
        <v>34</v>
      </c>
      <c r="B1180">
        <f t="shared" si="18"/>
        <v>0</v>
      </c>
    </row>
    <row r="1181" spans="1:2" x14ac:dyDescent="0.3">
      <c r="A1181" t="s">
        <v>34</v>
      </c>
      <c r="B1181">
        <f t="shared" si="18"/>
        <v>0</v>
      </c>
    </row>
    <row r="1182" spans="1:2" x14ac:dyDescent="0.3">
      <c r="A1182" t="s">
        <v>22</v>
      </c>
      <c r="B1182">
        <f t="shared" si="18"/>
        <v>1</v>
      </c>
    </row>
    <row r="1183" spans="1:2" x14ac:dyDescent="0.3">
      <c r="A1183" t="s">
        <v>34</v>
      </c>
      <c r="B1183">
        <f t="shared" si="18"/>
        <v>0</v>
      </c>
    </row>
    <row r="1184" spans="1:2" x14ac:dyDescent="0.3">
      <c r="A1184" t="s">
        <v>34</v>
      </c>
      <c r="B1184">
        <f t="shared" si="18"/>
        <v>0</v>
      </c>
    </row>
    <row r="1185" spans="1:2" x14ac:dyDescent="0.3">
      <c r="A1185" t="s">
        <v>34</v>
      </c>
      <c r="B1185">
        <f t="shared" si="18"/>
        <v>0</v>
      </c>
    </row>
    <row r="1186" spans="1:2" x14ac:dyDescent="0.3">
      <c r="A1186" t="s">
        <v>22</v>
      </c>
      <c r="B1186">
        <f t="shared" si="18"/>
        <v>1</v>
      </c>
    </row>
    <row r="1187" spans="1:2" x14ac:dyDescent="0.3">
      <c r="A1187" t="s">
        <v>34</v>
      </c>
      <c r="B1187">
        <f t="shared" si="18"/>
        <v>0</v>
      </c>
    </row>
    <row r="1188" spans="1:2" x14ac:dyDescent="0.3">
      <c r="A1188" t="s">
        <v>34</v>
      </c>
      <c r="B1188">
        <f t="shared" si="18"/>
        <v>0</v>
      </c>
    </row>
    <row r="1189" spans="1:2" x14ac:dyDescent="0.3">
      <c r="A1189" t="s">
        <v>22</v>
      </c>
      <c r="B1189">
        <f t="shared" si="18"/>
        <v>1</v>
      </c>
    </row>
    <row r="1190" spans="1:2" x14ac:dyDescent="0.3">
      <c r="A1190" t="s">
        <v>34</v>
      </c>
      <c r="B1190">
        <f t="shared" si="18"/>
        <v>0</v>
      </c>
    </row>
    <row r="1191" spans="1:2" x14ac:dyDescent="0.3">
      <c r="A1191" t="s">
        <v>22</v>
      </c>
      <c r="B1191">
        <f t="shared" si="18"/>
        <v>1</v>
      </c>
    </row>
    <row r="1192" spans="1:2" x14ac:dyDescent="0.3">
      <c r="A1192" t="s">
        <v>22</v>
      </c>
      <c r="B1192">
        <f t="shared" si="18"/>
        <v>1</v>
      </c>
    </row>
    <row r="1193" spans="1:2" x14ac:dyDescent="0.3">
      <c r="A1193" t="s">
        <v>34</v>
      </c>
      <c r="B1193">
        <f t="shared" si="18"/>
        <v>0</v>
      </c>
    </row>
    <row r="1194" spans="1:2" x14ac:dyDescent="0.3">
      <c r="A1194" t="s">
        <v>22</v>
      </c>
      <c r="B1194">
        <f t="shared" si="18"/>
        <v>1</v>
      </c>
    </row>
    <row r="1195" spans="1:2" x14ac:dyDescent="0.3">
      <c r="A1195" t="s">
        <v>34</v>
      </c>
      <c r="B1195">
        <f t="shared" si="18"/>
        <v>0</v>
      </c>
    </row>
    <row r="1196" spans="1:2" x14ac:dyDescent="0.3">
      <c r="A1196" t="s">
        <v>34</v>
      </c>
      <c r="B1196">
        <f t="shared" si="18"/>
        <v>0</v>
      </c>
    </row>
    <row r="1197" spans="1:2" x14ac:dyDescent="0.3">
      <c r="A1197" t="s">
        <v>22</v>
      </c>
      <c r="B1197">
        <f t="shared" si="18"/>
        <v>1</v>
      </c>
    </row>
    <row r="1198" spans="1:2" x14ac:dyDescent="0.3">
      <c r="A1198" t="s">
        <v>22</v>
      </c>
      <c r="B1198">
        <f t="shared" si="18"/>
        <v>1</v>
      </c>
    </row>
    <row r="1199" spans="1:2" x14ac:dyDescent="0.3">
      <c r="A1199" t="s">
        <v>34</v>
      </c>
      <c r="B1199">
        <f t="shared" si="18"/>
        <v>0</v>
      </c>
    </row>
    <row r="1200" spans="1:2" x14ac:dyDescent="0.3">
      <c r="A1200" t="s">
        <v>34</v>
      </c>
      <c r="B1200">
        <f t="shared" si="18"/>
        <v>0</v>
      </c>
    </row>
    <row r="1201" spans="1:2" x14ac:dyDescent="0.3">
      <c r="A1201" t="s">
        <v>22</v>
      </c>
      <c r="B1201">
        <f t="shared" si="18"/>
        <v>1</v>
      </c>
    </row>
    <row r="1202" spans="1:2" x14ac:dyDescent="0.3">
      <c r="A1202" t="s">
        <v>34</v>
      </c>
      <c r="B1202">
        <f t="shared" si="18"/>
        <v>0</v>
      </c>
    </row>
    <row r="1203" spans="1:2" x14ac:dyDescent="0.3">
      <c r="A1203" t="s">
        <v>34</v>
      </c>
      <c r="B1203">
        <f t="shared" si="18"/>
        <v>0</v>
      </c>
    </row>
    <row r="1204" spans="1:2" x14ac:dyDescent="0.3">
      <c r="A1204" t="s">
        <v>22</v>
      </c>
      <c r="B1204">
        <f t="shared" si="18"/>
        <v>1</v>
      </c>
    </row>
    <row r="1205" spans="1:2" x14ac:dyDescent="0.3">
      <c r="A1205" t="s">
        <v>22</v>
      </c>
      <c r="B1205">
        <f t="shared" si="18"/>
        <v>1</v>
      </c>
    </row>
    <row r="1206" spans="1:2" x14ac:dyDescent="0.3">
      <c r="A1206" t="s">
        <v>22</v>
      </c>
      <c r="B1206">
        <f t="shared" si="18"/>
        <v>1</v>
      </c>
    </row>
    <row r="1207" spans="1:2" x14ac:dyDescent="0.3">
      <c r="A1207" t="s">
        <v>22</v>
      </c>
      <c r="B1207">
        <f t="shared" si="18"/>
        <v>1</v>
      </c>
    </row>
    <row r="1208" spans="1:2" x14ac:dyDescent="0.3">
      <c r="A1208" t="s">
        <v>34</v>
      </c>
      <c r="B1208">
        <f t="shared" si="18"/>
        <v>0</v>
      </c>
    </row>
    <row r="1209" spans="1:2" x14ac:dyDescent="0.3">
      <c r="A1209" t="s">
        <v>34</v>
      </c>
      <c r="B1209">
        <f t="shared" si="18"/>
        <v>0</v>
      </c>
    </row>
    <row r="1210" spans="1:2" x14ac:dyDescent="0.3">
      <c r="A1210" t="s">
        <v>34</v>
      </c>
      <c r="B1210">
        <f t="shared" si="18"/>
        <v>0</v>
      </c>
    </row>
    <row r="1211" spans="1:2" x14ac:dyDescent="0.3">
      <c r="A1211" t="s">
        <v>22</v>
      </c>
      <c r="B1211">
        <f t="shared" si="18"/>
        <v>1</v>
      </c>
    </row>
    <row r="1212" spans="1:2" x14ac:dyDescent="0.3">
      <c r="A1212" t="s">
        <v>22</v>
      </c>
      <c r="B1212">
        <f t="shared" si="18"/>
        <v>1</v>
      </c>
    </row>
    <row r="1213" spans="1:2" x14ac:dyDescent="0.3">
      <c r="A1213" t="s">
        <v>22</v>
      </c>
      <c r="B1213">
        <f t="shared" si="18"/>
        <v>1</v>
      </c>
    </row>
    <row r="1214" spans="1:2" x14ac:dyDescent="0.3">
      <c r="A1214" t="s">
        <v>22</v>
      </c>
      <c r="B1214">
        <f t="shared" si="18"/>
        <v>1</v>
      </c>
    </row>
    <row r="1215" spans="1:2" x14ac:dyDescent="0.3">
      <c r="A1215" t="s">
        <v>22</v>
      </c>
      <c r="B1215">
        <f t="shared" si="18"/>
        <v>1</v>
      </c>
    </row>
    <row r="1216" spans="1:2" x14ac:dyDescent="0.3">
      <c r="A1216" t="s">
        <v>34</v>
      </c>
      <c r="B1216">
        <f t="shared" si="18"/>
        <v>0</v>
      </c>
    </row>
    <row r="1217" spans="1:2" x14ac:dyDescent="0.3">
      <c r="A1217" t="s">
        <v>22</v>
      </c>
      <c r="B1217">
        <f t="shared" si="18"/>
        <v>1</v>
      </c>
    </row>
    <row r="1218" spans="1:2" x14ac:dyDescent="0.3">
      <c r="A1218" t="s">
        <v>34</v>
      </c>
      <c r="B1218">
        <f t="shared" si="18"/>
        <v>0</v>
      </c>
    </row>
    <row r="1219" spans="1:2" x14ac:dyDescent="0.3">
      <c r="A1219" t="s">
        <v>22</v>
      </c>
      <c r="B1219">
        <f t="shared" ref="B1219:B1282" si="19">IF(A1219="Female",1,0)</f>
        <v>1</v>
      </c>
    </row>
    <row r="1220" spans="1:2" x14ac:dyDescent="0.3">
      <c r="A1220" t="s">
        <v>22</v>
      </c>
      <c r="B1220">
        <f t="shared" si="19"/>
        <v>1</v>
      </c>
    </row>
    <row r="1221" spans="1:2" x14ac:dyDescent="0.3">
      <c r="A1221" t="s">
        <v>34</v>
      </c>
      <c r="B1221">
        <f t="shared" si="19"/>
        <v>0</v>
      </c>
    </row>
    <row r="1222" spans="1:2" x14ac:dyDescent="0.3">
      <c r="A1222" t="s">
        <v>34</v>
      </c>
      <c r="B1222">
        <f t="shared" si="19"/>
        <v>0</v>
      </c>
    </row>
    <row r="1223" spans="1:2" x14ac:dyDescent="0.3">
      <c r="A1223" t="s">
        <v>34</v>
      </c>
      <c r="B1223">
        <f t="shared" si="19"/>
        <v>0</v>
      </c>
    </row>
    <row r="1224" spans="1:2" x14ac:dyDescent="0.3">
      <c r="A1224" t="s">
        <v>22</v>
      </c>
      <c r="B1224">
        <f t="shared" si="19"/>
        <v>1</v>
      </c>
    </row>
    <row r="1225" spans="1:2" x14ac:dyDescent="0.3">
      <c r="A1225" t="s">
        <v>34</v>
      </c>
      <c r="B1225">
        <f t="shared" si="19"/>
        <v>0</v>
      </c>
    </row>
    <row r="1226" spans="1:2" x14ac:dyDescent="0.3">
      <c r="A1226" t="s">
        <v>22</v>
      </c>
      <c r="B1226">
        <f t="shared" si="19"/>
        <v>1</v>
      </c>
    </row>
    <row r="1227" spans="1:2" x14ac:dyDescent="0.3">
      <c r="A1227" t="s">
        <v>34</v>
      </c>
      <c r="B1227">
        <f t="shared" si="19"/>
        <v>0</v>
      </c>
    </row>
    <row r="1228" spans="1:2" x14ac:dyDescent="0.3">
      <c r="A1228" t="s">
        <v>34</v>
      </c>
      <c r="B1228">
        <f t="shared" si="19"/>
        <v>0</v>
      </c>
    </row>
    <row r="1229" spans="1:2" x14ac:dyDescent="0.3">
      <c r="A1229" t="s">
        <v>34</v>
      </c>
      <c r="B1229">
        <f t="shared" si="19"/>
        <v>0</v>
      </c>
    </row>
    <row r="1230" spans="1:2" x14ac:dyDescent="0.3">
      <c r="A1230" t="s">
        <v>34</v>
      </c>
      <c r="B1230">
        <f t="shared" si="19"/>
        <v>0</v>
      </c>
    </row>
    <row r="1231" spans="1:2" x14ac:dyDescent="0.3">
      <c r="A1231" t="s">
        <v>22</v>
      </c>
      <c r="B1231">
        <f t="shared" si="19"/>
        <v>1</v>
      </c>
    </row>
    <row r="1232" spans="1:2" x14ac:dyDescent="0.3">
      <c r="A1232" t="s">
        <v>22</v>
      </c>
      <c r="B1232">
        <f t="shared" si="19"/>
        <v>1</v>
      </c>
    </row>
    <row r="1233" spans="1:2" x14ac:dyDescent="0.3">
      <c r="A1233" t="s">
        <v>22</v>
      </c>
      <c r="B1233">
        <f t="shared" si="19"/>
        <v>1</v>
      </c>
    </row>
    <row r="1234" spans="1:2" x14ac:dyDescent="0.3">
      <c r="A1234" t="s">
        <v>22</v>
      </c>
      <c r="B1234">
        <f t="shared" si="19"/>
        <v>1</v>
      </c>
    </row>
    <row r="1235" spans="1:2" x14ac:dyDescent="0.3">
      <c r="A1235" t="s">
        <v>22</v>
      </c>
      <c r="B1235">
        <f t="shared" si="19"/>
        <v>1</v>
      </c>
    </row>
    <row r="1236" spans="1:2" x14ac:dyDescent="0.3">
      <c r="A1236" t="s">
        <v>34</v>
      </c>
      <c r="B1236">
        <f t="shared" si="19"/>
        <v>0</v>
      </c>
    </row>
    <row r="1237" spans="1:2" x14ac:dyDescent="0.3">
      <c r="A1237" t="s">
        <v>34</v>
      </c>
      <c r="B1237">
        <f t="shared" si="19"/>
        <v>0</v>
      </c>
    </row>
    <row r="1238" spans="1:2" x14ac:dyDescent="0.3">
      <c r="A1238" t="s">
        <v>22</v>
      </c>
      <c r="B1238">
        <f t="shared" si="19"/>
        <v>1</v>
      </c>
    </row>
    <row r="1239" spans="1:2" x14ac:dyDescent="0.3">
      <c r="A1239" t="s">
        <v>34</v>
      </c>
      <c r="B1239">
        <f t="shared" si="19"/>
        <v>0</v>
      </c>
    </row>
    <row r="1240" spans="1:2" x14ac:dyDescent="0.3">
      <c r="A1240" t="s">
        <v>34</v>
      </c>
      <c r="B1240">
        <f t="shared" si="19"/>
        <v>0</v>
      </c>
    </row>
    <row r="1241" spans="1:2" x14ac:dyDescent="0.3">
      <c r="A1241" t="s">
        <v>22</v>
      </c>
      <c r="B1241">
        <f t="shared" si="19"/>
        <v>1</v>
      </c>
    </row>
    <row r="1242" spans="1:2" x14ac:dyDescent="0.3">
      <c r="A1242" t="s">
        <v>34</v>
      </c>
      <c r="B1242">
        <f t="shared" si="19"/>
        <v>0</v>
      </c>
    </row>
    <row r="1243" spans="1:2" x14ac:dyDescent="0.3">
      <c r="A1243" t="s">
        <v>34</v>
      </c>
      <c r="B1243">
        <f t="shared" si="19"/>
        <v>0</v>
      </c>
    </row>
    <row r="1244" spans="1:2" x14ac:dyDescent="0.3">
      <c r="A1244" t="s">
        <v>22</v>
      </c>
      <c r="B1244">
        <f t="shared" si="19"/>
        <v>1</v>
      </c>
    </row>
    <row r="1245" spans="1:2" x14ac:dyDescent="0.3">
      <c r="A1245" t="s">
        <v>22</v>
      </c>
      <c r="B1245">
        <f t="shared" si="19"/>
        <v>1</v>
      </c>
    </row>
    <row r="1246" spans="1:2" x14ac:dyDescent="0.3">
      <c r="A1246" t="s">
        <v>34</v>
      </c>
      <c r="B1246">
        <f t="shared" si="19"/>
        <v>0</v>
      </c>
    </row>
    <row r="1247" spans="1:2" x14ac:dyDescent="0.3">
      <c r="A1247" t="s">
        <v>22</v>
      </c>
      <c r="B1247">
        <f t="shared" si="19"/>
        <v>1</v>
      </c>
    </row>
    <row r="1248" spans="1:2" x14ac:dyDescent="0.3">
      <c r="A1248" t="s">
        <v>34</v>
      </c>
      <c r="B1248">
        <f t="shared" si="19"/>
        <v>0</v>
      </c>
    </row>
    <row r="1249" spans="1:2" x14ac:dyDescent="0.3">
      <c r="A1249" t="s">
        <v>22</v>
      </c>
      <c r="B1249">
        <f t="shared" si="19"/>
        <v>1</v>
      </c>
    </row>
    <row r="1250" spans="1:2" x14ac:dyDescent="0.3">
      <c r="A1250" t="s">
        <v>34</v>
      </c>
      <c r="B1250">
        <f t="shared" si="19"/>
        <v>0</v>
      </c>
    </row>
    <row r="1251" spans="1:2" x14ac:dyDescent="0.3">
      <c r="A1251" t="s">
        <v>34</v>
      </c>
      <c r="B1251">
        <f t="shared" si="19"/>
        <v>0</v>
      </c>
    </row>
    <row r="1252" spans="1:2" x14ac:dyDescent="0.3">
      <c r="A1252" t="s">
        <v>22</v>
      </c>
      <c r="B1252">
        <f t="shared" si="19"/>
        <v>1</v>
      </c>
    </row>
    <row r="1253" spans="1:2" x14ac:dyDescent="0.3">
      <c r="A1253" t="s">
        <v>22</v>
      </c>
      <c r="B1253">
        <f t="shared" si="19"/>
        <v>1</v>
      </c>
    </row>
    <row r="1254" spans="1:2" x14ac:dyDescent="0.3">
      <c r="A1254" t="s">
        <v>34</v>
      </c>
      <c r="B1254">
        <f t="shared" si="19"/>
        <v>0</v>
      </c>
    </row>
    <row r="1255" spans="1:2" x14ac:dyDescent="0.3">
      <c r="A1255" t="s">
        <v>22</v>
      </c>
      <c r="B1255">
        <f t="shared" si="19"/>
        <v>1</v>
      </c>
    </row>
    <row r="1256" spans="1:2" x14ac:dyDescent="0.3">
      <c r="A1256" t="s">
        <v>22</v>
      </c>
      <c r="B1256">
        <f t="shared" si="19"/>
        <v>1</v>
      </c>
    </row>
    <row r="1257" spans="1:2" x14ac:dyDescent="0.3">
      <c r="A1257" t="s">
        <v>22</v>
      </c>
      <c r="B1257">
        <f t="shared" si="19"/>
        <v>1</v>
      </c>
    </row>
    <row r="1258" spans="1:2" x14ac:dyDescent="0.3">
      <c r="A1258" t="s">
        <v>22</v>
      </c>
      <c r="B1258">
        <f t="shared" si="19"/>
        <v>1</v>
      </c>
    </row>
    <row r="1259" spans="1:2" x14ac:dyDescent="0.3">
      <c r="A1259" t="s">
        <v>22</v>
      </c>
      <c r="B1259">
        <f t="shared" si="19"/>
        <v>1</v>
      </c>
    </row>
    <row r="1260" spans="1:2" x14ac:dyDescent="0.3">
      <c r="A1260" t="s">
        <v>34</v>
      </c>
      <c r="B1260">
        <f t="shared" si="19"/>
        <v>0</v>
      </c>
    </row>
    <row r="1261" spans="1:2" x14ac:dyDescent="0.3">
      <c r="A1261" t="s">
        <v>34</v>
      </c>
      <c r="B1261">
        <f t="shared" si="19"/>
        <v>0</v>
      </c>
    </row>
    <row r="1262" spans="1:2" x14ac:dyDescent="0.3">
      <c r="A1262" t="s">
        <v>34</v>
      </c>
      <c r="B1262">
        <f t="shared" si="19"/>
        <v>0</v>
      </c>
    </row>
    <row r="1263" spans="1:2" x14ac:dyDescent="0.3">
      <c r="A1263" t="s">
        <v>34</v>
      </c>
      <c r="B1263">
        <f t="shared" si="19"/>
        <v>0</v>
      </c>
    </row>
    <row r="1264" spans="1:2" x14ac:dyDescent="0.3">
      <c r="A1264" t="s">
        <v>34</v>
      </c>
      <c r="B1264">
        <f t="shared" si="19"/>
        <v>0</v>
      </c>
    </row>
    <row r="1265" spans="1:2" x14ac:dyDescent="0.3">
      <c r="A1265" t="s">
        <v>22</v>
      </c>
      <c r="B1265">
        <f t="shared" si="19"/>
        <v>1</v>
      </c>
    </row>
    <row r="1266" spans="1:2" x14ac:dyDescent="0.3">
      <c r="A1266" t="s">
        <v>22</v>
      </c>
      <c r="B1266">
        <f t="shared" si="19"/>
        <v>1</v>
      </c>
    </row>
    <row r="1267" spans="1:2" x14ac:dyDescent="0.3">
      <c r="A1267" t="s">
        <v>22</v>
      </c>
      <c r="B1267">
        <f t="shared" si="19"/>
        <v>1</v>
      </c>
    </row>
    <row r="1268" spans="1:2" x14ac:dyDescent="0.3">
      <c r="A1268" t="s">
        <v>34</v>
      </c>
      <c r="B1268">
        <f t="shared" si="19"/>
        <v>0</v>
      </c>
    </row>
    <row r="1269" spans="1:2" x14ac:dyDescent="0.3">
      <c r="A1269" t="s">
        <v>22</v>
      </c>
      <c r="B1269">
        <f t="shared" si="19"/>
        <v>1</v>
      </c>
    </row>
    <row r="1270" spans="1:2" x14ac:dyDescent="0.3">
      <c r="A1270" t="s">
        <v>22</v>
      </c>
      <c r="B1270">
        <f t="shared" si="19"/>
        <v>1</v>
      </c>
    </row>
    <row r="1271" spans="1:2" x14ac:dyDescent="0.3">
      <c r="A1271" t="s">
        <v>34</v>
      </c>
      <c r="B1271">
        <f t="shared" si="19"/>
        <v>0</v>
      </c>
    </row>
    <row r="1272" spans="1:2" x14ac:dyDescent="0.3">
      <c r="A1272" t="s">
        <v>22</v>
      </c>
      <c r="B1272">
        <f t="shared" si="19"/>
        <v>1</v>
      </c>
    </row>
    <row r="1273" spans="1:2" x14ac:dyDescent="0.3">
      <c r="A1273" t="s">
        <v>34</v>
      </c>
      <c r="B1273">
        <f t="shared" si="19"/>
        <v>0</v>
      </c>
    </row>
    <row r="1274" spans="1:2" x14ac:dyDescent="0.3">
      <c r="A1274" t="s">
        <v>22</v>
      </c>
      <c r="B1274">
        <f t="shared" si="19"/>
        <v>1</v>
      </c>
    </row>
    <row r="1275" spans="1:2" x14ac:dyDescent="0.3">
      <c r="A1275" t="s">
        <v>34</v>
      </c>
      <c r="B1275">
        <f t="shared" si="19"/>
        <v>0</v>
      </c>
    </row>
    <row r="1276" spans="1:2" x14ac:dyDescent="0.3">
      <c r="A1276" t="s">
        <v>34</v>
      </c>
      <c r="B1276">
        <f t="shared" si="19"/>
        <v>0</v>
      </c>
    </row>
    <row r="1277" spans="1:2" x14ac:dyDescent="0.3">
      <c r="A1277" t="s">
        <v>22</v>
      </c>
      <c r="B1277">
        <f t="shared" si="19"/>
        <v>1</v>
      </c>
    </row>
    <row r="1278" spans="1:2" x14ac:dyDescent="0.3">
      <c r="A1278" t="s">
        <v>34</v>
      </c>
      <c r="B1278">
        <f t="shared" si="19"/>
        <v>0</v>
      </c>
    </row>
    <row r="1279" spans="1:2" x14ac:dyDescent="0.3">
      <c r="A1279" t="s">
        <v>34</v>
      </c>
      <c r="B1279">
        <f t="shared" si="19"/>
        <v>0</v>
      </c>
    </row>
    <row r="1280" spans="1:2" x14ac:dyDescent="0.3">
      <c r="A1280" t="s">
        <v>34</v>
      </c>
      <c r="B1280">
        <f t="shared" si="19"/>
        <v>0</v>
      </c>
    </row>
    <row r="1281" spans="1:2" x14ac:dyDescent="0.3">
      <c r="A1281" t="s">
        <v>22</v>
      </c>
      <c r="B1281">
        <f t="shared" si="19"/>
        <v>1</v>
      </c>
    </row>
    <row r="1282" spans="1:2" x14ac:dyDescent="0.3">
      <c r="A1282" t="s">
        <v>22</v>
      </c>
      <c r="B1282">
        <f t="shared" si="19"/>
        <v>1</v>
      </c>
    </row>
    <row r="1283" spans="1:2" x14ac:dyDescent="0.3">
      <c r="A1283" t="s">
        <v>22</v>
      </c>
      <c r="B1283">
        <f t="shared" ref="B1283:B1284" si="20">IF(A1283="Female",1,0)</f>
        <v>1</v>
      </c>
    </row>
    <row r="1284" spans="1:2" x14ac:dyDescent="0.3">
      <c r="A1284" t="s">
        <v>34</v>
      </c>
      <c r="B1284">
        <f t="shared" si="20"/>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2ADB-DD58-4C94-A10B-0C6B1492BDDE}">
  <dimension ref="A1:E1284"/>
  <sheetViews>
    <sheetView workbookViewId="0">
      <selection activeCell="F10" sqref="F10"/>
    </sheetView>
  </sheetViews>
  <sheetFormatPr defaultRowHeight="14.4" x14ac:dyDescent="0.3"/>
  <cols>
    <col min="1" max="1" width="9.44140625" bestFit="1" customWidth="1"/>
    <col min="2" max="2" width="3.109375" bestFit="1" customWidth="1"/>
    <col min="3" max="3" width="16.5546875" bestFit="1" customWidth="1"/>
  </cols>
  <sheetData>
    <row r="1" spans="1:5" x14ac:dyDescent="0.3">
      <c r="A1" t="s">
        <v>9</v>
      </c>
      <c r="B1" s="4" t="s">
        <v>2240</v>
      </c>
      <c r="C1" t="s">
        <v>2253</v>
      </c>
      <c r="D1" t="s">
        <v>2254</v>
      </c>
      <c r="E1" t="s">
        <v>2301</v>
      </c>
    </row>
    <row r="2" spans="1:5" x14ac:dyDescent="0.3">
      <c r="A2" s="1">
        <v>755</v>
      </c>
      <c r="C2">
        <f>_xlfn.STDEV.S(A:A)</f>
        <v>280.69491727368518</v>
      </c>
      <c r="D2">
        <f xml:space="preserve"> (1.96 *C2/ 25)^2</f>
        <v>484.28522863733133</v>
      </c>
      <c r="E2">
        <f>ROUND(D2,0)</f>
        <v>484</v>
      </c>
    </row>
    <row r="3" spans="1:5" x14ac:dyDescent="0.3">
      <c r="A3" s="1">
        <v>390</v>
      </c>
    </row>
    <row r="4" spans="1:5" x14ac:dyDescent="0.3">
      <c r="A4" s="1">
        <v>323</v>
      </c>
      <c r="B4" s="4" t="s">
        <v>2240</v>
      </c>
    </row>
    <row r="5" spans="1:5" x14ac:dyDescent="0.3">
      <c r="A5" s="1">
        <v>347</v>
      </c>
    </row>
    <row r="6" spans="1:5" x14ac:dyDescent="0.3">
      <c r="A6" s="1">
        <v>917</v>
      </c>
    </row>
    <row r="7" spans="1:5" x14ac:dyDescent="0.3">
      <c r="A7" s="1">
        <v>824</v>
      </c>
    </row>
    <row r="8" spans="1:5" x14ac:dyDescent="0.3">
      <c r="A8" s="1">
        <v>98</v>
      </c>
    </row>
    <row r="9" spans="1:5" x14ac:dyDescent="0.3">
      <c r="A9" s="1">
        <v>224</v>
      </c>
    </row>
    <row r="10" spans="1:5" x14ac:dyDescent="0.3">
      <c r="A10" s="1">
        <v>229</v>
      </c>
    </row>
    <row r="11" spans="1:5" x14ac:dyDescent="0.3">
      <c r="A11" s="1">
        <v>619</v>
      </c>
    </row>
    <row r="12" spans="1:5" x14ac:dyDescent="0.3">
      <c r="A12" s="1">
        <v>271</v>
      </c>
    </row>
    <row r="13" spans="1:5" x14ac:dyDescent="0.3">
      <c r="A13" s="1">
        <v>208</v>
      </c>
    </row>
    <row r="14" spans="1:5" x14ac:dyDescent="0.3">
      <c r="A14" s="1">
        <v>326</v>
      </c>
    </row>
    <row r="15" spans="1:5" x14ac:dyDescent="0.3">
      <c r="A15" s="1">
        <v>699</v>
      </c>
    </row>
    <row r="16" spans="1:5" x14ac:dyDescent="0.3">
      <c r="A16" s="1">
        <v>143</v>
      </c>
    </row>
    <row r="17" spans="1:1" x14ac:dyDescent="0.3">
      <c r="A17" s="1">
        <v>724</v>
      </c>
    </row>
    <row r="18" spans="1:1" x14ac:dyDescent="0.3">
      <c r="A18" s="1">
        <v>425</v>
      </c>
    </row>
    <row r="19" spans="1:1" x14ac:dyDescent="0.3">
      <c r="A19" s="1">
        <v>292</v>
      </c>
    </row>
    <row r="20" spans="1:1" x14ac:dyDescent="0.3">
      <c r="A20" s="1">
        <v>794</v>
      </c>
    </row>
    <row r="21" spans="1:1" x14ac:dyDescent="0.3">
      <c r="A21" s="1">
        <v>100</v>
      </c>
    </row>
    <row r="22" spans="1:1" x14ac:dyDescent="0.3">
      <c r="A22" s="1">
        <v>256</v>
      </c>
    </row>
    <row r="23" spans="1:1" x14ac:dyDescent="0.3">
      <c r="A23" s="1">
        <v>760</v>
      </c>
    </row>
    <row r="24" spans="1:1" x14ac:dyDescent="0.3">
      <c r="A24" s="1">
        <v>846</v>
      </c>
    </row>
    <row r="25" spans="1:1" x14ac:dyDescent="0.3">
      <c r="A25" s="1">
        <v>359</v>
      </c>
    </row>
    <row r="26" spans="1:1" x14ac:dyDescent="0.3">
      <c r="A26" s="1">
        <v>708</v>
      </c>
    </row>
    <row r="27" spans="1:1" x14ac:dyDescent="0.3">
      <c r="A27" s="1">
        <v>473</v>
      </c>
    </row>
    <row r="28" spans="1:1" x14ac:dyDescent="0.3">
      <c r="A28" s="1">
        <v>29</v>
      </c>
    </row>
    <row r="29" spans="1:1" x14ac:dyDescent="0.3">
      <c r="A29" s="1">
        <v>510</v>
      </c>
    </row>
    <row r="30" spans="1:1" x14ac:dyDescent="0.3">
      <c r="A30" s="1">
        <v>54</v>
      </c>
    </row>
    <row r="31" spans="1:1" x14ac:dyDescent="0.3">
      <c r="A31" s="1">
        <v>994</v>
      </c>
    </row>
    <row r="32" spans="1:1" x14ac:dyDescent="0.3">
      <c r="A32" s="1">
        <v>553</v>
      </c>
    </row>
    <row r="33" spans="1:1" x14ac:dyDescent="0.3">
      <c r="A33" s="1">
        <v>751</v>
      </c>
    </row>
    <row r="34" spans="1:1" x14ac:dyDescent="0.3">
      <c r="A34" s="1">
        <v>766</v>
      </c>
    </row>
    <row r="35" spans="1:1" x14ac:dyDescent="0.3">
      <c r="A35" s="1">
        <v>669</v>
      </c>
    </row>
    <row r="36" spans="1:1" x14ac:dyDescent="0.3">
      <c r="A36" s="1">
        <v>706</v>
      </c>
    </row>
    <row r="37" spans="1:1" x14ac:dyDescent="0.3">
      <c r="A37" s="1">
        <v>224</v>
      </c>
    </row>
    <row r="38" spans="1:1" x14ac:dyDescent="0.3">
      <c r="A38" s="1">
        <v>896</v>
      </c>
    </row>
    <row r="39" spans="1:1" x14ac:dyDescent="0.3">
      <c r="A39" s="1">
        <v>79</v>
      </c>
    </row>
    <row r="40" spans="1:1" x14ac:dyDescent="0.3">
      <c r="A40" s="1">
        <v>91</v>
      </c>
    </row>
    <row r="41" spans="1:1" x14ac:dyDescent="0.3">
      <c r="A41" s="1">
        <v>621</v>
      </c>
    </row>
    <row r="42" spans="1:1" x14ac:dyDescent="0.3">
      <c r="A42" s="1">
        <v>266</v>
      </c>
    </row>
    <row r="43" spans="1:1" x14ac:dyDescent="0.3">
      <c r="A43" s="1">
        <v>783</v>
      </c>
    </row>
    <row r="44" spans="1:1" x14ac:dyDescent="0.3">
      <c r="A44" s="1">
        <v>843</v>
      </c>
    </row>
    <row r="45" spans="1:1" x14ac:dyDescent="0.3">
      <c r="A45" s="1">
        <v>396</v>
      </c>
    </row>
    <row r="46" spans="1:1" x14ac:dyDescent="0.3">
      <c r="A46" s="1">
        <v>637</v>
      </c>
    </row>
    <row r="47" spans="1:1" x14ac:dyDescent="0.3">
      <c r="A47" s="1">
        <v>622</v>
      </c>
    </row>
    <row r="48" spans="1:1" x14ac:dyDescent="0.3">
      <c r="A48" s="1">
        <v>466</v>
      </c>
    </row>
    <row r="49" spans="1:1" x14ac:dyDescent="0.3">
      <c r="A49" s="1">
        <v>15</v>
      </c>
    </row>
    <row r="50" spans="1:1" x14ac:dyDescent="0.3">
      <c r="A50" s="1">
        <v>574</v>
      </c>
    </row>
    <row r="51" spans="1:1" x14ac:dyDescent="0.3">
      <c r="A51" s="1">
        <v>778</v>
      </c>
    </row>
    <row r="52" spans="1:1" x14ac:dyDescent="0.3">
      <c r="A52" s="1">
        <v>953</v>
      </c>
    </row>
    <row r="53" spans="1:1" x14ac:dyDescent="0.3">
      <c r="A53" s="1">
        <v>511</v>
      </c>
    </row>
    <row r="54" spans="1:1" x14ac:dyDescent="0.3">
      <c r="A54" s="1">
        <v>591</v>
      </c>
    </row>
    <row r="55" spans="1:1" x14ac:dyDescent="0.3">
      <c r="A55" s="1">
        <v>314</v>
      </c>
    </row>
    <row r="56" spans="1:1" x14ac:dyDescent="0.3">
      <c r="A56" s="1">
        <v>575</v>
      </c>
    </row>
    <row r="57" spans="1:1" x14ac:dyDescent="0.3">
      <c r="A57" s="1">
        <v>77</v>
      </c>
    </row>
    <row r="58" spans="1:1" x14ac:dyDescent="0.3">
      <c r="A58" s="1">
        <v>805</v>
      </c>
    </row>
    <row r="59" spans="1:1" x14ac:dyDescent="0.3">
      <c r="A59" s="1">
        <v>207</v>
      </c>
    </row>
    <row r="60" spans="1:1" x14ac:dyDescent="0.3">
      <c r="A60" s="1">
        <v>693</v>
      </c>
    </row>
    <row r="61" spans="1:1" x14ac:dyDescent="0.3">
      <c r="A61" s="1">
        <v>591</v>
      </c>
    </row>
    <row r="62" spans="1:1" x14ac:dyDescent="0.3">
      <c r="A62" s="1">
        <v>641</v>
      </c>
    </row>
    <row r="63" spans="1:1" x14ac:dyDescent="0.3">
      <c r="A63" s="1">
        <v>328</v>
      </c>
    </row>
    <row r="64" spans="1:1" x14ac:dyDescent="0.3">
      <c r="A64" s="1">
        <v>402</v>
      </c>
    </row>
    <row r="65" spans="1:1" x14ac:dyDescent="0.3">
      <c r="A65" s="1">
        <v>381</v>
      </c>
    </row>
    <row r="66" spans="1:1" x14ac:dyDescent="0.3">
      <c r="A66" s="1">
        <v>67</v>
      </c>
    </row>
    <row r="67" spans="1:1" x14ac:dyDescent="0.3">
      <c r="A67" s="1">
        <v>648</v>
      </c>
    </row>
    <row r="68" spans="1:1" x14ac:dyDescent="0.3">
      <c r="A68" s="1">
        <v>290</v>
      </c>
    </row>
    <row r="69" spans="1:1" x14ac:dyDescent="0.3">
      <c r="A69" s="1">
        <v>288</v>
      </c>
    </row>
    <row r="70" spans="1:1" x14ac:dyDescent="0.3">
      <c r="A70" s="1">
        <v>889</v>
      </c>
    </row>
    <row r="71" spans="1:1" x14ac:dyDescent="0.3">
      <c r="A71" s="1">
        <v>540</v>
      </c>
    </row>
    <row r="72" spans="1:1" x14ac:dyDescent="0.3">
      <c r="A72" s="1">
        <v>311</v>
      </c>
    </row>
    <row r="73" spans="1:1" x14ac:dyDescent="0.3">
      <c r="A73" s="1">
        <v>960</v>
      </c>
    </row>
    <row r="74" spans="1:1" x14ac:dyDescent="0.3">
      <c r="A74" s="1">
        <v>425</v>
      </c>
    </row>
    <row r="75" spans="1:1" x14ac:dyDescent="0.3">
      <c r="A75" s="1">
        <v>998</v>
      </c>
    </row>
    <row r="76" spans="1:1" x14ac:dyDescent="0.3">
      <c r="A76" s="1">
        <v>477</v>
      </c>
    </row>
    <row r="77" spans="1:1" x14ac:dyDescent="0.3">
      <c r="A77" s="1">
        <v>127</v>
      </c>
    </row>
    <row r="78" spans="1:1" x14ac:dyDescent="0.3">
      <c r="A78" s="1">
        <v>104</v>
      </c>
    </row>
    <row r="79" spans="1:1" x14ac:dyDescent="0.3">
      <c r="A79" s="1">
        <v>43</v>
      </c>
    </row>
    <row r="80" spans="1:1" x14ac:dyDescent="0.3">
      <c r="A80" s="1">
        <v>698</v>
      </c>
    </row>
    <row r="81" spans="1:1" x14ac:dyDescent="0.3">
      <c r="A81" s="1">
        <v>292</v>
      </c>
    </row>
    <row r="82" spans="1:1" x14ac:dyDescent="0.3">
      <c r="A82" s="1">
        <v>625</v>
      </c>
    </row>
    <row r="83" spans="1:1" x14ac:dyDescent="0.3">
      <c r="A83" s="1">
        <v>558</v>
      </c>
    </row>
    <row r="84" spans="1:1" x14ac:dyDescent="0.3">
      <c r="A84" s="1">
        <v>764</v>
      </c>
    </row>
    <row r="85" spans="1:1" x14ac:dyDescent="0.3">
      <c r="A85" s="1">
        <v>50</v>
      </c>
    </row>
    <row r="86" spans="1:1" x14ac:dyDescent="0.3">
      <c r="A86" s="1">
        <v>931</v>
      </c>
    </row>
    <row r="87" spans="1:1" x14ac:dyDescent="0.3">
      <c r="A87" s="1">
        <v>380</v>
      </c>
    </row>
    <row r="88" spans="1:1" x14ac:dyDescent="0.3">
      <c r="A88" s="1">
        <v>995</v>
      </c>
    </row>
    <row r="89" spans="1:1" x14ac:dyDescent="0.3">
      <c r="A89" s="1">
        <v>887</v>
      </c>
    </row>
    <row r="90" spans="1:1" x14ac:dyDescent="0.3">
      <c r="A90" s="1">
        <v>565</v>
      </c>
    </row>
    <row r="91" spans="1:1" x14ac:dyDescent="0.3">
      <c r="A91" s="1">
        <v>396</v>
      </c>
    </row>
    <row r="92" spans="1:1" x14ac:dyDescent="0.3">
      <c r="A92" s="1">
        <v>458</v>
      </c>
    </row>
    <row r="93" spans="1:1" x14ac:dyDescent="0.3">
      <c r="A93" s="1">
        <v>605</v>
      </c>
    </row>
    <row r="94" spans="1:1" x14ac:dyDescent="0.3">
      <c r="A94" s="1">
        <v>568</v>
      </c>
    </row>
    <row r="95" spans="1:1" x14ac:dyDescent="0.3">
      <c r="A95" s="1">
        <v>433</v>
      </c>
    </row>
    <row r="96" spans="1:1" x14ac:dyDescent="0.3">
      <c r="A96" s="1">
        <v>767</v>
      </c>
    </row>
    <row r="97" spans="1:1" x14ac:dyDescent="0.3">
      <c r="A97" s="1">
        <v>456</v>
      </c>
    </row>
    <row r="98" spans="1:1" x14ac:dyDescent="0.3">
      <c r="A98" s="1">
        <v>280</v>
      </c>
    </row>
    <row r="99" spans="1:1" x14ac:dyDescent="0.3">
      <c r="A99" s="1">
        <v>442</v>
      </c>
    </row>
    <row r="100" spans="1:1" x14ac:dyDescent="0.3">
      <c r="A100" s="1">
        <v>701</v>
      </c>
    </row>
    <row r="101" spans="1:1" x14ac:dyDescent="0.3">
      <c r="A101" s="1">
        <v>388</v>
      </c>
    </row>
    <row r="102" spans="1:1" x14ac:dyDescent="0.3">
      <c r="A102" s="1">
        <v>91</v>
      </c>
    </row>
    <row r="103" spans="1:1" x14ac:dyDescent="0.3">
      <c r="A103" s="1">
        <v>452</v>
      </c>
    </row>
    <row r="104" spans="1:1" x14ac:dyDescent="0.3">
      <c r="A104" s="1">
        <v>719</v>
      </c>
    </row>
    <row r="105" spans="1:1" x14ac:dyDescent="0.3">
      <c r="A105" s="1">
        <v>110</v>
      </c>
    </row>
    <row r="106" spans="1:1" x14ac:dyDescent="0.3">
      <c r="A106" s="1">
        <v>621</v>
      </c>
    </row>
    <row r="107" spans="1:1" x14ac:dyDescent="0.3">
      <c r="A107" s="1">
        <v>511</v>
      </c>
    </row>
    <row r="108" spans="1:1" x14ac:dyDescent="0.3">
      <c r="A108" s="1">
        <v>437</v>
      </c>
    </row>
    <row r="109" spans="1:1" x14ac:dyDescent="0.3">
      <c r="A109" s="1">
        <v>324</v>
      </c>
    </row>
    <row r="110" spans="1:1" x14ac:dyDescent="0.3">
      <c r="A110" s="1">
        <v>344</v>
      </c>
    </row>
    <row r="111" spans="1:1" x14ac:dyDescent="0.3">
      <c r="A111" s="1">
        <v>712</v>
      </c>
    </row>
    <row r="112" spans="1:1" x14ac:dyDescent="0.3">
      <c r="A112" s="1">
        <v>916</v>
      </c>
    </row>
    <row r="113" spans="1:1" x14ac:dyDescent="0.3">
      <c r="A113" s="1">
        <v>757</v>
      </c>
    </row>
    <row r="114" spans="1:1" x14ac:dyDescent="0.3">
      <c r="A114" s="1">
        <v>632</v>
      </c>
    </row>
    <row r="115" spans="1:1" x14ac:dyDescent="0.3">
      <c r="A115" s="1">
        <v>825</v>
      </c>
    </row>
    <row r="116" spans="1:1" x14ac:dyDescent="0.3">
      <c r="A116" s="1">
        <v>820</v>
      </c>
    </row>
    <row r="117" spans="1:1" x14ac:dyDescent="0.3">
      <c r="A117" s="1">
        <v>451</v>
      </c>
    </row>
    <row r="118" spans="1:1" x14ac:dyDescent="0.3">
      <c r="A118" s="1">
        <v>140</v>
      </c>
    </row>
    <row r="119" spans="1:1" x14ac:dyDescent="0.3">
      <c r="A119" s="1">
        <v>725</v>
      </c>
    </row>
    <row r="120" spans="1:1" x14ac:dyDescent="0.3">
      <c r="A120" s="1">
        <v>952</v>
      </c>
    </row>
    <row r="121" spans="1:1" x14ac:dyDescent="0.3">
      <c r="A121" s="1">
        <v>665</v>
      </c>
    </row>
    <row r="122" spans="1:1" x14ac:dyDescent="0.3">
      <c r="A122" s="1">
        <v>71</v>
      </c>
    </row>
    <row r="123" spans="1:1" x14ac:dyDescent="0.3">
      <c r="A123" s="1">
        <v>685</v>
      </c>
    </row>
    <row r="124" spans="1:1" x14ac:dyDescent="0.3">
      <c r="A124" s="1">
        <v>463</v>
      </c>
    </row>
    <row r="125" spans="1:1" x14ac:dyDescent="0.3">
      <c r="A125" s="1">
        <v>394</v>
      </c>
    </row>
    <row r="126" spans="1:1" x14ac:dyDescent="0.3">
      <c r="A126" s="1">
        <v>322</v>
      </c>
    </row>
    <row r="127" spans="1:1" x14ac:dyDescent="0.3">
      <c r="A127" s="1">
        <v>114</v>
      </c>
    </row>
    <row r="128" spans="1:1" x14ac:dyDescent="0.3">
      <c r="A128" s="1">
        <v>655</v>
      </c>
    </row>
    <row r="129" spans="1:1" x14ac:dyDescent="0.3">
      <c r="A129" s="1">
        <v>550</v>
      </c>
    </row>
    <row r="130" spans="1:1" x14ac:dyDescent="0.3">
      <c r="A130" s="1">
        <v>646</v>
      </c>
    </row>
    <row r="131" spans="1:1" x14ac:dyDescent="0.3">
      <c r="A131" s="1">
        <v>345</v>
      </c>
    </row>
    <row r="132" spans="1:1" x14ac:dyDescent="0.3">
      <c r="A132" s="1">
        <v>969</v>
      </c>
    </row>
    <row r="133" spans="1:1" x14ac:dyDescent="0.3">
      <c r="A133" s="1">
        <v>639</v>
      </c>
    </row>
    <row r="134" spans="1:1" x14ac:dyDescent="0.3">
      <c r="A134" s="1">
        <v>505</v>
      </c>
    </row>
    <row r="135" spans="1:1" x14ac:dyDescent="0.3">
      <c r="A135" s="1">
        <v>180</v>
      </c>
    </row>
    <row r="136" spans="1:1" x14ac:dyDescent="0.3">
      <c r="A136" s="1">
        <v>217</v>
      </c>
    </row>
    <row r="137" spans="1:1" x14ac:dyDescent="0.3">
      <c r="A137" s="1">
        <v>926</v>
      </c>
    </row>
    <row r="138" spans="1:1" x14ac:dyDescent="0.3">
      <c r="A138" s="1">
        <v>800</v>
      </c>
    </row>
    <row r="139" spans="1:1" x14ac:dyDescent="0.3">
      <c r="A139" s="1">
        <v>33</v>
      </c>
    </row>
    <row r="140" spans="1:1" x14ac:dyDescent="0.3">
      <c r="A140" s="1">
        <v>93</v>
      </c>
    </row>
    <row r="141" spans="1:1" x14ac:dyDescent="0.3">
      <c r="A141" s="1">
        <v>598</v>
      </c>
    </row>
    <row r="142" spans="1:1" x14ac:dyDescent="0.3">
      <c r="A142" s="1">
        <v>966</v>
      </c>
    </row>
    <row r="143" spans="1:1" x14ac:dyDescent="0.3">
      <c r="A143" s="1">
        <v>912</v>
      </c>
    </row>
    <row r="144" spans="1:1" x14ac:dyDescent="0.3">
      <c r="A144" s="1">
        <v>271</v>
      </c>
    </row>
    <row r="145" spans="1:1" x14ac:dyDescent="0.3">
      <c r="A145" s="1">
        <v>936</v>
      </c>
    </row>
    <row r="146" spans="1:1" x14ac:dyDescent="0.3">
      <c r="A146" s="1">
        <v>776</v>
      </c>
    </row>
    <row r="147" spans="1:1" x14ac:dyDescent="0.3">
      <c r="A147" s="1">
        <v>303</v>
      </c>
    </row>
    <row r="148" spans="1:1" x14ac:dyDescent="0.3">
      <c r="A148" s="1">
        <v>185</v>
      </c>
    </row>
    <row r="149" spans="1:1" x14ac:dyDescent="0.3">
      <c r="A149" s="1">
        <v>865</v>
      </c>
    </row>
    <row r="150" spans="1:1" x14ac:dyDescent="0.3">
      <c r="A150" s="1">
        <v>934</v>
      </c>
    </row>
    <row r="151" spans="1:1" x14ac:dyDescent="0.3">
      <c r="A151" s="1">
        <v>367</v>
      </c>
    </row>
    <row r="152" spans="1:1" x14ac:dyDescent="0.3">
      <c r="A152" s="1">
        <v>262</v>
      </c>
    </row>
    <row r="153" spans="1:1" x14ac:dyDescent="0.3">
      <c r="A153" s="1">
        <v>533</v>
      </c>
    </row>
    <row r="154" spans="1:1" x14ac:dyDescent="0.3">
      <c r="A154" s="1">
        <v>281</v>
      </c>
    </row>
    <row r="155" spans="1:1" x14ac:dyDescent="0.3">
      <c r="A155" s="1">
        <v>202</v>
      </c>
    </row>
    <row r="156" spans="1:1" x14ac:dyDescent="0.3">
      <c r="A156" s="1">
        <v>818</v>
      </c>
    </row>
    <row r="157" spans="1:1" x14ac:dyDescent="0.3">
      <c r="A157" s="1">
        <v>590</v>
      </c>
    </row>
    <row r="158" spans="1:1" x14ac:dyDescent="0.3">
      <c r="A158" s="1">
        <v>312</v>
      </c>
    </row>
    <row r="159" spans="1:1" x14ac:dyDescent="0.3">
      <c r="A159" s="1">
        <v>446</v>
      </c>
    </row>
    <row r="160" spans="1:1" x14ac:dyDescent="0.3">
      <c r="A160" s="1">
        <v>390</v>
      </c>
    </row>
    <row r="161" spans="1:1" x14ac:dyDescent="0.3">
      <c r="A161" s="1">
        <v>368</v>
      </c>
    </row>
    <row r="162" spans="1:1" x14ac:dyDescent="0.3">
      <c r="A162" s="1">
        <v>146</v>
      </c>
    </row>
    <row r="163" spans="1:1" x14ac:dyDescent="0.3">
      <c r="A163" s="1">
        <v>338</v>
      </c>
    </row>
    <row r="164" spans="1:1" x14ac:dyDescent="0.3">
      <c r="A164" s="1">
        <v>246</v>
      </c>
    </row>
    <row r="165" spans="1:1" x14ac:dyDescent="0.3">
      <c r="A165" s="1">
        <v>209</v>
      </c>
    </row>
    <row r="166" spans="1:1" x14ac:dyDescent="0.3">
      <c r="A166" s="1">
        <v>368</v>
      </c>
    </row>
    <row r="167" spans="1:1" x14ac:dyDescent="0.3">
      <c r="A167" s="1">
        <v>773</v>
      </c>
    </row>
    <row r="168" spans="1:1" x14ac:dyDescent="0.3">
      <c r="A168" s="1">
        <v>549</v>
      </c>
    </row>
    <row r="169" spans="1:1" x14ac:dyDescent="0.3">
      <c r="A169" s="1">
        <v>772</v>
      </c>
    </row>
    <row r="170" spans="1:1" x14ac:dyDescent="0.3">
      <c r="A170" s="1">
        <v>281</v>
      </c>
    </row>
    <row r="171" spans="1:1" x14ac:dyDescent="0.3">
      <c r="A171" s="1">
        <v>274</v>
      </c>
    </row>
    <row r="172" spans="1:1" x14ac:dyDescent="0.3">
      <c r="A172" s="1">
        <v>147</v>
      </c>
    </row>
    <row r="173" spans="1:1" x14ac:dyDescent="0.3">
      <c r="A173" s="1">
        <v>329</v>
      </c>
    </row>
    <row r="174" spans="1:1" x14ac:dyDescent="0.3">
      <c r="A174" s="1">
        <v>719</v>
      </c>
    </row>
    <row r="175" spans="1:1" x14ac:dyDescent="0.3">
      <c r="A175" s="1">
        <v>111</v>
      </c>
    </row>
    <row r="176" spans="1:1" x14ac:dyDescent="0.3">
      <c r="A176" s="1">
        <v>536</v>
      </c>
    </row>
    <row r="177" spans="1:1" x14ac:dyDescent="0.3">
      <c r="A177" s="1">
        <v>814</v>
      </c>
    </row>
    <row r="178" spans="1:1" x14ac:dyDescent="0.3">
      <c r="A178" s="1">
        <v>527</v>
      </c>
    </row>
    <row r="179" spans="1:1" x14ac:dyDescent="0.3">
      <c r="A179" s="1">
        <v>288</v>
      </c>
    </row>
    <row r="180" spans="1:1" x14ac:dyDescent="0.3">
      <c r="A180" s="1">
        <v>206</v>
      </c>
    </row>
    <row r="181" spans="1:1" x14ac:dyDescent="0.3">
      <c r="A181" s="1">
        <v>657</v>
      </c>
    </row>
    <row r="182" spans="1:1" x14ac:dyDescent="0.3">
      <c r="A182" s="1">
        <v>918</v>
      </c>
    </row>
    <row r="183" spans="1:1" x14ac:dyDescent="0.3">
      <c r="A183" s="1">
        <v>1000</v>
      </c>
    </row>
    <row r="184" spans="1:1" x14ac:dyDescent="0.3">
      <c r="A184" s="1">
        <v>892</v>
      </c>
    </row>
    <row r="185" spans="1:1" x14ac:dyDescent="0.3">
      <c r="A185" s="1">
        <v>840</v>
      </c>
    </row>
    <row r="186" spans="1:1" x14ac:dyDescent="0.3">
      <c r="A186" s="1">
        <v>198</v>
      </c>
    </row>
    <row r="187" spans="1:1" x14ac:dyDescent="0.3">
      <c r="A187" s="1">
        <v>699</v>
      </c>
    </row>
    <row r="188" spans="1:1" x14ac:dyDescent="0.3">
      <c r="A188" s="1">
        <v>649</v>
      </c>
    </row>
    <row r="189" spans="1:1" x14ac:dyDescent="0.3">
      <c r="A189" s="1">
        <v>38</v>
      </c>
    </row>
    <row r="190" spans="1:1" x14ac:dyDescent="0.3">
      <c r="A190" s="1">
        <v>841</v>
      </c>
    </row>
    <row r="191" spans="1:1" x14ac:dyDescent="0.3">
      <c r="A191" s="1">
        <v>952</v>
      </c>
    </row>
    <row r="192" spans="1:1" x14ac:dyDescent="0.3">
      <c r="A192" s="1">
        <v>618</v>
      </c>
    </row>
    <row r="193" spans="1:1" x14ac:dyDescent="0.3">
      <c r="A193" s="1">
        <v>345</v>
      </c>
    </row>
    <row r="194" spans="1:1" x14ac:dyDescent="0.3">
      <c r="A194" s="1">
        <v>488</v>
      </c>
    </row>
    <row r="195" spans="1:1" x14ac:dyDescent="0.3">
      <c r="A195" s="1">
        <v>49</v>
      </c>
    </row>
    <row r="196" spans="1:1" x14ac:dyDescent="0.3">
      <c r="A196" s="1">
        <v>435</v>
      </c>
    </row>
    <row r="197" spans="1:1" x14ac:dyDescent="0.3">
      <c r="A197" s="1">
        <v>63</v>
      </c>
    </row>
    <row r="198" spans="1:1" x14ac:dyDescent="0.3">
      <c r="A198" s="1">
        <v>537</v>
      </c>
    </row>
    <row r="199" spans="1:1" x14ac:dyDescent="0.3">
      <c r="A199" s="1">
        <v>953</v>
      </c>
    </row>
    <row r="200" spans="1:1" x14ac:dyDescent="0.3">
      <c r="A200" s="1">
        <v>679</v>
      </c>
    </row>
    <row r="201" spans="1:1" x14ac:dyDescent="0.3">
      <c r="A201" s="1">
        <v>140</v>
      </c>
    </row>
    <row r="202" spans="1:1" x14ac:dyDescent="0.3">
      <c r="A202" s="1">
        <v>23</v>
      </c>
    </row>
    <row r="203" spans="1:1" x14ac:dyDescent="0.3">
      <c r="A203" s="1">
        <v>778</v>
      </c>
    </row>
    <row r="204" spans="1:1" x14ac:dyDescent="0.3">
      <c r="A204" s="1">
        <v>685</v>
      </c>
    </row>
    <row r="205" spans="1:1" x14ac:dyDescent="0.3">
      <c r="A205" s="1">
        <v>147</v>
      </c>
    </row>
    <row r="206" spans="1:1" x14ac:dyDescent="0.3">
      <c r="A206" s="1">
        <v>580</v>
      </c>
    </row>
    <row r="207" spans="1:1" x14ac:dyDescent="0.3">
      <c r="A207" s="1">
        <v>635</v>
      </c>
    </row>
    <row r="208" spans="1:1" x14ac:dyDescent="0.3">
      <c r="A208" s="1">
        <v>835</v>
      </c>
    </row>
    <row r="209" spans="1:1" x14ac:dyDescent="0.3">
      <c r="A209" s="1">
        <v>56</v>
      </c>
    </row>
    <row r="210" spans="1:1" x14ac:dyDescent="0.3">
      <c r="A210" s="1">
        <v>214</v>
      </c>
    </row>
    <row r="211" spans="1:1" x14ac:dyDescent="0.3">
      <c r="A211" s="1">
        <v>673</v>
      </c>
    </row>
    <row r="212" spans="1:1" x14ac:dyDescent="0.3">
      <c r="A212" s="1">
        <v>1000</v>
      </c>
    </row>
    <row r="213" spans="1:1" x14ac:dyDescent="0.3">
      <c r="A213" s="1">
        <v>183</v>
      </c>
    </row>
    <row r="214" spans="1:1" x14ac:dyDescent="0.3">
      <c r="A214" s="1">
        <v>253</v>
      </c>
    </row>
    <row r="215" spans="1:1" x14ac:dyDescent="0.3">
      <c r="A215" s="1">
        <v>957</v>
      </c>
    </row>
    <row r="216" spans="1:1" x14ac:dyDescent="0.3">
      <c r="A216" s="1">
        <v>330</v>
      </c>
    </row>
    <row r="217" spans="1:1" x14ac:dyDescent="0.3">
      <c r="A217" s="1">
        <v>224</v>
      </c>
    </row>
    <row r="218" spans="1:1" x14ac:dyDescent="0.3">
      <c r="A218" s="1">
        <v>742</v>
      </c>
    </row>
    <row r="219" spans="1:1" x14ac:dyDescent="0.3">
      <c r="A219" s="1">
        <v>708</v>
      </c>
    </row>
    <row r="220" spans="1:1" x14ac:dyDescent="0.3">
      <c r="A220" s="1">
        <v>253</v>
      </c>
    </row>
    <row r="221" spans="1:1" x14ac:dyDescent="0.3">
      <c r="A221" s="1">
        <v>548</v>
      </c>
    </row>
    <row r="222" spans="1:1" x14ac:dyDescent="0.3">
      <c r="A222" s="1">
        <v>412</v>
      </c>
    </row>
    <row r="223" spans="1:1" x14ac:dyDescent="0.3">
      <c r="A223" s="1">
        <v>808</v>
      </c>
    </row>
    <row r="224" spans="1:1" x14ac:dyDescent="0.3">
      <c r="A224" s="1">
        <v>332</v>
      </c>
    </row>
    <row r="225" spans="1:1" x14ac:dyDescent="0.3">
      <c r="A225" s="1">
        <v>421</v>
      </c>
    </row>
    <row r="226" spans="1:1" x14ac:dyDescent="0.3">
      <c r="A226" s="1">
        <v>468</v>
      </c>
    </row>
    <row r="227" spans="1:1" x14ac:dyDescent="0.3">
      <c r="A227" s="1">
        <v>546</v>
      </c>
    </row>
    <row r="228" spans="1:1" x14ac:dyDescent="0.3">
      <c r="A228" s="1">
        <v>528</v>
      </c>
    </row>
    <row r="229" spans="1:1" x14ac:dyDescent="0.3">
      <c r="A229" s="1">
        <v>961</v>
      </c>
    </row>
    <row r="230" spans="1:1" x14ac:dyDescent="0.3">
      <c r="A230" s="1">
        <v>516</v>
      </c>
    </row>
    <row r="231" spans="1:1" x14ac:dyDescent="0.3">
      <c r="A231" s="1">
        <v>922</v>
      </c>
    </row>
    <row r="232" spans="1:1" x14ac:dyDescent="0.3">
      <c r="A232" s="1">
        <v>173</v>
      </c>
    </row>
    <row r="233" spans="1:1" x14ac:dyDescent="0.3">
      <c r="A233" s="1">
        <v>251</v>
      </c>
    </row>
    <row r="234" spans="1:1" x14ac:dyDescent="0.3">
      <c r="A234" s="1">
        <v>997</v>
      </c>
    </row>
    <row r="235" spans="1:1" x14ac:dyDescent="0.3">
      <c r="A235" s="1">
        <v>70</v>
      </c>
    </row>
    <row r="236" spans="1:1" x14ac:dyDescent="0.3">
      <c r="A236" s="1">
        <v>933</v>
      </c>
    </row>
    <row r="237" spans="1:1" x14ac:dyDescent="0.3">
      <c r="A237" s="1">
        <v>860</v>
      </c>
    </row>
    <row r="238" spans="1:1" x14ac:dyDescent="0.3">
      <c r="A238" s="1">
        <v>333</v>
      </c>
    </row>
    <row r="239" spans="1:1" x14ac:dyDescent="0.3">
      <c r="A239" s="1">
        <v>864</v>
      </c>
    </row>
    <row r="240" spans="1:1" x14ac:dyDescent="0.3">
      <c r="A240" s="1">
        <v>705</v>
      </c>
    </row>
    <row r="241" spans="1:1" x14ac:dyDescent="0.3">
      <c r="A241" s="1">
        <v>346</v>
      </c>
    </row>
    <row r="242" spans="1:1" x14ac:dyDescent="0.3">
      <c r="A242" s="1">
        <v>568</v>
      </c>
    </row>
    <row r="243" spans="1:1" x14ac:dyDescent="0.3">
      <c r="A243" s="1">
        <v>337</v>
      </c>
    </row>
    <row r="244" spans="1:1" x14ac:dyDescent="0.3">
      <c r="A244" s="1">
        <v>626</v>
      </c>
    </row>
    <row r="245" spans="1:1" x14ac:dyDescent="0.3">
      <c r="A245" s="1">
        <v>235</v>
      </c>
    </row>
    <row r="246" spans="1:1" x14ac:dyDescent="0.3">
      <c r="A246" s="1">
        <v>121</v>
      </c>
    </row>
    <row r="247" spans="1:1" x14ac:dyDescent="0.3">
      <c r="A247" s="1">
        <v>414</v>
      </c>
    </row>
    <row r="248" spans="1:1" x14ac:dyDescent="0.3">
      <c r="A248" s="1">
        <v>733</v>
      </c>
    </row>
    <row r="249" spans="1:1" x14ac:dyDescent="0.3">
      <c r="A249" s="1">
        <v>773</v>
      </c>
    </row>
    <row r="250" spans="1:1" x14ac:dyDescent="0.3">
      <c r="A250" s="1">
        <v>411</v>
      </c>
    </row>
    <row r="251" spans="1:1" x14ac:dyDescent="0.3">
      <c r="A251" s="1">
        <v>581</v>
      </c>
    </row>
    <row r="252" spans="1:1" x14ac:dyDescent="0.3">
      <c r="A252" s="1">
        <v>231</v>
      </c>
    </row>
    <row r="253" spans="1:1" x14ac:dyDescent="0.3">
      <c r="A253" s="1">
        <v>968</v>
      </c>
    </row>
    <row r="254" spans="1:1" x14ac:dyDescent="0.3">
      <c r="A254" s="1">
        <v>44</v>
      </c>
    </row>
    <row r="255" spans="1:1" x14ac:dyDescent="0.3">
      <c r="A255" s="1">
        <v>314</v>
      </c>
    </row>
    <row r="256" spans="1:1" x14ac:dyDescent="0.3">
      <c r="A256" s="1">
        <v>928</v>
      </c>
    </row>
    <row r="257" spans="1:1" x14ac:dyDescent="0.3">
      <c r="A257" s="1">
        <v>320</v>
      </c>
    </row>
    <row r="258" spans="1:1" x14ac:dyDescent="0.3">
      <c r="A258" s="1">
        <v>847</v>
      </c>
    </row>
    <row r="259" spans="1:1" x14ac:dyDescent="0.3">
      <c r="A259" s="1">
        <v>610</v>
      </c>
    </row>
    <row r="260" spans="1:1" x14ac:dyDescent="0.3">
      <c r="A260" s="1">
        <v>508</v>
      </c>
    </row>
    <row r="261" spans="1:1" x14ac:dyDescent="0.3">
      <c r="A261" s="1">
        <v>400</v>
      </c>
    </row>
    <row r="262" spans="1:1" x14ac:dyDescent="0.3">
      <c r="A262" s="1">
        <v>66</v>
      </c>
    </row>
    <row r="263" spans="1:1" x14ac:dyDescent="0.3">
      <c r="A263" s="1">
        <v>401</v>
      </c>
    </row>
    <row r="264" spans="1:1" x14ac:dyDescent="0.3">
      <c r="A264" s="1">
        <v>255</v>
      </c>
    </row>
    <row r="265" spans="1:1" x14ac:dyDescent="0.3">
      <c r="A265" s="1">
        <v>81</v>
      </c>
    </row>
    <row r="266" spans="1:1" x14ac:dyDescent="0.3">
      <c r="A266" s="1">
        <v>785</v>
      </c>
    </row>
    <row r="267" spans="1:1" x14ac:dyDescent="0.3">
      <c r="A267" s="1">
        <v>63</v>
      </c>
    </row>
    <row r="268" spans="1:1" x14ac:dyDescent="0.3">
      <c r="A268" s="1">
        <v>626</v>
      </c>
    </row>
    <row r="269" spans="1:1" x14ac:dyDescent="0.3">
      <c r="A269" s="1">
        <v>345</v>
      </c>
    </row>
    <row r="270" spans="1:1" x14ac:dyDescent="0.3">
      <c r="A270" s="1">
        <v>29</v>
      </c>
    </row>
    <row r="271" spans="1:1" x14ac:dyDescent="0.3">
      <c r="A271" s="1">
        <v>267</v>
      </c>
    </row>
    <row r="272" spans="1:1" x14ac:dyDescent="0.3">
      <c r="A272" s="1">
        <v>310</v>
      </c>
    </row>
    <row r="273" spans="1:1" x14ac:dyDescent="0.3">
      <c r="A273" s="1">
        <v>755</v>
      </c>
    </row>
    <row r="274" spans="1:1" x14ac:dyDescent="0.3">
      <c r="A274" s="1">
        <v>787</v>
      </c>
    </row>
    <row r="275" spans="1:1" x14ac:dyDescent="0.3">
      <c r="A275" s="1">
        <v>687</v>
      </c>
    </row>
    <row r="276" spans="1:1" x14ac:dyDescent="0.3">
      <c r="A276" s="1">
        <v>674</v>
      </c>
    </row>
    <row r="277" spans="1:1" x14ac:dyDescent="0.3">
      <c r="A277" s="1">
        <v>341</v>
      </c>
    </row>
    <row r="278" spans="1:1" x14ac:dyDescent="0.3">
      <c r="A278" s="1">
        <v>471</v>
      </c>
    </row>
    <row r="279" spans="1:1" x14ac:dyDescent="0.3">
      <c r="A279" s="1">
        <v>465</v>
      </c>
    </row>
    <row r="280" spans="1:1" x14ac:dyDescent="0.3">
      <c r="A280" s="1">
        <v>514</v>
      </c>
    </row>
    <row r="281" spans="1:1" x14ac:dyDescent="0.3">
      <c r="A281" s="1">
        <v>513</v>
      </c>
    </row>
    <row r="282" spans="1:1" x14ac:dyDescent="0.3">
      <c r="A282" s="1">
        <v>804</v>
      </c>
    </row>
    <row r="283" spans="1:1" x14ac:dyDescent="0.3">
      <c r="A283" s="1">
        <v>958</v>
      </c>
    </row>
    <row r="284" spans="1:1" x14ac:dyDescent="0.3">
      <c r="A284" s="1">
        <v>412</v>
      </c>
    </row>
    <row r="285" spans="1:1" x14ac:dyDescent="0.3">
      <c r="A285" s="1">
        <v>546</v>
      </c>
    </row>
    <row r="286" spans="1:1" x14ac:dyDescent="0.3">
      <c r="A286" s="1">
        <v>684</v>
      </c>
    </row>
    <row r="287" spans="1:1" x14ac:dyDescent="0.3">
      <c r="A287" s="1">
        <v>385</v>
      </c>
    </row>
    <row r="288" spans="1:1" x14ac:dyDescent="0.3">
      <c r="A288" s="1">
        <v>306</v>
      </c>
    </row>
    <row r="289" spans="1:1" x14ac:dyDescent="0.3">
      <c r="A289" s="1">
        <v>310</v>
      </c>
    </row>
    <row r="290" spans="1:1" x14ac:dyDescent="0.3">
      <c r="A290" s="1">
        <v>793</v>
      </c>
    </row>
    <row r="291" spans="1:1" x14ac:dyDescent="0.3">
      <c r="A291" s="1">
        <v>140</v>
      </c>
    </row>
    <row r="292" spans="1:1" x14ac:dyDescent="0.3">
      <c r="A292" s="1">
        <v>850</v>
      </c>
    </row>
    <row r="293" spans="1:1" x14ac:dyDescent="0.3">
      <c r="A293" s="1">
        <v>236</v>
      </c>
    </row>
    <row r="294" spans="1:1" x14ac:dyDescent="0.3">
      <c r="A294" s="1">
        <v>663</v>
      </c>
    </row>
    <row r="295" spans="1:1" x14ac:dyDescent="0.3">
      <c r="A295" s="1">
        <v>935</v>
      </c>
    </row>
    <row r="296" spans="1:1" x14ac:dyDescent="0.3">
      <c r="A296" s="1">
        <v>441</v>
      </c>
    </row>
    <row r="297" spans="1:1" x14ac:dyDescent="0.3">
      <c r="A297" s="1">
        <v>444</v>
      </c>
    </row>
    <row r="298" spans="1:1" x14ac:dyDescent="0.3">
      <c r="A298" s="1">
        <v>301</v>
      </c>
    </row>
    <row r="299" spans="1:1" x14ac:dyDescent="0.3">
      <c r="A299" s="1">
        <v>227</v>
      </c>
    </row>
    <row r="300" spans="1:1" x14ac:dyDescent="0.3">
      <c r="A300" s="1">
        <v>531</v>
      </c>
    </row>
    <row r="301" spans="1:1" x14ac:dyDescent="0.3">
      <c r="A301" s="1">
        <v>147</v>
      </c>
    </row>
    <row r="302" spans="1:1" x14ac:dyDescent="0.3">
      <c r="A302" s="1">
        <v>459</v>
      </c>
    </row>
    <row r="303" spans="1:1" x14ac:dyDescent="0.3">
      <c r="A303" s="1">
        <v>19</v>
      </c>
    </row>
    <row r="304" spans="1:1" x14ac:dyDescent="0.3">
      <c r="A304" s="1">
        <v>674</v>
      </c>
    </row>
    <row r="305" spans="1:1" x14ac:dyDescent="0.3">
      <c r="A305" s="1">
        <v>294</v>
      </c>
    </row>
    <row r="306" spans="1:1" x14ac:dyDescent="0.3">
      <c r="A306" s="1">
        <v>439</v>
      </c>
    </row>
    <row r="307" spans="1:1" x14ac:dyDescent="0.3">
      <c r="A307" s="1">
        <v>311</v>
      </c>
    </row>
    <row r="308" spans="1:1" x14ac:dyDescent="0.3">
      <c r="A308" s="1">
        <v>364</v>
      </c>
    </row>
    <row r="309" spans="1:1" x14ac:dyDescent="0.3">
      <c r="A309" s="1">
        <v>459</v>
      </c>
    </row>
    <row r="310" spans="1:1" x14ac:dyDescent="0.3">
      <c r="A310" s="1">
        <v>291</v>
      </c>
    </row>
    <row r="311" spans="1:1" x14ac:dyDescent="0.3">
      <c r="A311" s="1">
        <v>17</v>
      </c>
    </row>
    <row r="312" spans="1:1" x14ac:dyDescent="0.3">
      <c r="A312" s="1">
        <v>145</v>
      </c>
    </row>
    <row r="313" spans="1:1" x14ac:dyDescent="0.3">
      <c r="A313" s="1">
        <v>55</v>
      </c>
    </row>
    <row r="314" spans="1:1" x14ac:dyDescent="0.3">
      <c r="A314" s="1">
        <v>962</v>
      </c>
    </row>
    <row r="315" spans="1:1" x14ac:dyDescent="0.3">
      <c r="A315" s="1">
        <v>441</v>
      </c>
    </row>
    <row r="316" spans="1:1" x14ac:dyDescent="0.3">
      <c r="A316" s="1">
        <v>601</v>
      </c>
    </row>
    <row r="317" spans="1:1" x14ac:dyDescent="0.3">
      <c r="A317" s="1">
        <v>987</v>
      </c>
    </row>
    <row r="318" spans="1:1" x14ac:dyDescent="0.3">
      <c r="A318" s="1">
        <v>361</v>
      </c>
    </row>
    <row r="319" spans="1:1" x14ac:dyDescent="0.3">
      <c r="A319" s="1">
        <v>314</v>
      </c>
    </row>
    <row r="320" spans="1:1" x14ac:dyDescent="0.3">
      <c r="A320" s="1">
        <v>875</v>
      </c>
    </row>
    <row r="321" spans="1:1" x14ac:dyDescent="0.3">
      <c r="A321" s="1">
        <v>552</v>
      </c>
    </row>
    <row r="322" spans="1:1" x14ac:dyDescent="0.3">
      <c r="A322" s="1">
        <v>164</v>
      </c>
    </row>
    <row r="323" spans="1:1" x14ac:dyDescent="0.3">
      <c r="A323" s="1">
        <v>959</v>
      </c>
    </row>
    <row r="324" spans="1:1" x14ac:dyDescent="0.3">
      <c r="A324" s="1">
        <v>662</v>
      </c>
    </row>
    <row r="325" spans="1:1" x14ac:dyDescent="0.3">
      <c r="A325" s="1">
        <v>366</v>
      </c>
    </row>
    <row r="326" spans="1:1" x14ac:dyDescent="0.3">
      <c r="A326" s="1">
        <v>836</v>
      </c>
    </row>
    <row r="327" spans="1:1" x14ac:dyDescent="0.3">
      <c r="A327" s="1">
        <v>689</v>
      </c>
    </row>
    <row r="328" spans="1:1" x14ac:dyDescent="0.3">
      <c r="A328" s="1">
        <v>413</v>
      </c>
    </row>
    <row r="329" spans="1:1" x14ac:dyDescent="0.3">
      <c r="A329" s="1">
        <v>649</v>
      </c>
    </row>
    <row r="330" spans="1:1" x14ac:dyDescent="0.3">
      <c r="A330" s="1">
        <v>835</v>
      </c>
    </row>
    <row r="331" spans="1:1" x14ac:dyDescent="0.3">
      <c r="A331" s="1">
        <v>415</v>
      </c>
    </row>
    <row r="332" spans="1:1" x14ac:dyDescent="0.3">
      <c r="A332" s="1">
        <v>717</v>
      </c>
    </row>
    <row r="333" spans="1:1" x14ac:dyDescent="0.3">
      <c r="A333" s="1">
        <v>619</v>
      </c>
    </row>
    <row r="334" spans="1:1" x14ac:dyDescent="0.3">
      <c r="A334" s="1">
        <v>546</v>
      </c>
    </row>
    <row r="335" spans="1:1" x14ac:dyDescent="0.3">
      <c r="A335" s="1">
        <v>978</v>
      </c>
    </row>
    <row r="336" spans="1:1" x14ac:dyDescent="0.3">
      <c r="A336" s="1">
        <v>42</v>
      </c>
    </row>
    <row r="337" spans="1:1" x14ac:dyDescent="0.3">
      <c r="A337" s="1">
        <v>229</v>
      </c>
    </row>
    <row r="338" spans="1:1" x14ac:dyDescent="0.3">
      <c r="A338" s="1">
        <v>722</v>
      </c>
    </row>
    <row r="339" spans="1:1" x14ac:dyDescent="0.3">
      <c r="A339" s="1">
        <v>742</v>
      </c>
    </row>
    <row r="340" spans="1:1" x14ac:dyDescent="0.3">
      <c r="A340" s="1">
        <v>530</v>
      </c>
    </row>
    <row r="341" spans="1:1" x14ac:dyDescent="0.3">
      <c r="A341" s="1">
        <v>995</v>
      </c>
    </row>
    <row r="342" spans="1:1" x14ac:dyDescent="0.3">
      <c r="A342" s="1">
        <v>788</v>
      </c>
    </row>
    <row r="343" spans="1:1" x14ac:dyDescent="0.3">
      <c r="A343" s="1">
        <v>208</v>
      </c>
    </row>
    <row r="344" spans="1:1" x14ac:dyDescent="0.3">
      <c r="A344" s="1">
        <v>501</v>
      </c>
    </row>
    <row r="345" spans="1:1" x14ac:dyDescent="0.3">
      <c r="A345" s="1">
        <v>296</v>
      </c>
    </row>
    <row r="346" spans="1:1" x14ac:dyDescent="0.3">
      <c r="A346" s="1">
        <v>805</v>
      </c>
    </row>
    <row r="347" spans="1:1" x14ac:dyDescent="0.3">
      <c r="A347" s="1">
        <v>881</v>
      </c>
    </row>
    <row r="348" spans="1:1" x14ac:dyDescent="0.3">
      <c r="A348" s="1">
        <v>455</v>
      </c>
    </row>
    <row r="349" spans="1:1" x14ac:dyDescent="0.3">
      <c r="A349" s="1">
        <v>674</v>
      </c>
    </row>
    <row r="350" spans="1:1" x14ac:dyDescent="0.3">
      <c r="A350" s="1">
        <v>310</v>
      </c>
    </row>
    <row r="351" spans="1:1" x14ac:dyDescent="0.3">
      <c r="A351" s="1">
        <v>568</v>
      </c>
    </row>
    <row r="352" spans="1:1" x14ac:dyDescent="0.3">
      <c r="A352" s="1">
        <v>725</v>
      </c>
    </row>
    <row r="353" spans="1:1" x14ac:dyDescent="0.3">
      <c r="A353" s="1">
        <v>687</v>
      </c>
    </row>
    <row r="354" spans="1:1" x14ac:dyDescent="0.3">
      <c r="A354" s="1">
        <v>551</v>
      </c>
    </row>
    <row r="355" spans="1:1" x14ac:dyDescent="0.3">
      <c r="A355" s="1">
        <v>133</v>
      </c>
    </row>
    <row r="356" spans="1:1" x14ac:dyDescent="0.3">
      <c r="A356" s="1">
        <v>613</v>
      </c>
    </row>
    <row r="357" spans="1:1" x14ac:dyDescent="0.3">
      <c r="A357" s="1">
        <v>936</v>
      </c>
    </row>
    <row r="358" spans="1:1" x14ac:dyDescent="0.3">
      <c r="A358" s="1">
        <v>249</v>
      </c>
    </row>
    <row r="359" spans="1:1" x14ac:dyDescent="0.3">
      <c r="A359" s="1">
        <v>533</v>
      </c>
    </row>
    <row r="360" spans="1:1" x14ac:dyDescent="0.3">
      <c r="A360" s="1">
        <v>339</v>
      </c>
    </row>
    <row r="361" spans="1:1" x14ac:dyDescent="0.3">
      <c r="A361" s="1">
        <v>12</v>
      </c>
    </row>
    <row r="362" spans="1:1" x14ac:dyDescent="0.3">
      <c r="A362" s="1">
        <v>246</v>
      </c>
    </row>
    <row r="363" spans="1:1" x14ac:dyDescent="0.3">
      <c r="A363" s="1">
        <v>160</v>
      </c>
    </row>
    <row r="364" spans="1:1" x14ac:dyDescent="0.3">
      <c r="A364" s="1">
        <v>728</v>
      </c>
    </row>
    <row r="365" spans="1:1" x14ac:dyDescent="0.3">
      <c r="A365" s="1">
        <v>122</v>
      </c>
    </row>
    <row r="366" spans="1:1" x14ac:dyDescent="0.3">
      <c r="A366" s="1">
        <v>191</v>
      </c>
    </row>
    <row r="367" spans="1:1" x14ac:dyDescent="0.3">
      <c r="A367" s="1">
        <v>551</v>
      </c>
    </row>
    <row r="368" spans="1:1" x14ac:dyDescent="0.3">
      <c r="A368" s="1">
        <v>661</v>
      </c>
    </row>
    <row r="369" spans="1:1" x14ac:dyDescent="0.3">
      <c r="A369" s="1">
        <v>841</v>
      </c>
    </row>
    <row r="370" spans="1:1" x14ac:dyDescent="0.3">
      <c r="A370" s="1">
        <v>610</v>
      </c>
    </row>
    <row r="371" spans="1:1" x14ac:dyDescent="0.3">
      <c r="A371" s="1">
        <v>377</v>
      </c>
    </row>
    <row r="372" spans="1:1" x14ac:dyDescent="0.3">
      <c r="A372" s="1">
        <v>579</v>
      </c>
    </row>
    <row r="373" spans="1:1" x14ac:dyDescent="0.3">
      <c r="A373" s="1">
        <v>810</v>
      </c>
    </row>
    <row r="374" spans="1:1" x14ac:dyDescent="0.3">
      <c r="A374" s="1">
        <v>80</v>
      </c>
    </row>
    <row r="375" spans="1:1" x14ac:dyDescent="0.3">
      <c r="A375" s="1">
        <v>778</v>
      </c>
    </row>
    <row r="376" spans="1:1" x14ac:dyDescent="0.3">
      <c r="A376" s="1">
        <v>178</v>
      </c>
    </row>
    <row r="377" spans="1:1" x14ac:dyDescent="0.3">
      <c r="A377" s="1">
        <v>819</v>
      </c>
    </row>
    <row r="378" spans="1:1" x14ac:dyDescent="0.3">
      <c r="A378" s="1">
        <v>535</v>
      </c>
    </row>
    <row r="379" spans="1:1" x14ac:dyDescent="0.3">
      <c r="A379" s="1">
        <v>657</v>
      </c>
    </row>
    <row r="380" spans="1:1" x14ac:dyDescent="0.3">
      <c r="A380" s="1">
        <v>330</v>
      </c>
    </row>
    <row r="381" spans="1:1" x14ac:dyDescent="0.3">
      <c r="A381" s="1">
        <v>73</v>
      </c>
    </row>
    <row r="382" spans="1:1" x14ac:dyDescent="0.3">
      <c r="A382" s="1">
        <v>841</v>
      </c>
    </row>
    <row r="383" spans="1:1" x14ac:dyDescent="0.3">
      <c r="A383" s="1">
        <v>641</v>
      </c>
    </row>
    <row r="384" spans="1:1" x14ac:dyDescent="0.3">
      <c r="A384" s="1">
        <v>26</v>
      </c>
    </row>
    <row r="385" spans="1:1" x14ac:dyDescent="0.3">
      <c r="A385" s="1">
        <v>507</v>
      </c>
    </row>
    <row r="386" spans="1:1" x14ac:dyDescent="0.3">
      <c r="A386" s="1">
        <v>195</v>
      </c>
    </row>
    <row r="387" spans="1:1" x14ac:dyDescent="0.3">
      <c r="A387" s="1">
        <v>146</v>
      </c>
    </row>
    <row r="388" spans="1:1" x14ac:dyDescent="0.3">
      <c r="A388" s="1">
        <v>96</v>
      </c>
    </row>
    <row r="389" spans="1:1" x14ac:dyDescent="0.3">
      <c r="A389" s="1">
        <v>242</v>
      </c>
    </row>
    <row r="390" spans="1:1" x14ac:dyDescent="0.3">
      <c r="A390" s="1">
        <v>59</v>
      </c>
    </row>
    <row r="391" spans="1:1" x14ac:dyDescent="0.3">
      <c r="A391" s="1">
        <v>691</v>
      </c>
    </row>
    <row r="392" spans="1:1" x14ac:dyDescent="0.3">
      <c r="A392" s="1">
        <v>152</v>
      </c>
    </row>
    <row r="393" spans="1:1" x14ac:dyDescent="0.3">
      <c r="A393" s="1">
        <v>629</v>
      </c>
    </row>
    <row r="394" spans="1:1" x14ac:dyDescent="0.3">
      <c r="A394" s="1">
        <v>879</v>
      </c>
    </row>
    <row r="395" spans="1:1" x14ac:dyDescent="0.3">
      <c r="A395" s="1">
        <v>598</v>
      </c>
    </row>
    <row r="396" spans="1:1" x14ac:dyDescent="0.3">
      <c r="A396" s="1">
        <v>616</v>
      </c>
    </row>
    <row r="397" spans="1:1" x14ac:dyDescent="0.3">
      <c r="A397" s="1">
        <v>545</v>
      </c>
    </row>
    <row r="398" spans="1:1" x14ac:dyDescent="0.3">
      <c r="A398" s="1">
        <v>890</v>
      </c>
    </row>
    <row r="399" spans="1:1" x14ac:dyDescent="0.3">
      <c r="A399" s="1">
        <v>685</v>
      </c>
    </row>
    <row r="400" spans="1:1" x14ac:dyDescent="0.3">
      <c r="A400" s="1">
        <v>582</v>
      </c>
    </row>
    <row r="401" spans="1:1" x14ac:dyDescent="0.3">
      <c r="A401" s="1">
        <v>692</v>
      </c>
    </row>
    <row r="402" spans="1:1" x14ac:dyDescent="0.3">
      <c r="A402" s="1">
        <v>523</v>
      </c>
    </row>
    <row r="403" spans="1:1" x14ac:dyDescent="0.3">
      <c r="A403" s="1">
        <v>265</v>
      </c>
    </row>
    <row r="404" spans="1:1" x14ac:dyDescent="0.3">
      <c r="A404" s="1">
        <v>617</v>
      </c>
    </row>
    <row r="405" spans="1:1" x14ac:dyDescent="0.3">
      <c r="A405" s="1">
        <v>732</v>
      </c>
    </row>
    <row r="406" spans="1:1" x14ac:dyDescent="0.3">
      <c r="A406" s="1">
        <v>763</v>
      </c>
    </row>
    <row r="407" spans="1:1" x14ac:dyDescent="0.3">
      <c r="A407" s="1">
        <v>680</v>
      </c>
    </row>
    <row r="408" spans="1:1" x14ac:dyDescent="0.3">
      <c r="A408" s="1">
        <v>402</v>
      </c>
    </row>
    <row r="409" spans="1:1" x14ac:dyDescent="0.3">
      <c r="A409" s="1">
        <v>608</v>
      </c>
    </row>
    <row r="410" spans="1:1" x14ac:dyDescent="0.3">
      <c r="A410" s="1">
        <v>499</v>
      </c>
    </row>
    <row r="411" spans="1:1" x14ac:dyDescent="0.3">
      <c r="A411" s="1">
        <v>695</v>
      </c>
    </row>
    <row r="412" spans="1:1" x14ac:dyDescent="0.3">
      <c r="A412" s="1">
        <v>622</v>
      </c>
    </row>
    <row r="413" spans="1:1" x14ac:dyDescent="0.3">
      <c r="A413" s="1">
        <v>608</v>
      </c>
    </row>
    <row r="414" spans="1:1" x14ac:dyDescent="0.3">
      <c r="A414" s="1">
        <v>302</v>
      </c>
    </row>
    <row r="415" spans="1:1" x14ac:dyDescent="0.3">
      <c r="A415" s="1">
        <v>164</v>
      </c>
    </row>
    <row r="416" spans="1:1" x14ac:dyDescent="0.3">
      <c r="A416" s="1">
        <v>969</v>
      </c>
    </row>
    <row r="417" spans="1:1" x14ac:dyDescent="0.3">
      <c r="A417" s="1">
        <v>212</v>
      </c>
    </row>
    <row r="418" spans="1:1" x14ac:dyDescent="0.3">
      <c r="A418" s="1">
        <v>464</v>
      </c>
    </row>
    <row r="419" spans="1:1" x14ac:dyDescent="0.3">
      <c r="A419" s="1">
        <v>600</v>
      </c>
    </row>
    <row r="420" spans="1:1" x14ac:dyDescent="0.3">
      <c r="A420" s="1">
        <v>257</v>
      </c>
    </row>
    <row r="421" spans="1:1" x14ac:dyDescent="0.3">
      <c r="A421" s="1">
        <v>451</v>
      </c>
    </row>
    <row r="422" spans="1:1" x14ac:dyDescent="0.3">
      <c r="A422" s="1">
        <v>383</v>
      </c>
    </row>
    <row r="423" spans="1:1" x14ac:dyDescent="0.3">
      <c r="A423" s="1">
        <v>341</v>
      </c>
    </row>
    <row r="424" spans="1:1" x14ac:dyDescent="0.3">
      <c r="A424" s="1">
        <v>582</v>
      </c>
    </row>
    <row r="425" spans="1:1" x14ac:dyDescent="0.3">
      <c r="A425" s="1">
        <v>468</v>
      </c>
    </row>
    <row r="426" spans="1:1" x14ac:dyDescent="0.3">
      <c r="A426" s="1">
        <v>43</v>
      </c>
    </row>
    <row r="427" spans="1:1" x14ac:dyDescent="0.3">
      <c r="A427" s="1">
        <v>776</v>
      </c>
    </row>
    <row r="428" spans="1:1" x14ac:dyDescent="0.3">
      <c r="A428" s="1">
        <v>66</v>
      </c>
    </row>
    <row r="429" spans="1:1" x14ac:dyDescent="0.3">
      <c r="A429" s="1">
        <v>169</v>
      </c>
    </row>
    <row r="430" spans="1:1" x14ac:dyDescent="0.3">
      <c r="A430" s="1">
        <v>303</v>
      </c>
    </row>
    <row r="431" spans="1:1" x14ac:dyDescent="0.3">
      <c r="A431" s="1">
        <v>845</v>
      </c>
    </row>
    <row r="432" spans="1:1" x14ac:dyDescent="0.3">
      <c r="A432" s="1">
        <v>696</v>
      </c>
    </row>
    <row r="433" spans="1:1" x14ac:dyDescent="0.3">
      <c r="A433" s="1">
        <v>815</v>
      </c>
    </row>
    <row r="434" spans="1:1" x14ac:dyDescent="0.3">
      <c r="A434" s="1">
        <v>188</v>
      </c>
    </row>
    <row r="435" spans="1:1" x14ac:dyDescent="0.3">
      <c r="A435" s="1">
        <v>817</v>
      </c>
    </row>
    <row r="436" spans="1:1" x14ac:dyDescent="0.3">
      <c r="A436" s="1">
        <v>164</v>
      </c>
    </row>
    <row r="437" spans="1:1" x14ac:dyDescent="0.3">
      <c r="A437" s="1">
        <v>404</v>
      </c>
    </row>
    <row r="438" spans="1:1" x14ac:dyDescent="0.3">
      <c r="A438" s="1">
        <v>798</v>
      </c>
    </row>
    <row r="439" spans="1:1" x14ac:dyDescent="0.3">
      <c r="A439" s="1">
        <v>495</v>
      </c>
    </row>
    <row r="440" spans="1:1" x14ac:dyDescent="0.3">
      <c r="A440" s="1">
        <v>946</v>
      </c>
    </row>
    <row r="441" spans="1:1" x14ac:dyDescent="0.3">
      <c r="A441" s="1">
        <v>606</v>
      </c>
    </row>
    <row r="442" spans="1:1" x14ac:dyDescent="0.3">
      <c r="A442" s="1">
        <v>261</v>
      </c>
    </row>
    <row r="443" spans="1:1" x14ac:dyDescent="0.3">
      <c r="A443" s="1">
        <v>435</v>
      </c>
    </row>
    <row r="444" spans="1:1" x14ac:dyDescent="0.3">
      <c r="A444" s="1">
        <v>962</v>
      </c>
    </row>
    <row r="445" spans="1:1" x14ac:dyDescent="0.3">
      <c r="A445" s="1">
        <v>980</v>
      </c>
    </row>
    <row r="446" spans="1:1" x14ac:dyDescent="0.3">
      <c r="A446" s="1">
        <v>495</v>
      </c>
    </row>
    <row r="447" spans="1:1" x14ac:dyDescent="0.3">
      <c r="A447" s="1">
        <v>670</v>
      </c>
    </row>
    <row r="448" spans="1:1" x14ac:dyDescent="0.3">
      <c r="A448" s="1">
        <v>531</v>
      </c>
    </row>
    <row r="449" spans="1:1" x14ac:dyDescent="0.3">
      <c r="A449" s="1">
        <v>140</v>
      </c>
    </row>
    <row r="450" spans="1:1" x14ac:dyDescent="0.3">
      <c r="A450" s="1">
        <v>413</v>
      </c>
    </row>
    <row r="451" spans="1:1" x14ac:dyDescent="0.3">
      <c r="A451" s="1">
        <v>203</v>
      </c>
    </row>
    <row r="452" spans="1:1" x14ac:dyDescent="0.3">
      <c r="A452" s="1">
        <v>102</v>
      </c>
    </row>
    <row r="453" spans="1:1" x14ac:dyDescent="0.3">
      <c r="A453" s="1">
        <v>117</v>
      </c>
    </row>
    <row r="454" spans="1:1" x14ac:dyDescent="0.3">
      <c r="A454" s="1">
        <v>292</v>
      </c>
    </row>
    <row r="455" spans="1:1" x14ac:dyDescent="0.3">
      <c r="A455" s="1">
        <v>633</v>
      </c>
    </row>
    <row r="456" spans="1:1" x14ac:dyDescent="0.3">
      <c r="A456" s="1">
        <v>42</v>
      </c>
    </row>
    <row r="457" spans="1:1" x14ac:dyDescent="0.3">
      <c r="A457" s="1">
        <v>796</v>
      </c>
    </row>
    <row r="458" spans="1:1" x14ac:dyDescent="0.3">
      <c r="A458" s="1">
        <v>518</v>
      </c>
    </row>
    <row r="459" spans="1:1" x14ac:dyDescent="0.3">
      <c r="A459" s="1">
        <v>91</v>
      </c>
    </row>
    <row r="460" spans="1:1" x14ac:dyDescent="0.3">
      <c r="A460" s="1">
        <v>614</v>
      </c>
    </row>
    <row r="461" spans="1:1" x14ac:dyDescent="0.3">
      <c r="A461" s="1">
        <v>944</v>
      </c>
    </row>
    <row r="462" spans="1:1" x14ac:dyDescent="0.3">
      <c r="A462" s="1">
        <v>428</v>
      </c>
    </row>
    <row r="463" spans="1:1" x14ac:dyDescent="0.3">
      <c r="A463" s="1">
        <v>154</v>
      </c>
    </row>
    <row r="464" spans="1:1" x14ac:dyDescent="0.3">
      <c r="A464" s="1">
        <v>661</v>
      </c>
    </row>
    <row r="465" spans="1:1" x14ac:dyDescent="0.3">
      <c r="A465" s="1">
        <v>524</v>
      </c>
    </row>
    <row r="466" spans="1:1" x14ac:dyDescent="0.3">
      <c r="A466" s="1">
        <v>235</v>
      </c>
    </row>
    <row r="467" spans="1:1" x14ac:dyDescent="0.3">
      <c r="A467" s="1">
        <v>564</v>
      </c>
    </row>
    <row r="468" spans="1:1" x14ac:dyDescent="0.3">
      <c r="A468" s="1">
        <v>419</v>
      </c>
    </row>
    <row r="469" spans="1:1" x14ac:dyDescent="0.3">
      <c r="A469" s="1">
        <v>22</v>
      </c>
    </row>
    <row r="470" spans="1:1" x14ac:dyDescent="0.3">
      <c r="A470" s="1">
        <v>997</v>
      </c>
    </row>
    <row r="471" spans="1:1" x14ac:dyDescent="0.3">
      <c r="A471" s="1">
        <v>885</v>
      </c>
    </row>
    <row r="472" spans="1:1" x14ac:dyDescent="0.3">
      <c r="A472" s="1">
        <v>758</v>
      </c>
    </row>
    <row r="473" spans="1:1" x14ac:dyDescent="0.3">
      <c r="A473" s="1">
        <v>237</v>
      </c>
    </row>
    <row r="474" spans="1:1" x14ac:dyDescent="0.3">
      <c r="A474" s="1">
        <v>174</v>
      </c>
    </row>
    <row r="475" spans="1:1" x14ac:dyDescent="0.3">
      <c r="A475" s="1">
        <v>697</v>
      </c>
    </row>
    <row r="476" spans="1:1" x14ac:dyDescent="0.3">
      <c r="A476" s="1">
        <v>824</v>
      </c>
    </row>
    <row r="477" spans="1:1" x14ac:dyDescent="0.3">
      <c r="A477" s="1">
        <v>650</v>
      </c>
    </row>
    <row r="478" spans="1:1" x14ac:dyDescent="0.3">
      <c r="A478" s="1">
        <v>906</v>
      </c>
    </row>
    <row r="479" spans="1:1" x14ac:dyDescent="0.3">
      <c r="A479" s="1">
        <v>735</v>
      </c>
    </row>
    <row r="480" spans="1:1" x14ac:dyDescent="0.3">
      <c r="A480" s="1">
        <v>175</v>
      </c>
    </row>
    <row r="481" spans="1:1" x14ac:dyDescent="0.3">
      <c r="A481" s="1">
        <v>910</v>
      </c>
    </row>
    <row r="482" spans="1:1" x14ac:dyDescent="0.3">
      <c r="A482" s="1">
        <v>822</v>
      </c>
    </row>
    <row r="483" spans="1:1" x14ac:dyDescent="0.3">
      <c r="A483" s="1">
        <v>137</v>
      </c>
    </row>
    <row r="484" spans="1:1" x14ac:dyDescent="0.3">
      <c r="A484" s="1">
        <v>833</v>
      </c>
    </row>
    <row r="485" spans="1:1" x14ac:dyDescent="0.3">
      <c r="A485" s="1">
        <v>791</v>
      </c>
    </row>
    <row r="486" spans="1:1" x14ac:dyDescent="0.3">
      <c r="A486" s="1">
        <v>215</v>
      </c>
    </row>
    <row r="487" spans="1:1" x14ac:dyDescent="0.3">
      <c r="A487" s="1">
        <v>198</v>
      </c>
    </row>
    <row r="488" spans="1:1" x14ac:dyDescent="0.3">
      <c r="A488" s="1">
        <v>407</v>
      </c>
    </row>
    <row r="489" spans="1:1" x14ac:dyDescent="0.3">
      <c r="A489" s="1">
        <v>596</v>
      </c>
    </row>
    <row r="490" spans="1:1" x14ac:dyDescent="0.3">
      <c r="A490" s="1">
        <v>814</v>
      </c>
    </row>
    <row r="491" spans="1:1" x14ac:dyDescent="0.3">
      <c r="A491" s="1">
        <v>813</v>
      </c>
    </row>
    <row r="492" spans="1:1" x14ac:dyDescent="0.3">
      <c r="A492" s="1">
        <v>48</v>
      </c>
    </row>
    <row r="493" spans="1:1" x14ac:dyDescent="0.3">
      <c r="A493" s="1">
        <v>668</v>
      </c>
    </row>
    <row r="494" spans="1:1" x14ac:dyDescent="0.3">
      <c r="A494" s="1">
        <v>987</v>
      </c>
    </row>
    <row r="495" spans="1:1" x14ac:dyDescent="0.3">
      <c r="A495" s="1">
        <v>615</v>
      </c>
    </row>
    <row r="496" spans="1:1" x14ac:dyDescent="0.3">
      <c r="A496" s="1">
        <v>864</v>
      </c>
    </row>
    <row r="497" spans="1:1" x14ac:dyDescent="0.3">
      <c r="A497" s="1">
        <v>663</v>
      </c>
    </row>
    <row r="498" spans="1:1" x14ac:dyDescent="0.3">
      <c r="A498" s="1">
        <v>248</v>
      </c>
    </row>
    <row r="499" spans="1:1" x14ac:dyDescent="0.3">
      <c r="A499" s="1">
        <v>787</v>
      </c>
    </row>
    <row r="500" spans="1:1" x14ac:dyDescent="0.3">
      <c r="A500" s="1">
        <v>766</v>
      </c>
    </row>
    <row r="501" spans="1:1" x14ac:dyDescent="0.3">
      <c r="A501" s="1">
        <v>279</v>
      </c>
    </row>
    <row r="502" spans="1:1" x14ac:dyDescent="0.3">
      <c r="A502" s="1">
        <v>366</v>
      </c>
    </row>
    <row r="503" spans="1:1" x14ac:dyDescent="0.3">
      <c r="A503" s="1">
        <v>405</v>
      </c>
    </row>
    <row r="504" spans="1:1" x14ac:dyDescent="0.3">
      <c r="A504" s="1">
        <v>442</v>
      </c>
    </row>
    <row r="505" spans="1:1" x14ac:dyDescent="0.3">
      <c r="A505" s="1">
        <v>272</v>
      </c>
    </row>
    <row r="506" spans="1:1" x14ac:dyDescent="0.3">
      <c r="A506" s="1">
        <v>85</v>
      </c>
    </row>
    <row r="507" spans="1:1" x14ac:dyDescent="0.3">
      <c r="A507" s="1">
        <v>393</v>
      </c>
    </row>
    <row r="508" spans="1:1" x14ac:dyDescent="0.3">
      <c r="A508" s="1">
        <v>478</v>
      </c>
    </row>
    <row r="509" spans="1:1" x14ac:dyDescent="0.3">
      <c r="A509" s="1">
        <v>955</v>
      </c>
    </row>
    <row r="510" spans="1:1" x14ac:dyDescent="0.3">
      <c r="A510" s="1">
        <v>397</v>
      </c>
    </row>
    <row r="511" spans="1:1" x14ac:dyDescent="0.3">
      <c r="A511" s="1">
        <v>328</v>
      </c>
    </row>
    <row r="512" spans="1:1" x14ac:dyDescent="0.3">
      <c r="A512" s="1">
        <v>116</v>
      </c>
    </row>
    <row r="513" spans="1:1" x14ac:dyDescent="0.3">
      <c r="A513" s="1">
        <v>579</v>
      </c>
    </row>
    <row r="514" spans="1:1" x14ac:dyDescent="0.3">
      <c r="A514" s="1">
        <v>228</v>
      </c>
    </row>
    <row r="515" spans="1:1" x14ac:dyDescent="0.3">
      <c r="A515" s="1">
        <v>341</v>
      </c>
    </row>
    <row r="516" spans="1:1" x14ac:dyDescent="0.3">
      <c r="A516" s="1">
        <v>547</v>
      </c>
    </row>
    <row r="517" spans="1:1" x14ac:dyDescent="0.3">
      <c r="A517" s="1">
        <v>451</v>
      </c>
    </row>
    <row r="518" spans="1:1" x14ac:dyDescent="0.3">
      <c r="A518" s="1">
        <v>987</v>
      </c>
    </row>
    <row r="519" spans="1:1" x14ac:dyDescent="0.3">
      <c r="A519" s="1">
        <v>616</v>
      </c>
    </row>
    <row r="520" spans="1:1" x14ac:dyDescent="0.3">
      <c r="A520" s="1">
        <v>95</v>
      </c>
    </row>
    <row r="521" spans="1:1" x14ac:dyDescent="0.3">
      <c r="A521" s="1">
        <v>203</v>
      </c>
    </row>
    <row r="522" spans="1:1" x14ac:dyDescent="0.3">
      <c r="A522" s="1">
        <v>128</v>
      </c>
    </row>
    <row r="523" spans="1:1" x14ac:dyDescent="0.3">
      <c r="A523" s="1">
        <v>213</v>
      </c>
    </row>
    <row r="524" spans="1:1" x14ac:dyDescent="0.3">
      <c r="A524" s="1">
        <v>58</v>
      </c>
    </row>
    <row r="525" spans="1:1" x14ac:dyDescent="0.3">
      <c r="A525" s="1">
        <v>424</v>
      </c>
    </row>
    <row r="526" spans="1:1" x14ac:dyDescent="0.3">
      <c r="A526" s="1">
        <v>516</v>
      </c>
    </row>
    <row r="527" spans="1:1" x14ac:dyDescent="0.3">
      <c r="A527" s="1">
        <v>73</v>
      </c>
    </row>
    <row r="528" spans="1:1" x14ac:dyDescent="0.3">
      <c r="A528" s="1">
        <v>146</v>
      </c>
    </row>
    <row r="529" spans="1:1" x14ac:dyDescent="0.3">
      <c r="A529" s="1">
        <v>59</v>
      </c>
    </row>
    <row r="530" spans="1:1" x14ac:dyDescent="0.3">
      <c r="A530" s="1">
        <v>197</v>
      </c>
    </row>
    <row r="531" spans="1:1" x14ac:dyDescent="0.3">
      <c r="A531" s="1">
        <v>538</v>
      </c>
    </row>
    <row r="532" spans="1:1" x14ac:dyDescent="0.3">
      <c r="A532" s="1">
        <v>650</v>
      </c>
    </row>
    <row r="533" spans="1:1" x14ac:dyDescent="0.3">
      <c r="A533" s="1">
        <v>709</v>
      </c>
    </row>
    <row r="534" spans="1:1" x14ac:dyDescent="0.3">
      <c r="A534" s="1">
        <v>831</v>
      </c>
    </row>
    <row r="535" spans="1:1" x14ac:dyDescent="0.3">
      <c r="A535" s="1">
        <v>679</v>
      </c>
    </row>
    <row r="536" spans="1:1" x14ac:dyDescent="0.3">
      <c r="A536" s="1">
        <v>557</v>
      </c>
    </row>
    <row r="537" spans="1:1" x14ac:dyDescent="0.3">
      <c r="A537" s="1">
        <v>846</v>
      </c>
    </row>
    <row r="538" spans="1:1" x14ac:dyDescent="0.3">
      <c r="A538" s="1">
        <v>751</v>
      </c>
    </row>
    <row r="539" spans="1:1" x14ac:dyDescent="0.3">
      <c r="A539" s="1">
        <v>165</v>
      </c>
    </row>
    <row r="540" spans="1:1" x14ac:dyDescent="0.3">
      <c r="A540" s="1">
        <v>421</v>
      </c>
    </row>
    <row r="541" spans="1:1" x14ac:dyDescent="0.3">
      <c r="A541" s="1">
        <v>180</v>
      </c>
    </row>
    <row r="542" spans="1:1" x14ac:dyDescent="0.3">
      <c r="A542" s="1">
        <v>543</v>
      </c>
    </row>
    <row r="543" spans="1:1" x14ac:dyDescent="0.3">
      <c r="A543" s="1">
        <v>542</v>
      </c>
    </row>
    <row r="544" spans="1:1" x14ac:dyDescent="0.3">
      <c r="A544" s="1">
        <v>922</v>
      </c>
    </row>
    <row r="545" spans="1:1" x14ac:dyDescent="0.3">
      <c r="A545" s="1">
        <v>824</v>
      </c>
    </row>
    <row r="546" spans="1:1" x14ac:dyDescent="0.3">
      <c r="A546" s="1">
        <v>551</v>
      </c>
    </row>
    <row r="547" spans="1:1" x14ac:dyDescent="0.3">
      <c r="A547" s="1">
        <v>52</v>
      </c>
    </row>
    <row r="548" spans="1:1" x14ac:dyDescent="0.3">
      <c r="A548" s="1">
        <v>815</v>
      </c>
    </row>
    <row r="549" spans="1:1" x14ac:dyDescent="0.3">
      <c r="A549" s="1">
        <v>194</v>
      </c>
    </row>
    <row r="550" spans="1:1" x14ac:dyDescent="0.3">
      <c r="A550" s="1">
        <v>190</v>
      </c>
    </row>
    <row r="551" spans="1:1" x14ac:dyDescent="0.3">
      <c r="A551" s="1">
        <v>994</v>
      </c>
    </row>
    <row r="552" spans="1:1" x14ac:dyDescent="0.3">
      <c r="A552" s="1">
        <v>570</v>
      </c>
    </row>
    <row r="553" spans="1:1" x14ac:dyDescent="0.3">
      <c r="A553" s="1">
        <v>219</v>
      </c>
    </row>
    <row r="554" spans="1:1" x14ac:dyDescent="0.3">
      <c r="A554" s="1">
        <v>273</v>
      </c>
    </row>
    <row r="555" spans="1:1" x14ac:dyDescent="0.3">
      <c r="A555" s="1">
        <v>251</v>
      </c>
    </row>
    <row r="556" spans="1:1" x14ac:dyDescent="0.3">
      <c r="A556" s="1">
        <v>412</v>
      </c>
    </row>
    <row r="557" spans="1:1" x14ac:dyDescent="0.3">
      <c r="A557" s="1">
        <v>218</v>
      </c>
    </row>
    <row r="558" spans="1:1" x14ac:dyDescent="0.3">
      <c r="A558" s="1">
        <v>677</v>
      </c>
    </row>
    <row r="559" spans="1:1" x14ac:dyDescent="0.3">
      <c r="A559" s="1">
        <v>367</v>
      </c>
    </row>
    <row r="560" spans="1:1" x14ac:dyDescent="0.3">
      <c r="A560" s="1">
        <v>546</v>
      </c>
    </row>
    <row r="561" spans="1:1" x14ac:dyDescent="0.3">
      <c r="A561" s="1">
        <v>726</v>
      </c>
    </row>
    <row r="562" spans="1:1" x14ac:dyDescent="0.3">
      <c r="A562" s="1">
        <v>424</v>
      </c>
    </row>
    <row r="563" spans="1:1" x14ac:dyDescent="0.3">
      <c r="A563" s="1">
        <v>243</v>
      </c>
    </row>
    <row r="564" spans="1:1" x14ac:dyDescent="0.3">
      <c r="A564" s="1">
        <v>266</v>
      </c>
    </row>
    <row r="565" spans="1:1" x14ac:dyDescent="0.3">
      <c r="A565" s="1">
        <v>445</v>
      </c>
    </row>
    <row r="566" spans="1:1" x14ac:dyDescent="0.3">
      <c r="A566" s="1">
        <v>651</v>
      </c>
    </row>
    <row r="567" spans="1:1" x14ac:dyDescent="0.3">
      <c r="A567" s="1">
        <v>562</v>
      </c>
    </row>
    <row r="568" spans="1:1" x14ac:dyDescent="0.3">
      <c r="A568" s="1">
        <v>703</v>
      </c>
    </row>
    <row r="569" spans="1:1" x14ac:dyDescent="0.3">
      <c r="A569" s="1">
        <v>442</v>
      </c>
    </row>
    <row r="570" spans="1:1" x14ac:dyDescent="0.3">
      <c r="A570" s="1">
        <v>27</v>
      </c>
    </row>
    <row r="571" spans="1:1" x14ac:dyDescent="0.3">
      <c r="A571" s="1">
        <v>95</v>
      </c>
    </row>
    <row r="572" spans="1:1" x14ac:dyDescent="0.3">
      <c r="A572" s="1">
        <v>308</v>
      </c>
    </row>
    <row r="573" spans="1:1" x14ac:dyDescent="0.3">
      <c r="A573" s="1">
        <v>126</v>
      </c>
    </row>
    <row r="574" spans="1:1" x14ac:dyDescent="0.3">
      <c r="A574" s="1">
        <v>560</v>
      </c>
    </row>
    <row r="575" spans="1:1" x14ac:dyDescent="0.3">
      <c r="A575" s="1">
        <v>676</v>
      </c>
    </row>
    <row r="576" spans="1:1" x14ac:dyDescent="0.3">
      <c r="A576" s="1">
        <v>240</v>
      </c>
    </row>
    <row r="577" spans="1:1" x14ac:dyDescent="0.3">
      <c r="A577" s="1">
        <v>155</v>
      </c>
    </row>
    <row r="578" spans="1:1" x14ac:dyDescent="0.3">
      <c r="A578" s="1">
        <v>157</v>
      </c>
    </row>
    <row r="579" spans="1:1" x14ac:dyDescent="0.3">
      <c r="A579" s="1">
        <v>732</v>
      </c>
    </row>
    <row r="580" spans="1:1" x14ac:dyDescent="0.3">
      <c r="A580" s="1">
        <v>412</v>
      </c>
    </row>
    <row r="581" spans="1:1" x14ac:dyDescent="0.3">
      <c r="A581" s="1">
        <v>353</v>
      </c>
    </row>
    <row r="582" spans="1:1" x14ac:dyDescent="0.3">
      <c r="A582" s="1">
        <v>321</v>
      </c>
    </row>
    <row r="583" spans="1:1" x14ac:dyDescent="0.3">
      <c r="A583" s="1">
        <v>622</v>
      </c>
    </row>
    <row r="584" spans="1:1" x14ac:dyDescent="0.3">
      <c r="A584" s="1">
        <v>801</v>
      </c>
    </row>
    <row r="585" spans="1:1" x14ac:dyDescent="0.3">
      <c r="A585" s="1">
        <v>954</v>
      </c>
    </row>
    <row r="586" spans="1:1" x14ac:dyDescent="0.3">
      <c r="A586" s="1">
        <v>554</v>
      </c>
    </row>
    <row r="587" spans="1:1" x14ac:dyDescent="0.3">
      <c r="A587" s="1">
        <v>889</v>
      </c>
    </row>
    <row r="588" spans="1:1" x14ac:dyDescent="0.3">
      <c r="A588" s="1">
        <v>745</v>
      </c>
    </row>
    <row r="589" spans="1:1" x14ac:dyDescent="0.3">
      <c r="A589" s="1">
        <v>202</v>
      </c>
    </row>
    <row r="590" spans="1:1" x14ac:dyDescent="0.3">
      <c r="A590" s="1">
        <v>368</v>
      </c>
    </row>
    <row r="591" spans="1:1" x14ac:dyDescent="0.3">
      <c r="A591" s="1">
        <v>777</v>
      </c>
    </row>
    <row r="592" spans="1:1" x14ac:dyDescent="0.3">
      <c r="A592" s="1">
        <v>458</v>
      </c>
    </row>
    <row r="593" spans="1:1" x14ac:dyDescent="0.3">
      <c r="A593" s="1">
        <v>638</v>
      </c>
    </row>
    <row r="594" spans="1:1" x14ac:dyDescent="0.3">
      <c r="A594" s="1">
        <v>583</v>
      </c>
    </row>
    <row r="595" spans="1:1" x14ac:dyDescent="0.3">
      <c r="A595" s="1">
        <v>956</v>
      </c>
    </row>
    <row r="596" spans="1:1" x14ac:dyDescent="0.3">
      <c r="A596" s="1">
        <v>459</v>
      </c>
    </row>
    <row r="597" spans="1:1" x14ac:dyDescent="0.3">
      <c r="A597" s="1">
        <v>745</v>
      </c>
    </row>
    <row r="598" spans="1:1" x14ac:dyDescent="0.3">
      <c r="A598" s="1">
        <v>57</v>
      </c>
    </row>
    <row r="599" spans="1:1" x14ac:dyDescent="0.3">
      <c r="A599" s="1">
        <v>984</v>
      </c>
    </row>
    <row r="600" spans="1:1" x14ac:dyDescent="0.3">
      <c r="A600" s="1">
        <v>391</v>
      </c>
    </row>
    <row r="601" spans="1:1" x14ac:dyDescent="0.3">
      <c r="A601" s="1">
        <v>294</v>
      </c>
    </row>
    <row r="602" spans="1:1" x14ac:dyDescent="0.3">
      <c r="A602" s="1">
        <v>935</v>
      </c>
    </row>
    <row r="603" spans="1:1" x14ac:dyDescent="0.3">
      <c r="A603" s="1">
        <v>457</v>
      </c>
    </row>
    <row r="604" spans="1:1" x14ac:dyDescent="0.3">
      <c r="A604" s="1">
        <v>675</v>
      </c>
    </row>
    <row r="605" spans="1:1" x14ac:dyDescent="0.3">
      <c r="A605" s="1">
        <v>192</v>
      </c>
    </row>
    <row r="606" spans="1:1" x14ac:dyDescent="0.3">
      <c r="A606" s="1">
        <v>33</v>
      </c>
    </row>
    <row r="607" spans="1:1" x14ac:dyDescent="0.3">
      <c r="A607" s="1">
        <v>124</v>
      </c>
    </row>
    <row r="608" spans="1:1" x14ac:dyDescent="0.3">
      <c r="A608" s="1">
        <v>296</v>
      </c>
    </row>
    <row r="609" spans="1:1" x14ac:dyDescent="0.3">
      <c r="A609" s="1">
        <v>985</v>
      </c>
    </row>
    <row r="610" spans="1:1" x14ac:dyDescent="0.3">
      <c r="A610" s="1">
        <v>623</v>
      </c>
    </row>
    <row r="611" spans="1:1" x14ac:dyDescent="0.3">
      <c r="A611" s="1">
        <v>297</v>
      </c>
    </row>
    <row r="612" spans="1:1" x14ac:dyDescent="0.3">
      <c r="A612" s="1">
        <v>727</v>
      </c>
    </row>
    <row r="613" spans="1:1" x14ac:dyDescent="0.3">
      <c r="A613" s="1">
        <v>76</v>
      </c>
    </row>
    <row r="614" spans="1:1" x14ac:dyDescent="0.3">
      <c r="A614" s="1">
        <v>457</v>
      </c>
    </row>
    <row r="615" spans="1:1" x14ac:dyDescent="0.3">
      <c r="A615" s="1">
        <v>757</v>
      </c>
    </row>
    <row r="616" spans="1:1" x14ac:dyDescent="0.3">
      <c r="A616" s="1">
        <v>323</v>
      </c>
    </row>
    <row r="617" spans="1:1" x14ac:dyDescent="0.3">
      <c r="A617" s="1">
        <v>437</v>
      </c>
    </row>
    <row r="618" spans="1:1" x14ac:dyDescent="0.3">
      <c r="A618" s="1">
        <v>596</v>
      </c>
    </row>
    <row r="619" spans="1:1" x14ac:dyDescent="0.3">
      <c r="A619" s="1">
        <v>905</v>
      </c>
    </row>
    <row r="620" spans="1:1" x14ac:dyDescent="0.3">
      <c r="A620" s="1">
        <v>413</v>
      </c>
    </row>
    <row r="621" spans="1:1" x14ac:dyDescent="0.3">
      <c r="A621" s="1">
        <v>866</v>
      </c>
    </row>
    <row r="622" spans="1:1" x14ac:dyDescent="0.3">
      <c r="A622" s="1">
        <v>513</v>
      </c>
    </row>
    <row r="623" spans="1:1" x14ac:dyDescent="0.3">
      <c r="A623" s="1">
        <v>978</v>
      </c>
    </row>
    <row r="624" spans="1:1" x14ac:dyDescent="0.3">
      <c r="A624" s="1">
        <v>32</v>
      </c>
    </row>
    <row r="625" spans="1:1" x14ac:dyDescent="0.3">
      <c r="A625" s="1">
        <v>269</v>
      </c>
    </row>
    <row r="626" spans="1:1" x14ac:dyDescent="0.3">
      <c r="A626" s="1">
        <v>822</v>
      </c>
    </row>
    <row r="627" spans="1:1" x14ac:dyDescent="0.3">
      <c r="A627" s="1">
        <v>485</v>
      </c>
    </row>
    <row r="628" spans="1:1" x14ac:dyDescent="0.3">
      <c r="A628" s="1">
        <v>89</v>
      </c>
    </row>
    <row r="629" spans="1:1" x14ac:dyDescent="0.3">
      <c r="A629" s="1">
        <v>883</v>
      </c>
    </row>
    <row r="630" spans="1:1" x14ac:dyDescent="0.3">
      <c r="A630" s="1">
        <v>382</v>
      </c>
    </row>
    <row r="631" spans="1:1" x14ac:dyDescent="0.3">
      <c r="A631" s="1">
        <v>231</v>
      </c>
    </row>
    <row r="632" spans="1:1" x14ac:dyDescent="0.3">
      <c r="A632" s="1">
        <v>173</v>
      </c>
    </row>
    <row r="633" spans="1:1" x14ac:dyDescent="0.3">
      <c r="A633" s="1">
        <v>627</v>
      </c>
    </row>
    <row r="634" spans="1:1" x14ac:dyDescent="0.3">
      <c r="A634" s="1">
        <v>889</v>
      </c>
    </row>
    <row r="635" spans="1:1" x14ac:dyDescent="0.3">
      <c r="A635" s="1">
        <v>408</v>
      </c>
    </row>
    <row r="636" spans="1:1" x14ac:dyDescent="0.3">
      <c r="A636" s="1">
        <v>907</v>
      </c>
    </row>
    <row r="637" spans="1:1" x14ac:dyDescent="0.3">
      <c r="A637" s="1">
        <v>190</v>
      </c>
    </row>
    <row r="638" spans="1:1" x14ac:dyDescent="0.3">
      <c r="A638" s="1">
        <v>917</v>
      </c>
    </row>
    <row r="639" spans="1:1" x14ac:dyDescent="0.3">
      <c r="A639" s="1">
        <v>787</v>
      </c>
    </row>
    <row r="640" spans="1:1" x14ac:dyDescent="0.3">
      <c r="A640" s="1">
        <v>319</v>
      </c>
    </row>
    <row r="641" spans="1:1" x14ac:dyDescent="0.3">
      <c r="A641" s="1">
        <v>682</v>
      </c>
    </row>
    <row r="642" spans="1:1" x14ac:dyDescent="0.3">
      <c r="A642" s="1">
        <v>20</v>
      </c>
    </row>
    <row r="643" spans="1:1" x14ac:dyDescent="0.3">
      <c r="A643" s="1">
        <v>841</v>
      </c>
    </row>
    <row r="644" spans="1:1" x14ac:dyDescent="0.3">
      <c r="A644" s="1">
        <v>198</v>
      </c>
    </row>
    <row r="645" spans="1:1" x14ac:dyDescent="0.3">
      <c r="A645" s="1">
        <v>333</v>
      </c>
    </row>
    <row r="646" spans="1:1" x14ac:dyDescent="0.3">
      <c r="A646" s="1">
        <v>771</v>
      </c>
    </row>
    <row r="647" spans="1:1" x14ac:dyDescent="0.3">
      <c r="A647" s="1">
        <v>143</v>
      </c>
    </row>
    <row r="648" spans="1:1" x14ac:dyDescent="0.3">
      <c r="A648" s="1">
        <v>107</v>
      </c>
    </row>
    <row r="649" spans="1:1" x14ac:dyDescent="0.3">
      <c r="A649" s="1">
        <v>911</v>
      </c>
    </row>
    <row r="650" spans="1:1" x14ac:dyDescent="0.3">
      <c r="A650" s="1">
        <v>44</v>
      </c>
    </row>
    <row r="651" spans="1:1" x14ac:dyDescent="0.3">
      <c r="A651" s="1">
        <v>905</v>
      </c>
    </row>
    <row r="652" spans="1:1" x14ac:dyDescent="0.3">
      <c r="A652" s="1">
        <v>267</v>
      </c>
    </row>
    <row r="653" spans="1:1" x14ac:dyDescent="0.3">
      <c r="A653" s="1">
        <v>266</v>
      </c>
    </row>
    <row r="654" spans="1:1" x14ac:dyDescent="0.3">
      <c r="A654" s="1">
        <v>242</v>
      </c>
    </row>
    <row r="655" spans="1:1" x14ac:dyDescent="0.3">
      <c r="A655" s="1">
        <v>658</v>
      </c>
    </row>
    <row r="656" spans="1:1" x14ac:dyDescent="0.3">
      <c r="A656" s="1">
        <v>846</v>
      </c>
    </row>
    <row r="657" spans="1:1" x14ac:dyDescent="0.3">
      <c r="A657" s="1">
        <v>493</v>
      </c>
    </row>
    <row r="658" spans="1:1" x14ac:dyDescent="0.3">
      <c r="A658" s="1">
        <v>300</v>
      </c>
    </row>
    <row r="659" spans="1:1" x14ac:dyDescent="0.3">
      <c r="A659" s="1">
        <v>785</v>
      </c>
    </row>
    <row r="660" spans="1:1" x14ac:dyDescent="0.3">
      <c r="A660" s="1">
        <v>87</v>
      </c>
    </row>
    <row r="661" spans="1:1" x14ac:dyDescent="0.3">
      <c r="A661" s="1">
        <v>354</v>
      </c>
    </row>
    <row r="662" spans="1:1" x14ac:dyDescent="0.3">
      <c r="A662" s="1">
        <v>457</v>
      </c>
    </row>
    <row r="663" spans="1:1" x14ac:dyDescent="0.3">
      <c r="A663" s="1">
        <v>398</v>
      </c>
    </row>
    <row r="664" spans="1:1" x14ac:dyDescent="0.3">
      <c r="A664" s="1">
        <v>930</v>
      </c>
    </row>
    <row r="665" spans="1:1" x14ac:dyDescent="0.3">
      <c r="A665" s="1">
        <v>993</v>
      </c>
    </row>
    <row r="666" spans="1:1" x14ac:dyDescent="0.3">
      <c r="A666" s="1">
        <v>69</v>
      </c>
    </row>
    <row r="667" spans="1:1" x14ac:dyDescent="0.3">
      <c r="A667" s="1">
        <v>337</v>
      </c>
    </row>
    <row r="668" spans="1:1" x14ac:dyDescent="0.3">
      <c r="A668" s="1">
        <v>885</v>
      </c>
    </row>
    <row r="669" spans="1:1" x14ac:dyDescent="0.3">
      <c r="A669" s="1">
        <v>691</v>
      </c>
    </row>
    <row r="670" spans="1:1" x14ac:dyDescent="0.3">
      <c r="A670" s="1">
        <v>879</v>
      </c>
    </row>
    <row r="671" spans="1:1" x14ac:dyDescent="0.3">
      <c r="A671" s="1">
        <v>199</v>
      </c>
    </row>
    <row r="672" spans="1:1" x14ac:dyDescent="0.3">
      <c r="A672" s="1">
        <v>961</v>
      </c>
    </row>
    <row r="673" spans="1:1" x14ac:dyDescent="0.3">
      <c r="A673" s="1">
        <v>546</v>
      </c>
    </row>
    <row r="674" spans="1:1" x14ac:dyDescent="0.3">
      <c r="A674" s="1">
        <v>582</v>
      </c>
    </row>
    <row r="675" spans="1:1" x14ac:dyDescent="0.3">
      <c r="A675" s="1">
        <v>929</v>
      </c>
    </row>
    <row r="676" spans="1:1" x14ac:dyDescent="0.3">
      <c r="A676" s="1">
        <v>618</v>
      </c>
    </row>
    <row r="677" spans="1:1" x14ac:dyDescent="0.3">
      <c r="A677" s="1">
        <v>958</v>
      </c>
    </row>
    <row r="678" spans="1:1" x14ac:dyDescent="0.3">
      <c r="A678" s="1">
        <v>597</v>
      </c>
    </row>
    <row r="679" spans="1:1" x14ac:dyDescent="0.3">
      <c r="A679" s="1">
        <v>599</v>
      </c>
    </row>
    <row r="680" spans="1:1" x14ac:dyDescent="0.3">
      <c r="A680" s="1">
        <v>247</v>
      </c>
    </row>
    <row r="681" spans="1:1" x14ac:dyDescent="0.3">
      <c r="A681" s="1">
        <v>575</v>
      </c>
    </row>
    <row r="682" spans="1:1" x14ac:dyDescent="0.3">
      <c r="A682" s="1">
        <v>343</v>
      </c>
    </row>
    <row r="683" spans="1:1" x14ac:dyDescent="0.3">
      <c r="A683" s="1">
        <v>30</v>
      </c>
    </row>
    <row r="684" spans="1:1" x14ac:dyDescent="0.3">
      <c r="A684" s="1">
        <v>551</v>
      </c>
    </row>
    <row r="685" spans="1:1" x14ac:dyDescent="0.3">
      <c r="A685" s="1">
        <v>231</v>
      </c>
    </row>
    <row r="686" spans="1:1" x14ac:dyDescent="0.3">
      <c r="A686" s="1">
        <v>445</v>
      </c>
    </row>
    <row r="687" spans="1:1" x14ac:dyDescent="0.3">
      <c r="A687" s="1">
        <v>46</v>
      </c>
    </row>
    <row r="688" spans="1:1" x14ac:dyDescent="0.3">
      <c r="A688" s="1">
        <v>666</v>
      </c>
    </row>
    <row r="689" spans="1:1" x14ac:dyDescent="0.3">
      <c r="A689" s="1">
        <v>258</v>
      </c>
    </row>
    <row r="690" spans="1:1" x14ac:dyDescent="0.3">
      <c r="A690" s="1">
        <v>398</v>
      </c>
    </row>
    <row r="691" spans="1:1" x14ac:dyDescent="0.3">
      <c r="A691" s="1">
        <v>690</v>
      </c>
    </row>
    <row r="692" spans="1:1" x14ac:dyDescent="0.3">
      <c r="A692" s="1">
        <v>561</v>
      </c>
    </row>
    <row r="693" spans="1:1" x14ac:dyDescent="0.3">
      <c r="A693" s="1">
        <v>589</v>
      </c>
    </row>
    <row r="694" spans="1:1" x14ac:dyDescent="0.3">
      <c r="A694" s="1">
        <v>82</v>
      </c>
    </row>
    <row r="695" spans="1:1" x14ac:dyDescent="0.3">
      <c r="A695" s="1">
        <v>28</v>
      </c>
    </row>
    <row r="696" spans="1:1" x14ac:dyDescent="0.3">
      <c r="A696" s="1">
        <v>744</v>
      </c>
    </row>
    <row r="697" spans="1:1" x14ac:dyDescent="0.3">
      <c r="A697" s="1">
        <v>184</v>
      </c>
    </row>
    <row r="698" spans="1:1" x14ac:dyDescent="0.3">
      <c r="A698" s="1">
        <v>337</v>
      </c>
    </row>
    <row r="699" spans="1:1" x14ac:dyDescent="0.3">
      <c r="A699" s="1">
        <v>370</v>
      </c>
    </row>
    <row r="700" spans="1:1" x14ac:dyDescent="0.3">
      <c r="A700" s="1">
        <v>923</v>
      </c>
    </row>
    <row r="701" spans="1:1" x14ac:dyDescent="0.3">
      <c r="A701" s="1">
        <v>630</v>
      </c>
    </row>
    <row r="702" spans="1:1" x14ac:dyDescent="0.3">
      <c r="A702" s="1">
        <v>211</v>
      </c>
    </row>
    <row r="703" spans="1:1" x14ac:dyDescent="0.3">
      <c r="A703" s="1">
        <v>729</v>
      </c>
    </row>
    <row r="704" spans="1:1" x14ac:dyDescent="0.3">
      <c r="A704" s="1">
        <v>75</v>
      </c>
    </row>
    <row r="705" spans="1:1" x14ac:dyDescent="0.3">
      <c r="A705" s="1">
        <v>500</v>
      </c>
    </row>
    <row r="706" spans="1:1" x14ac:dyDescent="0.3">
      <c r="A706" s="1">
        <v>366</v>
      </c>
    </row>
    <row r="707" spans="1:1" x14ac:dyDescent="0.3">
      <c r="A707" s="1">
        <v>999</v>
      </c>
    </row>
    <row r="708" spans="1:1" x14ac:dyDescent="0.3">
      <c r="A708" s="1">
        <v>713</v>
      </c>
    </row>
    <row r="709" spans="1:1" x14ac:dyDescent="0.3">
      <c r="A709" s="1">
        <v>743</v>
      </c>
    </row>
    <row r="710" spans="1:1" x14ac:dyDescent="0.3">
      <c r="A710" s="1">
        <v>464</v>
      </c>
    </row>
    <row r="711" spans="1:1" x14ac:dyDescent="0.3">
      <c r="A711" s="1">
        <v>631</v>
      </c>
    </row>
    <row r="712" spans="1:1" x14ac:dyDescent="0.3">
      <c r="A712" s="1">
        <v>376</v>
      </c>
    </row>
    <row r="713" spans="1:1" x14ac:dyDescent="0.3">
      <c r="A713" s="1">
        <v>662</v>
      </c>
    </row>
    <row r="714" spans="1:1" x14ac:dyDescent="0.3">
      <c r="A714" s="1">
        <v>633</v>
      </c>
    </row>
    <row r="715" spans="1:1" x14ac:dyDescent="0.3">
      <c r="A715" s="1">
        <v>102</v>
      </c>
    </row>
    <row r="716" spans="1:1" x14ac:dyDescent="0.3">
      <c r="A716" s="1">
        <v>799</v>
      </c>
    </row>
    <row r="717" spans="1:1" x14ac:dyDescent="0.3">
      <c r="A717" s="1">
        <v>812</v>
      </c>
    </row>
    <row r="718" spans="1:1" x14ac:dyDescent="0.3">
      <c r="A718" s="1">
        <v>50</v>
      </c>
    </row>
    <row r="719" spans="1:1" x14ac:dyDescent="0.3">
      <c r="A719" s="1">
        <v>197</v>
      </c>
    </row>
    <row r="720" spans="1:1" x14ac:dyDescent="0.3">
      <c r="A720" s="1">
        <v>835</v>
      </c>
    </row>
    <row r="721" spans="1:1" x14ac:dyDescent="0.3">
      <c r="A721" s="1">
        <v>411</v>
      </c>
    </row>
    <row r="722" spans="1:1" x14ac:dyDescent="0.3">
      <c r="A722" s="1">
        <v>822</v>
      </c>
    </row>
    <row r="723" spans="1:1" x14ac:dyDescent="0.3">
      <c r="A723" s="1">
        <v>16</v>
      </c>
    </row>
    <row r="724" spans="1:1" x14ac:dyDescent="0.3">
      <c r="A724" s="1">
        <v>110</v>
      </c>
    </row>
    <row r="725" spans="1:1" x14ac:dyDescent="0.3">
      <c r="A725" s="1">
        <v>366</v>
      </c>
    </row>
    <row r="726" spans="1:1" x14ac:dyDescent="0.3">
      <c r="A726" s="1">
        <v>99</v>
      </c>
    </row>
    <row r="727" spans="1:1" x14ac:dyDescent="0.3">
      <c r="A727" s="1">
        <v>563</v>
      </c>
    </row>
    <row r="728" spans="1:1" x14ac:dyDescent="0.3">
      <c r="A728" s="1">
        <v>522</v>
      </c>
    </row>
    <row r="729" spans="1:1" x14ac:dyDescent="0.3">
      <c r="A729" s="1">
        <v>438</v>
      </c>
    </row>
    <row r="730" spans="1:1" x14ac:dyDescent="0.3">
      <c r="A730" s="1">
        <v>835</v>
      </c>
    </row>
    <row r="731" spans="1:1" x14ac:dyDescent="0.3">
      <c r="A731" s="1">
        <v>419</v>
      </c>
    </row>
    <row r="732" spans="1:1" x14ac:dyDescent="0.3">
      <c r="A732" s="1">
        <v>364</v>
      </c>
    </row>
    <row r="733" spans="1:1" x14ac:dyDescent="0.3">
      <c r="A733" s="1">
        <v>53</v>
      </c>
    </row>
    <row r="734" spans="1:1" x14ac:dyDescent="0.3">
      <c r="A734" s="1">
        <v>36</v>
      </c>
    </row>
    <row r="735" spans="1:1" x14ac:dyDescent="0.3">
      <c r="A735" s="1">
        <v>775</v>
      </c>
    </row>
    <row r="736" spans="1:1" x14ac:dyDescent="0.3">
      <c r="A736" s="1">
        <v>600</v>
      </c>
    </row>
    <row r="737" spans="1:1" x14ac:dyDescent="0.3">
      <c r="A737" s="1">
        <v>713</v>
      </c>
    </row>
    <row r="738" spans="1:1" x14ac:dyDescent="0.3">
      <c r="A738" s="1">
        <v>914</v>
      </c>
    </row>
    <row r="739" spans="1:1" x14ac:dyDescent="0.3">
      <c r="A739" s="1">
        <v>1000</v>
      </c>
    </row>
    <row r="740" spans="1:1" x14ac:dyDescent="0.3">
      <c r="A740" s="1">
        <v>135</v>
      </c>
    </row>
    <row r="741" spans="1:1" x14ac:dyDescent="0.3">
      <c r="A741" s="1">
        <v>540</v>
      </c>
    </row>
    <row r="742" spans="1:1" x14ac:dyDescent="0.3">
      <c r="A742" s="1">
        <v>118</v>
      </c>
    </row>
    <row r="743" spans="1:1" x14ac:dyDescent="0.3">
      <c r="A743" s="1">
        <v>253</v>
      </c>
    </row>
    <row r="744" spans="1:1" x14ac:dyDescent="0.3">
      <c r="A744" s="1">
        <v>901</v>
      </c>
    </row>
    <row r="745" spans="1:1" x14ac:dyDescent="0.3">
      <c r="A745" s="1">
        <v>845</v>
      </c>
    </row>
    <row r="746" spans="1:1" x14ac:dyDescent="0.3">
      <c r="A746" s="1">
        <v>340</v>
      </c>
    </row>
    <row r="747" spans="1:1" x14ac:dyDescent="0.3">
      <c r="A747" s="1">
        <v>613</v>
      </c>
    </row>
    <row r="748" spans="1:1" x14ac:dyDescent="0.3">
      <c r="A748" s="1">
        <v>746</v>
      </c>
    </row>
    <row r="749" spans="1:1" x14ac:dyDescent="0.3">
      <c r="A749" s="1">
        <v>939</v>
      </c>
    </row>
    <row r="750" spans="1:1" x14ac:dyDescent="0.3">
      <c r="A750" s="1">
        <v>876</v>
      </c>
    </row>
    <row r="751" spans="1:1" x14ac:dyDescent="0.3">
      <c r="A751" s="1">
        <v>485</v>
      </c>
    </row>
    <row r="752" spans="1:1" x14ac:dyDescent="0.3">
      <c r="A752" s="1">
        <v>594</v>
      </c>
    </row>
    <row r="753" spans="1:1" x14ac:dyDescent="0.3">
      <c r="A753" s="1">
        <v>471</v>
      </c>
    </row>
    <row r="754" spans="1:1" x14ac:dyDescent="0.3">
      <c r="A754" s="1">
        <v>915</v>
      </c>
    </row>
    <row r="755" spans="1:1" x14ac:dyDescent="0.3">
      <c r="A755" s="1">
        <v>647</v>
      </c>
    </row>
    <row r="756" spans="1:1" x14ac:dyDescent="0.3">
      <c r="A756" s="1">
        <v>383</v>
      </c>
    </row>
    <row r="757" spans="1:1" x14ac:dyDescent="0.3">
      <c r="A757" s="1">
        <v>901</v>
      </c>
    </row>
    <row r="758" spans="1:1" x14ac:dyDescent="0.3">
      <c r="A758" s="1">
        <v>714</v>
      </c>
    </row>
    <row r="759" spans="1:1" x14ac:dyDescent="0.3">
      <c r="A759" s="1">
        <v>649</v>
      </c>
    </row>
    <row r="760" spans="1:1" x14ac:dyDescent="0.3">
      <c r="A760" s="1">
        <v>932</v>
      </c>
    </row>
    <row r="761" spans="1:1" x14ac:dyDescent="0.3">
      <c r="A761" s="1">
        <v>470</v>
      </c>
    </row>
    <row r="762" spans="1:1" x14ac:dyDescent="0.3">
      <c r="A762" s="1">
        <v>840</v>
      </c>
    </row>
    <row r="763" spans="1:1" x14ac:dyDescent="0.3">
      <c r="A763" s="1">
        <v>407</v>
      </c>
    </row>
    <row r="764" spans="1:1" x14ac:dyDescent="0.3">
      <c r="A764" s="1">
        <v>583</v>
      </c>
    </row>
    <row r="765" spans="1:1" x14ac:dyDescent="0.3">
      <c r="A765" s="1">
        <v>796</v>
      </c>
    </row>
    <row r="766" spans="1:1" x14ac:dyDescent="0.3">
      <c r="A766" s="1">
        <v>17</v>
      </c>
    </row>
    <row r="767" spans="1:1" x14ac:dyDescent="0.3">
      <c r="A767" s="1">
        <v>809</v>
      </c>
    </row>
    <row r="768" spans="1:1" x14ac:dyDescent="0.3">
      <c r="A768" s="1">
        <v>365</v>
      </c>
    </row>
    <row r="769" spans="1:1" x14ac:dyDescent="0.3">
      <c r="A769" s="1">
        <v>357</v>
      </c>
    </row>
    <row r="770" spans="1:1" x14ac:dyDescent="0.3">
      <c r="A770" s="1">
        <v>776</v>
      </c>
    </row>
    <row r="771" spans="1:1" x14ac:dyDescent="0.3">
      <c r="A771" s="1">
        <v>355</v>
      </c>
    </row>
    <row r="772" spans="1:1" x14ac:dyDescent="0.3">
      <c r="A772" s="1">
        <v>774</v>
      </c>
    </row>
    <row r="773" spans="1:1" x14ac:dyDescent="0.3">
      <c r="A773" s="1">
        <v>354</v>
      </c>
    </row>
    <row r="774" spans="1:1" x14ac:dyDescent="0.3">
      <c r="A774" s="1">
        <v>23</v>
      </c>
    </row>
    <row r="775" spans="1:1" x14ac:dyDescent="0.3">
      <c r="A775" s="1">
        <v>778</v>
      </c>
    </row>
    <row r="776" spans="1:1" x14ac:dyDescent="0.3">
      <c r="A776" s="1">
        <v>474</v>
      </c>
    </row>
    <row r="777" spans="1:1" x14ac:dyDescent="0.3">
      <c r="A777" s="1">
        <v>950</v>
      </c>
    </row>
    <row r="778" spans="1:1" x14ac:dyDescent="0.3">
      <c r="A778" s="1">
        <v>330</v>
      </c>
    </row>
    <row r="779" spans="1:1" x14ac:dyDescent="0.3">
      <c r="A779" s="1">
        <v>983</v>
      </c>
    </row>
    <row r="780" spans="1:1" x14ac:dyDescent="0.3">
      <c r="A780" s="1">
        <v>984</v>
      </c>
    </row>
    <row r="781" spans="1:1" x14ac:dyDescent="0.3">
      <c r="A781" s="1">
        <v>570</v>
      </c>
    </row>
    <row r="782" spans="1:1" x14ac:dyDescent="0.3">
      <c r="A782" s="1">
        <v>437</v>
      </c>
    </row>
    <row r="783" spans="1:1" x14ac:dyDescent="0.3">
      <c r="A783" s="1">
        <v>39</v>
      </c>
    </row>
    <row r="784" spans="1:1" x14ac:dyDescent="0.3">
      <c r="A784" s="1">
        <v>395</v>
      </c>
    </row>
    <row r="785" spans="1:1" x14ac:dyDescent="0.3">
      <c r="A785" s="1">
        <v>959</v>
      </c>
    </row>
    <row r="786" spans="1:1" x14ac:dyDescent="0.3">
      <c r="A786" s="1">
        <v>649</v>
      </c>
    </row>
    <row r="787" spans="1:1" x14ac:dyDescent="0.3">
      <c r="A787" s="1">
        <v>970</v>
      </c>
    </row>
    <row r="788" spans="1:1" x14ac:dyDescent="0.3">
      <c r="A788" s="1">
        <v>215</v>
      </c>
    </row>
    <row r="789" spans="1:1" x14ac:dyDescent="0.3">
      <c r="A789" s="1">
        <v>533</v>
      </c>
    </row>
    <row r="790" spans="1:1" x14ac:dyDescent="0.3">
      <c r="A790" s="1">
        <v>836</v>
      </c>
    </row>
    <row r="791" spans="1:1" x14ac:dyDescent="0.3">
      <c r="A791" s="1">
        <v>131</v>
      </c>
    </row>
    <row r="792" spans="1:1" x14ac:dyDescent="0.3">
      <c r="A792" s="1">
        <v>641</v>
      </c>
    </row>
    <row r="793" spans="1:1" x14ac:dyDescent="0.3">
      <c r="A793" s="1">
        <v>139</v>
      </c>
    </row>
    <row r="794" spans="1:1" x14ac:dyDescent="0.3">
      <c r="A794" s="1">
        <v>905</v>
      </c>
    </row>
    <row r="795" spans="1:1" x14ac:dyDescent="0.3">
      <c r="A795" s="1">
        <v>746</v>
      </c>
    </row>
    <row r="796" spans="1:1" x14ac:dyDescent="0.3">
      <c r="A796" s="1">
        <v>223</v>
      </c>
    </row>
    <row r="797" spans="1:1" x14ac:dyDescent="0.3">
      <c r="A797" s="1">
        <v>342</v>
      </c>
    </row>
    <row r="798" spans="1:1" x14ac:dyDescent="0.3">
      <c r="A798" s="1">
        <v>431</v>
      </c>
    </row>
    <row r="799" spans="1:1" x14ac:dyDescent="0.3">
      <c r="A799" s="1">
        <v>225</v>
      </c>
    </row>
    <row r="800" spans="1:1" x14ac:dyDescent="0.3">
      <c r="A800" s="1">
        <v>884</v>
      </c>
    </row>
    <row r="801" spans="1:1" x14ac:dyDescent="0.3">
      <c r="A801" s="1">
        <v>590</v>
      </c>
    </row>
    <row r="802" spans="1:1" x14ac:dyDescent="0.3">
      <c r="A802" s="1">
        <v>919</v>
      </c>
    </row>
    <row r="803" spans="1:1" x14ac:dyDescent="0.3">
      <c r="A803" s="1">
        <v>67</v>
      </c>
    </row>
    <row r="804" spans="1:1" x14ac:dyDescent="0.3">
      <c r="A804" s="1">
        <v>265</v>
      </c>
    </row>
    <row r="805" spans="1:1" x14ac:dyDescent="0.3">
      <c r="A805" s="1">
        <v>417</v>
      </c>
    </row>
    <row r="806" spans="1:1" x14ac:dyDescent="0.3">
      <c r="A806" s="1">
        <v>743</v>
      </c>
    </row>
    <row r="807" spans="1:1" x14ac:dyDescent="0.3">
      <c r="A807" s="1">
        <v>186</v>
      </c>
    </row>
    <row r="808" spans="1:1" x14ac:dyDescent="0.3">
      <c r="A808" s="1">
        <v>533</v>
      </c>
    </row>
    <row r="809" spans="1:1" x14ac:dyDescent="0.3">
      <c r="A809" s="1">
        <v>724</v>
      </c>
    </row>
    <row r="810" spans="1:1" x14ac:dyDescent="0.3">
      <c r="A810" s="1">
        <v>223</v>
      </c>
    </row>
    <row r="811" spans="1:1" x14ac:dyDescent="0.3">
      <c r="A811" s="1">
        <v>995</v>
      </c>
    </row>
    <row r="812" spans="1:1" x14ac:dyDescent="0.3">
      <c r="A812" s="1">
        <v>631</v>
      </c>
    </row>
    <row r="813" spans="1:1" x14ac:dyDescent="0.3">
      <c r="A813" s="1">
        <v>735</v>
      </c>
    </row>
    <row r="814" spans="1:1" x14ac:dyDescent="0.3">
      <c r="A814" s="1">
        <v>185</v>
      </c>
    </row>
    <row r="815" spans="1:1" x14ac:dyDescent="0.3">
      <c r="A815" s="1">
        <v>153</v>
      </c>
    </row>
    <row r="816" spans="1:1" x14ac:dyDescent="0.3">
      <c r="A816" s="1">
        <v>322</v>
      </c>
    </row>
    <row r="817" spans="1:1" x14ac:dyDescent="0.3">
      <c r="A817" s="1">
        <v>911</v>
      </c>
    </row>
    <row r="818" spans="1:1" x14ac:dyDescent="0.3">
      <c r="A818" s="1">
        <v>549</v>
      </c>
    </row>
    <row r="819" spans="1:1" x14ac:dyDescent="0.3">
      <c r="A819" s="1">
        <v>426</v>
      </c>
    </row>
    <row r="820" spans="1:1" x14ac:dyDescent="0.3">
      <c r="A820" s="1">
        <v>952</v>
      </c>
    </row>
    <row r="821" spans="1:1" x14ac:dyDescent="0.3">
      <c r="A821" s="1">
        <v>766</v>
      </c>
    </row>
    <row r="822" spans="1:1" x14ac:dyDescent="0.3">
      <c r="A822" s="1">
        <v>944</v>
      </c>
    </row>
    <row r="823" spans="1:1" x14ac:dyDescent="0.3">
      <c r="A823" s="1">
        <v>531</v>
      </c>
    </row>
    <row r="824" spans="1:1" x14ac:dyDescent="0.3">
      <c r="A824" s="1">
        <v>382</v>
      </c>
    </row>
    <row r="825" spans="1:1" x14ac:dyDescent="0.3">
      <c r="A825" s="1">
        <v>783</v>
      </c>
    </row>
    <row r="826" spans="1:1" x14ac:dyDescent="0.3">
      <c r="A826" s="1">
        <v>156</v>
      </c>
    </row>
    <row r="827" spans="1:1" x14ac:dyDescent="0.3">
      <c r="A827" s="1">
        <v>685</v>
      </c>
    </row>
    <row r="828" spans="1:1" x14ac:dyDescent="0.3">
      <c r="A828" s="1">
        <v>375</v>
      </c>
    </row>
    <row r="829" spans="1:1" x14ac:dyDescent="0.3">
      <c r="A829" s="1">
        <v>170</v>
      </c>
    </row>
    <row r="830" spans="1:1" x14ac:dyDescent="0.3">
      <c r="A830" s="1">
        <v>562</v>
      </c>
    </row>
    <row r="831" spans="1:1" x14ac:dyDescent="0.3">
      <c r="A831" s="1">
        <v>276</v>
      </c>
    </row>
    <row r="832" spans="1:1" x14ac:dyDescent="0.3">
      <c r="A832" s="1">
        <v>846</v>
      </c>
    </row>
    <row r="833" spans="1:1" x14ac:dyDescent="0.3">
      <c r="A833" s="1">
        <v>657</v>
      </c>
    </row>
    <row r="834" spans="1:1" x14ac:dyDescent="0.3">
      <c r="A834" s="1">
        <v>854</v>
      </c>
    </row>
    <row r="835" spans="1:1" x14ac:dyDescent="0.3">
      <c r="A835" s="1">
        <v>826</v>
      </c>
    </row>
    <row r="836" spans="1:1" x14ac:dyDescent="0.3">
      <c r="A836" s="1">
        <v>439</v>
      </c>
    </row>
    <row r="837" spans="1:1" x14ac:dyDescent="0.3">
      <c r="A837" s="1">
        <v>989</v>
      </c>
    </row>
    <row r="838" spans="1:1" x14ac:dyDescent="0.3">
      <c r="A838" s="1">
        <v>398</v>
      </c>
    </row>
    <row r="839" spans="1:1" x14ac:dyDescent="0.3">
      <c r="A839" s="1">
        <v>215</v>
      </c>
    </row>
    <row r="840" spans="1:1" x14ac:dyDescent="0.3">
      <c r="A840" s="1">
        <v>848</v>
      </c>
    </row>
    <row r="841" spans="1:1" x14ac:dyDescent="0.3">
      <c r="A841" s="1">
        <v>812</v>
      </c>
    </row>
    <row r="842" spans="1:1" x14ac:dyDescent="0.3">
      <c r="A842" s="1">
        <v>701</v>
      </c>
    </row>
    <row r="843" spans="1:1" x14ac:dyDescent="0.3">
      <c r="A843" s="1">
        <v>702</v>
      </c>
    </row>
    <row r="844" spans="1:1" x14ac:dyDescent="0.3">
      <c r="A844" s="1">
        <v>738</v>
      </c>
    </row>
    <row r="845" spans="1:1" x14ac:dyDescent="0.3">
      <c r="A845" s="1">
        <v>40</v>
      </c>
    </row>
    <row r="846" spans="1:1" x14ac:dyDescent="0.3">
      <c r="A846" s="1">
        <v>329</v>
      </c>
    </row>
    <row r="847" spans="1:1" x14ac:dyDescent="0.3">
      <c r="A847" s="1">
        <v>450</v>
      </c>
    </row>
    <row r="848" spans="1:1" x14ac:dyDescent="0.3">
      <c r="A848" s="1">
        <v>610</v>
      </c>
    </row>
    <row r="849" spans="1:1" x14ac:dyDescent="0.3">
      <c r="A849" s="1">
        <v>589</v>
      </c>
    </row>
    <row r="850" spans="1:1" x14ac:dyDescent="0.3">
      <c r="A850" s="1">
        <v>556</v>
      </c>
    </row>
    <row r="851" spans="1:1" x14ac:dyDescent="0.3">
      <c r="A851" s="1">
        <v>504</v>
      </c>
    </row>
    <row r="852" spans="1:1" x14ac:dyDescent="0.3">
      <c r="A852" s="1">
        <v>586</v>
      </c>
    </row>
    <row r="853" spans="1:1" x14ac:dyDescent="0.3">
      <c r="A853" s="1">
        <v>567</v>
      </c>
    </row>
    <row r="854" spans="1:1" x14ac:dyDescent="0.3">
      <c r="A854" s="1">
        <v>560</v>
      </c>
    </row>
    <row r="855" spans="1:1" x14ac:dyDescent="0.3">
      <c r="A855" s="1">
        <v>420</v>
      </c>
    </row>
    <row r="856" spans="1:1" x14ac:dyDescent="0.3">
      <c r="A856" s="1">
        <v>997</v>
      </c>
    </row>
    <row r="857" spans="1:1" x14ac:dyDescent="0.3">
      <c r="A857" s="1">
        <v>267</v>
      </c>
    </row>
    <row r="858" spans="1:1" x14ac:dyDescent="0.3">
      <c r="A858" s="1">
        <v>655</v>
      </c>
    </row>
    <row r="859" spans="1:1" x14ac:dyDescent="0.3">
      <c r="A859" s="1">
        <v>763</v>
      </c>
    </row>
    <row r="860" spans="1:1" x14ac:dyDescent="0.3">
      <c r="A860" s="1">
        <v>672</v>
      </c>
    </row>
    <row r="861" spans="1:1" x14ac:dyDescent="0.3">
      <c r="A861" s="1">
        <v>779</v>
      </c>
    </row>
    <row r="862" spans="1:1" x14ac:dyDescent="0.3">
      <c r="A862" s="1">
        <v>205</v>
      </c>
    </row>
    <row r="863" spans="1:1" x14ac:dyDescent="0.3">
      <c r="A863" s="1">
        <v>406</v>
      </c>
    </row>
    <row r="864" spans="1:1" x14ac:dyDescent="0.3">
      <c r="A864" s="1">
        <v>33</v>
      </c>
    </row>
    <row r="865" spans="1:1" x14ac:dyDescent="0.3">
      <c r="A865" s="1">
        <v>167</v>
      </c>
    </row>
    <row r="866" spans="1:1" x14ac:dyDescent="0.3">
      <c r="A866" s="1">
        <v>99</v>
      </c>
    </row>
    <row r="867" spans="1:1" x14ac:dyDescent="0.3">
      <c r="A867" s="1">
        <v>254</v>
      </c>
    </row>
    <row r="868" spans="1:1" x14ac:dyDescent="0.3">
      <c r="A868" s="1">
        <v>358</v>
      </c>
    </row>
    <row r="869" spans="1:1" x14ac:dyDescent="0.3">
      <c r="A869" s="1">
        <v>370</v>
      </c>
    </row>
    <row r="870" spans="1:1" x14ac:dyDescent="0.3">
      <c r="A870" s="1">
        <v>492</v>
      </c>
    </row>
    <row r="871" spans="1:1" x14ac:dyDescent="0.3">
      <c r="A871" s="1">
        <v>451</v>
      </c>
    </row>
    <row r="872" spans="1:1" x14ac:dyDescent="0.3">
      <c r="A872" s="1">
        <v>234</v>
      </c>
    </row>
    <row r="873" spans="1:1" x14ac:dyDescent="0.3">
      <c r="A873" s="1">
        <v>91</v>
      </c>
    </row>
    <row r="874" spans="1:1" x14ac:dyDescent="0.3">
      <c r="A874" s="1">
        <v>930</v>
      </c>
    </row>
    <row r="875" spans="1:1" x14ac:dyDescent="0.3">
      <c r="A875" s="1">
        <v>969</v>
      </c>
    </row>
    <row r="876" spans="1:1" x14ac:dyDescent="0.3">
      <c r="A876" s="1">
        <v>834</v>
      </c>
    </row>
    <row r="877" spans="1:1" x14ac:dyDescent="0.3">
      <c r="A877" s="1">
        <v>449</v>
      </c>
    </row>
    <row r="878" spans="1:1" x14ac:dyDescent="0.3">
      <c r="A878" s="1">
        <v>51</v>
      </c>
    </row>
    <row r="879" spans="1:1" x14ac:dyDescent="0.3">
      <c r="A879" s="1">
        <v>460</v>
      </c>
    </row>
    <row r="880" spans="1:1" x14ac:dyDescent="0.3">
      <c r="A880" s="1">
        <v>303</v>
      </c>
    </row>
    <row r="881" spans="1:1" x14ac:dyDescent="0.3">
      <c r="A881" s="1">
        <v>470</v>
      </c>
    </row>
    <row r="882" spans="1:1" x14ac:dyDescent="0.3">
      <c r="A882" s="1">
        <v>411</v>
      </c>
    </row>
    <row r="883" spans="1:1" x14ac:dyDescent="0.3">
      <c r="A883" s="1">
        <v>899</v>
      </c>
    </row>
    <row r="884" spans="1:1" x14ac:dyDescent="0.3">
      <c r="A884" s="1">
        <v>239</v>
      </c>
    </row>
    <row r="885" spans="1:1" x14ac:dyDescent="0.3">
      <c r="A885" s="1">
        <v>651</v>
      </c>
    </row>
    <row r="886" spans="1:1" x14ac:dyDescent="0.3">
      <c r="A886" s="1">
        <v>945</v>
      </c>
    </row>
    <row r="887" spans="1:1" x14ac:dyDescent="0.3">
      <c r="A887" s="1">
        <v>20</v>
      </c>
    </row>
    <row r="888" spans="1:1" x14ac:dyDescent="0.3">
      <c r="A888" s="1">
        <v>169</v>
      </c>
    </row>
    <row r="889" spans="1:1" x14ac:dyDescent="0.3">
      <c r="A889" s="1">
        <v>843</v>
      </c>
    </row>
    <row r="890" spans="1:1" x14ac:dyDescent="0.3">
      <c r="A890" s="1">
        <v>29</v>
      </c>
    </row>
    <row r="891" spans="1:1" x14ac:dyDescent="0.3">
      <c r="A891" s="1">
        <v>871</v>
      </c>
    </row>
    <row r="892" spans="1:1" x14ac:dyDescent="0.3">
      <c r="A892" s="1">
        <v>244</v>
      </c>
    </row>
    <row r="893" spans="1:1" x14ac:dyDescent="0.3">
      <c r="A893" s="1">
        <v>993</v>
      </c>
    </row>
    <row r="894" spans="1:1" x14ac:dyDescent="0.3">
      <c r="A894" s="1">
        <v>657</v>
      </c>
    </row>
    <row r="895" spans="1:1" x14ac:dyDescent="0.3">
      <c r="A895" s="1">
        <v>281</v>
      </c>
    </row>
    <row r="896" spans="1:1" x14ac:dyDescent="0.3">
      <c r="A896" s="1">
        <v>83</v>
      </c>
    </row>
    <row r="897" spans="1:1" x14ac:dyDescent="0.3">
      <c r="A897" s="1">
        <v>308</v>
      </c>
    </row>
    <row r="898" spans="1:1" x14ac:dyDescent="0.3">
      <c r="A898" s="1">
        <v>944</v>
      </c>
    </row>
    <row r="899" spans="1:1" x14ac:dyDescent="0.3">
      <c r="A899" s="1">
        <v>608</v>
      </c>
    </row>
    <row r="900" spans="1:1" x14ac:dyDescent="0.3">
      <c r="A900" s="1">
        <v>692</v>
      </c>
    </row>
    <row r="901" spans="1:1" x14ac:dyDescent="0.3">
      <c r="A901" s="1">
        <v>70</v>
      </c>
    </row>
    <row r="902" spans="1:1" x14ac:dyDescent="0.3">
      <c r="A902" s="1">
        <v>493</v>
      </c>
    </row>
    <row r="903" spans="1:1" x14ac:dyDescent="0.3">
      <c r="A903" s="1">
        <v>516</v>
      </c>
    </row>
    <row r="904" spans="1:1" x14ac:dyDescent="0.3">
      <c r="A904" s="1">
        <v>823</v>
      </c>
    </row>
    <row r="905" spans="1:1" x14ac:dyDescent="0.3">
      <c r="A905" s="1">
        <v>931</v>
      </c>
    </row>
    <row r="906" spans="1:1" x14ac:dyDescent="0.3">
      <c r="A906" s="1">
        <v>770</v>
      </c>
    </row>
    <row r="907" spans="1:1" x14ac:dyDescent="0.3">
      <c r="A907" s="1">
        <v>857</v>
      </c>
    </row>
    <row r="908" spans="1:1" x14ac:dyDescent="0.3">
      <c r="A908" s="1">
        <v>448</v>
      </c>
    </row>
    <row r="909" spans="1:1" x14ac:dyDescent="0.3">
      <c r="A909" s="1">
        <v>910</v>
      </c>
    </row>
    <row r="910" spans="1:1" x14ac:dyDescent="0.3">
      <c r="A910" s="1">
        <v>648</v>
      </c>
    </row>
    <row r="911" spans="1:1" x14ac:dyDescent="0.3">
      <c r="A911" s="1">
        <v>530</v>
      </c>
    </row>
    <row r="912" spans="1:1" x14ac:dyDescent="0.3">
      <c r="A912" s="1">
        <v>416</v>
      </c>
    </row>
    <row r="913" spans="1:1" x14ac:dyDescent="0.3">
      <c r="A913" s="1">
        <v>767</v>
      </c>
    </row>
    <row r="914" spans="1:1" x14ac:dyDescent="0.3">
      <c r="A914" s="1">
        <v>803</v>
      </c>
    </row>
    <row r="915" spans="1:1" x14ac:dyDescent="0.3">
      <c r="A915" s="1">
        <v>962</v>
      </c>
    </row>
    <row r="916" spans="1:1" x14ac:dyDescent="0.3">
      <c r="A916" s="1">
        <v>584</v>
      </c>
    </row>
    <row r="917" spans="1:1" x14ac:dyDescent="0.3">
      <c r="A917" s="1">
        <v>636</v>
      </c>
    </row>
    <row r="918" spans="1:1" x14ac:dyDescent="0.3">
      <c r="A918" s="1">
        <v>362</v>
      </c>
    </row>
    <row r="919" spans="1:1" x14ac:dyDescent="0.3">
      <c r="A919" s="1">
        <v>37</v>
      </c>
    </row>
    <row r="920" spans="1:1" x14ac:dyDescent="0.3">
      <c r="A920" s="1">
        <v>745</v>
      </c>
    </row>
    <row r="921" spans="1:1" x14ac:dyDescent="0.3">
      <c r="A921" s="1">
        <v>377</v>
      </c>
    </row>
    <row r="922" spans="1:1" x14ac:dyDescent="0.3">
      <c r="A922" s="1">
        <v>406</v>
      </c>
    </row>
    <row r="923" spans="1:1" x14ac:dyDescent="0.3">
      <c r="A923" s="1">
        <v>666</v>
      </c>
    </row>
    <row r="924" spans="1:1" x14ac:dyDescent="0.3">
      <c r="A924" s="1">
        <v>935</v>
      </c>
    </row>
    <row r="925" spans="1:1" x14ac:dyDescent="0.3">
      <c r="A925" s="1">
        <v>646</v>
      </c>
    </row>
    <row r="926" spans="1:1" x14ac:dyDescent="0.3">
      <c r="A926" s="1">
        <v>539</v>
      </c>
    </row>
    <row r="927" spans="1:1" x14ac:dyDescent="0.3">
      <c r="A927" s="1">
        <v>787</v>
      </c>
    </row>
    <row r="928" spans="1:1" x14ac:dyDescent="0.3">
      <c r="A928" s="1">
        <v>837</v>
      </c>
    </row>
    <row r="929" spans="1:1" x14ac:dyDescent="0.3">
      <c r="A929" s="1">
        <v>14</v>
      </c>
    </row>
    <row r="930" spans="1:1" x14ac:dyDescent="0.3">
      <c r="A930" s="1">
        <v>935</v>
      </c>
    </row>
    <row r="931" spans="1:1" x14ac:dyDescent="0.3">
      <c r="A931" s="1">
        <v>140</v>
      </c>
    </row>
    <row r="932" spans="1:1" x14ac:dyDescent="0.3">
      <c r="A932" s="1">
        <v>167</v>
      </c>
    </row>
    <row r="933" spans="1:1" x14ac:dyDescent="0.3">
      <c r="A933" s="1">
        <v>605</v>
      </c>
    </row>
    <row r="934" spans="1:1" x14ac:dyDescent="0.3">
      <c r="A934" s="1">
        <v>366</v>
      </c>
    </row>
    <row r="935" spans="1:1" x14ac:dyDescent="0.3">
      <c r="A935" s="1">
        <v>185</v>
      </c>
    </row>
    <row r="936" spans="1:1" x14ac:dyDescent="0.3">
      <c r="A936" s="1">
        <v>438</v>
      </c>
    </row>
    <row r="937" spans="1:1" x14ac:dyDescent="0.3">
      <c r="A937" s="1">
        <v>809</v>
      </c>
    </row>
    <row r="938" spans="1:1" x14ac:dyDescent="0.3">
      <c r="A938" s="1">
        <v>922</v>
      </c>
    </row>
    <row r="939" spans="1:1" x14ac:dyDescent="0.3">
      <c r="A939" s="1">
        <v>745</v>
      </c>
    </row>
    <row r="940" spans="1:1" x14ac:dyDescent="0.3">
      <c r="A940" s="1">
        <v>902</v>
      </c>
    </row>
    <row r="941" spans="1:1" x14ac:dyDescent="0.3">
      <c r="A941" s="1">
        <v>626</v>
      </c>
    </row>
    <row r="942" spans="1:1" x14ac:dyDescent="0.3">
      <c r="A942" s="1">
        <v>246</v>
      </c>
    </row>
    <row r="943" spans="1:1" x14ac:dyDescent="0.3">
      <c r="A943" s="1">
        <v>376</v>
      </c>
    </row>
    <row r="944" spans="1:1" x14ac:dyDescent="0.3">
      <c r="A944" s="1">
        <v>426</v>
      </c>
    </row>
    <row r="945" spans="1:1" x14ac:dyDescent="0.3">
      <c r="A945" s="1">
        <v>660</v>
      </c>
    </row>
    <row r="946" spans="1:1" x14ac:dyDescent="0.3">
      <c r="A946" s="1">
        <v>576</v>
      </c>
    </row>
    <row r="947" spans="1:1" x14ac:dyDescent="0.3">
      <c r="A947" s="1">
        <v>374</v>
      </c>
    </row>
    <row r="948" spans="1:1" x14ac:dyDescent="0.3">
      <c r="A948" s="1">
        <v>805</v>
      </c>
    </row>
    <row r="949" spans="1:1" x14ac:dyDescent="0.3">
      <c r="A949" s="1">
        <v>161</v>
      </c>
    </row>
    <row r="950" spans="1:1" x14ac:dyDescent="0.3">
      <c r="A950" s="1">
        <v>847</v>
      </c>
    </row>
    <row r="951" spans="1:1" x14ac:dyDescent="0.3">
      <c r="A951" s="1">
        <v>280</v>
      </c>
    </row>
    <row r="952" spans="1:1" x14ac:dyDescent="0.3">
      <c r="A952" s="1">
        <v>832</v>
      </c>
    </row>
    <row r="953" spans="1:1" x14ac:dyDescent="0.3">
      <c r="A953" s="1">
        <v>448</v>
      </c>
    </row>
    <row r="954" spans="1:1" x14ac:dyDescent="0.3">
      <c r="A954" s="1">
        <v>763</v>
      </c>
    </row>
    <row r="955" spans="1:1" x14ac:dyDescent="0.3">
      <c r="A955" s="1">
        <v>823</v>
      </c>
    </row>
    <row r="956" spans="1:1" x14ac:dyDescent="0.3">
      <c r="A956" s="1">
        <v>428</v>
      </c>
    </row>
    <row r="957" spans="1:1" x14ac:dyDescent="0.3">
      <c r="A957" s="1">
        <v>286</v>
      </c>
    </row>
    <row r="958" spans="1:1" x14ac:dyDescent="0.3">
      <c r="A958" s="1">
        <v>1000</v>
      </c>
    </row>
    <row r="959" spans="1:1" x14ac:dyDescent="0.3">
      <c r="A959" s="1">
        <v>837</v>
      </c>
    </row>
    <row r="960" spans="1:1" x14ac:dyDescent="0.3">
      <c r="A960" s="1">
        <v>158</v>
      </c>
    </row>
    <row r="961" spans="1:1" x14ac:dyDescent="0.3">
      <c r="A961" s="1">
        <v>149</v>
      </c>
    </row>
    <row r="962" spans="1:1" x14ac:dyDescent="0.3">
      <c r="A962" s="1">
        <v>444</v>
      </c>
    </row>
    <row r="963" spans="1:1" x14ac:dyDescent="0.3">
      <c r="A963" s="1">
        <v>895</v>
      </c>
    </row>
    <row r="964" spans="1:1" x14ac:dyDescent="0.3">
      <c r="A964" s="1">
        <v>678</v>
      </c>
    </row>
    <row r="965" spans="1:1" x14ac:dyDescent="0.3">
      <c r="A965" s="1">
        <v>847</v>
      </c>
    </row>
    <row r="966" spans="1:1" x14ac:dyDescent="0.3">
      <c r="A966" s="1">
        <v>617</v>
      </c>
    </row>
    <row r="967" spans="1:1" x14ac:dyDescent="0.3">
      <c r="A967" s="1">
        <v>559</v>
      </c>
    </row>
    <row r="968" spans="1:1" x14ac:dyDescent="0.3">
      <c r="A968" s="1">
        <v>306</v>
      </c>
    </row>
    <row r="969" spans="1:1" x14ac:dyDescent="0.3">
      <c r="A969" s="1">
        <v>155</v>
      </c>
    </row>
    <row r="970" spans="1:1" x14ac:dyDescent="0.3">
      <c r="A970" s="1">
        <v>14</v>
      </c>
    </row>
    <row r="971" spans="1:1" x14ac:dyDescent="0.3">
      <c r="A971" s="1">
        <v>181</v>
      </c>
    </row>
    <row r="972" spans="1:1" x14ac:dyDescent="0.3">
      <c r="A972" s="1">
        <v>547</v>
      </c>
    </row>
    <row r="973" spans="1:1" x14ac:dyDescent="0.3">
      <c r="A973" s="1">
        <v>131</v>
      </c>
    </row>
    <row r="974" spans="1:1" x14ac:dyDescent="0.3">
      <c r="A974" s="1">
        <v>203</v>
      </c>
    </row>
    <row r="975" spans="1:1" x14ac:dyDescent="0.3">
      <c r="A975" s="1">
        <v>697</v>
      </c>
    </row>
    <row r="976" spans="1:1" x14ac:dyDescent="0.3">
      <c r="A976" s="1">
        <v>214</v>
      </c>
    </row>
    <row r="977" spans="1:1" x14ac:dyDescent="0.3">
      <c r="A977" s="1">
        <v>249</v>
      </c>
    </row>
    <row r="978" spans="1:1" x14ac:dyDescent="0.3">
      <c r="A978" s="1">
        <v>40</v>
      </c>
    </row>
    <row r="979" spans="1:1" x14ac:dyDescent="0.3">
      <c r="A979" s="1">
        <v>851</v>
      </c>
    </row>
    <row r="980" spans="1:1" x14ac:dyDescent="0.3">
      <c r="A980" s="1">
        <v>207</v>
      </c>
    </row>
    <row r="981" spans="1:1" x14ac:dyDescent="0.3">
      <c r="A981" s="1">
        <v>369</v>
      </c>
    </row>
    <row r="982" spans="1:1" x14ac:dyDescent="0.3">
      <c r="A982" s="1">
        <v>304</v>
      </c>
    </row>
    <row r="983" spans="1:1" x14ac:dyDescent="0.3">
      <c r="A983" s="1">
        <v>768</v>
      </c>
    </row>
    <row r="984" spans="1:1" x14ac:dyDescent="0.3">
      <c r="A984" s="1">
        <v>781</v>
      </c>
    </row>
    <row r="985" spans="1:1" x14ac:dyDescent="0.3">
      <c r="A985" s="1">
        <v>444</v>
      </c>
    </row>
    <row r="986" spans="1:1" x14ac:dyDescent="0.3">
      <c r="A986" s="1">
        <v>197</v>
      </c>
    </row>
    <row r="987" spans="1:1" x14ac:dyDescent="0.3">
      <c r="A987" s="1">
        <v>888</v>
      </c>
    </row>
    <row r="988" spans="1:1" x14ac:dyDescent="0.3">
      <c r="A988" s="1">
        <v>340</v>
      </c>
    </row>
    <row r="989" spans="1:1" x14ac:dyDescent="0.3">
      <c r="A989" s="1">
        <v>589</v>
      </c>
    </row>
    <row r="990" spans="1:1" x14ac:dyDescent="0.3">
      <c r="A990" s="1">
        <v>456</v>
      </c>
    </row>
    <row r="991" spans="1:1" x14ac:dyDescent="0.3">
      <c r="A991" s="1">
        <v>86</v>
      </c>
    </row>
    <row r="992" spans="1:1" x14ac:dyDescent="0.3">
      <c r="A992" s="1">
        <v>716</v>
      </c>
    </row>
    <row r="993" spans="1:1" x14ac:dyDescent="0.3">
      <c r="A993" s="1">
        <v>598</v>
      </c>
    </row>
    <row r="994" spans="1:1" x14ac:dyDescent="0.3">
      <c r="A994" s="1">
        <v>762</v>
      </c>
    </row>
    <row r="995" spans="1:1" x14ac:dyDescent="0.3">
      <c r="A995" s="1">
        <v>913</v>
      </c>
    </row>
    <row r="996" spans="1:1" x14ac:dyDescent="0.3">
      <c r="A996" s="1">
        <v>945</v>
      </c>
    </row>
    <row r="997" spans="1:1" x14ac:dyDescent="0.3">
      <c r="A997" s="1">
        <v>263</v>
      </c>
    </row>
    <row r="998" spans="1:1" x14ac:dyDescent="0.3">
      <c r="A998" s="1">
        <v>810</v>
      </c>
    </row>
    <row r="999" spans="1:1" x14ac:dyDescent="0.3">
      <c r="A999" s="1">
        <v>617</v>
      </c>
    </row>
    <row r="1000" spans="1:1" x14ac:dyDescent="0.3">
      <c r="A1000" s="1">
        <v>846</v>
      </c>
    </row>
    <row r="1001" spans="1:1" x14ac:dyDescent="0.3">
      <c r="A1001" s="1">
        <v>661</v>
      </c>
    </row>
    <row r="1002" spans="1:1" x14ac:dyDescent="0.3">
      <c r="A1002" s="1">
        <v>666</v>
      </c>
    </row>
    <row r="1003" spans="1:1" x14ac:dyDescent="0.3">
      <c r="A1003" s="1">
        <v>972</v>
      </c>
    </row>
    <row r="1004" spans="1:1" x14ac:dyDescent="0.3">
      <c r="A1004" s="1">
        <v>214</v>
      </c>
    </row>
    <row r="1005" spans="1:1" x14ac:dyDescent="0.3">
      <c r="A1005" s="1">
        <v>221</v>
      </c>
    </row>
    <row r="1006" spans="1:1" x14ac:dyDescent="0.3">
      <c r="A1006" s="1">
        <v>995</v>
      </c>
    </row>
    <row r="1007" spans="1:1" x14ac:dyDescent="0.3">
      <c r="A1007" s="1">
        <v>213</v>
      </c>
    </row>
    <row r="1008" spans="1:1" x14ac:dyDescent="0.3">
      <c r="A1008" s="1">
        <v>716</v>
      </c>
    </row>
    <row r="1009" spans="1:1" x14ac:dyDescent="0.3">
      <c r="A1009" s="1">
        <v>346</v>
      </c>
    </row>
    <row r="1010" spans="1:1" x14ac:dyDescent="0.3">
      <c r="A1010" s="1">
        <v>781</v>
      </c>
    </row>
    <row r="1011" spans="1:1" x14ac:dyDescent="0.3">
      <c r="A1011" s="1">
        <v>525</v>
      </c>
    </row>
    <row r="1012" spans="1:1" x14ac:dyDescent="0.3">
      <c r="A1012" s="1">
        <v>300</v>
      </c>
    </row>
    <row r="1013" spans="1:1" x14ac:dyDescent="0.3">
      <c r="A1013" s="1">
        <v>677</v>
      </c>
    </row>
    <row r="1014" spans="1:1" x14ac:dyDescent="0.3">
      <c r="A1014" s="1">
        <v>273</v>
      </c>
    </row>
    <row r="1015" spans="1:1" x14ac:dyDescent="0.3">
      <c r="A1015" s="1">
        <v>361</v>
      </c>
    </row>
    <row r="1016" spans="1:1" x14ac:dyDescent="0.3">
      <c r="A1016" s="1">
        <v>928</v>
      </c>
    </row>
    <row r="1017" spans="1:1" x14ac:dyDescent="0.3">
      <c r="A1017" s="1">
        <v>367</v>
      </c>
    </row>
    <row r="1018" spans="1:1" x14ac:dyDescent="0.3">
      <c r="A1018" s="1">
        <v>114</v>
      </c>
    </row>
    <row r="1019" spans="1:1" x14ac:dyDescent="0.3">
      <c r="A1019" s="1">
        <v>154</v>
      </c>
    </row>
    <row r="1020" spans="1:1" x14ac:dyDescent="0.3">
      <c r="A1020" s="1">
        <v>750</v>
      </c>
    </row>
    <row r="1021" spans="1:1" x14ac:dyDescent="0.3">
      <c r="A1021" s="1">
        <v>910</v>
      </c>
    </row>
    <row r="1022" spans="1:1" x14ac:dyDescent="0.3">
      <c r="A1022" s="1">
        <v>988</v>
      </c>
    </row>
    <row r="1023" spans="1:1" x14ac:dyDescent="0.3">
      <c r="A1023" s="1">
        <v>917</v>
      </c>
    </row>
    <row r="1024" spans="1:1" x14ac:dyDescent="0.3">
      <c r="A1024" s="1">
        <v>108</v>
      </c>
    </row>
    <row r="1025" spans="1:1" x14ac:dyDescent="0.3">
      <c r="A1025" s="1">
        <v>49</v>
      </c>
    </row>
    <row r="1026" spans="1:1" x14ac:dyDescent="0.3">
      <c r="A1026" s="1">
        <v>245</v>
      </c>
    </row>
    <row r="1027" spans="1:1" x14ac:dyDescent="0.3">
      <c r="A1027" s="1">
        <v>517</v>
      </c>
    </row>
    <row r="1028" spans="1:1" x14ac:dyDescent="0.3">
      <c r="A1028" s="1">
        <v>688</v>
      </c>
    </row>
    <row r="1029" spans="1:1" x14ac:dyDescent="0.3">
      <c r="A1029" s="1">
        <v>903</v>
      </c>
    </row>
    <row r="1030" spans="1:1" x14ac:dyDescent="0.3">
      <c r="A1030" s="1">
        <v>844</v>
      </c>
    </row>
    <row r="1031" spans="1:1" x14ac:dyDescent="0.3">
      <c r="A1031" s="1">
        <v>436</v>
      </c>
    </row>
    <row r="1032" spans="1:1" x14ac:dyDescent="0.3">
      <c r="A1032" s="1">
        <v>673</v>
      </c>
    </row>
    <row r="1033" spans="1:1" x14ac:dyDescent="0.3">
      <c r="A1033" s="1">
        <v>603</v>
      </c>
    </row>
    <row r="1034" spans="1:1" x14ac:dyDescent="0.3">
      <c r="A1034" s="1">
        <v>328</v>
      </c>
    </row>
    <row r="1035" spans="1:1" x14ac:dyDescent="0.3">
      <c r="A1035" s="1">
        <v>268</v>
      </c>
    </row>
    <row r="1036" spans="1:1" x14ac:dyDescent="0.3">
      <c r="A1036" s="1">
        <v>420</v>
      </c>
    </row>
    <row r="1037" spans="1:1" x14ac:dyDescent="0.3">
      <c r="A1037" s="1">
        <v>428</v>
      </c>
    </row>
    <row r="1038" spans="1:1" x14ac:dyDescent="0.3">
      <c r="A1038" s="1">
        <v>472</v>
      </c>
    </row>
    <row r="1039" spans="1:1" x14ac:dyDescent="0.3">
      <c r="A1039" s="1">
        <v>159</v>
      </c>
    </row>
    <row r="1040" spans="1:1" x14ac:dyDescent="0.3">
      <c r="A1040" s="1">
        <v>51</v>
      </c>
    </row>
    <row r="1041" spans="1:1" x14ac:dyDescent="0.3">
      <c r="A1041" s="1">
        <v>696</v>
      </c>
    </row>
    <row r="1042" spans="1:1" x14ac:dyDescent="0.3">
      <c r="A1042" s="1">
        <v>582</v>
      </c>
    </row>
    <row r="1043" spans="1:1" x14ac:dyDescent="0.3">
      <c r="A1043" s="1">
        <v>56</v>
      </c>
    </row>
    <row r="1044" spans="1:1" x14ac:dyDescent="0.3">
      <c r="A1044" s="1">
        <v>824</v>
      </c>
    </row>
    <row r="1045" spans="1:1" x14ac:dyDescent="0.3">
      <c r="A1045" s="1">
        <v>328</v>
      </c>
    </row>
    <row r="1046" spans="1:1" x14ac:dyDescent="0.3">
      <c r="A1046" s="1">
        <v>141</v>
      </c>
    </row>
    <row r="1047" spans="1:1" x14ac:dyDescent="0.3">
      <c r="A1047" s="1">
        <v>524</v>
      </c>
    </row>
    <row r="1048" spans="1:1" x14ac:dyDescent="0.3">
      <c r="A1048" s="1">
        <v>43</v>
      </c>
    </row>
    <row r="1049" spans="1:1" x14ac:dyDescent="0.3">
      <c r="A1049" s="1">
        <v>156</v>
      </c>
    </row>
    <row r="1050" spans="1:1" x14ac:dyDescent="0.3">
      <c r="A1050" s="1">
        <v>45</v>
      </c>
    </row>
    <row r="1051" spans="1:1" x14ac:dyDescent="0.3">
      <c r="A1051" s="1">
        <v>529</v>
      </c>
    </row>
    <row r="1052" spans="1:1" x14ac:dyDescent="0.3">
      <c r="A1052" s="1">
        <v>154</v>
      </c>
    </row>
    <row r="1053" spans="1:1" x14ac:dyDescent="0.3">
      <c r="A1053" s="1">
        <v>121</v>
      </c>
    </row>
    <row r="1054" spans="1:1" x14ac:dyDescent="0.3">
      <c r="A1054" s="1">
        <v>334</v>
      </c>
    </row>
    <row r="1055" spans="1:1" x14ac:dyDescent="0.3">
      <c r="A1055" s="1">
        <v>693</v>
      </c>
    </row>
    <row r="1056" spans="1:1" x14ac:dyDescent="0.3">
      <c r="A1056" s="1">
        <v>314</v>
      </c>
    </row>
    <row r="1057" spans="1:1" x14ac:dyDescent="0.3">
      <c r="A1057" s="1">
        <v>121</v>
      </c>
    </row>
    <row r="1058" spans="1:1" x14ac:dyDescent="0.3">
      <c r="A1058" s="1">
        <v>438</v>
      </c>
    </row>
    <row r="1059" spans="1:1" x14ac:dyDescent="0.3">
      <c r="A1059" s="1">
        <v>285</v>
      </c>
    </row>
    <row r="1060" spans="1:1" x14ac:dyDescent="0.3">
      <c r="A1060" s="1">
        <v>49</v>
      </c>
    </row>
    <row r="1061" spans="1:1" x14ac:dyDescent="0.3">
      <c r="A1061" s="1">
        <v>756</v>
      </c>
    </row>
    <row r="1062" spans="1:1" x14ac:dyDescent="0.3">
      <c r="A1062" s="1">
        <v>646</v>
      </c>
    </row>
    <row r="1063" spans="1:1" x14ac:dyDescent="0.3">
      <c r="A1063" s="1">
        <v>488</v>
      </c>
    </row>
    <row r="1064" spans="1:1" x14ac:dyDescent="0.3">
      <c r="A1064" s="1">
        <v>526</v>
      </c>
    </row>
    <row r="1065" spans="1:1" x14ac:dyDescent="0.3">
      <c r="A1065" s="1">
        <v>681</v>
      </c>
    </row>
    <row r="1066" spans="1:1" x14ac:dyDescent="0.3">
      <c r="A1066" s="1">
        <v>806</v>
      </c>
    </row>
    <row r="1067" spans="1:1" x14ac:dyDescent="0.3">
      <c r="A1067" s="1">
        <v>548</v>
      </c>
    </row>
    <row r="1068" spans="1:1" x14ac:dyDescent="0.3">
      <c r="A1068" s="1">
        <v>466</v>
      </c>
    </row>
    <row r="1069" spans="1:1" x14ac:dyDescent="0.3">
      <c r="A1069" s="1">
        <v>282</v>
      </c>
    </row>
    <row r="1070" spans="1:1" x14ac:dyDescent="0.3">
      <c r="A1070" s="1">
        <v>477</v>
      </c>
    </row>
    <row r="1071" spans="1:1" x14ac:dyDescent="0.3">
      <c r="A1071" s="1">
        <v>682</v>
      </c>
    </row>
    <row r="1072" spans="1:1" x14ac:dyDescent="0.3">
      <c r="A1072" s="1">
        <v>656</v>
      </c>
    </row>
    <row r="1073" spans="1:1" x14ac:dyDescent="0.3">
      <c r="A1073" s="1">
        <v>50</v>
      </c>
    </row>
    <row r="1074" spans="1:1" x14ac:dyDescent="0.3">
      <c r="A1074" s="1">
        <v>485</v>
      </c>
    </row>
    <row r="1075" spans="1:1" x14ac:dyDescent="0.3">
      <c r="A1075" s="1">
        <v>33</v>
      </c>
    </row>
    <row r="1076" spans="1:1" x14ac:dyDescent="0.3">
      <c r="A1076" s="1">
        <v>947</v>
      </c>
    </row>
    <row r="1077" spans="1:1" x14ac:dyDescent="0.3">
      <c r="A1077" s="1">
        <v>822</v>
      </c>
    </row>
    <row r="1078" spans="1:1" x14ac:dyDescent="0.3">
      <c r="A1078" s="1">
        <v>215</v>
      </c>
    </row>
    <row r="1079" spans="1:1" x14ac:dyDescent="0.3">
      <c r="A1079" s="1">
        <v>165</v>
      </c>
    </row>
    <row r="1080" spans="1:1" x14ac:dyDescent="0.3">
      <c r="A1080" s="1">
        <v>353</v>
      </c>
    </row>
    <row r="1081" spans="1:1" x14ac:dyDescent="0.3">
      <c r="A1081" s="1">
        <v>420</v>
      </c>
    </row>
    <row r="1082" spans="1:1" x14ac:dyDescent="0.3">
      <c r="A1082" s="1">
        <v>53</v>
      </c>
    </row>
    <row r="1083" spans="1:1" x14ac:dyDescent="0.3">
      <c r="A1083" s="1">
        <v>39</v>
      </c>
    </row>
    <row r="1084" spans="1:1" x14ac:dyDescent="0.3">
      <c r="A1084" s="1">
        <v>956</v>
      </c>
    </row>
    <row r="1085" spans="1:1" x14ac:dyDescent="0.3">
      <c r="A1085" s="1">
        <v>117</v>
      </c>
    </row>
    <row r="1086" spans="1:1" x14ac:dyDescent="0.3">
      <c r="A1086" s="1">
        <v>159</v>
      </c>
    </row>
    <row r="1087" spans="1:1" x14ac:dyDescent="0.3">
      <c r="A1087" s="1">
        <v>456</v>
      </c>
    </row>
    <row r="1088" spans="1:1" x14ac:dyDescent="0.3">
      <c r="A1088" s="1">
        <v>510</v>
      </c>
    </row>
    <row r="1089" spans="1:1" x14ac:dyDescent="0.3">
      <c r="A1089" s="1">
        <v>372</v>
      </c>
    </row>
    <row r="1090" spans="1:1" x14ac:dyDescent="0.3">
      <c r="A1090" s="1">
        <v>771</v>
      </c>
    </row>
    <row r="1091" spans="1:1" x14ac:dyDescent="0.3">
      <c r="A1091" s="1">
        <v>157</v>
      </c>
    </row>
    <row r="1092" spans="1:1" x14ac:dyDescent="0.3">
      <c r="A1092" s="1">
        <v>477</v>
      </c>
    </row>
    <row r="1093" spans="1:1" x14ac:dyDescent="0.3">
      <c r="A1093" s="1">
        <v>742</v>
      </c>
    </row>
    <row r="1094" spans="1:1" x14ac:dyDescent="0.3">
      <c r="A1094" s="1">
        <v>166</v>
      </c>
    </row>
    <row r="1095" spans="1:1" x14ac:dyDescent="0.3">
      <c r="A1095" s="1">
        <v>981</v>
      </c>
    </row>
    <row r="1096" spans="1:1" x14ac:dyDescent="0.3">
      <c r="A1096" s="1">
        <v>599</v>
      </c>
    </row>
    <row r="1097" spans="1:1" x14ac:dyDescent="0.3">
      <c r="A1097" s="1">
        <v>529</v>
      </c>
    </row>
    <row r="1098" spans="1:1" x14ac:dyDescent="0.3">
      <c r="A1098" s="1">
        <v>649</v>
      </c>
    </row>
    <row r="1099" spans="1:1" x14ac:dyDescent="0.3">
      <c r="A1099" s="1">
        <v>841</v>
      </c>
    </row>
    <row r="1100" spans="1:1" x14ac:dyDescent="0.3">
      <c r="A1100" s="1">
        <v>494</v>
      </c>
    </row>
    <row r="1101" spans="1:1" x14ac:dyDescent="0.3">
      <c r="A1101" s="1">
        <v>714</v>
      </c>
    </row>
    <row r="1102" spans="1:1" x14ac:dyDescent="0.3">
      <c r="A1102" s="1">
        <v>978</v>
      </c>
    </row>
    <row r="1103" spans="1:1" x14ac:dyDescent="0.3">
      <c r="A1103" s="1">
        <v>672</v>
      </c>
    </row>
    <row r="1104" spans="1:1" x14ac:dyDescent="0.3">
      <c r="A1104" s="1">
        <v>919</v>
      </c>
    </row>
    <row r="1105" spans="1:1" x14ac:dyDescent="0.3">
      <c r="A1105" s="1">
        <v>970</v>
      </c>
    </row>
    <row r="1106" spans="1:1" x14ac:dyDescent="0.3">
      <c r="A1106" s="1">
        <v>181</v>
      </c>
    </row>
    <row r="1107" spans="1:1" x14ac:dyDescent="0.3">
      <c r="A1107" s="1">
        <v>457</v>
      </c>
    </row>
    <row r="1108" spans="1:1" x14ac:dyDescent="0.3">
      <c r="A1108" s="1">
        <v>462</v>
      </c>
    </row>
    <row r="1109" spans="1:1" x14ac:dyDescent="0.3">
      <c r="A1109" s="1">
        <v>603</v>
      </c>
    </row>
    <row r="1110" spans="1:1" x14ac:dyDescent="0.3">
      <c r="A1110" s="1">
        <v>801</v>
      </c>
    </row>
    <row r="1111" spans="1:1" x14ac:dyDescent="0.3">
      <c r="A1111" s="1">
        <v>536</v>
      </c>
    </row>
    <row r="1112" spans="1:1" x14ac:dyDescent="0.3">
      <c r="A1112" s="1">
        <v>388</v>
      </c>
    </row>
    <row r="1113" spans="1:1" x14ac:dyDescent="0.3">
      <c r="A1113" s="1">
        <v>387</v>
      </c>
    </row>
    <row r="1114" spans="1:1" x14ac:dyDescent="0.3">
      <c r="A1114" s="1">
        <v>288</v>
      </c>
    </row>
    <row r="1115" spans="1:1" x14ac:dyDescent="0.3">
      <c r="A1115" s="1">
        <v>467</v>
      </c>
    </row>
    <row r="1116" spans="1:1" x14ac:dyDescent="0.3">
      <c r="A1116" s="1">
        <v>403</v>
      </c>
    </row>
    <row r="1117" spans="1:1" x14ac:dyDescent="0.3">
      <c r="A1117" s="1">
        <v>464</v>
      </c>
    </row>
    <row r="1118" spans="1:1" x14ac:dyDescent="0.3">
      <c r="A1118" s="1">
        <v>972</v>
      </c>
    </row>
    <row r="1119" spans="1:1" x14ac:dyDescent="0.3">
      <c r="A1119" s="1">
        <v>989</v>
      </c>
    </row>
    <row r="1120" spans="1:1" x14ac:dyDescent="0.3">
      <c r="A1120" s="1">
        <v>139</v>
      </c>
    </row>
    <row r="1121" spans="1:1" x14ac:dyDescent="0.3">
      <c r="A1121" s="1">
        <v>64</v>
      </c>
    </row>
    <row r="1122" spans="1:1" x14ac:dyDescent="0.3">
      <c r="A1122" s="1">
        <v>529</v>
      </c>
    </row>
    <row r="1123" spans="1:1" x14ac:dyDescent="0.3">
      <c r="A1123" s="1">
        <v>420</v>
      </c>
    </row>
    <row r="1124" spans="1:1" x14ac:dyDescent="0.3">
      <c r="A1124" s="1">
        <v>375</v>
      </c>
    </row>
    <row r="1125" spans="1:1" x14ac:dyDescent="0.3">
      <c r="A1125" s="1">
        <v>860</v>
      </c>
    </row>
    <row r="1126" spans="1:1" x14ac:dyDescent="0.3">
      <c r="A1126" s="1">
        <v>896</v>
      </c>
    </row>
    <row r="1127" spans="1:1" x14ac:dyDescent="0.3">
      <c r="A1127" s="1">
        <v>275</v>
      </c>
    </row>
    <row r="1128" spans="1:1" x14ac:dyDescent="0.3">
      <c r="A1128" s="1">
        <v>812</v>
      </c>
    </row>
    <row r="1129" spans="1:1" x14ac:dyDescent="0.3">
      <c r="A1129" s="1">
        <v>734</v>
      </c>
    </row>
    <row r="1130" spans="1:1" x14ac:dyDescent="0.3">
      <c r="A1130" s="1">
        <v>127</v>
      </c>
    </row>
    <row r="1131" spans="1:1" x14ac:dyDescent="0.3">
      <c r="A1131" s="1">
        <v>399</v>
      </c>
    </row>
    <row r="1132" spans="1:1" x14ac:dyDescent="0.3">
      <c r="A1132" s="1">
        <v>888</v>
      </c>
    </row>
    <row r="1133" spans="1:1" x14ac:dyDescent="0.3">
      <c r="A1133" s="1">
        <v>520</v>
      </c>
    </row>
    <row r="1134" spans="1:1" x14ac:dyDescent="0.3">
      <c r="A1134" s="1">
        <v>146</v>
      </c>
    </row>
    <row r="1135" spans="1:1" x14ac:dyDescent="0.3">
      <c r="A1135" s="1">
        <v>473</v>
      </c>
    </row>
    <row r="1136" spans="1:1" x14ac:dyDescent="0.3">
      <c r="A1136" s="1">
        <v>389</v>
      </c>
    </row>
    <row r="1137" spans="1:1" x14ac:dyDescent="0.3">
      <c r="A1137" s="1">
        <v>592</v>
      </c>
    </row>
    <row r="1138" spans="1:1" x14ac:dyDescent="0.3">
      <c r="A1138" s="1">
        <v>466</v>
      </c>
    </row>
    <row r="1139" spans="1:1" x14ac:dyDescent="0.3">
      <c r="A1139" s="1">
        <v>527</v>
      </c>
    </row>
    <row r="1140" spans="1:1" x14ac:dyDescent="0.3">
      <c r="A1140" s="1">
        <v>623</v>
      </c>
    </row>
    <row r="1141" spans="1:1" x14ac:dyDescent="0.3">
      <c r="A1141" s="1">
        <v>949</v>
      </c>
    </row>
    <row r="1142" spans="1:1" x14ac:dyDescent="0.3">
      <c r="A1142" s="1">
        <v>738</v>
      </c>
    </row>
    <row r="1143" spans="1:1" x14ac:dyDescent="0.3">
      <c r="A1143" s="1">
        <v>156</v>
      </c>
    </row>
    <row r="1144" spans="1:1" x14ac:dyDescent="0.3">
      <c r="A1144" s="1">
        <v>170</v>
      </c>
    </row>
    <row r="1145" spans="1:1" x14ac:dyDescent="0.3">
      <c r="A1145" s="1">
        <v>794</v>
      </c>
    </row>
    <row r="1146" spans="1:1" x14ac:dyDescent="0.3">
      <c r="A1146" s="1">
        <v>733</v>
      </c>
    </row>
    <row r="1147" spans="1:1" x14ac:dyDescent="0.3">
      <c r="A1147" s="1">
        <v>272</v>
      </c>
    </row>
    <row r="1148" spans="1:1" x14ac:dyDescent="0.3">
      <c r="A1148" s="1">
        <v>199</v>
      </c>
    </row>
    <row r="1149" spans="1:1" x14ac:dyDescent="0.3">
      <c r="A1149" s="1">
        <v>550</v>
      </c>
    </row>
    <row r="1150" spans="1:1" x14ac:dyDescent="0.3">
      <c r="A1150" s="1">
        <v>817</v>
      </c>
    </row>
    <row r="1151" spans="1:1" x14ac:dyDescent="0.3">
      <c r="A1151" s="1">
        <v>475</v>
      </c>
    </row>
    <row r="1152" spans="1:1" x14ac:dyDescent="0.3">
      <c r="A1152" s="1">
        <v>713</v>
      </c>
    </row>
    <row r="1153" spans="1:1" x14ac:dyDescent="0.3">
      <c r="A1153" s="1">
        <v>203</v>
      </c>
    </row>
    <row r="1154" spans="1:1" x14ac:dyDescent="0.3">
      <c r="A1154" s="1">
        <v>299</v>
      </c>
    </row>
    <row r="1155" spans="1:1" x14ac:dyDescent="0.3">
      <c r="A1155" s="1">
        <v>357</v>
      </c>
    </row>
    <row r="1156" spans="1:1" x14ac:dyDescent="0.3">
      <c r="A1156" s="1">
        <v>99</v>
      </c>
    </row>
    <row r="1157" spans="1:1" x14ac:dyDescent="0.3">
      <c r="A1157" s="1">
        <v>457</v>
      </c>
    </row>
    <row r="1158" spans="1:1" x14ac:dyDescent="0.3">
      <c r="A1158" s="1">
        <v>763</v>
      </c>
    </row>
    <row r="1159" spans="1:1" x14ac:dyDescent="0.3">
      <c r="A1159" s="1">
        <v>157</v>
      </c>
    </row>
    <row r="1160" spans="1:1" x14ac:dyDescent="0.3">
      <c r="A1160" s="1">
        <v>809</v>
      </c>
    </row>
    <row r="1161" spans="1:1" x14ac:dyDescent="0.3">
      <c r="A1161" s="1">
        <v>230</v>
      </c>
    </row>
    <row r="1162" spans="1:1" x14ac:dyDescent="0.3">
      <c r="A1162" s="1">
        <v>900</v>
      </c>
    </row>
    <row r="1163" spans="1:1" x14ac:dyDescent="0.3">
      <c r="A1163" s="1">
        <v>496</v>
      </c>
    </row>
    <row r="1164" spans="1:1" x14ac:dyDescent="0.3">
      <c r="A1164" s="1">
        <v>203</v>
      </c>
    </row>
    <row r="1165" spans="1:1" x14ac:dyDescent="0.3">
      <c r="A1165" s="1">
        <v>56</v>
      </c>
    </row>
    <row r="1166" spans="1:1" x14ac:dyDescent="0.3">
      <c r="A1166" s="1">
        <v>94</v>
      </c>
    </row>
    <row r="1167" spans="1:1" x14ac:dyDescent="0.3">
      <c r="A1167" s="1">
        <v>780</v>
      </c>
    </row>
    <row r="1168" spans="1:1" x14ac:dyDescent="0.3">
      <c r="A1168" s="1">
        <v>819</v>
      </c>
    </row>
    <row r="1169" spans="1:1" x14ac:dyDescent="0.3">
      <c r="A1169" s="1">
        <v>964</v>
      </c>
    </row>
    <row r="1170" spans="1:1" x14ac:dyDescent="0.3">
      <c r="A1170" s="1">
        <v>521</v>
      </c>
    </row>
    <row r="1171" spans="1:1" x14ac:dyDescent="0.3">
      <c r="A1171" s="1">
        <v>630</v>
      </c>
    </row>
    <row r="1172" spans="1:1" x14ac:dyDescent="0.3">
      <c r="A1172" s="1">
        <v>330</v>
      </c>
    </row>
    <row r="1173" spans="1:1" x14ac:dyDescent="0.3">
      <c r="A1173" s="1">
        <v>299</v>
      </c>
    </row>
    <row r="1174" spans="1:1" x14ac:dyDescent="0.3">
      <c r="A1174" s="1">
        <v>30</v>
      </c>
    </row>
    <row r="1175" spans="1:1" x14ac:dyDescent="0.3">
      <c r="A1175" s="1">
        <v>572</v>
      </c>
    </row>
    <row r="1176" spans="1:1" x14ac:dyDescent="0.3">
      <c r="A1176" s="1">
        <v>523</v>
      </c>
    </row>
    <row r="1177" spans="1:1" x14ac:dyDescent="0.3">
      <c r="A1177" s="1">
        <v>874</v>
      </c>
    </row>
    <row r="1178" spans="1:1" x14ac:dyDescent="0.3">
      <c r="A1178" s="1">
        <v>476</v>
      </c>
    </row>
    <row r="1179" spans="1:1" x14ac:dyDescent="0.3">
      <c r="A1179" s="1">
        <v>465</v>
      </c>
    </row>
    <row r="1180" spans="1:1" x14ac:dyDescent="0.3">
      <c r="A1180" s="1">
        <v>808</v>
      </c>
    </row>
    <row r="1181" spans="1:1" x14ac:dyDescent="0.3">
      <c r="A1181" s="1">
        <v>851</v>
      </c>
    </row>
    <row r="1182" spans="1:1" x14ac:dyDescent="0.3">
      <c r="A1182" s="1">
        <v>426</v>
      </c>
    </row>
    <row r="1183" spans="1:1" x14ac:dyDescent="0.3">
      <c r="A1183" s="1">
        <v>495</v>
      </c>
    </row>
    <row r="1184" spans="1:1" x14ac:dyDescent="0.3">
      <c r="A1184" s="1">
        <v>868</v>
      </c>
    </row>
    <row r="1185" spans="1:1" x14ac:dyDescent="0.3">
      <c r="A1185" s="1">
        <v>133</v>
      </c>
    </row>
    <row r="1186" spans="1:1" x14ac:dyDescent="0.3">
      <c r="A1186" s="1">
        <v>270</v>
      </c>
    </row>
    <row r="1187" spans="1:1" x14ac:dyDescent="0.3">
      <c r="A1187" s="1">
        <v>984</v>
      </c>
    </row>
    <row r="1188" spans="1:1" x14ac:dyDescent="0.3">
      <c r="A1188" s="1">
        <v>996</v>
      </c>
    </row>
    <row r="1189" spans="1:1" x14ac:dyDescent="0.3">
      <c r="A1189" s="1">
        <v>452</v>
      </c>
    </row>
    <row r="1190" spans="1:1" x14ac:dyDescent="0.3">
      <c r="A1190" s="1">
        <v>342</v>
      </c>
    </row>
    <row r="1191" spans="1:1" x14ac:dyDescent="0.3">
      <c r="A1191" s="1">
        <v>134</v>
      </c>
    </row>
    <row r="1192" spans="1:1" x14ac:dyDescent="0.3">
      <c r="A1192" s="1">
        <v>428</v>
      </c>
    </row>
    <row r="1193" spans="1:1" x14ac:dyDescent="0.3">
      <c r="A1193" s="1">
        <v>639</v>
      </c>
    </row>
    <row r="1194" spans="1:1" x14ac:dyDescent="0.3">
      <c r="A1194" s="1">
        <v>434</v>
      </c>
    </row>
    <row r="1195" spans="1:1" x14ac:dyDescent="0.3">
      <c r="A1195" s="1">
        <v>272</v>
      </c>
    </row>
    <row r="1196" spans="1:1" x14ac:dyDescent="0.3">
      <c r="A1196" s="1">
        <v>631</v>
      </c>
    </row>
    <row r="1197" spans="1:1" x14ac:dyDescent="0.3">
      <c r="A1197" s="1">
        <v>391</v>
      </c>
    </row>
    <row r="1198" spans="1:1" x14ac:dyDescent="0.3">
      <c r="A1198" s="1">
        <v>484</v>
      </c>
    </row>
    <row r="1199" spans="1:1" x14ac:dyDescent="0.3">
      <c r="A1199" s="1">
        <v>497</v>
      </c>
    </row>
    <row r="1200" spans="1:1" x14ac:dyDescent="0.3">
      <c r="A1200" s="1">
        <v>332</v>
      </c>
    </row>
    <row r="1201" spans="1:1" x14ac:dyDescent="0.3">
      <c r="A1201" s="1">
        <v>16</v>
      </c>
    </row>
    <row r="1202" spans="1:1" x14ac:dyDescent="0.3">
      <c r="A1202" s="1">
        <v>432</v>
      </c>
    </row>
    <row r="1203" spans="1:1" x14ac:dyDescent="0.3">
      <c r="A1203" s="1">
        <v>80</v>
      </c>
    </row>
    <row r="1204" spans="1:1" x14ac:dyDescent="0.3">
      <c r="A1204" s="1">
        <v>726</v>
      </c>
    </row>
    <row r="1205" spans="1:1" x14ac:dyDescent="0.3">
      <c r="A1205" s="1">
        <v>979</v>
      </c>
    </row>
    <row r="1206" spans="1:1" x14ac:dyDescent="0.3">
      <c r="A1206" s="1">
        <v>902</v>
      </c>
    </row>
    <row r="1207" spans="1:1" x14ac:dyDescent="0.3">
      <c r="A1207" s="1">
        <v>30</v>
      </c>
    </row>
    <row r="1208" spans="1:1" x14ac:dyDescent="0.3">
      <c r="A1208" s="1">
        <v>36</v>
      </c>
    </row>
    <row r="1209" spans="1:1" x14ac:dyDescent="0.3">
      <c r="A1209" s="1">
        <v>251</v>
      </c>
    </row>
    <row r="1210" spans="1:1" x14ac:dyDescent="0.3">
      <c r="A1210" s="1">
        <v>893</v>
      </c>
    </row>
    <row r="1211" spans="1:1" x14ac:dyDescent="0.3">
      <c r="A1211" s="1">
        <v>281</v>
      </c>
    </row>
    <row r="1212" spans="1:1" x14ac:dyDescent="0.3">
      <c r="A1212" s="1">
        <v>511</v>
      </c>
    </row>
    <row r="1213" spans="1:1" x14ac:dyDescent="0.3">
      <c r="A1213" s="1">
        <v>556</v>
      </c>
    </row>
    <row r="1214" spans="1:1" x14ac:dyDescent="0.3">
      <c r="A1214" s="1">
        <v>120</v>
      </c>
    </row>
    <row r="1215" spans="1:1" x14ac:dyDescent="0.3">
      <c r="A1215" s="1">
        <v>746</v>
      </c>
    </row>
    <row r="1216" spans="1:1" x14ac:dyDescent="0.3">
      <c r="A1216" s="1">
        <v>705</v>
      </c>
    </row>
    <row r="1217" spans="1:1" x14ac:dyDescent="0.3">
      <c r="A1217" s="1">
        <v>71</v>
      </c>
    </row>
    <row r="1218" spans="1:1" x14ac:dyDescent="0.3">
      <c r="A1218" s="1">
        <v>292</v>
      </c>
    </row>
    <row r="1219" spans="1:1" x14ac:dyDescent="0.3">
      <c r="A1219" s="1">
        <v>901</v>
      </c>
    </row>
    <row r="1220" spans="1:1" x14ac:dyDescent="0.3">
      <c r="A1220" s="1">
        <v>303</v>
      </c>
    </row>
    <row r="1221" spans="1:1" x14ac:dyDescent="0.3">
      <c r="A1221" s="1">
        <v>990</v>
      </c>
    </row>
    <row r="1222" spans="1:1" x14ac:dyDescent="0.3">
      <c r="A1222" s="1">
        <v>15</v>
      </c>
    </row>
    <row r="1223" spans="1:1" x14ac:dyDescent="0.3">
      <c r="A1223" s="1">
        <v>568</v>
      </c>
    </row>
    <row r="1224" spans="1:1" x14ac:dyDescent="0.3">
      <c r="A1224" s="1">
        <v>340</v>
      </c>
    </row>
    <row r="1225" spans="1:1" x14ac:dyDescent="0.3">
      <c r="A1225" s="1">
        <v>78</v>
      </c>
    </row>
    <row r="1226" spans="1:1" x14ac:dyDescent="0.3">
      <c r="A1226" s="1">
        <v>350</v>
      </c>
    </row>
    <row r="1227" spans="1:1" x14ac:dyDescent="0.3">
      <c r="A1227" s="1">
        <v>675</v>
      </c>
    </row>
    <row r="1228" spans="1:1" x14ac:dyDescent="0.3">
      <c r="A1228" s="1">
        <v>725</v>
      </c>
    </row>
    <row r="1229" spans="1:1" x14ac:dyDescent="0.3">
      <c r="A1229" s="1">
        <v>459</v>
      </c>
    </row>
    <row r="1230" spans="1:1" x14ac:dyDescent="0.3">
      <c r="A1230" s="1">
        <v>983</v>
      </c>
    </row>
    <row r="1231" spans="1:1" x14ac:dyDescent="0.3">
      <c r="A1231" s="1">
        <v>714</v>
      </c>
    </row>
    <row r="1232" spans="1:1" x14ac:dyDescent="0.3">
      <c r="A1232" s="1">
        <v>58</v>
      </c>
    </row>
    <row r="1233" spans="1:1" x14ac:dyDescent="0.3">
      <c r="A1233" s="1">
        <v>968</v>
      </c>
    </row>
    <row r="1234" spans="1:1" x14ac:dyDescent="0.3">
      <c r="A1234" s="1">
        <v>893</v>
      </c>
    </row>
    <row r="1235" spans="1:1" x14ac:dyDescent="0.3">
      <c r="A1235" s="1">
        <v>650</v>
      </c>
    </row>
    <row r="1236" spans="1:1" x14ac:dyDescent="0.3">
      <c r="A1236" s="1">
        <v>32</v>
      </c>
    </row>
    <row r="1237" spans="1:1" x14ac:dyDescent="0.3">
      <c r="A1237" s="1">
        <v>449</v>
      </c>
    </row>
    <row r="1238" spans="1:1" x14ac:dyDescent="0.3">
      <c r="A1238" s="1">
        <v>221</v>
      </c>
    </row>
    <row r="1239" spans="1:1" x14ac:dyDescent="0.3">
      <c r="A1239" s="1">
        <v>550</v>
      </c>
    </row>
    <row r="1240" spans="1:1" x14ac:dyDescent="0.3">
      <c r="A1240" s="1">
        <v>38</v>
      </c>
    </row>
    <row r="1241" spans="1:1" x14ac:dyDescent="0.3">
      <c r="A1241" s="1">
        <v>888</v>
      </c>
    </row>
    <row r="1242" spans="1:1" x14ac:dyDescent="0.3">
      <c r="A1242" s="1">
        <v>326</v>
      </c>
    </row>
    <row r="1243" spans="1:1" x14ac:dyDescent="0.3">
      <c r="A1243" s="1">
        <v>149</v>
      </c>
    </row>
    <row r="1244" spans="1:1" x14ac:dyDescent="0.3">
      <c r="A1244" s="1">
        <v>227</v>
      </c>
    </row>
    <row r="1245" spans="1:1" x14ac:dyDescent="0.3">
      <c r="A1245" s="1">
        <v>329</v>
      </c>
    </row>
    <row r="1246" spans="1:1" x14ac:dyDescent="0.3">
      <c r="A1246" s="1">
        <v>651</v>
      </c>
    </row>
    <row r="1247" spans="1:1" x14ac:dyDescent="0.3">
      <c r="A1247" s="1">
        <v>50</v>
      </c>
    </row>
    <row r="1248" spans="1:1" x14ac:dyDescent="0.3">
      <c r="A1248" s="1">
        <v>298</v>
      </c>
    </row>
    <row r="1249" spans="1:1" x14ac:dyDescent="0.3">
      <c r="A1249" s="1">
        <v>122</v>
      </c>
    </row>
    <row r="1250" spans="1:1" x14ac:dyDescent="0.3">
      <c r="A1250" s="1">
        <v>685</v>
      </c>
    </row>
    <row r="1251" spans="1:1" x14ac:dyDescent="0.3">
      <c r="A1251" s="1">
        <v>541</v>
      </c>
    </row>
    <row r="1252" spans="1:1" x14ac:dyDescent="0.3">
      <c r="A1252" s="1">
        <v>713</v>
      </c>
    </row>
    <row r="1253" spans="1:1" x14ac:dyDescent="0.3">
      <c r="A1253" s="1">
        <v>658</v>
      </c>
    </row>
    <row r="1254" spans="1:1" x14ac:dyDescent="0.3">
      <c r="A1254" s="1">
        <v>884</v>
      </c>
    </row>
    <row r="1255" spans="1:1" x14ac:dyDescent="0.3">
      <c r="A1255" s="1">
        <v>820</v>
      </c>
    </row>
    <row r="1256" spans="1:1" x14ac:dyDescent="0.3">
      <c r="A1256" s="1">
        <v>790</v>
      </c>
    </row>
    <row r="1257" spans="1:1" x14ac:dyDescent="0.3">
      <c r="A1257" s="1">
        <v>648</v>
      </c>
    </row>
    <row r="1258" spans="1:1" x14ac:dyDescent="0.3">
      <c r="A1258" s="1">
        <v>689</v>
      </c>
    </row>
    <row r="1259" spans="1:1" x14ac:dyDescent="0.3">
      <c r="A1259" s="1">
        <v>566</v>
      </c>
    </row>
    <row r="1260" spans="1:1" x14ac:dyDescent="0.3">
      <c r="A1260" s="1">
        <v>134</v>
      </c>
    </row>
    <row r="1261" spans="1:1" x14ac:dyDescent="0.3">
      <c r="A1261" s="1">
        <v>484</v>
      </c>
    </row>
    <row r="1262" spans="1:1" x14ac:dyDescent="0.3">
      <c r="A1262" s="1">
        <v>408</v>
      </c>
    </row>
    <row r="1263" spans="1:1" x14ac:dyDescent="0.3">
      <c r="A1263" s="1">
        <v>528</v>
      </c>
    </row>
    <row r="1264" spans="1:1" x14ac:dyDescent="0.3">
      <c r="A1264" s="1">
        <v>68</v>
      </c>
    </row>
    <row r="1265" spans="1:1" x14ac:dyDescent="0.3">
      <c r="A1265" s="1">
        <v>11</v>
      </c>
    </row>
    <row r="1266" spans="1:1" x14ac:dyDescent="0.3">
      <c r="A1266" s="1">
        <v>828</v>
      </c>
    </row>
    <row r="1267" spans="1:1" x14ac:dyDescent="0.3">
      <c r="A1267" s="1">
        <v>383</v>
      </c>
    </row>
    <row r="1268" spans="1:1" x14ac:dyDescent="0.3">
      <c r="A1268" s="1">
        <v>773</v>
      </c>
    </row>
    <row r="1269" spans="1:1" x14ac:dyDescent="0.3">
      <c r="A1269" s="1">
        <v>68</v>
      </c>
    </row>
    <row r="1270" spans="1:1" x14ac:dyDescent="0.3">
      <c r="A1270" s="1">
        <v>360</v>
      </c>
    </row>
    <row r="1271" spans="1:1" x14ac:dyDescent="0.3">
      <c r="A1271" s="1">
        <v>21</v>
      </c>
    </row>
    <row r="1272" spans="1:1" x14ac:dyDescent="0.3">
      <c r="A1272" s="1">
        <v>221</v>
      </c>
    </row>
    <row r="1273" spans="1:1" x14ac:dyDescent="0.3">
      <c r="A1273" s="1">
        <v>937</v>
      </c>
    </row>
    <row r="1274" spans="1:1" x14ac:dyDescent="0.3">
      <c r="A1274" s="1">
        <v>514</v>
      </c>
    </row>
    <row r="1275" spans="1:1" x14ac:dyDescent="0.3">
      <c r="A1275" s="1">
        <v>669</v>
      </c>
    </row>
    <row r="1276" spans="1:1" x14ac:dyDescent="0.3">
      <c r="A1276" s="1">
        <v>540</v>
      </c>
    </row>
    <row r="1277" spans="1:1" x14ac:dyDescent="0.3">
      <c r="A1277" s="1">
        <v>922</v>
      </c>
    </row>
    <row r="1278" spans="1:1" x14ac:dyDescent="0.3">
      <c r="A1278" s="1">
        <v>603</v>
      </c>
    </row>
    <row r="1279" spans="1:1" x14ac:dyDescent="0.3">
      <c r="A1279" s="1">
        <v>588</v>
      </c>
    </row>
    <row r="1280" spans="1:1" x14ac:dyDescent="0.3">
      <c r="A1280" s="1">
        <v>792</v>
      </c>
    </row>
    <row r="1281" spans="1:1" x14ac:dyDescent="0.3">
      <c r="A1281" s="1">
        <v>996</v>
      </c>
    </row>
    <row r="1282" spans="1:1" x14ac:dyDescent="0.3">
      <c r="A1282" s="1">
        <v>608</v>
      </c>
    </row>
    <row r="1283" spans="1:1" x14ac:dyDescent="0.3">
      <c r="A1283" s="1">
        <v>996</v>
      </c>
    </row>
    <row r="1284" spans="1:1" x14ac:dyDescent="0.3">
      <c r="A1284" s="1">
        <v>623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FD7F-A720-472A-B732-449C78B546DF}">
  <dimension ref="A1:O1284"/>
  <sheetViews>
    <sheetView workbookViewId="0">
      <selection activeCell="E4" sqref="E4"/>
    </sheetView>
  </sheetViews>
  <sheetFormatPr defaultRowHeight="14.4" x14ac:dyDescent="0.3"/>
  <cols>
    <col min="1" max="1" width="17" style="10" bestFit="1" customWidth="1"/>
    <col min="2" max="2" width="24.109375" style="10" bestFit="1" customWidth="1"/>
    <col min="3" max="3" width="19" style="8" bestFit="1" customWidth="1"/>
    <col min="4" max="4" width="3" bestFit="1" customWidth="1"/>
    <col min="5" max="5" width="41.44140625" bestFit="1" customWidth="1"/>
    <col min="6" max="6" width="19.109375" bestFit="1" customWidth="1"/>
    <col min="7" max="7" width="13.44140625" bestFit="1" customWidth="1"/>
    <col min="8" max="8" width="12" bestFit="1" customWidth="1"/>
  </cols>
  <sheetData>
    <row r="1" spans="1:15" x14ac:dyDescent="0.3">
      <c r="A1" s="10" t="s">
        <v>2261</v>
      </c>
      <c r="B1" s="10" t="s">
        <v>2260</v>
      </c>
      <c r="C1" s="8" t="s">
        <v>2262</v>
      </c>
      <c r="D1" s="4" t="s">
        <v>2263</v>
      </c>
      <c r="E1" t="s">
        <v>2264</v>
      </c>
      <c r="F1" t="s">
        <v>2265</v>
      </c>
      <c r="H1" s="4" t="s">
        <v>2263</v>
      </c>
    </row>
    <row r="2" spans="1:15" x14ac:dyDescent="0.3">
      <c r="A2" s="11">
        <v>29</v>
      </c>
      <c r="B2" s="10">
        <v>44</v>
      </c>
      <c r="C2" s="8">
        <v>26.03448275862069</v>
      </c>
      <c r="E2">
        <f>RSQ(A:A,B:B)</f>
        <v>0.92253881460879206</v>
      </c>
      <c r="F2">
        <f>RSQ(A:A,C:C)</f>
        <v>5.8297252621483532E-2</v>
      </c>
    </row>
    <row r="3" spans="1:15" x14ac:dyDescent="0.3">
      <c r="A3" s="11">
        <v>13</v>
      </c>
      <c r="B3" s="10">
        <v>16</v>
      </c>
      <c r="C3" s="8">
        <v>30</v>
      </c>
    </row>
    <row r="4" spans="1:15" x14ac:dyDescent="0.3">
      <c r="A4" s="11">
        <v>7</v>
      </c>
      <c r="B4" s="10">
        <v>10</v>
      </c>
      <c r="C4" s="8">
        <v>46.142857142857146</v>
      </c>
    </row>
    <row r="5" spans="1:15" x14ac:dyDescent="0.3">
      <c r="A5" s="11">
        <v>10</v>
      </c>
      <c r="B5" s="10">
        <v>15</v>
      </c>
      <c r="C5" s="8">
        <v>34.700000000000003</v>
      </c>
    </row>
    <row r="6" spans="1:15" x14ac:dyDescent="0.3">
      <c r="A6" s="11">
        <v>26</v>
      </c>
      <c r="B6" s="10">
        <v>47</v>
      </c>
      <c r="C6" s="8">
        <v>35.269230769230766</v>
      </c>
    </row>
    <row r="7" spans="1:15" x14ac:dyDescent="0.3">
      <c r="A7" s="11">
        <v>23</v>
      </c>
      <c r="B7" s="10">
        <v>51</v>
      </c>
      <c r="C7" s="8">
        <v>35.826086956521742</v>
      </c>
      <c r="D7" s="4" t="s">
        <v>2263</v>
      </c>
    </row>
    <row r="8" spans="1:15" x14ac:dyDescent="0.3">
      <c r="A8" s="11">
        <v>2</v>
      </c>
      <c r="B8" s="10">
        <v>3</v>
      </c>
      <c r="C8" s="8">
        <v>49</v>
      </c>
      <c r="E8" t="s">
        <v>2289</v>
      </c>
    </row>
    <row r="9" spans="1:15" ht="15" thickBot="1" x14ac:dyDescent="0.35">
      <c r="A9" s="11">
        <v>9</v>
      </c>
      <c r="B9" s="10">
        <v>14</v>
      </c>
      <c r="C9" s="8">
        <v>24.888888888888889</v>
      </c>
    </row>
    <row r="10" spans="1:15" ht="15" thickBot="1" x14ac:dyDescent="0.35">
      <c r="A10" s="11">
        <v>7</v>
      </c>
      <c r="B10" s="10">
        <v>13</v>
      </c>
      <c r="C10" s="8">
        <v>32.714285714285715</v>
      </c>
      <c r="E10" s="15" t="s">
        <v>2267</v>
      </c>
      <c r="F10" s="15"/>
      <c r="G10" t="s">
        <v>2272</v>
      </c>
      <c r="M10" t="s">
        <v>2272</v>
      </c>
    </row>
    <row r="11" spans="1:15" x14ac:dyDescent="0.3">
      <c r="A11" s="11">
        <v>15</v>
      </c>
      <c r="B11" s="10">
        <v>29</v>
      </c>
      <c r="C11" s="8">
        <v>41.266666666666666</v>
      </c>
      <c r="E11" t="s">
        <v>2268</v>
      </c>
      <c r="F11">
        <v>0.96059850554004378</v>
      </c>
      <c r="G11" s="14"/>
      <c r="H11" s="14" t="s">
        <v>2277</v>
      </c>
      <c r="I11" s="14" t="s">
        <v>2278</v>
      </c>
      <c r="J11" s="14" t="s">
        <v>2279</v>
      </c>
      <c r="K11" s="14" t="s">
        <v>2280</v>
      </c>
      <c r="L11" s="14" t="s">
        <v>2281</v>
      </c>
      <c r="M11" s="14"/>
      <c r="N11" s="14" t="s">
        <v>2277</v>
      </c>
      <c r="O11" s="14" t="s">
        <v>2278</v>
      </c>
    </row>
    <row r="12" spans="1:15" x14ac:dyDescent="0.3">
      <c r="A12" s="11">
        <v>6</v>
      </c>
      <c r="B12" s="10">
        <v>11</v>
      </c>
      <c r="C12" s="8">
        <v>45.166666666666664</v>
      </c>
      <c r="E12" t="s">
        <v>2269</v>
      </c>
      <c r="F12">
        <v>0.92274948884576546</v>
      </c>
      <c r="G12" t="s">
        <v>2273</v>
      </c>
      <c r="H12">
        <v>1</v>
      </c>
      <c r="I12">
        <v>92900.279370469449</v>
      </c>
      <c r="J12">
        <v>92900.279370469449</v>
      </c>
      <c r="K12">
        <v>15289.469649778955</v>
      </c>
      <c r="L12">
        <v>0</v>
      </c>
      <c r="M12" t="s">
        <v>2273</v>
      </c>
      <c r="N12">
        <v>16934.362761936402</v>
      </c>
      <c r="O12">
        <v>9173.0817898673704</v>
      </c>
    </row>
    <row r="13" spans="1:15" x14ac:dyDescent="0.3">
      <c r="A13" s="11">
        <v>6</v>
      </c>
      <c r="B13" s="10">
        <v>7</v>
      </c>
      <c r="C13" s="8">
        <v>34.666666666666664</v>
      </c>
      <c r="E13" t="s">
        <v>2270</v>
      </c>
      <c r="F13">
        <v>0.92268913688392618</v>
      </c>
      <c r="G13" t="s">
        <v>2274</v>
      </c>
      <c r="H13">
        <v>1280</v>
      </c>
      <c r="I13">
        <v>7777.402376799907</v>
      </c>
      <c r="J13">
        <v>6.0760956068749277</v>
      </c>
      <c r="M13" t="s">
        <v>2274</v>
      </c>
      <c r="N13">
        <v>1747.2355864091401</v>
      </c>
      <c r="O13">
        <v>1110.27363421257</v>
      </c>
    </row>
    <row r="14" spans="1:15" ht="15" thickBot="1" x14ac:dyDescent="0.35">
      <c r="A14" s="11">
        <v>13</v>
      </c>
      <c r="B14" s="10">
        <v>20</v>
      </c>
      <c r="C14" s="8">
        <v>25.076923076923077</v>
      </c>
      <c r="E14" t="s">
        <v>2259</v>
      </c>
      <c r="F14">
        <v>2.4649737537902765</v>
      </c>
      <c r="G14" s="13" t="s">
        <v>2275</v>
      </c>
      <c r="H14" s="13">
        <v>1281</v>
      </c>
      <c r="I14" s="13">
        <v>100677.68174726935</v>
      </c>
      <c r="J14" s="13"/>
      <c r="K14" s="13"/>
      <c r="L14" s="13"/>
      <c r="M14" s="13" t="s">
        <v>2275</v>
      </c>
      <c r="N14" s="13">
        <v>200074.36349453899</v>
      </c>
      <c r="O14" s="13">
        <v>299471.04524180799</v>
      </c>
    </row>
    <row r="15" spans="1:15" ht="15" thickBot="1" x14ac:dyDescent="0.35">
      <c r="A15" s="11">
        <v>23</v>
      </c>
      <c r="B15" s="10">
        <v>40</v>
      </c>
      <c r="C15" s="8">
        <v>30.391304347826086</v>
      </c>
      <c r="E15" s="13" t="s">
        <v>2271</v>
      </c>
      <c r="F15" s="13">
        <v>1282</v>
      </c>
    </row>
    <row r="16" spans="1:15" x14ac:dyDescent="0.3">
      <c r="A16" s="11">
        <v>4</v>
      </c>
      <c r="B16" s="10">
        <v>6</v>
      </c>
      <c r="C16" s="8">
        <v>35.75</v>
      </c>
    </row>
    <row r="17" spans="1:13" ht="15" thickBot="1" x14ac:dyDescent="0.35">
      <c r="A17" s="11">
        <v>26</v>
      </c>
      <c r="B17" s="10">
        <v>58</v>
      </c>
      <c r="C17" s="8">
        <v>27.846153846153847</v>
      </c>
    </row>
    <row r="18" spans="1:13" x14ac:dyDescent="0.3">
      <c r="A18" s="11">
        <v>15</v>
      </c>
      <c r="B18" s="10">
        <v>31</v>
      </c>
      <c r="C18" s="8">
        <v>28.333333333333332</v>
      </c>
      <c r="E18" s="14"/>
      <c r="F18" s="14" t="s">
        <v>2282</v>
      </c>
      <c r="G18" s="14" t="s">
        <v>2259</v>
      </c>
      <c r="H18" s="14" t="s">
        <v>2283</v>
      </c>
      <c r="I18" s="14" t="s">
        <v>2284</v>
      </c>
      <c r="J18" s="14" t="s">
        <v>2285</v>
      </c>
      <c r="K18" s="14" t="s">
        <v>2286</v>
      </c>
      <c r="L18" s="14" t="s">
        <v>2287</v>
      </c>
      <c r="M18" s="14" t="s">
        <v>2288</v>
      </c>
    </row>
    <row r="19" spans="1:13" x14ac:dyDescent="0.3">
      <c r="A19" s="11">
        <v>8</v>
      </c>
      <c r="B19" s="10">
        <v>15</v>
      </c>
      <c r="C19" s="8">
        <v>36.5</v>
      </c>
      <c r="E19" t="s">
        <v>2276</v>
      </c>
      <c r="F19">
        <v>2.2306859058552284</v>
      </c>
      <c r="G19">
        <v>0.12364124866953882</v>
      </c>
      <c r="H19">
        <v>18.041599626814484</v>
      </c>
      <c r="I19">
        <v>5.2162527360943314E-65</v>
      </c>
      <c r="J19">
        <v>1.988124149421443</v>
      </c>
      <c r="K19">
        <v>2.4732476622890136</v>
      </c>
      <c r="L19">
        <v>1.988124149421443</v>
      </c>
      <c r="M19">
        <v>2.4732476622890136</v>
      </c>
    </row>
    <row r="20" spans="1:13" ht="15" thickBot="1" x14ac:dyDescent="0.35">
      <c r="A20" s="11">
        <v>21</v>
      </c>
      <c r="B20" s="10">
        <v>31</v>
      </c>
      <c r="C20" s="8">
        <v>37.80952380952381</v>
      </c>
      <c r="E20" s="13">
        <v>44</v>
      </c>
      <c r="F20" s="13">
        <v>0.47092246879446931</v>
      </c>
      <c r="G20" s="13">
        <v>3.8084933493706371E-3</v>
      </c>
      <c r="H20" s="13">
        <v>123.65059502395886</v>
      </c>
      <c r="I20" s="13">
        <v>0</v>
      </c>
      <c r="J20" s="13">
        <v>0.4634508940074919</v>
      </c>
      <c r="K20" s="13">
        <v>0.47839404358144672</v>
      </c>
      <c r="L20" s="13">
        <v>0.4634508940074919</v>
      </c>
      <c r="M20" s="13">
        <v>0.47839404358144672</v>
      </c>
    </row>
    <row r="21" spans="1:13" ht="15" thickBot="1" x14ac:dyDescent="0.35">
      <c r="A21" s="11">
        <v>3</v>
      </c>
      <c r="B21" s="10">
        <v>4</v>
      </c>
      <c r="C21" s="8">
        <v>33.333333333333336</v>
      </c>
      <c r="E21" s="13"/>
      <c r="F21" s="13"/>
      <c r="G21" s="13"/>
      <c r="H21" s="13"/>
      <c r="I21" s="13"/>
      <c r="J21" s="13"/>
    </row>
    <row r="22" spans="1:13" x14ac:dyDescent="0.3">
      <c r="A22" s="11">
        <v>9</v>
      </c>
      <c r="B22" s="10">
        <v>14</v>
      </c>
      <c r="C22" s="8">
        <v>28.444444444444443</v>
      </c>
    </row>
    <row r="23" spans="1:13" x14ac:dyDescent="0.3">
      <c r="A23" s="11">
        <v>25</v>
      </c>
      <c r="B23" s="10">
        <v>49</v>
      </c>
      <c r="C23" s="8">
        <v>30.4</v>
      </c>
    </row>
    <row r="24" spans="1:13" x14ac:dyDescent="0.3">
      <c r="A24" s="11">
        <v>24</v>
      </c>
      <c r="B24" s="10">
        <v>44</v>
      </c>
      <c r="C24" s="8">
        <v>35.25</v>
      </c>
    </row>
    <row r="25" spans="1:13" x14ac:dyDescent="0.3">
      <c r="A25" s="11">
        <v>13</v>
      </c>
      <c r="B25" s="10">
        <v>23</v>
      </c>
      <c r="C25" s="8">
        <v>27.615384615384617</v>
      </c>
    </row>
    <row r="26" spans="1:13" x14ac:dyDescent="0.3">
      <c r="A26" s="11">
        <v>16</v>
      </c>
      <c r="B26" s="10">
        <v>32</v>
      </c>
      <c r="C26" s="8">
        <v>44.25</v>
      </c>
    </row>
    <row r="27" spans="1:13" x14ac:dyDescent="0.3">
      <c r="A27" s="11">
        <v>17</v>
      </c>
      <c r="B27" s="10">
        <v>21</v>
      </c>
      <c r="C27" s="8">
        <v>27.823529411764707</v>
      </c>
    </row>
    <row r="28" spans="1:13" x14ac:dyDescent="0.3">
      <c r="A28" s="11">
        <v>1</v>
      </c>
      <c r="B28" s="10">
        <v>1</v>
      </c>
      <c r="C28" s="8">
        <v>29</v>
      </c>
    </row>
    <row r="29" spans="1:13" x14ac:dyDescent="0.3">
      <c r="A29" s="11">
        <v>14</v>
      </c>
      <c r="B29" s="10">
        <v>27</v>
      </c>
      <c r="C29" s="8">
        <v>36.428571428571431</v>
      </c>
    </row>
    <row r="30" spans="1:13" x14ac:dyDescent="0.3">
      <c r="A30" s="11">
        <v>1</v>
      </c>
      <c r="B30" s="10">
        <v>1</v>
      </c>
      <c r="C30" s="8">
        <v>54</v>
      </c>
    </row>
    <row r="31" spans="1:13" x14ac:dyDescent="0.3">
      <c r="A31" s="11">
        <v>32</v>
      </c>
      <c r="B31" s="10">
        <v>70</v>
      </c>
      <c r="C31" s="8">
        <v>31.0625</v>
      </c>
    </row>
    <row r="32" spans="1:13" x14ac:dyDescent="0.3">
      <c r="A32" s="11">
        <v>15</v>
      </c>
      <c r="B32" s="10">
        <v>32</v>
      </c>
      <c r="C32" s="8">
        <v>36.866666666666667</v>
      </c>
    </row>
    <row r="33" spans="1:3" x14ac:dyDescent="0.3">
      <c r="A33" s="11">
        <v>24</v>
      </c>
      <c r="B33" s="10">
        <v>50</v>
      </c>
      <c r="C33" s="8">
        <v>31.291666666666668</v>
      </c>
    </row>
    <row r="34" spans="1:3" x14ac:dyDescent="0.3">
      <c r="A34" s="11">
        <v>21</v>
      </c>
      <c r="B34" s="10">
        <v>32</v>
      </c>
      <c r="C34" s="8">
        <v>36.476190476190474</v>
      </c>
    </row>
    <row r="35" spans="1:3" x14ac:dyDescent="0.3">
      <c r="A35" s="11">
        <v>25</v>
      </c>
      <c r="B35" s="10">
        <v>52</v>
      </c>
      <c r="C35" s="8">
        <v>26.76</v>
      </c>
    </row>
    <row r="36" spans="1:3" x14ac:dyDescent="0.3">
      <c r="A36" s="11">
        <v>21</v>
      </c>
      <c r="B36" s="10">
        <v>40</v>
      </c>
      <c r="C36" s="8">
        <v>33.61904761904762</v>
      </c>
    </row>
    <row r="37" spans="1:3" x14ac:dyDescent="0.3">
      <c r="A37" s="11">
        <v>5</v>
      </c>
      <c r="B37" s="10">
        <v>8</v>
      </c>
      <c r="C37" s="8">
        <v>44.8</v>
      </c>
    </row>
    <row r="38" spans="1:3" x14ac:dyDescent="0.3">
      <c r="A38" s="11">
        <v>21</v>
      </c>
      <c r="B38" s="10">
        <v>41</v>
      </c>
      <c r="C38" s="8">
        <v>42.666666666666664</v>
      </c>
    </row>
    <row r="39" spans="1:3" x14ac:dyDescent="0.3">
      <c r="A39" s="11">
        <v>2</v>
      </c>
      <c r="B39" s="10">
        <v>4</v>
      </c>
      <c r="C39" s="8">
        <v>39.5</v>
      </c>
    </row>
    <row r="40" spans="1:3" x14ac:dyDescent="0.3">
      <c r="A40" s="11">
        <v>3</v>
      </c>
      <c r="B40" s="10">
        <v>4</v>
      </c>
      <c r="C40" s="8">
        <v>30.333333333333332</v>
      </c>
    </row>
    <row r="41" spans="1:3" x14ac:dyDescent="0.3">
      <c r="A41" s="11">
        <v>19</v>
      </c>
      <c r="B41" s="10">
        <v>41</v>
      </c>
      <c r="C41" s="8">
        <v>32.684210526315788</v>
      </c>
    </row>
    <row r="42" spans="1:3" x14ac:dyDescent="0.3">
      <c r="A42" s="11">
        <v>9</v>
      </c>
      <c r="B42" s="10">
        <v>17</v>
      </c>
      <c r="C42" s="8">
        <v>29.555555555555557</v>
      </c>
    </row>
    <row r="43" spans="1:3" x14ac:dyDescent="0.3">
      <c r="A43" s="11">
        <v>30</v>
      </c>
      <c r="B43" s="10">
        <v>55</v>
      </c>
      <c r="C43" s="8">
        <v>26.1</v>
      </c>
    </row>
    <row r="44" spans="1:3" x14ac:dyDescent="0.3">
      <c r="A44" s="11">
        <v>21</v>
      </c>
      <c r="B44" s="10">
        <v>38</v>
      </c>
      <c r="C44" s="8">
        <v>40.142857142857146</v>
      </c>
    </row>
    <row r="45" spans="1:3" x14ac:dyDescent="0.3">
      <c r="A45" s="11">
        <v>11</v>
      </c>
      <c r="B45" s="10">
        <v>17</v>
      </c>
      <c r="C45" s="8">
        <v>36</v>
      </c>
    </row>
    <row r="46" spans="1:3" x14ac:dyDescent="0.3">
      <c r="A46" s="11">
        <v>15</v>
      </c>
      <c r="B46" s="10">
        <v>26</v>
      </c>
      <c r="C46" s="8">
        <v>42.466666666666669</v>
      </c>
    </row>
    <row r="47" spans="1:3" x14ac:dyDescent="0.3">
      <c r="A47" s="11">
        <v>16</v>
      </c>
      <c r="B47" s="10">
        <v>22</v>
      </c>
      <c r="C47" s="8">
        <v>38.875</v>
      </c>
    </row>
    <row r="48" spans="1:3" x14ac:dyDescent="0.3">
      <c r="A48" s="11">
        <v>13</v>
      </c>
      <c r="B48" s="10">
        <v>28</v>
      </c>
      <c r="C48" s="8">
        <v>35.846153846153847</v>
      </c>
    </row>
    <row r="49" spans="1:3" x14ac:dyDescent="0.3">
      <c r="A49" s="11">
        <v>1</v>
      </c>
      <c r="B49" s="10">
        <v>2</v>
      </c>
      <c r="C49" s="8">
        <v>15</v>
      </c>
    </row>
    <row r="50" spans="1:3" x14ac:dyDescent="0.3">
      <c r="A50" s="11">
        <v>15</v>
      </c>
      <c r="B50" s="10">
        <v>18</v>
      </c>
      <c r="C50" s="8">
        <v>38.266666666666666</v>
      </c>
    </row>
    <row r="51" spans="1:3" x14ac:dyDescent="0.3">
      <c r="A51" s="11">
        <v>24</v>
      </c>
      <c r="B51" s="10">
        <v>51</v>
      </c>
      <c r="C51" s="8">
        <v>32.416666666666664</v>
      </c>
    </row>
    <row r="52" spans="1:3" x14ac:dyDescent="0.3">
      <c r="A52" s="11">
        <v>25</v>
      </c>
      <c r="B52" s="10">
        <v>56</v>
      </c>
      <c r="C52" s="8">
        <v>38.119999999999997</v>
      </c>
    </row>
    <row r="53" spans="1:3" x14ac:dyDescent="0.3">
      <c r="A53" s="11">
        <v>13</v>
      </c>
      <c r="B53" s="10">
        <v>18</v>
      </c>
      <c r="C53" s="8">
        <v>39.307692307692307</v>
      </c>
    </row>
    <row r="54" spans="1:3" x14ac:dyDescent="0.3">
      <c r="A54" s="11">
        <v>14</v>
      </c>
      <c r="B54" s="10">
        <v>26</v>
      </c>
      <c r="C54" s="8">
        <v>42.214285714285715</v>
      </c>
    </row>
    <row r="55" spans="1:3" x14ac:dyDescent="0.3">
      <c r="A55" s="11">
        <v>8</v>
      </c>
      <c r="B55" s="10">
        <v>13</v>
      </c>
      <c r="C55" s="8">
        <v>39.25</v>
      </c>
    </row>
    <row r="56" spans="1:3" x14ac:dyDescent="0.3">
      <c r="A56" s="11">
        <v>19</v>
      </c>
      <c r="B56" s="10">
        <v>30</v>
      </c>
      <c r="C56" s="8">
        <v>30.263157894736842</v>
      </c>
    </row>
    <row r="57" spans="1:3" x14ac:dyDescent="0.3">
      <c r="A57" s="11">
        <v>2</v>
      </c>
      <c r="B57" s="10">
        <v>3</v>
      </c>
      <c r="C57" s="8">
        <v>38.5</v>
      </c>
    </row>
    <row r="58" spans="1:3" x14ac:dyDescent="0.3">
      <c r="A58" s="11">
        <v>28</v>
      </c>
      <c r="B58" s="10">
        <v>46</v>
      </c>
      <c r="C58" s="8">
        <v>28.75</v>
      </c>
    </row>
    <row r="59" spans="1:3" x14ac:dyDescent="0.3">
      <c r="A59" s="11">
        <v>6</v>
      </c>
      <c r="B59" s="10">
        <v>8</v>
      </c>
      <c r="C59" s="8">
        <v>34.5</v>
      </c>
    </row>
    <row r="60" spans="1:3" x14ac:dyDescent="0.3">
      <c r="A60" s="11">
        <v>16</v>
      </c>
      <c r="B60" s="10">
        <v>25</v>
      </c>
      <c r="C60" s="8">
        <v>43.3125</v>
      </c>
    </row>
    <row r="61" spans="1:3" x14ac:dyDescent="0.3">
      <c r="A61" s="11">
        <v>17</v>
      </c>
      <c r="B61" s="10">
        <v>30</v>
      </c>
      <c r="C61" s="8">
        <v>34.764705882352942</v>
      </c>
    </row>
    <row r="62" spans="1:3" x14ac:dyDescent="0.3">
      <c r="A62" s="11">
        <v>19</v>
      </c>
      <c r="B62" s="10">
        <v>32</v>
      </c>
      <c r="C62" s="8">
        <v>33.736842105263158</v>
      </c>
    </row>
    <row r="63" spans="1:3" x14ac:dyDescent="0.3">
      <c r="A63" s="11">
        <v>9</v>
      </c>
      <c r="B63" s="10">
        <v>16</v>
      </c>
      <c r="C63" s="8">
        <v>36.444444444444443</v>
      </c>
    </row>
    <row r="64" spans="1:3" x14ac:dyDescent="0.3">
      <c r="A64" s="11">
        <v>10</v>
      </c>
      <c r="B64" s="10">
        <v>19</v>
      </c>
      <c r="C64" s="8">
        <v>40.200000000000003</v>
      </c>
    </row>
    <row r="65" spans="1:3" x14ac:dyDescent="0.3">
      <c r="A65" s="11">
        <v>9</v>
      </c>
      <c r="B65" s="10">
        <v>15</v>
      </c>
      <c r="C65" s="8">
        <v>42.333333333333336</v>
      </c>
    </row>
    <row r="66" spans="1:3" x14ac:dyDescent="0.3">
      <c r="A66" s="11">
        <v>2</v>
      </c>
      <c r="B66" s="10">
        <v>2</v>
      </c>
      <c r="C66" s="8">
        <v>33.5</v>
      </c>
    </row>
    <row r="67" spans="1:3" x14ac:dyDescent="0.3">
      <c r="A67" s="11">
        <v>23</v>
      </c>
      <c r="B67" s="10">
        <v>44</v>
      </c>
      <c r="C67" s="8">
        <v>28.173913043478262</v>
      </c>
    </row>
    <row r="68" spans="1:3" x14ac:dyDescent="0.3">
      <c r="A68" s="11">
        <v>7</v>
      </c>
      <c r="B68" s="10">
        <v>15</v>
      </c>
      <c r="C68" s="8">
        <v>41.428571428571431</v>
      </c>
    </row>
    <row r="69" spans="1:3" x14ac:dyDescent="0.3">
      <c r="A69" s="11">
        <v>11</v>
      </c>
      <c r="B69" s="10">
        <v>16</v>
      </c>
      <c r="C69" s="8">
        <v>26.181818181818183</v>
      </c>
    </row>
    <row r="70" spans="1:3" x14ac:dyDescent="0.3">
      <c r="A70" s="11">
        <v>23</v>
      </c>
      <c r="B70" s="10">
        <v>41</v>
      </c>
      <c r="C70" s="8">
        <v>38.652173913043477</v>
      </c>
    </row>
    <row r="71" spans="1:3" x14ac:dyDescent="0.3">
      <c r="A71" s="11">
        <v>20</v>
      </c>
      <c r="B71" s="10">
        <v>30</v>
      </c>
      <c r="C71" s="8">
        <v>27</v>
      </c>
    </row>
    <row r="72" spans="1:3" x14ac:dyDescent="0.3">
      <c r="A72" s="11">
        <v>7</v>
      </c>
      <c r="B72" s="10">
        <v>11</v>
      </c>
      <c r="C72" s="8">
        <v>44.428571428571431</v>
      </c>
    </row>
    <row r="73" spans="1:3" x14ac:dyDescent="0.3">
      <c r="A73" s="11">
        <v>32</v>
      </c>
      <c r="B73" s="10">
        <v>65</v>
      </c>
      <c r="C73" s="8">
        <v>30</v>
      </c>
    </row>
    <row r="74" spans="1:3" x14ac:dyDescent="0.3">
      <c r="A74" s="11">
        <v>16</v>
      </c>
      <c r="B74" s="10">
        <v>25</v>
      </c>
      <c r="C74" s="8">
        <v>26.5625</v>
      </c>
    </row>
    <row r="75" spans="1:3" x14ac:dyDescent="0.3">
      <c r="A75" s="11">
        <v>25</v>
      </c>
      <c r="B75" s="10">
        <v>42</v>
      </c>
      <c r="C75" s="8">
        <v>39.92</v>
      </c>
    </row>
    <row r="76" spans="1:3" x14ac:dyDescent="0.3">
      <c r="A76" s="11">
        <v>18</v>
      </c>
      <c r="B76" s="10">
        <v>23</v>
      </c>
      <c r="C76" s="8">
        <v>26.5</v>
      </c>
    </row>
    <row r="77" spans="1:3" x14ac:dyDescent="0.3">
      <c r="A77" s="11">
        <v>3</v>
      </c>
      <c r="B77" s="10">
        <v>4</v>
      </c>
      <c r="C77" s="8">
        <v>42.333333333333336</v>
      </c>
    </row>
    <row r="78" spans="1:3" x14ac:dyDescent="0.3">
      <c r="A78" s="11">
        <v>3</v>
      </c>
      <c r="B78" s="10">
        <v>5</v>
      </c>
      <c r="C78" s="8">
        <v>34.666666666666664</v>
      </c>
    </row>
    <row r="79" spans="1:3" x14ac:dyDescent="0.3">
      <c r="A79" s="11">
        <v>1</v>
      </c>
      <c r="B79" s="10">
        <v>1</v>
      </c>
      <c r="C79" s="8">
        <v>43</v>
      </c>
    </row>
    <row r="80" spans="1:3" x14ac:dyDescent="0.3">
      <c r="A80" s="11">
        <v>16</v>
      </c>
      <c r="B80" s="10">
        <v>19</v>
      </c>
      <c r="C80" s="8">
        <v>43.625</v>
      </c>
    </row>
    <row r="81" spans="1:3" x14ac:dyDescent="0.3">
      <c r="A81" s="11">
        <v>10</v>
      </c>
      <c r="B81" s="10">
        <v>17</v>
      </c>
      <c r="C81" s="8">
        <v>29.2</v>
      </c>
    </row>
    <row r="82" spans="1:3" x14ac:dyDescent="0.3">
      <c r="A82" s="11">
        <v>16</v>
      </c>
      <c r="B82" s="10">
        <v>28</v>
      </c>
      <c r="C82" s="8">
        <v>39.0625</v>
      </c>
    </row>
    <row r="83" spans="1:3" x14ac:dyDescent="0.3">
      <c r="A83" s="11">
        <v>16</v>
      </c>
      <c r="B83" s="10">
        <v>25</v>
      </c>
      <c r="C83" s="8">
        <v>34.875</v>
      </c>
    </row>
    <row r="84" spans="1:3" x14ac:dyDescent="0.3">
      <c r="A84" s="11">
        <v>22</v>
      </c>
      <c r="B84" s="10">
        <v>39</v>
      </c>
      <c r="C84" s="8">
        <v>34.727272727272727</v>
      </c>
    </row>
    <row r="85" spans="1:3" x14ac:dyDescent="0.3">
      <c r="A85" s="11">
        <v>2</v>
      </c>
      <c r="B85" s="10">
        <v>2</v>
      </c>
      <c r="C85" s="8">
        <v>25</v>
      </c>
    </row>
    <row r="86" spans="1:3" x14ac:dyDescent="0.3">
      <c r="A86" s="11">
        <v>36</v>
      </c>
      <c r="B86" s="10">
        <v>86</v>
      </c>
      <c r="C86" s="8">
        <v>25.861111111111111</v>
      </c>
    </row>
    <row r="87" spans="1:3" x14ac:dyDescent="0.3">
      <c r="A87" s="11">
        <v>11</v>
      </c>
      <c r="B87" s="10">
        <v>24</v>
      </c>
      <c r="C87" s="8">
        <v>34.545454545454547</v>
      </c>
    </row>
    <row r="88" spans="1:3" x14ac:dyDescent="0.3">
      <c r="A88" s="11">
        <v>36</v>
      </c>
      <c r="B88" s="10">
        <v>57</v>
      </c>
      <c r="C88" s="8">
        <v>27.638888888888889</v>
      </c>
    </row>
    <row r="89" spans="1:3" x14ac:dyDescent="0.3">
      <c r="A89" s="11">
        <v>26</v>
      </c>
      <c r="B89" s="10">
        <v>43</v>
      </c>
      <c r="C89" s="8">
        <v>34.115384615384613</v>
      </c>
    </row>
    <row r="90" spans="1:3" x14ac:dyDescent="0.3">
      <c r="A90" s="11">
        <v>14</v>
      </c>
      <c r="B90" s="10">
        <v>29</v>
      </c>
      <c r="C90" s="8">
        <v>40.357142857142854</v>
      </c>
    </row>
    <row r="91" spans="1:3" x14ac:dyDescent="0.3">
      <c r="A91" s="11">
        <v>9</v>
      </c>
      <c r="B91" s="10">
        <v>18</v>
      </c>
      <c r="C91" s="8">
        <v>44</v>
      </c>
    </row>
    <row r="92" spans="1:3" x14ac:dyDescent="0.3">
      <c r="A92" s="11">
        <v>11</v>
      </c>
      <c r="B92" s="10">
        <v>17</v>
      </c>
      <c r="C92" s="8">
        <v>41.636363636363633</v>
      </c>
    </row>
    <row r="93" spans="1:3" x14ac:dyDescent="0.3">
      <c r="A93" s="11">
        <v>21</v>
      </c>
      <c r="B93" s="10">
        <v>34</v>
      </c>
      <c r="C93" s="8">
        <v>28.80952380952381</v>
      </c>
    </row>
    <row r="94" spans="1:3" x14ac:dyDescent="0.3">
      <c r="A94" s="11">
        <v>20</v>
      </c>
      <c r="B94" s="10">
        <v>34</v>
      </c>
      <c r="C94" s="8">
        <v>28.4</v>
      </c>
    </row>
    <row r="95" spans="1:3" x14ac:dyDescent="0.3">
      <c r="A95" s="11">
        <v>17</v>
      </c>
      <c r="B95" s="10">
        <v>28</v>
      </c>
      <c r="C95" s="8">
        <v>25.470588235294116</v>
      </c>
    </row>
    <row r="96" spans="1:3" x14ac:dyDescent="0.3">
      <c r="A96" s="11">
        <v>26</v>
      </c>
      <c r="B96" s="10">
        <v>51</v>
      </c>
      <c r="C96" s="8">
        <v>29.5</v>
      </c>
    </row>
    <row r="97" spans="1:3" x14ac:dyDescent="0.3">
      <c r="A97" s="11">
        <v>11</v>
      </c>
      <c r="B97" s="10">
        <v>22</v>
      </c>
      <c r="C97" s="8">
        <v>41.454545454545453</v>
      </c>
    </row>
    <row r="98" spans="1:3" x14ac:dyDescent="0.3">
      <c r="A98" s="11">
        <v>6</v>
      </c>
      <c r="B98" s="10">
        <v>11</v>
      </c>
      <c r="C98" s="8">
        <v>46.666666666666664</v>
      </c>
    </row>
    <row r="99" spans="1:3" x14ac:dyDescent="0.3">
      <c r="A99" s="11">
        <v>17</v>
      </c>
      <c r="B99" s="10">
        <v>27</v>
      </c>
      <c r="C99" s="8">
        <v>26</v>
      </c>
    </row>
    <row r="100" spans="1:3" x14ac:dyDescent="0.3">
      <c r="A100" s="11">
        <v>18</v>
      </c>
      <c r="B100" s="10">
        <v>27</v>
      </c>
      <c r="C100" s="8">
        <v>38.944444444444443</v>
      </c>
    </row>
    <row r="101" spans="1:3" x14ac:dyDescent="0.3">
      <c r="A101" s="11">
        <v>9</v>
      </c>
      <c r="B101" s="10">
        <v>12</v>
      </c>
      <c r="C101" s="8">
        <v>43.111111111111114</v>
      </c>
    </row>
    <row r="102" spans="1:3" x14ac:dyDescent="0.3">
      <c r="A102" s="11">
        <v>2</v>
      </c>
      <c r="B102" s="10">
        <v>3</v>
      </c>
      <c r="C102" s="8">
        <v>45.5</v>
      </c>
    </row>
    <row r="103" spans="1:3" x14ac:dyDescent="0.3">
      <c r="A103" s="11">
        <v>11</v>
      </c>
      <c r="B103" s="10">
        <v>24</v>
      </c>
      <c r="C103" s="8">
        <v>41.090909090909093</v>
      </c>
    </row>
    <row r="104" spans="1:3" x14ac:dyDescent="0.3">
      <c r="A104" s="11">
        <v>19</v>
      </c>
      <c r="B104" s="10">
        <v>31</v>
      </c>
      <c r="C104" s="8">
        <v>37.842105263157897</v>
      </c>
    </row>
    <row r="105" spans="1:3" x14ac:dyDescent="0.3">
      <c r="A105" s="11">
        <v>4</v>
      </c>
      <c r="B105" s="10">
        <v>5</v>
      </c>
      <c r="C105" s="8">
        <v>27.5</v>
      </c>
    </row>
    <row r="106" spans="1:3" x14ac:dyDescent="0.3">
      <c r="A106" s="11">
        <v>17</v>
      </c>
      <c r="B106" s="10">
        <v>27</v>
      </c>
      <c r="C106" s="8">
        <v>36.529411764705884</v>
      </c>
    </row>
    <row r="107" spans="1:3" x14ac:dyDescent="0.3">
      <c r="A107" s="11">
        <v>16</v>
      </c>
      <c r="B107" s="10">
        <v>32</v>
      </c>
      <c r="C107" s="8">
        <v>31.9375</v>
      </c>
    </row>
    <row r="108" spans="1:3" x14ac:dyDescent="0.3">
      <c r="A108" s="11">
        <v>17</v>
      </c>
      <c r="B108" s="10">
        <v>34</v>
      </c>
      <c r="C108" s="8">
        <v>25.705882352941178</v>
      </c>
    </row>
    <row r="109" spans="1:3" x14ac:dyDescent="0.3">
      <c r="A109" s="11">
        <v>10</v>
      </c>
      <c r="B109" s="10">
        <v>18</v>
      </c>
      <c r="C109" s="8">
        <v>32.4</v>
      </c>
    </row>
    <row r="110" spans="1:3" x14ac:dyDescent="0.3">
      <c r="A110" s="11">
        <v>10</v>
      </c>
      <c r="B110" s="10">
        <v>16</v>
      </c>
      <c r="C110" s="8">
        <v>34.4</v>
      </c>
    </row>
    <row r="111" spans="1:3" x14ac:dyDescent="0.3">
      <c r="A111" s="11">
        <v>20</v>
      </c>
      <c r="B111" s="10">
        <v>45</v>
      </c>
      <c r="C111" s="8">
        <v>35.6</v>
      </c>
    </row>
    <row r="112" spans="1:3" x14ac:dyDescent="0.3">
      <c r="A112" s="11">
        <v>35</v>
      </c>
      <c r="B112" s="10">
        <v>59</v>
      </c>
      <c r="C112" s="8">
        <v>26.171428571428571</v>
      </c>
    </row>
    <row r="113" spans="1:3" x14ac:dyDescent="0.3">
      <c r="A113" s="11">
        <v>18</v>
      </c>
      <c r="B113" s="10">
        <v>39</v>
      </c>
      <c r="C113" s="8">
        <v>42.055555555555557</v>
      </c>
    </row>
    <row r="114" spans="1:3" x14ac:dyDescent="0.3">
      <c r="A114" s="11">
        <v>23</v>
      </c>
      <c r="B114" s="10">
        <v>55</v>
      </c>
      <c r="C114" s="8">
        <v>27.478260869565219</v>
      </c>
    </row>
    <row r="115" spans="1:3" x14ac:dyDescent="0.3">
      <c r="A115" s="11">
        <v>18</v>
      </c>
      <c r="B115" s="10">
        <v>27</v>
      </c>
      <c r="C115" s="8">
        <v>45.833333333333336</v>
      </c>
    </row>
    <row r="116" spans="1:3" x14ac:dyDescent="0.3">
      <c r="A116" s="11">
        <v>30</v>
      </c>
      <c r="B116" s="10">
        <v>49</v>
      </c>
      <c r="C116" s="8">
        <v>27.333333333333332</v>
      </c>
    </row>
    <row r="117" spans="1:3" x14ac:dyDescent="0.3">
      <c r="A117" s="11">
        <v>17</v>
      </c>
      <c r="B117" s="10">
        <v>28</v>
      </c>
      <c r="C117" s="8">
        <v>26.529411764705884</v>
      </c>
    </row>
    <row r="118" spans="1:3" x14ac:dyDescent="0.3">
      <c r="A118" s="11">
        <v>3</v>
      </c>
      <c r="B118" s="10">
        <v>5</v>
      </c>
      <c r="C118" s="8">
        <v>46.666666666666664</v>
      </c>
    </row>
    <row r="119" spans="1:3" x14ac:dyDescent="0.3">
      <c r="A119" s="11">
        <v>26</v>
      </c>
      <c r="B119" s="10">
        <v>46</v>
      </c>
      <c r="C119" s="8">
        <v>27.884615384615383</v>
      </c>
    </row>
    <row r="120" spans="1:3" x14ac:dyDescent="0.3">
      <c r="A120" s="11">
        <v>22</v>
      </c>
      <c r="B120" s="10">
        <v>50</v>
      </c>
      <c r="C120" s="8">
        <v>43.272727272727273</v>
      </c>
    </row>
    <row r="121" spans="1:3" x14ac:dyDescent="0.3">
      <c r="A121" s="11">
        <v>27</v>
      </c>
      <c r="B121" s="10">
        <v>55</v>
      </c>
      <c r="C121" s="8">
        <v>24.62962962962963</v>
      </c>
    </row>
    <row r="122" spans="1:3" x14ac:dyDescent="0.3">
      <c r="A122" s="11">
        <v>3</v>
      </c>
      <c r="B122" s="10">
        <v>4</v>
      </c>
      <c r="C122" s="8">
        <v>23.666666666666668</v>
      </c>
    </row>
    <row r="123" spans="1:3" x14ac:dyDescent="0.3">
      <c r="A123" s="11">
        <v>19</v>
      </c>
      <c r="B123" s="10">
        <v>38</v>
      </c>
      <c r="C123" s="8">
        <v>36.05263157894737</v>
      </c>
    </row>
    <row r="124" spans="1:3" x14ac:dyDescent="0.3">
      <c r="A124" s="11">
        <v>13</v>
      </c>
      <c r="B124" s="10">
        <v>23</v>
      </c>
      <c r="C124" s="8">
        <v>35.615384615384613</v>
      </c>
    </row>
    <row r="125" spans="1:3" x14ac:dyDescent="0.3">
      <c r="A125" s="11">
        <v>9</v>
      </c>
      <c r="B125" s="10">
        <v>13</v>
      </c>
      <c r="C125" s="8">
        <v>43.777777777777779</v>
      </c>
    </row>
    <row r="126" spans="1:3" x14ac:dyDescent="0.3">
      <c r="A126" s="11">
        <v>7</v>
      </c>
      <c r="B126" s="10">
        <v>13</v>
      </c>
      <c r="C126" s="8">
        <v>46</v>
      </c>
    </row>
    <row r="127" spans="1:3" x14ac:dyDescent="0.3">
      <c r="A127" s="11">
        <v>3</v>
      </c>
      <c r="B127" s="10">
        <v>3</v>
      </c>
      <c r="C127" s="8">
        <v>38</v>
      </c>
    </row>
    <row r="128" spans="1:3" x14ac:dyDescent="0.3">
      <c r="A128" s="11">
        <v>17</v>
      </c>
      <c r="B128" s="10">
        <v>21</v>
      </c>
      <c r="C128" s="8">
        <v>38.529411764705884</v>
      </c>
    </row>
    <row r="129" spans="1:3" x14ac:dyDescent="0.3">
      <c r="A129" s="11">
        <v>13</v>
      </c>
      <c r="B129" s="10">
        <v>22</v>
      </c>
      <c r="C129" s="8">
        <v>42.307692307692307</v>
      </c>
    </row>
    <row r="130" spans="1:3" x14ac:dyDescent="0.3">
      <c r="A130" s="11">
        <v>22</v>
      </c>
      <c r="B130" s="10">
        <v>46</v>
      </c>
      <c r="C130" s="8">
        <v>29.363636363636363</v>
      </c>
    </row>
    <row r="131" spans="1:3" x14ac:dyDescent="0.3">
      <c r="A131" s="11">
        <v>13</v>
      </c>
      <c r="B131" s="10">
        <v>21</v>
      </c>
      <c r="C131" s="8">
        <v>26.53846153846154</v>
      </c>
    </row>
    <row r="132" spans="1:3" x14ac:dyDescent="0.3">
      <c r="A132" s="11">
        <v>31</v>
      </c>
      <c r="B132" s="10">
        <v>52</v>
      </c>
      <c r="C132" s="8">
        <v>31.258064516129032</v>
      </c>
    </row>
    <row r="133" spans="1:3" x14ac:dyDescent="0.3">
      <c r="A133" s="11">
        <v>21</v>
      </c>
      <c r="B133" s="10">
        <v>40</v>
      </c>
      <c r="C133" s="8">
        <v>30.428571428571427</v>
      </c>
    </row>
    <row r="134" spans="1:3" x14ac:dyDescent="0.3">
      <c r="A134" s="11">
        <v>15</v>
      </c>
      <c r="B134" s="10">
        <v>23</v>
      </c>
      <c r="C134" s="8">
        <v>33.666666666666664</v>
      </c>
    </row>
    <row r="135" spans="1:3" x14ac:dyDescent="0.3">
      <c r="A135" s="11">
        <v>6</v>
      </c>
      <c r="B135" s="10">
        <v>8</v>
      </c>
      <c r="C135" s="8">
        <v>30</v>
      </c>
    </row>
    <row r="136" spans="1:3" x14ac:dyDescent="0.3">
      <c r="A136" s="11">
        <v>8</v>
      </c>
      <c r="B136" s="10">
        <v>12</v>
      </c>
      <c r="C136" s="8">
        <v>27.125</v>
      </c>
    </row>
    <row r="137" spans="1:3" x14ac:dyDescent="0.3">
      <c r="A137" s="11">
        <v>30</v>
      </c>
      <c r="B137" s="10">
        <v>58</v>
      </c>
      <c r="C137" s="8">
        <v>30.866666666666667</v>
      </c>
    </row>
    <row r="138" spans="1:3" x14ac:dyDescent="0.3">
      <c r="A138" s="11">
        <v>20</v>
      </c>
      <c r="B138" s="10">
        <v>39</v>
      </c>
      <c r="C138" s="8">
        <v>40</v>
      </c>
    </row>
    <row r="139" spans="1:3" x14ac:dyDescent="0.3">
      <c r="A139" s="11">
        <v>1</v>
      </c>
      <c r="B139" s="10">
        <v>1</v>
      </c>
      <c r="C139" s="8">
        <v>33</v>
      </c>
    </row>
    <row r="140" spans="1:3" x14ac:dyDescent="0.3">
      <c r="A140" s="11">
        <v>3</v>
      </c>
      <c r="B140" s="10">
        <v>3</v>
      </c>
      <c r="C140" s="8">
        <v>31</v>
      </c>
    </row>
    <row r="141" spans="1:3" x14ac:dyDescent="0.3">
      <c r="A141" s="11">
        <v>14</v>
      </c>
      <c r="B141" s="10">
        <v>28</v>
      </c>
      <c r="C141" s="8">
        <v>42.714285714285715</v>
      </c>
    </row>
    <row r="142" spans="1:3" x14ac:dyDescent="0.3">
      <c r="A142" s="11">
        <v>30</v>
      </c>
      <c r="B142" s="10">
        <v>53</v>
      </c>
      <c r="C142" s="8">
        <v>32.200000000000003</v>
      </c>
    </row>
    <row r="143" spans="1:3" x14ac:dyDescent="0.3">
      <c r="A143" s="11">
        <v>23</v>
      </c>
      <c r="B143" s="10">
        <v>36</v>
      </c>
      <c r="C143" s="8">
        <v>39.652173913043477</v>
      </c>
    </row>
    <row r="144" spans="1:3" x14ac:dyDescent="0.3">
      <c r="A144" s="11">
        <v>11</v>
      </c>
      <c r="B144" s="10">
        <v>24</v>
      </c>
      <c r="C144" s="8">
        <v>24.636363636363637</v>
      </c>
    </row>
    <row r="145" spans="1:3" x14ac:dyDescent="0.3">
      <c r="A145" s="11">
        <v>21</v>
      </c>
      <c r="B145" s="10">
        <v>35</v>
      </c>
      <c r="C145" s="8">
        <v>44.571428571428569</v>
      </c>
    </row>
    <row r="146" spans="1:3" x14ac:dyDescent="0.3">
      <c r="A146" s="11">
        <v>27</v>
      </c>
      <c r="B146" s="10">
        <v>46</v>
      </c>
      <c r="C146" s="8">
        <v>28.74074074074074</v>
      </c>
    </row>
    <row r="147" spans="1:3" x14ac:dyDescent="0.3">
      <c r="A147" s="11">
        <v>7</v>
      </c>
      <c r="B147" s="10">
        <v>14</v>
      </c>
      <c r="C147" s="8">
        <v>43.285714285714285</v>
      </c>
    </row>
    <row r="148" spans="1:3" x14ac:dyDescent="0.3">
      <c r="A148" s="11">
        <v>4</v>
      </c>
      <c r="B148" s="10">
        <v>7</v>
      </c>
      <c r="C148" s="8">
        <v>46.25</v>
      </c>
    </row>
    <row r="149" spans="1:3" x14ac:dyDescent="0.3">
      <c r="A149" s="11">
        <v>22</v>
      </c>
      <c r="B149" s="10">
        <v>39</v>
      </c>
      <c r="C149" s="8">
        <v>39.31818181818182</v>
      </c>
    </row>
    <row r="150" spans="1:3" x14ac:dyDescent="0.3">
      <c r="A150" s="11">
        <v>27</v>
      </c>
      <c r="B150" s="10">
        <v>51</v>
      </c>
      <c r="C150" s="8">
        <v>34.592592592592595</v>
      </c>
    </row>
    <row r="151" spans="1:3" x14ac:dyDescent="0.3">
      <c r="A151" s="11">
        <v>11</v>
      </c>
      <c r="B151" s="10">
        <v>19</v>
      </c>
      <c r="C151" s="8">
        <v>33.363636363636367</v>
      </c>
    </row>
    <row r="152" spans="1:3" x14ac:dyDescent="0.3">
      <c r="A152" s="11">
        <v>6</v>
      </c>
      <c r="B152" s="10">
        <v>10</v>
      </c>
      <c r="C152" s="8">
        <v>43.666666666666664</v>
      </c>
    </row>
    <row r="153" spans="1:3" x14ac:dyDescent="0.3">
      <c r="A153" s="11">
        <v>13</v>
      </c>
      <c r="B153" s="10">
        <v>28</v>
      </c>
      <c r="C153" s="8">
        <v>41</v>
      </c>
    </row>
    <row r="154" spans="1:3" x14ac:dyDescent="0.3">
      <c r="A154" s="11">
        <v>9</v>
      </c>
      <c r="B154" s="10">
        <v>13</v>
      </c>
      <c r="C154" s="8">
        <v>31.222222222222221</v>
      </c>
    </row>
    <row r="155" spans="1:3" x14ac:dyDescent="0.3">
      <c r="A155" s="11">
        <v>5</v>
      </c>
      <c r="B155" s="10">
        <v>10</v>
      </c>
      <c r="C155" s="8">
        <v>40.4</v>
      </c>
    </row>
    <row r="156" spans="1:3" x14ac:dyDescent="0.3">
      <c r="A156" s="11">
        <v>30</v>
      </c>
      <c r="B156" s="10">
        <v>59</v>
      </c>
      <c r="C156" s="8">
        <v>27.266666666666666</v>
      </c>
    </row>
    <row r="157" spans="1:3" x14ac:dyDescent="0.3">
      <c r="A157" s="11">
        <v>20</v>
      </c>
      <c r="B157" s="10">
        <v>41</v>
      </c>
      <c r="C157" s="8">
        <v>29.5</v>
      </c>
    </row>
    <row r="158" spans="1:3" x14ac:dyDescent="0.3">
      <c r="A158" s="11">
        <v>8</v>
      </c>
      <c r="B158" s="10">
        <v>17</v>
      </c>
      <c r="C158" s="8">
        <v>39</v>
      </c>
    </row>
    <row r="159" spans="1:3" x14ac:dyDescent="0.3">
      <c r="A159" s="11">
        <v>10</v>
      </c>
      <c r="B159" s="10">
        <v>13</v>
      </c>
      <c r="C159" s="8">
        <v>44.6</v>
      </c>
    </row>
    <row r="160" spans="1:3" x14ac:dyDescent="0.3">
      <c r="A160" s="11">
        <v>10</v>
      </c>
      <c r="B160" s="10">
        <v>15</v>
      </c>
      <c r="C160" s="8">
        <v>39</v>
      </c>
    </row>
    <row r="161" spans="1:3" x14ac:dyDescent="0.3">
      <c r="A161" s="11">
        <v>13</v>
      </c>
      <c r="B161" s="10">
        <v>20</v>
      </c>
      <c r="C161" s="8">
        <v>28.307692307692307</v>
      </c>
    </row>
    <row r="162" spans="1:3" x14ac:dyDescent="0.3">
      <c r="A162" s="11">
        <v>4</v>
      </c>
      <c r="B162" s="10">
        <v>4</v>
      </c>
      <c r="C162" s="8">
        <v>36.5</v>
      </c>
    </row>
    <row r="163" spans="1:3" x14ac:dyDescent="0.3">
      <c r="A163" s="11">
        <v>12</v>
      </c>
      <c r="B163" s="10">
        <v>24</v>
      </c>
      <c r="C163" s="8">
        <v>28.166666666666668</v>
      </c>
    </row>
    <row r="164" spans="1:3" x14ac:dyDescent="0.3">
      <c r="A164" s="11">
        <v>6</v>
      </c>
      <c r="B164" s="10">
        <v>8</v>
      </c>
      <c r="C164" s="8">
        <v>41</v>
      </c>
    </row>
    <row r="165" spans="1:3" x14ac:dyDescent="0.3">
      <c r="A165" s="11">
        <v>6</v>
      </c>
      <c r="B165" s="10">
        <v>8</v>
      </c>
      <c r="C165" s="8">
        <v>34.833333333333336</v>
      </c>
    </row>
    <row r="166" spans="1:3" x14ac:dyDescent="0.3">
      <c r="A166" s="11">
        <v>11</v>
      </c>
      <c r="B166" s="10">
        <v>16</v>
      </c>
      <c r="C166" s="8">
        <v>33.454545454545453</v>
      </c>
    </row>
    <row r="167" spans="1:3" x14ac:dyDescent="0.3">
      <c r="A167" s="11">
        <v>25</v>
      </c>
      <c r="B167" s="10">
        <v>51</v>
      </c>
      <c r="C167" s="8">
        <v>30.92</v>
      </c>
    </row>
    <row r="168" spans="1:3" x14ac:dyDescent="0.3">
      <c r="A168" s="11">
        <v>12</v>
      </c>
      <c r="B168" s="10">
        <v>15</v>
      </c>
      <c r="C168" s="8">
        <v>45.75</v>
      </c>
    </row>
    <row r="169" spans="1:3" x14ac:dyDescent="0.3">
      <c r="A169" s="11">
        <v>21</v>
      </c>
      <c r="B169" s="10">
        <v>47</v>
      </c>
      <c r="C169" s="8">
        <v>36.761904761904759</v>
      </c>
    </row>
    <row r="170" spans="1:3" x14ac:dyDescent="0.3">
      <c r="A170" s="11">
        <v>10</v>
      </c>
      <c r="B170" s="10">
        <v>18</v>
      </c>
      <c r="C170" s="8">
        <v>28.1</v>
      </c>
    </row>
    <row r="171" spans="1:3" x14ac:dyDescent="0.3">
      <c r="A171" s="11">
        <v>7</v>
      </c>
      <c r="B171" s="10">
        <v>12</v>
      </c>
      <c r="C171" s="8">
        <v>39.142857142857146</v>
      </c>
    </row>
    <row r="172" spans="1:3" x14ac:dyDescent="0.3">
      <c r="A172" s="11">
        <v>4</v>
      </c>
      <c r="B172" s="10">
        <v>6</v>
      </c>
      <c r="C172" s="8">
        <v>36.75</v>
      </c>
    </row>
    <row r="173" spans="1:3" x14ac:dyDescent="0.3">
      <c r="A173" s="11">
        <v>8</v>
      </c>
      <c r="B173" s="10">
        <v>17</v>
      </c>
      <c r="C173" s="8">
        <v>41.125</v>
      </c>
    </row>
    <row r="174" spans="1:3" x14ac:dyDescent="0.3">
      <c r="A174" s="11">
        <v>18</v>
      </c>
      <c r="B174" s="10">
        <v>27</v>
      </c>
      <c r="C174" s="8">
        <v>39.944444444444443</v>
      </c>
    </row>
    <row r="175" spans="1:3" x14ac:dyDescent="0.3">
      <c r="A175" s="11">
        <v>3</v>
      </c>
      <c r="B175" s="10">
        <v>5</v>
      </c>
      <c r="C175" s="8">
        <v>37</v>
      </c>
    </row>
    <row r="176" spans="1:3" x14ac:dyDescent="0.3">
      <c r="A176" s="11">
        <v>15</v>
      </c>
      <c r="B176" s="10">
        <v>28</v>
      </c>
      <c r="C176" s="8">
        <v>35.733333333333334</v>
      </c>
    </row>
    <row r="177" spans="1:3" x14ac:dyDescent="0.3">
      <c r="A177" s="11">
        <v>28</v>
      </c>
      <c r="B177" s="10">
        <v>52</v>
      </c>
      <c r="C177" s="8">
        <v>29.071428571428573</v>
      </c>
    </row>
    <row r="178" spans="1:3" x14ac:dyDescent="0.3">
      <c r="A178" s="11">
        <v>15</v>
      </c>
      <c r="B178" s="10">
        <v>33</v>
      </c>
      <c r="C178" s="8">
        <v>35.133333333333333</v>
      </c>
    </row>
    <row r="179" spans="1:3" x14ac:dyDescent="0.3">
      <c r="A179" s="11">
        <v>12</v>
      </c>
      <c r="B179" s="10">
        <v>19</v>
      </c>
      <c r="C179" s="8">
        <v>24</v>
      </c>
    </row>
    <row r="180" spans="1:3" x14ac:dyDescent="0.3">
      <c r="A180" s="11">
        <v>5</v>
      </c>
      <c r="B180" s="10">
        <v>8</v>
      </c>
      <c r="C180" s="8">
        <v>41.2</v>
      </c>
    </row>
    <row r="181" spans="1:3" x14ac:dyDescent="0.3">
      <c r="A181" s="11">
        <v>15</v>
      </c>
      <c r="B181" s="10">
        <v>25</v>
      </c>
      <c r="C181" s="8">
        <v>43.8</v>
      </c>
    </row>
    <row r="182" spans="1:3" x14ac:dyDescent="0.3">
      <c r="A182" s="11">
        <v>25</v>
      </c>
      <c r="B182" s="10">
        <v>45</v>
      </c>
      <c r="C182" s="8">
        <v>36.72</v>
      </c>
    </row>
    <row r="183" spans="1:3" x14ac:dyDescent="0.3">
      <c r="A183" s="11">
        <v>37</v>
      </c>
      <c r="B183" s="10">
        <v>76</v>
      </c>
      <c r="C183" s="8">
        <v>27.027027027027028</v>
      </c>
    </row>
    <row r="184" spans="1:3" x14ac:dyDescent="0.3">
      <c r="A184" s="11">
        <v>21</v>
      </c>
      <c r="B184" s="10">
        <v>44</v>
      </c>
      <c r="C184" s="8">
        <v>42.476190476190474</v>
      </c>
    </row>
    <row r="185" spans="1:3" x14ac:dyDescent="0.3">
      <c r="A185" s="11">
        <v>24</v>
      </c>
      <c r="B185" s="10">
        <v>48</v>
      </c>
      <c r="C185" s="8">
        <v>35</v>
      </c>
    </row>
    <row r="186" spans="1:3" x14ac:dyDescent="0.3">
      <c r="A186" s="11">
        <v>6</v>
      </c>
      <c r="B186" s="10">
        <v>9</v>
      </c>
      <c r="C186" s="8">
        <v>33</v>
      </c>
    </row>
    <row r="187" spans="1:3" x14ac:dyDescent="0.3">
      <c r="A187" s="11">
        <v>19</v>
      </c>
      <c r="B187" s="10">
        <v>39</v>
      </c>
      <c r="C187" s="8">
        <v>36.789473684210527</v>
      </c>
    </row>
    <row r="188" spans="1:3" x14ac:dyDescent="0.3">
      <c r="A188" s="11">
        <v>23</v>
      </c>
      <c r="B188" s="10">
        <v>37</v>
      </c>
      <c r="C188" s="8">
        <v>28.217391304347824</v>
      </c>
    </row>
    <row r="189" spans="1:3" x14ac:dyDescent="0.3">
      <c r="A189" s="11">
        <v>1</v>
      </c>
      <c r="B189" s="10">
        <v>1</v>
      </c>
      <c r="C189" s="8">
        <v>38</v>
      </c>
    </row>
    <row r="190" spans="1:3" x14ac:dyDescent="0.3">
      <c r="A190" s="11">
        <v>20</v>
      </c>
      <c r="B190" s="10">
        <v>41</v>
      </c>
      <c r="C190" s="8">
        <v>42.05</v>
      </c>
    </row>
    <row r="191" spans="1:3" x14ac:dyDescent="0.3">
      <c r="A191" s="11">
        <v>37</v>
      </c>
      <c r="B191" s="10">
        <v>74</v>
      </c>
      <c r="C191" s="8">
        <v>25.72972972972973</v>
      </c>
    </row>
    <row r="192" spans="1:3" x14ac:dyDescent="0.3">
      <c r="A192" s="11">
        <v>14</v>
      </c>
      <c r="B192" s="10">
        <v>25</v>
      </c>
      <c r="C192" s="8">
        <v>44.142857142857146</v>
      </c>
    </row>
    <row r="193" spans="1:3" x14ac:dyDescent="0.3">
      <c r="A193" s="11">
        <v>11</v>
      </c>
      <c r="B193" s="10">
        <v>15</v>
      </c>
      <c r="C193" s="8">
        <v>31.363636363636363</v>
      </c>
    </row>
    <row r="194" spans="1:3" x14ac:dyDescent="0.3">
      <c r="A194" s="11">
        <v>19</v>
      </c>
      <c r="B194" s="10">
        <v>35</v>
      </c>
      <c r="C194" s="8">
        <v>25.684210526315791</v>
      </c>
    </row>
    <row r="195" spans="1:3" x14ac:dyDescent="0.3">
      <c r="A195" s="11">
        <v>1</v>
      </c>
      <c r="B195" s="10">
        <v>1</v>
      </c>
      <c r="C195" s="8">
        <v>49</v>
      </c>
    </row>
    <row r="196" spans="1:3" x14ac:dyDescent="0.3">
      <c r="A196" s="11">
        <v>16</v>
      </c>
      <c r="B196" s="10">
        <v>24</v>
      </c>
      <c r="C196" s="8">
        <v>27.1875</v>
      </c>
    </row>
    <row r="197" spans="1:3" x14ac:dyDescent="0.3">
      <c r="A197" s="11">
        <v>2</v>
      </c>
      <c r="B197" s="10">
        <v>4</v>
      </c>
      <c r="C197" s="8">
        <v>31.5</v>
      </c>
    </row>
    <row r="198" spans="1:3" x14ac:dyDescent="0.3">
      <c r="A198" s="11">
        <v>13</v>
      </c>
      <c r="B198" s="10">
        <v>27</v>
      </c>
      <c r="C198" s="8">
        <v>41.307692307692307</v>
      </c>
    </row>
    <row r="199" spans="1:3" x14ac:dyDescent="0.3">
      <c r="A199" s="11">
        <v>29</v>
      </c>
      <c r="B199" s="10">
        <v>47</v>
      </c>
      <c r="C199" s="8">
        <v>32.862068965517238</v>
      </c>
    </row>
    <row r="200" spans="1:3" x14ac:dyDescent="0.3">
      <c r="A200" s="11">
        <v>21</v>
      </c>
      <c r="B200" s="10">
        <v>47</v>
      </c>
      <c r="C200" s="8">
        <v>32.333333333333336</v>
      </c>
    </row>
    <row r="201" spans="1:3" x14ac:dyDescent="0.3">
      <c r="A201" s="11">
        <v>4</v>
      </c>
      <c r="B201" s="10">
        <v>7</v>
      </c>
      <c r="C201" s="8">
        <v>35</v>
      </c>
    </row>
    <row r="202" spans="1:3" x14ac:dyDescent="0.3">
      <c r="A202" s="11">
        <v>1</v>
      </c>
      <c r="B202" s="10">
        <v>2</v>
      </c>
      <c r="C202" s="8">
        <v>23</v>
      </c>
    </row>
    <row r="203" spans="1:3" x14ac:dyDescent="0.3">
      <c r="A203" s="11">
        <v>18</v>
      </c>
      <c r="B203" s="10">
        <v>35</v>
      </c>
      <c r="C203" s="8">
        <v>43.222222222222221</v>
      </c>
    </row>
    <row r="204" spans="1:3" x14ac:dyDescent="0.3">
      <c r="A204" s="11">
        <v>17</v>
      </c>
      <c r="B204" s="10">
        <v>28</v>
      </c>
      <c r="C204" s="8">
        <v>40.294117647058826</v>
      </c>
    </row>
    <row r="205" spans="1:3" x14ac:dyDescent="0.3">
      <c r="A205" s="11">
        <v>4</v>
      </c>
      <c r="B205" s="10">
        <v>5</v>
      </c>
      <c r="C205" s="8">
        <v>36.75</v>
      </c>
    </row>
    <row r="206" spans="1:3" x14ac:dyDescent="0.3">
      <c r="A206" s="11">
        <v>16</v>
      </c>
      <c r="B206" s="10">
        <v>29</v>
      </c>
      <c r="C206" s="8">
        <v>36.25</v>
      </c>
    </row>
    <row r="207" spans="1:3" x14ac:dyDescent="0.3">
      <c r="A207" s="11">
        <v>17</v>
      </c>
      <c r="B207" s="10">
        <v>24</v>
      </c>
      <c r="C207" s="8">
        <v>37.352941176470587</v>
      </c>
    </row>
    <row r="208" spans="1:3" x14ac:dyDescent="0.3">
      <c r="A208" s="11">
        <v>20</v>
      </c>
      <c r="B208" s="10">
        <v>47</v>
      </c>
      <c r="C208" s="8">
        <v>41.75</v>
      </c>
    </row>
    <row r="209" spans="1:3" x14ac:dyDescent="0.3">
      <c r="A209" s="11">
        <v>2</v>
      </c>
      <c r="B209" s="10">
        <v>2</v>
      </c>
      <c r="C209" s="8">
        <v>28</v>
      </c>
    </row>
    <row r="210" spans="1:3" x14ac:dyDescent="0.3">
      <c r="A210" s="11">
        <v>5</v>
      </c>
      <c r="B210" s="10">
        <v>6</v>
      </c>
      <c r="C210" s="8">
        <v>42.8</v>
      </c>
    </row>
    <row r="211" spans="1:3" x14ac:dyDescent="0.3">
      <c r="A211" s="11">
        <v>20</v>
      </c>
      <c r="B211" s="10">
        <v>41</v>
      </c>
      <c r="C211" s="8">
        <v>33.65</v>
      </c>
    </row>
    <row r="212" spans="1:3" x14ac:dyDescent="0.3">
      <c r="A212" s="11">
        <v>29</v>
      </c>
      <c r="B212" s="10">
        <v>48</v>
      </c>
      <c r="C212" s="8">
        <v>34.482758620689658</v>
      </c>
    </row>
    <row r="213" spans="1:3" x14ac:dyDescent="0.3">
      <c r="A213" s="11">
        <v>5</v>
      </c>
      <c r="B213" s="10">
        <v>10</v>
      </c>
      <c r="C213" s="8">
        <v>36.6</v>
      </c>
    </row>
    <row r="214" spans="1:3" x14ac:dyDescent="0.3">
      <c r="A214" s="11">
        <v>7</v>
      </c>
      <c r="B214" s="10">
        <v>11</v>
      </c>
      <c r="C214" s="8">
        <v>36.142857142857146</v>
      </c>
    </row>
    <row r="215" spans="1:3" x14ac:dyDescent="0.3">
      <c r="A215" s="11">
        <v>33</v>
      </c>
      <c r="B215" s="10">
        <v>68</v>
      </c>
      <c r="C215" s="8">
        <v>29</v>
      </c>
    </row>
    <row r="216" spans="1:3" x14ac:dyDescent="0.3">
      <c r="A216" s="11">
        <v>12</v>
      </c>
      <c r="B216" s="10">
        <v>16</v>
      </c>
      <c r="C216" s="8">
        <v>27.5</v>
      </c>
    </row>
    <row r="217" spans="1:3" x14ac:dyDescent="0.3">
      <c r="A217" s="11">
        <v>7</v>
      </c>
      <c r="B217" s="10">
        <v>15</v>
      </c>
      <c r="C217" s="8">
        <v>32</v>
      </c>
    </row>
    <row r="218" spans="1:3" x14ac:dyDescent="0.3">
      <c r="A218" s="11">
        <v>24</v>
      </c>
      <c r="B218" s="10">
        <v>51</v>
      </c>
      <c r="C218" s="8">
        <v>30.916666666666668</v>
      </c>
    </row>
    <row r="219" spans="1:3" x14ac:dyDescent="0.3">
      <c r="A219" s="11">
        <v>27</v>
      </c>
      <c r="B219" s="10">
        <v>56</v>
      </c>
      <c r="C219" s="8">
        <v>26.222222222222221</v>
      </c>
    </row>
    <row r="220" spans="1:3" x14ac:dyDescent="0.3">
      <c r="A220" s="11">
        <v>10</v>
      </c>
      <c r="B220" s="10">
        <v>15</v>
      </c>
      <c r="C220" s="8">
        <v>25.3</v>
      </c>
    </row>
    <row r="221" spans="1:3" x14ac:dyDescent="0.3">
      <c r="A221" s="11">
        <v>16</v>
      </c>
      <c r="B221" s="10">
        <v>35</v>
      </c>
      <c r="C221" s="8">
        <v>34.25</v>
      </c>
    </row>
    <row r="222" spans="1:3" x14ac:dyDescent="0.3">
      <c r="A222" s="11">
        <v>15</v>
      </c>
      <c r="B222" s="10">
        <v>20</v>
      </c>
      <c r="C222" s="8">
        <v>27.466666666666665</v>
      </c>
    </row>
    <row r="223" spans="1:3" x14ac:dyDescent="0.3">
      <c r="A223" s="11">
        <v>20</v>
      </c>
      <c r="B223" s="10">
        <v>35</v>
      </c>
      <c r="C223" s="8">
        <v>40.4</v>
      </c>
    </row>
    <row r="224" spans="1:3" x14ac:dyDescent="0.3">
      <c r="A224" s="11">
        <v>9</v>
      </c>
      <c r="B224" s="10">
        <v>15</v>
      </c>
      <c r="C224" s="8">
        <v>36.888888888888886</v>
      </c>
    </row>
    <row r="225" spans="1:3" x14ac:dyDescent="0.3">
      <c r="A225" s="11">
        <v>10</v>
      </c>
      <c r="B225" s="10">
        <v>13</v>
      </c>
      <c r="C225" s="8">
        <v>42.1</v>
      </c>
    </row>
    <row r="226" spans="1:3" x14ac:dyDescent="0.3">
      <c r="A226" s="11">
        <v>17</v>
      </c>
      <c r="B226" s="10">
        <v>34</v>
      </c>
      <c r="C226" s="8">
        <v>27.529411764705884</v>
      </c>
    </row>
    <row r="227" spans="1:3" x14ac:dyDescent="0.3">
      <c r="A227" s="11">
        <v>14</v>
      </c>
      <c r="B227" s="10">
        <v>21</v>
      </c>
      <c r="C227" s="8">
        <v>39</v>
      </c>
    </row>
    <row r="228" spans="1:3" x14ac:dyDescent="0.3">
      <c r="A228" s="11">
        <v>13</v>
      </c>
      <c r="B228" s="10">
        <v>25</v>
      </c>
      <c r="C228" s="8">
        <v>40.615384615384613</v>
      </c>
    </row>
    <row r="229" spans="1:3" x14ac:dyDescent="0.3">
      <c r="A229" s="11">
        <v>30</v>
      </c>
      <c r="B229" s="10">
        <v>52</v>
      </c>
      <c r="C229" s="8">
        <v>32.033333333333331</v>
      </c>
    </row>
    <row r="230" spans="1:3" x14ac:dyDescent="0.3">
      <c r="A230" s="11">
        <v>13</v>
      </c>
      <c r="B230" s="10">
        <v>28</v>
      </c>
      <c r="C230" s="8">
        <v>39.692307692307693</v>
      </c>
    </row>
    <row r="231" spans="1:3" x14ac:dyDescent="0.3">
      <c r="A231" s="11">
        <v>29</v>
      </c>
      <c r="B231" s="10">
        <v>59</v>
      </c>
      <c r="C231" s="8">
        <v>31.793103448275861</v>
      </c>
    </row>
    <row r="232" spans="1:3" x14ac:dyDescent="0.3">
      <c r="A232" s="11">
        <v>5</v>
      </c>
      <c r="B232" s="10">
        <v>9</v>
      </c>
      <c r="C232" s="8">
        <v>34.6</v>
      </c>
    </row>
    <row r="233" spans="1:3" x14ac:dyDescent="0.3">
      <c r="A233" s="11">
        <v>6</v>
      </c>
      <c r="B233" s="10">
        <v>10</v>
      </c>
      <c r="C233" s="8">
        <v>41.833333333333336</v>
      </c>
    </row>
    <row r="234" spans="1:3" x14ac:dyDescent="0.3">
      <c r="A234" s="11">
        <v>24</v>
      </c>
      <c r="B234" s="10">
        <v>51</v>
      </c>
      <c r="C234" s="8">
        <v>41.541666666666664</v>
      </c>
    </row>
    <row r="235" spans="1:3" x14ac:dyDescent="0.3">
      <c r="A235" s="11">
        <v>2</v>
      </c>
      <c r="B235" s="10">
        <v>3</v>
      </c>
      <c r="C235" s="8">
        <v>35</v>
      </c>
    </row>
    <row r="236" spans="1:3" x14ac:dyDescent="0.3">
      <c r="A236" s="11">
        <v>27</v>
      </c>
      <c r="B236" s="10">
        <v>63</v>
      </c>
      <c r="C236" s="8">
        <v>34.555555555555557</v>
      </c>
    </row>
    <row r="237" spans="1:3" x14ac:dyDescent="0.3">
      <c r="A237" s="11">
        <v>32</v>
      </c>
      <c r="B237" s="10">
        <v>72</v>
      </c>
      <c r="C237" s="8">
        <v>26.875</v>
      </c>
    </row>
    <row r="238" spans="1:3" x14ac:dyDescent="0.3">
      <c r="A238" s="11">
        <v>10</v>
      </c>
      <c r="B238" s="10">
        <v>21</v>
      </c>
      <c r="C238" s="8">
        <v>33.299999999999997</v>
      </c>
    </row>
    <row r="239" spans="1:3" x14ac:dyDescent="0.3">
      <c r="A239" s="11">
        <v>28</v>
      </c>
      <c r="B239" s="10">
        <v>51</v>
      </c>
      <c r="C239" s="8">
        <v>30.857142857142858</v>
      </c>
    </row>
    <row r="240" spans="1:3" x14ac:dyDescent="0.3">
      <c r="A240" s="11">
        <v>17</v>
      </c>
      <c r="B240" s="10">
        <v>36</v>
      </c>
      <c r="C240" s="8">
        <v>41.470588235294116</v>
      </c>
    </row>
    <row r="241" spans="1:3" x14ac:dyDescent="0.3">
      <c r="A241" s="11">
        <v>11</v>
      </c>
      <c r="B241" s="10">
        <v>22</v>
      </c>
      <c r="C241" s="8">
        <v>31.454545454545453</v>
      </c>
    </row>
    <row r="242" spans="1:3" x14ac:dyDescent="0.3">
      <c r="A242" s="11">
        <v>16</v>
      </c>
      <c r="B242" s="10">
        <v>25</v>
      </c>
      <c r="C242" s="8">
        <v>35.5</v>
      </c>
    </row>
    <row r="243" spans="1:3" x14ac:dyDescent="0.3">
      <c r="A243" s="11">
        <v>10</v>
      </c>
      <c r="B243" s="10">
        <v>19</v>
      </c>
      <c r="C243" s="8">
        <v>33.700000000000003</v>
      </c>
    </row>
    <row r="244" spans="1:3" x14ac:dyDescent="0.3">
      <c r="A244" s="11">
        <v>15</v>
      </c>
      <c r="B244" s="10">
        <v>19</v>
      </c>
      <c r="C244" s="8">
        <v>41.733333333333334</v>
      </c>
    </row>
    <row r="245" spans="1:3" x14ac:dyDescent="0.3">
      <c r="A245" s="11">
        <v>8</v>
      </c>
      <c r="B245" s="10">
        <v>17</v>
      </c>
      <c r="C245" s="8">
        <v>29.375</v>
      </c>
    </row>
    <row r="246" spans="1:3" x14ac:dyDescent="0.3">
      <c r="A246" s="11">
        <v>5</v>
      </c>
      <c r="B246" s="10">
        <v>9</v>
      </c>
      <c r="C246" s="8">
        <v>24.2</v>
      </c>
    </row>
    <row r="247" spans="1:3" x14ac:dyDescent="0.3">
      <c r="A247" s="11">
        <v>13</v>
      </c>
      <c r="B247" s="10">
        <v>25</v>
      </c>
      <c r="C247" s="8">
        <v>31.846153846153847</v>
      </c>
    </row>
    <row r="248" spans="1:3" x14ac:dyDescent="0.3">
      <c r="A248" s="11">
        <v>16</v>
      </c>
      <c r="B248" s="10">
        <v>23</v>
      </c>
      <c r="C248" s="8">
        <v>45.8125</v>
      </c>
    </row>
    <row r="249" spans="1:3" x14ac:dyDescent="0.3">
      <c r="A249" s="11">
        <v>21</v>
      </c>
      <c r="B249" s="10">
        <v>49</v>
      </c>
      <c r="C249" s="8">
        <v>36.80952380952381</v>
      </c>
    </row>
    <row r="250" spans="1:3" x14ac:dyDescent="0.3">
      <c r="A250" s="11">
        <v>15</v>
      </c>
      <c r="B250" s="10">
        <v>22</v>
      </c>
      <c r="C250" s="8">
        <v>27.4</v>
      </c>
    </row>
    <row r="251" spans="1:3" x14ac:dyDescent="0.3">
      <c r="A251" s="11">
        <v>15</v>
      </c>
      <c r="B251" s="10">
        <v>27</v>
      </c>
      <c r="C251" s="8">
        <v>38.733333333333334</v>
      </c>
    </row>
    <row r="252" spans="1:3" x14ac:dyDescent="0.3">
      <c r="A252" s="11">
        <v>5</v>
      </c>
      <c r="B252" s="10">
        <v>7</v>
      </c>
      <c r="C252" s="8">
        <v>46.2</v>
      </c>
    </row>
    <row r="253" spans="1:3" x14ac:dyDescent="0.3">
      <c r="A253" s="11">
        <v>25</v>
      </c>
      <c r="B253" s="10">
        <v>47</v>
      </c>
      <c r="C253" s="8">
        <v>38.72</v>
      </c>
    </row>
    <row r="254" spans="1:3" x14ac:dyDescent="0.3">
      <c r="A254" s="11">
        <v>1</v>
      </c>
      <c r="B254" s="10">
        <v>1</v>
      </c>
      <c r="C254" s="8">
        <v>44</v>
      </c>
    </row>
    <row r="255" spans="1:3" x14ac:dyDescent="0.3">
      <c r="A255" s="11">
        <v>7</v>
      </c>
      <c r="B255" s="10">
        <v>9</v>
      </c>
      <c r="C255" s="8">
        <v>44.857142857142854</v>
      </c>
    </row>
    <row r="256" spans="1:3" x14ac:dyDescent="0.3">
      <c r="A256" s="11">
        <v>24</v>
      </c>
      <c r="B256" s="10">
        <v>47</v>
      </c>
      <c r="C256" s="8">
        <v>38.666666666666664</v>
      </c>
    </row>
    <row r="257" spans="1:3" x14ac:dyDescent="0.3">
      <c r="A257" s="11">
        <v>9</v>
      </c>
      <c r="B257" s="10">
        <v>14</v>
      </c>
      <c r="C257" s="8">
        <v>35.555555555555557</v>
      </c>
    </row>
    <row r="258" spans="1:3" x14ac:dyDescent="0.3">
      <c r="A258" s="11">
        <v>21</v>
      </c>
      <c r="B258" s="10">
        <v>34</v>
      </c>
      <c r="C258" s="8">
        <v>40.333333333333336</v>
      </c>
    </row>
    <row r="259" spans="1:3" x14ac:dyDescent="0.3">
      <c r="A259" s="11">
        <v>24</v>
      </c>
      <c r="B259" s="10">
        <v>57</v>
      </c>
      <c r="C259" s="8">
        <v>25.416666666666668</v>
      </c>
    </row>
    <row r="260" spans="1:3" x14ac:dyDescent="0.3">
      <c r="A260" s="11">
        <v>20</v>
      </c>
      <c r="B260" s="10">
        <v>39</v>
      </c>
      <c r="C260" s="8">
        <v>25.4</v>
      </c>
    </row>
    <row r="261" spans="1:3" x14ac:dyDescent="0.3">
      <c r="A261" s="11">
        <v>11</v>
      </c>
      <c r="B261" s="10">
        <v>24</v>
      </c>
      <c r="C261" s="8">
        <v>36.363636363636367</v>
      </c>
    </row>
    <row r="262" spans="1:3" x14ac:dyDescent="0.3">
      <c r="A262" s="11">
        <v>1</v>
      </c>
      <c r="B262" s="10">
        <v>2</v>
      </c>
      <c r="C262" s="8">
        <v>66</v>
      </c>
    </row>
    <row r="263" spans="1:3" x14ac:dyDescent="0.3">
      <c r="A263" s="11">
        <v>11</v>
      </c>
      <c r="B263" s="10">
        <v>19</v>
      </c>
      <c r="C263" s="8">
        <v>36.454545454545453</v>
      </c>
    </row>
    <row r="264" spans="1:3" x14ac:dyDescent="0.3">
      <c r="A264" s="11">
        <v>6</v>
      </c>
      <c r="B264" s="10">
        <v>9</v>
      </c>
      <c r="C264" s="8">
        <v>42.5</v>
      </c>
    </row>
    <row r="265" spans="1:3" x14ac:dyDescent="0.3">
      <c r="A265" s="11">
        <v>2</v>
      </c>
      <c r="B265" s="10">
        <v>3</v>
      </c>
      <c r="C265" s="8">
        <v>40.5</v>
      </c>
    </row>
    <row r="266" spans="1:3" x14ac:dyDescent="0.3">
      <c r="A266" s="11">
        <v>18</v>
      </c>
      <c r="B266" s="10">
        <v>22</v>
      </c>
      <c r="C266" s="8">
        <v>43.611111111111114</v>
      </c>
    </row>
    <row r="267" spans="1:3" x14ac:dyDescent="0.3">
      <c r="A267" s="11">
        <v>2</v>
      </c>
      <c r="B267" s="10">
        <v>3</v>
      </c>
      <c r="C267" s="8">
        <v>31.5</v>
      </c>
    </row>
    <row r="268" spans="1:3" x14ac:dyDescent="0.3">
      <c r="A268" s="11">
        <v>19</v>
      </c>
      <c r="B268" s="10">
        <v>37</v>
      </c>
      <c r="C268" s="8">
        <v>32.94736842105263</v>
      </c>
    </row>
    <row r="269" spans="1:3" x14ac:dyDescent="0.3">
      <c r="A269" s="11">
        <v>12</v>
      </c>
      <c r="B269" s="10">
        <v>24</v>
      </c>
      <c r="C269" s="8">
        <v>28.75</v>
      </c>
    </row>
    <row r="270" spans="1:3" x14ac:dyDescent="0.3">
      <c r="A270" s="11">
        <v>1</v>
      </c>
      <c r="B270" s="10">
        <v>2</v>
      </c>
      <c r="C270" s="8">
        <v>29</v>
      </c>
    </row>
    <row r="271" spans="1:3" x14ac:dyDescent="0.3">
      <c r="A271" s="11">
        <v>9</v>
      </c>
      <c r="B271" s="10">
        <v>16</v>
      </c>
      <c r="C271" s="8">
        <v>29.666666666666668</v>
      </c>
    </row>
    <row r="272" spans="1:3" x14ac:dyDescent="0.3">
      <c r="A272" s="11">
        <v>11</v>
      </c>
      <c r="B272" s="10">
        <v>20</v>
      </c>
      <c r="C272" s="8">
        <v>28.181818181818183</v>
      </c>
    </row>
    <row r="273" spans="1:3" x14ac:dyDescent="0.3">
      <c r="A273" s="11">
        <v>29</v>
      </c>
      <c r="B273" s="10">
        <v>66</v>
      </c>
      <c r="C273" s="8">
        <v>26.03448275862069</v>
      </c>
    </row>
    <row r="274" spans="1:3" x14ac:dyDescent="0.3">
      <c r="A274" s="11">
        <v>19</v>
      </c>
      <c r="B274" s="10">
        <v>27</v>
      </c>
      <c r="C274" s="8">
        <v>41.421052631578945</v>
      </c>
    </row>
    <row r="275" spans="1:3" x14ac:dyDescent="0.3">
      <c r="A275" s="11">
        <v>19</v>
      </c>
      <c r="B275" s="10">
        <v>38</v>
      </c>
      <c r="C275" s="8">
        <v>36.157894736842103</v>
      </c>
    </row>
    <row r="276" spans="1:3" x14ac:dyDescent="0.3">
      <c r="A276" s="11">
        <v>22</v>
      </c>
      <c r="B276" s="10">
        <v>48</v>
      </c>
      <c r="C276" s="8">
        <v>30.636363636363637</v>
      </c>
    </row>
    <row r="277" spans="1:3" x14ac:dyDescent="0.3">
      <c r="A277" s="11">
        <v>8</v>
      </c>
      <c r="B277" s="10">
        <v>12</v>
      </c>
      <c r="C277" s="8">
        <v>42.625</v>
      </c>
    </row>
    <row r="278" spans="1:3" x14ac:dyDescent="0.3">
      <c r="A278" s="11">
        <v>18</v>
      </c>
      <c r="B278" s="10">
        <v>26</v>
      </c>
      <c r="C278" s="8">
        <v>26.166666666666668</v>
      </c>
    </row>
    <row r="279" spans="1:3" x14ac:dyDescent="0.3">
      <c r="A279" s="11">
        <v>17</v>
      </c>
      <c r="B279" s="10">
        <v>27</v>
      </c>
      <c r="C279" s="8">
        <v>27.352941176470587</v>
      </c>
    </row>
    <row r="280" spans="1:3" x14ac:dyDescent="0.3">
      <c r="A280" s="11">
        <v>16</v>
      </c>
      <c r="B280" s="10">
        <v>25</v>
      </c>
      <c r="C280" s="8">
        <v>32.125</v>
      </c>
    </row>
    <row r="281" spans="1:3" x14ac:dyDescent="0.3">
      <c r="A281" s="11">
        <v>12</v>
      </c>
      <c r="B281" s="10">
        <v>18</v>
      </c>
      <c r="C281" s="8">
        <v>42.75</v>
      </c>
    </row>
    <row r="282" spans="1:3" x14ac:dyDescent="0.3">
      <c r="A282" s="11">
        <v>26</v>
      </c>
      <c r="B282" s="10">
        <v>56</v>
      </c>
      <c r="C282" s="8">
        <v>30.923076923076923</v>
      </c>
    </row>
    <row r="283" spans="1:3" x14ac:dyDescent="0.3">
      <c r="A283" s="11">
        <v>35</v>
      </c>
      <c r="B283" s="10">
        <v>72</v>
      </c>
      <c r="C283" s="8">
        <v>27.37142857142857</v>
      </c>
    </row>
    <row r="284" spans="1:3" x14ac:dyDescent="0.3">
      <c r="A284" s="11">
        <v>14</v>
      </c>
      <c r="B284" s="10">
        <v>18</v>
      </c>
      <c r="C284" s="8">
        <v>29.428571428571427</v>
      </c>
    </row>
    <row r="285" spans="1:3" x14ac:dyDescent="0.3">
      <c r="A285" s="11">
        <v>20</v>
      </c>
      <c r="B285" s="10">
        <v>34</v>
      </c>
      <c r="C285" s="8">
        <v>27.3</v>
      </c>
    </row>
    <row r="286" spans="1:3" x14ac:dyDescent="0.3">
      <c r="A286" s="11">
        <v>21</v>
      </c>
      <c r="B286" s="10">
        <v>43</v>
      </c>
      <c r="C286" s="8">
        <v>32.571428571428569</v>
      </c>
    </row>
    <row r="287" spans="1:3" x14ac:dyDescent="0.3">
      <c r="A287" s="11">
        <v>10</v>
      </c>
      <c r="B287" s="10">
        <v>19</v>
      </c>
      <c r="C287" s="8">
        <v>38.5</v>
      </c>
    </row>
    <row r="288" spans="1:3" x14ac:dyDescent="0.3">
      <c r="A288" s="11">
        <v>9</v>
      </c>
      <c r="B288" s="10">
        <v>19</v>
      </c>
      <c r="C288" s="8">
        <v>34</v>
      </c>
    </row>
    <row r="289" spans="1:3" x14ac:dyDescent="0.3">
      <c r="A289" s="11">
        <v>12</v>
      </c>
      <c r="B289" s="10">
        <v>21</v>
      </c>
      <c r="C289" s="8">
        <v>25.833333333333332</v>
      </c>
    </row>
    <row r="290" spans="1:3" x14ac:dyDescent="0.3">
      <c r="A290" s="11">
        <v>19</v>
      </c>
      <c r="B290" s="10">
        <v>32</v>
      </c>
      <c r="C290" s="8">
        <v>41.736842105263158</v>
      </c>
    </row>
    <row r="291" spans="1:3" x14ac:dyDescent="0.3">
      <c r="A291" s="11">
        <v>3</v>
      </c>
      <c r="B291" s="10">
        <v>4</v>
      </c>
      <c r="C291" s="8">
        <v>46.666666666666664</v>
      </c>
    </row>
    <row r="292" spans="1:3" x14ac:dyDescent="0.3">
      <c r="A292" s="11">
        <v>20</v>
      </c>
      <c r="B292" s="10">
        <v>32</v>
      </c>
      <c r="C292" s="8">
        <v>42.5</v>
      </c>
    </row>
    <row r="293" spans="1:3" x14ac:dyDescent="0.3">
      <c r="A293" s="11">
        <v>7</v>
      </c>
      <c r="B293" s="10">
        <v>9</v>
      </c>
      <c r="C293" s="8">
        <v>33.714285714285715</v>
      </c>
    </row>
    <row r="294" spans="1:3" x14ac:dyDescent="0.3">
      <c r="A294" s="11">
        <v>18</v>
      </c>
      <c r="B294" s="10">
        <v>34</v>
      </c>
      <c r="C294" s="8">
        <v>36.833333333333336</v>
      </c>
    </row>
    <row r="295" spans="1:3" x14ac:dyDescent="0.3">
      <c r="A295" s="11">
        <v>22</v>
      </c>
      <c r="B295" s="10">
        <v>50</v>
      </c>
      <c r="C295" s="8">
        <v>42.5</v>
      </c>
    </row>
    <row r="296" spans="1:3" x14ac:dyDescent="0.3">
      <c r="A296" s="11">
        <v>11</v>
      </c>
      <c r="B296" s="10">
        <v>19</v>
      </c>
      <c r="C296" s="8">
        <v>40.090909090909093</v>
      </c>
    </row>
    <row r="297" spans="1:3" x14ac:dyDescent="0.3">
      <c r="A297" s="11">
        <v>10</v>
      </c>
      <c r="B297" s="10">
        <v>17</v>
      </c>
      <c r="C297" s="8">
        <v>44.4</v>
      </c>
    </row>
    <row r="298" spans="1:3" x14ac:dyDescent="0.3">
      <c r="A298" s="11">
        <v>8</v>
      </c>
      <c r="B298" s="10">
        <v>10</v>
      </c>
      <c r="C298" s="8">
        <v>37.625</v>
      </c>
    </row>
    <row r="299" spans="1:3" x14ac:dyDescent="0.3">
      <c r="A299" s="11">
        <v>6</v>
      </c>
      <c r="B299" s="10">
        <v>9</v>
      </c>
      <c r="C299" s="8">
        <v>37.833333333333336</v>
      </c>
    </row>
    <row r="300" spans="1:3" x14ac:dyDescent="0.3">
      <c r="A300" s="11">
        <v>14</v>
      </c>
      <c r="B300" s="10">
        <v>25</v>
      </c>
      <c r="C300" s="8">
        <v>37.928571428571431</v>
      </c>
    </row>
    <row r="301" spans="1:3" x14ac:dyDescent="0.3">
      <c r="A301" s="11">
        <v>4</v>
      </c>
      <c r="B301" s="10">
        <v>4</v>
      </c>
      <c r="C301" s="8">
        <v>36.75</v>
      </c>
    </row>
    <row r="302" spans="1:3" x14ac:dyDescent="0.3">
      <c r="A302" s="11">
        <v>16</v>
      </c>
      <c r="B302" s="10">
        <v>28</v>
      </c>
      <c r="C302" s="8">
        <v>28.6875</v>
      </c>
    </row>
    <row r="303" spans="1:3" x14ac:dyDescent="0.3">
      <c r="A303" s="11">
        <v>1</v>
      </c>
      <c r="B303" s="10">
        <v>2</v>
      </c>
      <c r="C303" s="8">
        <v>19</v>
      </c>
    </row>
    <row r="304" spans="1:3" x14ac:dyDescent="0.3">
      <c r="A304" s="11">
        <v>23</v>
      </c>
      <c r="B304" s="10">
        <v>47</v>
      </c>
      <c r="C304" s="8">
        <v>29.304347826086957</v>
      </c>
    </row>
    <row r="305" spans="1:3" x14ac:dyDescent="0.3">
      <c r="A305" s="11">
        <v>7</v>
      </c>
      <c r="B305" s="10">
        <v>10</v>
      </c>
      <c r="C305" s="8">
        <v>42</v>
      </c>
    </row>
    <row r="306" spans="1:3" x14ac:dyDescent="0.3">
      <c r="A306" s="11">
        <v>11</v>
      </c>
      <c r="B306" s="10">
        <v>15</v>
      </c>
      <c r="C306" s="8">
        <v>39.909090909090907</v>
      </c>
    </row>
    <row r="307" spans="1:3" x14ac:dyDescent="0.3">
      <c r="A307" s="11">
        <v>8</v>
      </c>
      <c r="B307" s="10">
        <v>15</v>
      </c>
      <c r="C307" s="8">
        <v>38.875</v>
      </c>
    </row>
    <row r="308" spans="1:3" x14ac:dyDescent="0.3">
      <c r="A308" s="11">
        <v>10</v>
      </c>
      <c r="B308" s="10">
        <v>20</v>
      </c>
      <c r="C308" s="8">
        <v>36.4</v>
      </c>
    </row>
    <row r="309" spans="1:3" x14ac:dyDescent="0.3">
      <c r="A309" s="11">
        <v>12</v>
      </c>
      <c r="B309" s="10">
        <v>25</v>
      </c>
      <c r="C309" s="8">
        <v>38.25</v>
      </c>
    </row>
    <row r="310" spans="1:3" x14ac:dyDescent="0.3">
      <c r="A310" s="11">
        <v>11</v>
      </c>
      <c r="B310" s="10">
        <v>21</v>
      </c>
      <c r="C310" s="8">
        <v>26.454545454545453</v>
      </c>
    </row>
    <row r="311" spans="1:3" x14ac:dyDescent="0.3">
      <c r="A311" s="11">
        <v>1</v>
      </c>
      <c r="B311" s="10">
        <v>1</v>
      </c>
      <c r="C311" s="8">
        <v>17</v>
      </c>
    </row>
    <row r="312" spans="1:3" x14ac:dyDescent="0.3">
      <c r="A312" s="11">
        <v>5</v>
      </c>
      <c r="B312" s="10">
        <v>10</v>
      </c>
      <c r="C312" s="8">
        <v>29</v>
      </c>
    </row>
    <row r="313" spans="1:3" x14ac:dyDescent="0.3">
      <c r="A313" s="11">
        <v>1</v>
      </c>
      <c r="B313" s="10">
        <v>1</v>
      </c>
      <c r="C313" s="8">
        <v>55</v>
      </c>
    </row>
    <row r="314" spans="1:3" x14ac:dyDescent="0.3">
      <c r="A314" s="11">
        <v>25</v>
      </c>
      <c r="B314" s="10">
        <v>37</v>
      </c>
      <c r="C314" s="8">
        <v>38.479999999999997</v>
      </c>
    </row>
    <row r="315" spans="1:3" x14ac:dyDescent="0.3">
      <c r="A315" s="11">
        <v>13</v>
      </c>
      <c r="B315" s="10">
        <v>24</v>
      </c>
      <c r="C315" s="8">
        <v>33.92307692307692</v>
      </c>
    </row>
    <row r="316" spans="1:3" x14ac:dyDescent="0.3">
      <c r="A316" s="11">
        <v>15</v>
      </c>
      <c r="B316" s="10">
        <v>18</v>
      </c>
      <c r="C316" s="8">
        <v>40.06666666666667</v>
      </c>
    </row>
    <row r="317" spans="1:3" x14ac:dyDescent="0.3">
      <c r="A317" s="11">
        <v>33</v>
      </c>
      <c r="B317" s="10">
        <v>67</v>
      </c>
      <c r="C317" s="8">
        <v>29.90909090909091</v>
      </c>
    </row>
    <row r="318" spans="1:3" x14ac:dyDescent="0.3">
      <c r="A318" s="11">
        <v>9</v>
      </c>
      <c r="B318" s="10">
        <v>13</v>
      </c>
      <c r="C318" s="8">
        <v>40.111111111111114</v>
      </c>
    </row>
    <row r="319" spans="1:3" x14ac:dyDescent="0.3">
      <c r="A319" s="11">
        <v>9</v>
      </c>
      <c r="B319" s="10">
        <v>12</v>
      </c>
      <c r="C319" s="8">
        <v>34.888888888888886</v>
      </c>
    </row>
    <row r="320" spans="1:3" x14ac:dyDescent="0.3">
      <c r="A320" s="11">
        <v>34</v>
      </c>
      <c r="B320" s="10">
        <v>75</v>
      </c>
      <c r="C320" s="8">
        <v>25.735294117647058</v>
      </c>
    </row>
    <row r="321" spans="1:3" x14ac:dyDescent="0.3">
      <c r="A321" s="11">
        <v>14</v>
      </c>
      <c r="B321" s="10">
        <v>29</v>
      </c>
      <c r="C321" s="8">
        <v>39.428571428571431</v>
      </c>
    </row>
    <row r="322" spans="1:3" x14ac:dyDescent="0.3">
      <c r="A322" s="11">
        <v>5</v>
      </c>
      <c r="B322" s="10">
        <v>10</v>
      </c>
      <c r="C322" s="8">
        <v>32.799999999999997</v>
      </c>
    </row>
    <row r="323" spans="1:3" x14ac:dyDescent="0.3">
      <c r="A323" s="11">
        <v>26</v>
      </c>
      <c r="B323" s="10">
        <v>43</v>
      </c>
      <c r="C323" s="8">
        <v>36.884615384615387</v>
      </c>
    </row>
    <row r="324" spans="1:3" x14ac:dyDescent="0.3">
      <c r="A324" s="11">
        <v>25</v>
      </c>
      <c r="B324" s="10">
        <v>55</v>
      </c>
      <c r="C324" s="8">
        <v>26.48</v>
      </c>
    </row>
    <row r="325" spans="1:3" x14ac:dyDescent="0.3">
      <c r="A325" s="11">
        <v>10</v>
      </c>
      <c r="B325" s="10">
        <v>13</v>
      </c>
      <c r="C325" s="8">
        <v>36.6</v>
      </c>
    </row>
    <row r="326" spans="1:3" x14ac:dyDescent="0.3">
      <c r="A326" s="11">
        <v>21</v>
      </c>
      <c r="B326" s="10">
        <v>44</v>
      </c>
      <c r="C326" s="8">
        <v>39.80952380952381</v>
      </c>
    </row>
    <row r="327" spans="1:3" x14ac:dyDescent="0.3">
      <c r="A327" s="11">
        <v>20</v>
      </c>
      <c r="B327" s="10">
        <v>34</v>
      </c>
      <c r="C327" s="8">
        <v>34.450000000000003</v>
      </c>
    </row>
    <row r="328" spans="1:3" x14ac:dyDescent="0.3">
      <c r="A328" s="11">
        <v>11</v>
      </c>
      <c r="B328" s="10">
        <v>14</v>
      </c>
      <c r="C328" s="8">
        <v>37.545454545454547</v>
      </c>
    </row>
    <row r="329" spans="1:3" x14ac:dyDescent="0.3">
      <c r="A329" s="11">
        <v>17</v>
      </c>
      <c r="B329" s="10">
        <v>26</v>
      </c>
      <c r="C329" s="8">
        <v>38.176470588235297</v>
      </c>
    </row>
    <row r="330" spans="1:3" x14ac:dyDescent="0.3">
      <c r="A330" s="11">
        <v>32</v>
      </c>
      <c r="B330" s="10">
        <v>50</v>
      </c>
      <c r="C330" s="8">
        <v>26.09375</v>
      </c>
    </row>
    <row r="331" spans="1:3" x14ac:dyDescent="0.3">
      <c r="A331" s="11">
        <v>12</v>
      </c>
      <c r="B331" s="10">
        <v>19</v>
      </c>
      <c r="C331" s="8">
        <v>34.583333333333336</v>
      </c>
    </row>
    <row r="332" spans="1:3" x14ac:dyDescent="0.3">
      <c r="A332" s="11">
        <v>25</v>
      </c>
      <c r="B332" s="10">
        <v>43</v>
      </c>
      <c r="C332" s="8">
        <v>28.68</v>
      </c>
    </row>
    <row r="333" spans="1:3" x14ac:dyDescent="0.3">
      <c r="A333" s="11">
        <v>17</v>
      </c>
      <c r="B333" s="10">
        <v>33</v>
      </c>
      <c r="C333" s="8">
        <v>36.411764705882355</v>
      </c>
    </row>
    <row r="334" spans="1:3" x14ac:dyDescent="0.3">
      <c r="A334" s="11">
        <v>13</v>
      </c>
      <c r="B334" s="10">
        <v>27</v>
      </c>
      <c r="C334" s="8">
        <v>42</v>
      </c>
    </row>
    <row r="335" spans="1:3" x14ac:dyDescent="0.3">
      <c r="A335" s="11">
        <v>38</v>
      </c>
      <c r="B335" s="10">
        <v>66</v>
      </c>
      <c r="C335" s="8">
        <v>25.736842105263158</v>
      </c>
    </row>
    <row r="336" spans="1:3" x14ac:dyDescent="0.3">
      <c r="A336" s="11">
        <v>2</v>
      </c>
      <c r="B336" s="10">
        <v>2</v>
      </c>
      <c r="C336" s="8">
        <v>21</v>
      </c>
    </row>
    <row r="337" spans="1:3" x14ac:dyDescent="0.3">
      <c r="A337" s="11">
        <v>8</v>
      </c>
      <c r="B337" s="10">
        <v>10</v>
      </c>
      <c r="C337" s="8">
        <v>28.625</v>
      </c>
    </row>
    <row r="338" spans="1:3" x14ac:dyDescent="0.3">
      <c r="A338" s="11">
        <v>22</v>
      </c>
      <c r="B338" s="10">
        <v>47</v>
      </c>
      <c r="C338" s="8">
        <v>32.81818181818182</v>
      </c>
    </row>
    <row r="339" spans="1:3" x14ac:dyDescent="0.3">
      <c r="A339" s="11">
        <v>19</v>
      </c>
      <c r="B339" s="10">
        <v>31</v>
      </c>
      <c r="C339" s="8">
        <v>39.05263157894737</v>
      </c>
    </row>
    <row r="340" spans="1:3" x14ac:dyDescent="0.3">
      <c r="A340" s="11">
        <v>19</v>
      </c>
      <c r="B340" s="10">
        <v>35</v>
      </c>
      <c r="C340" s="8">
        <v>27.894736842105264</v>
      </c>
    </row>
    <row r="341" spans="1:3" x14ac:dyDescent="0.3">
      <c r="A341" s="11">
        <v>26</v>
      </c>
      <c r="B341" s="10">
        <v>54</v>
      </c>
      <c r="C341" s="8">
        <v>38.269230769230766</v>
      </c>
    </row>
    <row r="342" spans="1:3" x14ac:dyDescent="0.3">
      <c r="A342" s="11">
        <v>23</v>
      </c>
      <c r="B342" s="10">
        <v>43</v>
      </c>
      <c r="C342" s="8">
        <v>34.260869565217391</v>
      </c>
    </row>
    <row r="343" spans="1:3" x14ac:dyDescent="0.3">
      <c r="A343" s="11">
        <v>6</v>
      </c>
      <c r="B343" s="10">
        <v>11</v>
      </c>
      <c r="C343" s="8">
        <v>34.666666666666664</v>
      </c>
    </row>
    <row r="344" spans="1:3" x14ac:dyDescent="0.3">
      <c r="A344" s="11">
        <v>11</v>
      </c>
      <c r="B344" s="10">
        <v>15</v>
      </c>
      <c r="C344" s="8">
        <v>45.545454545454547</v>
      </c>
    </row>
    <row r="345" spans="1:3" x14ac:dyDescent="0.3">
      <c r="A345" s="11">
        <v>8</v>
      </c>
      <c r="B345" s="10">
        <v>14</v>
      </c>
      <c r="C345" s="8">
        <v>37</v>
      </c>
    </row>
    <row r="346" spans="1:3" x14ac:dyDescent="0.3">
      <c r="A346" s="11">
        <v>24</v>
      </c>
      <c r="B346" s="10">
        <v>45</v>
      </c>
      <c r="C346" s="8">
        <v>33.541666666666664</v>
      </c>
    </row>
    <row r="347" spans="1:3" x14ac:dyDescent="0.3">
      <c r="A347" s="11">
        <v>20</v>
      </c>
      <c r="B347" s="10">
        <v>28</v>
      </c>
      <c r="C347" s="8">
        <v>44.05</v>
      </c>
    </row>
    <row r="348" spans="1:3" x14ac:dyDescent="0.3">
      <c r="A348" s="11">
        <v>17</v>
      </c>
      <c r="B348" s="10">
        <v>32</v>
      </c>
      <c r="C348" s="8">
        <v>26.764705882352942</v>
      </c>
    </row>
    <row r="349" spans="1:3" x14ac:dyDescent="0.3">
      <c r="A349" s="11">
        <v>16</v>
      </c>
      <c r="B349" s="10">
        <v>33</v>
      </c>
      <c r="C349" s="8">
        <v>42.125</v>
      </c>
    </row>
    <row r="350" spans="1:3" x14ac:dyDescent="0.3">
      <c r="A350" s="11">
        <v>7</v>
      </c>
      <c r="B350" s="10">
        <v>14</v>
      </c>
      <c r="C350" s="8">
        <v>44.285714285714285</v>
      </c>
    </row>
    <row r="351" spans="1:3" x14ac:dyDescent="0.3">
      <c r="A351" s="11">
        <v>16</v>
      </c>
      <c r="B351" s="10">
        <v>30</v>
      </c>
      <c r="C351" s="8">
        <v>35.5</v>
      </c>
    </row>
    <row r="352" spans="1:3" x14ac:dyDescent="0.3">
      <c r="A352" s="11">
        <v>16</v>
      </c>
      <c r="B352" s="10">
        <v>32</v>
      </c>
      <c r="C352" s="8">
        <v>45.3125</v>
      </c>
    </row>
    <row r="353" spans="1:3" x14ac:dyDescent="0.3">
      <c r="A353" s="11">
        <v>27</v>
      </c>
      <c r="B353" s="10">
        <v>55</v>
      </c>
      <c r="C353" s="8">
        <v>25.444444444444443</v>
      </c>
    </row>
    <row r="354" spans="1:3" x14ac:dyDescent="0.3">
      <c r="A354" s="11">
        <v>17</v>
      </c>
      <c r="B354" s="10">
        <v>29</v>
      </c>
      <c r="C354" s="8">
        <v>32.411764705882355</v>
      </c>
    </row>
    <row r="355" spans="1:3" x14ac:dyDescent="0.3">
      <c r="A355" s="11">
        <v>3</v>
      </c>
      <c r="B355" s="10">
        <v>3</v>
      </c>
      <c r="C355" s="8">
        <v>44.333333333333336</v>
      </c>
    </row>
    <row r="356" spans="1:3" x14ac:dyDescent="0.3">
      <c r="A356" s="11">
        <v>17</v>
      </c>
      <c r="B356" s="10">
        <v>22</v>
      </c>
      <c r="C356" s="8">
        <v>36.058823529411768</v>
      </c>
    </row>
    <row r="357" spans="1:3" x14ac:dyDescent="0.3">
      <c r="A357" s="11">
        <v>27</v>
      </c>
      <c r="B357" s="10">
        <v>55</v>
      </c>
      <c r="C357" s="8">
        <v>34.666666666666664</v>
      </c>
    </row>
    <row r="358" spans="1:3" x14ac:dyDescent="0.3">
      <c r="A358" s="11">
        <v>7</v>
      </c>
      <c r="B358" s="10">
        <v>9</v>
      </c>
      <c r="C358" s="8">
        <v>35.571428571428569</v>
      </c>
    </row>
    <row r="359" spans="1:3" x14ac:dyDescent="0.3">
      <c r="A359" s="11">
        <v>16</v>
      </c>
      <c r="B359" s="10">
        <v>35</v>
      </c>
      <c r="C359" s="8">
        <v>33.3125</v>
      </c>
    </row>
    <row r="360" spans="1:3" x14ac:dyDescent="0.3">
      <c r="A360" s="11">
        <v>11</v>
      </c>
      <c r="B360" s="10">
        <v>19</v>
      </c>
      <c r="C360" s="8">
        <v>30.818181818181817</v>
      </c>
    </row>
    <row r="361" spans="1:3" x14ac:dyDescent="0.3">
      <c r="A361" s="11">
        <v>1</v>
      </c>
      <c r="B361" s="10">
        <v>2</v>
      </c>
      <c r="C361" s="8">
        <v>12</v>
      </c>
    </row>
    <row r="362" spans="1:3" x14ac:dyDescent="0.3">
      <c r="A362" s="11">
        <v>6</v>
      </c>
      <c r="B362" s="10">
        <v>12</v>
      </c>
      <c r="C362" s="8">
        <v>41</v>
      </c>
    </row>
    <row r="363" spans="1:3" x14ac:dyDescent="0.3">
      <c r="A363" s="11">
        <v>5</v>
      </c>
      <c r="B363" s="10">
        <v>7</v>
      </c>
      <c r="C363" s="8">
        <v>32</v>
      </c>
    </row>
    <row r="364" spans="1:3" x14ac:dyDescent="0.3">
      <c r="A364" s="11">
        <v>22</v>
      </c>
      <c r="B364" s="10">
        <v>44</v>
      </c>
      <c r="C364" s="8">
        <v>33.090909090909093</v>
      </c>
    </row>
    <row r="365" spans="1:3" x14ac:dyDescent="0.3">
      <c r="A365" s="11">
        <v>4</v>
      </c>
      <c r="B365" s="10">
        <v>6</v>
      </c>
      <c r="C365" s="8">
        <v>30.5</v>
      </c>
    </row>
    <row r="366" spans="1:3" x14ac:dyDescent="0.3">
      <c r="A366" s="11">
        <v>5</v>
      </c>
      <c r="B366" s="10">
        <v>10</v>
      </c>
      <c r="C366" s="8">
        <v>38.200000000000003</v>
      </c>
    </row>
    <row r="367" spans="1:3" x14ac:dyDescent="0.3">
      <c r="A367" s="11">
        <v>21</v>
      </c>
      <c r="B367" s="10">
        <v>37</v>
      </c>
      <c r="C367" s="8">
        <v>26.238095238095237</v>
      </c>
    </row>
    <row r="368" spans="1:3" x14ac:dyDescent="0.3">
      <c r="A368" s="11">
        <v>20</v>
      </c>
      <c r="B368" s="10">
        <v>31</v>
      </c>
      <c r="C368" s="8">
        <v>33.049999999999997</v>
      </c>
    </row>
    <row r="369" spans="1:3" x14ac:dyDescent="0.3">
      <c r="A369" s="11">
        <v>25</v>
      </c>
      <c r="B369" s="10">
        <v>53</v>
      </c>
      <c r="C369" s="8">
        <v>33.64</v>
      </c>
    </row>
    <row r="370" spans="1:3" x14ac:dyDescent="0.3">
      <c r="A370" s="11">
        <v>14</v>
      </c>
      <c r="B370" s="10">
        <v>20</v>
      </c>
      <c r="C370" s="8">
        <v>43.571428571428569</v>
      </c>
    </row>
    <row r="371" spans="1:3" x14ac:dyDescent="0.3">
      <c r="A371" s="11">
        <v>9</v>
      </c>
      <c r="B371" s="10">
        <v>19</v>
      </c>
      <c r="C371" s="8">
        <v>41.888888888888886</v>
      </c>
    </row>
    <row r="372" spans="1:3" x14ac:dyDescent="0.3">
      <c r="A372" s="11">
        <v>13</v>
      </c>
      <c r="B372" s="10">
        <v>18</v>
      </c>
      <c r="C372" s="8">
        <v>44.53846153846154</v>
      </c>
    </row>
    <row r="373" spans="1:3" x14ac:dyDescent="0.3">
      <c r="A373" s="11">
        <v>30</v>
      </c>
      <c r="B373" s="10">
        <v>55</v>
      </c>
      <c r="C373" s="8">
        <v>27</v>
      </c>
    </row>
    <row r="374" spans="1:3" x14ac:dyDescent="0.3">
      <c r="A374" s="11">
        <v>2</v>
      </c>
      <c r="B374" s="10">
        <v>3</v>
      </c>
      <c r="C374" s="8">
        <v>40</v>
      </c>
    </row>
    <row r="375" spans="1:3" x14ac:dyDescent="0.3">
      <c r="A375" s="11">
        <v>27</v>
      </c>
      <c r="B375" s="10">
        <v>39</v>
      </c>
      <c r="C375" s="8">
        <v>28.814814814814813</v>
      </c>
    </row>
    <row r="376" spans="1:3" x14ac:dyDescent="0.3">
      <c r="A376" s="11">
        <v>5</v>
      </c>
      <c r="B376" s="10">
        <v>10</v>
      </c>
      <c r="C376" s="8">
        <v>35.6</v>
      </c>
    </row>
    <row r="377" spans="1:3" x14ac:dyDescent="0.3">
      <c r="A377" s="11">
        <v>27</v>
      </c>
      <c r="B377" s="10">
        <v>46</v>
      </c>
      <c r="C377" s="8">
        <v>30.333333333333332</v>
      </c>
    </row>
    <row r="378" spans="1:3" x14ac:dyDescent="0.3">
      <c r="A378" s="11">
        <v>15</v>
      </c>
      <c r="B378" s="10">
        <v>26</v>
      </c>
      <c r="C378" s="8">
        <v>35.666666666666664</v>
      </c>
    </row>
    <row r="379" spans="1:3" x14ac:dyDescent="0.3">
      <c r="A379" s="11">
        <v>19</v>
      </c>
      <c r="B379" s="10">
        <v>40</v>
      </c>
      <c r="C379" s="8">
        <v>34.578947368421055</v>
      </c>
    </row>
    <row r="380" spans="1:3" x14ac:dyDescent="0.3">
      <c r="A380" s="11">
        <v>9</v>
      </c>
      <c r="B380" s="10">
        <v>15</v>
      </c>
      <c r="C380" s="8">
        <v>36.666666666666664</v>
      </c>
    </row>
    <row r="381" spans="1:3" x14ac:dyDescent="0.3">
      <c r="A381" s="11">
        <v>2</v>
      </c>
      <c r="B381" s="10">
        <v>2</v>
      </c>
      <c r="C381" s="8">
        <v>36.5</v>
      </c>
    </row>
    <row r="382" spans="1:3" x14ac:dyDescent="0.3">
      <c r="A382" s="11">
        <v>22</v>
      </c>
      <c r="B382" s="10">
        <v>39</v>
      </c>
      <c r="C382" s="8">
        <v>38.227272727272727</v>
      </c>
    </row>
    <row r="383" spans="1:3" x14ac:dyDescent="0.3">
      <c r="A383" s="11">
        <v>21</v>
      </c>
      <c r="B383" s="10">
        <v>33</v>
      </c>
      <c r="C383" s="8">
        <v>30.523809523809526</v>
      </c>
    </row>
    <row r="384" spans="1:3" x14ac:dyDescent="0.3">
      <c r="A384" s="11">
        <v>1</v>
      </c>
      <c r="B384" s="10">
        <v>2</v>
      </c>
      <c r="C384" s="8">
        <v>26</v>
      </c>
    </row>
    <row r="385" spans="1:3" x14ac:dyDescent="0.3">
      <c r="A385" s="11">
        <v>14</v>
      </c>
      <c r="B385" s="10">
        <v>23</v>
      </c>
      <c r="C385" s="8">
        <v>36.214285714285715</v>
      </c>
    </row>
    <row r="386" spans="1:3" x14ac:dyDescent="0.3">
      <c r="A386" s="11">
        <v>8</v>
      </c>
      <c r="B386" s="10">
        <v>10</v>
      </c>
      <c r="C386" s="8">
        <v>24.375</v>
      </c>
    </row>
    <row r="387" spans="1:3" x14ac:dyDescent="0.3">
      <c r="A387" s="11">
        <v>4</v>
      </c>
      <c r="B387" s="10">
        <v>6</v>
      </c>
      <c r="C387" s="8">
        <v>36.5</v>
      </c>
    </row>
    <row r="388" spans="1:3" x14ac:dyDescent="0.3">
      <c r="A388" s="11">
        <v>3</v>
      </c>
      <c r="B388" s="10">
        <v>5</v>
      </c>
      <c r="C388" s="8">
        <v>32</v>
      </c>
    </row>
    <row r="389" spans="1:3" x14ac:dyDescent="0.3">
      <c r="A389" s="11">
        <v>7</v>
      </c>
      <c r="B389" s="10">
        <v>11</v>
      </c>
      <c r="C389" s="8">
        <v>34.571428571428569</v>
      </c>
    </row>
    <row r="390" spans="1:3" x14ac:dyDescent="0.3">
      <c r="A390" s="11">
        <v>2</v>
      </c>
      <c r="B390" s="10">
        <v>2</v>
      </c>
      <c r="C390" s="8">
        <v>29.5</v>
      </c>
    </row>
    <row r="391" spans="1:3" x14ac:dyDescent="0.3">
      <c r="A391" s="11">
        <v>25</v>
      </c>
      <c r="B391" s="10">
        <v>45</v>
      </c>
      <c r="C391" s="8">
        <v>27.64</v>
      </c>
    </row>
    <row r="392" spans="1:3" x14ac:dyDescent="0.3">
      <c r="A392" s="11">
        <v>5</v>
      </c>
      <c r="B392" s="10">
        <v>6</v>
      </c>
      <c r="C392" s="8">
        <v>30.4</v>
      </c>
    </row>
    <row r="393" spans="1:3" x14ac:dyDescent="0.3">
      <c r="A393" s="11">
        <v>22</v>
      </c>
      <c r="B393" s="10">
        <v>43</v>
      </c>
      <c r="C393" s="8">
        <v>28.59090909090909</v>
      </c>
    </row>
    <row r="394" spans="1:3" x14ac:dyDescent="0.3">
      <c r="A394" s="11">
        <v>34</v>
      </c>
      <c r="B394" s="10">
        <v>74</v>
      </c>
      <c r="C394" s="8">
        <v>25.852941176470587</v>
      </c>
    </row>
    <row r="395" spans="1:3" x14ac:dyDescent="0.3">
      <c r="A395" s="11">
        <v>14</v>
      </c>
      <c r="B395" s="10">
        <v>20</v>
      </c>
      <c r="C395" s="8">
        <v>42.714285714285715</v>
      </c>
    </row>
    <row r="396" spans="1:3" x14ac:dyDescent="0.3">
      <c r="A396" s="11">
        <v>19</v>
      </c>
      <c r="B396" s="10">
        <v>33</v>
      </c>
      <c r="C396" s="8">
        <v>32.421052631578945</v>
      </c>
    </row>
    <row r="397" spans="1:3" x14ac:dyDescent="0.3">
      <c r="A397" s="11">
        <v>12</v>
      </c>
      <c r="B397" s="10">
        <v>23</v>
      </c>
      <c r="C397" s="8">
        <v>45.416666666666664</v>
      </c>
    </row>
    <row r="398" spans="1:3" x14ac:dyDescent="0.3">
      <c r="A398" s="11">
        <v>27</v>
      </c>
      <c r="B398" s="10">
        <v>60</v>
      </c>
      <c r="C398" s="8">
        <v>32.962962962962962</v>
      </c>
    </row>
    <row r="399" spans="1:3" x14ac:dyDescent="0.3">
      <c r="A399" s="11">
        <v>24</v>
      </c>
      <c r="B399" s="10">
        <v>34</v>
      </c>
      <c r="C399" s="8">
        <v>28.541666666666668</v>
      </c>
    </row>
    <row r="400" spans="1:3" x14ac:dyDescent="0.3">
      <c r="A400" s="11">
        <v>22</v>
      </c>
      <c r="B400" s="10">
        <v>45</v>
      </c>
      <c r="C400" s="8">
        <v>26.454545454545453</v>
      </c>
    </row>
    <row r="401" spans="1:3" x14ac:dyDescent="0.3">
      <c r="A401" s="11">
        <v>20</v>
      </c>
      <c r="B401" s="10">
        <v>41</v>
      </c>
      <c r="C401" s="8">
        <v>34.6</v>
      </c>
    </row>
    <row r="402" spans="1:3" x14ac:dyDescent="0.3">
      <c r="A402" s="11">
        <v>12</v>
      </c>
      <c r="B402" s="10">
        <v>22</v>
      </c>
      <c r="C402" s="8">
        <v>43.583333333333336</v>
      </c>
    </row>
    <row r="403" spans="1:3" x14ac:dyDescent="0.3">
      <c r="A403" s="11">
        <v>9</v>
      </c>
      <c r="B403" s="10">
        <v>16</v>
      </c>
      <c r="C403" s="8">
        <v>29.444444444444443</v>
      </c>
    </row>
    <row r="404" spans="1:3" x14ac:dyDescent="0.3">
      <c r="A404" s="11">
        <v>21</v>
      </c>
      <c r="B404" s="10">
        <v>35</v>
      </c>
      <c r="C404" s="8">
        <v>29.38095238095238</v>
      </c>
    </row>
    <row r="405" spans="1:3" x14ac:dyDescent="0.3">
      <c r="A405" s="11">
        <v>19</v>
      </c>
      <c r="B405" s="10">
        <v>31</v>
      </c>
      <c r="C405" s="8">
        <v>38.526315789473685</v>
      </c>
    </row>
    <row r="406" spans="1:3" x14ac:dyDescent="0.3">
      <c r="A406" s="11">
        <v>28</v>
      </c>
      <c r="B406" s="10">
        <v>61</v>
      </c>
      <c r="C406" s="8">
        <v>27.25</v>
      </c>
    </row>
    <row r="407" spans="1:3" x14ac:dyDescent="0.3">
      <c r="A407" s="11">
        <v>23</v>
      </c>
      <c r="B407" s="10">
        <v>41</v>
      </c>
      <c r="C407" s="8">
        <v>29.565217391304348</v>
      </c>
    </row>
    <row r="408" spans="1:3" x14ac:dyDescent="0.3">
      <c r="A408" s="11">
        <v>13</v>
      </c>
      <c r="B408" s="10">
        <v>16</v>
      </c>
      <c r="C408" s="8">
        <v>30.923076923076923</v>
      </c>
    </row>
    <row r="409" spans="1:3" x14ac:dyDescent="0.3">
      <c r="A409" s="11">
        <v>14</v>
      </c>
      <c r="B409" s="10">
        <v>24</v>
      </c>
      <c r="C409" s="8">
        <v>43.428571428571431</v>
      </c>
    </row>
    <row r="410" spans="1:3" x14ac:dyDescent="0.3">
      <c r="A410" s="11">
        <v>15</v>
      </c>
      <c r="B410" s="10">
        <v>23</v>
      </c>
      <c r="C410" s="8">
        <v>33.266666666666666</v>
      </c>
    </row>
    <row r="411" spans="1:3" x14ac:dyDescent="0.3">
      <c r="A411" s="11">
        <v>24</v>
      </c>
      <c r="B411" s="10">
        <v>45</v>
      </c>
      <c r="C411" s="8">
        <v>28.958333333333332</v>
      </c>
    </row>
    <row r="412" spans="1:3" x14ac:dyDescent="0.3">
      <c r="A412" s="11">
        <v>19</v>
      </c>
      <c r="B412" s="10">
        <v>24</v>
      </c>
      <c r="C412" s="8">
        <v>32.736842105263158</v>
      </c>
    </row>
    <row r="413" spans="1:3" x14ac:dyDescent="0.3">
      <c r="A413" s="11">
        <v>20</v>
      </c>
      <c r="B413" s="10">
        <v>36</v>
      </c>
      <c r="C413" s="8">
        <v>30.4</v>
      </c>
    </row>
    <row r="414" spans="1:3" x14ac:dyDescent="0.3">
      <c r="A414" s="11">
        <v>7</v>
      </c>
      <c r="B414" s="10">
        <v>12</v>
      </c>
      <c r="C414" s="8">
        <v>43.142857142857146</v>
      </c>
    </row>
    <row r="415" spans="1:3" x14ac:dyDescent="0.3">
      <c r="A415" s="11">
        <v>6</v>
      </c>
      <c r="B415" s="10">
        <v>12</v>
      </c>
      <c r="C415" s="8">
        <v>27.333333333333332</v>
      </c>
    </row>
    <row r="416" spans="1:3" x14ac:dyDescent="0.3">
      <c r="A416" s="11">
        <v>25</v>
      </c>
      <c r="B416" s="10">
        <v>37</v>
      </c>
      <c r="C416" s="8">
        <v>38.76</v>
      </c>
    </row>
    <row r="417" spans="1:3" x14ac:dyDescent="0.3">
      <c r="A417" s="11">
        <v>6</v>
      </c>
      <c r="B417" s="10">
        <v>12</v>
      </c>
      <c r="C417" s="8">
        <v>35.333333333333336</v>
      </c>
    </row>
    <row r="418" spans="1:3" x14ac:dyDescent="0.3">
      <c r="A418" s="11">
        <v>13</v>
      </c>
      <c r="B418" s="10">
        <v>19</v>
      </c>
      <c r="C418" s="8">
        <v>35.692307692307693</v>
      </c>
    </row>
    <row r="419" spans="1:3" x14ac:dyDescent="0.3">
      <c r="A419" s="11">
        <v>18</v>
      </c>
      <c r="B419" s="10">
        <v>35</v>
      </c>
      <c r="C419" s="8">
        <v>33.333333333333336</v>
      </c>
    </row>
    <row r="420" spans="1:3" x14ac:dyDescent="0.3">
      <c r="A420" s="11">
        <v>8</v>
      </c>
      <c r="B420" s="10">
        <v>14</v>
      </c>
      <c r="C420" s="8">
        <v>32.125</v>
      </c>
    </row>
    <row r="421" spans="1:3" x14ac:dyDescent="0.3">
      <c r="A421" s="11">
        <v>13</v>
      </c>
      <c r="B421" s="10">
        <v>24</v>
      </c>
      <c r="C421" s="8">
        <v>34.692307692307693</v>
      </c>
    </row>
    <row r="422" spans="1:3" x14ac:dyDescent="0.3">
      <c r="A422" s="11">
        <v>10</v>
      </c>
      <c r="B422" s="10">
        <v>22</v>
      </c>
      <c r="C422" s="8">
        <v>38.299999999999997</v>
      </c>
    </row>
    <row r="423" spans="1:3" x14ac:dyDescent="0.3">
      <c r="A423" s="11">
        <v>11</v>
      </c>
      <c r="B423" s="10">
        <v>23</v>
      </c>
      <c r="C423" s="8">
        <v>31</v>
      </c>
    </row>
    <row r="424" spans="1:3" x14ac:dyDescent="0.3">
      <c r="A424" s="11">
        <v>15</v>
      </c>
      <c r="B424" s="10">
        <v>30</v>
      </c>
      <c r="C424" s="8">
        <v>38.799999999999997</v>
      </c>
    </row>
    <row r="425" spans="1:3" x14ac:dyDescent="0.3">
      <c r="A425" s="11">
        <v>15</v>
      </c>
      <c r="B425" s="10">
        <v>25</v>
      </c>
      <c r="C425" s="8">
        <v>31.2</v>
      </c>
    </row>
    <row r="426" spans="1:3" x14ac:dyDescent="0.3">
      <c r="A426" s="11">
        <v>2</v>
      </c>
      <c r="B426" s="10">
        <v>3</v>
      </c>
      <c r="C426" s="8">
        <v>21.5</v>
      </c>
    </row>
    <row r="427" spans="1:3" x14ac:dyDescent="0.3">
      <c r="A427" s="11">
        <v>21</v>
      </c>
      <c r="B427" s="10">
        <v>42</v>
      </c>
      <c r="C427" s="8">
        <v>36.952380952380949</v>
      </c>
    </row>
    <row r="428" spans="1:3" x14ac:dyDescent="0.3">
      <c r="A428" s="11">
        <v>2</v>
      </c>
      <c r="B428" s="10">
        <v>3</v>
      </c>
      <c r="C428" s="8">
        <v>33</v>
      </c>
    </row>
    <row r="429" spans="1:3" x14ac:dyDescent="0.3">
      <c r="A429" s="11">
        <v>5</v>
      </c>
      <c r="B429" s="10">
        <v>9</v>
      </c>
      <c r="C429" s="8">
        <v>33.799999999999997</v>
      </c>
    </row>
    <row r="430" spans="1:3" x14ac:dyDescent="0.3">
      <c r="A430" s="11">
        <v>7</v>
      </c>
      <c r="B430" s="10">
        <v>14</v>
      </c>
      <c r="C430" s="8">
        <v>43.285714285714285</v>
      </c>
    </row>
    <row r="431" spans="1:3" x14ac:dyDescent="0.3">
      <c r="A431" s="11">
        <v>23</v>
      </c>
      <c r="B431" s="10">
        <v>36</v>
      </c>
      <c r="C431" s="8">
        <v>36.739130434782609</v>
      </c>
    </row>
    <row r="432" spans="1:3" x14ac:dyDescent="0.3">
      <c r="A432" s="11">
        <v>23</v>
      </c>
      <c r="B432" s="10">
        <v>39</v>
      </c>
      <c r="C432" s="8">
        <v>30.260869565217391</v>
      </c>
    </row>
    <row r="433" spans="1:3" x14ac:dyDescent="0.3">
      <c r="A433" s="11">
        <v>19</v>
      </c>
      <c r="B433" s="10">
        <v>26</v>
      </c>
      <c r="C433" s="8">
        <v>42.89473684210526</v>
      </c>
    </row>
    <row r="434" spans="1:3" x14ac:dyDescent="0.3">
      <c r="A434" s="11">
        <v>4</v>
      </c>
      <c r="B434" s="10">
        <v>5</v>
      </c>
      <c r="C434" s="8">
        <v>47</v>
      </c>
    </row>
    <row r="435" spans="1:3" x14ac:dyDescent="0.3">
      <c r="A435" s="11">
        <v>28</v>
      </c>
      <c r="B435" s="10">
        <v>53</v>
      </c>
      <c r="C435" s="8">
        <v>29.178571428571427</v>
      </c>
    </row>
    <row r="436" spans="1:3" x14ac:dyDescent="0.3">
      <c r="A436" s="11">
        <v>4</v>
      </c>
      <c r="B436" s="10">
        <v>7</v>
      </c>
      <c r="C436" s="8">
        <v>41</v>
      </c>
    </row>
    <row r="437" spans="1:3" x14ac:dyDescent="0.3">
      <c r="A437" s="11">
        <v>14</v>
      </c>
      <c r="B437" s="10">
        <v>29</v>
      </c>
      <c r="C437" s="8">
        <v>28.857142857142858</v>
      </c>
    </row>
    <row r="438" spans="1:3" x14ac:dyDescent="0.3">
      <c r="A438" s="11">
        <v>32</v>
      </c>
      <c r="B438" s="10">
        <v>58</v>
      </c>
      <c r="C438" s="8">
        <v>24.9375</v>
      </c>
    </row>
    <row r="439" spans="1:3" x14ac:dyDescent="0.3">
      <c r="A439" s="11">
        <v>15</v>
      </c>
      <c r="B439" s="10">
        <v>26</v>
      </c>
      <c r="C439" s="8">
        <v>33</v>
      </c>
    </row>
    <row r="440" spans="1:3" x14ac:dyDescent="0.3">
      <c r="A440" s="11">
        <v>35</v>
      </c>
      <c r="B440" s="10">
        <v>80</v>
      </c>
      <c r="C440" s="8">
        <v>27.028571428571428</v>
      </c>
    </row>
    <row r="441" spans="1:3" x14ac:dyDescent="0.3">
      <c r="A441" s="11">
        <v>19</v>
      </c>
      <c r="B441" s="10">
        <v>32</v>
      </c>
      <c r="C441" s="8">
        <v>31.894736842105264</v>
      </c>
    </row>
    <row r="442" spans="1:3" x14ac:dyDescent="0.3">
      <c r="A442" s="11">
        <v>7</v>
      </c>
      <c r="B442" s="10">
        <v>15</v>
      </c>
      <c r="C442" s="8">
        <v>37.285714285714285</v>
      </c>
    </row>
    <row r="443" spans="1:3" x14ac:dyDescent="0.3">
      <c r="A443" s="11">
        <v>10</v>
      </c>
      <c r="B443" s="10">
        <v>13</v>
      </c>
      <c r="C443" s="8">
        <v>43.5</v>
      </c>
    </row>
    <row r="444" spans="1:3" x14ac:dyDescent="0.3">
      <c r="A444" s="11">
        <v>30</v>
      </c>
      <c r="B444" s="10">
        <v>67</v>
      </c>
      <c r="C444" s="8">
        <v>32.06666666666667</v>
      </c>
    </row>
    <row r="445" spans="1:3" x14ac:dyDescent="0.3">
      <c r="A445" s="11">
        <v>29</v>
      </c>
      <c r="B445" s="10">
        <v>49</v>
      </c>
      <c r="C445" s="8">
        <v>33.793103448275865</v>
      </c>
    </row>
    <row r="446" spans="1:3" x14ac:dyDescent="0.3">
      <c r="A446" s="11">
        <v>13</v>
      </c>
      <c r="B446" s="10">
        <v>28</v>
      </c>
      <c r="C446" s="8">
        <v>38.07692307692308</v>
      </c>
    </row>
    <row r="447" spans="1:3" x14ac:dyDescent="0.3">
      <c r="A447" s="11">
        <v>15</v>
      </c>
      <c r="B447" s="10">
        <v>22</v>
      </c>
      <c r="C447" s="8">
        <v>44.666666666666664</v>
      </c>
    </row>
    <row r="448" spans="1:3" x14ac:dyDescent="0.3">
      <c r="A448" s="11">
        <v>18</v>
      </c>
      <c r="B448" s="10">
        <v>24</v>
      </c>
      <c r="C448" s="8">
        <v>29.5</v>
      </c>
    </row>
    <row r="449" spans="1:3" x14ac:dyDescent="0.3">
      <c r="A449" s="11">
        <v>3</v>
      </c>
      <c r="B449" s="10">
        <v>3</v>
      </c>
      <c r="C449" s="8">
        <v>46.666666666666664</v>
      </c>
    </row>
    <row r="450" spans="1:3" x14ac:dyDescent="0.3">
      <c r="A450" s="11">
        <v>10</v>
      </c>
      <c r="B450" s="10">
        <v>16</v>
      </c>
      <c r="C450" s="8">
        <v>41.3</v>
      </c>
    </row>
    <row r="451" spans="1:3" x14ac:dyDescent="0.3">
      <c r="A451" s="11">
        <v>7</v>
      </c>
      <c r="B451" s="10">
        <v>14</v>
      </c>
      <c r="C451" s="8">
        <v>29</v>
      </c>
    </row>
    <row r="452" spans="1:3" x14ac:dyDescent="0.3">
      <c r="A452" s="11">
        <v>3</v>
      </c>
      <c r="B452" s="10">
        <v>3</v>
      </c>
      <c r="C452" s="8">
        <v>34</v>
      </c>
    </row>
    <row r="453" spans="1:3" x14ac:dyDescent="0.3">
      <c r="A453" s="11">
        <v>3</v>
      </c>
      <c r="B453" s="10">
        <v>4</v>
      </c>
      <c r="C453" s="8">
        <v>39</v>
      </c>
    </row>
    <row r="454" spans="1:3" x14ac:dyDescent="0.3">
      <c r="A454" s="11">
        <v>8</v>
      </c>
      <c r="B454" s="10">
        <v>11</v>
      </c>
      <c r="C454" s="8">
        <v>36.5</v>
      </c>
    </row>
    <row r="455" spans="1:3" x14ac:dyDescent="0.3">
      <c r="A455" s="11">
        <v>24</v>
      </c>
      <c r="B455" s="10">
        <v>35</v>
      </c>
      <c r="C455" s="8">
        <v>26.375</v>
      </c>
    </row>
    <row r="456" spans="1:3" x14ac:dyDescent="0.3">
      <c r="A456" s="11">
        <v>1</v>
      </c>
      <c r="B456" s="10">
        <v>2</v>
      </c>
      <c r="C456" s="8">
        <v>42</v>
      </c>
    </row>
    <row r="457" spans="1:3" x14ac:dyDescent="0.3">
      <c r="A457" s="11">
        <v>19</v>
      </c>
      <c r="B457" s="10">
        <v>26</v>
      </c>
      <c r="C457" s="8">
        <v>41.89473684210526</v>
      </c>
    </row>
    <row r="458" spans="1:3" x14ac:dyDescent="0.3">
      <c r="A458" s="11">
        <v>13</v>
      </c>
      <c r="B458" s="10">
        <v>23</v>
      </c>
      <c r="C458" s="8">
        <v>39.846153846153847</v>
      </c>
    </row>
    <row r="459" spans="1:3" x14ac:dyDescent="0.3">
      <c r="A459" s="11">
        <v>2</v>
      </c>
      <c r="B459" s="10">
        <v>4</v>
      </c>
      <c r="C459" s="8">
        <v>45.5</v>
      </c>
    </row>
    <row r="460" spans="1:3" x14ac:dyDescent="0.3">
      <c r="A460" s="11">
        <v>21</v>
      </c>
      <c r="B460" s="10">
        <v>50</v>
      </c>
      <c r="C460" s="8">
        <v>29.238095238095237</v>
      </c>
    </row>
    <row r="461" spans="1:3" x14ac:dyDescent="0.3">
      <c r="A461" s="11">
        <v>35</v>
      </c>
      <c r="B461" s="10">
        <v>84</v>
      </c>
      <c r="C461" s="8">
        <v>26.971428571428572</v>
      </c>
    </row>
    <row r="462" spans="1:3" x14ac:dyDescent="0.3">
      <c r="A462" s="11">
        <v>15</v>
      </c>
      <c r="B462" s="10">
        <v>31</v>
      </c>
      <c r="C462" s="8">
        <v>28.533333333333335</v>
      </c>
    </row>
    <row r="463" spans="1:3" x14ac:dyDescent="0.3">
      <c r="A463" s="11">
        <v>4</v>
      </c>
      <c r="B463" s="10">
        <v>5</v>
      </c>
      <c r="C463" s="8">
        <v>38.5</v>
      </c>
    </row>
    <row r="464" spans="1:3" x14ac:dyDescent="0.3">
      <c r="A464" s="11">
        <v>18</v>
      </c>
      <c r="B464" s="10">
        <v>24</v>
      </c>
      <c r="C464" s="8">
        <v>36.722222222222221</v>
      </c>
    </row>
    <row r="465" spans="1:3" x14ac:dyDescent="0.3">
      <c r="A465" s="11">
        <v>13</v>
      </c>
      <c r="B465" s="10">
        <v>20</v>
      </c>
      <c r="C465" s="8">
        <v>40.307692307692307</v>
      </c>
    </row>
    <row r="466" spans="1:3" x14ac:dyDescent="0.3">
      <c r="A466" s="11">
        <v>8</v>
      </c>
      <c r="B466" s="10">
        <v>11</v>
      </c>
      <c r="C466" s="8">
        <v>29.375</v>
      </c>
    </row>
    <row r="467" spans="1:3" x14ac:dyDescent="0.3">
      <c r="A467" s="11">
        <v>15</v>
      </c>
      <c r="B467" s="10">
        <v>20</v>
      </c>
      <c r="C467" s="8">
        <v>37.6</v>
      </c>
    </row>
    <row r="468" spans="1:3" x14ac:dyDescent="0.3">
      <c r="A468" s="11">
        <v>14</v>
      </c>
      <c r="B468" s="10">
        <v>27</v>
      </c>
      <c r="C468" s="8">
        <v>29.928571428571427</v>
      </c>
    </row>
    <row r="469" spans="1:3" x14ac:dyDescent="0.3">
      <c r="A469" s="11">
        <v>1</v>
      </c>
      <c r="B469" s="10">
        <v>1</v>
      </c>
      <c r="C469" s="8">
        <v>22</v>
      </c>
    </row>
    <row r="470" spans="1:3" x14ac:dyDescent="0.3">
      <c r="A470" s="11">
        <v>32</v>
      </c>
      <c r="B470" s="10">
        <v>52</v>
      </c>
      <c r="C470" s="8">
        <v>31.15625</v>
      </c>
    </row>
    <row r="471" spans="1:3" x14ac:dyDescent="0.3">
      <c r="A471" s="11">
        <v>21</v>
      </c>
      <c r="B471" s="10">
        <v>33</v>
      </c>
      <c r="C471" s="8">
        <v>42.142857142857146</v>
      </c>
    </row>
    <row r="472" spans="1:3" x14ac:dyDescent="0.3">
      <c r="A472" s="11">
        <v>30</v>
      </c>
      <c r="B472" s="10">
        <v>60</v>
      </c>
      <c r="C472" s="8">
        <v>25.266666666666666</v>
      </c>
    </row>
    <row r="473" spans="1:3" x14ac:dyDescent="0.3">
      <c r="A473" s="11">
        <v>6</v>
      </c>
      <c r="B473" s="10">
        <v>11</v>
      </c>
      <c r="C473" s="8">
        <v>39.5</v>
      </c>
    </row>
    <row r="474" spans="1:3" x14ac:dyDescent="0.3">
      <c r="A474" s="11">
        <v>5</v>
      </c>
      <c r="B474" s="10">
        <v>8</v>
      </c>
      <c r="C474" s="8">
        <v>34.799999999999997</v>
      </c>
    </row>
    <row r="475" spans="1:3" x14ac:dyDescent="0.3">
      <c r="A475" s="11">
        <v>26</v>
      </c>
      <c r="B475" s="10">
        <v>48</v>
      </c>
      <c r="C475" s="8">
        <v>26.807692307692307</v>
      </c>
    </row>
    <row r="476" spans="1:3" x14ac:dyDescent="0.3">
      <c r="A476" s="11">
        <v>28</v>
      </c>
      <c r="B476" s="10">
        <v>64</v>
      </c>
      <c r="C476" s="8">
        <v>29.428571428571427</v>
      </c>
    </row>
    <row r="477" spans="1:3" x14ac:dyDescent="0.3">
      <c r="A477" s="11">
        <v>24</v>
      </c>
      <c r="B477" s="10">
        <v>50</v>
      </c>
      <c r="C477" s="8">
        <v>27.083333333333332</v>
      </c>
    </row>
    <row r="478" spans="1:3" x14ac:dyDescent="0.3">
      <c r="A478" s="11">
        <v>26</v>
      </c>
      <c r="B478" s="10">
        <v>37</v>
      </c>
      <c r="C478" s="8">
        <v>34.846153846153847</v>
      </c>
    </row>
    <row r="479" spans="1:3" x14ac:dyDescent="0.3">
      <c r="A479" s="11">
        <v>22</v>
      </c>
      <c r="B479" s="10">
        <v>47</v>
      </c>
      <c r="C479" s="8">
        <v>33.409090909090907</v>
      </c>
    </row>
    <row r="480" spans="1:3" x14ac:dyDescent="0.3">
      <c r="A480" s="11">
        <v>6</v>
      </c>
      <c r="B480" s="10">
        <v>11</v>
      </c>
      <c r="C480" s="8">
        <v>29.166666666666668</v>
      </c>
    </row>
    <row r="481" spans="1:3" x14ac:dyDescent="0.3">
      <c r="A481" s="11">
        <v>36</v>
      </c>
      <c r="B481" s="10">
        <v>61</v>
      </c>
      <c r="C481" s="8">
        <v>25.277777777777779</v>
      </c>
    </row>
    <row r="482" spans="1:3" x14ac:dyDescent="0.3">
      <c r="A482" s="11">
        <v>20</v>
      </c>
      <c r="B482" s="10">
        <v>48</v>
      </c>
      <c r="C482" s="8">
        <v>41.1</v>
      </c>
    </row>
    <row r="483" spans="1:3" x14ac:dyDescent="0.3">
      <c r="A483" s="11">
        <v>4</v>
      </c>
      <c r="B483" s="10">
        <v>4</v>
      </c>
      <c r="C483" s="8">
        <v>34.25</v>
      </c>
    </row>
    <row r="484" spans="1:3" x14ac:dyDescent="0.3">
      <c r="A484" s="11">
        <v>23</v>
      </c>
      <c r="B484" s="10">
        <v>48</v>
      </c>
      <c r="C484" s="8">
        <v>36.217391304347828</v>
      </c>
    </row>
    <row r="485" spans="1:3" x14ac:dyDescent="0.3">
      <c r="A485" s="11">
        <v>30</v>
      </c>
      <c r="B485" s="10">
        <v>46</v>
      </c>
      <c r="C485" s="8">
        <v>26.366666666666667</v>
      </c>
    </row>
    <row r="486" spans="1:3" x14ac:dyDescent="0.3">
      <c r="A486" s="11">
        <v>8</v>
      </c>
      <c r="B486" s="10">
        <v>10</v>
      </c>
      <c r="C486" s="8">
        <v>26.875</v>
      </c>
    </row>
    <row r="487" spans="1:3" x14ac:dyDescent="0.3">
      <c r="A487" s="11">
        <v>7</v>
      </c>
      <c r="B487" s="10">
        <v>9</v>
      </c>
      <c r="C487" s="8">
        <v>28.285714285714285</v>
      </c>
    </row>
    <row r="488" spans="1:3" x14ac:dyDescent="0.3">
      <c r="A488" s="11">
        <v>14</v>
      </c>
      <c r="B488" s="10">
        <v>27</v>
      </c>
      <c r="C488" s="8">
        <v>29.071428571428573</v>
      </c>
    </row>
    <row r="489" spans="1:3" x14ac:dyDescent="0.3">
      <c r="A489" s="11">
        <v>17</v>
      </c>
      <c r="B489" s="10">
        <v>36</v>
      </c>
      <c r="C489" s="8">
        <v>35.058823529411768</v>
      </c>
    </row>
    <row r="490" spans="1:3" x14ac:dyDescent="0.3">
      <c r="A490" s="11">
        <v>30</v>
      </c>
      <c r="B490" s="10">
        <v>66</v>
      </c>
      <c r="C490" s="8">
        <v>27.133333333333333</v>
      </c>
    </row>
    <row r="491" spans="1:3" x14ac:dyDescent="0.3">
      <c r="A491" s="11">
        <v>21</v>
      </c>
      <c r="B491" s="10">
        <v>32</v>
      </c>
      <c r="C491" s="8">
        <v>38.714285714285715</v>
      </c>
    </row>
    <row r="492" spans="1:3" x14ac:dyDescent="0.3">
      <c r="A492" s="11">
        <v>2</v>
      </c>
      <c r="B492" s="10">
        <v>4</v>
      </c>
      <c r="C492" s="8">
        <v>24</v>
      </c>
    </row>
    <row r="493" spans="1:3" x14ac:dyDescent="0.3">
      <c r="A493" s="11">
        <v>24</v>
      </c>
      <c r="B493" s="10">
        <v>40</v>
      </c>
      <c r="C493" s="8">
        <v>27.833333333333332</v>
      </c>
    </row>
    <row r="494" spans="1:3" x14ac:dyDescent="0.3">
      <c r="A494" s="11">
        <v>37</v>
      </c>
      <c r="B494" s="10">
        <v>80</v>
      </c>
      <c r="C494" s="8">
        <v>26.675675675675677</v>
      </c>
    </row>
    <row r="495" spans="1:3" x14ac:dyDescent="0.3">
      <c r="A495" s="11">
        <v>16</v>
      </c>
      <c r="B495" s="10">
        <v>27</v>
      </c>
      <c r="C495" s="8">
        <v>38.4375</v>
      </c>
    </row>
    <row r="496" spans="1:3" x14ac:dyDescent="0.3">
      <c r="A496" s="11">
        <v>27</v>
      </c>
      <c r="B496" s="10">
        <v>61</v>
      </c>
      <c r="C496" s="8">
        <v>32</v>
      </c>
    </row>
    <row r="497" spans="1:3" x14ac:dyDescent="0.3">
      <c r="A497" s="11">
        <v>15</v>
      </c>
      <c r="B497" s="10">
        <v>25</v>
      </c>
      <c r="C497" s="8">
        <v>44.2</v>
      </c>
    </row>
    <row r="498" spans="1:3" x14ac:dyDescent="0.3">
      <c r="A498" s="11">
        <v>6</v>
      </c>
      <c r="B498" s="10">
        <v>12</v>
      </c>
      <c r="C498" s="8">
        <v>41.333333333333336</v>
      </c>
    </row>
    <row r="499" spans="1:3" x14ac:dyDescent="0.3">
      <c r="A499" s="11">
        <v>29</v>
      </c>
      <c r="B499" s="10">
        <v>44</v>
      </c>
      <c r="C499" s="8">
        <v>27.137931034482758</v>
      </c>
    </row>
    <row r="500" spans="1:3" x14ac:dyDescent="0.3">
      <c r="A500" s="11">
        <v>28</v>
      </c>
      <c r="B500" s="10">
        <v>46</v>
      </c>
      <c r="C500" s="8">
        <v>27.357142857142858</v>
      </c>
    </row>
    <row r="501" spans="1:3" x14ac:dyDescent="0.3">
      <c r="A501" s="11">
        <v>9</v>
      </c>
      <c r="B501" s="10">
        <v>17</v>
      </c>
      <c r="C501" s="8">
        <v>31</v>
      </c>
    </row>
    <row r="502" spans="1:3" x14ac:dyDescent="0.3">
      <c r="A502" s="11">
        <v>14</v>
      </c>
      <c r="B502" s="10">
        <v>27</v>
      </c>
      <c r="C502" s="8">
        <v>26.142857142857142</v>
      </c>
    </row>
    <row r="503" spans="1:3" x14ac:dyDescent="0.3">
      <c r="A503" s="11">
        <v>11</v>
      </c>
      <c r="B503" s="10">
        <v>21</v>
      </c>
      <c r="C503" s="8">
        <v>36.81818181818182</v>
      </c>
    </row>
    <row r="504" spans="1:3" x14ac:dyDescent="0.3">
      <c r="A504" s="11">
        <v>16</v>
      </c>
      <c r="B504" s="10">
        <v>32</v>
      </c>
      <c r="C504" s="8">
        <v>27.625</v>
      </c>
    </row>
    <row r="505" spans="1:3" x14ac:dyDescent="0.3">
      <c r="A505" s="11">
        <v>6</v>
      </c>
      <c r="B505" s="10">
        <v>10</v>
      </c>
      <c r="C505" s="8">
        <v>45.333333333333336</v>
      </c>
    </row>
    <row r="506" spans="1:3" x14ac:dyDescent="0.3">
      <c r="A506" s="11">
        <v>3</v>
      </c>
      <c r="B506" s="10">
        <v>5</v>
      </c>
      <c r="C506" s="8">
        <v>28.333333333333332</v>
      </c>
    </row>
    <row r="507" spans="1:3" x14ac:dyDescent="0.3">
      <c r="A507" s="11">
        <v>9</v>
      </c>
      <c r="B507" s="10">
        <v>16</v>
      </c>
      <c r="C507" s="8">
        <v>43.666666666666664</v>
      </c>
    </row>
    <row r="508" spans="1:3" x14ac:dyDescent="0.3">
      <c r="A508" s="11">
        <v>11</v>
      </c>
      <c r="B508" s="10">
        <v>19</v>
      </c>
      <c r="C508" s="8">
        <v>43.454545454545453</v>
      </c>
    </row>
    <row r="509" spans="1:3" x14ac:dyDescent="0.3">
      <c r="A509" s="11">
        <v>26</v>
      </c>
      <c r="B509" s="10">
        <v>43</v>
      </c>
      <c r="C509" s="8">
        <v>36.730769230769234</v>
      </c>
    </row>
    <row r="510" spans="1:3" x14ac:dyDescent="0.3">
      <c r="A510" s="11">
        <v>14</v>
      </c>
      <c r="B510" s="10">
        <v>30</v>
      </c>
      <c r="C510" s="8">
        <v>28.357142857142858</v>
      </c>
    </row>
    <row r="511" spans="1:3" x14ac:dyDescent="0.3">
      <c r="A511" s="11">
        <v>9</v>
      </c>
      <c r="B511" s="10">
        <v>14</v>
      </c>
      <c r="C511" s="8">
        <v>36.444444444444443</v>
      </c>
    </row>
    <row r="512" spans="1:3" x14ac:dyDescent="0.3">
      <c r="A512" s="11">
        <v>3</v>
      </c>
      <c r="B512" s="10">
        <v>5</v>
      </c>
      <c r="C512" s="8">
        <v>38.666666666666664</v>
      </c>
    </row>
    <row r="513" spans="1:3" x14ac:dyDescent="0.3">
      <c r="A513" s="11">
        <v>19</v>
      </c>
      <c r="B513" s="10">
        <v>25</v>
      </c>
      <c r="C513" s="8">
        <v>30.473684210526315</v>
      </c>
    </row>
    <row r="514" spans="1:3" x14ac:dyDescent="0.3">
      <c r="A514" s="11">
        <v>7</v>
      </c>
      <c r="B514" s="10">
        <v>10</v>
      </c>
      <c r="C514" s="8">
        <v>32.571428571428569</v>
      </c>
    </row>
    <row r="515" spans="1:3" x14ac:dyDescent="0.3">
      <c r="A515" s="11">
        <v>9</v>
      </c>
      <c r="B515" s="10">
        <v>11</v>
      </c>
      <c r="C515" s="8">
        <v>37.888888888888886</v>
      </c>
    </row>
    <row r="516" spans="1:3" x14ac:dyDescent="0.3">
      <c r="A516" s="11">
        <v>13</v>
      </c>
      <c r="B516" s="10">
        <v>23</v>
      </c>
      <c r="C516" s="8">
        <v>42.07692307692308</v>
      </c>
    </row>
    <row r="517" spans="1:3" x14ac:dyDescent="0.3">
      <c r="A517" s="11">
        <v>12</v>
      </c>
      <c r="B517" s="10">
        <v>20</v>
      </c>
      <c r="C517" s="8">
        <v>37.583333333333336</v>
      </c>
    </row>
    <row r="518" spans="1:3" x14ac:dyDescent="0.3">
      <c r="A518" s="11">
        <v>24</v>
      </c>
      <c r="B518" s="10">
        <v>47</v>
      </c>
      <c r="C518" s="8">
        <v>41.125</v>
      </c>
    </row>
    <row r="519" spans="1:3" x14ac:dyDescent="0.3">
      <c r="A519" s="11">
        <v>15</v>
      </c>
      <c r="B519" s="10">
        <v>30</v>
      </c>
      <c r="C519" s="8">
        <v>41.06666666666667</v>
      </c>
    </row>
    <row r="520" spans="1:3" x14ac:dyDescent="0.3">
      <c r="A520" s="11">
        <v>3</v>
      </c>
      <c r="B520" s="10">
        <v>4</v>
      </c>
      <c r="C520" s="8">
        <v>31.666666666666668</v>
      </c>
    </row>
    <row r="521" spans="1:3" x14ac:dyDescent="0.3">
      <c r="A521" s="11">
        <v>7</v>
      </c>
      <c r="B521" s="10">
        <v>10</v>
      </c>
      <c r="C521" s="8">
        <v>29</v>
      </c>
    </row>
    <row r="522" spans="1:3" x14ac:dyDescent="0.3">
      <c r="A522" s="11">
        <v>4</v>
      </c>
      <c r="B522" s="10">
        <v>4</v>
      </c>
      <c r="C522" s="8">
        <v>32</v>
      </c>
    </row>
    <row r="523" spans="1:3" x14ac:dyDescent="0.3">
      <c r="A523" s="11">
        <v>8</v>
      </c>
      <c r="B523" s="10">
        <v>15</v>
      </c>
      <c r="C523" s="8">
        <v>26.625</v>
      </c>
    </row>
    <row r="524" spans="1:3" x14ac:dyDescent="0.3">
      <c r="A524" s="11">
        <v>2</v>
      </c>
      <c r="B524" s="10">
        <v>2</v>
      </c>
      <c r="C524" s="8">
        <v>29</v>
      </c>
    </row>
    <row r="525" spans="1:3" x14ac:dyDescent="0.3">
      <c r="A525" s="11">
        <v>17</v>
      </c>
      <c r="B525" s="10">
        <v>36</v>
      </c>
      <c r="C525" s="8">
        <v>24.941176470588236</v>
      </c>
    </row>
    <row r="526" spans="1:3" x14ac:dyDescent="0.3">
      <c r="A526" s="11">
        <v>13</v>
      </c>
      <c r="B526" s="10">
        <v>21</v>
      </c>
      <c r="C526" s="8">
        <v>39.692307692307693</v>
      </c>
    </row>
    <row r="527" spans="1:3" x14ac:dyDescent="0.3">
      <c r="A527" s="11">
        <v>3</v>
      </c>
      <c r="B527" s="10">
        <v>4</v>
      </c>
      <c r="C527" s="8">
        <v>24.333333333333332</v>
      </c>
    </row>
    <row r="528" spans="1:3" x14ac:dyDescent="0.3">
      <c r="A528" s="11">
        <v>4</v>
      </c>
      <c r="B528" s="10">
        <v>4</v>
      </c>
      <c r="C528" s="8">
        <v>36.5</v>
      </c>
    </row>
    <row r="529" spans="1:3" x14ac:dyDescent="0.3">
      <c r="A529" s="11">
        <v>2</v>
      </c>
      <c r="B529" s="10">
        <v>3</v>
      </c>
      <c r="C529" s="8">
        <v>29.5</v>
      </c>
    </row>
    <row r="530" spans="1:3" x14ac:dyDescent="0.3">
      <c r="A530" s="11">
        <v>8</v>
      </c>
      <c r="B530" s="10">
        <v>10</v>
      </c>
      <c r="C530" s="8">
        <v>24.625</v>
      </c>
    </row>
    <row r="531" spans="1:3" x14ac:dyDescent="0.3">
      <c r="A531" s="11">
        <v>15</v>
      </c>
      <c r="B531" s="10">
        <v>20</v>
      </c>
      <c r="C531" s="8">
        <v>35.866666666666667</v>
      </c>
    </row>
    <row r="532" spans="1:3" x14ac:dyDescent="0.3">
      <c r="A532" s="11">
        <v>22</v>
      </c>
      <c r="B532" s="10">
        <v>48</v>
      </c>
      <c r="C532" s="8">
        <v>29.545454545454547</v>
      </c>
    </row>
    <row r="533" spans="1:3" x14ac:dyDescent="0.3">
      <c r="A533" s="11">
        <v>20</v>
      </c>
      <c r="B533" s="10">
        <v>46</v>
      </c>
      <c r="C533" s="8">
        <v>35.450000000000003</v>
      </c>
    </row>
    <row r="534" spans="1:3" x14ac:dyDescent="0.3">
      <c r="A534" s="11">
        <v>26</v>
      </c>
      <c r="B534" s="10">
        <v>48</v>
      </c>
      <c r="C534" s="8">
        <v>31.96153846153846</v>
      </c>
    </row>
    <row r="535" spans="1:3" x14ac:dyDescent="0.3">
      <c r="A535" s="11">
        <v>27</v>
      </c>
      <c r="B535" s="10">
        <v>56</v>
      </c>
      <c r="C535" s="8">
        <v>25.148148148148149</v>
      </c>
    </row>
    <row r="536" spans="1:3" x14ac:dyDescent="0.3">
      <c r="A536" s="11">
        <v>15</v>
      </c>
      <c r="B536" s="10">
        <v>26</v>
      </c>
      <c r="C536" s="8">
        <v>37.133333333333333</v>
      </c>
    </row>
    <row r="537" spans="1:3" x14ac:dyDescent="0.3">
      <c r="A537" s="11">
        <v>22</v>
      </c>
      <c r="B537" s="10">
        <v>37</v>
      </c>
      <c r="C537" s="8">
        <v>38.454545454545453</v>
      </c>
    </row>
    <row r="538" spans="1:3" x14ac:dyDescent="0.3">
      <c r="A538" s="11">
        <v>23</v>
      </c>
      <c r="B538" s="10">
        <v>45</v>
      </c>
      <c r="C538" s="8">
        <v>32.652173913043477</v>
      </c>
    </row>
    <row r="539" spans="1:3" x14ac:dyDescent="0.3">
      <c r="A539" s="11">
        <v>5</v>
      </c>
      <c r="B539" s="10">
        <v>8</v>
      </c>
      <c r="C539" s="8">
        <v>33</v>
      </c>
    </row>
    <row r="540" spans="1:3" x14ac:dyDescent="0.3">
      <c r="A540" s="11">
        <v>14</v>
      </c>
      <c r="B540" s="10">
        <v>31</v>
      </c>
      <c r="C540" s="8">
        <v>30.071428571428573</v>
      </c>
    </row>
    <row r="541" spans="1:3" x14ac:dyDescent="0.3">
      <c r="A541" s="11">
        <v>5</v>
      </c>
      <c r="B541" s="10">
        <v>9</v>
      </c>
      <c r="C541" s="8">
        <v>36</v>
      </c>
    </row>
    <row r="542" spans="1:3" x14ac:dyDescent="0.3">
      <c r="A542" s="11">
        <v>14</v>
      </c>
      <c r="B542" s="10">
        <v>29</v>
      </c>
      <c r="C542" s="8">
        <v>38.785714285714285</v>
      </c>
    </row>
    <row r="543" spans="1:3" x14ac:dyDescent="0.3">
      <c r="A543" s="11">
        <v>15</v>
      </c>
      <c r="B543" s="10">
        <v>18</v>
      </c>
      <c r="C543" s="8">
        <v>36.133333333333333</v>
      </c>
    </row>
    <row r="544" spans="1:3" x14ac:dyDescent="0.3">
      <c r="A544" s="11">
        <v>29</v>
      </c>
      <c r="B544" s="10">
        <v>50</v>
      </c>
      <c r="C544" s="8">
        <v>31.793103448275861</v>
      </c>
    </row>
    <row r="545" spans="1:3" x14ac:dyDescent="0.3">
      <c r="A545" s="11">
        <v>32</v>
      </c>
      <c r="B545" s="10">
        <v>55</v>
      </c>
      <c r="C545" s="8">
        <v>25.75</v>
      </c>
    </row>
    <row r="546" spans="1:3" x14ac:dyDescent="0.3">
      <c r="A546" s="11">
        <v>16</v>
      </c>
      <c r="B546" s="10">
        <v>33</v>
      </c>
      <c r="C546" s="8">
        <v>34.4375</v>
      </c>
    </row>
    <row r="547" spans="1:3" x14ac:dyDescent="0.3">
      <c r="A547" s="11">
        <v>1</v>
      </c>
      <c r="B547" s="10">
        <v>2</v>
      </c>
      <c r="C547" s="8">
        <v>52</v>
      </c>
    </row>
    <row r="548" spans="1:3" x14ac:dyDescent="0.3">
      <c r="A548" s="11">
        <v>21</v>
      </c>
      <c r="B548" s="10">
        <v>40</v>
      </c>
      <c r="C548" s="8">
        <v>38.80952380952381</v>
      </c>
    </row>
    <row r="549" spans="1:3" x14ac:dyDescent="0.3">
      <c r="A549" s="11">
        <v>5</v>
      </c>
      <c r="B549" s="10">
        <v>7</v>
      </c>
      <c r="C549" s="8">
        <v>38.799999999999997</v>
      </c>
    </row>
    <row r="550" spans="1:3" x14ac:dyDescent="0.3">
      <c r="A550" s="11">
        <v>7</v>
      </c>
      <c r="B550" s="10">
        <v>15</v>
      </c>
      <c r="C550" s="8">
        <v>27.142857142857142</v>
      </c>
    </row>
    <row r="551" spans="1:3" x14ac:dyDescent="0.3">
      <c r="A551" s="11">
        <v>28</v>
      </c>
      <c r="B551" s="10">
        <v>42</v>
      </c>
      <c r="C551" s="8">
        <v>35.5</v>
      </c>
    </row>
    <row r="552" spans="1:3" x14ac:dyDescent="0.3">
      <c r="A552" s="11">
        <v>15</v>
      </c>
      <c r="B552" s="10">
        <v>26</v>
      </c>
      <c r="C552" s="8">
        <v>38</v>
      </c>
    </row>
    <row r="553" spans="1:3" x14ac:dyDescent="0.3">
      <c r="A553" s="11">
        <v>7</v>
      </c>
      <c r="B553" s="10">
        <v>14</v>
      </c>
      <c r="C553" s="8">
        <v>31.285714285714285</v>
      </c>
    </row>
    <row r="554" spans="1:3" x14ac:dyDescent="0.3">
      <c r="A554" s="11">
        <v>10</v>
      </c>
      <c r="B554" s="10">
        <v>13</v>
      </c>
      <c r="C554" s="8">
        <v>27.3</v>
      </c>
    </row>
    <row r="555" spans="1:3" x14ac:dyDescent="0.3">
      <c r="A555" s="11">
        <v>6</v>
      </c>
      <c r="B555" s="10">
        <v>12</v>
      </c>
      <c r="C555" s="8">
        <v>41.833333333333336</v>
      </c>
    </row>
    <row r="556" spans="1:3" x14ac:dyDescent="0.3">
      <c r="A556" s="11">
        <v>11</v>
      </c>
      <c r="B556" s="10">
        <v>23</v>
      </c>
      <c r="C556" s="8">
        <v>37.454545454545453</v>
      </c>
    </row>
    <row r="557" spans="1:3" x14ac:dyDescent="0.3">
      <c r="A557" s="11">
        <v>7</v>
      </c>
      <c r="B557" s="10">
        <v>15</v>
      </c>
      <c r="C557" s="8">
        <v>31.142857142857142</v>
      </c>
    </row>
    <row r="558" spans="1:3" x14ac:dyDescent="0.3">
      <c r="A558" s="11">
        <v>18</v>
      </c>
      <c r="B558" s="10">
        <v>39</v>
      </c>
      <c r="C558" s="8">
        <v>37.611111111111114</v>
      </c>
    </row>
    <row r="559" spans="1:3" x14ac:dyDescent="0.3">
      <c r="A559" s="11">
        <v>13</v>
      </c>
      <c r="B559" s="10">
        <v>16</v>
      </c>
      <c r="C559" s="8">
        <v>28.23076923076923</v>
      </c>
    </row>
    <row r="560" spans="1:3" x14ac:dyDescent="0.3">
      <c r="A560" s="11">
        <v>18</v>
      </c>
      <c r="B560" s="10">
        <v>38</v>
      </c>
      <c r="C560" s="8">
        <v>30.333333333333332</v>
      </c>
    </row>
    <row r="561" spans="1:3" x14ac:dyDescent="0.3">
      <c r="A561" s="11">
        <v>19</v>
      </c>
      <c r="B561" s="10">
        <v>30</v>
      </c>
      <c r="C561" s="8">
        <v>38.210526315789473</v>
      </c>
    </row>
    <row r="562" spans="1:3" x14ac:dyDescent="0.3">
      <c r="A562" s="11">
        <v>11</v>
      </c>
      <c r="B562" s="10">
        <v>21</v>
      </c>
      <c r="C562" s="8">
        <v>38.545454545454547</v>
      </c>
    </row>
    <row r="563" spans="1:3" x14ac:dyDescent="0.3">
      <c r="A563" s="11">
        <v>7</v>
      </c>
      <c r="B563" s="10">
        <v>13</v>
      </c>
      <c r="C563" s="8">
        <v>34.714285714285715</v>
      </c>
    </row>
    <row r="564" spans="1:3" x14ac:dyDescent="0.3">
      <c r="A564" s="11">
        <v>6</v>
      </c>
      <c r="B564" s="10">
        <v>8</v>
      </c>
      <c r="C564" s="8">
        <v>44.333333333333336</v>
      </c>
    </row>
    <row r="565" spans="1:3" x14ac:dyDescent="0.3">
      <c r="A565" s="11">
        <v>18</v>
      </c>
      <c r="B565" s="10">
        <v>32</v>
      </c>
      <c r="C565" s="8">
        <v>24.722222222222221</v>
      </c>
    </row>
    <row r="566" spans="1:3" x14ac:dyDescent="0.3">
      <c r="A566" s="11">
        <v>21</v>
      </c>
      <c r="B566" s="10">
        <v>34</v>
      </c>
      <c r="C566" s="8">
        <v>31</v>
      </c>
    </row>
    <row r="567" spans="1:3" x14ac:dyDescent="0.3">
      <c r="A567" s="11">
        <v>17</v>
      </c>
      <c r="B567" s="10">
        <v>24</v>
      </c>
      <c r="C567" s="8">
        <v>33.058823529411768</v>
      </c>
    </row>
    <row r="568" spans="1:3" x14ac:dyDescent="0.3">
      <c r="A568" s="11">
        <v>21</v>
      </c>
      <c r="B568" s="10">
        <v>43</v>
      </c>
      <c r="C568" s="8">
        <v>33.476190476190474</v>
      </c>
    </row>
    <row r="569" spans="1:3" x14ac:dyDescent="0.3">
      <c r="A569" s="11">
        <v>10</v>
      </c>
      <c r="B569" s="10">
        <v>18</v>
      </c>
      <c r="C569" s="8">
        <v>44.2</v>
      </c>
    </row>
    <row r="570" spans="1:3" x14ac:dyDescent="0.3">
      <c r="A570" s="11">
        <v>1</v>
      </c>
      <c r="B570" s="10">
        <v>1</v>
      </c>
      <c r="C570" s="8">
        <v>27</v>
      </c>
    </row>
    <row r="571" spans="1:3" x14ac:dyDescent="0.3">
      <c r="A571" s="11">
        <v>3</v>
      </c>
      <c r="B571" s="10">
        <v>4</v>
      </c>
      <c r="C571" s="8">
        <v>31.666666666666668</v>
      </c>
    </row>
    <row r="572" spans="1:3" x14ac:dyDescent="0.3">
      <c r="A572" s="11">
        <v>7</v>
      </c>
      <c r="B572" s="10">
        <v>9</v>
      </c>
      <c r="C572" s="8">
        <v>44</v>
      </c>
    </row>
    <row r="573" spans="1:3" x14ac:dyDescent="0.3">
      <c r="A573" s="11">
        <v>4</v>
      </c>
      <c r="B573" s="10">
        <v>6</v>
      </c>
      <c r="C573" s="8">
        <v>31.5</v>
      </c>
    </row>
    <row r="574" spans="1:3" x14ac:dyDescent="0.3">
      <c r="A574" s="11">
        <v>13</v>
      </c>
      <c r="B574" s="10">
        <v>23</v>
      </c>
      <c r="C574" s="8">
        <v>43.07692307692308</v>
      </c>
    </row>
    <row r="575" spans="1:3" x14ac:dyDescent="0.3">
      <c r="A575" s="11">
        <v>23</v>
      </c>
      <c r="B575" s="10">
        <v>45</v>
      </c>
      <c r="C575" s="8">
        <v>29.391304347826086</v>
      </c>
    </row>
    <row r="576" spans="1:3" x14ac:dyDescent="0.3">
      <c r="A576" s="11">
        <v>8</v>
      </c>
      <c r="B576" s="10">
        <v>15</v>
      </c>
      <c r="C576" s="8">
        <v>30</v>
      </c>
    </row>
    <row r="577" spans="1:3" x14ac:dyDescent="0.3">
      <c r="A577" s="11">
        <v>6</v>
      </c>
      <c r="B577" s="10">
        <v>9</v>
      </c>
      <c r="C577" s="8">
        <v>25.833333333333332</v>
      </c>
    </row>
    <row r="578" spans="1:3" x14ac:dyDescent="0.3">
      <c r="A578" s="11">
        <v>5</v>
      </c>
      <c r="B578" s="10">
        <v>10</v>
      </c>
      <c r="C578" s="8">
        <v>31.4</v>
      </c>
    </row>
    <row r="579" spans="1:3" x14ac:dyDescent="0.3">
      <c r="A579" s="11">
        <v>20</v>
      </c>
      <c r="B579" s="10">
        <v>29</v>
      </c>
      <c r="C579" s="8">
        <v>36.6</v>
      </c>
    </row>
    <row r="580" spans="1:3" x14ac:dyDescent="0.3">
      <c r="A580" s="11">
        <v>13</v>
      </c>
      <c r="B580" s="10">
        <v>21</v>
      </c>
      <c r="C580" s="8">
        <v>31.692307692307693</v>
      </c>
    </row>
    <row r="581" spans="1:3" x14ac:dyDescent="0.3">
      <c r="A581" s="11">
        <v>10</v>
      </c>
      <c r="B581" s="10">
        <v>20</v>
      </c>
      <c r="C581" s="8">
        <v>35.299999999999997</v>
      </c>
    </row>
    <row r="582" spans="1:3" x14ac:dyDescent="0.3">
      <c r="A582" s="11">
        <v>9</v>
      </c>
      <c r="B582" s="10">
        <v>12</v>
      </c>
      <c r="C582" s="8">
        <v>35.666666666666664</v>
      </c>
    </row>
    <row r="583" spans="1:3" x14ac:dyDescent="0.3">
      <c r="A583" s="11">
        <v>14</v>
      </c>
      <c r="B583" s="10">
        <v>19</v>
      </c>
      <c r="C583" s="8">
        <v>44.428571428571431</v>
      </c>
    </row>
    <row r="584" spans="1:3" x14ac:dyDescent="0.3">
      <c r="A584" s="11">
        <v>29</v>
      </c>
      <c r="B584" s="10">
        <v>49</v>
      </c>
      <c r="C584" s="8">
        <v>27.620689655172413</v>
      </c>
    </row>
    <row r="585" spans="1:3" x14ac:dyDescent="0.3">
      <c r="A585" s="11">
        <v>30</v>
      </c>
      <c r="B585" s="10">
        <v>46</v>
      </c>
      <c r="C585" s="8">
        <v>31.8</v>
      </c>
    </row>
    <row r="586" spans="1:3" x14ac:dyDescent="0.3">
      <c r="A586" s="11">
        <v>18</v>
      </c>
      <c r="B586" s="10">
        <v>26</v>
      </c>
      <c r="C586" s="8">
        <v>30.777777777777779</v>
      </c>
    </row>
    <row r="587" spans="1:3" x14ac:dyDescent="0.3">
      <c r="A587" s="11">
        <v>31</v>
      </c>
      <c r="B587" s="10">
        <v>55</v>
      </c>
      <c r="C587" s="8">
        <v>28.677419354838708</v>
      </c>
    </row>
    <row r="588" spans="1:3" x14ac:dyDescent="0.3">
      <c r="A588" s="11">
        <v>28</v>
      </c>
      <c r="B588" s="10">
        <v>50</v>
      </c>
      <c r="C588" s="8">
        <v>26.607142857142858</v>
      </c>
    </row>
    <row r="589" spans="1:3" x14ac:dyDescent="0.3">
      <c r="A589" s="11">
        <v>6</v>
      </c>
      <c r="B589" s="10">
        <v>11</v>
      </c>
      <c r="C589" s="8">
        <v>33.666666666666664</v>
      </c>
    </row>
    <row r="590" spans="1:3" x14ac:dyDescent="0.3">
      <c r="A590" s="11">
        <v>9</v>
      </c>
      <c r="B590" s="10">
        <v>11</v>
      </c>
      <c r="C590" s="8">
        <v>40.888888888888886</v>
      </c>
    </row>
    <row r="591" spans="1:3" x14ac:dyDescent="0.3">
      <c r="A591" s="11">
        <v>17</v>
      </c>
      <c r="B591" s="10">
        <v>33</v>
      </c>
      <c r="C591" s="8">
        <v>45.705882352941174</v>
      </c>
    </row>
    <row r="592" spans="1:3" x14ac:dyDescent="0.3">
      <c r="A592" s="11">
        <v>11</v>
      </c>
      <c r="B592" s="10">
        <v>20</v>
      </c>
      <c r="C592" s="8">
        <v>41.636363636363633</v>
      </c>
    </row>
    <row r="593" spans="1:3" x14ac:dyDescent="0.3">
      <c r="A593" s="11">
        <v>20</v>
      </c>
      <c r="B593" s="10">
        <v>43</v>
      </c>
      <c r="C593" s="8">
        <v>31.9</v>
      </c>
    </row>
    <row r="594" spans="1:3" x14ac:dyDescent="0.3">
      <c r="A594" s="11">
        <v>19</v>
      </c>
      <c r="B594" s="10">
        <v>39</v>
      </c>
      <c r="C594" s="8">
        <v>30.684210526315791</v>
      </c>
    </row>
    <row r="595" spans="1:3" x14ac:dyDescent="0.3">
      <c r="A595" s="11">
        <v>25</v>
      </c>
      <c r="B595" s="10">
        <v>56</v>
      </c>
      <c r="C595" s="8">
        <v>38.24</v>
      </c>
    </row>
    <row r="596" spans="1:3" x14ac:dyDescent="0.3">
      <c r="A596" s="11">
        <v>11</v>
      </c>
      <c r="B596" s="10">
        <v>23</v>
      </c>
      <c r="C596" s="8">
        <v>41.727272727272727</v>
      </c>
    </row>
    <row r="597" spans="1:3" x14ac:dyDescent="0.3">
      <c r="A597" s="11">
        <v>18</v>
      </c>
      <c r="B597" s="10">
        <v>30</v>
      </c>
      <c r="C597" s="8">
        <v>41.388888888888886</v>
      </c>
    </row>
    <row r="598" spans="1:3" x14ac:dyDescent="0.3">
      <c r="A598" s="11">
        <v>2</v>
      </c>
      <c r="B598" s="10">
        <v>3</v>
      </c>
      <c r="C598" s="8">
        <v>28.5</v>
      </c>
    </row>
    <row r="599" spans="1:3" x14ac:dyDescent="0.3">
      <c r="A599" s="11">
        <v>32</v>
      </c>
      <c r="B599" s="10">
        <v>72</v>
      </c>
      <c r="C599" s="8">
        <v>30.75</v>
      </c>
    </row>
    <row r="600" spans="1:3" x14ac:dyDescent="0.3">
      <c r="A600" s="11">
        <v>10</v>
      </c>
      <c r="B600" s="10">
        <v>20</v>
      </c>
      <c r="C600" s="8">
        <v>39.1</v>
      </c>
    </row>
    <row r="601" spans="1:3" x14ac:dyDescent="0.3">
      <c r="A601" s="11">
        <v>9</v>
      </c>
      <c r="B601" s="10">
        <v>19</v>
      </c>
      <c r="C601" s="8">
        <v>32.666666666666664</v>
      </c>
    </row>
    <row r="602" spans="1:3" x14ac:dyDescent="0.3">
      <c r="A602" s="11">
        <v>22</v>
      </c>
      <c r="B602" s="10">
        <v>39</v>
      </c>
      <c r="C602" s="8">
        <v>42.5</v>
      </c>
    </row>
    <row r="603" spans="1:3" x14ac:dyDescent="0.3">
      <c r="A603" s="11">
        <v>11</v>
      </c>
      <c r="B603" s="10">
        <v>15</v>
      </c>
      <c r="C603" s="8">
        <v>41.545454545454547</v>
      </c>
    </row>
    <row r="604" spans="1:3" x14ac:dyDescent="0.3">
      <c r="A604" s="11">
        <v>27</v>
      </c>
      <c r="B604" s="10">
        <v>64</v>
      </c>
      <c r="C604" s="8">
        <v>25</v>
      </c>
    </row>
    <row r="605" spans="1:3" x14ac:dyDescent="0.3">
      <c r="A605" s="11">
        <v>5</v>
      </c>
      <c r="B605" s="10">
        <v>7</v>
      </c>
      <c r="C605" s="8">
        <v>38.4</v>
      </c>
    </row>
    <row r="606" spans="1:3" x14ac:dyDescent="0.3">
      <c r="A606" s="11">
        <v>1</v>
      </c>
      <c r="B606" s="10">
        <v>2</v>
      </c>
      <c r="C606" s="8">
        <v>33</v>
      </c>
    </row>
    <row r="607" spans="1:3" x14ac:dyDescent="0.3">
      <c r="A607" s="11">
        <v>4</v>
      </c>
      <c r="B607" s="10">
        <v>7</v>
      </c>
      <c r="C607" s="8">
        <v>31</v>
      </c>
    </row>
    <row r="608" spans="1:3" x14ac:dyDescent="0.3">
      <c r="A608" s="11">
        <v>11</v>
      </c>
      <c r="B608" s="10">
        <v>17</v>
      </c>
      <c r="C608" s="8">
        <v>26.90909090909091</v>
      </c>
    </row>
    <row r="609" spans="1:3" x14ac:dyDescent="0.3">
      <c r="A609" s="11">
        <v>25</v>
      </c>
      <c r="B609" s="10">
        <v>36</v>
      </c>
      <c r="C609" s="8">
        <v>39.4</v>
      </c>
    </row>
    <row r="610" spans="1:3" x14ac:dyDescent="0.3">
      <c r="A610" s="11">
        <v>25</v>
      </c>
      <c r="B610" s="10">
        <v>55</v>
      </c>
      <c r="C610" s="8">
        <v>24.92</v>
      </c>
    </row>
    <row r="611" spans="1:3" x14ac:dyDescent="0.3">
      <c r="A611" s="11">
        <v>9</v>
      </c>
      <c r="B611" s="10">
        <v>19</v>
      </c>
      <c r="C611" s="8">
        <v>33</v>
      </c>
    </row>
    <row r="612" spans="1:3" x14ac:dyDescent="0.3">
      <c r="A612" s="11">
        <v>25</v>
      </c>
      <c r="B612" s="10">
        <v>40</v>
      </c>
      <c r="C612" s="8">
        <v>29.08</v>
      </c>
    </row>
    <row r="613" spans="1:3" x14ac:dyDescent="0.3">
      <c r="A613" s="11">
        <v>2</v>
      </c>
      <c r="B613" s="10">
        <v>3</v>
      </c>
      <c r="C613" s="8">
        <v>38</v>
      </c>
    </row>
    <row r="614" spans="1:3" x14ac:dyDescent="0.3">
      <c r="A614" s="11">
        <v>16</v>
      </c>
      <c r="B614" s="10">
        <v>28</v>
      </c>
      <c r="C614" s="8">
        <v>28.5625</v>
      </c>
    </row>
    <row r="615" spans="1:3" x14ac:dyDescent="0.3">
      <c r="A615" s="11">
        <v>22</v>
      </c>
      <c r="B615" s="10">
        <v>38</v>
      </c>
      <c r="C615" s="8">
        <v>34.409090909090907</v>
      </c>
    </row>
    <row r="616" spans="1:3" x14ac:dyDescent="0.3">
      <c r="A616" s="11">
        <v>12</v>
      </c>
      <c r="B616" s="10">
        <v>16</v>
      </c>
      <c r="C616" s="8">
        <v>26.916666666666668</v>
      </c>
    </row>
    <row r="617" spans="1:3" x14ac:dyDescent="0.3">
      <c r="A617" s="11">
        <v>13</v>
      </c>
      <c r="B617" s="10">
        <v>22</v>
      </c>
      <c r="C617" s="8">
        <v>33.615384615384613</v>
      </c>
    </row>
    <row r="618" spans="1:3" x14ac:dyDescent="0.3">
      <c r="A618" s="11">
        <v>18</v>
      </c>
      <c r="B618" s="10">
        <v>33</v>
      </c>
      <c r="C618" s="8">
        <v>33.111111111111114</v>
      </c>
    </row>
    <row r="619" spans="1:3" x14ac:dyDescent="0.3">
      <c r="A619" s="11">
        <v>34</v>
      </c>
      <c r="B619" s="10">
        <v>59</v>
      </c>
      <c r="C619" s="8">
        <v>26.617647058823529</v>
      </c>
    </row>
    <row r="620" spans="1:3" x14ac:dyDescent="0.3">
      <c r="A620" s="11">
        <v>15</v>
      </c>
      <c r="B620" s="10">
        <v>24</v>
      </c>
      <c r="C620" s="8">
        <v>27.533333333333335</v>
      </c>
    </row>
    <row r="621" spans="1:3" x14ac:dyDescent="0.3">
      <c r="A621" s="11">
        <v>25</v>
      </c>
      <c r="B621" s="10">
        <v>53</v>
      </c>
      <c r="C621" s="8">
        <v>34.64</v>
      </c>
    </row>
    <row r="622" spans="1:3" x14ac:dyDescent="0.3">
      <c r="A622" s="11">
        <v>17</v>
      </c>
      <c r="B622" s="10">
        <v>35</v>
      </c>
      <c r="C622" s="8">
        <v>30.176470588235293</v>
      </c>
    </row>
    <row r="623" spans="1:3" x14ac:dyDescent="0.3">
      <c r="A623" s="11">
        <v>22</v>
      </c>
      <c r="B623" s="10">
        <v>46</v>
      </c>
      <c r="C623" s="8">
        <v>44.454545454545453</v>
      </c>
    </row>
    <row r="624" spans="1:3" x14ac:dyDescent="0.3">
      <c r="A624" s="11">
        <v>1</v>
      </c>
      <c r="B624" s="10">
        <v>2</v>
      </c>
      <c r="C624" s="8">
        <v>32</v>
      </c>
    </row>
    <row r="625" spans="1:3" x14ac:dyDescent="0.3">
      <c r="A625" s="11">
        <v>6</v>
      </c>
      <c r="B625" s="10">
        <v>8</v>
      </c>
      <c r="C625" s="8">
        <v>44.833333333333336</v>
      </c>
    </row>
    <row r="626" spans="1:3" x14ac:dyDescent="0.3">
      <c r="A626" s="11">
        <v>25</v>
      </c>
      <c r="B626" s="10">
        <v>49</v>
      </c>
      <c r="C626" s="8">
        <v>32.880000000000003</v>
      </c>
    </row>
    <row r="627" spans="1:3" x14ac:dyDescent="0.3">
      <c r="A627" s="11">
        <v>14</v>
      </c>
      <c r="B627" s="10">
        <v>19</v>
      </c>
      <c r="C627" s="8">
        <v>34.642857142857146</v>
      </c>
    </row>
    <row r="628" spans="1:3" x14ac:dyDescent="0.3">
      <c r="A628" s="11">
        <v>2</v>
      </c>
      <c r="B628" s="10">
        <v>2</v>
      </c>
      <c r="C628" s="8">
        <v>44.5</v>
      </c>
    </row>
    <row r="629" spans="1:3" x14ac:dyDescent="0.3">
      <c r="A629" s="11">
        <v>32</v>
      </c>
      <c r="B629" s="10">
        <v>67</v>
      </c>
      <c r="C629" s="8">
        <v>27.59375</v>
      </c>
    </row>
    <row r="630" spans="1:3" x14ac:dyDescent="0.3">
      <c r="A630" s="11">
        <v>14</v>
      </c>
      <c r="B630" s="10">
        <v>26</v>
      </c>
      <c r="C630" s="8">
        <v>27.285714285714285</v>
      </c>
    </row>
    <row r="631" spans="1:3" x14ac:dyDescent="0.3">
      <c r="A631" s="11">
        <v>7</v>
      </c>
      <c r="B631" s="10">
        <v>14</v>
      </c>
      <c r="C631" s="8">
        <v>33</v>
      </c>
    </row>
    <row r="632" spans="1:3" x14ac:dyDescent="0.3">
      <c r="A632" s="11">
        <v>6</v>
      </c>
      <c r="B632" s="10">
        <v>11</v>
      </c>
      <c r="C632" s="8">
        <v>28.833333333333332</v>
      </c>
    </row>
    <row r="633" spans="1:3" x14ac:dyDescent="0.3">
      <c r="A633" s="11">
        <v>22</v>
      </c>
      <c r="B633" s="10">
        <v>48</v>
      </c>
      <c r="C633" s="8">
        <v>28.5</v>
      </c>
    </row>
    <row r="634" spans="1:3" x14ac:dyDescent="0.3">
      <c r="A634" s="11">
        <v>23</v>
      </c>
      <c r="B634" s="10">
        <v>50</v>
      </c>
      <c r="C634" s="8">
        <v>38.652173913043477</v>
      </c>
    </row>
    <row r="635" spans="1:3" x14ac:dyDescent="0.3">
      <c r="A635" s="11">
        <v>12</v>
      </c>
      <c r="B635" s="10">
        <v>16</v>
      </c>
      <c r="C635" s="8">
        <v>34</v>
      </c>
    </row>
    <row r="636" spans="1:3" x14ac:dyDescent="0.3">
      <c r="A636" s="11">
        <v>27</v>
      </c>
      <c r="B636" s="10">
        <v>41</v>
      </c>
      <c r="C636" s="8">
        <v>33.592592592592595</v>
      </c>
    </row>
    <row r="637" spans="1:3" x14ac:dyDescent="0.3">
      <c r="A637" s="11">
        <v>5</v>
      </c>
      <c r="B637" s="10">
        <v>7</v>
      </c>
      <c r="C637" s="8">
        <v>38</v>
      </c>
    </row>
    <row r="638" spans="1:3" x14ac:dyDescent="0.3">
      <c r="A638" s="11">
        <v>21</v>
      </c>
      <c r="B638" s="10">
        <v>50</v>
      </c>
      <c r="C638" s="8">
        <v>43.666666666666664</v>
      </c>
    </row>
    <row r="639" spans="1:3" x14ac:dyDescent="0.3">
      <c r="A639" s="11">
        <v>25</v>
      </c>
      <c r="B639" s="10">
        <v>60</v>
      </c>
      <c r="C639" s="8">
        <v>31.48</v>
      </c>
    </row>
    <row r="640" spans="1:3" x14ac:dyDescent="0.3">
      <c r="A640" s="11">
        <v>9</v>
      </c>
      <c r="B640" s="10">
        <v>19</v>
      </c>
      <c r="C640" s="8">
        <v>35.444444444444443</v>
      </c>
    </row>
    <row r="641" spans="1:3" x14ac:dyDescent="0.3">
      <c r="A641" s="11">
        <v>24</v>
      </c>
      <c r="B641" s="10">
        <v>50</v>
      </c>
      <c r="C641" s="8">
        <v>28.416666666666668</v>
      </c>
    </row>
    <row r="642" spans="1:3" x14ac:dyDescent="0.3">
      <c r="A642" s="11">
        <v>1</v>
      </c>
      <c r="B642" s="10">
        <v>1</v>
      </c>
      <c r="C642" s="8">
        <v>20</v>
      </c>
    </row>
    <row r="643" spans="1:3" x14ac:dyDescent="0.3">
      <c r="A643" s="11">
        <v>23</v>
      </c>
      <c r="B643" s="10">
        <v>52</v>
      </c>
      <c r="C643" s="8">
        <v>36.565217391304351</v>
      </c>
    </row>
    <row r="644" spans="1:3" x14ac:dyDescent="0.3">
      <c r="A644" s="11">
        <v>8</v>
      </c>
      <c r="B644" s="10">
        <v>10</v>
      </c>
      <c r="C644" s="8">
        <v>24.75</v>
      </c>
    </row>
    <row r="645" spans="1:3" x14ac:dyDescent="0.3">
      <c r="A645" s="11">
        <v>9</v>
      </c>
      <c r="B645" s="10">
        <v>17</v>
      </c>
      <c r="C645" s="8">
        <v>37</v>
      </c>
    </row>
    <row r="646" spans="1:3" x14ac:dyDescent="0.3">
      <c r="A646" s="11">
        <v>23</v>
      </c>
      <c r="B646" s="10">
        <v>46</v>
      </c>
      <c r="C646" s="8">
        <v>33.521739130434781</v>
      </c>
    </row>
    <row r="647" spans="1:3" x14ac:dyDescent="0.3">
      <c r="A647" s="11">
        <v>4</v>
      </c>
      <c r="B647" s="10">
        <v>4</v>
      </c>
      <c r="C647" s="8">
        <v>35.75</v>
      </c>
    </row>
    <row r="648" spans="1:3" x14ac:dyDescent="0.3">
      <c r="A648" s="11">
        <v>3</v>
      </c>
      <c r="B648" s="10">
        <v>5</v>
      </c>
      <c r="C648" s="8">
        <v>35.666666666666664</v>
      </c>
    </row>
    <row r="649" spans="1:3" x14ac:dyDescent="0.3">
      <c r="A649" s="11">
        <v>31</v>
      </c>
      <c r="B649" s="10">
        <v>60</v>
      </c>
      <c r="C649" s="8">
        <v>29.387096774193548</v>
      </c>
    </row>
    <row r="650" spans="1:3" x14ac:dyDescent="0.3">
      <c r="A650" s="11">
        <v>1</v>
      </c>
      <c r="B650" s="10">
        <v>2</v>
      </c>
      <c r="C650" s="8">
        <v>44</v>
      </c>
    </row>
    <row r="651" spans="1:3" x14ac:dyDescent="0.3">
      <c r="A651" s="11">
        <v>22</v>
      </c>
      <c r="B651" s="10">
        <v>37</v>
      </c>
      <c r="C651" s="8">
        <v>41.136363636363633</v>
      </c>
    </row>
    <row r="652" spans="1:3" x14ac:dyDescent="0.3">
      <c r="A652" s="11">
        <v>6</v>
      </c>
      <c r="B652" s="10">
        <v>8</v>
      </c>
      <c r="C652" s="8">
        <v>44.5</v>
      </c>
    </row>
    <row r="653" spans="1:3" x14ac:dyDescent="0.3">
      <c r="A653" s="11">
        <v>8</v>
      </c>
      <c r="B653" s="10">
        <v>15</v>
      </c>
      <c r="C653" s="8">
        <v>33.25</v>
      </c>
    </row>
    <row r="654" spans="1:3" x14ac:dyDescent="0.3">
      <c r="A654" s="11">
        <v>9</v>
      </c>
      <c r="B654" s="10">
        <v>14</v>
      </c>
      <c r="C654" s="8">
        <v>26.888888888888889</v>
      </c>
    </row>
    <row r="655" spans="1:3" x14ac:dyDescent="0.3">
      <c r="A655" s="11">
        <v>17</v>
      </c>
      <c r="B655" s="10">
        <v>24</v>
      </c>
      <c r="C655" s="8">
        <v>38.705882352941174</v>
      </c>
    </row>
    <row r="656" spans="1:3" x14ac:dyDescent="0.3">
      <c r="A656" s="11">
        <v>20</v>
      </c>
      <c r="B656" s="10">
        <v>40</v>
      </c>
      <c r="C656" s="8">
        <v>42.3</v>
      </c>
    </row>
    <row r="657" spans="1:3" x14ac:dyDescent="0.3">
      <c r="A657" s="11">
        <v>18</v>
      </c>
      <c r="B657" s="10">
        <v>25</v>
      </c>
      <c r="C657" s="8">
        <v>27.388888888888889</v>
      </c>
    </row>
    <row r="658" spans="1:3" x14ac:dyDescent="0.3">
      <c r="A658" s="11">
        <v>12</v>
      </c>
      <c r="B658" s="10">
        <v>19</v>
      </c>
      <c r="C658" s="8">
        <v>25</v>
      </c>
    </row>
    <row r="659" spans="1:3" x14ac:dyDescent="0.3">
      <c r="A659" s="11">
        <v>25</v>
      </c>
      <c r="B659" s="10">
        <v>55</v>
      </c>
      <c r="C659" s="8">
        <v>31.4</v>
      </c>
    </row>
    <row r="660" spans="1:3" x14ac:dyDescent="0.3">
      <c r="A660" s="11">
        <v>2</v>
      </c>
      <c r="B660" s="10">
        <v>3</v>
      </c>
      <c r="C660" s="8">
        <v>43.5</v>
      </c>
    </row>
    <row r="661" spans="1:3" x14ac:dyDescent="0.3">
      <c r="A661" s="11">
        <v>14</v>
      </c>
      <c r="B661" s="10">
        <v>20</v>
      </c>
      <c r="C661" s="8">
        <v>25.285714285714285</v>
      </c>
    </row>
    <row r="662" spans="1:3" x14ac:dyDescent="0.3">
      <c r="A662" s="11">
        <v>11</v>
      </c>
      <c r="B662" s="10">
        <v>14</v>
      </c>
      <c r="C662" s="8">
        <v>41.545454545454547</v>
      </c>
    </row>
    <row r="663" spans="1:3" x14ac:dyDescent="0.3">
      <c r="A663" s="11">
        <v>10</v>
      </c>
      <c r="B663" s="10">
        <v>22</v>
      </c>
      <c r="C663" s="8">
        <v>39.799999999999997</v>
      </c>
    </row>
    <row r="664" spans="1:3" x14ac:dyDescent="0.3">
      <c r="A664" s="11">
        <v>29</v>
      </c>
      <c r="B664" s="10">
        <v>58</v>
      </c>
      <c r="C664" s="8">
        <v>32.068965517241381</v>
      </c>
    </row>
    <row r="665" spans="1:3" x14ac:dyDescent="0.3">
      <c r="A665" s="11">
        <v>25</v>
      </c>
      <c r="B665" s="10">
        <v>53</v>
      </c>
      <c r="C665" s="8">
        <v>39.72</v>
      </c>
    </row>
    <row r="666" spans="1:3" x14ac:dyDescent="0.3">
      <c r="A666" s="11">
        <v>2</v>
      </c>
      <c r="B666" s="10">
        <v>3</v>
      </c>
      <c r="C666" s="8">
        <v>34.5</v>
      </c>
    </row>
    <row r="667" spans="1:3" x14ac:dyDescent="0.3">
      <c r="A667" s="11">
        <v>11</v>
      </c>
      <c r="B667" s="10">
        <v>22</v>
      </c>
      <c r="C667" s="8">
        <v>30.636363636363637</v>
      </c>
    </row>
    <row r="668" spans="1:3" x14ac:dyDescent="0.3">
      <c r="A668" s="11">
        <v>25</v>
      </c>
      <c r="B668" s="10">
        <v>43</v>
      </c>
      <c r="C668" s="8">
        <v>35.4</v>
      </c>
    </row>
    <row r="669" spans="1:3" x14ac:dyDescent="0.3">
      <c r="A669" s="11">
        <v>27</v>
      </c>
      <c r="B669" s="10">
        <v>42</v>
      </c>
      <c r="C669" s="8">
        <v>25.592592592592592</v>
      </c>
    </row>
    <row r="670" spans="1:3" x14ac:dyDescent="0.3">
      <c r="A670" s="11">
        <v>20</v>
      </c>
      <c r="B670" s="10">
        <v>39</v>
      </c>
      <c r="C670" s="8">
        <v>43.95</v>
      </c>
    </row>
    <row r="671" spans="1:3" x14ac:dyDescent="0.3">
      <c r="A671" s="11">
        <v>5</v>
      </c>
      <c r="B671" s="10">
        <v>7</v>
      </c>
      <c r="C671" s="8">
        <v>39.799999999999997</v>
      </c>
    </row>
    <row r="672" spans="1:3" x14ac:dyDescent="0.3">
      <c r="A672" s="11">
        <v>37</v>
      </c>
      <c r="B672" s="10">
        <v>70</v>
      </c>
      <c r="C672" s="8">
        <v>25.972972972972972</v>
      </c>
    </row>
    <row r="673" spans="1:3" x14ac:dyDescent="0.3">
      <c r="A673" s="11">
        <v>15</v>
      </c>
      <c r="B673" s="10">
        <v>30</v>
      </c>
      <c r="C673" s="8">
        <v>36.4</v>
      </c>
    </row>
    <row r="674" spans="1:3" x14ac:dyDescent="0.3">
      <c r="A674" s="11">
        <v>16</v>
      </c>
      <c r="B674" s="10">
        <v>30</v>
      </c>
      <c r="C674" s="8">
        <v>36.375</v>
      </c>
    </row>
    <row r="675" spans="1:3" x14ac:dyDescent="0.3">
      <c r="A675" s="11">
        <v>36</v>
      </c>
      <c r="B675" s="10">
        <v>59</v>
      </c>
      <c r="C675" s="8">
        <v>25.805555555555557</v>
      </c>
    </row>
    <row r="676" spans="1:3" x14ac:dyDescent="0.3">
      <c r="A676" s="11">
        <v>18</v>
      </c>
      <c r="B676" s="10">
        <v>33</v>
      </c>
      <c r="C676" s="8">
        <v>34.333333333333336</v>
      </c>
    </row>
    <row r="677" spans="1:3" x14ac:dyDescent="0.3">
      <c r="A677" s="11">
        <v>30</v>
      </c>
      <c r="B677" s="10">
        <v>44</v>
      </c>
      <c r="C677" s="8">
        <v>31.933333333333334</v>
      </c>
    </row>
    <row r="678" spans="1:3" x14ac:dyDescent="0.3">
      <c r="A678" s="11">
        <v>19</v>
      </c>
      <c r="B678" s="10">
        <v>34</v>
      </c>
      <c r="C678" s="8">
        <v>31.421052631578949</v>
      </c>
    </row>
    <row r="679" spans="1:3" x14ac:dyDescent="0.3">
      <c r="A679" s="11">
        <v>14</v>
      </c>
      <c r="B679" s="10">
        <v>22</v>
      </c>
      <c r="C679" s="8">
        <v>42.785714285714285</v>
      </c>
    </row>
    <row r="680" spans="1:3" x14ac:dyDescent="0.3">
      <c r="A680" s="11">
        <v>6</v>
      </c>
      <c r="B680" s="10">
        <v>9</v>
      </c>
      <c r="C680" s="8">
        <v>41.166666666666664</v>
      </c>
    </row>
    <row r="681" spans="1:3" x14ac:dyDescent="0.3">
      <c r="A681" s="11">
        <v>15</v>
      </c>
      <c r="B681" s="10">
        <v>21</v>
      </c>
      <c r="C681" s="8">
        <v>38.333333333333336</v>
      </c>
    </row>
    <row r="682" spans="1:3" x14ac:dyDescent="0.3">
      <c r="A682" s="11">
        <v>10</v>
      </c>
      <c r="B682" s="10">
        <v>14</v>
      </c>
      <c r="C682" s="8">
        <v>34.299999999999997</v>
      </c>
    </row>
    <row r="683" spans="1:3" x14ac:dyDescent="0.3">
      <c r="A683" s="11">
        <v>1</v>
      </c>
      <c r="B683" s="10">
        <v>1</v>
      </c>
      <c r="C683" s="8">
        <v>30</v>
      </c>
    </row>
    <row r="684" spans="1:3" x14ac:dyDescent="0.3">
      <c r="A684" s="11">
        <v>17</v>
      </c>
      <c r="B684" s="10">
        <v>29</v>
      </c>
      <c r="C684" s="8">
        <v>32.411764705882355</v>
      </c>
    </row>
    <row r="685" spans="1:3" x14ac:dyDescent="0.3">
      <c r="A685" s="11">
        <v>5</v>
      </c>
      <c r="B685" s="10">
        <v>7</v>
      </c>
      <c r="C685" s="8">
        <v>46.2</v>
      </c>
    </row>
    <row r="686" spans="1:3" x14ac:dyDescent="0.3">
      <c r="A686" s="11">
        <v>14</v>
      </c>
      <c r="B686" s="10">
        <v>20</v>
      </c>
      <c r="C686" s="8">
        <v>31.785714285714285</v>
      </c>
    </row>
    <row r="687" spans="1:3" x14ac:dyDescent="0.3">
      <c r="A687" s="11">
        <v>1</v>
      </c>
      <c r="B687" s="10">
        <v>1</v>
      </c>
      <c r="C687" s="8">
        <v>46</v>
      </c>
    </row>
    <row r="688" spans="1:3" x14ac:dyDescent="0.3">
      <c r="A688" s="11">
        <v>21</v>
      </c>
      <c r="B688" s="10">
        <v>30</v>
      </c>
      <c r="C688" s="8">
        <v>31.714285714285715</v>
      </c>
    </row>
    <row r="689" spans="1:3" x14ac:dyDescent="0.3">
      <c r="A689" s="11">
        <v>6</v>
      </c>
      <c r="B689" s="10">
        <v>11</v>
      </c>
      <c r="C689" s="8">
        <v>43</v>
      </c>
    </row>
    <row r="690" spans="1:3" x14ac:dyDescent="0.3">
      <c r="A690" s="11">
        <v>10</v>
      </c>
      <c r="B690" s="10">
        <v>19</v>
      </c>
      <c r="C690" s="8">
        <v>39.799999999999997</v>
      </c>
    </row>
    <row r="691" spans="1:3" x14ac:dyDescent="0.3">
      <c r="A691" s="11">
        <v>19</v>
      </c>
      <c r="B691" s="10">
        <v>41</v>
      </c>
      <c r="C691" s="8">
        <v>36.315789473684212</v>
      </c>
    </row>
    <row r="692" spans="1:3" x14ac:dyDescent="0.3">
      <c r="A692" s="11">
        <v>19</v>
      </c>
      <c r="B692" s="10">
        <v>27</v>
      </c>
      <c r="C692" s="8">
        <v>29.526315789473685</v>
      </c>
    </row>
    <row r="693" spans="1:3" x14ac:dyDescent="0.3">
      <c r="A693" s="11">
        <v>14</v>
      </c>
      <c r="B693" s="10">
        <v>25</v>
      </c>
      <c r="C693" s="8">
        <v>42.071428571428569</v>
      </c>
    </row>
    <row r="694" spans="1:3" x14ac:dyDescent="0.3">
      <c r="A694" s="11">
        <v>3</v>
      </c>
      <c r="B694" s="10">
        <v>3</v>
      </c>
      <c r="C694" s="8">
        <v>27.333333333333332</v>
      </c>
    </row>
    <row r="695" spans="1:3" x14ac:dyDescent="0.3">
      <c r="A695" s="11">
        <v>1</v>
      </c>
      <c r="B695" s="10">
        <v>2</v>
      </c>
      <c r="C695" s="8">
        <v>28</v>
      </c>
    </row>
    <row r="696" spans="1:3" x14ac:dyDescent="0.3">
      <c r="A696" s="11">
        <v>30</v>
      </c>
      <c r="B696" s="10">
        <v>45</v>
      </c>
      <c r="C696" s="8">
        <v>24.8</v>
      </c>
    </row>
    <row r="697" spans="1:3" x14ac:dyDescent="0.3">
      <c r="A697" s="11">
        <v>6</v>
      </c>
      <c r="B697" s="10">
        <v>10</v>
      </c>
      <c r="C697" s="8">
        <v>30.666666666666668</v>
      </c>
    </row>
    <row r="698" spans="1:3" x14ac:dyDescent="0.3">
      <c r="A698" s="11">
        <v>9</v>
      </c>
      <c r="B698" s="10">
        <v>14</v>
      </c>
      <c r="C698" s="8">
        <v>37.444444444444443</v>
      </c>
    </row>
    <row r="699" spans="1:3" x14ac:dyDescent="0.3">
      <c r="A699" s="11">
        <v>9</v>
      </c>
      <c r="B699" s="10">
        <v>16</v>
      </c>
      <c r="C699" s="8">
        <v>41.111111111111114</v>
      </c>
    </row>
    <row r="700" spans="1:3" x14ac:dyDescent="0.3">
      <c r="A700" s="11">
        <v>31</v>
      </c>
      <c r="B700" s="10">
        <v>48</v>
      </c>
      <c r="C700" s="8">
        <v>29.774193548387096</v>
      </c>
    </row>
    <row r="701" spans="1:3" x14ac:dyDescent="0.3">
      <c r="A701" s="11">
        <v>17</v>
      </c>
      <c r="B701" s="10">
        <v>36</v>
      </c>
      <c r="C701" s="8">
        <v>37.058823529411768</v>
      </c>
    </row>
    <row r="702" spans="1:3" x14ac:dyDescent="0.3">
      <c r="A702" s="11">
        <v>8</v>
      </c>
      <c r="B702" s="10">
        <v>17</v>
      </c>
      <c r="C702" s="8">
        <v>26.375</v>
      </c>
    </row>
    <row r="703" spans="1:3" x14ac:dyDescent="0.3">
      <c r="A703" s="11">
        <v>24</v>
      </c>
      <c r="B703" s="10">
        <v>40</v>
      </c>
      <c r="C703" s="8">
        <v>30.375</v>
      </c>
    </row>
    <row r="704" spans="1:3" x14ac:dyDescent="0.3">
      <c r="A704" s="11">
        <v>2</v>
      </c>
      <c r="B704" s="10">
        <v>4</v>
      </c>
      <c r="C704" s="8">
        <v>37.5</v>
      </c>
    </row>
    <row r="705" spans="1:3" x14ac:dyDescent="0.3">
      <c r="A705" s="11">
        <v>12</v>
      </c>
      <c r="B705" s="10">
        <v>23</v>
      </c>
      <c r="C705" s="8">
        <v>41.666666666666664</v>
      </c>
    </row>
    <row r="706" spans="1:3" x14ac:dyDescent="0.3">
      <c r="A706" s="11">
        <v>9</v>
      </c>
      <c r="B706" s="10">
        <v>18</v>
      </c>
      <c r="C706" s="8">
        <v>40.666666666666664</v>
      </c>
    </row>
    <row r="707" spans="1:3" x14ac:dyDescent="0.3">
      <c r="A707" s="11">
        <v>24</v>
      </c>
      <c r="B707" s="10">
        <v>49</v>
      </c>
      <c r="C707" s="8">
        <v>41.625</v>
      </c>
    </row>
    <row r="708" spans="1:3" x14ac:dyDescent="0.3">
      <c r="A708" s="11">
        <v>27</v>
      </c>
      <c r="B708" s="10">
        <v>59</v>
      </c>
      <c r="C708" s="8">
        <v>26.407407407407408</v>
      </c>
    </row>
    <row r="709" spans="1:3" x14ac:dyDescent="0.3">
      <c r="A709" s="11">
        <v>19</v>
      </c>
      <c r="B709" s="10">
        <v>31</v>
      </c>
      <c r="C709" s="8">
        <v>39.10526315789474</v>
      </c>
    </row>
    <row r="710" spans="1:3" x14ac:dyDescent="0.3">
      <c r="A710" s="11">
        <v>11</v>
      </c>
      <c r="B710" s="10">
        <v>14</v>
      </c>
      <c r="C710" s="8">
        <v>42.18181818181818</v>
      </c>
    </row>
    <row r="711" spans="1:3" x14ac:dyDescent="0.3">
      <c r="A711" s="11">
        <v>19</v>
      </c>
      <c r="B711" s="10">
        <v>35</v>
      </c>
      <c r="C711" s="8">
        <v>33.210526315789473</v>
      </c>
    </row>
    <row r="712" spans="1:3" x14ac:dyDescent="0.3">
      <c r="A712" s="11">
        <v>13</v>
      </c>
      <c r="B712" s="10">
        <v>16</v>
      </c>
      <c r="C712" s="8">
        <v>28.923076923076923</v>
      </c>
    </row>
    <row r="713" spans="1:3" x14ac:dyDescent="0.3">
      <c r="A713" s="11">
        <v>15</v>
      </c>
      <c r="B713" s="10">
        <v>31</v>
      </c>
      <c r="C713" s="8">
        <v>44.133333333333333</v>
      </c>
    </row>
    <row r="714" spans="1:3" x14ac:dyDescent="0.3">
      <c r="A714" s="11">
        <v>18</v>
      </c>
      <c r="B714" s="10">
        <v>22</v>
      </c>
      <c r="C714" s="8">
        <v>35.166666666666664</v>
      </c>
    </row>
    <row r="715" spans="1:3" x14ac:dyDescent="0.3">
      <c r="A715" s="11">
        <v>2</v>
      </c>
      <c r="B715" s="10">
        <v>3</v>
      </c>
      <c r="C715" s="8">
        <v>51</v>
      </c>
    </row>
    <row r="716" spans="1:3" x14ac:dyDescent="0.3">
      <c r="A716" s="11">
        <v>18</v>
      </c>
      <c r="B716" s="10">
        <v>34</v>
      </c>
      <c r="C716" s="8">
        <v>44.388888888888886</v>
      </c>
    </row>
    <row r="717" spans="1:3" x14ac:dyDescent="0.3">
      <c r="A717" s="11">
        <v>23</v>
      </c>
      <c r="B717" s="10">
        <v>50</v>
      </c>
      <c r="C717" s="8">
        <v>35.304347826086953</v>
      </c>
    </row>
    <row r="718" spans="1:3" x14ac:dyDescent="0.3">
      <c r="A718" s="11">
        <v>2</v>
      </c>
      <c r="B718" s="10">
        <v>3</v>
      </c>
      <c r="C718" s="8">
        <v>25</v>
      </c>
    </row>
    <row r="719" spans="1:3" x14ac:dyDescent="0.3">
      <c r="A719" s="11">
        <v>5</v>
      </c>
      <c r="B719" s="10">
        <v>7</v>
      </c>
      <c r="C719" s="8">
        <v>39.4</v>
      </c>
    </row>
    <row r="720" spans="1:3" x14ac:dyDescent="0.3">
      <c r="A720" s="11">
        <v>23</v>
      </c>
      <c r="B720" s="10">
        <v>47</v>
      </c>
      <c r="C720" s="8">
        <v>36.304347826086953</v>
      </c>
    </row>
    <row r="721" spans="1:3" x14ac:dyDescent="0.3">
      <c r="A721" s="11">
        <v>9</v>
      </c>
      <c r="B721" s="10">
        <v>19</v>
      </c>
      <c r="C721" s="8">
        <v>45.666666666666664</v>
      </c>
    </row>
    <row r="722" spans="1:3" x14ac:dyDescent="0.3">
      <c r="A722" s="11">
        <v>27</v>
      </c>
      <c r="B722" s="10">
        <v>59</v>
      </c>
      <c r="C722" s="8">
        <v>30.444444444444443</v>
      </c>
    </row>
    <row r="723" spans="1:3" x14ac:dyDescent="0.3">
      <c r="A723" s="11">
        <v>1</v>
      </c>
      <c r="B723" s="10">
        <v>1</v>
      </c>
      <c r="C723" s="8">
        <v>16</v>
      </c>
    </row>
    <row r="724" spans="1:3" x14ac:dyDescent="0.3">
      <c r="A724" s="11">
        <v>3</v>
      </c>
      <c r="B724" s="10">
        <v>4</v>
      </c>
      <c r="C724" s="8">
        <v>36.666666666666664</v>
      </c>
    </row>
    <row r="725" spans="1:3" x14ac:dyDescent="0.3">
      <c r="A725" s="11">
        <v>12</v>
      </c>
      <c r="B725" s="10">
        <v>23</v>
      </c>
      <c r="C725" s="8">
        <v>30.5</v>
      </c>
    </row>
    <row r="726" spans="1:3" x14ac:dyDescent="0.3">
      <c r="A726" s="11">
        <v>3</v>
      </c>
      <c r="B726" s="10">
        <v>5</v>
      </c>
      <c r="C726" s="8">
        <v>33</v>
      </c>
    </row>
    <row r="727" spans="1:3" x14ac:dyDescent="0.3">
      <c r="A727" s="11">
        <v>15</v>
      </c>
      <c r="B727" s="10">
        <v>22</v>
      </c>
      <c r="C727" s="8">
        <v>37.533333333333331</v>
      </c>
    </row>
    <row r="728" spans="1:3" x14ac:dyDescent="0.3">
      <c r="A728" s="11">
        <v>16</v>
      </c>
      <c r="B728" s="10">
        <v>22</v>
      </c>
      <c r="C728" s="8">
        <v>32.625</v>
      </c>
    </row>
    <row r="729" spans="1:3" x14ac:dyDescent="0.3">
      <c r="A729" s="11">
        <v>15</v>
      </c>
      <c r="B729" s="10">
        <v>32</v>
      </c>
      <c r="C729" s="8">
        <v>29.2</v>
      </c>
    </row>
    <row r="730" spans="1:3" x14ac:dyDescent="0.3">
      <c r="A730" s="11">
        <v>19</v>
      </c>
      <c r="B730" s="10">
        <v>39</v>
      </c>
      <c r="C730" s="8">
        <v>43.94736842105263</v>
      </c>
    </row>
    <row r="731" spans="1:3" x14ac:dyDescent="0.3">
      <c r="A731" s="11">
        <v>10</v>
      </c>
      <c r="B731" s="10">
        <v>18</v>
      </c>
      <c r="C731" s="8">
        <v>41.9</v>
      </c>
    </row>
    <row r="732" spans="1:3" x14ac:dyDescent="0.3">
      <c r="A732" s="11">
        <v>10</v>
      </c>
      <c r="B732" s="10">
        <v>17</v>
      </c>
      <c r="C732" s="8">
        <v>36.4</v>
      </c>
    </row>
    <row r="733" spans="1:3" x14ac:dyDescent="0.3">
      <c r="A733" s="11">
        <v>1</v>
      </c>
      <c r="B733" s="10">
        <v>1</v>
      </c>
      <c r="C733" s="8">
        <v>53</v>
      </c>
    </row>
    <row r="734" spans="1:3" x14ac:dyDescent="0.3">
      <c r="A734" s="11">
        <v>1</v>
      </c>
      <c r="B734" s="10">
        <v>1</v>
      </c>
      <c r="C734" s="8">
        <v>36</v>
      </c>
    </row>
    <row r="735" spans="1:3" x14ac:dyDescent="0.3">
      <c r="A735" s="11">
        <v>21</v>
      </c>
      <c r="B735" s="10">
        <v>44</v>
      </c>
      <c r="C735" s="8">
        <v>36.904761904761905</v>
      </c>
    </row>
    <row r="736" spans="1:3" x14ac:dyDescent="0.3">
      <c r="A736" s="11">
        <v>20</v>
      </c>
      <c r="B736" s="10">
        <v>28</v>
      </c>
      <c r="C736" s="8">
        <v>30</v>
      </c>
    </row>
    <row r="737" spans="1:3" x14ac:dyDescent="0.3">
      <c r="A737" s="11">
        <v>22</v>
      </c>
      <c r="B737" s="10">
        <v>39</v>
      </c>
      <c r="C737" s="8">
        <v>32.409090909090907</v>
      </c>
    </row>
    <row r="738" spans="1:3" x14ac:dyDescent="0.3">
      <c r="A738" s="11">
        <v>29</v>
      </c>
      <c r="B738" s="10">
        <v>69</v>
      </c>
      <c r="C738" s="8">
        <v>31.517241379310345</v>
      </c>
    </row>
    <row r="739" spans="1:3" x14ac:dyDescent="0.3">
      <c r="A739" s="11">
        <v>22</v>
      </c>
      <c r="B739" s="10">
        <v>51</v>
      </c>
      <c r="C739" s="8">
        <v>45.454545454545453</v>
      </c>
    </row>
    <row r="740" spans="1:3" x14ac:dyDescent="0.3">
      <c r="A740" s="11">
        <v>5</v>
      </c>
      <c r="B740" s="10">
        <v>9</v>
      </c>
      <c r="C740" s="8">
        <v>27</v>
      </c>
    </row>
    <row r="741" spans="1:3" x14ac:dyDescent="0.3">
      <c r="A741" s="11">
        <v>15</v>
      </c>
      <c r="B741" s="10">
        <v>32</v>
      </c>
      <c r="C741" s="8">
        <v>36</v>
      </c>
    </row>
    <row r="742" spans="1:3" x14ac:dyDescent="0.3">
      <c r="A742" s="11">
        <v>3</v>
      </c>
      <c r="B742" s="10">
        <v>5</v>
      </c>
      <c r="C742" s="8">
        <v>39.333333333333336</v>
      </c>
    </row>
    <row r="743" spans="1:3" x14ac:dyDescent="0.3">
      <c r="A743" s="11">
        <v>6</v>
      </c>
      <c r="B743" s="10">
        <v>10</v>
      </c>
      <c r="C743" s="8">
        <v>42.166666666666664</v>
      </c>
    </row>
    <row r="744" spans="1:3" x14ac:dyDescent="0.3">
      <c r="A744" s="11">
        <v>23</v>
      </c>
      <c r="B744" s="10">
        <v>38</v>
      </c>
      <c r="C744" s="8">
        <v>39.173913043478258</v>
      </c>
    </row>
    <row r="745" spans="1:3" x14ac:dyDescent="0.3">
      <c r="A745" s="11">
        <v>28</v>
      </c>
      <c r="B745" s="10">
        <v>66</v>
      </c>
      <c r="C745" s="8">
        <v>30.178571428571427</v>
      </c>
    </row>
    <row r="746" spans="1:3" x14ac:dyDescent="0.3">
      <c r="A746" s="11">
        <v>12</v>
      </c>
      <c r="B746" s="10">
        <v>22</v>
      </c>
      <c r="C746" s="8">
        <v>28.333333333333332</v>
      </c>
    </row>
    <row r="747" spans="1:3" x14ac:dyDescent="0.3">
      <c r="A747" s="11">
        <v>25</v>
      </c>
      <c r="B747" s="10">
        <v>43</v>
      </c>
      <c r="C747" s="8">
        <v>24.52</v>
      </c>
    </row>
    <row r="748" spans="1:3" x14ac:dyDescent="0.3">
      <c r="A748" s="11">
        <v>20</v>
      </c>
      <c r="B748" s="10">
        <v>41</v>
      </c>
      <c r="C748" s="8">
        <v>37.299999999999997</v>
      </c>
    </row>
    <row r="749" spans="1:3" x14ac:dyDescent="0.3">
      <c r="A749" s="11">
        <v>22</v>
      </c>
      <c r="B749" s="10">
        <v>48</v>
      </c>
      <c r="C749" s="8">
        <v>42.68181818181818</v>
      </c>
    </row>
    <row r="750" spans="1:3" x14ac:dyDescent="0.3">
      <c r="A750" s="11">
        <v>25</v>
      </c>
      <c r="B750" s="10">
        <v>37</v>
      </c>
      <c r="C750" s="8">
        <v>35.04</v>
      </c>
    </row>
    <row r="751" spans="1:3" x14ac:dyDescent="0.3">
      <c r="A751" s="11">
        <v>14</v>
      </c>
      <c r="B751" s="10">
        <v>17</v>
      </c>
      <c r="C751" s="8">
        <v>34.642857142857146</v>
      </c>
    </row>
    <row r="752" spans="1:3" x14ac:dyDescent="0.3">
      <c r="A752" s="11">
        <v>20</v>
      </c>
      <c r="B752" s="10">
        <v>37</v>
      </c>
      <c r="C752" s="8">
        <v>29.7</v>
      </c>
    </row>
    <row r="753" spans="1:3" x14ac:dyDescent="0.3">
      <c r="A753" s="11">
        <v>11</v>
      </c>
      <c r="B753" s="10">
        <v>15</v>
      </c>
      <c r="C753" s="8">
        <v>42.81818181818182</v>
      </c>
    </row>
    <row r="754" spans="1:3" x14ac:dyDescent="0.3">
      <c r="A754" s="11">
        <v>35</v>
      </c>
      <c r="B754" s="10">
        <v>74</v>
      </c>
      <c r="C754" s="8">
        <v>26.142857142857142</v>
      </c>
    </row>
    <row r="755" spans="1:3" x14ac:dyDescent="0.3">
      <c r="A755" s="11">
        <v>14</v>
      </c>
      <c r="B755" s="10">
        <v>27</v>
      </c>
      <c r="C755" s="8">
        <v>46.214285714285715</v>
      </c>
    </row>
    <row r="756" spans="1:3" x14ac:dyDescent="0.3">
      <c r="A756" s="11">
        <v>11</v>
      </c>
      <c r="B756" s="10">
        <v>18</v>
      </c>
      <c r="C756" s="8">
        <v>34.81818181818182</v>
      </c>
    </row>
    <row r="757" spans="1:3" x14ac:dyDescent="0.3">
      <c r="A757" s="11">
        <v>22</v>
      </c>
      <c r="B757" s="10">
        <v>37</v>
      </c>
      <c r="C757" s="8">
        <v>40.954545454545453</v>
      </c>
    </row>
    <row r="758" spans="1:3" x14ac:dyDescent="0.3">
      <c r="A758" s="11">
        <v>27</v>
      </c>
      <c r="B758" s="10">
        <v>49</v>
      </c>
      <c r="C758" s="8">
        <v>26.444444444444443</v>
      </c>
    </row>
    <row r="759" spans="1:3" x14ac:dyDescent="0.3">
      <c r="A759" s="11">
        <v>16</v>
      </c>
      <c r="B759" s="10">
        <v>35</v>
      </c>
      <c r="C759" s="8">
        <v>40.5625</v>
      </c>
    </row>
    <row r="760" spans="1:3" x14ac:dyDescent="0.3">
      <c r="A760" s="11">
        <v>27</v>
      </c>
      <c r="B760" s="10">
        <v>55</v>
      </c>
      <c r="C760" s="8">
        <v>34.518518518518519</v>
      </c>
    </row>
    <row r="761" spans="1:3" x14ac:dyDescent="0.3">
      <c r="A761" s="11">
        <v>12</v>
      </c>
      <c r="B761" s="10">
        <v>19</v>
      </c>
      <c r="C761" s="8">
        <v>39.166666666666664</v>
      </c>
    </row>
    <row r="762" spans="1:3" x14ac:dyDescent="0.3">
      <c r="A762" s="11">
        <v>25</v>
      </c>
      <c r="B762" s="10">
        <v>54</v>
      </c>
      <c r="C762" s="8">
        <v>33.6</v>
      </c>
    </row>
    <row r="763" spans="1:3" x14ac:dyDescent="0.3">
      <c r="A763" s="11">
        <v>11</v>
      </c>
      <c r="B763" s="10">
        <v>21</v>
      </c>
      <c r="C763" s="8">
        <v>37</v>
      </c>
    </row>
    <row r="764" spans="1:3" x14ac:dyDescent="0.3">
      <c r="A764" s="11">
        <v>23</v>
      </c>
      <c r="B764" s="10">
        <v>40</v>
      </c>
      <c r="C764" s="8">
        <v>25.347826086956523</v>
      </c>
    </row>
    <row r="765" spans="1:3" x14ac:dyDescent="0.3">
      <c r="A765" s="11">
        <v>31</v>
      </c>
      <c r="B765" s="10">
        <v>46</v>
      </c>
      <c r="C765" s="8">
        <v>25.677419354838708</v>
      </c>
    </row>
    <row r="766" spans="1:3" x14ac:dyDescent="0.3">
      <c r="A766" s="11">
        <v>1</v>
      </c>
      <c r="B766" s="10">
        <v>2</v>
      </c>
      <c r="C766" s="8">
        <v>17</v>
      </c>
    </row>
    <row r="767" spans="1:3" x14ac:dyDescent="0.3">
      <c r="A767" s="11">
        <v>22</v>
      </c>
      <c r="B767" s="10">
        <v>42</v>
      </c>
      <c r="C767" s="8">
        <v>36.772727272727273</v>
      </c>
    </row>
    <row r="768" spans="1:3" x14ac:dyDescent="0.3">
      <c r="A768" s="11">
        <v>14</v>
      </c>
      <c r="B768" s="10">
        <v>27</v>
      </c>
      <c r="C768" s="8">
        <v>26.071428571428573</v>
      </c>
    </row>
    <row r="769" spans="1:3" x14ac:dyDescent="0.3">
      <c r="A769" s="11">
        <v>12</v>
      </c>
      <c r="B769" s="10">
        <v>21</v>
      </c>
      <c r="C769" s="8">
        <v>29.75</v>
      </c>
    </row>
    <row r="770" spans="1:3" x14ac:dyDescent="0.3">
      <c r="A770" s="11">
        <v>20</v>
      </c>
      <c r="B770" s="10">
        <v>43</v>
      </c>
      <c r="C770" s="8">
        <v>38.799999999999997</v>
      </c>
    </row>
    <row r="771" spans="1:3" x14ac:dyDescent="0.3">
      <c r="A771" s="11">
        <v>14</v>
      </c>
      <c r="B771" s="10">
        <v>29</v>
      </c>
      <c r="C771" s="8">
        <v>25.357142857142858</v>
      </c>
    </row>
    <row r="772" spans="1:3" x14ac:dyDescent="0.3">
      <c r="A772" s="11">
        <v>21</v>
      </c>
      <c r="B772" s="10">
        <v>33</v>
      </c>
      <c r="C772" s="8">
        <v>36.857142857142854</v>
      </c>
    </row>
    <row r="773" spans="1:3" x14ac:dyDescent="0.3">
      <c r="A773" s="11">
        <v>9</v>
      </c>
      <c r="B773" s="10">
        <v>18</v>
      </c>
      <c r="C773" s="8">
        <v>39.333333333333336</v>
      </c>
    </row>
    <row r="774" spans="1:3" x14ac:dyDescent="0.3">
      <c r="A774" s="11">
        <v>1</v>
      </c>
      <c r="B774" s="10">
        <v>2</v>
      </c>
      <c r="C774" s="8">
        <v>23</v>
      </c>
    </row>
    <row r="775" spans="1:3" x14ac:dyDescent="0.3">
      <c r="A775" s="11">
        <v>24</v>
      </c>
      <c r="B775" s="10">
        <v>35</v>
      </c>
      <c r="C775" s="8">
        <v>32.416666666666664</v>
      </c>
    </row>
    <row r="776" spans="1:3" x14ac:dyDescent="0.3">
      <c r="A776" s="11">
        <v>13</v>
      </c>
      <c r="B776" s="10">
        <v>16</v>
      </c>
      <c r="C776" s="8">
        <v>36.46153846153846</v>
      </c>
    </row>
    <row r="777" spans="1:3" x14ac:dyDescent="0.3">
      <c r="A777" s="11">
        <v>35</v>
      </c>
      <c r="B777" s="10">
        <v>78</v>
      </c>
      <c r="C777" s="8">
        <v>27.142857142857142</v>
      </c>
    </row>
    <row r="778" spans="1:3" x14ac:dyDescent="0.3">
      <c r="A778" s="11">
        <v>9</v>
      </c>
      <c r="B778" s="10">
        <v>11</v>
      </c>
      <c r="C778" s="8">
        <v>36.666666666666664</v>
      </c>
    </row>
    <row r="779" spans="1:3" x14ac:dyDescent="0.3">
      <c r="A779" s="11">
        <v>24</v>
      </c>
      <c r="B779" s="10">
        <v>42</v>
      </c>
      <c r="C779" s="8">
        <v>40.958333333333336</v>
      </c>
    </row>
    <row r="780" spans="1:3" x14ac:dyDescent="0.3">
      <c r="A780" s="11">
        <v>38</v>
      </c>
      <c r="B780" s="10">
        <v>54</v>
      </c>
      <c r="C780" s="8">
        <v>25.894736842105264</v>
      </c>
    </row>
    <row r="781" spans="1:3" x14ac:dyDescent="0.3">
      <c r="A781" s="11">
        <v>15</v>
      </c>
      <c r="B781" s="10">
        <v>19</v>
      </c>
      <c r="C781" s="8">
        <v>38</v>
      </c>
    </row>
    <row r="782" spans="1:3" x14ac:dyDescent="0.3">
      <c r="A782" s="11">
        <v>10</v>
      </c>
      <c r="B782" s="10">
        <v>16</v>
      </c>
      <c r="C782" s="8">
        <v>43.7</v>
      </c>
    </row>
    <row r="783" spans="1:3" x14ac:dyDescent="0.3">
      <c r="A783" s="11">
        <v>1</v>
      </c>
      <c r="B783" s="10">
        <v>1</v>
      </c>
      <c r="C783" s="8">
        <v>39</v>
      </c>
    </row>
    <row r="784" spans="1:3" x14ac:dyDescent="0.3">
      <c r="A784" s="11">
        <v>15</v>
      </c>
      <c r="B784" s="10">
        <v>32</v>
      </c>
      <c r="C784" s="8">
        <v>26.333333333333332</v>
      </c>
    </row>
    <row r="785" spans="1:3" x14ac:dyDescent="0.3">
      <c r="A785" s="11">
        <v>24</v>
      </c>
      <c r="B785" s="10">
        <v>53</v>
      </c>
      <c r="C785" s="8">
        <v>39.958333333333336</v>
      </c>
    </row>
    <row r="786" spans="1:3" x14ac:dyDescent="0.3">
      <c r="A786" s="11">
        <v>18</v>
      </c>
      <c r="B786" s="10">
        <v>24</v>
      </c>
      <c r="C786" s="8">
        <v>36.055555555555557</v>
      </c>
    </row>
    <row r="787" spans="1:3" x14ac:dyDescent="0.3">
      <c r="A787" s="11">
        <v>32</v>
      </c>
      <c r="B787" s="10">
        <v>53</v>
      </c>
      <c r="C787" s="8">
        <v>30.3125</v>
      </c>
    </row>
    <row r="788" spans="1:3" x14ac:dyDescent="0.3">
      <c r="A788" s="11">
        <v>7</v>
      </c>
      <c r="B788" s="10">
        <v>9</v>
      </c>
      <c r="C788" s="8">
        <v>30.714285714285715</v>
      </c>
    </row>
    <row r="789" spans="1:3" x14ac:dyDescent="0.3">
      <c r="A789" s="11">
        <v>21</v>
      </c>
      <c r="B789" s="10">
        <v>40</v>
      </c>
      <c r="C789" s="8">
        <v>25.38095238095238</v>
      </c>
    </row>
    <row r="790" spans="1:3" x14ac:dyDescent="0.3">
      <c r="A790" s="11">
        <v>19</v>
      </c>
      <c r="B790" s="10">
        <v>34</v>
      </c>
      <c r="C790" s="8">
        <v>44</v>
      </c>
    </row>
    <row r="791" spans="1:3" x14ac:dyDescent="0.3">
      <c r="A791" s="11">
        <v>3</v>
      </c>
      <c r="B791" s="10">
        <v>5</v>
      </c>
      <c r="C791" s="8">
        <v>43.666666666666664</v>
      </c>
    </row>
    <row r="792" spans="1:3" x14ac:dyDescent="0.3">
      <c r="A792" s="11">
        <v>21</v>
      </c>
      <c r="B792" s="10">
        <v>37</v>
      </c>
      <c r="C792" s="8">
        <v>30.523809523809526</v>
      </c>
    </row>
    <row r="793" spans="1:3" x14ac:dyDescent="0.3">
      <c r="A793" s="11">
        <v>4</v>
      </c>
      <c r="B793" s="10">
        <v>5</v>
      </c>
      <c r="C793" s="8">
        <v>34.75</v>
      </c>
    </row>
    <row r="794" spans="1:3" x14ac:dyDescent="0.3">
      <c r="A794" s="11">
        <v>24</v>
      </c>
      <c r="B794" s="10">
        <v>47</v>
      </c>
      <c r="C794" s="8">
        <v>37.708333333333336</v>
      </c>
    </row>
    <row r="795" spans="1:3" x14ac:dyDescent="0.3">
      <c r="A795" s="11">
        <v>28</v>
      </c>
      <c r="B795" s="10">
        <v>57</v>
      </c>
      <c r="C795" s="8">
        <v>26.642857142857142</v>
      </c>
    </row>
    <row r="796" spans="1:3" x14ac:dyDescent="0.3">
      <c r="A796" s="11">
        <v>5</v>
      </c>
      <c r="B796" s="10">
        <v>6</v>
      </c>
      <c r="C796" s="8">
        <v>44.6</v>
      </c>
    </row>
    <row r="797" spans="1:3" x14ac:dyDescent="0.3">
      <c r="A797" s="11">
        <v>11</v>
      </c>
      <c r="B797" s="10">
        <v>16</v>
      </c>
      <c r="C797" s="8">
        <v>31.09090909090909</v>
      </c>
    </row>
    <row r="798" spans="1:3" x14ac:dyDescent="0.3">
      <c r="A798" s="11">
        <v>14</v>
      </c>
      <c r="B798" s="10">
        <v>21</v>
      </c>
      <c r="C798" s="8">
        <v>30.785714285714285</v>
      </c>
    </row>
    <row r="799" spans="1:3" x14ac:dyDescent="0.3">
      <c r="A799" s="11">
        <v>6</v>
      </c>
      <c r="B799" s="10">
        <v>13</v>
      </c>
      <c r="C799" s="8">
        <v>37.5</v>
      </c>
    </row>
    <row r="800" spans="1:3" x14ac:dyDescent="0.3">
      <c r="A800" s="11">
        <v>22</v>
      </c>
      <c r="B800" s="10">
        <v>43</v>
      </c>
      <c r="C800" s="8">
        <v>40.18181818181818</v>
      </c>
    </row>
    <row r="801" spans="1:3" x14ac:dyDescent="0.3">
      <c r="A801" s="11">
        <v>17</v>
      </c>
      <c r="B801" s="10">
        <v>26</v>
      </c>
      <c r="C801" s="8">
        <v>34.705882352941174</v>
      </c>
    </row>
    <row r="802" spans="1:3" x14ac:dyDescent="0.3">
      <c r="A802" s="11">
        <v>34</v>
      </c>
      <c r="B802" s="10">
        <v>68</v>
      </c>
      <c r="C802" s="8">
        <v>27.029411764705884</v>
      </c>
    </row>
    <row r="803" spans="1:3" x14ac:dyDescent="0.3">
      <c r="A803" s="11">
        <v>2</v>
      </c>
      <c r="B803" s="10">
        <v>3</v>
      </c>
      <c r="C803" s="8">
        <v>33.5</v>
      </c>
    </row>
    <row r="804" spans="1:3" x14ac:dyDescent="0.3">
      <c r="A804" s="11">
        <v>6</v>
      </c>
      <c r="B804" s="10">
        <v>9</v>
      </c>
      <c r="C804" s="8">
        <v>44.166666666666664</v>
      </c>
    </row>
    <row r="805" spans="1:3" x14ac:dyDescent="0.3">
      <c r="A805" s="11">
        <v>17</v>
      </c>
      <c r="B805" s="10">
        <v>33</v>
      </c>
      <c r="C805" s="8">
        <v>24.529411764705884</v>
      </c>
    </row>
    <row r="806" spans="1:3" x14ac:dyDescent="0.3">
      <c r="A806" s="11">
        <v>29</v>
      </c>
      <c r="B806" s="10">
        <v>55</v>
      </c>
      <c r="C806" s="8">
        <v>25.620689655172413</v>
      </c>
    </row>
    <row r="807" spans="1:3" x14ac:dyDescent="0.3">
      <c r="A807" s="11">
        <v>5</v>
      </c>
      <c r="B807" s="10">
        <v>8</v>
      </c>
      <c r="C807" s="8">
        <v>37.200000000000003</v>
      </c>
    </row>
    <row r="808" spans="1:3" x14ac:dyDescent="0.3">
      <c r="A808" s="11">
        <v>14</v>
      </c>
      <c r="B808" s="10">
        <v>28</v>
      </c>
      <c r="C808" s="8">
        <v>38.071428571428569</v>
      </c>
    </row>
    <row r="809" spans="1:3" x14ac:dyDescent="0.3">
      <c r="A809" s="11">
        <v>17</v>
      </c>
      <c r="B809" s="10">
        <v>22</v>
      </c>
      <c r="C809" s="8">
        <v>42.588235294117645</v>
      </c>
    </row>
    <row r="810" spans="1:3" x14ac:dyDescent="0.3">
      <c r="A810" s="11">
        <v>7</v>
      </c>
      <c r="B810" s="10">
        <v>11</v>
      </c>
      <c r="C810" s="8">
        <v>31.857142857142858</v>
      </c>
    </row>
    <row r="811" spans="1:3" x14ac:dyDescent="0.3">
      <c r="A811" s="11">
        <v>24</v>
      </c>
      <c r="B811" s="10">
        <v>40</v>
      </c>
      <c r="C811" s="8">
        <v>41.458333333333336</v>
      </c>
    </row>
    <row r="812" spans="1:3" x14ac:dyDescent="0.3">
      <c r="A812" s="11">
        <v>24</v>
      </c>
      <c r="B812" s="10">
        <v>50</v>
      </c>
      <c r="C812" s="8">
        <v>26.291666666666668</v>
      </c>
    </row>
    <row r="813" spans="1:3" x14ac:dyDescent="0.3">
      <c r="A813" s="11">
        <v>19</v>
      </c>
      <c r="B813" s="10">
        <v>31</v>
      </c>
      <c r="C813" s="8">
        <v>38.684210526315788</v>
      </c>
    </row>
    <row r="814" spans="1:3" x14ac:dyDescent="0.3">
      <c r="A814" s="11">
        <v>5</v>
      </c>
      <c r="B814" s="10">
        <v>10</v>
      </c>
      <c r="C814" s="8">
        <v>37</v>
      </c>
    </row>
    <row r="815" spans="1:3" x14ac:dyDescent="0.3">
      <c r="A815" s="11">
        <v>5</v>
      </c>
      <c r="B815" s="10">
        <v>7</v>
      </c>
      <c r="C815" s="8">
        <v>30.6</v>
      </c>
    </row>
    <row r="816" spans="1:3" x14ac:dyDescent="0.3">
      <c r="A816" s="11">
        <v>7</v>
      </c>
      <c r="B816" s="10">
        <v>15</v>
      </c>
      <c r="C816" s="8">
        <v>46</v>
      </c>
    </row>
    <row r="817" spans="1:3" x14ac:dyDescent="0.3">
      <c r="A817" s="11">
        <v>34</v>
      </c>
      <c r="B817" s="10">
        <v>67</v>
      </c>
      <c r="C817" s="8">
        <v>26.794117647058822</v>
      </c>
    </row>
    <row r="818" spans="1:3" x14ac:dyDescent="0.3">
      <c r="A818" s="11">
        <v>13</v>
      </c>
      <c r="B818" s="10">
        <v>18</v>
      </c>
      <c r="C818" s="8">
        <v>42.230769230769234</v>
      </c>
    </row>
    <row r="819" spans="1:3" x14ac:dyDescent="0.3">
      <c r="A819" s="11">
        <v>12</v>
      </c>
      <c r="B819" s="10">
        <v>21</v>
      </c>
      <c r="C819" s="8">
        <v>35.5</v>
      </c>
    </row>
    <row r="820" spans="1:3" x14ac:dyDescent="0.3">
      <c r="A820" s="11">
        <v>26</v>
      </c>
      <c r="B820" s="10">
        <v>43</v>
      </c>
      <c r="C820" s="8">
        <v>36.615384615384613</v>
      </c>
    </row>
    <row r="821" spans="1:3" x14ac:dyDescent="0.3">
      <c r="A821" s="11">
        <v>19</v>
      </c>
      <c r="B821" s="10">
        <v>26</v>
      </c>
      <c r="C821" s="8">
        <v>40.315789473684212</v>
      </c>
    </row>
    <row r="822" spans="1:3" x14ac:dyDescent="0.3">
      <c r="A822" s="11">
        <v>26</v>
      </c>
      <c r="B822" s="10">
        <v>52</v>
      </c>
      <c r="C822" s="8">
        <v>36.307692307692307</v>
      </c>
    </row>
    <row r="823" spans="1:3" x14ac:dyDescent="0.3">
      <c r="A823" s="11">
        <v>15</v>
      </c>
      <c r="B823" s="10">
        <v>29</v>
      </c>
      <c r="C823" s="8">
        <v>35.4</v>
      </c>
    </row>
    <row r="824" spans="1:3" x14ac:dyDescent="0.3">
      <c r="A824" s="11">
        <v>9</v>
      </c>
      <c r="B824" s="10">
        <v>16</v>
      </c>
      <c r="C824" s="8">
        <v>42.444444444444443</v>
      </c>
    </row>
    <row r="825" spans="1:3" x14ac:dyDescent="0.3">
      <c r="A825" s="11">
        <v>22</v>
      </c>
      <c r="B825" s="10">
        <v>47</v>
      </c>
      <c r="C825" s="8">
        <v>35.590909090909093</v>
      </c>
    </row>
    <row r="826" spans="1:3" x14ac:dyDescent="0.3">
      <c r="A826" s="11">
        <v>6</v>
      </c>
      <c r="B826" s="10">
        <v>11</v>
      </c>
      <c r="C826" s="8">
        <v>26</v>
      </c>
    </row>
    <row r="827" spans="1:3" x14ac:dyDescent="0.3">
      <c r="A827" s="11">
        <v>20</v>
      </c>
      <c r="B827" s="10">
        <v>45</v>
      </c>
      <c r="C827" s="8">
        <v>34.25</v>
      </c>
    </row>
    <row r="828" spans="1:3" x14ac:dyDescent="0.3">
      <c r="A828" s="11">
        <v>10</v>
      </c>
      <c r="B828" s="10">
        <v>14</v>
      </c>
      <c r="C828" s="8">
        <v>37.5</v>
      </c>
    </row>
    <row r="829" spans="1:3" x14ac:dyDescent="0.3">
      <c r="A829" s="11">
        <v>5</v>
      </c>
      <c r="B829" s="10">
        <v>10</v>
      </c>
      <c r="C829" s="8">
        <v>34</v>
      </c>
    </row>
    <row r="830" spans="1:3" x14ac:dyDescent="0.3">
      <c r="A830" s="11">
        <v>18</v>
      </c>
      <c r="B830" s="10">
        <v>30</v>
      </c>
      <c r="C830" s="8">
        <v>31.222222222222221</v>
      </c>
    </row>
    <row r="831" spans="1:3" x14ac:dyDescent="0.3">
      <c r="A831" s="11">
        <v>6</v>
      </c>
      <c r="B831" s="10">
        <v>7</v>
      </c>
      <c r="C831" s="8">
        <v>46</v>
      </c>
    </row>
    <row r="832" spans="1:3" x14ac:dyDescent="0.3">
      <c r="A832" s="11">
        <v>25</v>
      </c>
      <c r="B832" s="10">
        <v>38</v>
      </c>
      <c r="C832" s="8">
        <v>33.840000000000003</v>
      </c>
    </row>
    <row r="833" spans="1:3" x14ac:dyDescent="0.3">
      <c r="A833" s="11">
        <v>17</v>
      </c>
      <c r="B833" s="10">
        <v>29</v>
      </c>
      <c r="C833" s="8">
        <v>38.647058823529413</v>
      </c>
    </row>
    <row r="834" spans="1:3" x14ac:dyDescent="0.3">
      <c r="A834" s="11">
        <v>27</v>
      </c>
      <c r="B834" s="10">
        <v>59</v>
      </c>
      <c r="C834" s="8">
        <v>31.62962962962963</v>
      </c>
    </row>
    <row r="835" spans="1:3" x14ac:dyDescent="0.3">
      <c r="A835" s="11">
        <v>19</v>
      </c>
      <c r="B835" s="10">
        <v>28</v>
      </c>
      <c r="C835" s="8">
        <v>43.473684210526315</v>
      </c>
    </row>
    <row r="836" spans="1:3" x14ac:dyDescent="0.3">
      <c r="A836" s="11">
        <v>15</v>
      </c>
      <c r="B836" s="10">
        <v>19</v>
      </c>
      <c r="C836" s="8">
        <v>29.266666666666666</v>
      </c>
    </row>
    <row r="837" spans="1:3" x14ac:dyDescent="0.3">
      <c r="A837" s="11">
        <v>28</v>
      </c>
      <c r="B837" s="10">
        <v>50</v>
      </c>
      <c r="C837" s="8">
        <v>35.321428571428569</v>
      </c>
    </row>
    <row r="838" spans="1:3" x14ac:dyDescent="0.3">
      <c r="A838" s="11">
        <v>14</v>
      </c>
      <c r="B838" s="10">
        <v>18</v>
      </c>
      <c r="C838" s="8">
        <v>28.428571428571427</v>
      </c>
    </row>
    <row r="839" spans="1:3" x14ac:dyDescent="0.3">
      <c r="A839" s="11">
        <v>6</v>
      </c>
      <c r="B839" s="10">
        <v>8</v>
      </c>
      <c r="C839" s="8">
        <v>35.833333333333336</v>
      </c>
    </row>
    <row r="840" spans="1:3" x14ac:dyDescent="0.3">
      <c r="A840" s="11">
        <v>20</v>
      </c>
      <c r="B840" s="10">
        <v>33</v>
      </c>
      <c r="C840" s="8">
        <v>42.4</v>
      </c>
    </row>
    <row r="841" spans="1:3" x14ac:dyDescent="0.3">
      <c r="A841" s="11">
        <v>31</v>
      </c>
      <c r="B841" s="10">
        <v>73</v>
      </c>
      <c r="C841" s="8">
        <v>26.193548387096776</v>
      </c>
    </row>
    <row r="842" spans="1:3" x14ac:dyDescent="0.3">
      <c r="A842" s="11">
        <v>21</v>
      </c>
      <c r="B842" s="10">
        <v>39</v>
      </c>
      <c r="C842" s="8">
        <v>33.38095238095238</v>
      </c>
    </row>
    <row r="843" spans="1:3" x14ac:dyDescent="0.3">
      <c r="A843" s="11">
        <v>28</v>
      </c>
      <c r="B843" s="10">
        <v>54</v>
      </c>
      <c r="C843" s="8">
        <v>25.071428571428573</v>
      </c>
    </row>
    <row r="844" spans="1:3" x14ac:dyDescent="0.3">
      <c r="A844" s="11">
        <v>17</v>
      </c>
      <c r="B844" s="10">
        <v>21</v>
      </c>
      <c r="C844" s="8">
        <v>43.411764705882355</v>
      </c>
    </row>
    <row r="845" spans="1:3" x14ac:dyDescent="0.3">
      <c r="A845" s="11">
        <v>1</v>
      </c>
      <c r="B845" s="10">
        <v>1</v>
      </c>
      <c r="C845" s="8">
        <v>40</v>
      </c>
    </row>
    <row r="846" spans="1:3" x14ac:dyDescent="0.3">
      <c r="A846" s="11">
        <v>9</v>
      </c>
      <c r="B846" s="10">
        <v>15</v>
      </c>
      <c r="C846" s="8">
        <v>36.555555555555557</v>
      </c>
    </row>
    <row r="847" spans="1:3" x14ac:dyDescent="0.3">
      <c r="A847" s="11">
        <v>16</v>
      </c>
      <c r="B847" s="10">
        <v>26</v>
      </c>
      <c r="C847" s="8">
        <v>28.125</v>
      </c>
    </row>
    <row r="848" spans="1:3" x14ac:dyDescent="0.3">
      <c r="A848" s="11">
        <v>15</v>
      </c>
      <c r="B848" s="10">
        <v>23</v>
      </c>
      <c r="C848" s="8">
        <v>40.666666666666664</v>
      </c>
    </row>
    <row r="849" spans="1:3" x14ac:dyDescent="0.3">
      <c r="A849" s="11">
        <v>24</v>
      </c>
      <c r="B849" s="10">
        <v>51</v>
      </c>
      <c r="C849" s="8">
        <v>24.541666666666668</v>
      </c>
    </row>
    <row r="850" spans="1:3" x14ac:dyDescent="0.3">
      <c r="A850" s="11">
        <v>15</v>
      </c>
      <c r="B850" s="10">
        <v>20</v>
      </c>
      <c r="C850" s="8">
        <v>37.06666666666667</v>
      </c>
    </row>
    <row r="851" spans="1:3" x14ac:dyDescent="0.3">
      <c r="A851" s="11">
        <v>13</v>
      </c>
      <c r="B851" s="10">
        <v>28</v>
      </c>
      <c r="C851" s="8">
        <v>38.769230769230766</v>
      </c>
    </row>
    <row r="852" spans="1:3" x14ac:dyDescent="0.3">
      <c r="A852" s="11">
        <v>23</v>
      </c>
      <c r="B852" s="10">
        <v>34</v>
      </c>
      <c r="C852" s="8">
        <v>25.478260869565219</v>
      </c>
    </row>
    <row r="853" spans="1:3" x14ac:dyDescent="0.3">
      <c r="A853" s="11">
        <v>15</v>
      </c>
      <c r="B853" s="10">
        <v>27</v>
      </c>
      <c r="C853" s="8">
        <v>37.799999999999997</v>
      </c>
    </row>
    <row r="854" spans="1:3" x14ac:dyDescent="0.3">
      <c r="A854" s="11">
        <v>18</v>
      </c>
      <c r="B854" s="10">
        <v>37</v>
      </c>
      <c r="C854" s="8">
        <v>31.111111111111111</v>
      </c>
    </row>
    <row r="855" spans="1:3" x14ac:dyDescent="0.3">
      <c r="A855" s="11">
        <v>10</v>
      </c>
      <c r="B855" s="10">
        <v>18</v>
      </c>
      <c r="C855" s="8">
        <v>42</v>
      </c>
    </row>
    <row r="856" spans="1:3" x14ac:dyDescent="0.3">
      <c r="A856" s="11">
        <v>24</v>
      </c>
      <c r="B856" s="10">
        <v>56</v>
      </c>
      <c r="C856" s="8">
        <v>41.541666666666664</v>
      </c>
    </row>
    <row r="857" spans="1:3" x14ac:dyDescent="0.3">
      <c r="A857" s="11">
        <v>9</v>
      </c>
      <c r="B857" s="10">
        <v>12</v>
      </c>
      <c r="C857" s="8">
        <v>29.666666666666668</v>
      </c>
    </row>
    <row r="858" spans="1:3" x14ac:dyDescent="0.3">
      <c r="A858" s="11">
        <v>20</v>
      </c>
      <c r="B858" s="10">
        <v>40</v>
      </c>
      <c r="C858" s="8">
        <v>32.75</v>
      </c>
    </row>
    <row r="859" spans="1:3" x14ac:dyDescent="0.3">
      <c r="A859" s="11">
        <v>25</v>
      </c>
      <c r="B859" s="10">
        <v>45</v>
      </c>
      <c r="C859" s="8">
        <v>30.52</v>
      </c>
    </row>
    <row r="860" spans="1:3" x14ac:dyDescent="0.3">
      <c r="A860" s="11">
        <v>18</v>
      </c>
      <c r="B860" s="10">
        <v>25</v>
      </c>
      <c r="C860" s="8">
        <v>37.333333333333336</v>
      </c>
    </row>
    <row r="861" spans="1:3" x14ac:dyDescent="0.3">
      <c r="A861" s="11">
        <v>18</v>
      </c>
      <c r="B861" s="10">
        <v>31</v>
      </c>
      <c r="C861" s="8">
        <v>43.277777777777779</v>
      </c>
    </row>
    <row r="862" spans="1:3" x14ac:dyDescent="0.3">
      <c r="A862" s="11">
        <v>6</v>
      </c>
      <c r="B862" s="10">
        <v>8</v>
      </c>
      <c r="C862" s="8">
        <v>34.166666666666664</v>
      </c>
    </row>
    <row r="863" spans="1:3" x14ac:dyDescent="0.3">
      <c r="A863" s="11">
        <v>11</v>
      </c>
      <c r="B863" s="10">
        <v>16</v>
      </c>
      <c r="C863" s="8">
        <v>36.909090909090907</v>
      </c>
    </row>
    <row r="864" spans="1:3" x14ac:dyDescent="0.3">
      <c r="A864" s="11">
        <v>1</v>
      </c>
      <c r="B864" s="10">
        <v>1</v>
      </c>
      <c r="C864" s="8">
        <v>33</v>
      </c>
    </row>
    <row r="865" spans="1:3" x14ac:dyDescent="0.3">
      <c r="A865" s="11">
        <v>4</v>
      </c>
      <c r="B865" s="10">
        <v>7</v>
      </c>
      <c r="C865" s="8">
        <v>41.75</v>
      </c>
    </row>
    <row r="866" spans="1:3" x14ac:dyDescent="0.3">
      <c r="A866" s="11">
        <v>3</v>
      </c>
      <c r="B866" s="10">
        <v>4</v>
      </c>
      <c r="C866" s="8">
        <v>33</v>
      </c>
    </row>
    <row r="867" spans="1:3" x14ac:dyDescent="0.3">
      <c r="A867" s="11">
        <v>10</v>
      </c>
      <c r="B867" s="10">
        <v>20</v>
      </c>
      <c r="C867" s="8">
        <v>25.4</v>
      </c>
    </row>
    <row r="868" spans="1:3" x14ac:dyDescent="0.3">
      <c r="A868" s="11">
        <v>12</v>
      </c>
      <c r="B868" s="10">
        <v>25</v>
      </c>
      <c r="C868" s="8">
        <v>29.833333333333332</v>
      </c>
    </row>
    <row r="869" spans="1:3" x14ac:dyDescent="0.3">
      <c r="A869" s="11">
        <v>14</v>
      </c>
      <c r="B869" s="10">
        <v>18</v>
      </c>
      <c r="C869" s="8">
        <v>26.428571428571427</v>
      </c>
    </row>
    <row r="870" spans="1:3" x14ac:dyDescent="0.3">
      <c r="A870" s="11">
        <v>15</v>
      </c>
      <c r="B870" s="10">
        <v>23</v>
      </c>
      <c r="C870" s="8">
        <v>32.799999999999997</v>
      </c>
    </row>
    <row r="871" spans="1:3" x14ac:dyDescent="0.3">
      <c r="A871" s="11">
        <v>11</v>
      </c>
      <c r="B871" s="10">
        <v>19</v>
      </c>
      <c r="C871" s="8">
        <v>41</v>
      </c>
    </row>
    <row r="872" spans="1:3" x14ac:dyDescent="0.3">
      <c r="A872" s="11">
        <v>6</v>
      </c>
      <c r="B872" s="10">
        <v>8</v>
      </c>
      <c r="C872" s="8">
        <v>39</v>
      </c>
    </row>
    <row r="873" spans="1:3" x14ac:dyDescent="0.3">
      <c r="A873" s="11">
        <v>3</v>
      </c>
      <c r="B873" s="10">
        <v>4</v>
      </c>
      <c r="C873" s="8">
        <v>30.333333333333332</v>
      </c>
    </row>
    <row r="874" spans="1:3" x14ac:dyDescent="0.3">
      <c r="A874" s="11">
        <v>21</v>
      </c>
      <c r="B874" s="10">
        <v>32</v>
      </c>
      <c r="C874" s="8">
        <v>44.285714285714285</v>
      </c>
    </row>
    <row r="875" spans="1:3" x14ac:dyDescent="0.3">
      <c r="A875" s="11">
        <v>22</v>
      </c>
      <c r="B875" s="10">
        <v>36</v>
      </c>
      <c r="C875" s="8">
        <v>44.045454545454547</v>
      </c>
    </row>
    <row r="876" spans="1:3" x14ac:dyDescent="0.3">
      <c r="A876" s="11">
        <v>23</v>
      </c>
      <c r="B876" s="10">
        <v>48</v>
      </c>
      <c r="C876" s="8">
        <v>36.260869565217391</v>
      </c>
    </row>
    <row r="877" spans="1:3" x14ac:dyDescent="0.3">
      <c r="A877" s="11">
        <v>15</v>
      </c>
      <c r="B877" s="10">
        <v>31</v>
      </c>
      <c r="C877" s="8">
        <v>29.933333333333334</v>
      </c>
    </row>
    <row r="878" spans="1:3" x14ac:dyDescent="0.3">
      <c r="A878" s="11">
        <v>2</v>
      </c>
      <c r="B878" s="10">
        <v>2</v>
      </c>
      <c r="C878" s="8">
        <v>25.5</v>
      </c>
    </row>
    <row r="879" spans="1:3" x14ac:dyDescent="0.3">
      <c r="A879" s="11">
        <v>12</v>
      </c>
      <c r="B879" s="10">
        <v>24</v>
      </c>
      <c r="C879" s="8">
        <v>38.333333333333336</v>
      </c>
    </row>
    <row r="880" spans="1:3" x14ac:dyDescent="0.3">
      <c r="A880" s="11">
        <v>7</v>
      </c>
      <c r="B880" s="10">
        <v>15</v>
      </c>
      <c r="C880" s="8">
        <v>43.285714285714285</v>
      </c>
    </row>
    <row r="881" spans="1:3" x14ac:dyDescent="0.3">
      <c r="A881" s="11">
        <v>17</v>
      </c>
      <c r="B881" s="10">
        <v>27</v>
      </c>
      <c r="C881" s="8">
        <v>27.647058823529413</v>
      </c>
    </row>
    <row r="882" spans="1:3" x14ac:dyDescent="0.3">
      <c r="A882" s="11">
        <v>10</v>
      </c>
      <c r="B882" s="10">
        <v>15</v>
      </c>
      <c r="C882" s="8">
        <v>41.1</v>
      </c>
    </row>
    <row r="883" spans="1:3" x14ac:dyDescent="0.3">
      <c r="A883" s="11">
        <v>20</v>
      </c>
      <c r="B883" s="10">
        <v>47</v>
      </c>
      <c r="C883" s="8">
        <v>44.95</v>
      </c>
    </row>
    <row r="884" spans="1:3" x14ac:dyDescent="0.3">
      <c r="A884" s="11">
        <v>6</v>
      </c>
      <c r="B884" s="10">
        <v>13</v>
      </c>
      <c r="C884" s="8">
        <v>39.833333333333336</v>
      </c>
    </row>
    <row r="885" spans="1:3" x14ac:dyDescent="0.3">
      <c r="A885" s="11">
        <v>16</v>
      </c>
      <c r="B885" s="10">
        <v>27</v>
      </c>
      <c r="C885" s="8">
        <v>40.6875</v>
      </c>
    </row>
    <row r="886" spans="1:3" x14ac:dyDescent="0.3">
      <c r="A886" s="11">
        <v>27</v>
      </c>
      <c r="B886" s="10">
        <v>64</v>
      </c>
      <c r="C886" s="8">
        <v>35</v>
      </c>
    </row>
    <row r="887" spans="1:3" x14ac:dyDescent="0.3">
      <c r="A887" s="11">
        <v>1</v>
      </c>
      <c r="B887" s="10">
        <v>1</v>
      </c>
      <c r="C887" s="8">
        <v>20</v>
      </c>
    </row>
    <row r="888" spans="1:3" x14ac:dyDescent="0.3">
      <c r="A888" s="11">
        <v>5</v>
      </c>
      <c r="B888" s="10">
        <v>8</v>
      </c>
      <c r="C888" s="8">
        <v>33.799999999999997</v>
      </c>
    </row>
    <row r="889" spans="1:3" x14ac:dyDescent="0.3">
      <c r="A889" s="11">
        <v>21</v>
      </c>
      <c r="B889" s="10">
        <v>50</v>
      </c>
      <c r="C889" s="8">
        <v>40.142857142857146</v>
      </c>
    </row>
    <row r="890" spans="1:3" x14ac:dyDescent="0.3">
      <c r="A890" s="11">
        <v>1</v>
      </c>
      <c r="B890" s="10">
        <v>1</v>
      </c>
      <c r="C890" s="8">
        <v>29</v>
      </c>
    </row>
    <row r="891" spans="1:3" x14ac:dyDescent="0.3">
      <c r="A891" s="11">
        <v>29</v>
      </c>
      <c r="B891" s="10">
        <v>45</v>
      </c>
      <c r="C891" s="8">
        <v>30.03448275862069</v>
      </c>
    </row>
    <row r="892" spans="1:3" x14ac:dyDescent="0.3">
      <c r="A892" s="11">
        <v>6</v>
      </c>
      <c r="B892" s="10">
        <v>9</v>
      </c>
      <c r="C892" s="8">
        <v>40.666666666666664</v>
      </c>
    </row>
    <row r="893" spans="1:3" x14ac:dyDescent="0.3">
      <c r="A893" s="11">
        <v>22</v>
      </c>
      <c r="B893" s="10">
        <v>51</v>
      </c>
      <c r="C893" s="8">
        <v>45.136363636363633</v>
      </c>
    </row>
    <row r="894" spans="1:3" x14ac:dyDescent="0.3">
      <c r="A894" s="11">
        <v>15</v>
      </c>
      <c r="B894" s="10">
        <v>32</v>
      </c>
      <c r="C894" s="8">
        <v>43.8</v>
      </c>
    </row>
    <row r="895" spans="1:3" x14ac:dyDescent="0.3">
      <c r="A895" s="11">
        <v>9</v>
      </c>
      <c r="B895" s="10">
        <v>14</v>
      </c>
      <c r="C895" s="8">
        <v>31.222222222222221</v>
      </c>
    </row>
    <row r="896" spans="1:3" x14ac:dyDescent="0.3">
      <c r="A896" s="11">
        <v>2</v>
      </c>
      <c r="B896" s="10">
        <v>2</v>
      </c>
      <c r="C896" s="8">
        <v>41.5</v>
      </c>
    </row>
    <row r="897" spans="1:3" x14ac:dyDescent="0.3">
      <c r="A897" s="11">
        <v>8</v>
      </c>
      <c r="B897" s="10">
        <v>11</v>
      </c>
      <c r="C897" s="8">
        <v>38.5</v>
      </c>
    </row>
    <row r="898" spans="1:3" x14ac:dyDescent="0.3">
      <c r="A898" s="11">
        <v>36</v>
      </c>
      <c r="B898" s="10">
        <v>83</v>
      </c>
      <c r="C898" s="8">
        <v>26.222222222222221</v>
      </c>
    </row>
    <row r="899" spans="1:3" x14ac:dyDescent="0.3">
      <c r="A899" s="11">
        <v>20</v>
      </c>
      <c r="B899" s="10">
        <v>30</v>
      </c>
      <c r="C899" s="8">
        <v>30.4</v>
      </c>
    </row>
    <row r="900" spans="1:3" x14ac:dyDescent="0.3">
      <c r="A900" s="11">
        <v>18</v>
      </c>
      <c r="B900" s="10">
        <v>30</v>
      </c>
      <c r="C900" s="8">
        <v>38.444444444444443</v>
      </c>
    </row>
    <row r="901" spans="1:3" x14ac:dyDescent="0.3">
      <c r="A901" s="11">
        <v>2</v>
      </c>
      <c r="B901" s="10">
        <v>2</v>
      </c>
      <c r="C901" s="8">
        <v>35</v>
      </c>
    </row>
    <row r="902" spans="1:3" x14ac:dyDescent="0.3">
      <c r="A902" s="11">
        <v>15</v>
      </c>
      <c r="B902" s="10">
        <v>29</v>
      </c>
      <c r="C902" s="8">
        <v>32.866666666666667</v>
      </c>
    </row>
    <row r="903" spans="1:3" x14ac:dyDescent="0.3">
      <c r="A903" s="11">
        <v>12</v>
      </c>
      <c r="B903" s="10">
        <v>17</v>
      </c>
      <c r="C903" s="8">
        <v>43</v>
      </c>
    </row>
    <row r="904" spans="1:3" x14ac:dyDescent="0.3">
      <c r="A904" s="11">
        <v>19</v>
      </c>
      <c r="B904" s="10">
        <v>30</v>
      </c>
      <c r="C904" s="8">
        <v>43.315789473684212</v>
      </c>
    </row>
    <row r="905" spans="1:3" x14ac:dyDescent="0.3">
      <c r="A905" s="11">
        <v>34</v>
      </c>
      <c r="B905" s="10">
        <v>55</v>
      </c>
      <c r="C905" s="8">
        <v>27.382352941176471</v>
      </c>
    </row>
    <row r="906" spans="1:3" x14ac:dyDescent="0.3">
      <c r="A906" s="11">
        <v>29</v>
      </c>
      <c r="B906" s="10">
        <v>41</v>
      </c>
      <c r="C906" s="8">
        <v>26.551724137931036</v>
      </c>
    </row>
    <row r="907" spans="1:3" x14ac:dyDescent="0.3">
      <c r="A907" s="11">
        <v>25</v>
      </c>
      <c r="B907" s="10">
        <v>39</v>
      </c>
      <c r="C907" s="8">
        <v>34.28</v>
      </c>
    </row>
    <row r="908" spans="1:3" x14ac:dyDescent="0.3">
      <c r="A908" s="11">
        <v>17</v>
      </c>
      <c r="B908" s="10">
        <v>29</v>
      </c>
      <c r="C908" s="8">
        <v>26.352941176470587</v>
      </c>
    </row>
    <row r="909" spans="1:3" x14ac:dyDescent="0.3">
      <c r="A909" s="11">
        <v>35</v>
      </c>
      <c r="B909" s="10">
        <v>60</v>
      </c>
      <c r="C909" s="8">
        <v>26</v>
      </c>
    </row>
    <row r="910" spans="1:3" x14ac:dyDescent="0.3">
      <c r="A910" s="11">
        <v>18</v>
      </c>
      <c r="B910" s="10">
        <v>31</v>
      </c>
      <c r="C910" s="8">
        <v>36</v>
      </c>
    </row>
    <row r="911" spans="1:3" x14ac:dyDescent="0.3">
      <c r="A911" s="11">
        <v>13</v>
      </c>
      <c r="B911" s="10">
        <v>20</v>
      </c>
      <c r="C911" s="8">
        <v>40.769230769230766</v>
      </c>
    </row>
    <row r="912" spans="1:3" x14ac:dyDescent="0.3">
      <c r="A912" s="11">
        <v>10</v>
      </c>
      <c r="B912" s="10">
        <v>18</v>
      </c>
      <c r="C912" s="8">
        <v>41.6</v>
      </c>
    </row>
    <row r="913" spans="1:3" x14ac:dyDescent="0.3">
      <c r="A913" s="11">
        <v>20</v>
      </c>
      <c r="B913" s="10">
        <v>38</v>
      </c>
      <c r="C913" s="8">
        <v>38.35</v>
      </c>
    </row>
    <row r="914" spans="1:3" x14ac:dyDescent="0.3">
      <c r="A914" s="11">
        <v>20</v>
      </c>
      <c r="B914" s="10">
        <v>40</v>
      </c>
      <c r="C914" s="8">
        <v>40.15</v>
      </c>
    </row>
    <row r="915" spans="1:3" x14ac:dyDescent="0.3">
      <c r="A915" s="11">
        <v>25</v>
      </c>
      <c r="B915" s="10">
        <v>51</v>
      </c>
      <c r="C915" s="8">
        <v>38.479999999999997</v>
      </c>
    </row>
    <row r="916" spans="1:3" x14ac:dyDescent="0.3">
      <c r="A916" s="11">
        <v>21</v>
      </c>
      <c r="B916" s="10">
        <v>49</v>
      </c>
      <c r="C916" s="8">
        <v>27.80952380952381</v>
      </c>
    </row>
    <row r="917" spans="1:3" x14ac:dyDescent="0.3">
      <c r="A917" s="11">
        <v>19</v>
      </c>
      <c r="B917" s="10">
        <v>36</v>
      </c>
      <c r="C917" s="8">
        <v>33.473684210526315</v>
      </c>
    </row>
    <row r="918" spans="1:3" x14ac:dyDescent="0.3">
      <c r="A918" s="11">
        <v>10</v>
      </c>
      <c r="B918" s="10">
        <v>19</v>
      </c>
      <c r="C918" s="8">
        <v>36.200000000000003</v>
      </c>
    </row>
    <row r="919" spans="1:3" x14ac:dyDescent="0.3">
      <c r="A919" s="11">
        <v>1</v>
      </c>
      <c r="B919" s="10">
        <v>2</v>
      </c>
      <c r="C919" s="8">
        <v>37</v>
      </c>
    </row>
    <row r="920" spans="1:3" x14ac:dyDescent="0.3">
      <c r="A920" s="11">
        <v>23</v>
      </c>
      <c r="B920" s="10">
        <v>33</v>
      </c>
      <c r="C920" s="8">
        <v>32.391304347826086</v>
      </c>
    </row>
    <row r="921" spans="1:3" x14ac:dyDescent="0.3">
      <c r="A921" s="11">
        <v>10</v>
      </c>
      <c r="B921" s="10">
        <v>16</v>
      </c>
      <c r="C921" s="8">
        <v>37.700000000000003</v>
      </c>
    </row>
    <row r="922" spans="1:3" x14ac:dyDescent="0.3">
      <c r="A922" s="11">
        <v>11</v>
      </c>
      <c r="B922" s="10">
        <v>21</v>
      </c>
      <c r="C922" s="8">
        <v>36.909090909090907</v>
      </c>
    </row>
    <row r="923" spans="1:3" x14ac:dyDescent="0.3">
      <c r="A923" s="11">
        <v>18</v>
      </c>
      <c r="B923" s="10">
        <v>24</v>
      </c>
      <c r="C923" s="8">
        <v>37</v>
      </c>
    </row>
    <row r="924" spans="1:3" x14ac:dyDescent="0.3">
      <c r="A924" s="11">
        <v>32</v>
      </c>
      <c r="B924" s="10">
        <v>59</v>
      </c>
      <c r="C924" s="8">
        <v>29.21875</v>
      </c>
    </row>
    <row r="925" spans="1:3" x14ac:dyDescent="0.3">
      <c r="A925" s="11">
        <v>17</v>
      </c>
      <c r="B925" s="10">
        <v>32</v>
      </c>
      <c r="C925" s="8">
        <v>38</v>
      </c>
    </row>
    <row r="926" spans="1:3" x14ac:dyDescent="0.3">
      <c r="A926" s="11">
        <v>17</v>
      </c>
      <c r="B926" s="10">
        <v>29</v>
      </c>
      <c r="C926" s="8">
        <v>31.705882352941178</v>
      </c>
    </row>
    <row r="927" spans="1:3" x14ac:dyDescent="0.3">
      <c r="A927" s="11">
        <v>24</v>
      </c>
      <c r="B927" s="10">
        <v>49</v>
      </c>
      <c r="C927" s="8">
        <v>32.791666666666664</v>
      </c>
    </row>
    <row r="928" spans="1:3" x14ac:dyDescent="0.3">
      <c r="A928" s="11">
        <v>20</v>
      </c>
      <c r="B928" s="10">
        <v>29</v>
      </c>
      <c r="C928" s="8">
        <v>41.85</v>
      </c>
    </row>
    <row r="929" spans="1:3" x14ac:dyDescent="0.3">
      <c r="A929" s="11">
        <v>1</v>
      </c>
      <c r="B929" s="10">
        <v>1</v>
      </c>
      <c r="C929" s="8">
        <v>14</v>
      </c>
    </row>
    <row r="930" spans="1:3" x14ac:dyDescent="0.3">
      <c r="A930" s="11">
        <v>36</v>
      </c>
      <c r="B930" s="10">
        <v>66</v>
      </c>
      <c r="C930" s="8">
        <v>25.972222222222221</v>
      </c>
    </row>
    <row r="931" spans="1:3" x14ac:dyDescent="0.3">
      <c r="A931" s="11">
        <v>4</v>
      </c>
      <c r="B931" s="10">
        <v>4</v>
      </c>
      <c r="C931" s="8">
        <v>35</v>
      </c>
    </row>
    <row r="932" spans="1:3" x14ac:dyDescent="0.3">
      <c r="A932" s="11">
        <v>6</v>
      </c>
      <c r="B932" s="10">
        <v>11</v>
      </c>
      <c r="C932" s="8">
        <v>27.833333333333332</v>
      </c>
    </row>
    <row r="933" spans="1:3" x14ac:dyDescent="0.3">
      <c r="A933" s="11">
        <v>14</v>
      </c>
      <c r="B933" s="10">
        <v>26</v>
      </c>
      <c r="C933" s="8">
        <v>43.214285714285715</v>
      </c>
    </row>
    <row r="934" spans="1:3" x14ac:dyDescent="0.3">
      <c r="A934" s="11">
        <v>13</v>
      </c>
      <c r="B934" s="10">
        <v>20</v>
      </c>
      <c r="C934" s="8">
        <v>28.153846153846153</v>
      </c>
    </row>
    <row r="935" spans="1:3" x14ac:dyDescent="0.3">
      <c r="A935" s="11">
        <v>6</v>
      </c>
      <c r="B935" s="10">
        <v>9</v>
      </c>
      <c r="C935" s="8">
        <v>30.833333333333332</v>
      </c>
    </row>
    <row r="936" spans="1:3" x14ac:dyDescent="0.3">
      <c r="A936" s="11">
        <v>15</v>
      </c>
      <c r="B936" s="10">
        <v>29</v>
      </c>
      <c r="C936" s="8">
        <v>29.2</v>
      </c>
    </row>
    <row r="937" spans="1:3" x14ac:dyDescent="0.3">
      <c r="A937" s="11">
        <v>32</v>
      </c>
      <c r="B937" s="10">
        <v>62</v>
      </c>
      <c r="C937" s="8">
        <v>25.28125</v>
      </c>
    </row>
    <row r="938" spans="1:3" x14ac:dyDescent="0.3">
      <c r="A938" s="11">
        <v>21</v>
      </c>
      <c r="B938" s="10">
        <v>47</v>
      </c>
      <c r="C938" s="8">
        <v>43.904761904761905</v>
      </c>
    </row>
    <row r="939" spans="1:3" x14ac:dyDescent="0.3">
      <c r="A939" s="11">
        <v>20</v>
      </c>
      <c r="B939" s="10">
        <v>36</v>
      </c>
      <c r="C939" s="8">
        <v>37.25</v>
      </c>
    </row>
    <row r="940" spans="1:3" x14ac:dyDescent="0.3">
      <c r="A940" s="11">
        <v>33</v>
      </c>
      <c r="B940" s="10">
        <v>79</v>
      </c>
      <c r="C940" s="8">
        <v>27.333333333333332</v>
      </c>
    </row>
    <row r="941" spans="1:3" x14ac:dyDescent="0.3">
      <c r="A941" s="11">
        <v>22</v>
      </c>
      <c r="B941" s="10">
        <v>47</v>
      </c>
      <c r="C941" s="8">
        <v>28.454545454545453</v>
      </c>
    </row>
    <row r="942" spans="1:3" x14ac:dyDescent="0.3">
      <c r="A942" s="11">
        <v>8</v>
      </c>
      <c r="B942" s="10">
        <v>12</v>
      </c>
      <c r="C942" s="8">
        <v>30.75</v>
      </c>
    </row>
    <row r="943" spans="1:3" x14ac:dyDescent="0.3">
      <c r="A943" s="11">
        <v>8</v>
      </c>
      <c r="B943" s="10">
        <v>14</v>
      </c>
      <c r="C943" s="8">
        <v>47</v>
      </c>
    </row>
    <row r="944" spans="1:3" x14ac:dyDescent="0.3">
      <c r="A944" s="11">
        <v>11</v>
      </c>
      <c r="B944" s="10">
        <v>17</v>
      </c>
      <c r="C944" s="8">
        <v>38.727272727272727</v>
      </c>
    </row>
    <row r="945" spans="1:3" x14ac:dyDescent="0.3">
      <c r="A945" s="11">
        <v>20</v>
      </c>
      <c r="B945" s="10">
        <v>41</v>
      </c>
      <c r="C945" s="8">
        <v>33</v>
      </c>
    </row>
    <row r="946" spans="1:3" x14ac:dyDescent="0.3">
      <c r="A946" s="11">
        <v>23</v>
      </c>
      <c r="B946" s="10">
        <v>46</v>
      </c>
      <c r="C946" s="8">
        <v>25.043478260869566</v>
      </c>
    </row>
    <row r="947" spans="1:3" x14ac:dyDescent="0.3">
      <c r="A947" s="11">
        <v>13</v>
      </c>
      <c r="B947" s="10">
        <v>22</v>
      </c>
      <c r="C947" s="8">
        <v>28.76923076923077</v>
      </c>
    </row>
    <row r="948" spans="1:3" x14ac:dyDescent="0.3">
      <c r="A948" s="11">
        <v>24</v>
      </c>
      <c r="B948" s="10">
        <v>36</v>
      </c>
      <c r="C948" s="8">
        <v>33.541666666666664</v>
      </c>
    </row>
    <row r="949" spans="1:3" x14ac:dyDescent="0.3">
      <c r="A949" s="11">
        <v>6</v>
      </c>
      <c r="B949" s="10">
        <v>7</v>
      </c>
      <c r="C949" s="8">
        <v>26.833333333333332</v>
      </c>
    </row>
    <row r="950" spans="1:3" x14ac:dyDescent="0.3">
      <c r="A950" s="11">
        <v>23</v>
      </c>
      <c r="B950" s="10">
        <v>36</v>
      </c>
      <c r="C950" s="8">
        <v>36.826086956521742</v>
      </c>
    </row>
    <row r="951" spans="1:3" x14ac:dyDescent="0.3">
      <c r="A951" s="11">
        <v>8</v>
      </c>
      <c r="B951" s="10">
        <v>16</v>
      </c>
      <c r="C951" s="8">
        <v>35</v>
      </c>
    </row>
    <row r="952" spans="1:3" x14ac:dyDescent="0.3">
      <c r="A952" s="11">
        <v>27</v>
      </c>
      <c r="B952" s="10">
        <v>62</v>
      </c>
      <c r="C952" s="8">
        <v>30.814814814814813</v>
      </c>
    </row>
    <row r="953" spans="1:3" x14ac:dyDescent="0.3">
      <c r="A953" s="11">
        <v>12</v>
      </c>
      <c r="B953" s="10">
        <v>26</v>
      </c>
      <c r="C953" s="8">
        <v>37.333333333333336</v>
      </c>
    </row>
    <row r="954" spans="1:3" x14ac:dyDescent="0.3">
      <c r="A954" s="11">
        <v>17</v>
      </c>
      <c r="B954" s="10">
        <v>32</v>
      </c>
      <c r="C954" s="8">
        <v>44.882352941176471</v>
      </c>
    </row>
    <row r="955" spans="1:3" x14ac:dyDescent="0.3">
      <c r="A955" s="11">
        <v>23</v>
      </c>
      <c r="B955" s="10">
        <v>50</v>
      </c>
      <c r="C955" s="8">
        <v>35.782608695652172</v>
      </c>
    </row>
    <row r="956" spans="1:3" x14ac:dyDescent="0.3">
      <c r="A956" s="11">
        <v>10</v>
      </c>
      <c r="B956" s="10">
        <v>20</v>
      </c>
      <c r="C956" s="8">
        <v>42.8</v>
      </c>
    </row>
    <row r="957" spans="1:3" x14ac:dyDescent="0.3">
      <c r="A957" s="11">
        <v>8</v>
      </c>
      <c r="B957" s="10">
        <v>11</v>
      </c>
      <c r="C957" s="8">
        <v>35.75</v>
      </c>
    </row>
    <row r="958" spans="1:3" x14ac:dyDescent="0.3">
      <c r="A958" s="11">
        <v>23</v>
      </c>
      <c r="B958" s="10">
        <v>50</v>
      </c>
      <c r="C958" s="8">
        <v>43.478260869565219</v>
      </c>
    </row>
    <row r="959" spans="1:3" x14ac:dyDescent="0.3">
      <c r="A959" s="11">
        <v>22</v>
      </c>
      <c r="B959" s="10">
        <v>34</v>
      </c>
      <c r="C959" s="8">
        <v>38.045454545454547</v>
      </c>
    </row>
    <row r="960" spans="1:3" x14ac:dyDescent="0.3">
      <c r="A960" s="11">
        <v>5</v>
      </c>
      <c r="B960" s="10">
        <v>8</v>
      </c>
      <c r="C960" s="8">
        <v>31.6</v>
      </c>
    </row>
    <row r="961" spans="1:3" x14ac:dyDescent="0.3">
      <c r="A961" s="11">
        <v>3</v>
      </c>
      <c r="B961" s="10">
        <v>4</v>
      </c>
      <c r="C961" s="8">
        <v>49.666666666666664</v>
      </c>
    </row>
    <row r="962" spans="1:3" x14ac:dyDescent="0.3">
      <c r="A962" s="11">
        <v>12</v>
      </c>
      <c r="B962" s="10">
        <v>20</v>
      </c>
      <c r="C962" s="8">
        <v>37</v>
      </c>
    </row>
    <row r="963" spans="1:3" x14ac:dyDescent="0.3">
      <c r="A963" s="11">
        <v>31</v>
      </c>
      <c r="B963" s="10">
        <v>63</v>
      </c>
      <c r="C963" s="8">
        <v>28.870967741935484</v>
      </c>
    </row>
    <row r="964" spans="1:3" x14ac:dyDescent="0.3">
      <c r="A964" s="11">
        <v>17</v>
      </c>
      <c r="B964" s="10">
        <v>36</v>
      </c>
      <c r="C964" s="8">
        <v>39.882352941176471</v>
      </c>
    </row>
    <row r="965" spans="1:3" x14ac:dyDescent="0.3">
      <c r="A965" s="11">
        <v>26</v>
      </c>
      <c r="B965" s="10">
        <v>42</v>
      </c>
      <c r="C965" s="8">
        <v>32.57692307692308</v>
      </c>
    </row>
    <row r="966" spans="1:3" x14ac:dyDescent="0.3">
      <c r="A966" s="11">
        <v>15</v>
      </c>
      <c r="B966" s="10">
        <v>25</v>
      </c>
      <c r="C966" s="8">
        <v>41.133333333333333</v>
      </c>
    </row>
    <row r="967" spans="1:3" x14ac:dyDescent="0.3">
      <c r="A967" s="11">
        <v>19</v>
      </c>
      <c r="B967" s="10">
        <v>27</v>
      </c>
      <c r="C967" s="8">
        <v>29.421052631578949</v>
      </c>
    </row>
    <row r="968" spans="1:3" x14ac:dyDescent="0.3">
      <c r="A968" s="11">
        <v>8</v>
      </c>
      <c r="B968" s="10">
        <v>11</v>
      </c>
      <c r="C968" s="8">
        <v>38.25</v>
      </c>
    </row>
    <row r="969" spans="1:3" x14ac:dyDescent="0.3">
      <c r="A969" s="11">
        <v>4</v>
      </c>
      <c r="B969" s="10">
        <v>6</v>
      </c>
      <c r="C969" s="8">
        <v>38.75</v>
      </c>
    </row>
    <row r="970" spans="1:3" x14ac:dyDescent="0.3">
      <c r="A970" s="11">
        <v>1</v>
      </c>
      <c r="B970" s="10">
        <v>1</v>
      </c>
      <c r="C970" s="8">
        <v>14</v>
      </c>
    </row>
    <row r="971" spans="1:3" x14ac:dyDescent="0.3">
      <c r="A971" s="11">
        <v>5</v>
      </c>
      <c r="B971" s="10">
        <v>7</v>
      </c>
      <c r="C971" s="8">
        <v>36.200000000000003</v>
      </c>
    </row>
    <row r="972" spans="1:3" x14ac:dyDescent="0.3">
      <c r="A972" s="11">
        <v>16</v>
      </c>
      <c r="B972" s="10">
        <v>28</v>
      </c>
      <c r="C972" s="8">
        <v>34.1875</v>
      </c>
    </row>
    <row r="973" spans="1:3" x14ac:dyDescent="0.3">
      <c r="A973" s="11">
        <v>3</v>
      </c>
      <c r="B973" s="10">
        <v>5</v>
      </c>
      <c r="C973" s="8">
        <v>43.666666666666664</v>
      </c>
    </row>
    <row r="974" spans="1:3" x14ac:dyDescent="0.3">
      <c r="A974" s="11">
        <v>5</v>
      </c>
      <c r="B974" s="10">
        <v>10</v>
      </c>
      <c r="C974" s="8">
        <v>40.6</v>
      </c>
    </row>
    <row r="975" spans="1:3" x14ac:dyDescent="0.3">
      <c r="A975" s="11">
        <v>17</v>
      </c>
      <c r="B975" s="10">
        <v>24</v>
      </c>
      <c r="C975" s="8">
        <v>41</v>
      </c>
    </row>
    <row r="976" spans="1:3" x14ac:dyDescent="0.3">
      <c r="A976" s="11">
        <v>7</v>
      </c>
      <c r="B976" s="10">
        <v>13</v>
      </c>
      <c r="C976" s="8">
        <v>30.571428571428573</v>
      </c>
    </row>
    <row r="977" spans="1:3" x14ac:dyDescent="0.3">
      <c r="A977" s="11">
        <v>6</v>
      </c>
      <c r="B977" s="10">
        <v>10</v>
      </c>
      <c r="C977" s="8">
        <v>41.5</v>
      </c>
    </row>
    <row r="978" spans="1:3" x14ac:dyDescent="0.3">
      <c r="A978" s="11">
        <v>1</v>
      </c>
      <c r="B978" s="10">
        <v>1</v>
      </c>
      <c r="C978" s="8">
        <v>40</v>
      </c>
    </row>
    <row r="979" spans="1:3" x14ac:dyDescent="0.3">
      <c r="A979" s="11">
        <v>22</v>
      </c>
      <c r="B979" s="10">
        <v>39</v>
      </c>
      <c r="C979" s="8">
        <v>38.68181818181818</v>
      </c>
    </row>
    <row r="980" spans="1:3" x14ac:dyDescent="0.3">
      <c r="A980" s="11">
        <v>5</v>
      </c>
      <c r="B980" s="10">
        <v>9</v>
      </c>
      <c r="C980" s="8">
        <v>41.4</v>
      </c>
    </row>
    <row r="981" spans="1:3" x14ac:dyDescent="0.3">
      <c r="A981" s="11">
        <v>12</v>
      </c>
      <c r="B981" s="10">
        <v>18</v>
      </c>
      <c r="C981" s="8">
        <v>30.75</v>
      </c>
    </row>
    <row r="982" spans="1:3" x14ac:dyDescent="0.3">
      <c r="A982" s="11">
        <v>8</v>
      </c>
      <c r="B982" s="10">
        <v>14</v>
      </c>
      <c r="C982" s="8">
        <v>38</v>
      </c>
    </row>
    <row r="983" spans="1:3" x14ac:dyDescent="0.3">
      <c r="A983" s="11">
        <v>23</v>
      </c>
      <c r="B983" s="10">
        <v>51</v>
      </c>
      <c r="C983" s="8">
        <v>33.391304347826086</v>
      </c>
    </row>
    <row r="984" spans="1:3" x14ac:dyDescent="0.3">
      <c r="A984" s="11">
        <v>31</v>
      </c>
      <c r="B984" s="10">
        <v>55</v>
      </c>
      <c r="C984" s="8">
        <v>25.193548387096776</v>
      </c>
    </row>
    <row r="985" spans="1:3" x14ac:dyDescent="0.3">
      <c r="A985" s="11">
        <v>12</v>
      </c>
      <c r="B985" s="10">
        <v>16</v>
      </c>
      <c r="C985" s="8">
        <v>37</v>
      </c>
    </row>
    <row r="986" spans="1:3" x14ac:dyDescent="0.3">
      <c r="A986" s="11">
        <v>5</v>
      </c>
      <c r="B986" s="10">
        <v>7</v>
      </c>
      <c r="C986" s="8">
        <v>39.4</v>
      </c>
    </row>
    <row r="987" spans="1:3" x14ac:dyDescent="0.3">
      <c r="A987" s="11">
        <v>21</v>
      </c>
      <c r="B987" s="10">
        <v>33</v>
      </c>
      <c r="C987" s="8">
        <v>42.285714285714285</v>
      </c>
    </row>
    <row r="988" spans="1:3" x14ac:dyDescent="0.3">
      <c r="A988" s="11">
        <v>12</v>
      </c>
      <c r="B988" s="10">
        <v>25</v>
      </c>
      <c r="C988" s="8">
        <v>28.333333333333332</v>
      </c>
    </row>
    <row r="989" spans="1:3" x14ac:dyDescent="0.3">
      <c r="A989" s="11">
        <v>16</v>
      </c>
      <c r="B989" s="10">
        <v>21</v>
      </c>
      <c r="C989" s="8">
        <v>36.8125</v>
      </c>
    </row>
    <row r="990" spans="1:3" x14ac:dyDescent="0.3">
      <c r="A990" s="11">
        <v>18</v>
      </c>
      <c r="B990" s="10">
        <v>23</v>
      </c>
      <c r="C990" s="8">
        <v>25.333333333333332</v>
      </c>
    </row>
    <row r="991" spans="1:3" x14ac:dyDescent="0.3">
      <c r="A991" s="11">
        <v>3</v>
      </c>
      <c r="B991" s="10">
        <v>5</v>
      </c>
      <c r="C991" s="8">
        <v>28.666666666666668</v>
      </c>
    </row>
    <row r="992" spans="1:3" x14ac:dyDescent="0.3">
      <c r="A992" s="11">
        <v>16</v>
      </c>
      <c r="B992" s="10">
        <v>33</v>
      </c>
      <c r="C992" s="8">
        <v>44.75</v>
      </c>
    </row>
    <row r="993" spans="1:3" x14ac:dyDescent="0.3">
      <c r="A993" s="11">
        <v>14</v>
      </c>
      <c r="B993" s="10">
        <v>30</v>
      </c>
      <c r="C993" s="8">
        <v>42.714285714285715</v>
      </c>
    </row>
    <row r="994" spans="1:3" x14ac:dyDescent="0.3">
      <c r="A994" s="11">
        <v>22</v>
      </c>
      <c r="B994" s="10">
        <v>46</v>
      </c>
      <c r="C994" s="8">
        <v>34.636363636363633</v>
      </c>
    </row>
    <row r="995" spans="1:3" x14ac:dyDescent="0.3">
      <c r="A995" s="11">
        <v>33</v>
      </c>
      <c r="B995" s="10">
        <v>50</v>
      </c>
      <c r="C995" s="8">
        <v>27.666666666666668</v>
      </c>
    </row>
    <row r="996" spans="1:3" x14ac:dyDescent="0.3">
      <c r="A996" s="11">
        <v>24</v>
      </c>
      <c r="B996" s="10">
        <v>35</v>
      </c>
      <c r="C996" s="8">
        <v>39.375</v>
      </c>
    </row>
    <row r="997" spans="1:3" x14ac:dyDescent="0.3">
      <c r="A997" s="11">
        <v>8</v>
      </c>
      <c r="B997" s="10">
        <v>12</v>
      </c>
      <c r="C997" s="8">
        <v>32.875</v>
      </c>
    </row>
    <row r="998" spans="1:3" x14ac:dyDescent="0.3">
      <c r="A998" s="11">
        <v>26</v>
      </c>
      <c r="B998" s="10">
        <v>61</v>
      </c>
      <c r="C998" s="8">
        <v>31.153846153846153</v>
      </c>
    </row>
    <row r="999" spans="1:3" x14ac:dyDescent="0.3">
      <c r="A999" s="11">
        <v>25</v>
      </c>
      <c r="B999" s="10">
        <v>55</v>
      </c>
      <c r="C999" s="8">
        <v>24.68</v>
      </c>
    </row>
    <row r="1000" spans="1:3" x14ac:dyDescent="0.3">
      <c r="A1000" s="11">
        <v>30</v>
      </c>
      <c r="B1000" s="10">
        <v>49</v>
      </c>
      <c r="C1000" s="8">
        <v>28.2</v>
      </c>
    </row>
    <row r="1001" spans="1:3" x14ac:dyDescent="0.3">
      <c r="A1001" s="11">
        <v>24</v>
      </c>
      <c r="B1001" s="10">
        <v>56</v>
      </c>
      <c r="C1001" s="8">
        <v>27.541666666666668</v>
      </c>
    </row>
    <row r="1002" spans="1:3" x14ac:dyDescent="0.3">
      <c r="A1002" s="11">
        <v>15</v>
      </c>
      <c r="B1002" s="10">
        <v>27</v>
      </c>
      <c r="C1002" s="8">
        <v>44.4</v>
      </c>
    </row>
    <row r="1003" spans="1:3" x14ac:dyDescent="0.3">
      <c r="A1003" s="11">
        <v>28</v>
      </c>
      <c r="B1003" s="10">
        <v>60</v>
      </c>
      <c r="C1003" s="8">
        <v>34.714285714285715</v>
      </c>
    </row>
    <row r="1004" spans="1:3" x14ac:dyDescent="0.3">
      <c r="A1004" s="11">
        <v>6</v>
      </c>
      <c r="B1004" s="10">
        <v>8</v>
      </c>
      <c r="C1004" s="8">
        <v>35.666666666666664</v>
      </c>
    </row>
    <row r="1005" spans="1:3" x14ac:dyDescent="0.3">
      <c r="A1005" s="11">
        <v>7</v>
      </c>
      <c r="B1005" s="10">
        <v>13</v>
      </c>
      <c r="C1005" s="8">
        <v>31.571428571428573</v>
      </c>
    </row>
    <row r="1006" spans="1:3" x14ac:dyDescent="0.3">
      <c r="A1006" s="11">
        <v>29</v>
      </c>
      <c r="B1006" s="10">
        <v>42</v>
      </c>
      <c r="C1006" s="8">
        <v>34.310344827586206</v>
      </c>
    </row>
    <row r="1007" spans="1:3" x14ac:dyDescent="0.3">
      <c r="A1007" s="11">
        <v>7</v>
      </c>
      <c r="B1007" s="10">
        <v>10</v>
      </c>
      <c r="C1007" s="8">
        <v>30.428571428571427</v>
      </c>
    </row>
    <row r="1008" spans="1:3" x14ac:dyDescent="0.3">
      <c r="A1008" s="11">
        <v>24</v>
      </c>
      <c r="B1008" s="10">
        <v>53</v>
      </c>
      <c r="C1008" s="8">
        <v>29.833333333333332</v>
      </c>
    </row>
    <row r="1009" spans="1:3" x14ac:dyDescent="0.3">
      <c r="A1009" s="11">
        <v>10</v>
      </c>
      <c r="B1009" s="10">
        <v>19</v>
      </c>
      <c r="C1009" s="8">
        <v>34.6</v>
      </c>
    </row>
    <row r="1010" spans="1:3" x14ac:dyDescent="0.3">
      <c r="A1010" s="11">
        <v>18</v>
      </c>
      <c r="B1010" s="10">
        <v>24</v>
      </c>
      <c r="C1010" s="8">
        <v>43.388888888888886</v>
      </c>
    </row>
    <row r="1011" spans="1:3" x14ac:dyDescent="0.3">
      <c r="A1011" s="11">
        <v>15</v>
      </c>
      <c r="B1011" s="10">
        <v>32</v>
      </c>
      <c r="C1011" s="8">
        <v>35</v>
      </c>
    </row>
    <row r="1012" spans="1:3" x14ac:dyDescent="0.3">
      <c r="A1012" s="11">
        <v>12</v>
      </c>
      <c r="B1012" s="10">
        <v>20</v>
      </c>
      <c r="C1012" s="8">
        <v>25</v>
      </c>
    </row>
    <row r="1013" spans="1:3" x14ac:dyDescent="0.3">
      <c r="A1013" s="11">
        <v>18</v>
      </c>
      <c r="B1013" s="10">
        <v>24</v>
      </c>
      <c r="C1013" s="8">
        <v>37.611111111111114</v>
      </c>
    </row>
    <row r="1014" spans="1:3" x14ac:dyDescent="0.3">
      <c r="A1014" s="11">
        <v>7</v>
      </c>
      <c r="B1014" s="10">
        <v>12</v>
      </c>
      <c r="C1014" s="8">
        <v>39</v>
      </c>
    </row>
    <row r="1015" spans="1:3" x14ac:dyDescent="0.3">
      <c r="A1015" s="11">
        <v>13</v>
      </c>
      <c r="B1015" s="10">
        <v>21</v>
      </c>
      <c r="C1015" s="8">
        <v>27.76923076923077</v>
      </c>
    </row>
    <row r="1016" spans="1:3" x14ac:dyDescent="0.3">
      <c r="A1016" s="11">
        <v>34</v>
      </c>
      <c r="B1016" s="10">
        <v>81</v>
      </c>
      <c r="C1016" s="8">
        <v>27.294117647058822</v>
      </c>
    </row>
    <row r="1017" spans="1:3" x14ac:dyDescent="0.3">
      <c r="A1017" s="11">
        <v>8</v>
      </c>
      <c r="B1017" s="10">
        <v>16</v>
      </c>
      <c r="C1017" s="8">
        <v>45.875</v>
      </c>
    </row>
    <row r="1018" spans="1:3" x14ac:dyDescent="0.3">
      <c r="A1018" s="11">
        <v>3</v>
      </c>
      <c r="B1018" s="10">
        <v>3</v>
      </c>
      <c r="C1018" s="8">
        <v>38</v>
      </c>
    </row>
    <row r="1019" spans="1:3" x14ac:dyDescent="0.3">
      <c r="A1019" s="11">
        <v>4</v>
      </c>
      <c r="B1019" s="10">
        <v>4</v>
      </c>
      <c r="C1019" s="8">
        <v>38.5</v>
      </c>
    </row>
    <row r="1020" spans="1:3" x14ac:dyDescent="0.3">
      <c r="A1020" s="11">
        <v>17</v>
      </c>
      <c r="B1020" s="10">
        <v>30</v>
      </c>
      <c r="C1020" s="8">
        <v>44.117647058823529</v>
      </c>
    </row>
    <row r="1021" spans="1:3" x14ac:dyDescent="0.3">
      <c r="A1021" s="11">
        <v>35</v>
      </c>
      <c r="B1021" s="10">
        <v>69</v>
      </c>
      <c r="C1021" s="8">
        <v>26</v>
      </c>
    </row>
    <row r="1022" spans="1:3" x14ac:dyDescent="0.3">
      <c r="A1022" s="11">
        <v>29</v>
      </c>
      <c r="B1022" s="10">
        <v>52</v>
      </c>
      <c r="C1022" s="8">
        <v>34.068965517241381</v>
      </c>
    </row>
    <row r="1023" spans="1:3" x14ac:dyDescent="0.3">
      <c r="A1023" s="11">
        <v>24</v>
      </c>
      <c r="B1023" s="10">
        <v>57</v>
      </c>
      <c r="C1023" s="8">
        <v>38.208333333333336</v>
      </c>
    </row>
    <row r="1024" spans="1:3" x14ac:dyDescent="0.3">
      <c r="A1024" s="11">
        <v>4</v>
      </c>
      <c r="B1024" s="10">
        <v>6</v>
      </c>
      <c r="C1024" s="8">
        <v>27</v>
      </c>
    </row>
    <row r="1025" spans="1:3" x14ac:dyDescent="0.3">
      <c r="A1025" s="11">
        <v>2</v>
      </c>
      <c r="B1025" s="10">
        <v>3</v>
      </c>
      <c r="C1025" s="8">
        <v>24.5</v>
      </c>
    </row>
    <row r="1026" spans="1:3" x14ac:dyDescent="0.3">
      <c r="A1026" s="11">
        <v>6</v>
      </c>
      <c r="B1026" s="10">
        <v>10</v>
      </c>
      <c r="C1026" s="8">
        <v>40.833333333333336</v>
      </c>
    </row>
    <row r="1027" spans="1:3" x14ac:dyDescent="0.3">
      <c r="A1027" s="11">
        <v>15</v>
      </c>
      <c r="B1027" s="10">
        <v>20</v>
      </c>
      <c r="C1027" s="8">
        <v>34.466666666666669</v>
      </c>
    </row>
    <row r="1028" spans="1:3" x14ac:dyDescent="0.3">
      <c r="A1028" s="11">
        <v>18</v>
      </c>
      <c r="B1028" s="10">
        <v>35</v>
      </c>
      <c r="C1028" s="8">
        <v>38.222222222222221</v>
      </c>
    </row>
    <row r="1029" spans="1:3" x14ac:dyDescent="0.3">
      <c r="A1029" s="11">
        <v>25</v>
      </c>
      <c r="B1029" s="10">
        <v>58</v>
      </c>
      <c r="C1029" s="8">
        <v>36.119999999999997</v>
      </c>
    </row>
    <row r="1030" spans="1:3" x14ac:dyDescent="0.3">
      <c r="A1030" s="11">
        <v>19</v>
      </c>
      <c r="B1030" s="10">
        <v>40</v>
      </c>
      <c r="C1030" s="8">
        <v>44.421052631578945</v>
      </c>
    </row>
    <row r="1031" spans="1:3" x14ac:dyDescent="0.3">
      <c r="A1031" s="11">
        <v>10</v>
      </c>
      <c r="B1031" s="10">
        <v>13</v>
      </c>
      <c r="C1031" s="8">
        <v>43.6</v>
      </c>
    </row>
    <row r="1032" spans="1:3" x14ac:dyDescent="0.3">
      <c r="A1032" s="11">
        <v>19</v>
      </c>
      <c r="B1032" s="10">
        <v>25</v>
      </c>
      <c r="C1032" s="8">
        <v>35.421052631578945</v>
      </c>
    </row>
    <row r="1033" spans="1:3" x14ac:dyDescent="0.3">
      <c r="A1033" s="11">
        <v>18</v>
      </c>
      <c r="B1033" s="10">
        <v>30</v>
      </c>
      <c r="C1033" s="8">
        <v>33.5</v>
      </c>
    </row>
    <row r="1034" spans="1:3" x14ac:dyDescent="0.3">
      <c r="A1034" s="11">
        <v>10</v>
      </c>
      <c r="B1034" s="10">
        <v>21</v>
      </c>
      <c r="C1034" s="8">
        <v>32.799999999999997</v>
      </c>
    </row>
    <row r="1035" spans="1:3" x14ac:dyDescent="0.3">
      <c r="A1035" s="11">
        <v>8</v>
      </c>
      <c r="B1035" s="10">
        <v>11</v>
      </c>
      <c r="C1035" s="8">
        <v>33.5</v>
      </c>
    </row>
    <row r="1036" spans="1:3" x14ac:dyDescent="0.3">
      <c r="A1036" s="11">
        <v>14</v>
      </c>
      <c r="B1036" s="10">
        <v>23</v>
      </c>
      <c r="C1036" s="8">
        <v>30</v>
      </c>
    </row>
    <row r="1037" spans="1:3" x14ac:dyDescent="0.3">
      <c r="A1037" s="11">
        <v>10</v>
      </c>
      <c r="B1037" s="10">
        <v>20</v>
      </c>
      <c r="C1037" s="8">
        <v>42.8</v>
      </c>
    </row>
    <row r="1038" spans="1:3" x14ac:dyDescent="0.3">
      <c r="A1038" s="11">
        <v>17</v>
      </c>
      <c r="B1038" s="10">
        <v>23</v>
      </c>
      <c r="C1038" s="8">
        <v>27.764705882352942</v>
      </c>
    </row>
    <row r="1039" spans="1:3" x14ac:dyDescent="0.3">
      <c r="A1039" s="11">
        <v>4</v>
      </c>
      <c r="B1039" s="10">
        <v>7</v>
      </c>
      <c r="C1039" s="8">
        <v>39.75</v>
      </c>
    </row>
    <row r="1040" spans="1:3" x14ac:dyDescent="0.3">
      <c r="A1040" s="11">
        <v>1</v>
      </c>
      <c r="B1040" s="10">
        <v>1</v>
      </c>
      <c r="C1040" s="8">
        <v>51</v>
      </c>
    </row>
    <row r="1041" spans="1:3" x14ac:dyDescent="0.3">
      <c r="A1041" s="11">
        <v>17</v>
      </c>
      <c r="B1041" s="10">
        <v>35</v>
      </c>
      <c r="C1041" s="8">
        <v>40.941176470588232</v>
      </c>
    </row>
    <row r="1042" spans="1:3" x14ac:dyDescent="0.3">
      <c r="A1042" s="11">
        <v>18</v>
      </c>
      <c r="B1042" s="10">
        <v>36</v>
      </c>
      <c r="C1042" s="8">
        <v>32.333333333333336</v>
      </c>
    </row>
    <row r="1043" spans="1:3" x14ac:dyDescent="0.3">
      <c r="A1043" s="11">
        <v>2</v>
      </c>
      <c r="B1043" s="10">
        <v>2</v>
      </c>
      <c r="C1043" s="8">
        <v>28</v>
      </c>
    </row>
    <row r="1044" spans="1:3" x14ac:dyDescent="0.3">
      <c r="A1044" s="11">
        <v>32</v>
      </c>
      <c r="B1044" s="10">
        <v>70</v>
      </c>
      <c r="C1044" s="8">
        <v>25.75</v>
      </c>
    </row>
    <row r="1045" spans="1:3" x14ac:dyDescent="0.3">
      <c r="A1045" s="11">
        <v>9</v>
      </c>
      <c r="B1045" s="10">
        <v>19</v>
      </c>
      <c r="C1045" s="8">
        <v>36.444444444444443</v>
      </c>
    </row>
    <row r="1046" spans="1:3" x14ac:dyDescent="0.3">
      <c r="A1046" s="11">
        <v>5</v>
      </c>
      <c r="B1046" s="10">
        <v>10</v>
      </c>
      <c r="C1046" s="8">
        <v>28.2</v>
      </c>
    </row>
    <row r="1047" spans="1:3" x14ac:dyDescent="0.3">
      <c r="A1047" s="11">
        <v>16</v>
      </c>
      <c r="B1047" s="10">
        <v>21</v>
      </c>
      <c r="C1047" s="8">
        <v>32.75</v>
      </c>
    </row>
    <row r="1048" spans="1:3" x14ac:dyDescent="0.3">
      <c r="A1048" s="11">
        <v>1</v>
      </c>
      <c r="B1048" s="10">
        <v>1</v>
      </c>
      <c r="C1048" s="8">
        <v>43</v>
      </c>
    </row>
    <row r="1049" spans="1:3" x14ac:dyDescent="0.3">
      <c r="A1049" s="11">
        <v>4</v>
      </c>
      <c r="B1049" s="10">
        <v>6</v>
      </c>
      <c r="C1049" s="8">
        <v>39</v>
      </c>
    </row>
    <row r="1050" spans="1:3" x14ac:dyDescent="0.3">
      <c r="A1050" s="11">
        <v>1</v>
      </c>
      <c r="B1050" s="10">
        <v>2</v>
      </c>
      <c r="C1050" s="8">
        <v>45</v>
      </c>
    </row>
    <row r="1051" spans="1:3" x14ac:dyDescent="0.3">
      <c r="A1051" s="11">
        <v>18</v>
      </c>
      <c r="B1051" s="10">
        <v>33</v>
      </c>
      <c r="C1051" s="8">
        <v>29.388888888888889</v>
      </c>
    </row>
    <row r="1052" spans="1:3" x14ac:dyDescent="0.3">
      <c r="A1052" s="11">
        <v>5</v>
      </c>
      <c r="B1052" s="10">
        <v>8</v>
      </c>
      <c r="C1052" s="8">
        <v>30.8</v>
      </c>
    </row>
    <row r="1053" spans="1:3" x14ac:dyDescent="0.3">
      <c r="A1053" s="11">
        <v>5</v>
      </c>
      <c r="B1053" s="10">
        <v>7</v>
      </c>
      <c r="C1053" s="8">
        <v>24.2</v>
      </c>
    </row>
    <row r="1054" spans="1:3" x14ac:dyDescent="0.3">
      <c r="A1054" s="11">
        <v>9</v>
      </c>
      <c r="B1054" s="10">
        <v>14</v>
      </c>
      <c r="C1054" s="8">
        <v>37.111111111111114</v>
      </c>
    </row>
    <row r="1055" spans="1:3" x14ac:dyDescent="0.3">
      <c r="A1055" s="11">
        <v>26</v>
      </c>
      <c r="B1055" s="10">
        <v>43</v>
      </c>
      <c r="C1055" s="8">
        <v>26.653846153846153</v>
      </c>
    </row>
    <row r="1056" spans="1:3" x14ac:dyDescent="0.3">
      <c r="A1056" s="11">
        <v>7</v>
      </c>
      <c r="B1056" s="10">
        <v>9</v>
      </c>
      <c r="C1056" s="8">
        <v>44.857142857142854</v>
      </c>
    </row>
    <row r="1057" spans="1:3" x14ac:dyDescent="0.3">
      <c r="A1057" s="11">
        <v>4</v>
      </c>
      <c r="B1057" s="10">
        <v>5</v>
      </c>
      <c r="C1057" s="8">
        <v>30.25</v>
      </c>
    </row>
    <row r="1058" spans="1:3" x14ac:dyDescent="0.3">
      <c r="A1058" s="11">
        <v>12</v>
      </c>
      <c r="B1058" s="10">
        <v>26</v>
      </c>
      <c r="C1058" s="8">
        <v>36.5</v>
      </c>
    </row>
    <row r="1059" spans="1:3" x14ac:dyDescent="0.3">
      <c r="A1059" s="11">
        <v>8</v>
      </c>
      <c r="B1059" s="10">
        <v>15</v>
      </c>
      <c r="C1059" s="8">
        <v>35.625</v>
      </c>
    </row>
    <row r="1060" spans="1:3" x14ac:dyDescent="0.3">
      <c r="A1060" s="11">
        <v>2</v>
      </c>
      <c r="B1060" s="10">
        <v>3</v>
      </c>
      <c r="C1060" s="8">
        <v>24.5</v>
      </c>
    </row>
    <row r="1061" spans="1:3" x14ac:dyDescent="0.3">
      <c r="A1061" s="11">
        <v>26</v>
      </c>
      <c r="B1061" s="10">
        <v>37</v>
      </c>
      <c r="C1061" s="8">
        <v>29.076923076923077</v>
      </c>
    </row>
    <row r="1062" spans="1:3" x14ac:dyDescent="0.3">
      <c r="A1062" s="11">
        <v>25</v>
      </c>
      <c r="B1062" s="10">
        <v>45</v>
      </c>
      <c r="C1062" s="8">
        <v>25.84</v>
      </c>
    </row>
    <row r="1063" spans="1:3" x14ac:dyDescent="0.3">
      <c r="A1063" s="11">
        <v>14</v>
      </c>
      <c r="B1063" s="10">
        <v>26</v>
      </c>
      <c r="C1063" s="8">
        <v>34.857142857142854</v>
      </c>
    </row>
    <row r="1064" spans="1:3" x14ac:dyDescent="0.3">
      <c r="A1064" s="11">
        <v>16</v>
      </c>
      <c r="B1064" s="10">
        <v>31</v>
      </c>
      <c r="C1064" s="8">
        <v>32.875</v>
      </c>
    </row>
    <row r="1065" spans="1:3" x14ac:dyDescent="0.3">
      <c r="A1065" s="11">
        <v>19</v>
      </c>
      <c r="B1065" s="10">
        <v>26</v>
      </c>
      <c r="C1065" s="8">
        <v>35.842105263157897</v>
      </c>
    </row>
    <row r="1066" spans="1:3" x14ac:dyDescent="0.3">
      <c r="A1066" s="11">
        <v>29</v>
      </c>
      <c r="B1066" s="10">
        <v>44</v>
      </c>
      <c r="C1066" s="8">
        <v>27.793103448275861</v>
      </c>
    </row>
    <row r="1067" spans="1:3" x14ac:dyDescent="0.3">
      <c r="A1067" s="11">
        <v>16</v>
      </c>
      <c r="B1067" s="10">
        <v>25</v>
      </c>
      <c r="C1067" s="8">
        <v>34.25</v>
      </c>
    </row>
    <row r="1068" spans="1:3" x14ac:dyDescent="0.3">
      <c r="A1068" s="11">
        <v>14</v>
      </c>
      <c r="B1068" s="10">
        <v>18</v>
      </c>
      <c r="C1068" s="8">
        <v>33.285714285714285</v>
      </c>
    </row>
    <row r="1069" spans="1:3" x14ac:dyDescent="0.3">
      <c r="A1069" s="11">
        <v>7</v>
      </c>
      <c r="B1069" s="10">
        <v>9</v>
      </c>
      <c r="C1069" s="8">
        <v>40.285714285714285</v>
      </c>
    </row>
    <row r="1070" spans="1:3" x14ac:dyDescent="0.3">
      <c r="A1070" s="11">
        <v>13</v>
      </c>
      <c r="B1070" s="10">
        <v>24</v>
      </c>
      <c r="C1070" s="8">
        <v>36.692307692307693</v>
      </c>
    </row>
    <row r="1071" spans="1:3" x14ac:dyDescent="0.3">
      <c r="A1071" s="11">
        <v>18</v>
      </c>
      <c r="B1071" s="10">
        <v>28</v>
      </c>
      <c r="C1071" s="8">
        <v>37.888888888888886</v>
      </c>
    </row>
    <row r="1072" spans="1:3" x14ac:dyDescent="0.3">
      <c r="A1072" s="11">
        <v>25</v>
      </c>
      <c r="B1072" s="10">
        <v>48</v>
      </c>
      <c r="C1072" s="8">
        <v>26.24</v>
      </c>
    </row>
    <row r="1073" spans="1:3" x14ac:dyDescent="0.3">
      <c r="A1073" s="11">
        <v>1</v>
      </c>
      <c r="B1073" s="10">
        <v>1</v>
      </c>
      <c r="C1073" s="8">
        <v>50</v>
      </c>
    </row>
    <row r="1074" spans="1:3" x14ac:dyDescent="0.3">
      <c r="A1074" s="11">
        <v>12</v>
      </c>
      <c r="B1074" s="10">
        <v>18</v>
      </c>
      <c r="C1074" s="8">
        <v>40.416666666666664</v>
      </c>
    </row>
    <row r="1075" spans="1:3" x14ac:dyDescent="0.3">
      <c r="A1075" s="11">
        <v>1</v>
      </c>
      <c r="B1075" s="10">
        <v>1</v>
      </c>
      <c r="C1075" s="8">
        <v>33</v>
      </c>
    </row>
    <row r="1076" spans="1:3" x14ac:dyDescent="0.3">
      <c r="A1076" s="11">
        <v>31</v>
      </c>
      <c r="B1076" s="10">
        <v>59</v>
      </c>
      <c r="C1076" s="8">
        <v>30.548387096774192</v>
      </c>
    </row>
    <row r="1077" spans="1:3" x14ac:dyDescent="0.3">
      <c r="A1077" s="11">
        <v>18</v>
      </c>
      <c r="B1077" s="10">
        <v>26</v>
      </c>
      <c r="C1077" s="8">
        <v>45.666666666666664</v>
      </c>
    </row>
    <row r="1078" spans="1:3" x14ac:dyDescent="0.3">
      <c r="A1078" s="11">
        <v>7</v>
      </c>
      <c r="B1078" s="10">
        <v>15</v>
      </c>
      <c r="C1078" s="8">
        <v>30.714285714285715</v>
      </c>
    </row>
    <row r="1079" spans="1:3" x14ac:dyDescent="0.3">
      <c r="A1079" s="11">
        <v>4</v>
      </c>
      <c r="B1079" s="10">
        <v>6</v>
      </c>
      <c r="C1079" s="8">
        <v>41.25</v>
      </c>
    </row>
    <row r="1080" spans="1:3" x14ac:dyDescent="0.3">
      <c r="A1080" s="11">
        <v>10</v>
      </c>
      <c r="B1080" s="10">
        <v>13</v>
      </c>
      <c r="C1080" s="8">
        <v>35.299999999999997</v>
      </c>
    </row>
    <row r="1081" spans="1:3" x14ac:dyDescent="0.3">
      <c r="A1081" s="11">
        <v>13</v>
      </c>
      <c r="B1081" s="10">
        <v>19</v>
      </c>
      <c r="C1081" s="8">
        <v>32.307692307692307</v>
      </c>
    </row>
    <row r="1082" spans="1:3" x14ac:dyDescent="0.3">
      <c r="A1082" s="11">
        <v>2</v>
      </c>
      <c r="B1082" s="10">
        <v>2</v>
      </c>
      <c r="C1082" s="8">
        <v>26.5</v>
      </c>
    </row>
    <row r="1083" spans="1:3" x14ac:dyDescent="0.3">
      <c r="A1083" s="11">
        <v>1</v>
      </c>
      <c r="B1083" s="10">
        <v>1</v>
      </c>
      <c r="C1083" s="8">
        <v>39</v>
      </c>
    </row>
    <row r="1084" spans="1:3" x14ac:dyDescent="0.3">
      <c r="A1084" s="11">
        <v>35</v>
      </c>
      <c r="B1084" s="10">
        <v>54</v>
      </c>
      <c r="C1084" s="8">
        <v>27.314285714285713</v>
      </c>
    </row>
    <row r="1085" spans="1:3" x14ac:dyDescent="0.3">
      <c r="A1085" s="11">
        <v>3</v>
      </c>
      <c r="B1085" s="10">
        <v>5</v>
      </c>
      <c r="C1085" s="8">
        <v>39</v>
      </c>
    </row>
    <row r="1086" spans="1:3" x14ac:dyDescent="0.3">
      <c r="A1086" s="11">
        <v>5</v>
      </c>
      <c r="B1086" s="10">
        <v>9</v>
      </c>
      <c r="C1086" s="8">
        <v>31.8</v>
      </c>
    </row>
    <row r="1087" spans="1:3" x14ac:dyDescent="0.3">
      <c r="A1087" s="11">
        <v>13</v>
      </c>
      <c r="B1087" s="10">
        <v>24</v>
      </c>
      <c r="C1087" s="8">
        <v>35.07692307692308</v>
      </c>
    </row>
    <row r="1088" spans="1:3" x14ac:dyDescent="0.3">
      <c r="A1088" s="11">
        <v>14</v>
      </c>
      <c r="B1088" s="10">
        <v>21</v>
      </c>
      <c r="C1088" s="8">
        <v>36.428571428571431</v>
      </c>
    </row>
    <row r="1089" spans="1:3" x14ac:dyDescent="0.3">
      <c r="A1089" s="11">
        <v>13</v>
      </c>
      <c r="B1089" s="10">
        <v>18</v>
      </c>
      <c r="C1089" s="8">
        <v>28.615384615384617</v>
      </c>
    </row>
    <row r="1090" spans="1:3" x14ac:dyDescent="0.3">
      <c r="A1090" s="11">
        <v>24</v>
      </c>
      <c r="B1090" s="10">
        <v>48</v>
      </c>
      <c r="C1090" s="8">
        <v>32.125</v>
      </c>
    </row>
    <row r="1091" spans="1:3" x14ac:dyDescent="0.3">
      <c r="A1091" s="11">
        <v>5</v>
      </c>
      <c r="B1091" s="10">
        <v>7</v>
      </c>
      <c r="C1091" s="8">
        <v>31.4</v>
      </c>
    </row>
    <row r="1092" spans="1:3" x14ac:dyDescent="0.3">
      <c r="A1092" s="11">
        <v>15</v>
      </c>
      <c r="B1092" s="10">
        <v>23</v>
      </c>
      <c r="C1092" s="8">
        <v>31.8</v>
      </c>
    </row>
    <row r="1093" spans="1:3" x14ac:dyDescent="0.3">
      <c r="A1093" s="11">
        <v>19</v>
      </c>
      <c r="B1093" s="10">
        <v>27</v>
      </c>
      <c r="C1093" s="8">
        <v>39.05263157894737</v>
      </c>
    </row>
    <row r="1094" spans="1:3" x14ac:dyDescent="0.3">
      <c r="A1094" s="11">
        <v>4</v>
      </c>
      <c r="B1094" s="10">
        <v>4</v>
      </c>
      <c r="C1094" s="8">
        <v>41.5</v>
      </c>
    </row>
    <row r="1095" spans="1:3" x14ac:dyDescent="0.3">
      <c r="A1095" s="11">
        <v>36</v>
      </c>
      <c r="B1095" s="10">
        <v>54</v>
      </c>
      <c r="C1095" s="8">
        <v>27.25</v>
      </c>
    </row>
    <row r="1096" spans="1:3" x14ac:dyDescent="0.3">
      <c r="A1096" s="11">
        <v>14</v>
      </c>
      <c r="B1096" s="10">
        <v>30</v>
      </c>
      <c r="C1096" s="8">
        <v>42.785714285714285</v>
      </c>
    </row>
    <row r="1097" spans="1:3" x14ac:dyDescent="0.3">
      <c r="A1097" s="11">
        <v>12</v>
      </c>
      <c r="B1097" s="10">
        <v>16</v>
      </c>
      <c r="C1097" s="8">
        <v>44.083333333333336</v>
      </c>
    </row>
    <row r="1098" spans="1:3" x14ac:dyDescent="0.3">
      <c r="A1098" s="11">
        <v>15</v>
      </c>
      <c r="B1098" s="10">
        <v>18</v>
      </c>
      <c r="C1098" s="8">
        <v>43.266666666666666</v>
      </c>
    </row>
    <row r="1099" spans="1:3" x14ac:dyDescent="0.3">
      <c r="A1099" s="11">
        <v>25</v>
      </c>
      <c r="B1099" s="10">
        <v>51</v>
      </c>
      <c r="C1099" s="8">
        <v>33.64</v>
      </c>
    </row>
    <row r="1100" spans="1:3" x14ac:dyDescent="0.3">
      <c r="A1100" s="11">
        <v>12</v>
      </c>
      <c r="B1100" s="10">
        <v>17</v>
      </c>
      <c r="C1100" s="8">
        <v>41.166666666666664</v>
      </c>
    </row>
    <row r="1101" spans="1:3" x14ac:dyDescent="0.3">
      <c r="A1101" s="11">
        <v>19</v>
      </c>
      <c r="B1101" s="10">
        <v>35</v>
      </c>
      <c r="C1101" s="8">
        <v>37.578947368421055</v>
      </c>
    </row>
    <row r="1102" spans="1:3" x14ac:dyDescent="0.3">
      <c r="A1102" s="11">
        <v>22</v>
      </c>
      <c r="B1102" s="10">
        <v>36</v>
      </c>
      <c r="C1102" s="8">
        <v>44.454545454545453</v>
      </c>
    </row>
    <row r="1103" spans="1:3" x14ac:dyDescent="0.3">
      <c r="A1103" s="11">
        <v>26</v>
      </c>
      <c r="B1103" s="10">
        <v>46</v>
      </c>
      <c r="C1103" s="8">
        <v>25.846153846153847</v>
      </c>
    </row>
    <row r="1104" spans="1:3" x14ac:dyDescent="0.3">
      <c r="A1104" s="11">
        <v>27</v>
      </c>
      <c r="B1104" s="10">
        <v>52</v>
      </c>
      <c r="C1104" s="8">
        <v>34.037037037037038</v>
      </c>
    </row>
    <row r="1105" spans="1:3" x14ac:dyDescent="0.3">
      <c r="A1105" s="11">
        <v>22</v>
      </c>
      <c r="B1105" s="10">
        <v>36</v>
      </c>
      <c r="C1105" s="8">
        <v>44.090909090909093</v>
      </c>
    </row>
    <row r="1106" spans="1:3" x14ac:dyDescent="0.3">
      <c r="A1106" s="11">
        <v>6</v>
      </c>
      <c r="B1106" s="10">
        <v>9</v>
      </c>
      <c r="C1106" s="8">
        <v>30.166666666666668</v>
      </c>
    </row>
    <row r="1107" spans="1:3" x14ac:dyDescent="0.3">
      <c r="A1107" s="11">
        <v>13</v>
      </c>
      <c r="B1107" s="10">
        <v>19</v>
      </c>
      <c r="C1107" s="8">
        <v>35.153846153846153</v>
      </c>
    </row>
    <row r="1108" spans="1:3" x14ac:dyDescent="0.3">
      <c r="A1108" s="11">
        <v>17</v>
      </c>
      <c r="B1108" s="10">
        <v>29</v>
      </c>
      <c r="C1108" s="8">
        <v>27.176470588235293</v>
      </c>
    </row>
    <row r="1109" spans="1:3" x14ac:dyDescent="0.3">
      <c r="A1109" s="11">
        <v>23</v>
      </c>
      <c r="B1109" s="10">
        <v>46</v>
      </c>
      <c r="C1109" s="8">
        <v>26.217391304347824</v>
      </c>
    </row>
    <row r="1110" spans="1:3" x14ac:dyDescent="0.3">
      <c r="A1110" s="11">
        <v>20</v>
      </c>
      <c r="B1110" s="10">
        <v>44</v>
      </c>
      <c r="C1110" s="8">
        <v>40.049999999999997</v>
      </c>
    </row>
    <row r="1111" spans="1:3" x14ac:dyDescent="0.3">
      <c r="A1111" s="11">
        <v>17</v>
      </c>
      <c r="B1111" s="10">
        <v>23</v>
      </c>
      <c r="C1111" s="8">
        <v>31.529411764705884</v>
      </c>
    </row>
    <row r="1112" spans="1:3" x14ac:dyDescent="0.3">
      <c r="A1112" s="11">
        <v>10</v>
      </c>
      <c r="B1112" s="10">
        <v>18</v>
      </c>
      <c r="C1112" s="8">
        <v>38.799999999999997</v>
      </c>
    </row>
    <row r="1113" spans="1:3" x14ac:dyDescent="0.3">
      <c r="A1113" s="11">
        <v>12</v>
      </c>
      <c r="B1113" s="10">
        <v>15</v>
      </c>
      <c r="C1113" s="8">
        <v>32.25</v>
      </c>
    </row>
    <row r="1114" spans="1:3" x14ac:dyDescent="0.3">
      <c r="A1114" s="11">
        <v>6</v>
      </c>
      <c r="B1114" s="10">
        <v>9</v>
      </c>
      <c r="C1114" s="8">
        <v>48</v>
      </c>
    </row>
    <row r="1115" spans="1:3" x14ac:dyDescent="0.3">
      <c r="A1115" s="11">
        <v>11</v>
      </c>
      <c r="B1115" s="10">
        <v>22</v>
      </c>
      <c r="C1115" s="8">
        <v>42.454545454545453</v>
      </c>
    </row>
    <row r="1116" spans="1:3" x14ac:dyDescent="0.3">
      <c r="A1116" s="11">
        <v>16</v>
      </c>
      <c r="B1116" s="10">
        <v>24</v>
      </c>
      <c r="C1116" s="8">
        <v>25.1875</v>
      </c>
    </row>
    <row r="1117" spans="1:3" x14ac:dyDescent="0.3">
      <c r="A1117" s="11">
        <v>12</v>
      </c>
      <c r="B1117" s="10">
        <v>18</v>
      </c>
      <c r="C1117" s="8">
        <v>38.666666666666664</v>
      </c>
    </row>
    <row r="1118" spans="1:3" x14ac:dyDescent="0.3">
      <c r="A1118" s="11">
        <v>24</v>
      </c>
      <c r="B1118" s="10">
        <v>50</v>
      </c>
      <c r="C1118" s="8">
        <v>40.5</v>
      </c>
    </row>
    <row r="1119" spans="1:3" x14ac:dyDescent="0.3">
      <c r="A1119" s="11">
        <v>30</v>
      </c>
      <c r="B1119" s="10">
        <v>66</v>
      </c>
      <c r="C1119" s="8">
        <v>32.966666666666669</v>
      </c>
    </row>
    <row r="1120" spans="1:3" x14ac:dyDescent="0.3">
      <c r="A1120" s="11">
        <v>4</v>
      </c>
      <c r="B1120" s="10">
        <v>6</v>
      </c>
      <c r="C1120" s="8">
        <v>34.75</v>
      </c>
    </row>
    <row r="1121" spans="1:3" x14ac:dyDescent="0.3">
      <c r="A1121" s="11">
        <v>2</v>
      </c>
      <c r="B1121" s="10">
        <v>2</v>
      </c>
      <c r="C1121" s="8">
        <v>32</v>
      </c>
    </row>
    <row r="1122" spans="1:3" x14ac:dyDescent="0.3">
      <c r="A1122" s="11">
        <v>12</v>
      </c>
      <c r="B1122" s="10">
        <v>25</v>
      </c>
      <c r="C1122" s="8">
        <v>44.083333333333336</v>
      </c>
    </row>
    <row r="1123" spans="1:3" x14ac:dyDescent="0.3">
      <c r="A1123" s="11">
        <v>16</v>
      </c>
      <c r="B1123" s="10">
        <v>29</v>
      </c>
      <c r="C1123" s="8">
        <v>26.25</v>
      </c>
    </row>
    <row r="1124" spans="1:3" x14ac:dyDescent="0.3">
      <c r="A1124" s="11">
        <v>10</v>
      </c>
      <c r="B1124" s="10">
        <v>16</v>
      </c>
      <c r="C1124" s="8">
        <v>37.5</v>
      </c>
    </row>
    <row r="1125" spans="1:3" x14ac:dyDescent="0.3">
      <c r="A1125" s="11">
        <v>20</v>
      </c>
      <c r="B1125" s="10">
        <v>31</v>
      </c>
      <c r="C1125" s="8">
        <v>43</v>
      </c>
    </row>
    <row r="1126" spans="1:3" x14ac:dyDescent="0.3">
      <c r="A1126" s="11">
        <v>20</v>
      </c>
      <c r="B1126" s="10">
        <v>29</v>
      </c>
      <c r="C1126" s="8">
        <v>44.8</v>
      </c>
    </row>
    <row r="1127" spans="1:3" x14ac:dyDescent="0.3">
      <c r="A1127" s="11">
        <v>10</v>
      </c>
      <c r="B1127" s="10">
        <v>20</v>
      </c>
      <c r="C1127" s="8">
        <v>27.5</v>
      </c>
    </row>
    <row r="1128" spans="1:3" x14ac:dyDescent="0.3">
      <c r="A1128" s="11">
        <v>31</v>
      </c>
      <c r="B1128" s="10">
        <v>70</v>
      </c>
      <c r="C1128" s="8">
        <v>26.193548387096776</v>
      </c>
    </row>
    <row r="1129" spans="1:3" x14ac:dyDescent="0.3">
      <c r="A1129" s="11">
        <v>22</v>
      </c>
      <c r="B1129" s="10">
        <v>46</v>
      </c>
      <c r="C1129" s="8">
        <v>33.363636363636367</v>
      </c>
    </row>
    <row r="1130" spans="1:3" x14ac:dyDescent="0.3">
      <c r="A1130" s="11">
        <v>3</v>
      </c>
      <c r="B1130" s="10">
        <v>5</v>
      </c>
      <c r="C1130" s="8">
        <v>42.333333333333336</v>
      </c>
    </row>
    <row r="1131" spans="1:3" x14ac:dyDescent="0.3">
      <c r="A1131" s="11">
        <v>14</v>
      </c>
      <c r="B1131" s="10">
        <v>30</v>
      </c>
      <c r="C1131" s="8">
        <v>28.5</v>
      </c>
    </row>
    <row r="1132" spans="1:3" x14ac:dyDescent="0.3">
      <c r="A1132" s="11">
        <v>23</v>
      </c>
      <c r="B1132" s="10">
        <v>54</v>
      </c>
      <c r="C1132" s="8">
        <v>38.608695652173914</v>
      </c>
    </row>
    <row r="1133" spans="1:3" x14ac:dyDescent="0.3">
      <c r="A1133" s="11">
        <v>12</v>
      </c>
      <c r="B1133" s="10">
        <v>25</v>
      </c>
      <c r="C1133" s="8">
        <v>43.333333333333336</v>
      </c>
    </row>
    <row r="1134" spans="1:3" x14ac:dyDescent="0.3">
      <c r="A1134" s="11">
        <v>4</v>
      </c>
      <c r="B1134" s="10">
        <v>4</v>
      </c>
      <c r="C1134" s="8">
        <v>36.5</v>
      </c>
    </row>
    <row r="1135" spans="1:3" x14ac:dyDescent="0.3">
      <c r="A1135" s="11">
        <v>18</v>
      </c>
      <c r="B1135" s="10">
        <v>36</v>
      </c>
      <c r="C1135" s="8">
        <v>26.277777777777779</v>
      </c>
    </row>
    <row r="1136" spans="1:3" x14ac:dyDescent="0.3">
      <c r="A1136" s="11">
        <v>9</v>
      </c>
      <c r="B1136" s="10">
        <v>12</v>
      </c>
      <c r="C1136" s="8">
        <v>43.222222222222221</v>
      </c>
    </row>
    <row r="1137" spans="1:3" x14ac:dyDescent="0.3">
      <c r="A1137" s="11">
        <v>14</v>
      </c>
      <c r="B1137" s="10">
        <v>23</v>
      </c>
      <c r="C1137" s="8">
        <v>42.285714285714285</v>
      </c>
    </row>
    <row r="1138" spans="1:3" x14ac:dyDescent="0.3">
      <c r="A1138" s="11">
        <v>12</v>
      </c>
      <c r="B1138" s="10">
        <v>26</v>
      </c>
      <c r="C1138" s="8">
        <v>38.833333333333336</v>
      </c>
    </row>
    <row r="1139" spans="1:3" x14ac:dyDescent="0.3">
      <c r="A1139" s="11">
        <v>13</v>
      </c>
      <c r="B1139" s="10">
        <v>18</v>
      </c>
      <c r="C1139" s="8">
        <v>40.53846153846154</v>
      </c>
    </row>
    <row r="1140" spans="1:3" x14ac:dyDescent="0.3">
      <c r="A1140" s="11">
        <v>14</v>
      </c>
      <c r="B1140" s="10">
        <v>25</v>
      </c>
      <c r="C1140" s="8">
        <v>44.5</v>
      </c>
    </row>
    <row r="1141" spans="1:3" x14ac:dyDescent="0.3">
      <c r="A1141" s="11">
        <v>35</v>
      </c>
      <c r="B1141" s="10">
        <v>78</v>
      </c>
      <c r="C1141" s="8">
        <v>27.114285714285714</v>
      </c>
    </row>
    <row r="1142" spans="1:3" x14ac:dyDescent="0.3">
      <c r="A1142" s="11">
        <v>23</v>
      </c>
      <c r="B1142" s="10">
        <v>52</v>
      </c>
      <c r="C1142" s="8">
        <v>32.086956521739133</v>
      </c>
    </row>
    <row r="1143" spans="1:3" x14ac:dyDescent="0.3">
      <c r="A1143" s="11">
        <v>6</v>
      </c>
      <c r="B1143" s="10">
        <v>8</v>
      </c>
      <c r="C1143" s="8">
        <v>26</v>
      </c>
    </row>
    <row r="1144" spans="1:3" x14ac:dyDescent="0.3">
      <c r="A1144" s="11">
        <v>7</v>
      </c>
      <c r="B1144" s="10">
        <v>13</v>
      </c>
      <c r="C1144" s="8">
        <v>24.285714285714285</v>
      </c>
    </row>
    <row r="1145" spans="1:3" x14ac:dyDescent="0.3">
      <c r="A1145" s="11">
        <v>20</v>
      </c>
      <c r="B1145" s="10">
        <v>47</v>
      </c>
      <c r="C1145" s="8">
        <v>39.700000000000003</v>
      </c>
    </row>
    <row r="1146" spans="1:3" x14ac:dyDescent="0.3">
      <c r="A1146" s="11">
        <v>24</v>
      </c>
      <c r="B1146" s="10">
        <v>57</v>
      </c>
      <c r="C1146" s="8">
        <v>30.541666666666668</v>
      </c>
    </row>
    <row r="1147" spans="1:3" x14ac:dyDescent="0.3">
      <c r="A1147" s="11">
        <v>6</v>
      </c>
      <c r="B1147" s="10">
        <v>8</v>
      </c>
      <c r="C1147" s="8">
        <v>45.333333333333336</v>
      </c>
    </row>
    <row r="1148" spans="1:3" x14ac:dyDescent="0.3">
      <c r="A1148" s="11">
        <v>5</v>
      </c>
      <c r="B1148" s="10">
        <v>8</v>
      </c>
      <c r="C1148" s="8">
        <v>39.799999999999997</v>
      </c>
    </row>
    <row r="1149" spans="1:3" x14ac:dyDescent="0.3">
      <c r="A1149" s="11">
        <v>14</v>
      </c>
      <c r="B1149" s="10">
        <v>26</v>
      </c>
      <c r="C1149" s="8">
        <v>39.285714285714285</v>
      </c>
    </row>
    <row r="1150" spans="1:3" x14ac:dyDescent="0.3">
      <c r="A1150" s="11">
        <v>30</v>
      </c>
      <c r="B1150" s="10">
        <v>49</v>
      </c>
      <c r="C1150" s="8">
        <v>27.233333333333334</v>
      </c>
    </row>
    <row r="1151" spans="1:3" x14ac:dyDescent="0.3">
      <c r="A1151" s="11">
        <v>14</v>
      </c>
      <c r="B1151" s="10">
        <v>28</v>
      </c>
      <c r="C1151" s="8">
        <v>33.928571428571431</v>
      </c>
    </row>
    <row r="1152" spans="1:3" x14ac:dyDescent="0.3">
      <c r="A1152" s="11">
        <v>24</v>
      </c>
      <c r="B1152" s="10">
        <v>52</v>
      </c>
      <c r="C1152" s="8">
        <v>29.708333333333332</v>
      </c>
    </row>
    <row r="1153" spans="1:3" x14ac:dyDescent="0.3">
      <c r="A1153" s="11">
        <v>6</v>
      </c>
      <c r="B1153" s="10">
        <v>12</v>
      </c>
      <c r="C1153" s="8">
        <v>33.833333333333336</v>
      </c>
    </row>
    <row r="1154" spans="1:3" x14ac:dyDescent="0.3">
      <c r="A1154" s="11">
        <v>10</v>
      </c>
      <c r="B1154" s="10">
        <v>22</v>
      </c>
      <c r="C1154" s="8">
        <v>29.9</v>
      </c>
    </row>
    <row r="1155" spans="1:3" x14ac:dyDescent="0.3">
      <c r="A1155" s="11">
        <v>8</v>
      </c>
      <c r="B1155" s="10">
        <v>17</v>
      </c>
      <c r="C1155" s="8">
        <v>44.625</v>
      </c>
    </row>
    <row r="1156" spans="1:3" x14ac:dyDescent="0.3">
      <c r="A1156" s="11">
        <v>2</v>
      </c>
      <c r="B1156" s="10">
        <v>3</v>
      </c>
      <c r="C1156" s="8">
        <v>49.5</v>
      </c>
    </row>
    <row r="1157" spans="1:3" x14ac:dyDescent="0.3">
      <c r="A1157" s="11">
        <v>13</v>
      </c>
      <c r="B1157" s="10">
        <v>23</v>
      </c>
      <c r="C1157" s="8">
        <v>35.153846153846153</v>
      </c>
    </row>
    <row r="1158" spans="1:3" x14ac:dyDescent="0.3">
      <c r="A1158" s="11">
        <v>27</v>
      </c>
      <c r="B1158" s="10">
        <v>62</v>
      </c>
      <c r="C1158" s="8">
        <v>28.25925925925926</v>
      </c>
    </row>
    <row r="1159" spans="1:3" x14ac:dyDescent="0.3">
      <c r="A1159" s="11">
        <v>6</v>
      </c>
      <c r="B1159" s="10">
        <v>8</v>
      </c>
      <c r="C1159" s="8">
        <v>26.166666666666668</v>
      </c>
    </row>
    <row r="1160" spans="1:3" x14ac:dyDescent="0.3">
      <c r="A1160" s="11">
        <v>22</v>
      </c>
      <c r="B1160" s="10">
        <v>40</v>
      </c>
      <c r="C1160" s="8">
        <v>36.772727272727273</v>
      </c>
    </row>
    <row r="1161" spans="1:3" x14ac:dyDescent="0.3">
      <c r="A1161" s="11">
        <v>7</v>
      </c>
      <c r="B1161" s="10">
        <v>13</v>
      </c>
      <c r="C1161" s="8">
        <v>32.857142857142854</v>
      </c>
    </row>
    <row r="1162" spans="1:3" x14ac:dyDescent="0.3">
      <c r="A1162" s="11">
        <v>32</v>
      </c>
      <c r="B1162" s="10">
        <v>62</v>
      </c>
      <c r="C1162" s="8">
        <v>28.125</v>
      </c>
    </row>
    <row r="1163" spans="1:3" x14ac:dyDescent="0.3">
      <c r="A1163" s="11">
        <v>12</v>
      </c>
      <c r="B1163" s="10">
        <v>21</v>
      </c>
      <c r="C1163" s="8">
        <v>41.333333333333336</v>
      </c>
    </row>
    <row r="1164" spans="1:3" x14ac:dyDescent="0.3">
      <c r="A1164" s="11">
        <v>8</v>
      </c>
      <c r="B1164" s="10">
        <v>11</v>
      </c>
      <c r="C1164" s="8">
        <v>25.375</v>
      </c>
    </row>
    <row r="1165" spans="1:3" x14ac:dyDescent="0.3">
      <c r="A1165" s="11">
        <v>1</v>
      </c>
      <c r="B1165" s="10">
        <v>2</v>
      </c>
      <c r="C1165" s="8">
        <v>56</v>
      </c>
    </row>
    <row r="1166" spans="1:3" x14ac:dyDescent="0.3">
      <c r="A1166" s="11">
        <v>3</v>
      </c>
      <c r="B1166" s="10">
        <v>5</v>
      </c>
      <c r="C1166" s="8">
        <v>31.333333333333332</v>
      </c>
    </row>
    <row r="1167" spans="1:3" x14ac:dyDescent="0.3">
      <c r="A1167" s="11">
        <v>19</v>
      </c>
      <c r="B1167" s="10">
        <v>42</v>
      </c>
      <c r="C1167" s="8">
        <v>41.05263157894737</v>
      </c>
    </row>
    <row r="1168" spans="1:3" x14ac:dyDescent="0.3">
      <c r="A1168" s="11">
        <v>28</v>
      </c>
      <c r="B1168" s="10">
        <v>52</v>
      </c>
      <c r="C1168" s="8">
        <v>29.25</v>
      </c>
    </row>
    <row r="1169" spans="1:3" x14ac:dyDescent="0.3">
      <c r="A1169" s="11">
        <v>23</v>
      </c>
      <c r="B1169" s="10">
        <v>54</v>
      </c>
      <c r="C1169" s="8">
        <v>41.913043478260867</v>
      </c>
    </row>
    <row r="1170" spans="1:3" x14ac:dyDescent="0.3">
      <c r="A1170" s="11">
        <v>12</v>
      </c>
      <c r="B1170" s="10">
        <v>21</v>
      </c>
      <c r="C1170" s="8">
        <v>43.416666666666664</v>
      </c>
    </row>
    <row r="1171" spans="1:3" x14ac:dyDescent="0.3">
      <c r="A1171" s="11">
        <v>16</v>
      </c>
      <c r="B1171" s="10">
        <v>29</v>
      </c>
      <c r="C1171" s="8">
        <v>39.375</v>
      </c>
    </row>
    <row r="1172" spans="1:3" x14ac:dyDescent="0.3">
      <c r="A1172" s="11">
        <v>8</v>
      </c>
      <c r="B1172" s="10">
        <v>11</v>
      </c>
      <c r="C1172" s="8">
        <v>41.25</v>
      </c>
    </row>
    <row r="1173" spans="1:3" x14ac:dyDescent="0.3">
      <c r="A1173" s="11">
        <v>9</v>
      </c>
      <c r="B1173" s="10">
        <v>13</v>
      </c>
      <c r="C1173" s="8">
        <v>33.222222222222221</v>
      </c>
    </row>
    <row r="1174" spans="1:3" x14ac:dyDescent="0.3">
      <c r="A1174" s="11">
        <v>1</v>
      </c>
      <c r="B1174" s="10">
        <v>2</v>
      </c>
      <c r="C1174" s="8">
        <v>30</v>
      </c>
    </row>
    <row r="1175" spans="1:3" x14ac:dyDescent="0.3">
      <c r="A1175" s="11">
        <v>15</v>
      </c>
      <c r="B1175" s="10">
        <v>27</v>
      </c>
      <c r="C1175" s="8">
        <v>38.133333333333333</v>
      </c>
    </row>
    <row r="1176" spans="1:3" x14ac:dyDescent="0.3">
      <c r="A1176" s="11">
        <v>12</v>
      </c>
      <c r="B1176" s="10">
        <v>18</v>
      </c>
      <c r="C1176" s="8">
        <v>43.583333333333336</v>
      </c>
    </row>
    <row r="1177" spans="1:3" x14ac:dyDescent="0.3">
      <c r="A1177" s="11">
        <v>23</v>
      </c>
      <c r="B1177" s="10">
        <v>42</v>
      </c>
      <c r="C1177" s="8">
        <v>38</v>
      </c>
    </row>
    <row r="1178" spans="1:3" x14ac:dyDescent="0.3">
      <c r="A1178" s="11">
        <v>14</v>
      </c>
      <c r="B1178" s="10">
        <v>22</v>
      </c>
      <c r="C1178" s="8">
        <v>34</v>
      </c>
    </row>
    <row r="1179" spans="1:3" x14ac:dyDescent="0.3">
      <c r="A1179" s="11">
        <v>15</v>
      </c>
      <c r="B1179" s="10">
        <v>29</v>
      </c>
      <c r="C1179" s="8">
        <v>31</v>
      </c>
    </row>
    <row r="1180" spans="1:3" x14ac:dyDescent="0.3">
      <c r="A1180" s="11">
        <v>26</v>
      </c>
      <c r="B1180" s="10">
        <v>61</v>
      </c>
      <c r="C1180" s="8">
        <v>31.076923076923077</v>
      </c>
    </row>
    <row r="1181" spans="1:3" x14ac:dyDescent="0.3">
      <c r="A1181" s="11">
        <v>21</v>
      </c>
      <c r="B1181" s="10">
        <v>35</v>
      </c>
      <c r="C1181" s="8">
        <v>40.523809523809526</v>
      </c>
    </row>
    <row r="1182" spans="1:3" x14ac:dyDescent="0.3">
      <c r="A1182" s="11">
        <v>13</v>
      </c>
      <c r="B1182" s="10">
        <v>27</v>
      </c>
      <c r="C1182" s="8">
        <v>32.769230769230766</v>
      </c>
    </row>
    <row r="1183" spans="1:3" x14ac:dyDescent="0.3">
      <c r="A1183" s="11">
        <v>12</v>
      </c>
      <c r="B1183" s="10">
        <v>17</v>
      </c>
      <c r="C1183" s="8">
        <v>41.25</v>
      </c>
    </row>
    <row r="1184" spans="1:3" x14ac:dyDescent="0.3">
      <c r="A1184" s="11">
        <v>22</v>
      </c>
      <c r="B1184" s="10">
        <v>44</v>
      </c>
      <c r="C1184" s="8">
        <v>39.454545454545453</v>
      </c>
    </row>
    <row r="1185" spans="1:3" x14ac:dyDescent="0.3">
      <c r="A1185" s="11">
        <v>5</v>
      </c>
      <c r="B1185" s="10">
        <v>7</v>
      </c>
      <c r="C1185" s="8">
        <v>26.6</v>
      </c>
    </row>
    <row r="1186" spans="1:3" x14ac:dyDescent="0.3">
      <c r="A1186" s="11">
        <v>6</v>
      </c>
      <c r="B1186" s="10">
        <v>12</v>
      </c>
      <c r="C1186" s="8">
        <v>45</v>
      </c>
    </row>
    <row r="1187" spans="1:3" x14ac:dyDescent="0.3">
      <c r="A1187" s="11">
        <v>25</v>
      </c>
      <c r="B1187" s="10">
        <v>57</v>
      </c>
      <c r="C1187" s="8">
        <v>39.36</v>
      </c>
    </row>
    <row r="1188" spans="1:3" x14ac:dyDescent="0.3">
      <c r="A1188" s="11">
        <v>23</v>
      </c>
      <c r="B1188" s="10">
        <v>32</v>
      </c>
      <c r="C1188" s="8">
        <v>43.304347826086953</v>
      </c>
    </row>
    <row r="1189" spans="1:3" x14ac:dyDescent="0.3">
      <c r="A1189" s="11">
        <v>13</v>
      </c>
      <c r="B1189" s="10">
        <v>28</v>
      </c>
      <c r="C1189" s="8">
        <v>34.769230769230766</v>
      </c>
    </row>
    <row r="1190" spans="1:3" x14ac:dyDescent="0.3">
      <c r="A1190" s="11">
        <v>9</v>
      </c>
      <c r="B1190" s="10">
        <v>17</v>
      </c>
      <c r="C1190" s="8">
        <v>38</v>
      </c>
    </row>
    <row r="1191" spans="1:3" x14ac:dyDescent="0.3">
      <c r="A1191" s="11">
        <v>3</v>
      </c>
      <c r="B1191" s="10">
        <v>5</v>
      </c>
      <c r="C1191" s="8">
        <v>44.666666666666664</v>
      </c>
    </row>
    <row r="1192" spans="1:3" x14ac:dyDescent="0.3">
      <c r="A1192" s="11">
        <v>16</v>
      </c>
      <c r="B1192" s="10">
        <v>21</v>
      </c>
      <c r="C1192" s="8">
        <v>26.75</v>
      </c>
    </row>
    <row r="1193" spans="1:3" x14ac:dyDescent="0.3">
      <c r="A1193" s="11">
        <v>17</v>
      </c>
      <c r="B1193" s="10">
        <v>35</v>
      </c>
      <c r="C1193" s="8">
        <v>37.588235294117645</v>
      </c>
    </row>
    <row r="1194" spans="1:3" x14ac:dyDescent="0.3">
      <c r="A1194" s="11">
        <v>10</v>
      </c>
      <c r="B1194" s="10">
        <v>17</v>
      </c>
      <c r="C1194" s="8">
        <v>43.4</v>
      </c>
    </row>
    <row r="1195" spans="1:3" x14ac:dyDescent="0.3">
      <c r="A1195" s="11">
        <v>7</v>
      </c>
      <c r="B1195" s="10">
        <v>9</v>
      </c>
      <c r="C1195" s="8">
        <v>38.857142857142854</v>
      </c>
    </row>
    <row r="1196" spans="1:3" x14ac:dyDescent="0.3">
      <c r="A1196" s="11">
        <v>14</v>
      </c>
      <c r="B1196" s="10">
        <v>30</v>
      </c>
      <c r="C1196" s="8">
        <v>45.071428571428569</v>
      </c>
    </row>
    <row r="1197" spans="1:3" x14ac:dyDescent="0.3">
      <c r="A1197" s="11">
        <v>10</v>
      </c>
      <c r="B1197" s="10">
        <v>13</v>
      </c>
      <c r="C1197" s="8">
        <v>39.1</v>
      </c>
    </row>
    <row r="1198" spans="1:3" x14ac:dyDescent="0.3">
      <c r="A1198" s="11">
        <v>12</v>
      </c>
      <c r="B1198" s="10">
        <v>20</v>
      </c>
      <c r="C1198" s="8">
        <v>40.333333333333336</v>
      </c>
    </row>
    <row r="1199" spans="1:3" x14ac:dyDescent="0.3">
      <c r="A1199" s="11">
        <v>16</v>
      </c>
      <c r="B1199" s="10">
        <v>31</v>
      </c>
      <c r="C1199" s="8">
        <v>31.0625</v>
      </c>
    </row>
    <row r="1200" spans="1:3" x14ac:dyDescent="0.3">
      <c r="A1200" s="11">
        <v>9</v>
      </c>
      <c r="B1200" s="10">
        <v>11</v>
      </c>
      <c r="C1200" s="8">
        <v>36.888888888888886</v>
      </c>
    </row>
    <row r="1201" spans="1:3" x14ac:dyDescent="0.3">
      <c r="A1201" s="11">
        <v>1</v>
      </c>
      <c r="B1201" s="10">
        <v>1</v>
      </c>
      <c r="C1201" s="8">
        <v>16</v>
      </c>
    </row>
    <row r="1202" spans="1:3" x14ac:dyDescent="0.3">
      <c r="A1202" s="11">
        <v>10</v>
      </c>
      <c r="B1202" s="10">
        <v>20</v>
      </c>
      <c r="C1202" s="8">
        <v>43.2</v>
      </c>
    </row>
    <row r="1203" spans="1:3" x14ac:dyDescent="0.3">
      <c r="A1203" s="11">
        <v>3</v>
      </c>
      <c r="B1203" s="10">
        <v>4</v>
      </c>
      <c r="C1203" s="8">
        <v>26.666666666666668</v>
      </c>
    </row>
    <row r="1204" spans="1:3" x14ac:dyDescent="0.3">
      <c r="A1204" s="11">
        <v>23</v>
      </c>
      <c r="B1204" s="10">
        <v>42</v>
      </c>
      <c r="C1204" s="8">
        <v>31.565217391304348</v>
      </c>
    </row>
    <row r="1205" spans="1:3" x14ac:dyDescent="0.3">
      <c r="A1205" s="11">
        <v>38</v>
      </c>
      <c r="B1205" s="10">
        <v>68</v>
      </c>
      <c r="C1205" s="8">
        <v>25.763157894736842</v>
      </c>
    </row>
    <row r="1206" spans="1:3" x14ac:dyDescent="0.3">
      <c r="A1206" s="11">
        <v>24</v>
      </c>
      <c r="B1206" s="10">
        <v>42</v>
      </c>
      <c r="C1206" s="8">
        <v>37.583333333333336</v>
      </c>
    </row>
    <row r="1207" spans="1:3" x14ac:dyDescent="0.3">
      <c r="A1207" s="11">
        <v>1</v>
      </c>
      <c r="B1207" s="10">
        <v>2</v>
      </c>
      <c r="C1207" s="8">
        <v>30</v>
      </c>
    </row>
    <row r="1208" spans="1:3" x14ac:dyDescent="0.3">
      <c r="A1208" s="11">
        <v>1</v>
      </c>
      <c r="B1208" s="10">
        <v>1</v>
      </c>
      <c r="C1208" s="8">
        <v>36</v>
      </c>
    </row>
    <row r="1209" spans="1:3" x14ac:dyDescent="0.3">
      <c r="A1209" s="11">
        <v>6</v>
      </c>
      <c r="B1209" s="10">
        <v>8</v>
      </c>
      <c r="C1209" s="8">
        <v>41.833333333333336</v>
      </c>
    </row>
    <row r="1210" spans="1:3" x14ac:dyDescent="0.3">
      <c r="A1210" s="11">
        <v>21</v>
      </c>
      <c r="B1210" s="10">
        <v>49</v>
      </c>
      <c r="C1210" s="8">
        <v>42.523809523809526</v>
      </c>
    </row>
    <row r="1211" spans="1:3" x14ac:dyDescent="0.3">
      <c r="A1211" s="11">
        <v>9</v>
      </c>
      <c r="B1211" s="10">
        <v>16</v>
      </c>
      <c r="C1211" s="8">
        <v>31.222222222222221</v>
      </c>
    </row>
    <row r="1212" spans="1:3" x14ac:dyDescent="0.3">
      <c r="A1212" s="11">
        <v>15</v>
      </c>
      <c r="B1212" s="10">
        <v>19</v>
      </c>
      <c r="C1212" s="8">
        <v>34.06666666666667</v>
      </c>
    </row>
    <row r="1213" spans="1:3" x14ac:dyDescent="0.3">
      <c r="A1213" s="11">
        <v>20</v>
      </c>
      <c r="B1213" s="10">
        <v>38</v>
      </c>
      <c r="C1213" s="8">
        <v>27.8</v>
      </c>
    </row>
    <row r="1214" spans="1:3" x14ac:dyDescent="0.3">
      <c r="A1214" s="11">
        <v>3</v>
      </c>
      <c r="B1214" s="10">
        <v>3</v>
      </c>
      <c r="C1214" s="8">
        <v>40</v>
      </c>
    </row>
    <row r="1215" spans="1:3" x14ac:dyDescent="0.3">
      <c r="A1215" s="11">
        <v>23</v>
      </c>
      <c r="B1215" s="10">
        <v>45</v>
      </c>
      <c r="C1215" s="8">
        <v>32.434782608695649</v>
      </c>
    </row>
    <row r="1216" spans="1:3" x14ac:dyDescent="0.3">
      <c r="A1216" s="11">
        <v>19</v>
      </c>
      <c r="B1216" s="10">
        <v>31</v>
      </c>
      <c r="C1216" s="8">
        <v>37.10526315789474</v>
      </c>
    </row>
    <row r="1217" spans="1:3" x14ac:dyDescent="0.3">
      <c r="A1217" s="11">
        <v>2</v>
      </c>
      <c r="B1217" s="10">
        <v>2</v>
      </c>
      <c r="C1217" s="8">
        <v>35.5</v>
      </c>
    </row>
    <row r="1218" spans="1:3" x14ac:dyDescent="0.3">
      <c r="A1218" s="11">
        <v>7</v>
      </c>
      <c r="B1218" s="10">
        <v>15</v>
      </c>
      <c r="C1218" s="8">
        <v>41.714285714285715</v>
      </c>
    </row>
    <row r="1219" spans="1:3" x14ac:dyDescent="0.3">
      <c r="A1219" s="11">
        <v>24</v>
      </c>
      <c r="B1219" s="10">
        <v>34</v>
      </c>
      <c r="C1219" s="8">
        <v>37.541666666666664</v>
      </c>
    </row>
    <row r="1220" spans="1:3" x14ac:dyDescent="0.3">
      <c r="A1220" s="11">
        <v>8</v>
      </c>
      <c r="B1220" s="10">
        <v>15</v>
      </c>
      <c r="C1220" s="8">
        <v>37.875</v>
      </c>
    </row>
    <row r="1221" spans="1:3" x14ac:dyDescent="0.3">
      <c r="A1221" s="11">
        <v>33</v>
      </c>
      <c r="B1221" s="10">
        <v>57</v>
      </c>
      <c r="C1221" s="8">
        <v>30</v>
      </c>
    </row>
    <row r="1222" spans="1:3" x14ac:dyDescent="0.3">
      <c r="A1222" s="11">
        <v>1</v>
      </c>
      <c r="B1222" s="10">
        <v>1</v>
      </c>
      <c r="C1222" s="8">
        <v>15</v>
      </c>
    </row>
    <row r="1223" spans="1:3" x14ac:dyDescent="0.3">
      <c r="A1223" s="11">
        <v>19</v>
      </c>
      <c r="B1223" s="10">
        <v>38</v>
      </c>
      <c r="C1223" s="8">
        <v>29.894736842105264</v>
      </c>
    </row>
    <row r="1224" spans="1:3" x14ac:dyDescent="0.3">
      <c r="A1224" s="11">
        <v>9</v>
      </c>
      <c r="B1224" s="10">
        <v>16</v>
      </c>
      <c r="C1224" s="8">
        <v>37.777777777777779</v>
      </c>
    </row>
    <row r="1225" spans="1:3" x14ac:dyDescent="0.3">
      <c r="A1225" s="11">
        <v>2</v>
      </c>
      <c r="B1225" s="10">
        <v>2</v>
      </c>
      <c r="C1225" s="8">
        <v>39</v>
      </c>
    </row>
    <row r="1226" spans="1:3" x14ac:dyDescent="0.3">
      <c r="A1226" s="11">
        <v>10</v>
      </c>
      <c r="B1226" s="10">
        <v>12</v>
      </c>
      <c r="C1226" s="8">
        <v>35</v>
      </c>
    </row>
    <row r="1227" spans="1:3" x14ac:dyDescent="0.3">
      <c r="A1227" s="11">
        <v>26</v>
      </c>
      <c r="B1227" s="10">
        <v>49</v>
      </c>
      <c r="C1227" s="8">
        <v>25.96153846153846</v>
      </c>
    </row>
    <row r="1228" spans="1:3" x14ac:dyDescent="0.3">
      <c r="A1228" s="11">
        <v>24</v>
      </c>
      <c r="B1228" s="10">
        <v>47</v>
      </c>
      <c r="C1228" s="8">
        <v>30.208333333333332</v>
      </c>
    </row>
    <row r="1229" spans="1:3" x14ac:dyDescent="0.3">
      <c r="A1229" s="11">
        <v>11</v>
      </c>
      <c r="B1229" s="10">
        <v>24</v>
      </c>
      <c r="C1229" s="8">
        <v>41.727272727272727</v>
      </c>
    </row>
    <row r="1230" spans="1:3" x14ac:dyDescent="0.3">
      <c r="A1230" s="11">
        <v>25</v>
      </c>
      <c r="B1230" s="10">
        <v>43</v>
      </c>
      <c r="C1230" s="8">
        <v>39.32</v>
      </c>
    </row>
    <row r="1231" spans="1:3" x14ac:dyDescent="0.3">
      <c r="A1231" s="11">
        <v>26</v>
      </c>
      <c r="B1231" s="10">
        <v>38</v>
      </c>
      <c r="C1231" s="8">
        <v>27.46153846153846</v>
      </c>
    </row>
    <row r="1232" spans="1:3" x14ac:dyDescent="0.3">
      <c r="A1232" s="11">
        <v>1</v>
      </c>
      <c r="B1232" s="10">
        <v>2</v>
      </c>
      <c r="C1232" s="8">
        <v>58</v>
      </c>
    </row>
    <row r="1233" spans="1:3" x14ac:dyDescent="0.3">
      <c r="A1233" s="11">
        <v>26</v>
      </c>
      <c r="B1233" s="10">
        <v>56</v>
      </c>
      <c r="C1233" s="8">
        <v>37.230769230769234</v>
      </c>
    </row>
    <row r="1234" spans="1:3" x14ac:dyDescent="0.3">
      <c r="A1234" s="11">
        <v>34</v>
      </c>
      <c r="B1234" s="10">
        <v>81</v>
      </c>
      <c r="C1234" s="8">
        <v>26.264705882352942</v>
      </c>
    </row>
    <row r="1235" spans="1:3" x14ac:dyDescent="0.3">
      <c r="A1235" s="11">
        <v>21</v>
      </c>
      <c r="B1235" s="10">
        <v>44</v>
      </c>
      <c r="C1235" s="8">
        <v>30.952380952380953</v>
      </c>
    </row>
    <row r="1236" spans="1:3" x14ac:dyDescent="0.3">
      <c r="A1236" s="11">
        <v>1</v>
      </c>
      <c r="B1236" s="10">
        <v>1</v>
      </c>
      <c r="C1236" s="8">
        <v>32</v>
      </c>
    </row>
    <row r="1237" spans="1:3" x14ac:dyDescent="0.3">
      <c r="A1237" s="11">
        <v>15</v>
      </c>
      <c r="B1237" s="10">
        <v>23</v>
      </c>
      <c r="C1237" s="8">
        <v>29.933333333333334</v>
      </c>
    </row>
    <row r="1238" spans="1:3" x14ac:dyDescent="0.3">
      <c r="A1238" s="11">
        <v>7</v>
      </c>
      <c r="B1238" s="10">
        <v>10</v>
      </c>
      <c r="C1238" s="8">
        <v>31.571428571428573</v>
      </c>
    </row>
    <row r="1239" spans="1:3" x14ac:dyDescent="0.3">
      <c r="A1239" s="11">
        <v>13</v>
      </c>
      <c r="B1239" s="10">
        <v>17</v>
      </c>
      <c r="C1239" s="8">
        <v>42.307692307692307</v>
      </c>
    </row>
    <row r="1240" spans="1:3" x14ac:dyDescent="0.3">
      <c r="A1240" s="11">
        <v>1</v>
      </c>
      <c r="B1240" s="10">
        <v>1</v>
      </c>
      <c r="C1240" s="8">
        <v>38</v>
      </c>
    </row>
    <row r="1241" spans="1:3" x14ac:dyDescent="0.3">
      <c r="A1241" s="11">
        <v>27</v>
      </c>
      <c r="B1241" s="10">
        <v>39</v>
      </c>
      <c r="C1241" s="8">
        <v>32.888888888888886</v>
      </c>
    </row>
    <row r="1242" spans="1:3" x14ac:dyDescent="0.3">
      <c r="A1242" s="11">
        <v>8</v>
      </c>
      <c r="B1242" s="10">
        <v>17</v>
      </c>
      <c r="C1242" s="8">
        <v>40.75</v>
      </c>
    </row>
    <row r="1243" spans="1:3" x14ac:dyDescent="0.3">
      <c r="A1243" s="11">
        <v>5</v>
      </c>
      <c r="B1243" s="10">
        <v>10</v>
      </c>
      <c r="C1243" s="8">
        <v>29.8</v>
      </c>
    </row>
    <row r="1244" spans="1:3" x14ac:dyDescent="0.3">
      <c r="A1244" s="11">
        <v>8</v>
      </c>
      <c r="B1244" s="10">
        <v>17</v>
      </c>
      <c r="C1244" s="8">
        <v>28.375</v>
      </c>
    </row>
    <row r="1245" spans="1:3" x14ac:dyDescent="0.3">
      <c r="A1245" s="11">
        <v>9</v>
      </c>
      <c r="B1245" s="10">
        <v>17</v>
      </c>
      <c r="C1245" s="8">
        <v>36.555555555555557</v>
      </c>
    </row>
    <row r="1246" spans="1:3" x14ac:dyDescent="0.3">
      <c r="A1246" s="11">
        <v>15</v>
      </c>
      <c r="B1246" s="10">
        <v>21</v>
      </c>
      <c r="C1246" s="8">
        <v>43.4</v>
      </c>
    </row>
    <row r="1247" spans="1:3" x14ac:dyDescent="0.3">
      <c r="A1247" s="11">
        <v>2</v>
      </c>
      <c r="B1247" s="10">
        <v>3</v>
      </c>
      <c r="C1247" s="8">
        <v>25</v>
      </c>
    </row>
    <row r="1248" spans="1:3" x14ac:dyDescent="0.3">
      <c r="A1248" s="11">
        <v>11</v>
      </c>
      <c r="B1248" s="10">
        <v>17</v>
      </c>
      <c r="C1248" s="8">
        <v>27.09090909090909</v>
      </c>
    </row>
    <row r="1249" spans="1:3" x14ac:dyDescent="0.3">
      <c r="A1249" s="11">
        <v>3</v>
      </c>
      <c r="B1249" s="10">
        <v>5</v>
      </c>
      <c r="C1249" s="8">
        <v>40.666666666666664</v>
      </c>
    </row>
    <row r="1250" spans="1:3" x14ac:dyDescent="0.3">
      <c r="A1250" s="11">
        <v>19</v>
      </c>
      <c r="B1250" s="10">
        <v>35</v>
      </c>
      <c r="C1250" s="8">
        <v>36.05263157894737</v>
      </c>
    </row>
    <row r="1251" spans="1:3" x14ac:dyDescent="0.3">
      <c r="A1251" s="11">
        <v>19</v>
      </c>
      <c r="B1251" s="10">
        <v>34</v>
      </c>
      <c r="C1251" s="8">
        <v>28.473684210526315</v>
      </c>
    </row>
    <row r="1252" spans="1:3" x14ac:dyDescent="0.3">
      <c r="A1252" s="11">
        <v>17</v>
      </c>
      <c r="B1252" s="10">
        <v>33</v>
      </c>
      <c r="C1252" s="8">
        <v>41.941176470588232</v>
      </c>
    </row>
    <row r="1253" spans="1:3" x14ac:dyDescent="0.3">
      <c r="A1253" s="11">
        <v>19</v>
      </c>
      <c r="B1253" s="10">
        <v>32</v>
      </c>
      <c r="C1253" s="8">
        <v>34.631578947368418</v>
      </c>
    </row>
    <row r="1254" spans="1:3" x14ac:dyDescent="0.3">
      <c r="A1254" s="11">
        <v>29</v>
      </c>
      <c r="B1254" s="10">
        <v>49</v>
      </c>
      <c r="C1254" s="8">
        <v>30.482758620689655</v>
      </c>
    </row>
    <row r="1255" spans="1:3" x14ac:dyDescent="0.3">
      <c r="A1255" s="11">
        <v>33</v>
      </c>
      <c r="B1255" s="10">
        <v>66</v>
      </c>
      <c r="C1255" s="8">
        <v>24.848484848484848</v>
      </c>
    </row>
    <row r="1256" spans="1:3" x14ac:dyDescent="0.3">
      <c r="A1256" s="11">
        <v>24</v>
      </c>
      <c r="B1256" s="10">
        <v>53</v>
      </c>
      <c r="C1256" s="8">
        <v>32.916666666666664</v>
      </c>
    </row>
    <row r="1257" spans="1:3" x14ac:dyDescent="0.3">
      <c r="A1257" s="11">
        <v>26</v>
      </c>
      <c r="B1257" s="10">
        <v>38</v>
      </c>
      <c r="C1257" s="8">
        <v>24.923076923076923</v>
      </c>
    </row>
    <row r="1258" spans="1:3" x14ac:dyDescent="0.3">
      <c r="A1258" s="11">
        <v>20</v>
      </c>
      <c r="B1258" s="10">
        <v>46</v>
      </c>
      <c r="C1258" s="8">
        <v>34.450000000000003</v>
      </c>
    </row>
    <row r="1259" spans="1:3" x14ac:dyDescent="0.3">
      <c r="A1259" s="11">
        <v>21</v>
      </c>
      <c r="B1259" s="10">
        <v>36</v>
      </c>
      <c r="C1259" s="8">
        <v>26.952380952380953</v>
      </c>
    </row>
    <row r="1260" spans="1:3" x14ac:dyDescent="0.3">
      <c r="A1260" s="11">
        <v>5</v>
      </c>
      <c r="B1260" s="10">
        <v>6</v>
      </c>
      <c r="C1260" s="8">
        <v>26.8</v>
      </c>
    </row>
    <row r="1261" spans="1:3" x14ac:dyDescent="0.3">
      <c r="A1261" s="11">
        <v>19</v>
      </c>
      <c r="B1261" s="10">
        <v>30</v>
      </c>
      <c r="C1261" s="8">
        <v>25.473684210526315</v>
      </c>
    </row>
    <row r="1262" spans="1:3" x14ac:dyDescent="0.3">
      <c r="A1262" s="11">
        <v>13</v>
      </c>
      <c r="B1262" s="10">
        <v>29</v>
      </c>
      <c r="C1262" s="8">
        <v>31.384615384615383</v>
      </c>
    </row>
    <row r="1263" spans="1:3" x14ac:dyDescent="0.3">
      <c r="A1263" s="11">
        <v>15</v>
      </c>
      <c r="B1263" s="10">
        <v>32</v>
      </c>
      <c r="C1263" s="8">
        <v>35.200000000000003</v>
      </c>
    </row>
    <row r="1264" spans="1:3" x14ac:dyDescent="0.3">
      <c r="A1264" s="11">
        <v>2</v>
      </c>
      <c r="B1264" s="10">
        <v>3</v>
      </c>
      <c r="C1264" s="8">
        <v>34</v>
      </c>
    </row>
    <row r="1265" spans="1:3" x14ac:dyDescent="0.3">
      <c r="A1265" s="11">
        <v>4</v>
      </c>
      <c r="B1265" s="10">
        <v>7</v>
      </c>
      <c r="C1265" s="8">
        <v>2.75</v>
      </c>
    </row>
    <row r="1266" spans="1:3" x14ac:dyDescent="0.3">
      <c r="A1266" s="11">
        <v>23</v>
      </c>
      <c r="B1266" s="10">
        <v>44</v>
      </c>
      <c r="C1266" s="8">
        <v>36</v>
      </c>
    </row>
    <row r="1267" spans="1:3" x14ac:dyDescent="0.3">
      <c r="A1267" s="11">
        <v>10</v>
      </c>
      <c r="B1267" s="10">
        <v>22</v>
      </c>
      <c r="C1267" s="8">
        <v>38.299999999999997</v>
      </c>
    </row>
    <row r="1268" spans="1:3" x14ac:dyDescent="0.3">
      <c r="A1268" s="11">
        <v>18</v>
      </c>
      <c r="B1268" s="10">
        <v>34</v>
      </c>
      <c r="C1268" s="8">
        <v>42.944444444444443</v>
      </c>
    </row>
    <row r="1269" spans="1:3" x14ac:dyDescent="0.3">
      <c r="A1269" s="11">
        <v>2</v>
      </c>
      <c r="B1269" s="10">
        <v>3</v>
      </c>
      <c r="C1269" s="8">
        <v>34</v>
      </c>
    </row>
    <row r="1270" spans="1:3" x14ac:dyDescent="0.3">
      <c r="A1270" s="11">
        <v>9</v>
      </c>
      <c r="B1270" s="10">
        <v>12</v>
      </c>
      <c r="C1270" s="8">
        <v>40</v>
      </c>
    </row>
    <row r="1271" spans="1:3" x14ac:dyDescent="0.3">
      <c r="A1271" s="11">
        <v>4</v>
      </c>
      <c r="B1271" s="10">
        <v>6</v>
      </c>
      <c r="C1271" s="8">
        <v>5.25</v>
      </c>
    </row>
    <row r="1272" spans="1:3" x14ac:dyDescent="0.3">
      <c r="A1272" s="11">
        <v>6</v>
      </c>
      <c r="B1272" s="10">
        <v>8</v>
      </c>
      <c r="C1272" s="8">
        <v>36.833333333333336</v>
      </c>
    </row>
    <row r="1273" spans="1:3" x14ac:dyDescent="0.3">
      <c r="A1273" s="11">
        <v>25</v>
      </c>
      <c r="B1273" s="10">
        <v>36</v>
      </c>
      <c r="C1273" s="8">
        <v>37.479999999999997</v>
      </c>
    </row>
    <row r="1274" spans="1:3" x14ac:dyDescent="0.3">
      <c r="A1274" s="11">
        <v>14</v>
      </c>
      <c r="B1274" s="10">
        <v>29</v>
      </c>
      <c r="C1274" s="8">
        <v>36.714285714285715</v>
      </c>
    </row>
    <row r="1275" spans="1:3" x14ac:dyDescent="0.3">
      <c r="A1275" s="11">
        <v>19</v>
      </c>
      <c r="B1275" s="10">
        <v>31</v>
      </c>
      <c r="C1275" s="8">
        <v>35.210526315789473</v>
      </c>
    </row>
    <row r="1276" spans="1:3" x14ac:dyDescent="0.3">
      <c r="A1276" s="11">
        <v>16</v>
      </c>
      <c r="B1276" s="10">
        <v>22</v>
      </c>
      <c r="C1276" s="8">
        <v>33.75</v>
      </c>
    </row>
    <row r="1277" spans="1:3" x14ac:dyDescent="0.3">
      <c r="A1277" s="11">
        <v>22</v>
      </c>
      <c r="B1277" s="10">
        <v>38</v>
      </c>
      <c r="C1277" s="8">
        <v>41.909090909090907</v>
      </c>
    </row>
    <row r="1278" spans="1:3" x14ac:dyDescent="0.3">
      <c r="A1278" s="11">
        <v>15</v>
      </c>
      <c r="B1278" s="10">
        <v>31</v>
      </c>
      <c r="C1278" s="8">
        <v>40.200000000000003</v>
      </c>
    </row>
    <row r="1279" spans="1:3" x14ac:dyDescent="0.3">
      <c r="A1279" s="11">
        <v>14</v>
      </c>
      <c r="B1279" s="10">
        <v>29</v>
      </c>
      <c r="C1279" s="8">
        <v>42</v>
      </c>
    </row>
    <row r="1280" spans="1:3" x14ac:dyDescent="0.3">
      <c r="A1280" s="11">
        <v>20</v>
      </c>
      <c r="B1280" s="10">
        <v>29</v>
      </c>
      <c r="C1280" s="8">
        <v>39.6</v>
      </c>
    </row>
    <row r="1281" spans="1:3" x14ac:dyDescent="0.3">
      <c r="A1281" s="11">
        <v>28</v>
      </c>
      <c r="B1281" s="10">
        <v>46</v>
      </c>
      <c r="C1281" s="8">
        <v>35.571428571428569</v>
      </c>
    </row>
    <row r="1282" spans="1:3" x14ac:dyDescent="0.3">
      <c r="A1282" s="11">
        <v>18</v>
      </c>
      <c r="B1282" s="10">
        <v>25</v>
      </c>
      <c r="C1282" s="8">
        <v>33.777777777777779</v>
      </c>
    </row>
    <row r="1283" spans="1:3" x14ac:dyDescent="0.3">
      <c r="A1283" s="11">
        <v>40</v>
      </c>
      <c r="B1283" s="10">
        <v>70</v>
      </c>
      <c r="C1283" s="8">
        <v>24.9</v>
      </c>
    </row>
    <row r="1284" spans="1:3" x14ac:dyDescent="0.3">
      <c r="A1284" s="11">
        <v>15</v>
      </c>
      <c r="B1284" s="10">
        <v>28</v>
      </c>
      <c r="C1284" s="8">
        <v>41.533333333333331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ABB0-E877-4D9A-B3A1-52A769196E17}">
  <dimension ref="A1:L1284"/>
  <sheetViews>
    <sheetView workbookViewId="0">
      <selection activeCell="G22" sqref="G22"/>
    </sheetView>
  </sheetViews>
  <sheetFormatPr defaultRowHeight="14.4" x14ac:dyDescent="0.3"/>
  <cols>
    <col min="1" max="1" width="17" bestFit="1" customWidth="1"/>
    <col min="2" max="2" width="24.109375" bestFit="1" customWidth="1"/>
    <col min="3" max="3" width="19" style="8" bestFit="1" customWidth="1"/>
    <col min="4" max="4" width="17.44140625" bestFit="1" customWidth="1"/>
    <col min="5" max="5" width="12.6640625" bestFit="1" customWidth="1"/>
    <col min="6" max="6" width="13.44140625" bestFit="1" customWidth="1"/>
    <col min="7" max="7" width="12.6640625" bestFit="1" customWidth="1"/>
    <col min="8" max="8" width="12" bestFit="1" customWidth="1"/>
    <col min="9" max="9" width="12.44140625" bestFit="1" customWidth="1"/>
    <col min="10" max="10" width="12" bestFit="1" customWidth="1"/>
    <col min="11" max="12" width="12.109375" bestFit="1" customWidth="1"/>
  </cols>
  <sheetData>
    <row r="1" spans="1:12" x14ac:dyDescent="0.3">
      <c r="A1" t="s">
        <v>2261</v>
      </c>
      <c r="B1" t="s">
        <v>2260</v>
      </c>
      <c r="C1" s="8" t="s">
        <v>2262</v>
      </c>
      <c r="D1" t="s">
        <v>2266</v>
      </c>
      <c r="F1" s="4" t="s">
        <v>2292</v>
      </c>
      <c r="J1" s="4" t="s">
        <v>2293</v>
      </c>
      <c r="L1" s="4" t="s">
        <v>2294</v>
      </c>
    </row>
    <row r="2" spans="1:12" ht="15" thickBot="1" x14ac:dyDescent="0.35">
      <c r="A2" s="12">
        <v>29</v>
      </c>
      <c r="B2">
        <v>44</v>
      </c>
      <c r="C2" s="8">
        <v>26.03448275862069</v>
      </c>
    </row>
    <row r="3" spans="1:12" x14ac:dyDescent="0.3">
      <c r="A3" s="12">
        <v>13</v>
      </c>
      <c r="B3">
        <v>16</v>
      </c>
      <c r="C3" s="8">
        <v>30</v>
      </c>
      <c r="D3" s="15" t="s">
        <v>2267</v>
      </c>
      <c r="E3" s="15"/>
    </row>
    <row r="4" spans="1:12" x14ac:dyDescent="0.3">
      <c r="A4" s="12">
        <v>7</v>
      </c>
      <c r="B4">
        <v>10</v>
      </c>
      <c r="C4" s="8">
        <v>46.142857142857146</v>
      </c>
      <c r="D4" t="s">
        <v>2268</v>
      </c>
      <c r="E4">
        <v>0.96058162606684572</v>
      </c>
    </row>
    <row r="5" spans="1:12" x14ac:dyDescent="0.3">
      <c r="A5" s="12">
        <v>10</v>
      </c>
      <c r="B5">
        <v>15</v>
      </c>
      <c r="C5" s="8">
        <v>34.700000000000003</v>
      </c>
      <c r="D5" t="s">
        <v>2269</v>
      </c>
      <c r="E5">
        <v>0.92271706033722545</v>
      </c>
    </row>
    <row r="6" spans="1:12" x14ac:dyDescent="0.3">
      <c r="A6" s="12">
        <v>26</v>
      </c>
      <c r="B6">
        <v>47</v>
      </c>
      <c r="C6" s="8">
        <v>35.269230769230766</v>
      </c>
      <c r="D6" t="s">
        <v>2270</v>
      </c>
      <c r="E6">
        <v>0.92259630574400242</v>
      </c>
    </row>
    <row r="7" spans="1:12" x14ac:dyDescent="0.3">
      <c r="A7" s="12">
        <v>23</v>
      </c>
      <c r="B7">
        <v>51</v>
      </c>
      <c r="C7" s="8">
        <v>35.826086956521742</v>
      </c>
      <c r="D7" t="s">
        <v>2259</v>
      </c>
      <c r="E7">
        <v>2.4679120459791473</v>
      </c>
    </row>
    <row r="8" spans="1:12" ht="15" thickBot="1" x14ac:dyDescent="0.35">
      <c r="A8" s="12">
        <v>2</v>
      </c>
      <c r="B8">
        <v>3</v>
      </c>
      <c r="C8" s="8">
        <v>49</v>
      </c>
      <c r="D8" s="13" t="s">
        <v>2271</v>
      </c>
      <c r="E8" s="13">
        <v>1283</v>
      </c>
    </row>
    <row r="9" spans="1:12" x14ac:dyDescent="0.3">
      <c r="A9" s="12">
        <v>9</v>
      </c>
      <c r="B9">
        <v>14</v>
      </c>
      <c r="C9" s="8">
        <v>24.888888888888889</v>
      </c>
    </row>
    <row r="10" spans="1:12" ht="15" thickBot="1" x14ac:dyDescent="0.35">
      <c r="A10" s="12">
        <v>7</v>
      </c>
      <c r="B10">
        <v>13</v>
      </c>
      <c r="C10" s="8">
        <v>32.714285714285715</v>
      </c>
      <c r="D10" t="s">
        <v>2272</v>
      </c>
    </row>
    <row r="11" spans="1:12" x14ac:dyDescent="0.3">
      <c r="A11" s="12">
        <v>15</v>
      </c>
      <c r="B11">
        <v>29</v>
      </c>
      <c r="C11" s="8">
        <v>41.266666666666666</v>
      </c>
      <c r="D11" s="14"/>
      <c r="E11" s="14" t="s">
        <v>2277</v>
      </c>
      <c r="F11" s="14" t="s">
        <v>2278</v>
      </c>
      <c r="G11" s="14" t="s">
        <v>2279</v>
      </c>
      <c r="H11" s="14" t="s">
        <v>2280</v>
      </c>
      <c r="I11" s="14" t="s">
        <v>2281</v>
      </c>
    </row>
    <row r="12" spans="1:12" x14ac:dyDescent="0.3">
      <c r="A12" s="12">
        <v>6</v>
      </c>
      <c r="B12">
        <v>11</v>
      </c>
      <c r="C12" s="8">
        <v>45.166666666666664</v>
      </c>
      <c r="D12" t="s">
        <v>2273</v>
      </c>
      <c r="E12">
        <v>2</v>
      </c>
      <c r="F12">
        <v>93079.543022079772</v>
      </c>
      <c r="G12">
        <v>46539.771511039886</v>
      </c>
      <c r="H12">
        <v>7641.2584872243651</v>
      </c>
      <c r="I12">
        <v>0</v>
      </c>
    </row>
    <row r="13" spans="1:12" x14ac:dyDescent="0.3">
      <c r="A13" s="12">
        <v>6</v>
      </c>
      <c r="B13">
        <v>7</v>
      </c>
      <c r="C13" s="8">
        <v>34.666666666666664</v>
      </c>
      <c r="D13" t="s">
        <v>2274</v>
      </c>
      <c r="E13">
        <v>1280</v>
      </c>
      <c r="F13">
        <v>7795.955029361895</v>
      </c>
      <c r="G13">
        <v>6.0905898666889806</v>
      </c>
    </row>
    <row r="14" spans="1:12" ht="15" thickBot="1" x14ac:dyDescent="0.35">
      <c r="A14" s="12">
        <v>13</v>
      </c>
      <c r="B14">
        <v>20</v>
      </c>
      <c r="C14" s="8">
        <v>25.076923076923077</v>
      </c>
      <c r="D14" s="13" t="s">
        <v>2275</v>
      </c>
      <c r="E14" s="13">
        <v>1282</v>
      </c>
      <c r="F14" s="13">
        <v>100875.49805144167</v>
      </c>
      <c r="G14" s="13"/>
      <c r="H14" s="13"/>
      <c r="I14" s="13"/>
    </row>
    <row r="15" spans="1:12" ht="15" thickBot="1" x14ac:dyDescent="0.35">
      <c r="A15" s="12">
        <v>23</v>
      </c>
      <c r="B15">
        <v>40</v>
      </c>
      <c r="C15" s="8">
        <v>30.391304347826086</v>
      </c>
    </row>
    <row r="16" spans="1:12" x14ac:dyDescent="0.3">
      <c r="A16" s="12">
        <v>4</v>
      </c>
      <c r="B16">
        <v>6</v>
      </c>
      <c r="C16" s="8">
        <v>35.75</v>
      </c>
      <c r="D16" s="14"/>
      <c r="E16" s="14" t="s">
        <v>2282</v>
      </c>
      <c r="F16" s="14" t="s">
        <v>2259</v>
      </c>
      <c r="G16" s="14" t="s">
        <v>2283</v>
      </c>
      <c r="H16" s="14" t="s">
        <v>2284</v>
      </c>
      <c r="I16" s="14" t="s">
        <v>2285</v>
      </c>
      <c r="J16" s="14" t="s">
        <v>2286</v>
      </c>
      <c r="K16" s="14" t="s">
        <v>2287</v>
      </c>
      <c r="L16" s="14" t="s">
        <v>2288</v>
      </c>
    </row>
    <row r="17" spans="1:12" x14ac:dyDescent="0.3">
      <c r="A17" s="12">
        <v>26</v>
      </c>
      <c r="B17">
        <v>58</v>
      </c>
      <c r="C17" s="8">
        <v>27.846153846153847</v>
      </c>
      <c r="D17" t="s">
        <v>2276</v>
      </c>
      <c r="E17">
        <v>2.9118514226179597</v>
      </c>
      <c r="F17">
        <v>0.41638055473076485</v>
      </c>
      <c r="G17">
        <v>6.9932454566731321</v>
      </c>
      <c r="H17">
        <v>4.315440133435241E-12</v>
      </c>
      <c r="I17">
        <v>2.0949881202235474</v>
      </c>
      <c r="J17">
        <v>3.728714725012372</v>
      </c>
      <c r="K17">
        <v>2.0949881202235474</v>
      </c>
      <c r="L17">
        <v>3.728714725012372</v>
      </c>
    </row>
    <row r="18" spans="1:12" x14ac:dyDescent="0.3">
      <c r="A18" s="12">
        <v>15</v>
      </c>
      <c r="B18">
        <v>31</v>
      </c>
      <c r="C18" s="8">
        <v>28.333333333333332</v>
      </c>
      <c r="D18" t="s">
        <v>2290</v>
      </c>
      <c r="E18">
        <v>0.46956407870202671</v>
      </c>
      <c r="F18">
        <v>3.9243645428074193E-3</v>
      </c>
      <c r="G18">
        <v>119.6535320763318</v>
      </c>
      <c r="H18">
        <v>0</v>
      </c>
      <c r="I18">
        <v>0.46186518560095474</v>
      </c>
      <c r="J18">
        <v>0.47726297180309868</v>
      </c>
      <c r="K18">
        <v>0.46186518560095474</v>
      </c>
      <c r="L18">
        <v>0.47726297180309868</v>
      </c>
    </row>
    <row r="19" spans="1:12" ht="15" thickBot="1" x14ac:dyDescent="0.35">
      <c r="A19" s="12">
        <v>8</v>
      </c>
      <c r="B19">
        <v>15</v>
      </c>
      <c r="C19" s="8">
        <v>36.5</v>
      </c>
      <c r="D19" s="13" t="s">
        <v>2291</v>
      </c>
      <c r="E19" s="13">
        <v>-1.8413990906656165E-2</v>
      </c>
      <c r="F19" s="13">
        <v>1.0717048365149379E-2</v>
      </c>
      <c r="G19" s="13">
        <v>-1.718196118862015</v>
      </c>
      <c r="H19" s="13">
        <v>8.6002681401482928E-2</v>
      </c>
      <c r="I19" s="13">
        <v>-3.9438900499605828E-2</v>
      </c>
      <c r="J19" s="13">
        <v>2.610918686293498E-3</v>
      </c>
      <c r="K19" s="13">
        <v>-3.9438900499605828E-2</v>
      </c>
      <c r="L19" s="13">
        <v>2.610918686293498E-3</v>
      </c>
    </row>
    <row r="20" spans="1:12" x14ac:dyDescent="0.3">
      <c r="A20" s="12">
        <v>21</v>
      </c>
      <c r="B20">
        <v>31</v>
      </c>
      <c r="C20" s="8">
        <v>37.80952380952381</v>
      </c>
    </row>
    <row r="21" spans="1:12" x14ac:dyDescent="0.3">
      <c r="A21" s="12">
        <v>3</v>
      </c>
      <c r="B21">
        <v>4</v>
      </c>
      <c r="C21" s="8">
        <v>33.333333333333336</v>
      </c>
      <c r="D21" s="4" t="s">
        <v>2295</v>
      </c>
      <c r="G21" s="4" t="s">
        <v>2296</v>
      </c>
    </row>
    <row r="22" spans="1:12" x14ac:dyDescent="0.3">
      <c r="A22" s="12">
        <v>9</v>
      </c>
      <c r="B22">
        <v>14</v>
      </c>
      <c r="C22" s="8">
        <v>28.444444444444443</v>
      </c>
    </row>
    <row r="23" spans="1:12" x14ac:dyDescent="0.3">
      <c r="A23" s="12">
        <v>25</v>
      </c>
      <c r="B23">
        <v>49</v>
      </c>
      <c r="C23" s="8">
        <v>30.4</v>
      </c>
    </row>
    <row r="24" spans="1:12" x14ac:dyDescent="0.3">
      <c r="A24" s="12">
        <v>24</v>
      </c>
      <c r="B24">
        <v>44</v>
      </c>
      <c r="C24" s="8">
        <v>35.25</v>
      </c>
    </row>
    <row r="25" spans="1:12" x14ac:dyDescent="0.3">
      <c r="A25" s="12">
        <v>13</v>
      </c>
      <c r="B25">
        <v>23</v>
      </c>
      <c r="C25" s="8">
        <v>27.615384615384617</v>
      </c>
    </row>
    <row r="26" spans="1:12" x14ac:dyDescent="0.3">
      <c r="A26" s="12">
        <v>16</v>
      </c>
      <c r="B26">
        <v>32</v>
      </c>
      <c r="C26" s="8">
        <v>44.25</v>
      </c>
    </row>
    <row r="27" spans="1:12" x14ac:dyDescent="0.3">
      <c r="A27" s="12">
        <v>17</v>
      </c>
      <c r="B27">
        <v>21</v>
      </c>
      <c r="C27" s="8">
        <v>27.823529411764707</v>
      </c>
    </row>
    <row r="28" spans="1:12" x14ac:dyDescent="0.3">
      <c r="A28" s="12">
        <v>1</v>
      </c>
      <c r="B28">
        <v>1</v>
      </c>
      <c r="C28" s="8">
        <v>29</v>
      </c>
    </row>
    <row r="29" spans="1:12" x14ac:dyDescent="0.3">
      <c r="A29" s="12">
        <v>14</v>
      </c>
      <c r="B29">
        <v>27</v>
      </c>
      <c r="C29" s="8">
        <v>36.428571428571431</v>
      </c>
    </row>
    <row r="30" spans="1:12" x14ac:dyDescent="0.3">
      <c r="A30" s="12">
        <v>1</v>
      </c>
      <c r="B30">
        <v>1</v>
      </c>
      <c r="C30" s="8">
        <v>54</v>
      </c>
    </row>
    <row r="31" spans="1:12" x14ac:dyDescent="0.3">
      <c r="A31" s="12">
        <v>32</v>
      </c>
      <c r="B31">
        <v>70</v>
      </c>
      <c r="C31" s="8">
        <v>31.0625</v>
      </c>
    </row>
    <row r="32" spans="1:12" x14ac:dyDescent="0.3">
      <c r="A32" s="12">
        <v>15</v>
      </c>
      <c r="B32">
        <v>32</v>
      </c>
      <c r="C32" s="8">
        <v>36.866666666666667</v>
      </c>
    </row>
    <row r="33" spans="1:3" x14ac:dyDescent="0.3">
      <c r="A33" s="12">
        <v>24</v>
      </c>
      <c r="B33">
        <v>50</v>
      </c>
      <c r="C33" s="8">
        <v>31.291666666666668</v>
      </c>
    </row>
    <row r="34" spans="1:3" x14ac:dyDescent="0.3">
      <c r="A34" s="12">
        <v>21</v>
      </c>
      <c r="B34">
        <v>32</v>
      </c>
      <c r="C34" s="8">
        <v>36.476190476190474</v>
      </c>
    </row>
    <row r="35" spans="1:3" x14ac:dyDescent="0.3">
      <c r="A35" s="12">
        <v>25</v>
      </c>
      <c r="B35">
        <v>52</v>
      </c>
      <c r="C35" s="8">
        <v>26.76</v>
      </c>
    </row>
    <row r="36" spans="1:3" x14ac:dyDescent="0.3">
      <c r="A36" s="12">
        <v>21</v>
      </c>
      <c r="B36">
        <v>40</v>
      </c>
      <c r="C36" s="8">
        <v>33.61904761904762</v>
      </c>
    </row>
    <row r="37" spans="1:3" x14ac:dyDescent="0.3">
      <c r="A37" s="12">
        <v>5</v>
      </c>
      <c r="B37">
        <v>8</v>
      </c>
      <c r="C37" s="8">
        <v>44.8</v>
      </c>
    </row>
    <row r="38" spans="1:3" x14ac:dyDescent="0.3">
      <c r="A38" s="12">
        <v>21</v>
      </c>
      <c r="B38">
        <v>41</v>
      </c>
      <c r="C38" s="8">
        <v>42.666666666666664</v>
      </c>
    </row>
    <row r="39" spans="1:3" x14ac:dyDescent="0.3">
      <c r="A39" s="12">
        <v>2</v>
      </c>
      <c r="B39">
        <v>4</v>
      </c>
      <c r="C39" s="8">
        <v>39.5</v>
      </c>
    </row>
    <row r="40" spans="1:3" x14ac:dyDescent="0.3">
      <c r="A40" s="12">
        <v>3</v>
      </c>
      <c r="B40">
        <v>4</v>
      </c>
      <c r="C40" s="8">
        <v>30.333333333333332</v>
      </c>
    </row>
    <row r="41" spans="1:3" x14ac:dyDescent="0.3">
      <c r="A41" s="12">
        <v>19</v>
      </c>
      <c r="B41">
        <v>41</v>
      </c>
      <c r="C41" s="8">
        <v>32.684210526315788</v>
      </c>
    </row>
    <row r="42" spans="1:3" x14ac:dyDescent="0.3">
      <c r="A42" s="12">
        <v>9</v>
      </c>
      <c r="B42">
        <v>17</v>
      </c>
      <c r="C42" s="8">
        <v>29.555555555555557</v>
      </c>
    </row>
    <row r="43" spans="1:3" x14ac:dyDescent="0.3">
      <c r="A43" s="12">
        <v>30</v>
      </c>
      <c r="B43">
        <v>55</v>
      </c>
      <c r="C43" s="8">
        <v>26.1</v>
      </c>
    </row>
    <row r="44" spans="1:3" x14ac:dyDescent="0.3">
      <c r="A44" s="12">
        <v>21</v>
      </c>
      <c r="B44">
        <v>38</v>
      </c>
      <c r="C44" s="8">
        <v>40.142857142857146</v>
      </c>
    </row>
    <row r="45" spans="1:3" x14ac:dyDescent="0.3">
      <c r="A45" s="12">
        <v>11</v>
      </c>
      <c r="B45">
        <v>17</v>
      </c>
      <c r="C45" s="8">
        <v>36</v>
      </c>
    </row>
    <row r="46" spans="1:3" x14ac:dyDescent="0.3">
      <c r="A46" s="12">
        <v>15</v>
      </c>
      <c r="B46">
        <v>26</v>
      </c>
      <c r="C46" s="8">
        <v>42.466666666666669</v>
      </c>
    </row>
    <row r="47" spans="1:3" x14ac:dyDescent="0.3">
      <c r="A47" s="12">
        <v>16</v>
      </c>
      <c r="B47">
        <v>22</v>
      </c>
      <c r="C47" s="8">
        <v>38.875</v>
      </c>
    </row>
    <row r="48" spans="1:3" x14ac:dyDescent="0.3">
      <c r="A48" s="12">
        <v>13</v>
      </c>
      <c r="B48">
        <v>28</v>
      </c>
      <c r="C48" s="8">
        <v>35.846153846153847</v>
      </c>
    </row>
    <row r="49" spans="1:3" x14ac:dyDescent="0.3">
      <c r="A49" s="12">
        <v>1</v>
      </c>
      <c r="B49">
        <v>2</v>
      </c>
      <c r="C49" s="8">
        <v>15</v>
      </c>
    </row>
    <row r="50" spans="1:3" x14ac:dyDescent="0.3">
      <c r="A50" s="12">
        <v>15</v>
      </c>
      <c r="B50">
        <v>18</v>
      </c>
      <c r="C50" s="8">
        <v>38.266666666666666</v>
      </c>
    </row>
    <row r="51" spans="1:3" x14ac:dyDescent="0.3">
      <c r="A51" s="12">
        <v>24</v>
      </c>
      <c r="B51">
        <v>51</v>
      </c>
      <c r="C51" s="8">
        <v>32.416666666666664</v>
      </c>
    </row>
    <row r="52" spans="1:3" x14ac:dyDescent="0.3">
      <c r="A52" s="12">
        <v>25</v>
      </c>
      <c r="B52">
        <v>56</v>
      </c>
      <c r="C52" s="8">
        <v>38.119999999999997</v>
      </c>
    </row>
    <row r="53" spans="1:3" x14ac:dyDescent="0.3">
      <c r="A53" s="12">
        <v>13</v>
      </c>
      <c r="B53">
        <v>18</v>
      </c>
      <c r="C53" s="8">
        <v>39.307692307692307</v>
      </c>
    </row>
    <row r="54" spans="1:3" x14ac:dyDescent="0.3">
      <c r="A54" s="12">
        <v>14</v>
      </c>
      <c r="B54">
        <v>26</v>
      </c>
      <c r="C54" s="8">
        <v>42.214285714285715</v>
      </c>
    </row>
    <row r="55" spans="1:3" x14ac:dyDescent="0.3">
      <c r="A55" s="12">
        <v>8</v>
      </c>
      <c r="B55">
        <v>13</v>
      </c>
      <c r="C55" s="8">
        <v>39.25</v>
      </c>
    </row>
    <row r="56" spans="1:3" x14ac:dyDescent="0.3">
      <c r="A56" s="12">
        <v>19</v>
      </c>
      <c r="B56">
        <v>30</v>
      </c>
      <c r="C56" s="8">
        <v>30.263157894736842</v>
      </c>
    </row>
    <row r="57" spans="1:3" x14ac:dyDescent="0.3">
      <c r="A57" s="12">
        <v>2</v>
      </c>
      <c r="B57">
        <v>3</v>
      </c>
      <c r="C57" s="8">
        <v>38.5</v>
      </c>
    </row>
    <row r="58" spans="1:3" x14ac:dyDescent="0.3">
      <c r="A58" s="12">
        <v>28</v>
      </c>
      <c r="B58">
        <v>46</v>
      </c>
      <c r="C58" s="8">
        <v>28.75</v>
      </c>
    </row>
    <row r="59" spans="1:3" x14ac:dyDescent="0.3">
      <c r="A59" s="12">
        <v>6</v>
      </c>
      <c r="B59">
        <v>8</v>
      </c>
      <c r="C59" s="8">
        <v>34.5</v>
      </c>
    </row>
    <row r="60" spans="1:3" x14ac:dyDescent="0.3">
      <c r="A60" s="12">
        <v>16</v>
      </c>
      <c r="B60">
        <v>25</v>
      </c>
      <c r="C60" s="8">
        <v>43.3125</v>
      </c>
    </row>
    <row r="61" spans="1:3" x14ac:dyDescent="0.3">
      <c r="A61" s="12">
        <v>17</v>
      </c>
      <c r="B61">
        <v>30</v>
      </c>
      <c r="C61" s="8">
        <v>34.764705882352942</v>
      </c>
    </row>
    <row r="62" spans="1:3" x14ac:dyDescent="0.3">
      <c r="A62" s="12">
        <v>19</v>
      </c>
      <c r="B62">
        <v>32</v>
      </c>
      <c r="C62" s="8">
        <v>33.736842105263158</v>
      </c>
    </row>
    <row r="63" spans="1:3" x14ac:dyDescent="0.3">
      <c r="A63" s="12">
        <v>9</v>
      </c>
      <c r="B63">
        <v>16</v>
      </c>
      <c r="C63" s="8">
        <v>36.444444444444443</v>
      </c>
    </row>
    <row r="64" spans="1:3" x14ac:dyDescent="0.3">
      <c r="A64" s="12">
        <v>10</v>
      </c>
      <c r="B64">
        <v>19</v>
      </c>
      <c r="C64" s="8">
        <v>40.200000000000003</v>
      </c>
    </row>
    <row r="65" spans="1:3" x14ac:dyDescent="0.3">
      <c r="A65" s="12">
        <v>9</v>
      </c>
      <c r="B65">
        <v>15</v>
      </c>
      <c r="C65" s="8">
        <v>42.333333333333336</v>
      </c>
    </row>
    <row r="66" spans="1:3" x14ac:dyDescent="0.3">
      <c r="A66" s="12">
        <v>2</v>
      </c>
      <c r="B66">
        <v>2</v>
      </c>
      <c r="C66" s="8">
        <v>33.5</v>
      </c>
    </row>
    <row r="67" spans="1:3" x14ac:dyDescent="0.3">
      <c r="A67" s="12">
        <v>23</v>
      </c>
      <c r="B67">
        <v>44</v>
      </c>
      <c r="C67" s="8">
        <v>28.173913043478262</v>
      </c>
    </row>
    <row r="68" spans="1:3" x14ac:dyDescent="0.3">
      <c r="A68" s="12">
        <v>7</v>
      </c>
      <c r="B68">
        <v>15</v>
      </c>
      <c r="C68" s="8">
        <v>41.428571428571431</v>
      </c>
    </row>
    <row r="69" spans="1:3" x14ac:dyDescent="0.3">
      <c r="A69" s="12">
        <v>11</v>
      </c>
      <c r="B69">
        <v>16</v>
      </c>
      <c r="C69" s="8">
        <v>26.181818181818183</v>
      </c>
    </row>
    <row r="70" spans="1:3" x14ac:dyDescent="0.3">
      <c r="A70" s="12">
        <v>23</v>
      </c>
      <c r="B70">
        <v>41</v>
      </c>
      <c r="C70" s="8">
        <v>38.652173913043477</v>
      </c>
    </row>
    <row r="71" spans="1:3" x14ac:dyDescent="0.3">
      <c r="A71" s="12">
        <v>20</v>
      </c>
      <c r="B71">
        <v>30</v>
      </c>
      <c r="C71" s="8">
        <v>27</v>
      </c>
    </row>
    <row r="72" spans="1:3" x14ac:dyDescent="0.3">
      <c r="A72" s="12">
        <v>7</v>
      </c>
      <c r="B72">
        <v>11</v>
      </c>
      <c r="C72" s="8">
        <v>44.428571428571431</v>
      </c>
    </row>
    <row r="73" spans="1:3" x14ac:dyDescent="0.3">
      <c r="A73" s="12">
        <v>32</v>
      </c>
      <c r="B73">
        <v>65</v>
      </c>
      <c r="C73" s="8">
        <v>30</v>
      </c>
    </row>
    <row r="74" spans="1:3" x14ac:dyDescent="0.3">
      <c r="A74" s="12">
        <v>16</v>
      </c>
      <c r="B74">
        <v>25</v>
      </c>
      <c r="C74" s="8">
        <v>26.5625</v>
      </c>
    </row>
    <row r="75" spans="1:3" x14ac:dyDescent="0.3">
      <c r="A75" s="12">
        <v>25</v>
      </c>
      <c r="B75">
        <v>42</v>
      </c>
      <c r="C75" s="8">
        <v>39.92</v>
      </c>
    </row>
    <row r="76" spans="1:3" x14ac:dyDescent="0.3">
      <c r="A76" s="12">
        <v>18</v>
      </c>
      <c r="B76">
        <v>23</v>
      </c>
      <c r="C76" s="8">
        <v>26.5</v>
      </c>
    </row>
    <row r="77" spans="1:3" x14ac:dyDescent="0.3">
      <c r="A77" s="12">
        <v>3</v>
      </c>
      <c r="B77">
        <v>4</v>
      </c>
      <c r="C77" s="8">
        <v>42.333333333333336</v>
      </c>
    </row>
    <row r="78" spans="1:3" x14ac:dyDescent="0.3">
      <c r="A78" s="12">
        <v>3</v>
      </c>
      <c r="B78">
        <v>5</v>
      </c>
      <c r="C78" s="8">
        <v>34.666666666666664</v>
      </c>
    </row>
    <row r="79" spans="1:3" x14ac:dyDescent="0.3">
      <c r="A79" s="12">
        <v>1</v>
      </c>
      <c r="B79">
        <v>1</v>
      </c>
      <c r="C79" s="8">
        <v>43</v>
      </c>
    </row>
    <row r="80" spans="1:3" x14ac:dyDescent="0.3">
      <c r="A80" s="12">
        <v>16</v>
      </c>
      <c r="B80">
        <v>19</v>
      </c>
      <c r="C80" s="8">
        <v>43.625</v>
      </c>
    </row>
    <row r="81" spans="1:3" x14ac:dyDescent="0.3">
      <c r="A81" s="12">
        <v>10</v>
      </c>
      <c r="B81">
        <v>17</v>
      </c>
      <c r="C81" s="8">
        <v>29.2</v>
      </c>
    </row>
    <row r="82" spans="1:3" x14ac:dyDescent="0.3">
      <c r="A82" s="12">
        <v>16</v>
      </c>
      <c r="B82">
        <v>28</v>
      </c>
      <c r="C82" s="8">
        <v>39.0625</v>
      </c>
    </row>
    <row r="83" spans="1:3" x14ac:dyDescent="0.3">
      <c r="A83" s="12">
        <v>16</v>
      </c>
      <c r="B83">
        <v>25</v>
      </c>
      <c r="C83" s="8">
        <v>34.875</v>
      </c>
    </row>
    <row r="84" spans="1:3" x14ac:dyDescent="0.3">
      <c r="A84" s="12">
        <v>22</v>
      </c>
      <c r="B84">
        <v>39</v>
      </c>
      <c r="C84" s="8">
        <v>34.727272727272727</v>
      </c>
    </row>
    <row r="85" spans="1:3" x14ac:dyDescent="0.3">
      <c r="A85" s="12">
        <v>2</v>
      </c>
      <c r="B85">
        <v>2</v>
      </c>
      <c r="C85" s="8">
        <v>25</v>
      </c>
    </row>
    <row r="86" spans="1:3" x14ac:dyDescent="0.3">
      <c r="A86" s="12">
        <v>36</v>
      </c>
      <c r="B86">
        <v>86</v>
      </c>
      <c r="C86" s="8">
        <v>25.861111111111111</v>
      </c>
    </row>
    <row r="87" spans="1:3" x14ac:dyDescent="0.3">
      <c r="A87" s="12">
        <v>11</v>
      </c>
      <c r="B87">
        <v>24</v>
      </c>
      <c r="C87" s="8">
        <v>34.545454545454547</v>
      </c>
    </row>
    <row r="88" spans="1:3" x14ac:dyDescent="0.3">
      <c r="A88" s="12">
        <v>36</v>
      </c>
      <c r="B88">
        <v>57</v>
      </c>
      <c r="C88" s="8">
        <v>27.638888888888889</v>
      </c>
    </row>
    <row r="89" spans="1:3" x14ac:dyDescent="0.3">
      <c r="A89" s="12">
        <v>26</v>
      </c>
      <c r="B89">
        <v>43</v>
      </c>
      <c r="C89" s="8">
        <v>34.115384615384613</v>
      </c>
    </row>
    <row r="90" spans="1:3" x14ac:dyDescent="0.3">
      <c r="A90" s="12">
        <v>14</v>
      </c>
      <c r="B90">
        <v>29</v>
      </c>
      <c r="C90" s="8">
        <v>40.357142857142854</v>
      </c>
    </row>
    <row r="91" spans="1:3" x14ac:dyDescent="0.3">
      <c r="A91" s="12">
        <v>9</v>
      </c>
      <c r="B91">
        <v>18</v>
      </c>
      <c r="C91" s="8">
        <v>44</v>
      </c>
    </row>
    <row r="92" spans="1:3" x14ac:dyDescent="0.3">
      <c r="A92" s="12">
        <v>11</v>
      </c>
      <c r="B92">
        <v>17</v>
      </c>
      <c r="C92" s="8">
        <v>41.636363636363633</v>
      </c>
    </row>
    <row r="93" spans="1:3" x14ac:dyDescent="0.3">
      <c r="A93" s="12">
        <v>21</v>
      </c>
      <c r="B93">
        <v>34</v>
      </c>
      <c r="C93" s="8">
        <v>28.80952380952381</v>
      </c>
    </row>
    <row r="94" spans="1:3" x14ac:dyDescent="0.3">
      <c r="A94" s="12">
        <v>20</v>
      </c>
      <c r="B94">
        <v>34</v>
      </c>
      <c r="C94" s="8">
        <v>28.4</v>
      </c>
    </row>
    <row r="95" spans="1:3" x14ac:dyDescent="0.3">
      <c r="A95" s="12">
        <v>17</v>
      </c>
      <c r="B95">
        <v>28</v>
      </c>
      <c r="C95" s="8">
        <v>25.470588235294116</v>
      </c>
    </row>
    <row r="96" spans="1:3" x14ac:dyDescent="0.3">
      <c r="A96" s="12">
        <v>26</v>
      </c>
      <c r="B96">
        <v>51</v>
      </c>
      <c r="C96" s="8">
        <v>29.5</v>
      </c>
    </row>
    <row r="97" spans="1:3" x14ac:dyDescent="0.3">
      <c r="A97" s="12">
        <v>11</v>
      </c>
      <c r="B97">
        <v>22</v>
      </c>
      <c r="C97" s="8">
        <v>41.454545454545453</v>
      </c>
    </row>
    <row r="98" spans="1:3" x14ac:dyDescent="0.3">
      <c r="A98" s="12">
        <v>6</v>
      </c>
      <c r="B98">
        <v>11</v>
      </c>
      <c r="C98" s="8">
        <v>46.666666666666664</v>
      </c>
    </row>
    <row r="99" spans="1:3" x14ac:dyDescent="0.3">
      <c r="A99" s="12">
        <v>17</v>
      </c>
      <c r="B99">
        <v>27</v>
      </c>
      <c r="C99" s="8">
        <v>26</v>
      </c>
    </row>
    <row r="100" spans="1:3" x14ac:dyDescent="0.3">
      <c r="A100" s="12">
        <v>18</v>
      </c>
      <c r="B100">
        <v>27</v>
      </c>
      <c r="C100" s="8">
        <v>38.944444444444443</v>
      </c>
    </row>
    <row r="101" spans="1:3" x14ac:dyDescent="0.3">
      <c r="A101" s="12">
        <v>9</v>
      </c>
      <c r="B101">
        <v>12</v>
      </c>
      <c r="C101" s="8">
        <v>43.111111111111114</v>
      </c>
    </row>
    <row r="102" spans="1:3" x14ac:dyDescent="0.3">
      <c r="A102" s="12">
        <v>2</v>
      </c>
      <c r="B102">
        <v>3</v>
      </c>
      <c r="C102" s="8">
        <v>45.5</v>
      </c>
    </row>
    <row r="103" spans="1:3" x14ac:dyDescent="0.3">
      <c r="A103" s="12">
        <v>11</v>
      </c>
      <c r="B103">
        <v>24</v>
      </c>
      <c r="C103" s="8">
        <v>41.090909090909093</v>
      </c>
    </row>
    <row r="104" spans="1:3" x14ac:dyDescent="0.3">
      <c r="A104" s="12">
        <v>19</v>
      </c>
      <c r="B104">
        <v>31</v>
      </c>
      <c r="C104" s="8">
        <v>37.842105263157897</v>
      </c>
    </row>
    <row r="105" spans="1:3" x14ac:dyDescent="0.3">
      <c r="A105" s="12">
        <v>4</v>
      </c>
      <c r="B105">
        <v>5</v>
      </c>
      <c r="C105" s="8">
        <v>27.5</v>
      </c>
    </row>
    <row r="106" spans="1:3" x14ac:dyDescent="0.3">
      <c r="A106" s="12">
        <v>17</v>
      </c>
      <c r="B106">
        <v>27</v>
      </c>
      <c r="C106" s="8">
        <v>36.529411764705884</v>
      </c>
    </row>
    <row r="107" spans="1:3" x14ac:dyDescent="0.3">
      <c r="A107" s="12">
        <v>16</v>
      </c>
      <c r="B107">
        <v>32</v>
      </c>
      <c r="C107" s="8">
        <v>31.9375</v>
      </c>
    </row>
    <row r="108" spans="1:3" x14ac:dyDescent="0.3">
      <c r="A108" s="12">
        <v>17</v>
      </c>
      <c r="B108">
        <v>34</v>
      </c>
      <c r="C108" s="8">
        <v>25.705882352941178</v>
      </c>
    </row>
    <row r="109" spans="1:3" x14ac:dyDescent="0.3">
      <c r="A109" s="12">
        <v>10</v>
      </c>
      <c r="B109">
        <v>18</v>
      </c>
      <c r="C109" s="8">
        <v>32.4</v>
      </c>
    </row>
    <row r="110" spans="1:3" x14ac:dyDescent="0.3">
      <c r="A110" s="12">
        <v>10</v>
      </c>
      <c r="B110">
        <v>16</v>
      </c>
      <c r="C110" s="8">
        <v>34.4</v>
      </c>
    </row>
    <row r="111" spans="1:3" x14ac:dyDescent="0.3">
      <c r="A111" s="12">
        <v>20</v>
      </c>
      <c r="B111">
        <v>45</v>
      </c>
      <c r="C111" s="8">
        <v>35.6</v>
      </c>
    </row>
    <row r="112" spans="1:3" x14ac:dyDescent="0.3">
      <c r="A112" s="12">
        <v>35</v>
      </c>
      <c r="B112">
        <v>59</v>
      </c>
      <c r="C112" s="8">
        <v>26.171428571428571</v>
      </c>
    </row>
    <row r="113" spans="1:3" x14ac:dyDescent="0.3">
      <c r="A113" s="12">
        <v>18</v>
      </c>
      <c r="B113">
        <v>39</v>
      </c>
      <c r="C113" s="8">
        <v>42.055555555555557</v>
      </c>
    </row>
    <row r="114" spans="1:3" x14ac:dyDescent="0.3">
      <c r="A114" s="12">
        <v>23</v>
      </c>
      <c r="B114">
        <v>55</v>
      </c>
      <c r="C114" s="8">
        <v>27.478260869565219</v>
      </c>
    </row>
    <row r="115" spans="1:3" x14ac:dyDescent="0.3">
      <c r="A115" s="12">
        <v>18</v>
      </c>
      <c r="B115">
        <v>27</v>
      </c>
      <c r="C115" s="8">
        <v>45.833333333333336</v>
      </c>
    </row>
    <row r="116" spans="1:3" x14ac:dyDescent="0.3">
      <c r="A116" s="12">
        <v>30</v>
      </c>
      <c r="B116">
        <v>49</v>
      </c>
      <c r="C116" s="8">
        <v>27.333333333333332</v>
      </c>
    </row>
    <row r="117" spans="1:3" x14ac:dyDescent="0.3">
      <c r="A117" s="12">
        <v>17</v>
      </c>
      <c r="B117">
        <v>28</v>
      </c>
      <c r="C117" s="8">
        <v>26.529411764705884</v>
      </c>
    </row>
    <row r="118" spans="1:3" x14ac:dyDescent="0.3">
      <c r="A118" s="12">
        <v>3</v>
      </c>
      <c r="B118">
        <v>5</v>
      </c>
      <c r="C118" s="8">
        <v>46.666666666666664</v>
      </c>
    </row>
    <row r="119" spans="1:3" x14ac:dyDescent="0.3">
      <c r="A119" s="12">
        <v>26</v>
      </c>
      <c r="B119">
        <v>46</v>
      </c>
      <c r="C119" s="8">
        <v>27.884615384615383</v>
      </c>
    </row>
    <row r="120" spans="1:3" x14ac:dyDescent="0.3">
      <c r="A120" s="12">
        <v>22</v>
      </c>
      <c r="B120">
        <v>50</v>
      </c>
      <c r="C120" s="8">
        <v>43.272727272727273</v>
      </c>
    </row>
    <row r="121" spans="1:3" x14ac:dyDescent="0.3">
      <c r="A121" s="12">
        <v>27</v>
      </c>
      <c r="B121">
        <v>55</v>
      </c>
      <c r="C121" s="8">
        <v>24.62962962962963</v>
      </c>
    </row>
    <row r="122" spans="1:3" x14ac:dyDescent="0.3">
      <c r="A122" s="12">
        <v>3</v>
      </c>
      <c r="B122">
        <v>4</v>
      </c>
      <c r="C122" s="8">
        <v>23.666666666666668</v>
      </c>
    </row>
    <row r="123" spans="1:3" x14ac:dyDescent="0.3">
      <c r="A123" s="12">
        <v>19</v>
      </c>
      <c r="B123">
        <v>38</v>
      </c>
      <c r="C123" s="8">
        <v>36.05263157894737</v>
      </c>
    </row>
    <row r="124" spans="1:3" x14ac:dyDescent="0.3">
      <c r="A124" s="12">
        <v>13</v>
      </c>
      <c r="B124">
        <v>23</v>
      </c>
      <c r="C124" s="8">
        <v>35.615384615384613</v>
      </c>
    </row>
    <row r="125" spans="1:3" x14ac:dyDescent="0.3">
      <c r="A125" s="12">
        <v>9</v>
      </c>
      <c r="B125">
        <v>13</v>
      </c>
      <c r="C125" s="8">
        <v>43.777777777777779</v>
      </c>
    </row>
    <row r="126" spans="1:3" x14ac:dyDescent="0.3">
      <c r="A126" s="12">
        <v>7</v>
      </c>
      <c r="B126">
        <v>13</v>
      </c>
      <c r="C126" s="8">
        <v>46</v>
      </c>
    </row>
    <row r="127" spans="1:3" x14ac:dyDescent="0.3">
      <c r="A127" s="12">
        <v>3</v>
      </c>
      <c r="B127">
        <v>3</v>
      </c>
      <c r="C127" s="8">
        <v>38</v>
      </c>
    </row>
    <row r="128" spans="1:3" x14ac:dyDescent="0.3">
      <c r="A128" s="12">
        <v>17</v>
      </c>
      <c r="B128">
        <v>21</v>
      </c>
      <c r="C128" s="8">
        <v>38.529411764705884</v>
      </c>
    </row>
    <row r="129" spans="1:3" x14ac:dyDescent="0.3">
      <c r="A129" s="12">
        <v>13</v>
      </c>
      <c r="B129">
        <v>22</v>
      </c>
      <c r="C129" s="8">
        <v>42.307692307692307</v>
      </c>
    </row>
    <row r="130" spans="1:3" x14ac:dyDescent="0.3">
      <c r="A130" s="12">
        <v>22</v>
      </c>
      <c r="B130">
        <v>46</v>
      </c>
      <c r="C130" s="8">
        <v>29.363636363636363</v>
      </c>
    </row>
    <row r="131" spans="1:3" x14ac:dyDescent="0.3">
      <c r="A131" s="12">
        <v>13</v>
      </c>
      <c r="B131">
        <v>21</v>
      </c>
      <c r="C131" s="8">
        <v>26.53846153846154</v>
      </c>
    </row>
    <row r="132" spans="1:3" x14ac:dyDescent="0.3">
      <c r="A132" s="12">
        <v>31</v>
      </c>
      <c r="B132">
        <v>52</v>
      </c>
      <c r="C132" s="8">
        <v>31.258064516129032</v>
      </c>
    </row>
    <row r="133" spans="1:3" x14ac:dyDescent="0.3">
      <c r="A133" s="12">
        <v>21</v>
      </c>
      <c r="B133">
        <v>40</v>
      </c>
      <c r="C133" s="8">
        <v>30.428571428571427</v>
      </c>
    </row>
    <row r="134" spans="1:3" x14ac:dyDescent="0.3">
      <c r="A134" s="12">
        <v>15</v>
      </c>
      <c r="B134">
        <v>23</v>
      </c>
      <c r="C134" s="8">
        <v>33.666666666666664</v>
      </c>
    </row>
    <row r="135" spans="1:3" x14ac:dyDescent="0.3">
      <c r="A135" s="12">
        <v>6</v>
      </c>
      <c r="B135">
        <v>8</v>
      </c>
      <c r="C135" s="8">
        <v>30</v>
      </c>
    </row>
    <row r="136" spans="1:3" x14ac:dyDescent="0.3">
      <c r="A136" s="12">
        <v>8</v>
      </c>
      <c r="B136">
        <v>12</v>
      </c>
      <c r="C136" s="8">
        <v>27.125</v>
      </c>
    </row>
    <row r="137" spans="1:3" x14ac:dyDescent="0.3">
      <c r="A137" s="12">
        <v>30</v>
      </c>
      <c r="B137">
        <v>58</v>
      </c>
      <c r="C137" s="8">
        <v>30.866666666666667</v>
      </c>
    </row>
    <row r="138" spans="1:3" x14ac:dyDescent="0.3">
      <c r="A138" s="12">
        <v>20</v>
      </c>
      <c r="B138">
        <v>39</v>
      </c>
      <c r="C138" s="8">
        <v>40</v>
      </c>
    </row>
    <row r="139" spans="1:3" x14ac:dyDescent="0.3">
      <c r="A139" s="12">
        <v>1</v>
      </c>
      <c r="B139">
        <v>1</v>
      </c>
      <c r="C139" s="8">
        <v>33</v>
      </c>
    </row>
    <row r="140" spans="1:3" x14ac:dyDescent="0.3">
      <c r="A140" s="12">
        <v>3</v>
      </c>
      <c r="B140">
        <v>3</v>
      </c>
      <c r="C140" s="8">
        <v>31</v>
      </c>
    </row>
    <row r="141" spans="1:3" x14ac:dyDescent="0.3">
      <c r="A141" s="12">
        <v>14</v>
      </c>
      <c r="B141">
        <v>28</v>
      </c>
      <c r="C141" s="8">
        <v>42.714285714285715</v>
      </c>
    </row>
    <row r="142" spans="1:3" x14ac:dyDescent="0.3">
      <c r="A142" s="12">
        <v>30</v>
      </c>
      <c r="B142">
        <v>53</v>
      </c>
      <c r="C142" s="8">
        <v>32.200000000000003</v>
      </c>
    </row>
    <row r="143" spans="1:3" x14ac:dyDescent="0.3">
      <c r="A143" s="12">
        <v>23</v>
      </c>
      <c r="B143">
        <v>36</v>
      </c>
      <c r="C143" s="8">
        <v>39.652173913043477</v>
      </c>
    </row>
    <row r="144" spans="1:3" x14ac:dyDescent="0.3">
      <c r="A144" s="12">
        <v>11</v>
      </c>
      <c r="B144">
        <v>24</v>
      </c>
      <c r="C144" s="8">
        <v>24.636363636363637</v>
      </c>
    </row>
    <row r="145" spans="1:3" x14ac:dyDescent="0.3">
      <c r="A145" s="12">
        <v>21</v>
      </c>
      <c r="B145">
        <v>35</v>
      </c>
      <c r="C145" s="8">
        <v>44.571428571428569</v>
      </c>
    </row>
    <row r="146" spans="1:3" x14ac:dyDescent="0.3">
      <c r="A146" s="12">
        <v>27</v>
      </c>
      <c r="B146">
        <v>46</v>
      </c>
      <c r="C146" s="8">
        <v>28.74074074074074</v>
      </c>
    </row>
    <row r="147" spans="1:3" x14ac:dyDescent="0.3">
      <c r="A147" s="12">
        <v>7</v>
      </c>
      <c r="B147">
        <v>14</v>
      </c>
      <c r="C147" s="8">
        <v>43.285714285714285</v>
      </c>
    </row>
    <row r="148" spans="1:3" x14ac:dyDescent="0.3">
      <c r="A148" s="12">
        <v>4</v>
      </c>
      <c r="B148">
        <v>7</v>
      </c>
      <c r="C148" s="8">
        <v>46.25</v>
      </c>
    </row>
    <row r="149" spans="1:3" x14ac:dyDescent="0.3">
      <c r="A149" s="12">
        <v>22</v>
      </c>
      <c r="B149">
        <v>39</v>
      </c>
      <c r="C149" s="8">
        <v>39.31818181818182</v>
      </c>
    </row>
    <row r="150" spans="1:3" x14ac:dyDescent="0.3">
      <c r="A150" s="12">
        <v>27</v>
      </c>
      <c r="B150">
        <v>51</v>
      </c>
      <c r="C150" s="8">
        <v>34.592592592592595</v>
      </c>
    </row>
    <row r="151" spans="1:3" x14ac:dyDescent="0.3">
      <c r="A151" s="12">
        <v>11</v>
      </c>
      <c r="B151">
        <v>19</v>
      </c>
      <c r="C151" s="8">
        <v>33.363636363636367</v>
      </c>
    </row>
    <row r="152" spans="1:3" x14ac:dyDescent="0.3">
      <c r="A152" s="12">
        <v>6</v>
      </c>
      <c r="B152">
        <v>10</v>
      </c>
      <c r="C152" s="8">
        <v>43.666666666666664</v>
      </c>
    </row>
    <row r="153" spans="1:3" x14ac:dyDescent="0.3">
      <c r="A153" s="12">
        <v>13</v>
      </c>
      <c r="B153">
        <v>28</v>
      </c>
      <c r="C153" s="8">
        <v>41</v>
      </c>
    </row>
    <row r="154" spans="1:3" x14ac:dyDescent="0.3">
      <c r="A154" s="12">
        <v>9</v>
      </c>
      <c r="B154">
        <v>13</v>
      </c>
      <c r="C154" s="8">
        <v>31.222222222222221</v>
      </c>
    </row>
    <row r="155" spans="1:3" x14ac:dyDescent="0.3">
      <c r="A155" s="12">
        <v>5</v>
      </c>
      <c r="B155">
        <v>10</v>
      </c>
      <c r="C155" s="8">
        <v>40.4</v>
      </c>
    </row>
    <row r="156" spans="1:3" x14ac:dyDescent="0.3">
      <c r="A156" s="12">
        <v>30</v>
      </c>
      <c r="B156">
        <v>59</v>
      </c>
      <c r="C156" s="8">
        <v>27.266666666666666</v>
      </c>
    </row>
    <row r="157" spans="1:3" x14ac:dyDescent="0.3">
      <c r="A157" s="12">
        <v>20</v>
      </c>
      <c r="B157">
        <v>41</v>
      </c>
      <c r="C157" s="8">
        <v>29.5</v>
      </c>
    </row>
    <row r="158" spans="1:3" x14ac:dyDescent="0.3">
      <c r="A158" s="12">
        <v>8</v>
      </c>
      <c r="B158">
        <v>17</v>
      </c>
      <c r="C158" s="8">
        <v>39</v>
      </c>
    </row>
    <row r="159" spans="1:3" x14ac:dyDescent="0.3">
      <c r="A159" s="12">
        <v>10</v>
      </c>
      <c r="B159">
        <v>13</v>
      </c>
      <c r="C159" s="8">
        <v>44.6</v>
      </c>
    </row>
    <row r="160" spans="1:3" x14ac:dyDescent="0.3">
      <c r="A160" s="12">
        <v>10</v>
      </c>
      <c r="B160">
        <v>15</v>
      </c>
      <c r="C160" s="8">
        <v>39</v>
      </c>
    </row>
    <row r="161" spans="1:3" x14ac:dyDescent="0.3">
      <c r="A161" s="12">
        <v>13</v>
      </c>
      <c r="B161">
        <v>20</v>
      </c>
      <c r="C161" s="8">
        <v>28.307692307692307</v>
      </c>
    </row>
    <row r="162" spans="1:3" x14ac:dyDescent="0.3">
      <c r="A162" s="12">
        <v>4</v>
      </c>
      <c r="B162">
        <v>4</v>
      </c>
      <c r="C162" s="8">
        <v>36.5</v>
      </c>
    </row>
    <row r="163" spans="1:3" x14ac:dyDescent="0.3">
      <c r="A163" s="12">
        <v>12</v>
      </c>
      <c r="B163">
        <v>24</v>
      </c>
      <c r="C163" s="8">
        <v>28.166666666666668</v>
      </c>
    </row>
    <row r="164" spans="1:3" x14ac:dyDescent="0.3">
      <c r="A164" s="12">
        <v>6</v>
      </c>
      <c r="B164">
        <v>8</v>
      </c>
      <c r="C164" s="8">
        <v>41</v>
      </c>
    </row>
    <row r="165" spans="1:3" x14ac:dyDescent="0.3">
      <c r="A165" s="12">
        <v>6</v>
      </c>
      <c r="B165">
        <v>8</v>
      </c>
      <c r="C165" s="8">
        <v>34.833333333333336</v>
      </c>
    </row>
    <row r="166" spans="1:3" x14ac:dyDescent="0.3">
      <c r="A166" s="12">
        <v>11</v>
      </c>
      <c r="B166">
        <v>16</v>
      </c>
      <c r="C166" s="8">
        <v>33.454545454545453</v>
      </c>
    </row>
    <row r="167" spans="1:3" x14ac:dyDescent="0.3">
      <c r="A167" s="12">
        <v>25</v>
      </c>
      <c r="B167">
        <v>51</v>
      </c>
      <c r="C167" s="8">
        <v>30.92</v>
      </c>
    </row>
    <row r="168" spans="1:3" x14ac:dyDescent="0.3">
      <c r="A168" s="12">
        <v>12</v>
      </c>
      <c r="B168">
        <v>15</v>
      </c>
      <c r="C168" s="8">
        <v>45.75</v>
      </c>
    </row>
    <row r="169" spans="1:3" x14ac:dyDescent="0.3">
      <c r="A169" s="12">
        <v>21</v>
      </c>
      <c r="B169">
        <v>47</v>
      </c>
      <c r="C169" s="8">
        <v>36.761904761904759</v>
      </c>
    </row>
    <row r="170" spans="1:3" x14ac:dyDescent="0.3">
      <c r="A170" s="12">
        <v>10</v>
      </c>
      <c r="B170">
        <v>18</v>
      </c>
      <c r="C170" s="8">
        <v>28.1</v>
      </c>
    </row>
    <row r="171" spans="1:3" x14ac:dyDescent="0.3">
      <c r="A171" s="12">
        <v>7</v>
      </c>
      <c r="B171">
        <v>12</v>
      </c>
      <c r="C171" s="8">
        <v>39.142857142857146</v>
      </c>
    </row>
    <row r="172" spans="1:3" x14ac:dyDescent="0.3">
      <c r="A172" s="12">
        <v>4</v>
      </c>
      <c r="B172">
        <v>6</v>
      </c>
      <c r="C172" s="8">
        <v>36.75</v>
      </c>
    </row>
    <row r="173" spans="1:3" x14ac:dyDescent="0.3">
      <c r="A173" s="12">
        <v>8</v>
      </c>
      <c r="B173">
        <v>17</v>
      </c>
      <c r="C173" s="8">
        <v>41.125</v>
      </c>
    </row>
    <row r="174" spans="1:3" x14ac:dyDescent="0.3">
      <c r="A174" s="12">
        <v>18</v>
      </c>
      <c r="B174">
        <v>27</v>
      </c>
      <c r="C174" s="8">
        <v>39.944444444444443</v>
      </c>
    </row>
    <row r="175" spans="1:3" x14ac:dyDescent="0.3">
      <c r="A175" s="12">
        <v>3</v>
      </c>
      <c r="B175">
        <v>5</v>
      </c>
      <c r="C175" s="8">
        <v>37</v>
      </c>
    </row>
    <row r="176" spans="1:3" x14ac:dyDescent="0.3">
      <c r="A176" s="12">
        <v>15</v>
      </c>
      <c r="B176">
        <v>28</v>
      </c>
      <c r="C176" s="8">
        <v>35.733333333333334</v>
      </c>
    </row>
    <row r="177" spans="1:3" x14ac:dyDescent="0.3">
      <c r="A177" s="12">
        <v>28</v>
      </c>
      <c r="B177">
        <v>52</v>
      </c>
      <c r="C177" s="8">
        <v>29.071428571428573</v>
      </c>
    </row>
    <row r="178" spans="1:3" x14ac:dyDescent="0.3">
      <c r="A178" s="12">
        <v>15</v>
      </c>
      <c r="B178">
        <v>33</v>
      </c>
      <c r="C178" s="8">
        <v>35.133333333333333</v>
      </c>
    </row>
    <row r="179" spans="1:3" x14ac:dyDescent="0.3">
      <c r="A179" s="12">
        <v>12</v>
      </c>
      <c r="B179">
        <v>19</v>
      </c>
      <c r="C179" s="8">
        <v>24</v>
      </c>
    </row>
    <row r="180" spans="1:3" x14ac:dyDescent="0.3">
      <c r="A180" s="12">
        <v>5</v>
      </c>
      <c r="B180">
        <v>8</v>
      </c>
      <c r="C180" s="8">
        <v>41.2</v>
      </c>
    </row>
    <row r="181" spans="1:3" x14ac:dyDescent="0.3">
      <c r="A181" s="12">
        <v>15</v>
      </c>
      <c r="B181">
        <v>25</v>
      </c>
      <c r="C181" s="8">
        <v>43.8</v>
      </c>
    </row>
    <row r="182" spans="1:3" x14ac:dyDescent="0.3">
      <c r="A182" s="12">
        <v>25</v>
      </c>
      <c r="B182">
        <v>45</v>
      </c>
      <c r="C182" s="8">
        <v>36.72</v>
      </c>
    </row>
    <row r="183" spans="1:3" x14ac:dyDescent="0.3">
      <c r="A183" s="12">
        <v>37</v>
      </c>
      <c r="B183">
        <v>76</v>
      </c>
      <c r="C183" s="8">
        <v>27.027027027027028</v>
      </c>
    </row>
    <row r="184" spans="1:3" x14ac:dyDescent="0.3">
      <c r="A184" s="12">
        <v>21</v>
      </c>
      <c r="B184">
        <v>44</v>
      </c>
      <c r="C184" s="8">
        <v>42.476190476190474</v>
      </c>
    </row>
    <row r="185" spans="1:3" x14ac:dyDescent="0.3">
      <c r="A185" s="12">
        <v>24</v>
      </c>
      <c r="B185">
        <v>48</v>
      </c>
      <c r="C185" s="8">
        <v>35</v>
      </c>
    </row>
    <row r="186" spans="1:3" x14ac:dyDescent="0.3">
      <c r="A186" s="12">
        <v>6</v>
      </c>
      <c r="B186">
        <v>9</v>
      </c>
      <c r="C186" s="8">
        <v>33</v>
      </c>
    </row>
    <row r="187" spans="1:3" x14ac:dyDescent="0.3">
      <c r="A187" s="12">
        <v>19</v>
      </c>
      <c r="B187">
        <v>39</v>
      </c>
      <c r="C187" s="8">
        <v>36.789473684210527</v>
      </c>
    </row>
    <row r="188" spans="1:3" x14ac:dyDescent="0.3">
      <c r="A188" s="12">
        <v>23</v>
      </c>
      <c r="B188">
        <v>37</v>
      </c>
      <c r="C188" s="8">
        <v>28.217391304347824</v>
      </c>
    </row>
    <row r="189" spans="1:3" x14ac:dyDescent="0.3">
      <c r="A189" s="12">
        <v>1</v>
      </c>
      <c r="B189">
        <v>1</v>
      </c>
      <c r="C189" s="8">
        <v>38</v>
      </c>
    </row>
    <row r="190" spans="1:3" x14ac:dyDescent="0.3">
      <c r="A190" s="12">
        <v>20</v>
      </c>
      <c r="B190">
        <v>41</v>
      </c>
      <c r="C190" s="8">
        <v>42.05</v>
      </c>
    </row>
    <row r="191" spans="1:3" x14ac:dyDescent="0.3">
      <c r="A191" s="12">
        <v>37</v>
      </c>
      <c r="B191">
        <v>74</v>
      </c>
      <c r="C191" s="8">
        <v>25.72972972972973</v>
      </c>
    </row>
    <row r="192" spans="1:3" x14ac:dyDescent="0.3">
      <c r="A192" s="12">
        <v>14</v>
      </c>
      <c r="B192">
        <v>25</v>
      </c>
      <c r="C192" s="8">
        <v>44.142857142857146</v>
      </c>
    </row>
    <row r="193" spans="1:3" x14ac:dyDescent="0.3">
      <c r="A193" s="12">
        <v>11</v>
      </c>
      <c r="B193">
        <v>15</v>
      </c>
      <c r="C193" s="8">
        <v>31.363636363636363</v>
      </c>
    </row>
    <row r="194" spans="1:3" x14ac:dyDescent="0.3">
      <c r="A194" s="12">
        <v>19</v>
      </c>
      <c r="B194">
        <v>35</v>
      </c>
      <c r="C194" s="8">
        <v>25.684210526315791</v>
      </c>
    </row>
    <row r="195" spans="1:3" x14ac:dyDescent="0.3">
      <c r="A195" s="12">
        <v>1</v>
      </c>
      <c r="B195">
        <v>1</v>
      </c>
      <c r="C195" s="8">
        <v>49</v>
      </c>
    </row>
    <row r="196" spans="1:3" x14ac:dyDescent="0.3">
      <c r="A196" s="12">
        <v>16</v>
      </c>
      <c r="B196">
        <v>24</v>
      </c>
      <c r="C196" s="8">
        <v>27.1875</v>
      </c>
    </row>
    <row r="197" spans="1:3" x14ac:dyDescent="0.3">
      <c r="A197" s="12">
        <v>2</v>
      </c>
      <c r="B197">
        <v>4</v>
      </c>
      <c r="C197" s="8">
        <v>31.5</v>
      </c>
    </row>
    <row r="198" spans="1:3" x14ac:dyDescent="0.3">
      <c r="A198" s="12">
        <v>13</v>
      </c>
      <c r="B198">
        <v>27</v>
      </c>
      <c r="C198" s="8">
        <v>41.307692307692307</v>
      </c>
    </row>
    <row r="199" spans="1:3" x14ac:dyDescent="0.3">
      <c r="A199" s="12">
        <v>29</v>
      </c>
      <c r="B199">
        <v>47</v>
      </c>
      <c r="C199" s="8">
        <v>32.862068965517238</v>
      </c>
    </row>
    <row r="200" spans="1:3" x14ac:dyDescent="0.3">
      <c r="A200" s="12">
        <v>21</v>
      </c>
      <c r="B200">
        <v>47</v>
      </c>
      <c r="C200" s="8">
        <v>32.333333333333336</v>
      </c>
    </row>
    <row r="201" spans="1:3" x14ac:dyDescent="0.3">
      <c r="A201" s="12">
        <v>4</v>
      </c>
      <c r="B201">
        <v>7</v>
      </c>
      <c r="C201" s="8">
        <v>35</v>
      </c>
    </row>
    <row r="202" spans="1:3" x14ac:dyDescent="0.3">
      <c r="A202" s="12">
        <v>1</v>
      </c>
      <c r="B202">
        <v>2</v>
      </c>
      <c r="C202" s="8">
        <v>23</v>
      </c>
    </row>
    <row r="203" spans="1:3" x14ac:dyDescent="0.3">
      <c r="A203" s="12">
        <v>18</v>
      </c>
      <c r="B203">
        <v>35</v>
      </c>
      <c r="C203" s="8">
        <v>43.222222222222221</v>
      </c>
    </row>
    <row r="204" spans="1:3" x14ac:dyDescent="0.3">
      <c r="A204" s="12">
        <v>17</v>
      </c>
      <c r="B204">
        <v>28</v>
      </c>
      <c r="C204" s="8">
        <v>40.294117647058826</v>
      </c>
    </row>
    <row r="205" spans="1:3" x14ac:dyDescent="0.3">
      <c r="A205" s="12">
        <v>4</v>
      </c>
      <c r="B205">
        <v>5</v>
      </c>
      <c r="C205" s="8">
        <v>36.75</v>
      </c>
    </row>
    <row r="206" spans="1:3" x14ac:dyDescent="0.3">
      <c r="A206" s="12">
        <v>16</v>
      </c>
      <c r="B206">
        <v>29</v>
      </c>
      <c r="C206" s="8">
        <v>36.25</v>
      </c>
    </row>
    <row r="207" spans="1:3" x14ac:dyDescent="0.3">
      <c r="A207" s="12">
        <v>17</v>
      </c>
      <c r="B207">
        <v>24</v>
      </c>
      <c r="C207" s="8">
        <v>37.352941176470587</v>
      </c>
    </row>
    <row r="208" spans="1:3" x14ac:dyDescent="0.3">
      <c r="A208" s="12">
        <v>20</v>
      </c>
      <c r="B208">
        <v>47</v>
      </c>
      <c r="C208" s="8">
        <v>41.75</v>
      </c>
    </row>
    <row r="209" spans="1:3" x14ac:dyDescent="0.3">
      <c r="A209" s="12">
        <v>2</v>
      </c>
      <c r="B209">
        <v>2</v>
      </c>
      <c r="C209" s="8">
        <v>28</v>
      </c>
    </row>
    <row r="210" spans="1:3" x14ac:dyDescent="0.3">
      <c r="A210" s="12">
        <v>5</v>
      </c>
      <c r="B210">
        <v>6</v>
      </c>
      <c r="C210" s="8">
        <v>42.8</v>
      </c>
    </row>
    <row r="211" spans="1:3" x14ac:dyDescent="0.3">
      <c r="A211" s="12">
        <v>20</v>
      </c>
      <c r="B211">
        <v>41</v>
      </c>
      <c r="C211" s="8">
        <v>33.65</v>
      </c>
    </row>
    <row r="212" spans="1:3" x14ac:dyDescent="0.3">
      <c r="A212" s="12">
        <v>29</v>
      </c>
      <c r="B212">
        <v>48</v>
      </c>
      <c r="C212" s="8">
        <v>34.482758620689658</v>
      </c>
    </row>
    <row r="213" spans="1:3" x14ac:dyDescent="0.3">
      <c r="A213" s="12">
        <v>5</v>
      </c>
      <c r="B213">
        <v>10</v>
      </c>
      <c r="C213" s="8">
        <v>36.6</v>
      </c>
    </row>
    <row r="214" spans="1:3" x14ac:dyDescent="0.3">
      <c r="A214" s="12">
        <v>7</v>
      </c>
      <c r="B214">
        <v>11</v>
      </c>
      <c r="C214" s="8">
        <v>36.142857142857146</v>
      </c>
    </row>
    <row r="215" spans="1:3" x14ac:dyDescent="0.3">
      <c r="A215" s="12">
        <v>33</v>
      </c>
      <c r="B215">
        <v>68</v>
      </c>
      <c r="C215" s="8">
        <v>29</v>
      </c>
    </row>
    <row r="216" spans="1:3" x14ac:dyDescent="0.3">
      <c r="A216" s="12">
        <v>12</v>
      </c>
      <c r="B216">
        <v>16</v>
      </c>
      <c r="C216" s="8">
        <v>27.5</v>
      </c>
    </row>
    <row r="217" spans="1:3" x14ac:dyDescent="0.3">
      <c r="A217" s="12">
        <v>7</v>
      </c>
      <c r="B217">
        <v>15</v>
      </c>
      <c r="C217" s="8">
        <v>32</v>
      </c>
    </row>
    <row r="218" spans="1:3" x14ac:dyDescent="0.3">
      <c r="A218" s="12">
        <v>24</v>
      </c>
      <c r="B218">
        <v>51</v>
      </c>
      <c r="C218" s="8">
        <v>30.916666666666668</v>
      </c>
    </row>
    <row r="219" spans="1:3" x14ac:dyDescent="0.3">
      <c r="A219" s="12">
        <v>27</v>
      </c>
      <c r="B219">
        <v>56</v>
      </c>
      <c r="C219" s="8">
        <v>26.222222222222221</v>
      </c>
    </row>
    <row r="220" spans="1:3" x14ac:dyDescent="0.3">
      <c r="A220" s="12">
        <v>10</v>
      </c>
      <c r="B220">
        <v>15</v>
      </c>
      <c r="C220" s="8">
        <v>25.3</v>
      </c>
    </row>
    <row r="221" spans="1:3" x14ac:dyDescent="0.3">
      <c r="A221" s="12">
        <v>16</v>
      </c>
      <c r="B221">
        <v>35</v>
      </c>
      <c r="C221" s="8">
        <v>34.25</v>
      </c>
    </row>
    <row r="222" spans="1:3" x14ac:dyDescent="0.3">
      <c r="A222" s="12">
        <v>15</v>
      </c>
      <c r="B222">
        <v>20</v>
      </c>
      <c r="C222" s="8">
        <v>27.466666666666665</v>
      </c>
    </row>
    <row r="223" spans="1:3" x14ac:dyDescent="0.3">
      <c r="A223" s="12">
        <v>20</v>
      </c>
      <c r="B223">
        <v>35</v>
      </c>
      <c r="C223" s="8">
        <v>40.4</v>
      </c>
    </row>
    <row r="224" spans="1:3" x14ac:dyDescent="0.3">
      <c r="A224" s="12">
        <v>9</v>
      </c>
      <c r="B224">
        <v>15</v>
      </c>
      <c r="C224" s="8">
        <v>36.888888888888886</v>
      </c>
    </row>
    <row r="225" spans="1:3" x14ac:dyDescent="0.3">
      <c r="A225" s="12">
        <v>10</v>
      </c>
      <c r="B225">
        <v>13</v>
      </c>
      <c r="C225" s="8">
        <v>42.1</v>
      </c>
    </row>
    <row r="226" spans="1:3" x14ac:dyDescent="0.3">
      <c r="A226" s="12">
        <v>17</v>
      </c>
      <c r="B226">
        <v>34</v>
      </c>
      <c r="C226" s="8">
        <v>27.529411764705884</v>
      </c>
    </row>
    <row r="227" spans="1:3" x14ac:dyDescent="0.3">
      <c r="A227" s="12">
        <v>14</v>
      </c>
      <c r="B227">
        <v>21</v>
      </c>
      <c r="C227" s="8">
        <v>39</v>
      </c>
    </row>
    <row r="228" spans="1:3" x14ac:dyDescent="0.3">
      <c r="A228" s="12">
        <v>13</v>
      </c>
      <c r="B228">
        <v>25</v>
      </c>
      <c r="C228" s="8">
        <v>40.615384615384613</v>
      </c>
    </row>
    <row r="229" spans="1:3" x14ac:dyDescent="0.3">
      <c r="A229" s="12">
        <v>30</v>
      </c>
      <c r="B229">
        <v>52</v>
      </c>
      <c r="C229" s="8">
        <v>32.033333333333331</v>
      </c>
    </row>
    <row r="230" spans="1:3" x14ac:dyDescent="0.3">
      <c r="A230" s="12">
        <v>13</v>
      </c>
      <c r="B230">
        <v>28</v>
      </c>
      <c r="C230" s="8">
        <v>39.692307692307693</v>
      </c>
    </row>
    <row r="231" spans="1:3" x14ac:dyDescent="0.3">
      <c r="A231" s="12">
        <v>29</v>
      </c>
      <c r="B231">
        <v>59</v>
      </c>
      <c r="C231" s="8">
        <v>31.793103448275861</v>
      </c>
    </row>
    <row r="232" spans="1:3" x14ac:dyDescent="0.3">
      <c r="A232" s="12">
        <v>5</v>
      </c>
      <c r="B232">
        <v>9</v>
      </c>
      <c r="C232" s="8">
        <v>34.6</v>
      </c>
    </row>
    <row r="233" spans="1:3" x14ac:dyDescent="0.3">
      <c r="A233" s="12">
        <v>6</v>
      </c>
      <c r="B233">
        <v>10</v>
      </c>
      <c r="C233" s="8">
        <v>41.833333333333336</v>
      </c>
    </row>
    <row r="234" spans="1:3" x14ac:dyDescent="0.3">
      <c r="A234" s="12">
        <v>24</v>
      </c>
      <c r="B234">
        <v>51</v>
      </c>
      <c r="C234" s="8">
        <v>41.541666666666664</v>
      </c>
    </row>
    <row r="235" spans="1:3" x14ac:dyDescent="0.3">
      <c r="A235" s="12">
        <v>2</v>
      </c>
      <c r="B235">
        <v>3</v>
      </c>
      <c r="C235" s="8">
        <v>35</v>
      </c>
    </row>
    <row r="236" spans="1:3" x14ac:dyDescent="0.3">
      <c r="A236" s="12">
        <v>27</v>
      </c>
      <c r="B236">
        <v>63</v>
      </c>
      <c r="C236" s="8">
        <v>34.555555555555557</v>
      </c>
    </row>
    <row r="237" spans="1:3" x14ac:dyDescent="0.3">
      <c r="A237" s="12">
        <v>32</v>
      </c>
      <c r="B237">
        <v>72</v>
      </c>
      <c r="C237" s="8">
        <v>26.875</v>
      </c>
    </row>
    <row r="238" spans="1:3" x14ac:dyDescent="0.3">
      <c r="A238" s="12">
        <v>10</v>
      </c>
      <c r="B238">
        <v>21</v>
      </c>
      <c r="C238" s="8">
        <v>33.299999999999997</v>
      </c>
    </row>
    <row r="239" spans="1:3" x14ac:dyDescent="0.3">
      <c r="A239" s="12">
        <v>28</v>
      </c>
      <c r="B239">
        <v>51</v>
      </c>
      <c r="C239" s="8">
        <v>30.857142857142858</v>
      </c>
    </row>
    <row r="240" spans="1:3" x14ac:dyDescent="0.3">
      <c r="A240" s="12">
        <v>17</v>
      </c>
      <c r="B240">
        <v>36</v>
      </c>
      <c r="C240" s="8">
        <v>41.470588235294116</v>
      </c>
    </row>
    <row r="241" spans="1:3" x14ac:dyDescent="0.3">
      <c r="A241" s="12">
        <v>11</v>
      </c>
      <c r="B241">
        <v>22</v>
      </c>
      <c r="C241" s="8">
        <v>31.454545454545453</v>
      </c>
    </row>
    <row r="242" spans="1:3" x14ac:dyDescent="0.3">
      <c r="A242" s="12">
        <v>16</v>
      </c>
      <c r="B242">
        <v>25</v>
      </c>
      <c r="C242" s="8">
        <v>35.5</v>
      </c>
    </row>
    <row r="243" spans="1:3" x14ac:dyDescent="0.3">
      <c r="A243" s="12">
        <v>10</v>
      </c>
      <c r="B243">
        <v>19</v>
      </c>
      <c r="C243" s="8">
        <v>33.700000000000003</v>
      </c>
    </row>
    <row r="244" spans="1:3" x14ac:dyDescent="0.3">
      <c r="A244" s="12">
        <v>15</v>
      </c>
      <c r="B244">
        <v>19</v>
      </c>
      <c r="C244" s="8">
        <v>41.733333333333334</v>
      </c>
    </row>
    <row r="245" spans="1:3" x14ac:dyDescent="0.3">
      <c r="A245" s="12">
        <v>8</v>
      </c>
      <c r="B245">
        <v>17</v>
      </c>
      <c r="C245" s="8">
        <v>29.375</v>
      </c>
    </row>
    <row r="246" spans="1:3" x14ac:dyDescent="0.3">
      <c r="A246" s="12">
        <v>5</v>
      </c>
      <c r="B246">
        <v>9</v>
      </c>
      <c r="C246" s="8">
        <v>24.2</v>
      </c>
    </row>
    <row r="247" spans="1:3" x14ac:dyDescent="0.3">
      <c r="A247" s="12">
        <v>13</v>
      </c>
      <c r="B247">
        <v>25</v>
      </c>
      <c r="C247" s="8">
        <v>31.846153846153847</v>
      </c>
    </row>
    <row r="248" spans="1:3" x14ac:dyDescent="0.3">
      <c r="A248" s="12">
        <v>16</v>
      </c>
      <c r="B248">
        <v>23</v>
      </c>
      <c r="C248" s="8">
        <v>45.8125</v>
      </c>
    </row>
    <row r="249" spans="1:3" x14ac:dyDescent="0.3">
      <c r="A249" s="12">
        <v>21</v>
      </c>
      <c r="B249">
        <v>49</v>
      </c>
      <c r="C249" s="8">
        <v>36.80952380952381</v>
      </c>
    </row>
    <row r="250" spans="1:3" x14ac:dyDescent="0.3">
      <c r="A250" s="12">
        <v>15</v>
      </c>
      <c r="B250">
        <v>22</v>
      </c>
      <c r="C250" s="8">
        <v>27.4</v>
      </c>
    </row>
    <row r="251" spans="1:3" x14ac:dyDescent="0.3">
      <c r="A251" s="12">
        <v>15</v>
      </c>
      <c r="B251">
        <v>27</v>
      </c>
      <c r="C251" s="8">
        <v>38.733333333333334</v>
      </c>
    </row>
    <row r="252" spans="1:3" x14ac:dyDescent="0.3">
      <c r="A252" s="12">
        <v>5</v>
      </c>
      <c r="B252">
        <v>7</v>
      </c>
      <c r="C252" s="8">
        <v>46.2</v>
      </c>
    </row>
    <row r="253" spans="1:3" x14ac:dyDescent="0.3">
      <c r="A253" s="12">
        <v>25</v>
      </c>
      <c r="B253">
        <v>47</v>
      </c>
      <c r="C253" s="8">
        <v>38.72</v>
      </c>
    </row>
    <row r="254" spans="1:3" x14ac:dyDescent="0.3">
      <c r="A254" s="12">
        <v>1</v>
      </c>
      <c r="B254">
        <v>1</v>
      </c>
      <c r="C254" s="8">
        <v>44</v>
      </c>
    </row>
    <row r="255" spans="1:3" x14ac:dyDescent="0.3">
      <c r="A255" s="12">
        <v>7</v>
      </c>
      <c r="B255">
        <v>9</v>
      </c>
      <c r="C255" s="8">
        <v>44.857142857142854</v>
      </c>
    </row>
    <row r="256" spans="1:3" x14ac:dyDescent="0.3">
      <c r="A256" s="12">
        <v>24</v>
      </c>
      <c r="B256">
        <v>47</v>
      </c>
      <c r="C256" s="8">
        <v>38.666666666666664</v>
      </c>
    </row>
    <row r="257" spans="1:3" x14ac:dyDescent="0.3">
      <c r="A257" s="12">
        <v>9</v>
      </c>
      <c r="B257">
        <v>14</v>
      </c>
      <c r="C257" s="8">
        <v>35.555555555555557</v>
      </c>
    </row>
    <row r="258" spans="1:3" x14ac:dyDescent="0.3">
      <c r="A258" s="12">
        <v>21</v>
      </c>
      <c r="B258">
        <v>34</v>
      </c>
      <c r="C258" s="8">
        <v>40.333333333333336</v>
      </c>
    </row>
    <row r="259" spans="1:3" x14ac:dyDescent="0.3">
      <c r="A259" s="12">
        <v>24</v>
      </c>
      <c r="B259">
        <v>57</v>
      </c>
      <c r="C259" s="8">
        <v>25.416666666666668</v>
      </c>
    </row>
    <row r="260" spans="1:3" x14ac:dyDescent="0.3">
      <c r="A260" s="12">
        <v>20</v>
      </c>
      <c r="B260">
        <v>39</v>
      </c>
      <c r="C260" s="8">
        <v>25.4</v>
      </c>
    </row>
    <row r="261" spans="1:3" x14ac:dyDescent="0.3">
      <c r="A261" s="12">
        <v>11</v>
      </c>
      <c r="B261">
        <v>24</v>
      </c>
      <c r="C261" s="8">
        <v>36.363636363636367</v>
      </c>
    </row>
    <row r="262" spans="1:3" x14ac:dyDescent="0.3">
      <c r="A262" s="12">
        <v>1</v>
      </c>
      <c r="B262">
        <v>2</v>
      </c>
      <c r="C262" s="8">
        <v>66</v>
      </c>
    </row>
    <row r="263" spans="1:3" x14ac:dyDescent="0.3">
      <c r="A263" s="12">
        <v>11</v>
      </c>
      <c r="B263">
        <v>19</v>
      </c>
      <c r="C263" s="8">
        <v>36.454545454545453</v>
      </c>
    </row>
    <row r="264" spans="1:3" x14ac:dyDescent="0.3">
      <c r="A264" s="12">
        <v>6</v>
      </c>
      <c r="B264">
        <v>9</v>
      </c>
      <c r="C264" s="8">
        <v>42.5</v>
      </c>
    </row>
    <row r="265" spans="1:3" x14ac:dyDescent="0.3">
      <c r="A265" s="12">
        <v>2</v>
      </c>
      <c r="B265">
        <v>3</v>
      </c>
      <c r="C265" s="8">
        <v>40.5</v>
      </c>
    </row>
    <row r="266" spans="1:3" x14ac:dyDescent="0.3">
      <c r="A266" s="12">
        <v>18</v>
      </c>
      <c r="B266">
        <v>22</v>
      </c>
      <c r="C266" s="8">
        <v>43.611111111111114</v>
      </c>
    </row>
    <row r="267" spans="1:3" x14ac:dyDescent="0.3">
      <c r="A267" s="12">
        <v>2</v>
      </c>
      <c r="B267">
        <v>3</v>
      </c>
      <c r="C267" s="8">
        <v>31.5</v>
      </c>
    </row>
    <row r="268" spans="1:3" x14ac:dyDescent="0.3">
      <c r="A268" s="12">
        <v>19</v>
      </c>
      <c r="B268">
        <v>37</v>
      </c>
      <c r="C268" s="8">
        <v>32.94736842105263</v>
      </c>
    </row>
    <row r="269" spans="1:3" x14ac:dyDescent="0.3">
      <c r="A269" s="12">
        <v>12</v>
      </c>
      <c r="B269">
        <v>24</v>
      </c>
      <c r="C269" s="8">
        <v>28.75</v>
      </c>
    </row>
    <row r="270" spans="1:3" x14ac:dyDescent="0.3">
      <c r="A270" s="12">
        <v>1</v>
      </c>
      <c r="B270">
        <v>2</v>
      </c>
      <c r="C270" s="8">
        <v>29</v>
      </c>
    </row>
    <row r="271" spans="1:3" x14ac:dyDescent="0.3">
      <c r="A271" s="12">
        <v>9</v>
      </c>
      <c r="B271">
        <v>16</v>
      </c>
      <c r="C271" s="8">
        <v>29.666666666666668</v>
      </c>
    </row>
    <row r="272" spans="1:3" x14ac:dyDescent="0.3">
      <c r="A272" s="12">
        <v>11</v>
      </c>
      <c r="B272">
        <v>20</v>
      </c>
      <c r="C272" s="8">
        <v>28.181818181818183</v>
      </c>
    </row>
    <row r="273" spans="1:3" x14ac:dyDescent="0.3">
      <c r="A273" s="12">
        <v>29</v>
      </c>
      <c r="B273">
        <v>66</v>
      </c>
      <c r="C273" s="8">
        <v>26.03448275862069</v>
      </c>
    </row>
    <row r="274" spans="1:3" x14ac:dyDescent="0.3">
      <c r="A274" s="12">
        <v>19</v>
      </c>
      <c r="B274">
        <v>27</v>
      </c>
      <c r="C274" s="8">
        <v>41.421052631578945</v>
      </c>
    </row>
    <row r="275" spans="1:3" x14ac:dyDescent="0.3">
      <c r="A275" s="12">
        <v>19</v>
      </c>
      <c r="B275">
        <v>38</v>
      </c>
      <c r="C275" s="8">
        <v>36.157894736842103</v>
      </c>
    </row>
    <row r="276" spans="1:3" x14ac:dyDescent="0.3">
      <c r="A276" s="12">
        <v>22</v>
      </c>
      <c r="B276">
        <v>48</v>
      </c>
      <c r="C276" s="8">
        <v>30.636363636363637</v>
      </c>
    </row>
    <row r="277" spans="1:3" x14ac:dyDescent="0.3">
      <c r="A277" s="12">
        <v>8</v>
      </c>
      <c r="B277">
        <v>12</v>
      </c>
      <c r="C277" s="8">
        <v>42.625</v>
      </c>
    </row>
    <row r="278" spans="1:3" x14ac:dyDescent="0.3">
      <c r="A278" s="12">
        <v>18</v>
      </c>
      <c r="B278">
        <v>26</v>
      </c>
      <c r="C278" s="8">
        <v>26.166666666666668</v>
      </c>
    </row>
    <row r="279" spans="1:3" x14ac:dyDescent="0.3">
      <c r="A279" s="12">
        <v>17</v>
      </c>
      <c r="B279">
        <v>27</v>
      </c>
      <c r="C279" s="8">
        <v>27.352941176470587</v>
      </c>
    </row>
    <row r="280" spans="1:3" x14ac:dyDescent="0.3">
      <c r="A280" s="12">
        <v>16</v>
      </c>
      <c r="B280">
        <v>25</v>
      </c>
      <c r="C280" s="8">
        <v>32.125</v>
      </c>
    </row>
    <row r="281" spans="1:3" x14ac:dyDescent="0.3">
      <c r="A281" s="12">
        <v>12</v>
      </c>
      <c r="B281">
        <v>18</v>
      </c>
      <c r="C281" s="8">
        <v>42.75</v>
      </c>
    </row>
    <row r="282" spans="1:3" x14ac:dyDescent="0.3">
      <c r="A282" s="12">
        <v>26</v>
      </c>
      <c r="B282">
        <v>56</v>
      </c>
      <c r="C282" s="8">
        <v>30.923076923076923</v>
      </c>
    </row>
    <row r="283" spans="1:3" x14ac:dyDescent="0.3">
      <c r="A283" s="12">
        <v>35</v>
      </c>
      <c r="B283">
        <v>72</v>
      </c>
      <c r="C283" s="8">
        <v>27.37142857142857</v>
      </c>
    </row>
    <row r="284" spans="1:3" x14ac:dyDescent="0.3">
      <c r="A284" s="12">
        <v>14</v>
      </c>
      <c r="B284">
        <v>18</v>
      </c>
      <c r="C284" s="8">
        <v>29.428571428571427</v>
      </c>
    </row>
    <row r="285" spans="1:3" x14ac:dyDescent="0.3">
      <c r="A285" s="12">
        <v>20</v>
      </c>
      <c r="B285">
        <v>34</v>
      </c>
      <c r="C285" s="8">
        <v>27.3</v>
      </c>
    </row>
    <row r="286" spans="1:3" x14ac:dyDescent="0.3">
      <c r="A286" s="12">
        <v>21</v>
      </c>
      <c r="B286">
        <v>43</v>
      </c>
      <c r="C286" s="8">
        <v>32.571428571428569</v>
      </c>
    </row>
    <row r="287" spans="1:3" x14ac:dyDescent="0.3">
      <c r="A287" s="12">
        <v>10</v>
      </c>
      <c r="B287">
        <v>19</v>
      </c>
      <c r="C287" s="8">
        <v>38.5</v>
      </c>
    </row>
    <row r="288" spans="1:3" x14ac:dyDescent="0.3">
      <c r="A288" s="12">
        <v>9</v>
      </c>
      <c r="B288">
        <v>19</v>
      </c>
      <c r="C288" s="8">
        <v>34</v>
      </c>
    </row>
    <row r="289" spans="1:3" x14ac:dyDescent="0.3">
      <c r="A289" s="12">
        <v>12</v>
      </c>
      <c r="B289">
        <v>21</v>
      </c>
      <c r="C289" s="8">
        <v>25.833333333333332</v>
      </c>
    </row>
    <row r="290" spans="1:3" x14ac:dyDescent="0.3">
      <c r="A290" s="12">
        <v>19</v>
      </c>
      <c r="B290">
        <v>32</v>
      </c>
      <c r="C290" s="8">
        <v>41.736842105263158</v>
      </c>
    </row>
    <row r="291" spans="1:3" x14ac:dyDescent="0.3">
      <c r="A291" s="12">
        <v>3</v>
      </c>
      <c r="B291">
        <v>4</v>
      </c>
      <c r="C291" s="8">
        <v>46.666666666666664</v>
      </c>
    </row>
    <row r="292" spans="1:3" x14ac:dyDescent="0.3">
      <c r="A292" s="12">
        <v>20</v>
      </c>
      <c r="B292">
        <v>32</v>
      </c>
      <c r="C292" s="8">
        <v>42.5</v>
      </c>
    </row>
    <row r="293" spans="1:3" x14ac:dyDescent="0.3">
      <c r="A293" s="12">
        <v>7</v>
      </c>
      <c r="B293">
        <v>9</v>
      </c>
      <c r="C293" s="8">
        <v>33.714285714285715</v>
      </c>
    </row>
    <row r="294" spans="1:3" x14ac:dyDescent="0.3">
      <c r="A294" s="12">
        <v>18</v>
      </c>
      <c r="B294">
        <v>34</v>
      </c>
      <c r="C294" s="8">
        <v>36.833333333333336</v>
      </c>
    </row>
    <row r="295" spans="1:3" x14ac:dyDescent="0.3">
      <c r="A295" s="12">
        <v>22</v>
      </c>
      <c r="B295">
        <v>50</v>
      </c>
      <c r="C295" s="8">
        <v>42.5</v>
      </c>
    </row>
    <row r="296" spans="1:3" x14ac:dyDescent="0.3">
      <c r="A296" s="12">
        <v>11</v>
      </c>
      <c r="B296">
        <v>19</v>
      </c>
      <c r="C296" s="8">
        <v>40.090909090909093</v>
      </c>
    </row>
    <row r="297" spans="1:3" x14ac:dyDescent="0.3">
      <c r="A297" s="12">
        <v>10</v>
      </c>
      <c r="B297">
        <v>17</v>
      </c>
      <c r="C297" s="8">
        <v>44.4</v>
      </c>
    </row>
    <row r="298" spans="1:3" x14ac:dyDescent="0.3">
      <c r="A298" s="12">
        <v>8</v>
      </c>
      <c r="B298">
        <v>10</v>
      </c>
      <c r="C298" s="8">
        <v>37.625</v>
      </c>
    </row>
    <row r="299" spans="1:3" x14ac:dyDescent="0.3">
      <c r="A299" s="12">
        <v>6</v>
      </c>
      <c r="B299">
        <v>9</v>
      </c>
      <c r="C299" s="8">
        <v>37.833333333333336</v>
      </c>
    </row>
    <row r="300" spans="1:3" x14ac:dyDescent="0.3">
      <c r="A300" s="12">
        <v>14</v>
      </c>
      <c r="B300">
        <v>25</v>
      </c>
      <c r="C300" s="8">
        <v>37.928571428571431</v>
      </c>
    </row>
    <row r="301" spans="1:3" x14ac:dyDescent="0.3">
      <c r="A301" s="12">
        <v>4</v>
      </c>
      <c r="B301">
        <v>4</v>
      </c>
      <c r="C301" s="8">
        <v>36.75</v>
      </c>
    </row>
    <row r="302" spans="1:3" x14ac:dyDescent="0.3">
      <c r="A302" s="12">
        <v>16</v>
      </c>
      <c r="B302">
        <v>28</v>
      </c>
      <c r="C302" s="8">
        <v>28.6875</v>
      </c>
    </row>
    <row r="303" spans="1:3" x14ac:dyDescent="0.3">
      <c r="A303" s="12">
        <v>1</v>
      </c>
      <c r="B303">
        <v>2</v>
      </c>
      <c r="C303" s="8">
        <v>19</v>
      </c>
    </row>
    <row r="304" spans="1:3" x14ac:dyDescent="0.3">
      <c r="A304" s="12">
        <v>23</v>
      </c>
      <c r="B304">
        <v>47</v>
      </c>
      <c r="C304" s="8">
        <v>29.304347826086957</v>
      </c>
    </row>
    <row r="305" spans="1:3" x14ac:dyDescent="0.3">
      <c r="A305" s="12">
        <v>7</v>
      </c>
      <c r="B305">
        <v>10</v>
      </c>
      <c r="C305" s="8">
        <v>42</v>
      </c>
    </row>
    <row r="306" spans="1:3" x14ac:dyDescent="0.3">
      <c r="A306" s="12">
        <v>11</v>
      </c>
      <c r="B306">
        <v>15</v>
      </c>
      <c r="C306" s="8">
        <v>39.909090909090907</v>
      </c>
    </row>
    <row r="307" spans="1:3" x14ac:dyDescent="0.3">
      <c r="A307" s="12">
        <v>8</v>
      </c>
      <c r="B307">
        <v>15</v>
      </c>
      <c r="C307" s="8">
        <v>38.875</v>
      </c>
    </row>
    <row r="308" spans="1:3" x14ac:dyDescent="0.3">
      <c r="A308" s="12">
        <v>10</v>
      </c>
      <c r="B308">
        <v>20</v>
      </c>
      <c r="C308" s="8">
        <v>36.4</v>
      </c>
    </row>
    <row r="309" spans="1:3" x14ac:dyDescent="0.3">
      <c r="A309" s="12">
        <v>12</v>
      </c>
      <c r="B309">
        <v>25</v>
      </c>
      <c r="C309" s="8">
        <v>38.25</v>
      </c>
    </row>
    <row r="310" spans="1:3" x14ac:dyDescent="0.3">
      <c r="A310" s="12">
        <v>11</v>
      </c>
      <c r="B310">
        <v>21</v>
      </c>
      <c r="C310" s="8">
        <v>26.454545454545453</v>
      </c>
    </row>
    <row r="311" spans="1:3" x14ac:dyDescent="0.3">
      <c r="A311" s="12">
        <v>1</v>
      </c>
      <c r="B311">
        <v>1</v>
      </c>
      <c r="C311" s="8">
        <v>17</v>
      </c>
    </row>
    <row r="312" spans="1:3" x14ac:dyDescent="0.3">
      <c r="A312" s="12">
        <v>5</v>
      </c>
      <c r="B312">
        <v>10</v>
      </c>
      <c r="C312" s="8">
        <v>29</v>
      </c>
    </row>
    <row r="313" spans="1:3" x14ac:dyDescent="0.3">
      <c r="A313" s="12">
        <v>1</v>
      </c>
      <c r="B313">
        <v>1</v>
      </c>
      <c r="C313" s="8">
        <v>55</v>
      </c>
    </row>
    <row r="314" spans="1:3" x14ac:dyDescent="0.3">
      <c r="A314" s="12">
        <v>25</v>
      </c>
      <c r="B314">
        <v>37</v>
      </c>
      <c r="C314" s="8">
        <v>38.479999999999997</v>
      </c>
    </row>
    <row r="315" spans="1:3" x14ac:dyDescent="0.3">
      <c r="A315" s="12">
        <v>13</v>
      </c>
      <c r="B315">
        <v>24</v>
      </c>
      <c r="C315" s="8">
        <v>33.92307692307692</v>
      </c>
    </row>
    <row r="316" spans="1:3" x14ac:dyDescent="0.3">
      <c r="A316" s="12">
        <v>15</v>
      </c>
      <c r="B316">
        <v>18</v>
      </c>
      <c r="C316" s="8">
        <v>40.06666666666667</v>
      </c>
    </row>
    <row r="317" spans="1:3" x14ac:dyDescent="0.3">
      <c r="A317" s="12">
        <v>33</v>
      </c>
      <c r="B317">
        <v>67</v>
      </c>
      <c r="C317" s="8">
        <v>29.90909090909091</v>
      </c>
    </row>
    <row r="318" spans="1:3" x14ac:dyDescent="0.3">
      <c r="A318" s="12">
        <v>9</v>
      </c>
      <c r="B318">
        <v>13</v>
      </c>
      <c r="C318" s="8">
        <v>40.111111111111114</v>
      </c>
    </row>
    <row r="319" spans="1:3" x14ac:dyDescent="0.3">
      <c r="A319" s="12">
        <v>9</v>
      </c>
      <c r="B319">
        <v>12</v>
      </c>
      <c r="C319" s="8">
        <v>34.888888888888886</v>
      </c>
    </row>
    <row r="320" spans="1:3" x14ac:dyDescent="0.3">
      <c r="A320" s="12">
        <v>34</v>
      </c>
      <c r="B320">
        <v>75</v>
      </c>
      <c r="C320" s="8">
        <v>25.735294117647058</v>
      </c>
    </row>
    <row r="321" spans="1:3" x14ac:dyDescent="0.3">
      <c r="A321" s="12">
        <v>14</v>
      </c>
      <c r="B321">
        <v>29</v>
      </c>
      <c r="C321" s="8">
        <v>39.428571428571431</v>
      </c>
    </row>
    <row r="322" spans="1:3" x14ac:dyDescent="0.3">
      <c r="A322" s="12">
        <v>5</v>
      </c>
      <c r="B322">
        <v>10</v>
      </c>
      <c r="C322" s="8">
        <v>32.799999999999997</v>
      </c>
    </row>
    <row r="323" spans="1:3" x14ac:dyDescent="0.3">
      <c r="A323" s="12">
        <v>26</v>
      </c>
      <c r="B323">
        <v>43</v>
      </c>
      <c r="C323" s="8">
        <v>36.884615384615387</v>
      </c>
    </row>
    <row r="324" spans="1:3" x14ac:dyDescent="0.3">
      <c r="A324" s="12">
        <v>25</v>
      </c>
      <c r="B324">
        <v>55</v>
      </c>
      <c r="C324" s="8">
        <v>26.48</v>
      </c>
    </row>
    <row r="325" spans="1:3" x14ac:dyDescent="0.3">
      <c r="A325" s="12">
        <v>10</v>
      </c>
      <c r="B325">
        <v>13</v>
      </c>
      <c r="C325" s="8">
        <v>36.6</v>
      </c>
    </row>
    <row r="326" spans="1:3" x14ac:dyDescent="0.3">
      <c r="A326" s="12">
        <v>21</v>
      </c>
      <c r="B326">
        <v>44</v>
      </c>
      <c r="C326" s="8">
        <v>39.80952380952381</v>
      </c>
    </row>
    <row r="327" spans="1:3" x14ac:dyDescent="0.3">
      <c r="A327" s="12">
        <v>20</v>
      </c>
      <c r="B327">
        <v>34</v>
      </c>
      <c r="C327" s="8">
        <v>34.450000000000003</v>
      </c>
    </row>
    <row r="328" spans="1:3" x14ac:dyDescent="0.3">
      <c r="A328" s="12">
        <v>11</v>
      </c>
      <c r="B328">
        <v>14</v>
      </c>
      <c r="C328" s="8">
        <v>37.545454545454547</v>
      </c>
    </row>
    <row r="329" spans="1:3" x14ac:dyDescent="0.3">
      <c r="A329" s="12">
        <v>17</v>
      </c>
      <c r="B329">
        <v>26</v>
      </c>
      <c r="C329" s="8">
        <v>38.176470588235297</v>
      </c>
    </row>
    <row r="330" spans="1:3" x14ac:dyDescent="0.3">
      <c r="A330" s="12">
        <v>32</v>
      </c>
      <c r="B330">
        <v>50</v>
      </c>
      <c r="C330" s="8">
        <v>26.09375</v>
      </c>
    </row>
    <row r="331" spans="1:3" x14ac:dyDescent="0.3">
      <c r="A331" s="12">
        <v>12</v>
      </c>
      <c r="B331">
        <v>19</v>
      </c>
      <c r="C331" s="8">
        <v>34.583333333333336</v>
      </c>
    </row>
    <row r="332" spans="1:3" x14ac:dyDescent="0.3">
      <c r="A332" s="12">
        <v>25</v>
      </c>
      <c r="B332">
        <v>43</v>
      </c>
      <c r="C332" s="8">
        <v>28.68</v>
      </c>
    </row>
    <row r="333" spans="1:3" x14ac:dyDescent="0.3">
      <c r="A333" s="12">
        <v>17</v>
      </c>
      <c r="B333">
        <v>33</v>
      </c>
      <c r="C333" s="8">
        <v>36.411764705882355</v>
      </c>
    </row>
    <row r="334" spans="1:3" x14ac:dyDescent="0.3">
      <c r="A334" s="12">
        <v>13</v>
      </c>
      <c r="B334">
        <v>27</v>
      </c>
      <c r="C334" s="8">
        <v>42</v>
      </c>
    </row>
    <row r="335" spans="1:3" x14ac:dyDescent="0.3">
      <c r="A335" s="12">
        <v>38</v>
      </c>
      <c r="B335">
        <v>66</v>
      </c>
      <c r="C335" s="8">
        <v>25.736842105263158</v>
      </c>
    </row>
    <row r="336" spans="1:3" x14ac:dyDescent="0.3">
      <c r="A336" s="12">
        <v>2</v>
      </c>
      <c r="B336">
        <v>2</v>
      </c>
      <c r="C336" s="8">
        <v>21</v>
      </c>
    </row>
    <row r="337" spans="1:3" x14ac:dyDescent="0.3">
      <c r="A337" s="12">
        <v>8</v>
      </c>
      <c r="B337">
        <v>10</v>
      </c>
      <c r="C337" s="8">
        <v>28.625</v>
      </c>
    </row>
    <row r="338" spans="1:3" x14ac:dyDescent="0.3">
      <c r="A338" s="12">
        <v>22</v>
      </c>
      <c r="B338">
        <v>47</v>
      </c>
      <c r="C338" s="8">
        <v>32.81818181818182</v>
      </c>
    </row>
    <row r="339" spans="1:3" x14ac:dyDescent="0.3">
      <c r="A339" s="12">
        <v>19</v>
      </c>
      <c r="B339">
        <v>31</v>
      </c>
      <c r="C339" s="8">
        <v>39.05263157894737</v>
      </c>
    </row>
    <row r="340" spans="1:3" x14ac:dyDescent="0.3">
      <c r="A340" s="12">
        <v>19</v>
      </c>
      <c r="B340">
        <v>35</v>
      </c>
      <c r="C340" s="8">
        <v>27.894736842105264</v>
      </c>
    </row>
    <row r="341" spans="1:3" x14ac:dyDescent="0.3">
      <c r="A341" s="12">
        <v>26</v>
      </c>
      <c r="B341">
        <v>54</v>
      </c>
      <c r="C341" s="8">
        <v>38.269230769230766</v>
      </c>
    </row>
    <row r="342" spans="1:3" x14ac:dyDescent="0.3">
      <c r="A342" s="12">
        <v>23</v>
      </c>
      <c r="B342">
        <v>43</v>
      </c>
      <c r="C342" s="8">
        <v>34.260869565217391</v>
      </c>
    </row>
    <row r="343" spans="1:3" x14ac:dyDescent="0.3">
      <c r="A343" s="12">
        <v>6</v>
      </c>
      <c r="B343">
        <v>11</v>
      </c>
      <c r="C343" s="8">
        <v>34.666666666666664</v>
      </c>
    </row>
    <row r="344" spans="1:3" x14ac:dyDescent="0.3">
      <c r="A344" s="12">
        <v>11</v>
      </c>
      <c r="B344">
        <v>15</v>
      </c>
      <c r="C344" s="8">
        <v>45.545454545454547</v>
      </c>
    </row>
    <row r="345" spans="1:3" x14ac:dyDescent="0.3">
      <c r="A345" s="12">
        <v>8</v>
      </c>
      <c r="B345">
        <v>14</v>
      </c>
      <c r="C345" s="8">
        <v>37</v>
      </c>
    </row>
    <row r="346" spans="1:3" x14ac:dyDescent="0.3">
      <c r="A346" s="12">
        <v>24</v>
      </c>
      <c r="B346">
        <v>45</v>
      </c>
      <c r="C346" s="8">
        <v>33.541666666666664</v>
      </c>
    </row>
    <row r="347" spans="1:3" x14ac:dyDescent="0.3">
      <c r="A347" s="12">
        <v>20</v>
      </c>
      <c r="B347">
        <v>28</v>
      </c>
      <c r="C347" s="8">
        <v>44.05</v>
      </c>
    </row>
    <row r="348" spans="1:3" x14ac:dyDescent="0.3">
      <c r="A348" s="12">
        <v>17</v>
      </c>
      <c r="B348">
        <v>32</v>
      </c>
      <c r="C348" s="8">
        <v>26.764705882352942</v>
      </c>
    </row>
    <row r="349" spans="1:3" x14ac:dyDescent="0.3">
      <c r="A349" s="12">
        <v>16</v>
      </c>
      <c r="B349">
        <v>33</v>
      </c>
      <c r="C349" s="8">
        <v>42.125</v>
      </c>
    </row>
    <row r="350" spans="1:3" x14ac:dyDescent="0.3">
      <c r="A350" s="12">
        <v>7</v>
      </c>
      <c r="B350">
        <v>14</v>
      </c>
      <c r="C350" s="8">
        <v>44.285714285714285</v>
      </c>
    </row>
    <row r="351" spans="1:3" x14ac:dyDescent="0.3">
      <c r="A351" s="12">
        <v>16</v>
      </c>
      <c r="B351">
        <v>30</v>
      </c>
      <c r="C351" s="8">
        <v>35.5</v>
      </c>
    </row>
    <row r="352" spans="1:3" x14ac:dyDescent="0.3">
      <c r="A352" s="12">
        <v>16</v>
      </c>
      <c r="B352">
        <v>32</v>
      </c>
      <c r="C352" s="8">
        <v>45.3125</v>
      </c>
    </row>
    <row r="353" spans="1:3" x14ac:dyDescent="0.3">
      <c r="A353" s="12">
        <v>27</v>
      </c>
      <c r="B353">
        <v>55</v>
      </c>
      <c r="C353" s="8">
        <v>25.444444444444443</v>
      </c>
    </row>
    <row r="354" spans="1:3" x14ac:dyDescent="0.3">
      <c r="A354" s="12">
        <v>17</v>
      </c>
      <c r="B354">
        <v>29</v>
      </c>
      <c r="C354" s="8">
        <v>32.411764705882355</v>
      </c>
    </row>
    <row r="355" spans="1:3" x14ac:dyDescent="0.3">
      <c r="A355" s="12">
        <v>3</v>
      </c>
      <c r="B355">
        <v>3</v>
      </c>
      <c r="C355" s="8">
        <v>44.333333333333336</v>
      </c>
    </row>
    <row r="356" spans="1:3" x14ac:dyDescent="0.3">
      <c r="A356" s="12">
        <v>17</v>
      </c>
      <c r="B356">
        <v>22</v>
      </c>
      <c r="C356" s="8">
        <v>36.058823529411768</v>
      </c>
    </row>
    <row r="357" spans="1:3" x14ac:dyDescent="0.3">
      <c r="A357" s="12">
        <v>27</v>
      </c>
      <c r="B357">
        <v>55</v>
      </c>
      <c r="C357" s="8">
        <v>34.666666666666664</v>
      </c>
    </row>
    <row r="358" spans="1:3" x14ac:dyDescent="0.3">
      <c r="A358" s="12">
        <v>7</v>
      </c>
      <c r="B358">
        <v>9</v>
      </c>
      <c r="C358" s="8">
        <v>35.571428571428569</v>
      </c>
    </row>
    <row r="359" spans="1:3" x14ac:dyDescent="0.3">
      <c r="A359" s="12">
        <v>16</v>
      </c>
      <c r="B359">
        <v>35</v>
      </c>
      <c r="C359" s="8">
        <v>33.3125</v>
      </c>
    </row>
    <row r="360" spans="1:3" x14ac:dyDescent="0.3">
      <c r="A360" s="12">
        <v>11</v>
      </c>
      <c r="B360">
        <v>19</v>
      </c>
      <c r="C360" s="8">
        <v>30.818181818181817</v>
      </c>
    </row>
    <row r="361" spans="1:3" x14ac:dyDescent="0.3">
      <c r="A361" s="12">
        <v>1</v>
      </c>
      <c r="B361">
        <v>2</v>
      </c>
      <c r="C361" s="8">
        <v>12</v>
      </c>
    </row>
    <row r="362" spans="1:3" x14ac:dyDescent="0.3">
      <c r="A362" s="12">
        <v>6</v>
      </c>
      <c r="B362">
        <v>12</v>
      </c>
      <c r="C362" s="8">
        <v>41</v>
      </c>
    </row>
    <row r="363" spans="1:3" x14ac:dyDescent="0.3">
      <c r="A363" s="12">
        <v>5</v>
      </c>
      <c r="B363">
        <v>7</v>
      </c>
      <c r="C363" s="8">
        <v>32</v>
      </c>
    </row>
    <row r="364" spans="1:3" x14ac:dyDescent="0.3">
      <c r="A364" s="12">
        <v>22</v>
      </c>
      <c r="B364">
        <v>44</v>
      </c>
      <c r="C364" s="8">
        <v>33.090909090909093</v>
      </c>
    </row>
    <row r="365" spans="1:3" x14ac:dyDescent="0.3">
      <c r="A365" s="12">
        <v>4</v>
      </c>
      <c r="B365">
        <v>6</v>
      </c>
      <c r="C365" s="8">
        <v>30.5</v>
      </c>
    </row>
    <row r="366" spans="1:3" x14ac:dyDescent="0.3">
      <c r="A366" s="12">
        <v>5</v>
      </c>
      <c r="B366">
        <v>10</v>
      </c>
      <c r="C366" s="8">
        <v>38.200000000000003</v>
      </c>
    </row>
    <row r="367" spans="1:3" x14ac:dyDescent="0.3">
      <c r="A367" s="12">
        <v>21</v>
      </c>
      <c r="B367">
        <v>37</v>
      </c>
      <c r="C367" s="8">
        <v>26.238095238095237</v>
      </c>
    </row>
    <row r="368" spans="1:3" x14ac:dyDescent="0.3">
      <c r="A368" s="12">
        <v>20</v>
      </c>
      <c r="B368">
        <v>31</v>
      </c>
      <c r="C368" s="8">
        <v>33.049999999999997</v>
      </c>
    </row>
    <row r="369" spans="1:3" x14ac:dyDescent="0.3">
      <c r="A369" s="12">
        <v>25</v>
      </c>
      <c r="B369">
        <v>53</v>
      </c>
      <c r="C369" s="8">
        <v>33.64</v>
      </c>
    </row>
    <row r="370" spans="1:3" x14ac:dyDescent="0.3">
      <c r="A370" s="12">
        <v>14</v>
      </c>
      <c r="B370">
        <v>20</v>
      </c>
      <c r="C370" s="8">
        <v>43.571428571428569</v>
      </c>
    </row>
    <row r="371" spans="1:3" x14ac:dyDescent="0.3">
      <c r="A371" s="12">
        <v>9</v>
      </c>
      <c r="B371">
        <v>19</v>
      </c>
      <c r="C371" s="8">
        <v>41.888888888888886</v>
      </c>
    </row>
    <row r="372" spans="1:3" x14ac:dyDescent="0.3">
      <c r="A372" s="12">
        <v>13</v>
      </c>
      <c r="B372">
        <v>18</v>
      </c>
      <c r="C372" s="8">
        <v>44.53846153846154</v>
      </c>
    </row>
    <row r="373" spans="1:3" x14ac:dyDescent="0.3">
      <c r="A373" s="12">
        <v>30</v>
      </c>
      <c r="B373">
        <v>55</v>
      </c>
      <c r="C373" s="8">
        <v>27</v>
      </c>
    </row>
    <row r="374" spans="1:3" x14ac:dyDescent="0.3">
      <c r="A374" s="12">
        <v>2</v>
      </c>
      <c r="B374">
        <v>3</v>
      </c>
      <c r="C374" s="8">
        <v>40</v>
      </c>
    </row>
    <row r="375" spans="1:3" x14ac:dyDescent="0.3">
      <c r="A375" s="12">
        <v>27</v>
      </c>
      <c r="B375">
        <v>39</v>
      </c>
      <c r="C375" s="8">
        <v>28.814814814814813</v>
      </c>
    </row>
    <row r="376" spans="1:3" x14ac:dyDescent="0.3">
      <c r="A376" s="12">
        <v>5</v>
      </c>
      <c r="B376">
        <v>10</v>
      </c>
      <c r="C376" s="8">
        <v>35.6</v>
      </c>
    </row>
    <row r="377" spans="1:3" x14ac:dyDescent="0.3">
      <c r="A377" s="12">
        <v>27</v>
      </c>
      <c r="B377">
        <v>46</v>
      </c>
      <c r="C377" s="8">
        <v>30.333333333333332</v>
      </c>
    </row>
    <row r="378" spans="1:3" x14ac:dyDescent="0.3">
      <c r="A378" s="12">
        <v>15</v>
      </c>
      <c r="B378">
        <v>26</v>
      </c>
      <c r="C378" s="8">
        <v>35.666666666666664</v>
      </c>
    </row>
    <row r="379" spans="1:3" x14ac:dyDescent="0.3">
      <c r="A379" s="12">
        <v>19</v>
      </c>
      <c r="B379">
        <v>40</v>
      </c>
      <c r="C379" s="8">
        <v>34.578947368421055</v>
      </c>
    </row>
    <row r="380" spans="1:3" x14ac:dyDescent="0.3">
      <c r="A380" s="12">
        <v>9</v>
      </c>
      <c r="B380">
        <v>15</v>
      </c>
      <c r="C380" s="8">
        <v>36.666666666666664</v>
      </c>
    </row>
    <row r="381" spans="1:3" x14ac:dyDescent="0.3">
      <c r="A381" s="12">
        <v>2</v>
      </c>
      <c r="B381">
        <v>2</v>
      </c>
      <c r="C381" s="8">
        <v>36.5</v>
      </c>
    </row>
    <row r="382" spans="1:3" x14ac:dyDescent="0.3">
      <c r="A382" s="12">
        <v>22</v>
      </c>
      <c r="B382">
        <v>39</v>
      </c>
      <c r="C382" s="8">
        <v>38.227272727272727</v>
      </c>
    </row>
    <row r="383" spans="1:3" x14ac:dyDescent="0.3">
      <c r="A383" s="12">
        <v>21</v>
      </c>
      <c r="B383">
        <v>33</v>
      </c>
      <c r="C383" s="8">
        <v>30.523809523809526</v>
      </c>
    </row>
    <row r="384" spans="1:3" x14ac:dyDescent="0.3">
      <c r="A384" s="12">
        <v>1</v>
      </c>
      <c r="B384">
        <v>2</v>
      </c>
      <c r="C384" s="8">
        <v>26</v>
      </c>
    </row>
    <row r="385" spans="1:3" x14ac:dyDescent="0.3">
      <c r="A385" s="12">
        <v>14</v>
      </c>
      <c r="B385">
        <v>23</v>
      </c>
      <c r="C385" s="8">
        <v>36.214285714285715</v>
      </c>
    </row>
    <row r="386" spans="1:3" x14ac:dyDescent="0.3">
      <c r="A386" s="12">
        <v>8</v>
      </c>
      <c r="B386">
        <v>10</v>
      </c>
      <c r="C386" s="8">
        <v>24.375</v>
      </c>
    </row>
    <row r="387" spans="1:3" x14ac:dyDescent="0.3">
      <c r="A387" s="12">
        <v>4</v>
      </c>
      <c r="B387">
        <v>6</v>
      </c>
      <c r="C387" s="8">
        <v>36.5</v>
      </c>
    </row>
    <row r="388" spans="1:3" x14ac:dyDescent="0.3">
      <c r="A388" s="12">
        <v>3</v>
      </c>
      <c r="B388">
        <v>5</v>
      </c>
      <c r="C388" s="8">
        <v>32</v>
      </c>
    </row>
    <row r="389" spans="1:3" x14ac:dyDescent="0.3">
      <c r="A389" s="12">
        <v>7</v>
      </c>
      <c r="B389">
        <v>11</v>
      </c>
      <c r="C389" s="8">
        <v>34.571428571428569</v>
      </c>
    </row>
    <row r="390" spans="1:3" x14ac:dyDescent="0.3">
      <c r="A390" s="12">
        <v>2</v>
      </c>
      <c r="B390">
        <v>2</v>
      </c>
      <c r="C390" s="8">
        <v>29.5</v>
      </c>
    </row>
    <row r="391" spans="1:3" x14ac:dyDescent="0.3">
      <c r="A391" s="12">
        <v>25</v>
      </c>
      <c r="B391">
        <v>45</v>
      </c>
      <c r="C391" s="8">
        <v>27.64</v>
      </c>
    </row>
    <row r="392" spans="1:3" x14ac:dyDescent="0.3">
      <c r="A392" s="12">
        <v>5</v>
      </c>
      <c r="B392">
        <v>6</v>
      </c>
      <c r="C392" s="8">
        <v>30.4</v>
      </c>
    </row>
    <row r="393" spans="1:3" x14ac:dyDescent="0.3">
      <c r="A393" s="12">
        <v>22</v>
      </c>
      <c r="B393">
        <v>43</v>
      </c>
      <c r="C393" s="8">
        <v>28.59090909090909</v>
      </c>
    </row>
    <row r="394" spans="1:3" x14ac:dyDescent="0.3">
      <c r="A394" s="12">
        <v>34</v>
      </c>
      <c r="B394">
        <v>74</v>
      </c>
      <c r="C394" s="8">
        <v>25.852941176470587</v>
      </c>
    </row>
    <row r="395" spans="1:3" x14ac:dyDescent="0.3">
      <c r="A395" s="12">
        <v>14</v>
      </c>
      <c r="B395">
        <v>20</v>
      </c>
      <c r="C395" s="8">
        <v>42.714285714285715</v>
      </c>
    </row>
    <row r="396" spans="1:3" x14ac:dyDescent="0.3">
      <c r="A396" s="12">
        <v>19</v>
      </c>
      <c r="B396">
        <v>33</v>
      </c>
      <c r="C396" s="8">
        <v>32.421052631578945</v>
      </c>
    </row>
    <row r="397" spans="1:3" x14ac:dyDescent="0.3">
      <c r="A397" s="12">
        <v>12</v>
      </c>
      <c r="B397">
        <v>23</v>
      </c>
      <c r="C397" s="8">
        <v>45.416666666666664</v>
      </c>
    </row>
    <row r="398" spans="1:3" x14ac:dyDescent="0.3">
      <c r="A398" s="12">
        <v>27</v>
      </c>
      <c r="B398">
        <v>60</v>
      </c>
      <c r="C398" s="8">
        <v>32.962962962962962</v>
      </c>
    </row>
    <row r="399" spans="1:3" x14ac:dyDescent="0.3">
      <c r="A399" s="12">
        <v>24</v>
      </c>
      <c r="B399">
        <v>34</v>
      </c>
      <c r="C399" s="8">
        <v>28.541666666666668</v>
      </c>
    </row>
    <row r="400" spans="1:3" x14ac:dyDescent="0.3">
      <c r="A400" s="12">
        <v>22</v>
      </c>
      <c r="B400">
        <v>45</v>
      </c>
      <c r="C400" s="8">
        <v>26.454545454545453</v>
      </c>
    </row>
    <row r="401" spans="1:3" x14ac:dyDescent="0.3">
      <c r="A401" s="12">
        <v>20</v>
      </c>
      <c r="B401">
        <v>41</v>
      </c>
      <c r="C401" s="8">
        <v>34.6</v>
      </c>
    </row>
    <row r="402" spans="1:3" x14ac:dyDescent="0.3">
      <c r="A402" s="12">
        <v>12</v>
      </c>
      <c r="B402">
        <v>22</v>
      </c>
      <c r="C402" s="8">
        <v>43.583333333333336</v>
      </c>
    </row>
    <row r="403" spans="1:3" x14ac:dyDescent="0.3">
      <c r="A403" s="12">
        <v>9</v>
      </c>
      <c r="B403">
        <v>16</v>
      </c>
      <c r="C403" s="8">
        <v>29.444444444444443</v>
      </c>
    </row>
    <row r="404" spans="1:3" x14ac:dyDescent="0.3">
      <c r="A404" s="12">
        <v>21</v>
      </c>
      <c r="B404">
        <v>35</v>
      </c>
      <c r="C404" s="8">
        <v>29.38095238095238</v>
      </c>
    </row>
    <row r="405" spans="1:3" x14ac:dyDescent="0.3">
      <c r="A405" s="12">
        <v>19</v>
      </c>
      <c r="B405">
        <v>31</v>
      </c>
      <c r="C405" s="8">
        <v>38.526315789473685</v>
      </c>
    </row>
    <row r="406" spans="1:3" x14ac:dyDescent="0.3">
      <c r="A406" s="12">
        <v>28</v>
      </c>
      <c r="B406">
        <v>61</v>
      </c>
      <c r="C406" s="8">
        <v>27.25</v>
      </c>
    </row>
    <row r="407" spans="1:3" x14ac:dyDescent="0.3">
      <c r="A407" s="12">
        <v>23</v>
      </c>
      <c r="B407">
        <v>41</v>
      </c>
      <c r="C407" s="8">
        <v>29.565217391304348</v>
      </c>
    </row>
    <row r="408" spans="1:3" x14ac:dyDescent="0.3">
      <c r="A408" s="12">
        <v>13</v>
      </c>
      <c r="B408">
        <v>16</v>
      </c>
      <c r="C408" s="8">
        <v>30.923076923076923</v>
      </c>
    </row>
    <row r="409" spans="1:3" x14ac:dyDescent="0.3">
      <c r="A409" s="12">
        <v>14</v>
      </c>
      <c r="B409">
        <v>24</v>
      </c>
      <c r="C409" s="8">
        <v>43.428571428571431</v>
      </c>
    </row>
    <row r="410" spans="1:3" x14ac:dyDescent="0.3">
      <c r="A410" s="12">
        <v>15</v>
      </c>
      <c r="B410">
        <v>23</v>
      </c>
      <c r="C410" s="8">
        <v>33.266666666666666</v>
      </c>
    </row>
    <row r="411" spans="1:3" x14ac:dyDescent="0.3">
      <c r="A411" s="12">
        <v>24</v>
      </c>
      <c r="B411">
        <v>45</v>
      </c>
      <c r="C411" s="8">
        <v>28.958333333333332</v>
      </c>
    </row>
    <row r="412" spans="1:3" x14ac:dyDescent="0.3">
      <c r="A412" s="12">
        <v>19</v>
      </c>
      <c r="B412">
        <v>24</v>
      </c>
      <c r="C412" s="8">
        <v>32.736842105263158</v>
      </c>
    </row>
    <row r="413" spans="1:3" x14ac:dyDescent="0.3">
      <c r="A413" s="12">
        <v>20</v>
      </c>
      <c r="B413">
        <v>36</v>
      </c>
      <c r="C413" s="8">
        <v>30.4</v>
      </c>
    </row>
    <row r="414" spans="1:3" x14ac:dyDescent="0.3">
      <c r="A414" s="12">
        <v>7</v>
      </c>
      <c r="B414">
        <v>12</v>
      </c>
      <c r="C414" s="8">
        <v>43.142857142857146</v>
      </c>
    </row>
    <row r="415" spans="1:3" x14ac:dyDescent="0.3">
      <c r="A415" s="12">
        <v>6</v>
      </c>
      <c r="B415">
        <v>12</v>
      </c>
      <c r="C415" s="8">
        <v>27.333333333333332</v>
      </c>
    </row>
    <row r="416" spans="1:3" x14ac:dyDescent="0.3">
      <c r="A416" s="12">
        <v>25</v>
      </c>
      <c r="B416">
        <v>37</v>
      </c>
      <c r="C416" s="8">
        <v>38.76</v>
      </c>
    </row>
    <row r="417" spans="1:3" x14ac:dyDescent="0.3">
      <c r="A417" s="12">
        <v>6</v>
      </c>
      <c r="B417">
        <v>12</v>
      </c>
      <c r="C417" s="8">
        <v>35.333333333333336</v>
      </c>
    </row>
    <row r="418" spans="1:3" x14ac:dyDescent="0.3">
      <c r="A418" s="12">
        <v>13</v>
      </c>
      <c r="B418">
        <v>19</v>
      </c>
      <c r="C418" s="8">
        <v>35.692307692307693</v>
      </c>
    </row>
    <row r="419" spans="1:3" x14ac:dyDescent="0.3">
      <c r="A419" s="12">
        <v>18</v>
      </c>
      <c r="B419">
        <v>35</v>
      </c>
      <c r="C419" s="8">
        <v>33.333333333333336</v>
      </c>
    </row>
    <row r="420" spans="1:3" x14ac:dyDescent="0.3">
      <c r="A420" s="12">
        <v>8</v>
      </c>
      <c r="B420">
        <v>14</v>
      </c>
      <c r="C420" s="8">
        <v>32.125</v>
      </c>
    </row>
    <row r="421" spans="1:3" x14ac:dyDescent="0.3">
      <c r="A421" s="12">
        <v>13</v>
      </c>
      <c r="B421">
        <v>24</v>
      </c>
      <c r="C421" s="8">
        <v>34.692307692307693</v>
      </c>
    </row>
    <row r="422" spans="1:3" x14ac:dyDescent="0.3">
      <c r="A422" s="12">
        <v>10</v>
      </c>
      <c r="B422">
        <v>22</v>
      </c>
      <c r="C422" s="8">
        <v>38.299999999999997</v>
      </c>
    </row>
    <row r="423" spans="1:3" x14ac:dyDescent="0.3">
      <c r="A423" s="12">
        <v>11</v>
      </c>
      <c r="B423">
        <v>23</v>
      </c>
      <c r="C423" s="8">
        <v>31</v>
      </c>
    </row>
    <row r="424" spans="1:3" x14ac:dyDescent="0.3">
      <c r="A424" s="12">
        <v>15</v>
      </c>
      <c r="B424">
        <v>30</v>
      </c>
      <c r="C424" s="8">
        <v>38.799999999999997</v>
      </c>
    </row>
    <row r="425" spans="1:3" x14ac:dyDescent="0.3">
      <c r="A425" s="12">
        <v>15</v>
      </c>
      <c r="B425">
        <v>25</v>
      </c>
      <c r="C425" s="8">
        <v>31.2</v>
      </c>
    </row>
    <row r="426" spans="1:3" x14ac:dyDescent="0.3">
      <c r="A426" s="12">
        <v>2</v>
      </c>
      <c r="B426">
        <v>3</v>
      </c>
      <c r="C426" s="8">
        <v>21.5</v>
      </c>
    </row>
    <row r="427" spans="1:3" x14ac:dyDescent="0.3">
      <c r="A427" s="12">
        <v>21</v>
      </c>
      <c r="B427">
        <v>42</v>
      </c>
      <c r="C427" s="8">
        <v>36.952380952380949</v>
      </c>
    </row>
    <row r="428" spans="1:3" x14ac:dyDescent="0.3">
      <c r="A428" s="12">
        <v>2</v>
      </c>
      <c r="B428">
        <v>3</v>
      </c>
      <c r="C428" s="8">
        <v>33</v>
      </c>
    </row>
    <row r="429" spans="1:3" x14ac:dyDescent="0.3">
      <c r="A429" s="12">
        <v>5</v>
      </c>
      <c r="B429">
        <v>9</v>
      </c>
      <c r="C429" s="8">
        <v>33.799999999999997</v>
      </c>
    </row>
    <row r="430" spans="1:3" x14ac:dyDescent="0.3">
      <c r="A430" s="12">
        <v>7</v>
      </c>
      <c r="B430">
        <v>14</v>
      </c>
      <c r="C430" s="8">
        <v>43.285714285714285</v>
      </c>
    </row>
    <row r="431" spans="1:3" x14ac:dyDescent="0.3">
      <c r="A431" s="12">
        <v>23</v>
      </c>
      <c r="B431">
        <v>36</v>
      </c>
      <c r="C431" s="8">
        <v>36.739130434782609</v>
      </c>
    </row>
    <row r="432" spans="1:3" x14ac:dyDescent="0.3">
      <c r="A432" s="12">
        <v>23</v>
      </c>
      <c r="B432">
        <v>39</v>
      </c>
      <c r="C432" s="8">
        <v>30.260869565217391</v>
      </c>
    </row>
    <row r="433" spans="1:3" x14ac:dyDescent="0.3">
      <c r="A433" s="12">
        <v>19</v>
      </c>
      <c r="B433">
        <v>26</v>
      </c>
      <c r="C433" s="8">
        <v>42.89473684210526</v>
      </c>
    </row>
    <row r="434" spans="1:3" x14ac:dyDescent="0.3">
      <c r="A434" s="12">
        <v>4</v>
      </c>
      <c r="B434">
        <v>5</v>
      </c>
      <c r="C434" s="8">
        <v>47</v>
      </c>
    </row>
    <row r="435" spans="1:3" x14ac:dyDescent="0.3">
      <c r="A435" s="12">
        <v>28</v>
      </c>
      <c r="B435">
        <v>53</v>
      </c>
      <c r="C435" s="8">
        <v>29.178571428571427</v>
      </c>
    </row>
    <row r="436" spans="1:3" x14ac:dyDescent="0.3">
      <c r="A436" s="12">
        <v>4</v>
      </c>
      <c r="B436">
        <v>7</v>
      </c>
      <c r="C436" s="8">
        <v>41</v>
      </c>
    </row>
    <row r="437" spans="1:3" x14ac:dyDescent="0.3">
      <c r="A437" s="12">
        <v>14</v>
      </c>
      <c r="B437">
        <v>29</v>
      </c>
      <c r="C437" s="8">
        <v>28.857142857142858</v>
      </c>
    </row>
    <row r="438" spans="1:3" x14ac:dyDescent="0.3">
      <c r="A438" s="12">
        <v>32</v>
      </c>
      <c r="B438">
        <v>58</v>
      </c>
      <c r="C438" s="8">
        <v>24.9375</v>
      </c>
    </row>
    <row r="439" spans="1:3" x14ac:dyDescent="0.3">
      <c r="A439" s="12">
        <v>15</v>
      </c>
      <c r="B439">
        <v>26</v>
      </c>
      <c r="C439" s="8">
        <v>33</v>
      </c>
    </row>
    <row r="440" spans="1:3" x14ac:dyDescent="0.3">
      <c r="A440" s="12">
        <v>35</v>
      </c>
      <c r="B440">
        <v>80</v>
      </c>
      <c r="C440" s="8">
        <v>27.028571428571428</v>
      </c>
    </row>
    <row r="441" spans="1:3" x14ac:dyDescent="0.3">
      <c r="A441" s="12">
        <v>19</v>
      </c>
      <c r="B441">
        <v>32</v>
      </c>
      <c r="C441" s="8">
        <v>31.894736842105264</v>
      </c>
    </row>
    <row r="442" spans="1:3" x14ac:dyDescent="0.3">
      <c r="A442" s="12">
        <v>7</v>
      </c>
      <c r="B442">
        <v>15</v>
      </c>
      <c r="C442" s="8">
        <v>37.285714285714285</v>
      </c>
    </row>
    <row r="443" spans="1:3" x14ac:dyDescent="0.3">
      <c r="A443" s="12">
        <v>10</v>
      </c>
      <c r="B443">
        <v>13</v>
      </c>
      <c r="C443" s="8">
        <v>43.5</v>
      </c>
    </row>
    <row r="444" spans="1:3" x14ac:dyDescent="0.3">
      <c r="A444" s="12">
        <v>30</v>
      </c>
      <c r="B444">
        <v>67</v>
      </c>
      <c r="C444" s="8">
        <v>32.06666666666667</v>
      </c>
    </row>
    <row r="445" spans="1:3" x14ac:dyDescent="0.3">
      <c r="A445" s="12">
        <v>29</v>
      </c>
      <c r="B445">
        <v>49</v>
      </c>
      <c r="C445" s="8">
        <v>33.793103448275865</v>
      </c>
    </row>
    <row r="446" spans="1:3" x14ac:dyDescent="0.3">
      <c r="A446" s="12">
        <v>13</v>
      </c>
      <c r="B446">
        <v>28</v>
      </c>
      <c r="C446" s="8">
        <v>38.07692307692308</v>
      </c>
    </row>
    <row r="447" spans="1:3" x14ac:dyDescent="0.3">
      <c r="A447" s="12">
        <v>15</v>
      </c>
      <c r="B447">
        <v>22</v>
      </c>
      <c r="C447" s="8">
        <v>44.666666666666664</v>
      </c>
    </row>
    <row r="448" spans="1:3" x14ac:dyDescent="0.3">
      <c r="A448" s="12">
        <v>18</v>
      </c>
      <c r="B448">
        <v>24</v>
      </c>
      <c r="C448" s="8">
        <v>29.5</v>
      </c>
    </row>
    <row r="449" spans="1:3" x14ac:dyDescent="0.3">
      <c r="A449" s="12">
        <v>3</v>
      </c>
      <c r="B449">
        <v>3</v>
      </c>
      <c r="C449" s="8">
        <v>46.666666666666664</v>
      </c>
    </row>
    <row r="450" spans="1:3" x14ac:dyDescent="0.3">
      <c r="A450" s="12">
        <v>10</v>
      </c>
      <c r="B450">
        <v>16</v>
      </c>
      <c r="C450" s="8">
        <v>41.3</v>
      </c>
    </row>
    <row r="451" spans="1:3" x14ac:dyDescent="0.3">
      <c r="A451" s="12">
        <v>7</v>
      </c>
      <c r="B451">
        <v>14</v>
      </c>
      <c r="C451" s="8">
        <v>29</v>
      </c>
    </row>
    <row r="452" spans="1:3" x14ac:dyDescent="0.3">
      <c r="A452" s="12">
        <v>3</v>
      </c>
      <c r="B452">
        <v>3</v>
      </c>
      <c r="C452" s="8">
        <v>34</v>
      </c>
    </row>
    <row r="453" spans="1:3" x14ac:dyDescent="0.3">
      <c r="A453" s="12">
        <v>3</v>
      </c>
      <c r="B453">
        <v>4</v>
      </c>
      <c r="C453" s="8">
        <v>39</v>
      </c>
    </row>
    <row r="454" spans="1:3" x14ac:dyDescent="0.3">
      <c r="A454" s="12">
        <v>8</v>
      </c>
      <c r="B454">
        <v>11</v>
      </c>
      <c r="C454" s="8">
        <v>36.5</v>
      </c>
    </row>
    <row r="455" spans="1:3" x14ac:dyDescent="0.3">
      <c r="A455" s="12">
        <v>24</v>
      </c>
      <c r="B455">
        <v>35</v>
      </c>
      <c r="C455" s="8">
        <v>26.375</v>
      </c>
    </row>
    <row r="456" spans="1:3" x14ac:dyDescent="0.3">
      <c r="A456" s="12">
        <v>1</v>
      </c>
      <c r="B456">
        <v>2</v>
      </c>
      <c r="C456" s="8">
        <v>42</v>
      </c>
    </row>
    <row r="457" spans="1:3" x14ac:dyDescent="0.3">
      <c r="A457" s="12">
        <v>19</v>
      </c>
      <c r="B457">
        <v>26</v>
      </c>
      <c r="C457" s="8">
        <v>41.89473684210526</v>
      </c>
    </row>
    <row r="458" spans="1:3" x14ac:dyDescent="0.3">
      <c r="A458" s="12">
        <v>13</v>
      </c>
      <c r="B458">
        <v>23</v>
      </c>
      <c r="C458" s="8">
        <v>39.846153846153847</v>
      </c>
    </row>
    <row r="459" spans="1:3" x14ac:dyDescent="0.3">
      <c r="A459" s="12">
        <v>2</v>
      </c>
      <c r="B459">
        <v>4</v>
      </c>
      <c r="C459" s="8">
        <v>45.5</v>
      </c>
    </row>
    <row r="460" spans="1:3" x14ac:dyDescent="0.3">
      <c r="A460" s="12">
        <v>21</v>
      </c>
      <c r="B460">
        <v>50</v>
      </c>
      <c r="C460" s="8">
        <v>29.238095238095237</v>
      </c>
    </row>
    <row r="461" spans="1:3" x14ac:dyDescent="0.3">
      <c r="A461" s="12">
        <v>35</v>
      </c>
      <c r="B461">
        <v>84</v>
      </c>
      <c r="C461" s="8">
        <v>26.971428571428572</v>
      </c>
    </row>
    <row r="462" spans="1:3" x14ac:dyDescent="0.3">
      <c r="A462" s="12">
        <v>15</v>
      </c>
      <c r="B462">
        <v>31</v>
      </c>
      <c r="C462" s="8">
        <v>28.533333333333335</v>
      </c>
    </row>
    <row r="463" spans="1:3" x14ac:dyDescent="0.3">
      <c r="A463" s="12">
        <v>4</v>
      </c>
      <c r="B463">
        <v>5</v>
      </c>
      <c r="C463" s="8">
        <v>38.5</v>
      </c>
    </row>
    <row r="464" spans="1:3" x14ac:dyDescent="0.3">
      <c r="A464" s="12">
        <v>18</v>
      </c>
      <c r="B464">
        <v>24</v>
      </c>
      <c r="C464" s="8">
        <v>36.722222222222221</v>
      </c>
    </row>
    <row r="465" spans="1:3" x14ac:dyDescent="0.3">
      <c r="A465" s="12">
        <v>13</v>
      </c>
      <c r="B465">
        <v>20</v>
      </c>
      <c r="C465" s="8">
        <v>40.307692307692307</v>
      </c>
    </row>
    <row r="466" spans="1:3" x14ac:dyDescent="0.3">
      <c r="A466" s="12">
        <v>8</v>
      </c>
      <c r="B466">
        <v>11</v>
      </c>
      <c r="C466" s="8">
        <v>29.375</v>
      </c>
    </row>
    <row r="467" spans="1:3" x14ac:dyDescent="0.3">
      <c r="A467" s="12">
        <v>15</v>
      </c>
      <c r="B467">
        <v>20</v>
      </c>
      <c r="C467" s="8">
        <v>37.6</v>
      </c>
    </row>
    <row r="468" spans="1:3" x14ac:dyDescent="0.3">
      <c r="A468" s="12">
        <v>14</v>
      </c>
      <c r="B468">
        <v>27</v>
      </c>
      <c r="C468" s="8">
        <v>29.928571428571427</v>
      </c>
    </row>
    <row r="469" spans="1:3" x14ac:dyDescent="0.3">
      <c r="A469" s="12">
        <v>1</v>
      </c>
      <c r="B469">
        <v>1</v>
      </c>
      <c r="C469" s="8">
        <v>22</v>
      </c>
    </row>
    <row r="470" spans="1:3" x14ac:dyDescent="0.3">
      <c r="A470" s="12">
        <v>32</v>
      </c>
      <c r="B470">
        <v>52</v>
      </c>
      <c r="C470" s="8">
        <v>31.15625</v>
      </c>
    </row>
    <row r="471" spans="1:3" x14ac:dyDescent="0.3">
      <c r="A471" s="12">
        <v>21</v>
      </c>
      <c r="B471">
        <v>33</v>
      </c>
      <c r="C471" s="8">
        <v>42.142857142857146</v>
      </c>
    </row>
    <row r="472" spans="1:3" x14ac:dyDescent="0.3">
      <c r="A472" s="12">
        <v>30</v>
      </c>
      <c r="B472">
        <v>60</v>
      </c>
      <c r="C472" s="8">
        <v>25.266666666666666</v>
      </c>
    </row>
    <row r="473" spans="1:3" x14ac:dyDescent="0.3">
      <c r="A473" s="12">
        <v>6</v>
      </c>
      <c r="B473">
        <v>11</v>
      </c>
      <c r="C473" s="8">
        <v>39.5</v>
      </c>
    </row>
    <row r="474" spans="1:3" x14ac:dyDescent="0.3">
      <c r="A474" s="12">
        <v>5</v>
      </c>
      <c r="B474">
        <v>8</v>
      </c>
      <c r="C474" s="8">
        <v>34.799999999999997</v>
      </c>
    </row>
    <row r="475" spans="1:3" x14ac:dyDescent="0.3">
      <c r="A475" s="12">
        <v>26</v>
      </c>
      <c r="B475">
        <v>48</v>
      </c>
      <c r="C475" s="8">
        <v>26.807692307692307</v>
      </c>
    </row>
    <row r="476" spans="1:3" x14ac:dyDescent="0.3">
      <c r="A476" s="12">
        <v>28</v>
      </c>
      <c r="B476">
        <v>64</v>
      </c>
      <c r="C476" s="8">
        <v>29.428571428571427</v>
      </c>
    </row>
    <row r="477" spans="1:3" x14ac:dyDescent="0.3">
      <c r="A477" s="12">
        <v>24</v>
      </c>
      <c r="B477">
        <v>50</v>
      </c>
      <c r="C477" s="8">
        <v>27.083333333333332</v>
      </c>
    </row>
    <row r="478" spans="1:3" x14ac:dyDescent="0.3">
      <c r="A478" s="12">
        <v>26</v>
      </c>
      <c r="B478">
        <v>37</v>
      </c>
      <c r="C478" s="8">
        <v>34.846153846153847</v>
      </c>
    </row>
    <row r="479" spans="1:3" x14ac:dyDescent="0.3">
      <c r="A479" s="12">
        <v>22</v>
      </c>
      <c r="B479">
        <v>47</v>
      </c>
      <c r="C479" s="8">
        <v>33.409090909090907</v>
      </c>
    </row>
    <row r="480" spans="1:3" x14ac:dyDescent="0.3">
      <c r="A480" s="12">
        <v>6</v>
      </c>
      <c r="B480">
        <v>11</v>
      </c>
      <c r="C480" s="8">
        <v>29.166666666666668</v>
      </c>
    </row>
    <row r="481" spans="1:3" x14ac:dyDescent="0.3">
      <c r="A481" s="12">
        <v>36</v>
      </c>
      <c r="B481">
        <v>61</v>
      </c>
      <c r="C481" s="8">
        <v>25.277777777777779</v>
      </c>
    </row>
    <row r="482" spans="1:3" x14ac:dyDescent="0.3">
      <c r="A482" s="12">
        <v>20</v>
      </c>
      <c r="B482">
        <v>48</v>
      </c>
      <c r="C482" s="8">
        <v>41.1</v>
      </c>
    </row>
    <row r="483" spans="1:3" x14ac:dyDescent="0.3">
      <c r="A483" s="12">
        <v>4</v>
      </c>
      <c r="B483">
        <v>4</v>
      </c>
      <c r="C483" s="8">
        <v>34.25</v>
      </c>
    </row>
    <row r="484" spans="1:3" x14ac:dyDescent="0.3">
      <c r="A484" s="12">
        <v>23</v>
      </c>
      <c r="B484">
        <v>48</v>
      </c>
      <c r="C484" s="8">
        <v>36.217391304347828</v>
      </c>
    </row>
    <row r="485" spans="1:3" x14ac:dyDescent="0.3">
      <c r="A485" s="12">
        <v>30</v>
      </c>
      <c r="B485">
        <v>46</v>
      </c>
      <c r="C485" s="8">
        <v>26.366666666666667</v>
      </c>
    </row>
    <row r="486" spans="1:3" x14ac:dyDescent="0.3">
      <c r="A486" s="12">
        <v>8</v>
      </c>
      <c r="B486">
        <v>10</v>
      </c>
      <c r="C486" s="8">
        <v>26.875</v>
      </c>
    </row>
    <row r="487" spans="1:3" x14ac:dyDescent="0.3">
      <c r="A487" s="12">
        <v>7</v>
      </c>
      <c r="B487">
        <v>9</v>
      </c>
      <c r="C487" s="8">
        <v>28.285714285714285</v>
      </c>
    </row>
    <row r="488" spans="1:3" x14ac:dyDescent="0.3">
      <c r="A488" s="12">
        <v>14</v>
      </c>
      <c r="B488">
        <v>27</v>
      </c>
      <c r="C488" s="8">
        <v>29.071428571428573</v>
      </c>
    </row>
    <row r="489" spans="1:3" x14ac:dyDescent="0.3">
      <c r="A489" s="12">
        <v>17</v>
      </c>
      <c r="B489">
        <v>36</v>
      </c>
      <c r="C489" s="8">
        <v>35.058823529411768</v>
      </c>
    </row>
    <row r="490" spans="1:3" x14ac:dyDescent="0.3">
      <c r="A490" s="12">
        <v>30</v>
      </c>
      <c r="B490">
        <v>66</v>
      </c>
      <c r="C490" s="8">
        <v>27.133333333333333</v>
      </c>
    </row>
    <row r="491" spans="1:3" x14ac:dyDescent="0.3">
      <c r="A491" s="12">
        <v>21</v>
      </c>
      <c r="B491">
        <v>32</v>
      </c>
      <c r="C491" s="8">
        <v>38.714285714285715</v>
      </c>
    </row>
    <row r="492" spans="1:3" x14ac:dyDescent="0.3">
      <c r="A492" s="12">
        <v>2</v>
      </c>
      <c r="B492">
        <v>4</v>
      </c>
      <c r="C492" s="8">
        <v>24</v>
      </c>
    </row>
    <row r="493" spans="1:3" x14ac:dyDescent="0.3">
      <c r="A493" s="12">
        <v>24</v>
      </c>
      <c r="B493">
        <v>40</v>
      </c>
      <c r="C493" s="8">
        <v>27.833333333333332</v>
      </c>
    </row>
    <row r="494" spans="1:3" x14ac:dyDescent="0.3">
      <c r="A494" s="12">
        <v>37</v>
      </c>
      <c r="B494">
        <v>80</v>
      </c>
      <c r="C494" s="8">
        <v>26.675675675675677</v>
      </c>
    </row>
    <row r="495" spans="1:3" x14ac:dyDescent="0.3">
      <c r="A495" s="12">
        <v>16</v>
      </c>
      <c r="B495">
        <v>27</v>
      </c>
      <c r="C495" s="8">
        <v>38.4375</v>
      </c>
    </row>
    <row r="496" spans="1:3" x14ac:dyDescent="0.3">
      <c r="A496" s="12">
        <v>27</v>
      </c>
      <c r="B496">
        <v>61</v>
      </c>
      <c r="C496" s="8">
        <v>32</v>
      </c>
    </row>
    <row r="497" spans="1:3" x14ac:dyDescent="0.3">
      <c r="A497" s="12">
        <v>15</v>
      </c>
      <c r="B497">
        <v>25</v>
      </c>
      <c r="C497" s="8">
        <v>44.2</v>
      </c>
    </row>
    <row r="498" spans="1:3" x14ac:dyDescent="0.3">
      <c r="A498" s="12">
        <v>6</v>
      </c>
      <c r="B498">
        <v>12</v>
      </c>
      <c r="C498" s="8">
        <v>41.333333333333336</v>
      </c>
    </row>
    <row r="499" spans="1:3" x14ac:dyDescent="0.3">
      <c r="A499" s="12">
        <v>29</v>
      </c>
      <c r="B499">
        <v>44</v>
      </c>
      <c r="C499" s="8">
        <v>27.137931034482758</v>
      </c>
    </row>
    <row r="500" spans="1:3" x14ac:dyDescent="0.3">
      <c r="A500" s="12">
        <v>28</v>
      </c>
      <c r="B500">
        <v>46</v>
      </c>
      <c r="C500" s="8">
        <v>27.357142857142858</v>
      </c>
    </row>
    <row r="501" spans="1:3" x14ac:dyDescent="0.3">
      <c r="A501" s="12">
        <v>9</v>
      </c>
      <c r="B501">
        <v>17</v>
      </c>
      <c r="C501" s="8">
        <v>31</v>
      </c>
    </row>
    <row r="502" spans="1:3" x14ac:dyDescent="0.3">
      <c r="A502" s="12">
        <v>14</v>
      </c>
      <c r="B502">
        <v>27</v>
      </c>
      <c r="C502" s="8">
        <v>26.142857142857142</v>
      </c>
    </row>
    <row r="503" spans="1:3" x14ac:dyDescent="0.3">
      <c r="A503" s="12">
        <v>11</v>
      </c>
      <c r="B503">
        <v>21</v>
      </c>
      <c r="C503" s="8">
        <v>36.81818181818182</v>
      </c>
    </row>
    <row r="504" spans="1:3" x14ac:dyDescent="0.3">
      <c r="A504" s="12">
        <v>16</v>
      </c>
      <c r="B504">
        <v>32</v>
      </c>
      <c r="C504" s="8">
        <v>27.625</v>
      </c>
    </row>
    <row r="505" spans="1:3" x14ac:dyDescent="0.3">
      <c r="A505" s="12">
        <v>6</v>
      </c>
      <c r="B505">
        <v>10</v>
      </c>
      <c r="C505" s="8">
        <v>45.333333333333336</v>
      </c>
    </row>
    <row r="506" spans="1:3" x14ac:dyDescent="0.3">
      <c r="A506" s="12">
        <v>3</v>
      </c>
      <c r="B506">
        <v>5</v>
      </c>
      <c r="C506" s="8">
        <v>28.333333333333332</v>
      </c>
    </row>
    <row r="507" spans="1:3" x14ac:dyDescent="0.3">
      <c r="A507" s="12">
        <v>9</v>
      </c>
      <c r="B507">
        <v>16</v>
      </c>
      <c r="C507" s="8">
        <v>43.666666666666664</v>
      </c>
    </row>
    <row r="508" spans="1:3" x14ac:dyDescent="0.3">
      <c r="A508" s="12">
        <v>11</v>
      </c>
      <c r="B508">
        <v>19</v>
      </c>
      <c r="C508" s="8">
        <v>43.454545454545453</v>
      </c>
    </row>
    <row r="509" spans="1:3" x14ac:dyDescent="0.3">
      <c r="A509" s="12">
        <v>26</v>
      </c>
      <c r="B509">
        <v>43</v>
      </c>
      <c r="C509" s="8">
        <v>36.730769230769234</v>
      </c>
    </row>
    <row r="510" spans="1:3" x14ac:dyDescent="0.3">
      <c r="A510" s="12">
        <v>14</v>
      </c>
      <c r="B510">
        <v>30</v>
      </c>
      <c r="C510" s="8">
        <v>28.357142857142858</v>
      </c>
    </row>
    <row r="511" spans="1:3" x14ac:dyDescent="0.3">
      <c r="A511" s="12">
        <v>9</v>
      </c>
      <c r="B511">
        <v>14</v>
      </c>
      <c r="C511" s="8">
        <v>36.444444444444443</v>
      </c>
    </row>
    <row r="512" spans="1:3" x14ac:dyDescent="0.3">
      <c r="A512" s="12">
        <v>3</v>
      </c>
      <c r="B512">
        <v>5</v>
      </c>
      <c r="C512" s="8">
        <v>38.666666666666664</v>
      </c>
    </row>
    <row r="513" spans="1:3" x14ac:dyDescent="0.3">
      <c r="A513" s="12">
        <v>19</v>
      </c>
      <c r="B513">
        <v>25</v>
      </c>
      <c r="C513" s="8">
        <v>30.473684210526315</v>
      </c>
    </row>
    <row r="514" spans="1:3" x14ac:dyDescent="0.3">
      <c r="A514" s="12">
        <v>7</v>
      </c>
      <c r="B514">
        <v>10</v>
      </c>
      <c r="C514" s="8">
        <v>32.571428571428569</v>
      </c>
    </row>
    <row r="515" spans="1:3" x14ac:dyDescent="0.3">
      <c r="A515" s="12">
        <v>9</v>
      </c>
      <c r="B515">
        <v>11</v>
      </c>
      <c r="C515" s="8">
        <v>37.888888888888886</v>
      </c>
    </row>
    <row r="516" spans="1:3" x14ac:dyDescent="0.3">
      <c r="A516" s="12">
        <v>13</v>
      </c>
      <c r="B516">
        <v>23</v>
      </c>
      <c r="C516" s="8">
        <v>42.07692307692308</v>
      </c>
    </row>
    <row r="517" spans="1:3" x14ac:dyDescent="0.3">
      <c r="A517" s="12">
        <v>12</v>
      </c>
      <c r="B517">
        <v>20</v>
      </c>
      <c r="C517" s="8">
        <v>37.583333333333336</v>
      </c>
    </row>
    <row r="518" spans="1:3" x14ac:dyDescent="0.3">
      <c r="A518" s="12">
        <v>24</v>
      </c>
      <c r="B518">
        <v>47</v>
      </c>
      <c r="C518" s="8">
        <v>41.125</v>
      </c>
    </row>
    <row r="519" spans="1:3" x14ac:dyDescent="0.3">
      <c r="A519" s="12">
        <v>15</v>
      </c>
      <c r="B519">
        <v>30</v>
      </c>
      <c r="C519" s="8">
        <v>41.06666666666667</v>
      </c>
    </row>
    <row r="520" spans="1:3" x14ac:dyDescent="0.3">
      <c r="A520" s="12">
        <v>3</v>
      </c>
      <c r="B520">
        <v>4</v>
      </c>
      <c r="C520" s="8">
        <v>31.666666666666668</v>
      </c>
    </row>
    <row r="521" spans="1:3" x14ac:dyDescent="0.3">
      <c r="A521" s="12">
        <v>7</v>
      </c>
      <c r="B521">
        <v>10</v>
      </c>
      <c r="C521" s="8">
        <v>29</v>
      </c>
    </row>
    <row r="522" spans="1:3" x14ac:dyDescent="0.3">
      <c r="A522" s="12">
        <v>4</v>
      </c>
      <c r="B522">
        <v>4</v>
      </c>
      <c r="C522" s="8">
        <v>32</v>
      </c>
    </row>
    <row r="523" spans="1:3" x14ac:dyDescent="0.3">
      <c r="A523" s="12">
        <v>8</v>
      </c>
      <c r="B523">
        <v>15</v>
      </c>
      <c r="C523" s="8">
        <v>26.625</v>
      </c>
    </row>
    <row r="524" spans="1:3" x14ac:dyDescent="0.3">
      <c r="A524" s="12">
        <v>2</v>
      </c>
      <c r="B524">
        <v>2</v>
      </c>
      <c r="C524" s="8">
        <v>29</v>
      </c>
    </row>
    <row r="525" spans="1:3" x14ac:dyDescent="0.3">
      <c r="A525" s="12">
        <v>17</v>
      </c>
      <c r="B525">
        <v>36</v>
      </c>
      <c r="C525" s="8">
        <v>24.941176470588236</v>
      </c>
    </row>
    <row r="526" spans="1:3" x14ac:dyDescent="0.3">
      <c r="A526" s="12">
        <v>13</v>
      </c>
      <c r="B526">
        <v>21</v>
      </c>
      <c r="C526" s="8">
        <v>39.692307692307693</v>
      </c>
    </row>
    <row r="527" spans="1:3" x14ac:dyDescent="0.3">
      <c r="A527" s="12">
        <v>3</v>
      </c>
      <c r="B527">
        <v>4</v>
      </c>
      <c r="C527" s="8">
        <v>24.333333333333332</v>
      </c>
    </row>
    <row r="528" spans="1:3" x14ac:dyDescent="0.3">
      <c r="A528" s="12">
        <v>4</v>
      </c>
      <c r="B528">
        <v>4</v>
      </c>
      <c r="C528" s="8">
        <v>36.5</v>
      </c>
    </row>
    <row r="529" spans="1:3" x14ac:dyDescent="0.3">
      <c r="A529" s="12">
        <v>2</v>
      </c>
      <c r="B529">
        <v>3</v>
      </c>
      <c r="C529" s="8">
        <v>29.5</v>
      </c>
    </row>
    <row r="530" spans="1:3" x14ac:dyDescent="0.3">
      <c r="A530" s="12">
        <v>8</v>
      </c>
      <c r="B530">
        <v>10</v>
      </c>
      <c r="C530" s="8">
        <v>24.625</v>
      </c>
    </row>
    <row r="531" spans="1:3" x14ac:dyDescent="0.3">
      <c r="A531" s="12">
        <v>15</v>
      </c>
      <c r="B531">
        <v>20</v>
      </c>
      <c r="C531" s="8">
        <v>35.866666666666667</v>
      </c>
    </row>
    <row r="532" spans="1:3" x14ac:dyDescent="0.3">
      <c r="A532" s="12">
        <v>22</v>
      </c>
      <c r="B532">
        <v>48</v>
      </c>
      <c r="C532" s="8">
        <v>29.545454545454547</v>
      </c>
    </row>
    <row r="533" spans="1:3" x14ac:dyDescent="0.3">
      <c r="A533" s="12">
        <v>20</v>
      </c>
      <c r="B533">
        <v>46</v>
      </c>
      <c r="C533" s="8">
        <v>35.450000000000003</v>
      </c>
    </row>
    <row r="534" spans="1:3" x14ac:dyDescent="0.3">
      <c r="A534" s="12">
        <v>26</v>
      </c>
      <c r="B534">
        <v>48</v>
      </c>
      <c r="C534" s="8">
        <v>31.96153846153846</v>
      </c>
    </row>
    <row r="535" spans="1:3" x14ac:dyDescent="0.3">
      <c r="A535" s="12">
        <v>27</v>
      </c>
      <c r="B535">
        <v>56</v>
      </c>
      <c r="C535" s="8">
        <v>25.148148148148149</v>
      </c>
    </row>
    <row r="536" spans="1:3" x14ac:dyDescent="0.3">
      <c r="A536" s="12">
        <v>15</v>
      </c>
      <c r="B536">
        <v>26</v>
      </c>
      <c r="C536" s="8">
        <v>37.133333333333333</v>
      </c>
    </row>
    <row r="537" spans="1:3" x14ac:dyDescent="0.3">
      <c r="A537" s="12">
        <v>22</v>
      </c>
      <c r="B537">
        <v>37</v>
      </c>
      <c r="C537" s="8">
        <v>38.454545454545453</v>
      </c>
    </row>
    <row r="538" spans="1:3" x14ac:dyDescent="0.3">
      <c r="A538" s="12">
        <v>23</v>
      </c>
      <c r="B538">
        <v>45</v>
      </c>
      <c r="C538" s="8">
        <v>32.652173913043477</v>
      </c>
    </row>
    <row r="539" spans="1:3" x14ac:dyDescent="0.3">
      <c r="A539" s="12">
        <v>5</v>
      </c>
      <c r="B539">
        <v>8</v>
      </c>
      <c r="C539" s="8">
        <v>33</v>
      </c>
    </row>
    <row r="540" spans="1:3" x14ac:dyDescent="0.3">
      <c r="A540" s="12">
        <v>14</v>
      </c>
      <c r="B540">
        <v>31</v>
      </c>
      <c r="C540" s="8">
        <v>30.071428571428573</v>
      </c>
    </row>
    <row r="541" spans="1:3" x14ac:dyDescent="0.3">
      <c r="A541" s="12">
        <v>5</v>
      </c>
      <c r="B541">
        <v>9</v>
      </c>
      <c r="C541" s="8">
        <v>36</v>
      </c>
    </row>
    <row r="542" spans="1:3" x14ac:dyDescent="0.3">
      <c r="A542" s="12">
        <v>14</v>
      </c>
      <c r="B542">
        <v>29</v>
      </c>
      <c r="C542" s="8">
        <v>38.785714285714285</v>
      </c>
    </row>
    <row r="543" spans="1:3" x14ac:dyDescent="0.3">
      <c r="A543" s="12">
        <v>15</v>
      </c>
      <c r="B543">
        <v>18</v>
      </c>
      <c r="C543" s="8">
        <v>36.133333333333333</v>
      </c>
    </row>
    <row r="544" spans="1:3" x14ac:dyDescent="0.3">
      <c r="A544" s="12">
        <v>29</v>
      </c>
      <c r="B544">
        <v>50</v>
      </c>
      <c r="C544" s="8">
        <v>31.793103448275861</v>
      </c>
    </row>
    <row r="545" spans="1:3" x14ac:dyDescent="0.3">
      <c r="A545" s="12">
        <v>32</v>
      </c>
      <c r="B545">
        <v>55</v>
      </c>
      <c r="C545" s="8">
        <v>25.75</v>
      </c>
    </row>
    <row r="546" spans="1:3" x14ac:dyDescent="0.3">
      <c r="A546" s="12">
        <v>16</v>
      </c>
      <c r="B546">
        <v>33</v>
      </c>
      <c r="C546" s="8">
        <v>34.4375</v>
      </c>
    </row>
    <row r="547" spans="1:3" x14ac:dyDescent="0.3">
      <c r="A547" s="12">
        <v>1</v>
      </c>
      <c r="B547">
        <v>2</v>
      </c>
      <c r="C547" s="8">
        <v>52</v>
      </c>
    </row>
    <row r="548" spans="1:3" x14ac:dyDescent="0.3">
      <c r="A548" s="12">
        <v>21</v>
      </c>
      <c r="B548">
        <v>40</v>
      </c>
      <c r="C548" s="8">
        <v>38.80952380952381</v>
      </c>
    </row>
    <row r="549" spans="1:3" x14ac:dyDescent="0.3">
      <c r="A549" s="12">
        <v>5</v>
      </c>
      <c r="B549">
        <v>7</v>
      </c>
      <c r="C549" s="8">
        <v>38.799999999999997</v>
      </c>
    </row>
    <row r="550" spans="1:3" x14ac:dyDescent="0.3">
      <c r="A550" s="12">
        <v>7</v>
      </c>
      <c r="B550">
        <v>15</v>
      </c>
      <c r="C550" s="8">
        <v>27.142857142857142</v>
      </c>
    </row>
    <row r="551" spans="1:3" x14ac:dyDescent="0.3">
      <c r="A551" s="12">
        <v>28</v>
      </c>
      <c r="B551">
        <v>42</v>
      </c>
      <c r="C551" s="8">
        <v>35.5</v>
      </c>
    </row>
    <row r="552" spans="1:3" x14ac:dyDescent="0.3">
      <c r="A552" s="12">
        <v>15</v>
      </c>
      <c r="B552">
        <v>26</v>
      </c>
      <c r="C552" s="8">
        <v>38</v>
      </c>
    </row>
    <row r="553" spans="1:3" x14ac:dyDescent="0.3">
      <c r="A553" s="12">
        <v>7</v>
      </c>
      <c r="B553">
        <v>14</v>
      </c>
      <c r="C553" s="8">
        <v>31.285714285714285</v>
      </c>
    </row>
    <row r="554" spans="1:3" x14ac:dyDescent="0.3">
      <c r="A554" s="12">
        <v>10</v>
      </c>
      <c r="B554">
        <v>13</v>
      </c>
      <c r="C554" s="8">
        <v>27.3</v>
      </c>
    </row>
    <row r="555" spans="1:3" x14ac:dyDescent="0.3">
      <c r="A555" s="12">
        <v>6</v>
      </c>
      <c r="B555">
        <v>12</v>
      </c>
      <c r="C555" s="8">
        <v>41.833333333333336</v>
      </c>
    </row>
    <row r="556" spans="1:3" x14ac:dyDescent="0.3">
      <c r="A556" s="12">
        <v>11</v>
      </c>
      <c r="B556">
        <v>23</v>
      </c>
      <c r="C556" s="8">
        <v>37.454545454545453</v>
      </c>
    </row>
    <row r="557" spans="1:3" x14ac:dyDescent="0.3">
      <c r="A557" s="12">
        <v>7</v>
      </c>
      <c r="B557">
        <v>15</v>
      </c>
      <c r="C557" s="8">
        <v>31.142857142857142</v>
      </c>
    </row>
    <row r="558" spans="1:3" x14ac:dyDescent="0.3">
      <c r="A558" s="12">
        <v>18</v>
      </c>
      <c r="B558">
        <v>39</v>
      </c>
      <c r="C558" s="8">
        <v>37.611111111111114</v>
      </c>
    </row>
    <row r="559" spans="1:3" x14ac:dyDescent="0.3">
      <c r="A559" s="12">
        <v>13</v>
      </c>
      <c r="B559">
        <v>16</v>
      </c>
      <c r="C559" s="8">
        <v>28.23076923076923</v>
      </c>
    </row>
    <row r="560" spans="1:3" x14ac:dyDescent="0.3">
      <c r="A560" s="12">
        <v>18</v>
      </c>
      <c r="B560">
        <v>38</v>
      </c>
      <c r="C560" s="8">
        <v>30.333333333333332</v>
      </c>
    </row>
    <row r="561" spans="1:3" x14ac:dyDescent="0.3">
      <c r="A561" s="12">
        <v>19</v>
      </c>
      <c r="B561">
        <v>30</v>
      </c>
      <c r="C561" s="8">
        <v>38.210526315789473</v>
      </c>
    </row>
    <row r="562" spans="1:3" x14ac:dyDescent="0.3">
      <c r="A562" s="12">
        <v>11</v>
      </c>
      <c r="B562">
        <v>21</v>
      </c>
      <c r="C562" s="8">
        <v>38.545454545454547</v>
      </c>
    </row>
    <row r="563" spans="1:3" x14ac:dyDescent="0.3">
      <c r="A563" s="12">
        <v>7</v>
      </c>
      <c r="B563">
        <v>13</v>
      </c>
      <c r="C563" s="8">
        <v>34.714285714285715</v>
      </c>
    </row>
    <row r="564" spans="1:3" x14ac:dyDescent="0.3">
      <c r="A564" s="12">
        <v>6</v>
      </c>
      <c r="B564">
        <v>8</v>
      </c>
      <c r="C564" s="8">
        <v>44.333333333333336</v>
      </c>
    </row>
    <row r="565" spans="1:3" x14ac:dyDescent="0.3">
      <c r="A565" s="12">
        <v>18</v>
      </c>
      <c r="B565">
        <v>32</v>
      </c>
      <c r="C565" s="8">
        <v>24.722222222222221</v>
      </c>
    </row>
    <row r="566" spans="1:3" x14ac:dyDescent="0.3">
      <c r="A566" s="12">
        <v>21</v>
      </c>
      <c r="B566">
        <v>34</v>
      </c>
      <c r="C566" s="8">
        <v>31</v>
      </c>
    </row>
    <row r="567" spans="1:3" x14ac:dyDescent="0.3">
      <c r="A567" s="12">
        <v>17</v>
      </c>
      <c r="B567">
        <v>24</v>
      </c>
      <c r="C567" s="8">
        <v>33.058823529411768</v>
      </c>
    </row>
    <row r="568" spans="1:3" x14ac:dyDescent="0.3">
      <c r="A568" s="12">
        <v>21</v>
      </c>
      <c r="B568">
        <v>43</v>
      </c>
      <c r="C568" s="8">
        <v>33.476190476190474</v>
      </c>
    </row>
    <row r="569" spans="1:3" x14ac:dyDescent="0.3">
      <c r="A569" s="12">
        <v>10</v>
      </c>
      <c r="B569">
        <v>18</v>
      </c>
      <c r="C569" s="8">
        <v>44.2</v>
      </c>
    </row>
    <row r="570" spans="1:3" x14ac:dyDescent="0.3">
      <c r="A570" s="12">
        <v>1</v>
      </c>
      <c r="B570">
        <v>1</v>
      </c>
      <c r="C570" s="8">
        <v>27</v>
      </c>
    </row>
    <row r="571" spans="1:3" x14ac:dyDescent="0.3">
      <c r="A571" s="12">
        <v>3</v>
      </c>
      <c r="B571">
        <v>4</v>
      </c>
      <c r="C571" s="8">
        <v>31.666666666666668</v>
      </c>
    </row>
    <row r="572" spans="1:3" x14ac:dyDescent="0.3">
      <c r="A572" s="12">
        <v>7</v>
      </c>
      <c r="B572">
        <v>9</v>
      </c>
      <c r="C572" s="8">
        <v>44</v>
      </c>
    </row>
    <row r="573" spans="1:3" x14ac:dyDescent="0.3">
      <c r="A573" s="12">
        <v>4</v>
      </c>
      <c r="B573">
        <v>6</v>
      </c>
      <c r="C573" s="8">
        <v>31.5</v>
      </c>
    </row>
    <row r="574" spans="1:3" x14ac:dyDescent="0.3">
      <c r="A574" s="12">
        <v>13</v>
      </c>
      <c r="B574">
        <v>23</v>
      </c>
      <c r="C574" s="8">
        <v>43.07692307692308</v>
      </c>
    </row>
    <row r="575" spans="1:3" x14ac:dyDescent="0.3">
      <c r="A575" s="12">
        <v>23</v>
      </c>
      <c r="B575">
        <v>45</v>
      </c>
      <c r="C575" s="8">
        <v>29.391304347826086</v>
      </c>
    </row>
    <row r="576" spans="1:3" x14ac:dyDescent="0.3">
      <c r="A576" s="12">
        <v>8</v>
      </c>
      <c r="B576">
        <v>15</v>
      </c>
      <c r="C576" s="8">
        <v>30</v>
      </c>
    </row>
    <row r="577" spans="1:3" x14ac:dyDescent="0.3">
      <c r="A577" s="12">
        <v>6</v>
      </c>
      <c r="B577">
        <v>9</v>
      </c>
      <c r="C577" s="8">
        <v>25.833333333333332</v>
      </c>
    </row>
    <row r="578" spans="1:3" x14ac:dyDescent="0.3">
      <c r="A578" s="12">
        <v>5</v>
      </c>
      <c r="B578">
        <v>10</v>
      </c>
      <c r="C578" s="8">
        <v>31.4</v>
      </c>
    </row>
    <row r="579" spans="1:3" x14ac:dyDescent="0.3">
      <c r="A579" s="12">
        <v>20</v>
      </c>
      <c r="B579">
        <v>29</v>
      </c>
      <c r="C579" s="8">
        <v>36.6</v>
      </c>
    </row>
    <row r="580" spans="1:3" x14ac:dyDescent="0.3">
      <c r="A580" s="12">
        <v>13</v>
      </c>
      <c r="B580">
        <v>21</v>
      </c>
      <c r="C580" s="8">
        <v>31.692307692307693</v>
      </c>
    </row>
    <row r="581" spans="1:3" x14ac:dyDescent="0.3">
      <c r="A581" s="12">
        <v>10</v>
      </c>
      <c r="B581">
        <v>20</v>
      </c>
      <c r="C581" s="8">
        <v>35.299999999999997</v>
      </c>
    </row>
    <row r="582" spans="1:3" x14ac:dyDescent="0.3">
      <c r="A582" s="12">
        <v>9</v>
      </c>
      <c r="B582">
        <v>12</v>
      </c>
      <c r="C582" s="8">
        <v>35.666666666666664</v>
      </c>
    </row>
    <row r="583" spans="1:3" x14ac:dyDescent="0.3">
      <c r="A583" s="12">
        <v>14</v>
      </c>
      <c r="B583">
        <v>19</v>
      </c>
      <c r="C583" s="8">
        <v>44.428571428571431</v>
      </c>
    </row>
    <row r="584" spans="1:3" x14ac:dyDescent="0.3">
      <c r="A584" s="12">
        <v>29</v>
      </c>
      <c r="B584">
        <v>49</v>
      </c>
      <c r="C584" s="8">
        <v>27.620689655172413</v>
      </c>
    </row>
    <row r="585" spans="1:3" x14ac:dyDescent="0.3">
      <c r="A585" s="12">
        <v>30</v>
      </c>
      <c r="B585">
        <v>46</v>
      </c>
      <c r="C585" s="8">
        <v>31.8</v>
      </c>
    </row>
    <row r="586" spans="1:3" x14ac:dyDescent="0.3">
      <c r="A586" s="12">
        <v>18</v>
      </c>
      <c r="B586">
        <v>26</v>
      </c>
      <c r="C586" s="8">
        <v>30.777777777777779</v>
      </c>
    </row>
    <row r="587" spans="1:3" x14ac:dyDescent="0.3">
      <c r="A587" s="12">
        <v>31</v>
      </c>
      <c r="B587">
        <v>55</v>
      </c>
      <c r="C587" s="8">
        <v>28.677419354838708</v>
      </c>
    </row>
    <row r="588" spans="1:3" x14ac:dyDescent="0.3">
      <c r="A588" s="12">
        <v>28</v>
      </c>
      <c r="B588">
        <v>50</v>
      </c>
      <c r="C588" s="8">
        <v>26.607142857142858</v>
      </c>
    </row>
    <row r="589" spans="1:3" x14ac:dyDescent="0.3">
      <c r="A589" s="12">
        <v>6</v>
      </c>
      <c r="B589">
        <v>11</v>
      </c>
      <c r="C589" s="8">
        <v>33.666666666666664</v>
      </c>
    </row>
    <row r="590" spans="1:3" x14ac:dyDescent="0.3">
      <c r="A590" s="12">
        <v>9</v>
      </c>
      <c r="B590">
        <v>11</v>
      </c>
      <c r="C590" s="8">
        <v>40.888888888888886</v>
      </c>
    </row>
    <row r="591" spans="1:3" x14ac:dyDescent="0.3">
      <c r="A591" s="12">
        <v>17</v>
      </c>
      <c r="B591">
        <v>33</v>
      </c>
      <c r="C591" s="8">
        <v>45.705882352941174</v>
      </c>
    </row>
    <row r="592" spans="1:3" x14ac:dyDescent="0.3">
      <c r="A592" s="12">
        <v>11</v>
      </c>
      <c r="B592">
        <v>20</v>
      </c>
      <c r="C592" s="8">
        <v>41.636363636363633</v>
      </c>
    </row>
    <row r="593" spans="1:3" x14ac:dyDescent="0.3">
      <c r="A593" s="12">
        <v>20</v>
      </c>
      <c r="B593">
        <v>43</v>
      </c>
      <c r="C593" s="8">
        <v>31.9</v>
      </c>
    </row>
    <row r="594" spans="1:3" x14ac:dyDescent="0.3">
      <c r="A594" s="12">
        <v>19</v>
      </c>
      <c r="B594">
        <v>39</v>
      </c>
      <c r="C594" s="8">
        <v>30.684210526315791</v>
      </c>
    </row>
    <row r="595" spans="1:3" x14ac:dyDescent="0.3">
      <c r="A595" s="12">
        <v>25</v>
      </c>
      <c r="B595">
        <v>56</v>
      </c>
      <c r="C595" s="8">
        <v>38.24</v>
      </c>
    </row>
    <row r="596" spans="1:3" x14ac:dyDescent="0.3">
      <c r="A596" s="12">
        <v>11</v>
      </c>
      <c r="B596">
        <v>23</v>
      </c>
      <c r="C596" s="8">
        <v>41.727272727272727</v>
      </c>
    </row>
    <row r="597" spans="1:3" x14ac:dyDescent="0.3">
      <c r="A597" s="12">
        <v>18</v>
      </c>
      <c r="B597">
        <v>30</v>
      </c>
      <c r="C597" s="8">
        <v>41.388888888888886</v>
      </c>
    </row>
    <row r="598" spans="1:3" x14ac:dyDescent="0.3">
      <c r="A598" s="12">
        <v>2</v>
      </c>
      <c r="B598">
        <v>3</v>
      </c>
      <c r="C598" s="8">
        <v>28.5</v>
      </c>
    </row>
    <row r="599" spans="1:3" x14ac:dyDescent="0.3">
      <c r="A599" s="12">
        <v>32</v>
      </c>
      <c r="B599">
        <v>72</v>
      </c>
      <c r="C599" s="8">
        <v>30.75</v>
      </c>
    </row>
    <row r="600" spans="1:3" x14ac:dyDescent="0.3">
      <c r="A600" s="12">
        <v>10</v>
      </c>
      <c r="B600">
        <v>20</v>
      </c>
      <c r="C600" s="8">
        <v>39.1</v>
      </c>
    </row>
    <row r="601" spans="1:3" x14ac:dyDescent="0.3">
      <c r="A601" s="12">
        <v>9</v>
      </c>
      <c r="B601">
        <v>19</v>
      </c>
      <c r="C601" s="8">
        <v>32.666666666666664</v>
      </c>
    </row>
    <row r="602" spans="1:3" x14ac:dyDescent="0.3">
      <c r="A602" s="12">
        <v>22</v>
      </c>
      <c r="B602">
        <v>39</v>
      </c>
      <c r="C602" s="8">
        <v>42.5</v>
      </c>
    </row>
    <row r="603" spans="1:3" x14ac:dyDescent="0.3">
      <c r="A603" s="12">
        <v>11</v>
      </c>
      <c r="B603">
        <v>15</v>
      </c>
      <c r="C603" s="8">
        <v>41.545454545454547</v>
      </c>
    </row>
    <row r="604" spans="1:3" x14ac:dyDescent="0.3">
      <c r="A604" s="12">
        <v>27</v>
      </c>
      <c r="B604">
        <v>64</v>
      </c>
      <c r="C604" s="8">
        <v>25</v>
      </c>
    </row>
    <row r="605" spans="1:3" x14ac:dyDescent="0.3">
      <c r="A605" s="12">
        <v>5</v>
      </c>
      <c r="B605">
        <v>7</v>
      </c>
      <c r="C605" s="8">
        <v>38.4</v>
      </c>
    </row>
    <row r="606" spans="1:3" x14ac:dyDescent="0.3">
      <c r="A606" s="12">
        <v>1</v>
      </c>
      <c r="B606">
        <v>2</v>
      </c>
      <c r="C606" s="8">
        <v>33</v>
      </c>
    </row>
    <row r="607" spans="1:3" x14ac:dyDescent="0.3">
      <c r="A607" s="12">
        <v>4</v>
      </c>
      <c r="B607">
        <v>7</v>
      </c>
      <c r="C607" s="8">
        <v>31</v>
      </c>
    </row>
    <row r="608" spans="1:3" x14ac:dyDescent="0.3">
      <c r="A608" s="12">
        <v>11</v>
      </c>
      <c r="B608">
        <v>17</v>
      </c>
      <c r="C608" s="8">
        <v>26.90909090909091</v>
      </c>
    </row>
    <row r="609" spans="1:3" x14ac:dyDescent="0.3">
      <c r="A609" s="12">
        <v>25</v>
      </c>
      <c r="B609">
        <v>36</v>
      </c>
      <c r="C609" s="8">
        <v>39.4</v>
      </c>
    </row>
    <row r="610" spans="1:3" x14ac:dyDescent="0.3">
      <c r="A610" s="12">
        <v>25</v>
      </c>
      <c r="B610">
        <v>55</v>
      </c>
      <c r="C610" s="8">
        <v>24.92</v>
      </c>
    </row>
    <row r="611" spans="1:3" x14ac:dyDescent="0.3">
      <c r="A611" s="12">
        <v>9</v>
      </c>
      <c r="B611">
        <v>19</v>
      </c>
      <c r="C611" s="8">
        <v>33</v>
      </c>
    </row>
    <row r="612" spans="1:3" x14ac:dyDescent="0.3">
      <c r="A612" s="12">
        <v>25</v>
      </c>
      <c r="B612">
        <v>40</v>
      </c>
      <c r="C612" s="8">
        <v>29.08</v>
      </c>
    </row>
    <row r="613" spans="1:3" x14ac:dyDescent="0.3">
      <c r="A613" s="12">
        <v>2</v>
      </c>
      <c r="B613">
        <v>3</v>
      </c>
      <c r="C613" s="8">
        <v>38</v>
      </c>
    </row>
    <row r="614" spans="1:3" x14ac:dyDescent="0.3">
      <c r="A614" s="12">
        <v>16</v>
      </c>
      <c r="B614">
        <v>28</v>
      </c>
      <c r="C614" s="8">
        <v>28.5625</v>
      </c>
    </row>
    <row r="615" spans="1:3" x14ac:dyDescent="0.3">
      <c r="A615" s="12">
        <v>22</v>
      </c>
      <c r="B615">
        <v>38</v>
      </c>
      <c r="C615" s="8">
        <v>34.409090909090907</v>
      </c>
    </row>
    <row r="616" spans="1:3" x14ac:dyDescent="0.3">
      <c r="A616" s="12">
        <v>12</v>
      </c>
      <c r="B616">
        <v>16</v>
      </c>
      <c r="C616" s="8">
        <v>26.916666666666668</v>
      </c>
    </row>
    <row r="617" spans="1:3" x14ac:dyDescent="0.3">
      <c r="A617" s="12">
        <v>13</v>
      </c>
      <c r="B617">
        <v>22</v>
      </c>
      <c r="C617" s="8">
        <v>33.615384615384613</v>
      </c>
    </row>
    <row r="618" spans="1:3" x14ac:dyDescent="0.3">
      <c r="A618" s="12">
        <v>18</v>
      </c>
      <c r="B618">
        <v>33</v>
      </c>
      <c r="C618" s="8">
        <v>33.111111111111114</v>
      </c>
    </row>
    <row r="619" spans="1:3" x14ac:dyDescent="0.3">
      <c r="A619" s="12">
        <v>34</v>
      </c>
      <c r="B619">
        <v>59</v>
      </c>
      <c r="C619" s="8">
        <v>26.617647058823529</v>
      </c>
    </row>
    <row r="620" spans="1:3" x14ac:dyDescent="0.3">
      <c r="A620" s="12">
        <v>15</v>
      </c>
      <c r="B620">
        <v>24</v>
      </c>
      <c r="C620" s="8">
        <v>27.533333333333335</v>
      </c>
    </row>
    <row r="621" spans="1:3" x14ac:dyDescent="0.3">
      <c r="A621" s="12">
        <v>25</v>
      </c>
      <c r="B621">
        <v>53</v>
      </c>
      <c r="C621" s="8">
        <v>34.64</v>
      </c>
    </row>
    <row r="622" spans="1:3" x14ac:dyDescent="0.3">
      <c r="A622" s="12">
        <v>17</v>
      </c>
      <c r="B622">
        <v>35</v>
      </c>
      <c r="C622" s="8">
        <v>30.176470588235293</v>
      </c>
    </row>
    <row r="623" spans="1:3" x14ac:dyDescent="0.3">
      <c r="A623" s="12">
        <v>22</v>
      </c>
      <c r="B623">
        <v>46</v>
      </c>
      <c r="C623" s="8">
        <v>44.454545454545453</v>
      </c>
    </row>
    <row r="624" spans="1:3" x14ac:dyDescent="0.3">
      <c r="A624" s="12">
        <v>1</v>
      </c>
      <c r="B624">
        <v>2</v>
      </c>
      <c r="C624" s="8">
        <v>32</v>
      </c>
    </row>
    <row r="625" spans="1:3" x14ac:dyDescent="0.3">
      <c r="A625" s="12">
        <v>6</v>
      </c>
      <c r="B625">
        <v>8</v>
      </c>
      <c r="C625" s="8">
        <v>44.833333333333336</v>
      </c>
    </row>
    <row r="626" spans="1:3" x14ac:dyDescent="0.3">
      <c r="A626" s="12">
        <v>25</v>
      </c>
      <c r="B626">
        <v>49</v>
      </c>
      <c r="C626" s="8">
        <v>32.880000000000003</v>
      </c>
    </row>
    <row r="627" spans="1:3" x14ac:dyDescent="0.3">
      <c r="A627" s="12">
        <v>14</v>
      </c>
      <c r="B627">
        <v>19</v>
      </c>
      <c r="C627" s="8">
        <v>34.642857142857146</v>
      </c>
    </row>
    <row r="628" spans="1:3" x14ac:dyDescent="0.3">
      <c r="A628" s="12">
        <v>2</v>
      </c>
      <c r="B628">
        <v>2</v>
      </c>
      <c r="C628" s="8">
        <v>44.5</v>
      </c>
    </row>
    <row r="629" spans="1:3" x14ac:dyDescent="0.3">
      <c r="A629" s="12">
        <v>32</v>
      </c>
      <c r="B629">
        <v>67</v>
      </c>
      <c r="C629" s="8">
        <v>27.59375</v>
      </c>
    </row>
    <row r="630" spans="1:3" x14ac:dyDescent="0.3">
      <c r="A630" s="12">
        <v>14</v>
      </c>
      <c r="B630">
        <v>26</v>
      </c>
      <c r="C630" s="8">
        <v>27.285714285714285</v>
      </c>
    </row>
    <row r="631" spans="1:3" x14ac:dyDescent="0.3">
      <c r="A631" s="12">
        <v>7</v>
      </c>
      <c r="B631">
        <v>14</v>
      </c>
      <c r="C631" s="8">
        <v>33</v>
      </c>
    </row>
    <row r="632" spans="1:3" x14ac:dyDescent="0.3">
      <c r="A632" s="12">
        <v>6</v>
      </c>
      <c r="B632">
        <v>11</v>
      </c>
      <c r="C632" s="8">
        <v>28.833333333333332</v>
      </c>
    </row>
    <row r="633" spans="1:3" x14ac:dyDescent="0.3">
      <c r="A633" s="12">
        <v>22</v>
      </c>
      <c r="B633">
        <v>48</v>
      </c>
      <c r="C633" s="8">
        <v>28.5</v>
      </c>
    </row>
    <row r="634" spans="1:3" x14ac:dyDescent="0.3">
      <c r="A634" s="12">
        <v>23</v>
      </c>
      <c r="B634">
        <v>50</v>
      </c>
      <c r="C634" s="8">
        <v>38.652173913043477</v>
      </c>
    </row>
    <row r="635" spans="1:3" x14ac:dyDescent="0.3">
      <c r="A635" s="12">
        <v>12</v>
      </c>
      <c r="B635">
        <v>16</v>
      </c>
      <c r="C635" s="8">
        <v>34</v>
      </c>
    </row>
    <row r="636" spans="1:3" x14ac:dyDescent="0.3">
      <c r="A636" s="12">
        <v>27</v>
      </c>
      <c r="B636">
        <v>41</v>
      </c>
      <c r="C636" s="8">
        <v>33.592592592592595</v>
      </c>
    </row>
    <row r="637" spans="1:3" x14ac:dyDescent="0.3">
      <c r="A637" s="12">
        <v>5</v>
      </c>
      <c r="B637">
        <v>7</v>
      </c>
      <c r="C637" s="8">
        <v>38</v>
      </c>
    </row>
    <row r="638" spans="1:3" x14ac:dyDescent="0.3">
      <c r="A638" s="12">
        <v>21</v>
      </c>
      <c r="B638">
        <v>50</v>
      </c>
      <c r="C638" s="8">
        <v>43.666666666666664</v>
      </c>
    </row>
    <row r="639" spans="1:3" x14ac:dyDescent="0.3">
      <c r="A639" s="12">
        <v>25</v>
      </c>
      <c r="B639">
        <v>60</v>
      </c>
      <c r="C639" s="8">
        <v>31.48</v>
      </c>
    </row>
    <row r="640" spans="1:3" x14ac:dyDescent="0.3">
      <c r="A640" s="12">
        <v>9</v>
      </c>
      <c r="B640">
        <v>19</v>
      </c>
      <c r="C640" s="8">
        <v>35.444444444444443</v>
      </c>
    </row>
    <row r="641" spans="1:3" x14ac:dyDescent="0.3">
      <c r="A641" s="12">
        <v>24</v>
      </c>
      <c r="B641">
        <v>50</v>
      </c>
      <c r="C641" s="8">
        <v>28.416666666666668</v>
      </c>
    </row>
    <row r="642" spans="1:3" x14ac:dyDescent="0.3">
      <c r="A642" s="12">
        <v>1</v>
      </c>
      <c r="B642">
        <v>1</v>
      </c>
      <c r="C642" s="8">
        <v>20</v>
      </c>
    </row>
    <row r="643" spans="1:3" x14ac:dyDescent="0.3">
      <c r="A643" s="12">
        <v>23</v>
      </c>
      <c r="B643">
        <v>52</v>
      </c>
      <c r="C643" s="8">
        <v>36.565217391304351</v>
      </c>
    </row>
    <row r="644" spans="1:3" x14ac:dyDescent="0.3">
      <c r="A644" s="12">
        <v>8</v>
      </c>
      <c r="B644">
        <v>10</v>
      </c>
      <c r="C644" s="8">
        <v>24.75</v>
      </c>
    </row>
    <row r="645" spans="1:3" x14ac:dyDescent="0.3">
      <c r="A645" s="12">
        <v>9</v>
      </c>
      <c r="B645">
        <v>17</v>
      </c>
      <c r="C645" s="8">
        <v>37</v>
      </c>
    </row>
    <row r="646" spans="1:3" x14ac:dyDescent="0.3">
      <c r="A646" s="12">
        <v>23</v>
      </c>
      <c r="B646">
        <v>46</v>
      </c>
      <c r="C646" s="8">
        <v>33.521739130434781</v>
      </c>
    </row>
    <row r="647" spans="1:3" x14ac:dyDescent="0.3">
      <c r="A647" s="12">
        <v>4</v>
      </c>
      <c r="B647">
        <v>4</v>
      </c>
      <c r="C647" s="8">
        <v>35.75</v>
      </c>
    </row>
    <row r="648" spans="1:3" x14ac:dyDescent="0.3">
      <c r="A648" s="12">
        <v>3</v>
      </c>
      <c r="B648">
        <v>5</v>
      </c>
      <c r="C648" s="8">
        <v>35.666666666666664</v>
      </c>
    </row>
    <row r="649" spans="1:3" x14ac:dyDescent="0.3">
      <c r="A649" s="12">
        <v>31</v>
      </c>
      <c r="B649">
        <v>60</v>
      </c>
      <c r="C649" s="8">
        <v>29.387096774193548</v>
      </c>
    </row>
    <row r="650" spans="1:3" x14ac:dyDescent="0.3">
      <c r="A650" s="12">
        <v>1</v>
      </c>
      <c r="B650">
        <v>2</v>
      </c>
      <c r="C650" s="8">
        <v>44</v>
      </c>
    </row>
    <row r="651" spans="1:3" x14ac:dyDescent="0.3">
      <c r="A651" s="12">
        <v>22</v>
      </c>
      <c r="B651">
        <v>37</v>
      </c>
      <c r="C651" s="8">
        <v>41.136363636363633</v>
      </c>
    </row>
    <row r="652" spans="1:3" x14ac:dyDescent="0.3">
      <c r="A652" s="12">
        <v>6</v>
      </c>
      <c r="B652">
        <v>8</v>
      </c>
      <c r="C652" s="8">
        <v>44.5</v>
      </c>
    </row>
    <row r="653" spans="1:3" x14ac:dyDescent="0.3">
      <c r="A653" s="12">
        <v>8</v>
      </c>
      <c r="B653">
        <v>15</v>
      </c>
      <c r="C653" s="8">
        <v>33.25</v>
      </c>
    </row>
    <row r="654" spans="1:3" x14ac:dyDescent="0.3">
      <c r="A654" s="12">
        <v>9</v>
      </c>
      <c r="B654">
        <v>14</v>
      </c>
      <c r="C654" s="8">
        <v>26.888888888888889</v>
      </c>
    </row>
    <row r="655" spans="1:3" x14ac:dyDescent="0.3">
      <c r="A655" s="12">
        <v>17</v>
      </c>
      <c r="B655">
        <v>24</v>
      </c>
      <c r="C655" s="8">
        <v>38.705882352941174</v>
      </c>
    </row>
    <row r="656" spans="1:3" x14ac:dyDescent="0.3">
      <c r="A656" s="12">
        <v>20</v>
      </c>
      <c r="B656">
        <v>40</v>
      </c>
      <c r="C656" s="8">
        <v>42.3</v>
      </c>
    </row>
    <row r="657" spans="1:3" x14ac:dyDescent="0.3">
      <c r="A657" s="12">
        <v>18</v>
      </c>
      <c r="B657">
        <v>25</v>
      </c>
      <c r="C657" s="8">
        <v>27.388888888888889</v>
      </c>
    </row>
    <row r="658" spans="1:3" x14ac:dyDescent="0.3">
      <c r="A658" s="12">
        <v>12</v>
      </c>
      <c r="B658">
        <v>19</v>
      </c>
      <c r="C658" s="8">
        <v>25</v>
      </c>
    </row>
    <row r="659" spans="1:3" x14ac:dyDescent="0.3">
      <c r="A659" s="12">
        <v>25</v>
      </c>
      <c r="B659">
        <v>55</v>
      </c>
      <c r="C659" s="8">
        <v>31.4</v>
      </c>
    </row>
    <row r="660" spans="1:3" x14ac:dyDescent="0.3">
      <c r="A660" s="12">
        <v>2</v>
      </c>
      <c r="B660">
        <v>3</v>
      </c>
      <c r="C660" s="8">
        <v>43.5</v>
      </c>
    </row>
    <row r="661" spans="1:3" x14ac:dyDescent="0.3">
      <c r="A661" s="12">
        <v>14</v>
      </c>
      <c r="B661">
        <v>20</v>
      </c>
      <c r="C661" s="8">
        <v>25.285714285714285</v>
      </c>
    </row>
    <row r="662" spans="1:3" x14ac:dyDescent="0.3">
      <c r="A662" s="12">
        <v>11</v>
      </c>
      <c r="B662">
        <v>14</v>
      </c>
      <c r="C662" s="8">
        <v>41.545454545454547</v>
      </c>
    </row>
    <row r="663" spans="1:3" x14ac:dyDescent="0.3">
      <c r="A663" s="12">
        <v>10</v>
      </c>
      <c r="B663">
        <v>22</v>
      </c>
      <c r="C663" s="8">
        <v>39.799999999999997</v>
      </c>
    </row>
    <row r="664" spans="1:3" x14ac:dyDescent="0.3">
      <c r="A664" s="12">
        <v>29</v>
      </c>
      <c r="B664">
        <v>58</v>
      </c>
      <c r="C664" s="8">
        <v>32.068965517241381</v>
      </c>
    </row>
    <row r="665" spans="1:3" x14ac:dyDescent="0.3">
      <c r="A665" s="12">
        <v>25</v>
      </c>
      <c r="B665">
        <v>53</v>
      </c>
      <c r="C665" s="8">
        <v>39.72</v>
      </c>
    </row>
    <row r="666" spans="1:3" x14ac:dyDescent="0.3">
      <c r="A666" s="12">
        <v>2</v>
      </c>
      <c r="B666">
        <v>3</v>
      </c>
      <c r="C666" s="8">
        <v>34.5</v>
      </c>
    </row>
    <row r="667" spans="1:3" x14ac:dyDescent="0.3">
      <c r="A667" s="12">
        <v>11</v>
      </c>
      <c r="B667">
        <v>22</v>
      </c>
      <c r="C667" s="8">
        <v>30.636363636363637</v>
      </c>
    </row>
    <row r="668" spans="1:3" x14ac:dyDescent="0.3">
      <c r="A668" s="12">
        <v>25</v>
      </c>
      <c r="B668">
        <v>43</v>
      </c>
      <c r="C668" s="8">
        <v>35.4</v>
      </c>
    </row>
    <row r="669" spans="1:3" x14ac:dyDescent="0.3">
      <c r="A669" s="12">
        <v>27</v>
      </c>
      <c r="B669">
        <v>42</v>
      </c>
      <c r="C669" s="8">
        <v>25.592592592592592</v>
      </c>
    </row>
    <row r="670" spans="1:3" x14ac:dyDescent="0.3">
      <c r="A670" s="12">
        <v>20</v>
      </c>
      <c r="B670">
        <v>39</v>
      </c>
      <c r="C670" s="8">
        <v>43.95</v>
      </c>
    </row>
    <row r="671" spans="1:3" x14ac:dyDescent="0.3">
      <c r="A671" s="12">
        <v>5</v>
      </c>
      <c r="B671">
        <v>7</v>
      </c>
      <c r="C671" s="8">
        <v>39.799999999999997</v>
      </c>
    </row>
    <row r="672" spans="1:3" x14ac:dyDescent="0.3">
      <c r="A672" s="12">
        <v>37</v>
      </c>
      <c r="B672">
        <v>70</v>
      </c>
      <c r="C672" s="8">
        <v>25.972972972972972</v>
      </c>
    </row>
    <row r="673" spans="1:3" x14ac:dyDescent="0.3">
      <c r="A673" s="12">
        <v>15</v>
      </c>
      <c r="B673">
        <v>30</v>
      </c>
      <c r="C673" s="8">
        <v>36.4</v>
      </c>
    </row>
    <row r="674" spans="1:3" x14ac:dyDescent="0.3">
      <c r="A674" s="12">
        <v>16</v>
      </c>
      <c r="B674">
        <v>30</v>
      </c>
      <c r="C674" s="8">
        <v>36.375</v>
      </c>
    </row>
    <row r="675" spans="1:3" x14ac:dyDescent="0.3">
      <c r="A675" s="12">
        <v>36</v>
      </c>
      <c r="B675">
        <v>59</v>
      </c>
      <c r="C675" s="8">
        <v>25.805555555555557</v>
      </c>
    </row>
    <row r="676" spans="1:3" x14ac:dyDescent="0.3">
      <c r="A676" s="12">
        <v>18</v>
      </c>
      <c r="B676">
        <v>33</v>
      </c>
      <c r="C676" s="8">
        <v>34.333333333333336</v>
      </c>
    </row>
    <row r="677" spans="1:3" x14ac:dyDescent="0.3">
      <c r="A677" s="12">
        <v>30</v>
      </c>
      <c r="B677">
        <v>44</v>
      </c>
      <c r="C677" s="8">
        <v>31.933333333333334</v>
      </c>
    </row>
    <row r="678" spans="1:3" x14ac:dyDescent="0.3">
      <c r="A678" s="12">
        <v>19</v>
      </c>
      <c r="B678">
        <v>34</v>
      </c>
      <c r="C678" s="8">
        <v>31.421052631578949</v>
      </c>
    </row>
    <row r="679" spans="1:3" x14ac:dyDescent="0.3">
      <c r="A679" s="12">
        <v>14</v>
      </c>
      <c r="B679">
        <v>22</v>
      </c>
      <c r="C679" s="8">
        <v>42.785714285714285</v>
      </c>
    </row>
    <row r="680" spans="1:3" x14ac:dyDescent="0.3">
      <c r="A680" s="12">
        <v>6</v>
      </c>
      <c r="B680">
        <v>9</v>
      </c>
      <c r="C680" s="8">
        <v>41.166666666666664</v>
      </c>
    </row>
    <row r="681" spans="1:3" x14ac:dyDescent="0.3">
      <c r="A681" s="12">
        <v>15</v>
      </c>
      <c r="B681">
        <v>21</v>
      </c>
      <c r="C681" s="8">
        <v>38.333333333333336</v>
      </c>
    </row>
    <row r="682" spans="1:3" x14ac:dyDescent="0.3">
      <c r="A682" s="12">
        <v>10</v>
      </c>
      <c r="B682">
        <v>14</v>
      </c>
      <c r="C682" s="8">
        <v>34.299999999999997</v>
      </c>
    </row>
    <row r="683" spans="1:3" x14ac:dyDescent="0.3">
      <c r="A683" s="12">
        <v>1</v>
      </c>
      <c r="B683">
        <v>1</v>
      </c>
      <c r="C683" s="8">
        <v>30</v>
      </c>
    </row>
    <row r="684" spans="1:3" x14ac:dyDescent="0.3">
      <c r="A684" s="12">
        <v>17</v>
      </c>
      <c r="B684">
        <v>29</v>
      </c>
      <c r="C684" s="8">
        <v>32.411764705882355</v>
      </c>
    </row>
    <row r="685" spans="1:3" x14ac:dyDescent="0.3">
      <c r="A685" s="12">
        <v>5</v>
      </c>
      <c r="B685">
        <v>7</v>
      </c>
      <c r="C685" s="8">
        <v>46.2</v>
      </c>
    </row>
    <row r="686" spans="1:3" x14ac:dyDescent="0.3">
      <c r="A686" s="12">
        <v>14</v>
      </c>
      <c r="B686">
        <v>20</v>
      </c>
      <c r="C686" s="8">
        <v>31.785714285714285</v>
      </c>
    </row>
    <row r="687" spans="1:3" x14ac:dyDescent="0.3">
      <c r="A687" s="12">
        <v>1</v>
      </c>
      <c r="B687">
        <v>1</v>
      </c>
      <c r="C687" s="8">
        <v>46</v>
      </c>
    </row>
    <row r="688" spans="1:3" x14ac:dyDescent="0.3">
      <c r="A688" s="12">
        <v>21</v>
      </c>
      <c r="B688">
        <v>30</v>
      </c>
      <c r="C688" s="8">
        <v>31.714285714285715</v>
      </c>
    </row>
    <row r="689" spans="1:3" x14ac:dyDescent="0.3">
      <c r="A689" s="12">
        <v>6</v>
      </c>
      <c r="B689">
        <v>11</v>
      </c>
      <c r="C689" s="8">
        <v>43</v>
      </c>
    </row>
    <row r="690" spans="1:3" x14ac:dyDescent="0.3">
      <c r="A690" s="12">
        <v>10</v>
      </c>
      <c r="B690">
        <v>19</v>
      </c>
      <c r="C690" s="8">
        <v>39.799999999999997</v>
      </c>
    </row>
    <row r="691" spans="1:3" x14ac:dyDescent="0.3">
      <c r="A691" s="12">
        <v>19</v>
      </c>
      <c r="B691">
        <v>41</v>
      </c>
      <c r="C691" s="8">
        <v>36.315789473684212</v>
      </c>
    </row>
    <row r="692" spans="1:3" x14ac:dyDescent="0.3">
      <c r="A692" s="12">
        <v>19</v>
      </c>
      <c r="B692">
        <v>27</v>
      </c>
      <c r="C692" s="8">
        <v>29.526315789473685</v>
      </c>
    </row>
    <row r="693" spans="1:3" x14ac:dyDescent="0.3">
      <c r="A693" s="12">
        <v>14</v>
      </c>
      <c r="B693">
        <v>25</v>
      </c>
      <c r="C693" s="8">
        <v>42.071428571428569</v>
      </c>
    </row>
    <row r="694" spans="1:3" x14ac:dyDescent="0.3">
      <c r="A694" s="12">
        <v>3</v>
      </c>
      <c r="B694">
        <v>3</v>
      </c>
      <c r="C694" s="8">
        <v>27.333333333333332</v>
      </c>
    </row>
    <row r="695" spans="1:3" x14ac:dyDescent="0.3">
      <c r="A695" s="12">
        <v>1</v>
      </c>
      <c r="B695">
        <v>2</v>
      </c>
      <c r="C695" s="8">
        <v>28</v>
      </c>
    </row>
    <row r="696" spans="1:3" x14ac:dyDescent="0.3">
      <c r="A696" s="12">
        <v>30</v>
      </c>
      <c r="B696">
        <v>45</v>
      </c>
      <c r="C696" s="8">
        <v>24.8</v>
      </c>
    </row>
    <row r="697" spans="1:3" x14ac:dyDescent="0.3">
      <c r="A697" s="12">
        <v>6</v>
      </c>
      <c r="B697">
        <v>10</v>
      </c>
      <c r="C697" s="8">
        <v>30.666666666666668</v>
      </c>
    </row>
    <row r="698" spans="1:3" x14ac:dyDescent="0.3">
      <c r="A698" s="12">
        <v>9</v>
      </c>
      <c r="B698">
        <v>14</v>
      </c>
      <c r="C698" s="8">
        <v>37.444444444444443</v>
      </c>
    </row>
    <row r="699" spans="1:3" x14ac:dyDescent="0.3">
      <c r="A699" s="12">
        <v>9</v>
      </c>
      <c r="B699">
        <v>16</v>
      </c>
      <c r="C699" s="8">
        <v>41.111111111111114</v>
      </c>
    </row>
    <row r="700" spans="1:3" x14ac:dyDescent="0.3">
      <c r="A700" s="12">
        <v>31</v>
      </c>
      <c r="B700">
        <v>48</v>
      </c>
      <c r="C700" s="8">
        <v>29.774193548387096</v>
      </c>
    </row>
    <row r="701" spans="1:3" x14ac:dyDescent="0.3">
      <c r="A701" s="12">
        <v>17</v>
      </c>
      <c r="B701">
        <v>36</v>
      </c>
      <c r="C701" s="8">
        <v>37.058823529411768</v>
      </c>
    </row>
    <row r="702" spans="1:3" x14ac:dyDescent="0.3">
      <c r="A702" s="12">
        <v>8</v>
      </c>
      <c r="B702">
        <v>17</v>
      </c>
      <c r="C702" s="8">
        <v>26.375</v>
      </c>
    </row>
    <row r="703" spans="1:3" x14ac:dyDescent="0.3">
      <c r="A703" s="12">
        <v>24</v>
      </c>
      <c r="B703">
        <v>40</v>
      </c>
      <c r="C703" s="8">
        <v>30.375</v>
      </c>
    </row>
    <row r="704" spans="1:3" x14ac:dyDescent="0.3">
      <c r="A704" s="12">
        <v>2</v>
      </c>
      <c r="B704">
        <v>4</v>
      </c>
      <c r="C704" s="8">
        <v>37.5</v>
      </c>
    </row>
    <row r="705" spans="1:3" x14ac:dyDescent="0.3">
      <c r="A705" s="12">
        <v>12</v>
      </c>
      <c r="B705">
        <v>23</v>
      </c>
      <c r="C705" s="8">
        <v>41.666666666666664</v>
      </c>
    </row>
    <row r="706" spans="1:3" x14ac:dyDescent="0.3">
      <c r="A706" s="12">
        <v>9</v>
      </c>
      <c r="B706">
        <v>18</v>
      </c>
      <c r="C706" s="8">
        <v>40.666666666666664</v>
      </c>
    </row>
    <row r="707" spans="1:3" x14ac:dyDescent="0.3">
      <c r="A707" s="12">
        <v>24</v>
      </c>
      <c r="B707">
        <v>49</v>
      </c>
      <c r="C707" s="8">
        <v>41.625</v>
      </c>
    </row>
    <row r="708" spans="1:3" x14ac:dyDescent="0.3">
      <c r="A708" s="12">
        <v>27</v>
      </c>
      <c r="B708">
        <v>59</v>
      </c>
      <c r="C708" s="8">
        <v>26.407407407407408</v>
      </c>
    </row>
    <row r="709" spans="1:3" x14ac:dyDescent="0.3">
      <c r="A709" s="12">
        <v>19</v>
      </c>
      <c r="B709">
        <v>31</v>
      </c>
      <c r="C709" s="8">
        <v>39.10526315789474</v>
      </c>
    </row>
    <row r="710" spans="1:3" x14ac:dyDescent="0.3">
      <c r="A710" s="12">
        <v>11</v>
      </c>
      <c r="B710">
        <v>14</v>
      </c>
      <c r="C710" s="8">
        <v>42.18181818181818</v>
      </c>
    </row>
    <row r="711" spans="1:3" x14ac:dyDescent="0.3">
      <c r="A711" s="12">
        <v>19</v>
      </c>
      <c r="B711">
        <v>35</v>
      </c>
      <c r="C711" s="8">
        <v>33.210526315789473</v>
      </c>
    </row>
    <row r="712" spans="1:3" x14ac:dyDescent="0.3">
      <c r="A712" s="12">
        <v>13</v>
      </c>
      <c r="B712">
        <v>16</v>
      </c>
      <c r="C712" s="8">
        <v>28.923076923076923</v>
      </c>
    </row>
    <row r="713" spans="1:3" x14ac:dyDescent="0.3">
      <c r="A713" s="12">
        <v>15</v>
      </c>
      <c r="B713">
        <v>31</v>
      </c>
      <c r="C713" s="8">
        <v>44.133333333333333</v>
      </c>
    </row>
    <row r="714" spans="1:3" x14ac:dyDescent="0.3">
      <c r="A714" s="12">
        <v>18</v>
      </c>
      <c r="B714">
        <v>22</v>
      </c>
      <c r="C714" s="8">
        <v>35.166666666666664</v>
      </c>
    </row>
    <row r="715" spans="1:3" x14ac:dyDescent="0.3">
      <c r="A715" s="12">
        <v>2</v>
      </c>
      <c r="B715">
        <v>3</v>
      </c>
      <c r="C715" s="8">
        <v>51</v>
      </c>
    </row>
    <row r="716" spans="1:3" x14ac:dyDescent="0.3">
      <c r="A716" s="12">
        <v>18</v>
      </c>
      <c r="B716">
        <v>34</v>
      </c>
      <c r="C716" s="8">
        <v>44.388888888888886</v>
      </c>
    </row>
    <row r="717" spans="1:3" x14ac:dyDescent="0.3">
      <c r="A717" s="12">
        <v>23</v>
      </c>
      <c r="B717">
        <v>50</v>
      </c>
      <c r="C717" s="8">
        <v>35.304347826086953</v>
      </c>
    </row>
    <row r="718" spans="1:3" x14ac:dyDescent="0.3">
      <c r="A718" s="12">
        <v>2</v>
      </c>
      <c r="B718">
        <v>3</v>
      </c>
      <c r="C718" s="8">
        <v>25</v>
      </c>
    </row>
    <row r="719" spans="1:3" x14ac:dyDescent="0.3">
      <c r="A719" s="12">
        <v>5</v>
      </c>
      <c r="B719">
        <v>7</v>
      </c>
      <c r="C719" s="8">
        <v>39.4</v>
      </c>
    </row>
    <row r="720" spans="1:3" x14ac:dyDescent="0.3">
      <c r="A720" s="12">
        <v>23</v>
      </c>
      <c r="B720">
        <v>47</v>
      </c>
      <c r="C720" s="8">
        <v>36.304347826086953</v>
      </c>
    </row>
    <row r="721" spans="1:3" x14ac:dyDescent="0.3">
      <c r="A721" s="12">
        <v>9</v>
      </c>
      <c r="B721">
        <v>19</v>
      </c>
      <c r="C721" s="8">
        <v>45.666666666666664</v>
      </c>
    </row>
    <row r="722" spans="1:3" x14ac:dyDescent="0.3">
      <c r="A722" s="12">
        <v>27</v>
      </c>
      <c r="B722">
        <v>59</v>
      </c>
      <c r="C722" s="8">
        <v>30.444444444444443</v>
      </c>
    </row>
    <row r="723" spans="1:3" x14ac:dyDescent="0.3">
      <c r="A723" s="12">
        <v>1</v>
      </c>
      <c r="B723">
        <v>1</v>
      </c>
      <c r="C723" s="8">
        <v>16</v>
      </c>
    </row>
    <row r="724" spans="1:3" x14ac:dyDescent="0.3">
      <c r="A724" s="12">
        <v>3</v>
      </c>
      <c r="B724">
        <v>4</v>
      </c>
      <c r="C724" s="8">
        <v>36.666666666666664</v>
      </c>
    </row>
    <row r="725" spans="1:3" x14ac:dyDescent="0.3">
      <c r="A725" s="12">
        <v>12</v>
      </c>
      <c r="B725">
        <v>23</v>
      </c>
      <c r="C725" s="8">
        <v>30.5</v>
      </c>
    </row>
    <row r="726" spans="1:3" x14ac:dyDescent="0.3">
      <c r="A726" s="12">
        <v>3</v>
      </c>
      <c r="B726">
        <v>5</v>
      </c>
      <c r="C726" s="8">
        <v>33</v>
      </c>
    </row>
    <row r="727" spans="1:3" x14ac:dyDescent="0.3">
      <c r="A727" s="12">
        <v>15</v>
      </c>
      <c r="B727">
        <v>22</v>
      </c>
      <c r="C727" s="8">
        <v>37.533333333333331</v>
      </c>
    </row>
    <row r="728" spans="1:3" x14ac:dyDescent="0.3">
      <c r="A728" s="12">
        <v>16</v>
      </c>
      <c r="B728">
        <v>22</v>
      </c>
      <c r="C728" s="8">
        <v>32.625</v>
      </c>
    </row>
    <row r="729" spans="1:3" x14ac:dyDescent="0.3">
      <c r="A729" s="12">
        <v>15</v>
      </c>
      <c r="B729">
        <v>32</v>
      </c>
      <c r="C729" s="8">
        <v>29.2</v>
      </c>
    </row>
    <row r="730" spans="1:3" x14ac:dyDescent="0.3">
      <c r="A730" s="12">
        <v>19</v>
      </c>
      <c r="B730">
        <v>39</v>
      </c>
      <c r="C730" s="8">
        <v>43.94736842105263</v>
      </c>
    </row>
    <row r="731" spans="1:3" x14ac:dyDescent="0.3">
      <c r="A731" s="12">
        <v>10</v>
      </c>
      <c r="B731">
        <v>18</v>
      </c>
      <c r="C731" s="8">
        <v>41.9</v>
      </c>
    </row>
    <row r="732" spans="1:3" x14ac:dyDescent="0.3">
      <c r="A732" s="12">
        <v>10</v>
      </c>
      <c r="B732">
        <v>17</v>
      </c>
      <c r="C732" s="8">
        <v>36.4</v>
      </c>
    </row>
    <row r="733" spans="1:3" x14ac:dyDescent="0.3">
      <c r="A733" s="12">
        <v>1</v>
      </c>
      <c r="B733">
        <v>1</v>
      </c>
      <c r="C733" s="8">
        <v>53</v>
      </c>
    </row>
    <row r="734" spans="1:3" x14ac:dyDescent="0.3">
      <c r="A734" s="12">
        <v>1</v>
      </c>
      <c r="B734">
        <v>1</v>
      </c>
      <c r="C734" s="8">
        <v>36</v>
      </c>
    </row>
    <row r="735" spans="1:3" x14ac:dyDescent="0.3">
      <c r="A735" s="12">
        <v>21</v>
      </c>
      <c r="B735">
        <v>44</v>
      </c>
      <c r="C735" s="8">
        <v>36.904761904761905</v>
      </c>
    </row>
    <row r="736" spans="1:3" x14ac:dyDescent="0.3">
      <c r="A736" s="12">
        <v>20</v>
      </c>
      <c r="B736">
        <v>28</v>
      </c>
      <c r="C736" s="8">
        <v>30</v>
      </c>
    </row>
    <row r="737" spans="1:3" x14ac:dyDescent="0.3">
      <c r="A737" s="12">
        <v>22</v>
      </c>
      <c r="B737">
        <v>39</v>
      </c>
      <c r="C737" s="8">
        <v>32.409090909090907</v>
      </c>
    </row>
    <row r="738" spans="1:3" x14ac:dyDescent="0.3">
      <c r="A738" s="12">
        <v>29</v>
      </c>
      <c r="B738">
        <v>69</v>
      </c>
      <c r="C738" s="8">
        <v>31.517241379310345</v>
      </c>
    </row>
    <row r="739" spans="1:3" x14ac:dyDescent="0.3">
      <c r="A739" s="12">
        <v>22</v>
      </c>
      <c r="B739">
        <v>51</v>
      </c>
      <c r="C739" s="8">
        <v>45.454545454545453</v>
      </c>
    </row>
    <row r="740" spans="1:3" x14ac:dyDescent="0.3">
      <c r="A740" s="12">
        <v>5</v>
      </c>
      <c r="B740">
        <v>9</v>
      </c>
      <c r="C740" s="8">
        <v>27</v>
      </c>
    </row>
    <row r="741" spans="1:3" x14ac:dyDescent="0.3">
      <c r="A741" s="12">
        <v>15</v>
      </c>
      <c r="B741">
        <v>32</v>
      </c>
      <c r="C741" s="8">
        <v>36</v>
      </c>
    </row>
    <row r="742" spans="1:3" x14ac:dyDescent="0.3">
      <c r="A742" s="12">
        <v>3</v>
      </c>
      <c r="B742">
        <v>5</v>
      </c>
      <c r="C742" s="8">
        <v>39.333333333333336</v>
      </c>
    </row>
    <row r="743" spans="1:3" x14ac:dyDescent="0.3">
      <c r="A743" s="12">
        <v>6</v>
      </c>
      <c r="B743">
        <v>10</v>
      </c>
      <c r="C743" s="8">
        <v>42.166666666666664</v>
      </c>
    </row>
    <row r="744" spans="1:3" x14ac:dyDescent="0.3">
      <c r="A744" s="12">
        <v>23</v>
      </c>
      <c r="B744">
        <v>38</v>
      </c>
      <c r="C744" s="8">
        <v>39.173913043478258</v>
      </c>
    </row>
    <row r="745" spans="1:3" x14ac:dyDescent="0.3">
      <c r="A745" s="12">
        <v>28</v>
      </c>
      <c r="B745">
        <v>66</v>
      </c>
      <c r="C745" s="8">
        <v>30.178571428571427</v>
      </c>
    </row>
    <row r="746" spans="1:3" x14ac:dyDescent="0.3">
      <c r="A746" s="12">
        <v>12</v>
      </c>
      <c r="B746">
        <v>22</v>
      </c>
      <c r="C746" s="8">
        <v>28.333333333333332</v>
      </c>
    </row>
    <row r="747" spans="1:3" x14ac:dyDescent="0.3">
      <c r="A747" s="12">
        <v>25</v>
      </c>
      <c r="B747">
        <v>43</v>
      </c>
      <c r="C747" s="8">
        <v>24.52</v>
      </c>
    </row>
    <row r="748" spans="1:3" x14ac:dyDescent="0.3">
      <c r="A748" s="12">
        <v>20</v>
      </c>
      <c r="B748">
        <v>41</v>
      </c>
      <c r="C748" s="8">
        <v>37.299999999999997</v>
      </c>
    </row>
    <row r="749" spans="1:3" x14ac:dyDescent="0.3">
      <c r="A749" s="12">
        <v>22</v>
      </c>
      <c r="B749">
        <v>48</v>
      </c>
      <c r="C749" s="8">
        <v>42.68181818181818</v>
      </c>
    </row>
    <row r="750" spans="1:3" x14ac:dyDescent="0.3">
      <c r="A750" s="12">
        <v>25</v>
      </c>
      <c r="B750">
        <v>37</v>
      </c>
      <c r="C750" s="8">
        <v>35.04</v>
      </c>
    </row>
    <row r="751" spans="1:3" x14ac:dyDescent="0.3">
      <c r="A751" s="12">
        <v>14</v>
      </c>
      <c r="B751">
        <v>17</v>
      </c>
      <c r="C751" s="8">
        <v>34.642857142857146</v>
      </c>
    </row>
    <row r="752" spans="1:3" x14ac:dyDescent="0.3">
      <c r="A752" s="12">
        <v>20</v>
      </c>
      <c r="B752">
        <v>37</v>
      </c>
      <c r="C752" s="8">
        <v>29.7</v>
      </c>
    </row>
    <row r="753" spans="1:3" x14ac:dyDescent="0.3">
      <c r="A753" s="12">
        <v>11</v>
      </c>
      <c r="B753">
        <v>15</v>
      </c>
      <c r="C753" s="8">
        <v>42.81818181818182</v>
      </c>
    </row>
    <row r="754" spans="1:3" x14ac:dyDescent="0.3">
      <c r="A754" s="12">
        <v>35</v>
      </c>
      <c r="B754">
        <v>74</v>
      </c>
      <c r="C754" s="8">
        <v>26.142857142857142</v>
      </c>
    </row>
    <row r="755" spans="1:3" x14ac:dyDescent="0.3">
      <c r="A755" s="12">
        <v>14</v>
      </c>
      <c r="B755">
        <v>27</v>
      </c>
      <c r="C755" s="8">
        <v>46.214285714285715</v>
      </c>
    </row>
    <row r="756" spans="1:3" x14ac:dyDescent="0.3">
      <c r="A756" s="12">
        <v>11</v>
      </c>
      <c r="B756">
        <v>18</v>
      </c>
      <c r="C756" s="8">
        <v>34.81818181818182</v>
      </c>
    </row>
    <row r="757" spans="1:3" x14ac:dyDescent="0.3">
      <c r="A757" s="12">
        <v>22</v>
      </c>
      <c r="B757">
        <v>37</v>
      </c>
      <c r="C757" s="8">
        <v>40.954545454545453</v>
      </c>
    </row>
    <row r="758" spans="1:3" x14ac:dyDescent="0.3">
      <c r="A758" s="12">
        <v>27</v>
      </c>
      <c r="B758">
        <v>49</v>
      </c>
      <c r="C758" s="8">
        <v>26.444444444444443</v>
      </c>
    </row>
    <row r="759" spans="1:3" x14ac:dyDescent="0.3">
      <c r="A759" s="12">
        <v>16</v>
      </c>
      <c r="B759">
        <v>35</v>
      </c>
      <c r="C759" s="8">
        <v>40.5625</v>
      </c>
    </row>
    <row r="760" spans="1:3" x14ac:dyDescent="0.3">
      <c r="A760" s="12">
        <v>27</v>
      </c>
      <c r="B760">
        <v>55</v>
      </c>
      <c r="C760" s="8">
        <v>34.518518518518519</v>
      </c>
    </row>
    <row r="761" spans="1:3" x14ac:dyDescent="0.3">
      <c r="A761" s="12">
        <v>12</v>
      </c>
      <c r="B761">
        <v>19</v>
      </c>
      <c r="C761" s="8">
        <v>39.166666666666664</v>
      </c>
    </row>
    <row r="762" spans="1:3" x14ac:dyDescent="0.3">
      <c r="A762" s="12">
        <v>25</v>
      </c>
      <c r="B762">
        <v>54</v>
      </c>
      <c r="C762" s="8">
        <v>33.6</v>
      </c>
    </row>
    <row r="763" spans="1:3" x14ac:dyDescent="0.3">
      <c r="A763" s="12">
        <v>11</v>
      </c>
      <c r="B763">
        <v>21</v>
      </c>
      <c r="C763" s="8">
        <v>37</v>
      </c>
    </row>
    <row r="764" spans="1:3" x14ac:dyDescent="0.3">
      <c r="A764" s="12">
        <v>23</v>
      </c>
      <c r="B764">
        <v>40</v>
      </c>
      <c r="C764" s="8">
        <v>25.347826086956523</v>
      </c>
    </row>
    <row r="765" spans="1:3" x14ac:dyDescent="0.3">
      <c r="A765" s="12">
        <v>31</v>
      </c>
      <c r="B765">
        <v>46</v>
      </c>
      <c r="C765" s="8">
        <v>25.677419354838708</v>
      </c>
    </row>
    <row r="766" spans="1:3" x14ac:dyDescent="0.3">
      <c r="A766" s="12">
        <v>1</v>
      </c>
      <c r="B766">
        <v>2</v>
      </c>
      <c r="C766" s="8">
        <v>17</v>
      </c>
    </row>
    <row r="767" spans="1:3" x14ac:dyDescent="0.3">
      <c r="A767" s="12">
        <v>22</v>
      </c>
      <c r="B767">
        <v>42</v>
      </c>
      <c r="C767" s="8">
        <v>36.772727272727273</v>
      </c>
    </row>
    <row r="768" spans="1:3" x14ac:dyDescent="0.3">
      <c r="A768" s="12">
        <v>14</v>
      </c>
      <c r="B768">
        <v>27</v>
      </c>
      <c r="C768" s="8">
        <v>26.071428571428573</v>
      </c>
    </row>
    <row r="769" spans="1:3" x14ac:dyDescent="0.3">
      <c r="A769" s="12">
        <v>12</v>
      </c>
      <c r="B769">
        <v>21</v>
      </c>
      <c r="C769" s="8">
        <v>29.75</v>
      </c>
    </row>
    <row r="770" spans="1:3" x14ac:dyDescent="0.3">
      <c r="A770" s="12">
        <v>20</v>
      </c>
      <c r="B770">
        <v>43</v>
      </c>
      <c r="C770" s="8">
        <v>38.799999999999997</v>
      </c>
    </row>
    <row r="771" spans="1:3" x14ac:dyDescent="0.3">
      <c r="A771" s="12">
        <v>14</v>
      </c>
      <c r="B771">
        <v>29</v>
      </c>
      <c r="C771" s="8">
        <v>25.357142857142858</v>
      </c>
    </row>
    <row r="772" spans="1:3" x14ac:dyDescent="0.3">
      <c r="A772" s="12">
        <v>21</v>
      </c>
      <c r="B772">
        <v>33</v>
      </c>
      <c r="C772" s="8">
        <v>36.857142857142854</v>
      </c>
    </row>
    <row r="773" spans="1:3" x14ac:dyDescent="0.3">
      <c r="A773" s="12">
        <v>9</v>
      </c>
      <c r="B773">
        <v>18</v>
      </c>
      <c r="C773" s="8">
        <v>39.333333333333336</v>
      </c>
    </row>
    <row r="774" spans="1:3" x14ac:dyDescent="0.3">
      <c r="A774" s="12">
        <v>1</v>
      </c>
      <c r="B774">
        <v>2</v>
      </c>
      <c r="C774" s="8">
        <v>23</v>
      </c>
    </row>
    <row r="775" spans="1:3" x14ac:dyDescent="0.3">
      <c r="A775" s="12">
        <v>24</v>
      </c>
      <c r="B775">
        <v>35</v>
      </c>
      <c r="C775" s="8">
        <v>32.416666666666664</v>
      </c>
    </row>
    <row r="776" spans="1:3" x14ac:dyDescent="0.3">
      <c r="A776" s="12">
        <v>13</v>
      </c>
      <c r="B776">
        <v>16</v>
      </c>
      <c r="C776" s="8">
        <v>36.46153846153846</v>
      </c>
    </row>
    <row r="777" spans="1:3" x14ac:dyDescent="0.3">
      <c r="A777" s="12">
        <v>35</v>
      </c>
      <c r="B777">
        <v>78</v>
      </c>
      <c r="C777" s="8">
        <v>27.142857142857142</v>
      </c>
    </row>
    <row r="778" spans="1:3" x14ac:dyDescent="0.3">
      <c r="A778" s="12">
        <v>9</v>
      </c>
      <c r="B778">
        <v>11</v>
      </c>
      <c r="C778" s="8">
        <v>36.666666666666664</v>
      </c>
    </row>
    <row r="779" spans="1:3" x14ac:dyDescent="0.3">
      <c r="A779" s="12">
        <v>24</v>
      </c>
      <c r="B779">
        <v>42</v>
      </c>
      <c r="C779" s="8">
        <v>40.958333333333336</v>
      </c>
    </row>
    <row r="780" spans="1:3" x14ac:dyDescent="0.3">
      <c r="A780" s="12">
        <v>38</v>
      </c>
      <c r="B780">
        <v>54</v>
      </c>
      <c r="C780" s="8">
        <v>25.894736842105264</v>
      </c>
    </row>
    <row r="781" spans="1:3" x14ac:dyDescent="0.3">
      <c r="A781" s="12">
        <v>15</v>
      </c>
      <c r="B781">
        <v>19</v>
      </c>
      <c r="C781" s="8">
        <v>38</v>
      </c>
    </row>
    <row r="782" spans="1:3" x14ac:dyDescent="0.3">
      <c r="A782" s="12">
        <v>10</v>
      </c>
      <c r="B782">
        <v>16</v>
      </c>
      <c r="C782" s="8">
        <v>43.7</v>
      </c>
    </row>
    <row r="783" spans="1:3" x14ac:dyDescent="0.3">
      <c r="A783" s="12">
        <v>1</v>
      </c>
      <c r="B783">
        <v>1</v>
      </c>
      <c r="C783" s="8">
        <v>39</v>
      </c>
    </row>
    <row r="784" spans="1:3" x14ac:dyDescent="0.3">
      <c r="A784" s="12">
        <v>15</v>
      </c>
      <c r="B784">
        <v>32</v>
      </c>
      <c r="C784" s="8">
        <v>26.333333333333332</v>
      </c>
    </row>
    <row r="785" spans="1:3" x14ac:dyDescent="0.3">
      <c r="A785" s="12">
        <v>24</v>
      </c>
      <c r="B785">
        <v>53</v>
      </c>
      <c r="C785" s="8">
        <v>39.958333333333336</v>
      </c>
    </row>
    <row r="786" spans="1:3" x14ac:dyDescent="0.3">
      <c r="A786" s="12">
        <v>18</v>
      </c>
      <c r="B786">
        <v>24</v>
      </c>
      <c r="C786" s="8">
        <v>36.055555555555557</v>
      </c>
    </row>
    <row r="787" spans="1:3" x14ac:dyDescent="0.3">
      <c r="A787" s="12">
        <v>32</v>
      </c>
      <c r="B787">
        <v>53</v>
      </c>
      <c r="C787" s="8">
        <v>30.3125</v>
      </c>
    </row>
    <row r="788" spans="1:3" x14ac:dyDescent="0.3">
      <c r="A788" s="12">
        <v>7</v>
      </c>
      <c r="B788">
        <v>9</v>
      </c>
      <c r="C788" s="8">
        <v>30.714285714285715</v>
      </c>
    </row>
    <row r="789" spans="1:3" x14ac:dyDescent="0.3">
      <c r="A789" s="12">
        <v>21</v>
      </c>
      <c r="B789">
        <v>40</v>
      </c>
      <c r="C789" s="8">
        <v>25.38095238095238</v>
      </c>
    </row>
    <row r="790" spans="1:3" x14ac:dyDescent="0.3">
      <c r="A790" s="12">
        <v>19</v>
      </c>
      <c r="B790">
        <v>34</v>
      </c>
      <c r="C790" s="8">
        <v>44</v>
      </c>
    </row>
    <row r="791" spans="1:3" x14ac:dyDescent="0.3">
      <c r="A791" s="12">
        <v>3</v>
      </c>
      <c r="B791">
        <v>5</v>
      </c>
      <c r="C791" s="8">
        <v>43.666666666666664</v>
      </c>
    </row>
    <row r="792" spans="1:3" x14ac:dyDescent="0.3">
      <c r="A792" s="12">
        <v>21</v>
      </c>
      <c r="B792">
        <v>37</v>
      </c>
      <c r="C792" s="8">
        <v>30.523809523809526</v>
      </c>
    </row>
    <row r="793" spans="1:3" x14ac:dyDescent="0.3">
      <c r="A793" s="12">
        <v>4</v>
      </c>
      <c r="B793">
        <v>5</v>
      </c>
      <c r="C793" s="8">
        <v>34.75</v>
      </c>
    </row>
    <row r="794" spans="1:3" x14ac:dyDescent="0.3">
      <c r="A794" s="12">
        <v>24</v>
      </c>
      <c r="B794">
        <v>47</v>
      </c>
      <c r="C794" s="8">
        <v>37.708333333333336</v>
      </c>
    </row>
    <row r="795" spans="1:3" x14ac:dyDescent="0.3">
      <c r="A795" s="12">
        <v>28</v>
      </c>
      <c r="B795">
        <v>57</v>
      </c>
      <c r="C795" s="8">
        <v>26.642857142857142</v>
      </c>
    </row>
    <row r="796" spans="1:3" x14ac:dyDescent="0.3">
      <c r="A796" s="12">
        <v>5</v>
      </c>
      <c r="B796">
        <v>6</v>
      </c>
      <c r="C796" s="8">
        <v>44.6</v>
      </c>
    </row>
    <row r="797" spans="1:3" x14ac:dyDescent="0.3">
      <c r="A797" s="12">
        <v>11</v>
      </c>
      <c r="B797">
        <v>16</v>
      </c>
      <c r="C797" s="8">
        <v>31.09090909090909</v>
      </c>
    </row>
    <row r="798" spans="1:3" x14ac:dyDescent="0.3">
      <c r="A798" s="12">
        <v>14</v>
      </c>
      <c r="B798">
        <v>21</v>
      </c>
      <c r="C798" s="8">
        <v>30.785714285714285</v>
      </c>
    </row>
    <row r="799" spans="1:3" x14ac:dyDescent="0.3">
      <c r="A799" s="12">
        <v>6</v>
      </c>
      <c r="B799">
        <v>13</v>
      </c>
      <c r="C799" s="8">
        <v>37.5</v>
      </c>
    </row>
    <row r="800" spans="1:3" x14ac:dyDescent="0.3">
      <c r="A800" s="12">
        <v>22</v>
      </c>
      <c r="B800">
        <v>43</v>
      </c>
      <c r="C800" s="8">
        <v>40.18181818181818</v>
      </c>
    </row>
    <row r="801" spans="1:3" x14ac:dyDescent="0.3">
      <c r="A801" s="12">
        <v>17</v>
      </c>
      <c r="B801">
        <v>26</v>
      </c>
      <c r="C801" s="8">
        <v>34.705882352941174</v>
      </c>
    </row>
    <row r="802" spans="1:3" x14ac:dyDescent="0.3">
      <c r="A802" s="12">
        <v>34</v>
      </c>
      <c r="B802">
        <v>68</v>
      </c>
      <c r="C802" s="8">
        <v>27.029411764705884</v>
      </c>
    </row>
    <row r="803" spans="1:3" x14ac:dyDescent="0.3">
      <c r="A803" s="12">
        <v>2</v>
      </c>
      <c r="B803">
        <v>3</v>
      </c>
      <c r="C803" s="8">
        <v>33.5</v>
      </c>
    </row>
    <row r="804" spans="1:3" x14ac:dyDescent="0.3">
      <c r="A804" s="12">
        <v>6</v>
      </c>
      <c r="B804">
        <v>9</v>
      </c>
      <c r="C804" s="8">
        <v>44.166666666666664</v>
      </c>
    </row>
    <row r="805" spans="1:3" x14ac:dyDescent="0.3">
      <c r="A805" s="12">
        <v>17</v>
      </c>
      <c r="B805">
        <v>33</v>
      </c>
      <c r="C805" s="8">
        <v>24.529411764705884</v>
      </c>
    </row>
    <row r="806" spans="1:3" x14ac:dyDescent="0.3">
      <c r="A806" s="12">
        <v>29</v>
      </c>
      <c r="B806">
        <v>55</v>
      </c>
      <c r="C806" s="8">
        <v>25.620689655172413</v>
      </c>
    </row>
    <row r="807" spans="1:3" x14ac:dyDescent="0.3">
      <c r="A807" s="12">
        <v>5</v>
      </c>
      <c r="B807">
        <v>8</v>
      </c>
      <c r="C807" s="8">
        <v>37.200000000000003</v>
      </c>
    </row>
    <row r="808" spans="1:3" x14ac:dyDescent="0.3">
      <c r="A808" s="12">
        <v>14</v>
      </c>
      <c r="B808">
        <v>28</v>
      </c>
      <c r="C808" s="8">
        <v>38.071428571428569</v>
      </c>
    </row>
    <row r="809" spans="1:3" x14ac:dyDescent="0.3">
      <c r="A809" s="12">
        <v>17</v>
      </c>
      <c r="B809">
        <v>22</v>
      </c>
      <c r="C809" s="8">
        <v>42.588235294117645</v>
      </c>
    </row>
    <row r="810" spans="1:3" x14ac:dyDescent="0.3">
      <c r="A810" s="12">
        <v>7</v>
      </c>
      <c r="B810">
        <v>11</v>
      </c>
      <c r="C810" s="8">
        <v>31.857142857142858</v>
      </c>
    </row>
    <row r="811" spans="1:3" x14ac:dyDescent="0.3">
      <c r="A811" s="12">
        <v>24</v>
      </c>
      <c r="B811">
        <v>40</v>
      </c>
      <c r="C811" s="8">
        <v>41.458333333333336</v>
      </c>
    </row>
    <row r="812" spans="1:3" x14ac:dyDescent="0.3">
      <c r="A812" s="12">
        <v>24</v>
      </c>
      <c r="B812">
        <v>50</v>
      </c>
      <c r="C812" s="8">
        <v>26.291666666666668</v>
      </c>
    </row>
    <row r="813" spans="1:3" x14ac:dyDescent="0.3">
      <c r="A813" s="12">
        <v>19</v>
      </c>
      <c r="B813">
        <v>31</v>
      </c>
      <c r="C813" s="8">
        <v>38.684210526315788</v>
      </c>
    </row>
    <row r="814" spans="1:3" x14ac:dyDescent="0.3">
      <c r="A814" s="12">
        <v>5</v>
      </c>
      <c r="B814">
        <v>10</v>
      </c>
      <c r="C814" s="8">
        <v>37</v>
      </c>
    </row>
    <row r="815" spans="1:3" x14ac:dyDescent="0.3">
      <c r="A815" s="12">
        <v>5</v>
      </c>
      <c r="B815">
        <v>7</v>
      </c>
      <c r="C815" s="8">
        <v>30.6</v>
      </c>
    </row>
    <row r="816" spans="1:3" x14ac:dyDescent="0.3">
      <c r="A816" s="12">
        <v>7</v>
      </c>
      <c r="B816">
        <v>15</v>
      </c>
      <c r="C816" s="8">
        <v>46</v>
      </c>
    </row>
    <row r="817" spans="1:3" x14ac:dyDescent="0.3">
      <c r="A817" s="12">
        <v>34</v>
      </c>
      <c r="B817">
        <v>67</v>
      </c>
      <c r="C817" s="8">
        <v>26.794117647058822</v>
      </c>
    </row>
    <row r="818" spans="1:3" x14ac:dyDescent="0.3">
      <c r="A818" s="12">
        <v>13</v>
      </c>
      <c r="B818">
        <v>18</v>
      </c>
      <c r="C818" s="8">
        <v>42.230769230769234</v>
      </c>
    </row>
    <row r="819" spans="1:3" x14ac:dyDescent="0.3">
      <c r="A819" s="12">
        <v>12</v>
      </c>
      <c r="B819">
        <v>21</v>
      </c>
      <c r="C819" s="8">
        <v>35.5</v>
      </c>
    </row>
    <row r="820" spans="1:3" x14ac:dyDescent="0.3">
      <c r="A820" s="12">
        <v>26</v>
      </c>
      <c r="B820">
        <v>43</v>
      </c>
      <c r="C820" s="8">
        <v>36.615384615384613</v>
      </c>
    </row>
    <row r="821" spans="1:3" x14ac:dyDescent="0.3">
      <c r="A821" s="12">
        <v>19</v>
      </c>
      <c r="B821">
        <v>26</v>
      </c>
      <c r="C821" s="8">
        <v>40.315789473684212</v>
      </c>
    </row>
    <row r="822" spans="1:3" x14ac:dyDescent="0.3">
      <c r="A822" s="12">
        <v>26</v>
      </c>
      <c r="B822">
        <v>52</v>
      </c>
      <c r="C822" s="8">
        <v>36.307692307692307</v>
      </c>
    </row>
    <row r="823" spans="1:3" x14ac:dyDescent="0.3">
      <c r="A823" s="12">
        <v>15</v>
      </c>
      <c r="B823">
        <v>29</v>
      </c>
      <c r="C823" s="8">
        <v>35.4</v>
      </c>
    </row>
    <row r="824" spans="1:3" x14ac:dyDescent="0.3">
      <c r="A824" s="12">
        <v>9</v>
      </c>
      <c r="B824">
        <v>16</v>
      </c>
      <c r="C824" s="8">
        <v>42.444444444444443</v>
      </c>
    </row>
    <row r="825" spans="1:3" x14ac:dyDescent="0.3">
      <c r="A825" s="12">
        <v>22</v>
      </c>
      <c r="B825">
        <v>47</v>
      </c>
      <c r="C825" s="8">
        <v>35.590909090909093</v>
      </c>
    </row>
    <row r="826" spans="1:3" x14ac:dyDescent="0.3">
      <c r="A826" s="12">
        <v>6</v>
      </c>
      <c r="B826">
        <v>11</v>
      </c>
      <c r="C826" s="8">
        <v>26</v>
      </c>
    </row>
    <row r="827" spans="1:3" x14ac:dyDescent="0.3">
      <c r="A827" s="12">
        <v>20</v>
      </c>
      <c r="B827">
        <v>45</v>
      </c>
      <c r="C827" s="8">
        <v>34.25</v>
      </c>
    </row>
    <row r="828" spans="1:3" x14ac:dyDescent="0.3">
      <c r="A828" s="12">
        <v>10</v>
      </c>
      <c r="B828">
        <v>14</v>
      </c>
      <c r="C828" s="8">
        <v>37.5</v>
      </c>
    </row>
    <row r="829" spans="1:3" x14ac:dyDescent="0.3">
      <c r="A829" s="12">
        <v>5</v>
      </c>
      <c r="B829">
        <v>10</v>
      </c>
      <c r="C829" s="8">
        <v>34</v>
      </c>
    </row>
    <row r="830" spans="1:3" x14ac:dyDescent="0.3">
      <c r="A830" s="12">
        <v>18</v>
      </c>
      <c r="B830">
        <v>30</v>
      </c>
      <c r="C830" s="8">
        <v>31.222222222222221</v>
      </c>
    </row>
    <row r="831" spans="1:3" x14ac:dyDescent="0.3">
      <c r="A831" s="12">
        <v>6</v>
      </c>
      <c r="B831">
        <v>7</v>
      </c>
      <c r="C831" s="8">
        <v>46</v>
      </c>
    </row>
    <row r="832" spans="1:3" x14ac:dyDescent="0.3">
      <c r="A832" s="12">
        <v>25</v>
      </c>
      <c r="B832">
        <v>38</v>
      </c>
      <c r="C832" s="8">
        <v>33.840000000000003</v>
      </c>
    </row>
    <row r="833" spans="1:3" x14ac:dyDescent="0.3">
      <c r="A833" s="12">
        <v>17</v>
      </c>
      <c r="B833">
        <v>29</v>
      </c>
      <c r="C833" s="8">
        <v>38.647058823529413</v>
      </c>
    </row>
    <row r="834" spans="1:3" x14ac:dyDescent="0.3">
      <c r="A834" s="12">
        <v>27</v>
      </c>
      <c r="B834">
        <v>59</v>
      </c>
      <c r="C834" s="8">
        <v>31.62962962962963</v>
      </c>
    </row>
    <row r="835" spans="1:3" x14ac:dyDescent="0.3">
      <c r="A835" s="12">
        <v>19</v>
      </c>
      <c r="B835">
        <v>28</v>
      </c>
      <c r="C835" s="8">
        <v>43.473684210526315</v>
      </c>
    </row>
    <row r="836" spans="1:3" x14ac:dyDescent="0.3">
      <c r="A836" s="12">
        <v>15</v>
      </c>
      <c r="B836">
        <v>19</v>
      </c>
      <c r="C836" s="8">
        <v>29.266666666666666</v>
      </c>
    </row>
    <row r="837" spans="1:3" x14ac:dyDescent="0.3">
      <c r="A837" s="12">
        <v>28</v>
      </c>
      <c r="B837">
        <v>50</v>
      </c>
      <c r="C837" s="8">
        <v>35.321428571428569</v>
      </c>
    </row>
    <row r="838" spans="1:3" x14ac:dyDescent="0.3">
      <c r="A838" s="12">
        <v>14</v>
      </c>
      <c r="B838">
        <v>18</v>
      </c>
      <c r="C838" s="8">
        <v>28.428571428571427</v>
      </c>
    </row>
    <row r="839" spans="1:3" x14ac:dyDescent="0.3">
      <c r="A839" s="12">
        <v>6</v>
      </c>
      <c r="B839">
        <v>8</v>
      </c>
      <c r="C839" s="8">
        <v>35.833333333333336</v>
      </c>
    </row>
    <row r="840" spans="1:3" x14ac:dyDescent="0.3">
      <c r="A840" s="12">
        <v>20</v>
      </c>
      <c r="B840">
        <v>33</v>
      </c>
      <c r="C840" s="8">
        <v>42.4</v>
      </c>
    </row>
    <row r="841" spans="1:3" x14ac:dyDescent="0.3">
      <c r="A841" s="12">
        <v>31</v>
      </c>
      <c r="B841">
        <v>73</v>
      </c>
      <c r="C841" s="8">
        <v>26.193548387096776</v>
      </c>
    </row>
    <row r="842" spans="1:3" x14ac:dyDescent="0.3">
      <c r="A842" s="12">
        <v>21</v>
      </c>
      <c r="B842">
        <v>39</v>
      </c>
      <c r="C842" s="8">
        <v>33.38095238095238</v>
      </c>
    </row>
    <row r="843" spans="1:3" x14ac:dyDescent="0.3">
      <c r="A843" s="12">
        <v>28</v>
      </c>
      <c r="B843">
        <v>54</v>
      </c>
      <c r="C843" s="8">
        <v>25.071428571428573</v>
      </c>
    </row>
    <row r="844" spans="1:3" x14ac:dyDescent="0.3">
      <c r="A844" s="12">
        <v>17</v>
      </c>
      <c r="B844">
        <v>21</v>
      </c>
      <c r="C844" s="8">
        <v>43.411764705882355</v>
      </c>
    </row>
    <row r="845" spans="1:3" x14ac:dyDescent="0.3">
      <c r="A845" s="12">
        <v>1</v>
      </c>
      <c r="B845">
        <v>1</v>
      </c>
      <c r="C845" s="8">
        <v>40</v>
      </c>
    </row>
    <row r="846" spans="1:3" x14ac:dyDescent="0.3">
      <c r="A846" s="12">
        <v>9</v>
      </c>
      <c r="B846">
        <v>15</v>
      </c>
      <c r="C846" s="8">
        <v>36.555555555555557</v>
      </c>
    </row>
    <row r="847" spans="1:3" x14ac:dyDescent="0.3">
      <c r="A847" s="12">
        <v>16</v>
      </c>
      <c r="B847">
        <v>26</v>
      </c>
      <c r="C847" s="8">
        <v>28.125</v>
      </c>
    </row>
    <row r="848" spans="1:3" x14ac:dyDescent="0.3">
      <c r="A848" s="12">
        <v>15</v>
      </c>
      <c r="B848">
        <v>23</v>
      </c>
      <c r="C848" s="8">
        <v>40.666666666666664</v>
      </c>
    </row>
    <row r="849" spans="1:3" x14ac:dyDescent="0.3">
      <c r="A849" s="12">
        <v>24</v>
      </c>
      <c r="B849">
        <v>51</v>
      </c>
      <c r="C849" s="8">
        <v>24.541666666666668</v>
      </c>
    </row>
    <row r="850" spans="1:3" x14ac:dyDescent="0.3">
      <c r="A850" s="12">
        <v>15</v>
      </c>
      <c r="B850">
        <v>20</v>
      </c>
      <c r="C850" s="8">
        <v>37.06666666666667</v>
      </c>
    </row>
    <row r="851" spans="1:3" x14ac:dyDescent="0.3">
      <c r="A851" s="12">
        <v>13</v>
      </c>
      <c r="B851">
        <v>28</v>
      </c>
      <c r="C851" s="8">
        <v>38.769230769230766</v>
      </c>
    </row>
    <row r="852" spans="1:3" x14ac:dyDescent="0.3">
      <c r="A852" s="12">
        <v>23</v>
      </c>
      <c r="B852">
        <v>34</v>
      </c>
      <c r="C852" s="8">
        <v>25.478260869565219</v>
      </c>
    </row>
    <row r="853" spans="1:3" x14ac:dyDescent="0.3">
      <c r="A853" s="12">
        <v>15</v>
      </c>
      <c r="B853">
        <v>27</v>
      </c>
      <c r="C853" s="8">
        <v>37.799999999999997</v>
      </c>
    </row>
    <row r="854" spans="1:3" x14ac:dyDescent="0.3">
      <c r="A854" s="12">
        <v>18</v>
      </c>
      <c r="B854">
        <v>37</v>
      </c>
      <c r="C854" s="8">
        <v>31.111111111111111</v>
      </c>
    </row>
    <row r="855" spans="1:3" x14ac:dyDescent="0.3">
      <c r="A855" s="12">
        <v>10</v>
      </c>
      <c r="B855">
        <v>18</v>
      </c>
      <c r="C855" s="8">
        <v>42</v>
      </c>
    </row>
    <row r="856" spans="1:3" x14ac:dyDescent="0.3">
      <c r="A856" s="12">
        <v>24</v>
      </c>
      <c r="B856">
        <v>56</v>
      </c>
      <c r="C856" s="8">
        <v>41.541666666666664</v>
      </c>
    </row>
    <row r="857" spans="1:3" x14ac:dyDescent="0.3">
      <c r="A857" s="12">
        <v>9</v>
      </c>
      <c r="B857">
        <v>12</v>
      </c>
      <c r="C857" s="8">
        <v>29.666666666666668</v>
      </c>
    </row>
    <row r="858" spans="1:3" x14ac:dyDescent="0.3">
      <c r="A858" s="12">
        <v>20</v>
      </c>
      <c r="B858">
        <v>40</v>
      </c>
      <c r="C858" s="8">
        <v>32.75</v>
      </c>
    </row>
    <row r="859" spans="1:3" x14ac:dyDescent="0.3">
      <c r="A859" s="12">
        <v>25</v>
      </c>
      <c r="B859">
        <v>45</v>
      </c>
      <c r="C859" s="8">
        <v>30.52</v>
      </c>
    </row>
    <row r="860" spans="1:3" x14ac:dyDescent="0.3">
      <c r="A860" s="12">
        <v>18</v>
      </c>
      <c r="B860">
        <v>25</v>
      </c>
      <c r="C860" s="8">
        <v>37.333333333333336</v>
      </c>
    </row>
    <row r="861" spans="1:3" x14ac:dyDescent="0.3">
      <c r="A861" s="12">
        <v>18</v>
      </c>
      <c r="B861">
        <v>31</v>
      </c>
      <c r="C861" s="8">
        <v>43.277777777777779</v>
      </c>
    </row>
    <row r="862" spans="1:3" x14ac:dyDescent="0.3">
      <c r="A862" s="12">
        <v>6</v>
      </c>
      <c r="B862">
        <v>8</v>
      </c>
      <c r="C862" s="8">
        <v>34.166666666666664</v>
      </c>
    </row>
    <row r="863" spans="1:3" x14ac:dyDescent="0.3">
      <c r="A863" s="12">
        <v>11</v>
      </c>
      <c r="B863">
        <v>16</v>
      </c>
      <c r="C863" s="8">
        <v>36.909090909090907</v>
      </c>
    </row>
    <row r="864" spans="1:3" x14ac:dyDescent="0.3">
      <c r="A864" s="12">
        <v>1</v>
      </c>
      <c r="B864">
        <v>1</v>
      </c>
      <c r="C864" s="8">
        <v>33</v>
      </c>
    </row>
    <row r="865" spans="1:3" x14ac:dyDescent="0.3">
      <c r="A865" s="12">
        <v>4</v>
      </c>
      <c r="B865">
        <v>7</v>
      </c>
      <c r="C865" s="8">
        <v>41.75</v>
      </c>
    </row>
    <row r="866" spans="1:3" x14ac:dyDescent="0.3">
      <c r="A866" s="12">
        <v>3</v>
      </c>
      <c r="B866">
        <v>4</v>
      </c>
      <c r="C866" s="8">
        <v>33</v>
      </c>
    </row>
    <row r="867" spans="1:3" x14ac:dyDescent="0.3">
      <c r="A867" s="12">
        <v>10</v>
      </c>
      <c r="B867">
        <v>20</v>
      </c>
      <c r="C867" s="8">
        <v>25.4</v>
      </c>
    </row>
    <row r="868" spans="1:3" x14ac:dyDescent="0.3">
      <c r="A868" s="12">
        <v>12</v>
      </c>
      <c r="B868">
        <v>25</v>
      </c>
      <c r="C868" s="8">
        <v>29.833333333333332</v>
      </c>
    </row>
    <row r="869" spans="1:3" x14ac:dyDescent="0.3">
      <c r="A869" s="12">
        <v>14</v>
      </c>
      <c r="B869">
        <v>18</v>
      </c>
      <c r="C869" s="8">
        <v>26.428571428571427</v>
      </c>
    </row>
    <row r="870" spans="1:3" x14ac:dyDescent="0.3">
      <c r="A870" s="12">
        <v>15</v>
      </c>
      <c r="B870">
        <v>23</v>
      </c>
      <c r="C870" s="8">
        <v>32.799999999999997</v>
      </c>
    </row>
    <row r="871" spans="1:3" x14ac:dyDescent="0.3">
      <c r="A871" s="12">
        <v>11</v>
      </c>
      <c r="B871">
        <v>19</v>
      </c>
      <c r="C871" s="8">
        <v>41</v>
      </c>
    </row>
    <row r="872" spans="1:3" x14ac:dyDescent="0.3">
      <c r="A872" s="12">
        <v>6</v>
      </c>
      <c r="B872">
        <v>8</v>
      </c>
      <c r="C872" s="8">
        <v>39</v>
      </c>
    </row>
    <row r="873" spans="1:3" x14ac:dyDescent="0.3">
      <c r="A873" s="12">
        <v>3</v>
      </c>
      <c r="B873">
        <v>4</v>
      </c>
      <c r="C873" s="8">
        <v>30.333333333333332</v>
      </c>
    </row>
    <row r="874" spans="1:3" x14ac:dyDescent="0.3">
      <c r="A874" s="12">
        <v>21</v>
      </c>
      <c r="B874">
        <v>32</v>
      </c>
      <c r="C874" s="8">
        <v>44.285714285714285</v>
      </c>
    </row>
    <row r="875" spans="1:3" x14ac:dyDescent="0.3">
      <c r="A875" s="12">
        <v>22</v>
      </c>
      <c r="B875">
        <v>36</v>
      </c>
      <c r="C875" s="8">
        <v>44.045454545454547</v>
      </c>
    </row>
    <row r="876" spans="1:3" x14ac:dyDescent="0.3">
      <c r="A876" s="12">
        <v>23</v>
      </c>
      <c r="B876">
        <v>48</v>
      </c>
      <c r="C876" s="8">
        <v>36.260869565217391</v>
      </c>
    </row>
    <row r="877" spans="1:3" x14ac:dyDescent="0.3">
      <c r="A877" s="12">
        <v>15</v>
      </c>
      <c r="B877">
        <v>31</v>
      </c>
      <c r="C877" s="8">
        <v>29.933333333333334</v>
      </c>
    </row>
    <row r="878" spans="1:3" x14ac:dyDescent="0.3">
      <c r="A878" s="12">
        <v>2</v>
      </c>
      <c r="B878">
        <v>2</v>
      </c>
      <c r="C878" s="8">
        <v>25.5</v>
      </c>
    </row>
    <row r="879" spans="1:3" x14ac:dyDescent="0.3">
      <c r="A879" s="12">
        <v>12</v>
      </c>
      <c r="B879">
        <v>24</v>
      </c>
      <c r="C879" s="8">
        <v>38.333333333333336</v>
      </c>
    </row>
    <row r="880" spans="1:3" x14ac:dyDescent="0.3">
      <c r="A880" s="12">
        <v>7</v>
      </c>
      <c r="B880">
        <v>15</v>
      </c>
      <c r="C880" s="8">
        <v>43.285714285714285</v>
      </c>
    </row>
    <row r="881" spans="1:3" x14ac:dyDescent="0.3">
      <c r="A881" s="12">
        <v>17</v>
      </c>
      <c r="B881">
        <v>27</v>
      </c>
      <c r="C881" s="8">
        <v>27.647058823529413</v>
      </c>
    </row>
    <row r="882" spans="1:3" x14ac:dyDescent="0.3">
      <c r="A882" s="12">
        <v>10</v>
      </c>
      <c r="B882">
        <v>15</v>
      </c>
      <c r="C882" s="8">
        <v>41.1</v>
      </c>
    </row>
    <row r="883" spans="1:3" x14ac:dyDescent="0.3">
      <c r="A883" s="12">
        <v>20</v>
      </c>
      <c r="B883">
        <v>47</v>
      </c>
      <c r="C883" s="8">
        <v>44.95</v>
      </c>
    </row>
    <row r="884" spans="1:3" x14ac:dyDescent="0.3">
      <c r="A884" s="12">
        <v>6</v>
      </c>
      <c r="B884">
        <v>13</v>
      </c>
      <c r="C884" s="8">
        <v>39.833333333333336</v>
      </c>
    </row>
    <row r="885" spans="1:3" x14ac:dyDescent="0.3">
      <c r="A885" s="12">
        <v>16</v>
      </c>
      <c r="B885">
        <v>27</v>
      </c>
      <c r="C885" s="8">
        <v>40.6875</v>
      </c>
    </row>
    <row r="886" spans="1:3" x14ac:dyDescent="0.3">
      <c r="A886" s="12">
        <v>27</v>
      </c>
      <c r="B886">
        <v>64</v>
      </c>
      <c r="C886" s="8">
        <v>35</v>
      </c>
    </row>
    <row r="887" spans="1:3" x14ac:dyDescent="0.3">
      <c r="A887" s="12">
        <v>1</v>
      </c>
      <c r="B887">
        <v>1</v>
      </c>
      <c r="C887" s="8">
        <v>20</v>
      </c>
    </row>
    <row r="888" spans="1:3" x14ac:dyDescent="0.3">
      <c r="A888" s="12">
        <v>5</v>
      </c>
      <c r="B888">
        <v>8</v>
      </c>
      <c r="C888" s="8">
        <v>33.799999999999997</v>
      </c>
    </row>
    <row r="889" spans="1:3" x14ac:dyDescent="0.3">
      <c r="A889" s="12">
        <v>21</v>
      </c>
      <c r="B889">
        <v>50</v>
      </c>
      <c r="C889" s="8">
        <v>40.142857142857146</v>
      </c>
    </row>
    <row r="890" spans="1:3" x14ac:dyDescent="0.3">
      <c r="A890" s="12">
        <v>1</v>
      </c>
      <c r="B890">
        <v>1</v>
      </c>
      <c r="C890" s="8">
        <v>29</v>
      </c>
    </row>
    <row r="891" spans="1:3" x14ac:dyDescent="0.3">
      <c r="A891" s="12">
        <v>29</v>
      </c>
      <c r="B891">
        <v>45</v>
      </c>
      <c r="C891" s="8">
        <v>30.03448275862069</v>
      </c>
    </row>
    <row r="892" spans="1:3" x14ac:dyDescent="0.3">
      <c r="A892" s="12">
        <v>6</v>
      </c>
      <c r="B892">
        <v>9</v>
      </c>
      <c r="C892" s="8">
        <v>40.666666666666664</v>
      </c>
    </row>
    <row r="893" spans="1:3" x14ac:dyDescent="0.3">
      <c r="A893" s="12">
        <v>22</v>
      </c>
      <c r="B893">
        <v>51</v>
      </c>
      <c r="C893" s="8">
        <v>45.136363636363633</v>
      </c>
    </row>
    <row r="894" spans="1:3" x14ac:dyDescent="0.3">
      <c r="A894" s="12">
        <v>15</v>
      </c>
      <c r="B894">
        <v>32</v>
      </c>
      <c r="C894" s="8">
        <v>43.8</v>
      </c>
    </row>
    <row r="895" spans="1:3" x14ac:dyDescent="0.3">
      <c r="A895" s="12">
        <v>9</v>
      </c>
      <c r="B895">
        <v>14</v>
      </c>
      <c r="C895" s="8">
        <v>31.222222222222221</v>
      </c>
    </row>
    <row r="896" spans="1:3" x14ac:dyDescent="0.3">
      <c r="A896" s="12">
        <v>2</v>
      </c>
      <c r="B896">
        <v>2</v>
      </c>
      <c r="C896" s="8">
        <v>41.5</v>
      </c>
    </row>
    <row r="897" spans="1:3" x14ac:dyDescent="0.3">
      <c r="A897" s="12">
        <v>8</v>
      </c>
      <c r="B897">
        <v>11</v>
      </c>
      <c r="C897" s="8">
        <v>38.5</v>
      </c>
    </row>
    <row r="898" spans="1:3" x14ac:dyDescent="0.3">
      <c r="A898" s="12">
        <v>36</v>
      </c>
      <c r="B898">
        <v>83</v>
      </c>
      <c r="C898" s="8">
        <v>26.222222222222221</v>
      </c>
    </row>
    <row r="899" spans="1:3" x14ac:dyDescent="0.3">
      <c r="A899" s="12">
        <v>20</v>
      </c>
      <c r="B899">
        <v>30</v>
      </c>
      <c r="C899" s="8">
        <v>30.4</v>
      </c>
    </row>
    <row r="900" spans="1:3" x14ac:dyDescent="0.3">
      <c r="A900" s="12">
        <v>18</v>
      </c>
      <c r="B900">
        <v>30</v>
      </c>
      <c r="C900" s="8">
        <v>38.444444444444443</v>
      </c>
    </row>
    <row r="901" spans="1:3" x14ac:dyDescent="0.3">
      <c r="A901" s="12">
        <v>2</v>
      </c>
      <c r="B901">
        <v>2</v>
      </c>
      <c r="C901" s="8">
        <v>35</v>
      </c>
    </row>
    <row r="902" spans="1:3" x14ac:dyDescent="0.3">
      <c r="A902" s="12">
        <v>15</v>
      </c>
      <c r="B902">
        <v>29</v>
      </c>
      <c r="C902" s="8">
        <v>32.866666666666667</v>
      </c>
    </row>
    <row r="903" spans="1:3" x14ac:dyDescent="0.3">
      <c r="A903" s="12">
        <v>12</v>
      </c>
      <c r="B903">
        <v>17</v>
      </c>
      <c r="C903" s="8">
        <v>43</v>
      </c>
    </row>
    <row r="904" spans="1:3" x14ac:dyDescent="0.3">
      <c r="A904" s="12">
        <v>19</v>
      </c>
      <c r="B904">
        <v>30</v>
      </c>
      <c r="C904" s="8">
        <v>43.315789473684212</v>
      </c>
    </row>
    <row r="905" spans="1:3" x14ac:dyDescent="0.3">
      <c r="A905" s="12">
        <v>34</v>
      </c>
      <c r="B905">
        <v>55</v>
      </c>
      <c r="C905" s="8">
        <v>27.382352941176471</v>
      </c>
    </row>
    <row r="906" spans="1:3" x14ac:dyDescent="0.3">
      <c r="A906" s="12">
        <v>29</v>
      </c>
      <c r="B906">
        <v>41</v>
      </c>
      <c r="C906" s="8">
        <v>26.551724137931036</v>
      </c>
    </row>
    <row r="907" spans="1:3" x14ac:dyDescent="0.3">
      <c r="A907" s="12">
        <v>25</v>
      </c>
      <c r="B907">
        <v>39</v>
      </c>
      <c r="C907" s="8">
        <v>34.28</v>
      </c>
    </row>
    <row r="908" spans="1:3" x14ac:dyDescent="0.3">
      <c r="A908" s="12">
        <v>17</v>
      </c>
      <c r="B908">
        <v>29</v>
      </c>
      <c r="C908" s="8">
        <v>26.352941176470587</v>
      </c>
    </row>
    <row r="909" spans="1:3" x14ac:dyDescent="0.3">
      <c r="A909" s="12">
        <v>35</v>
      </c>
      <c r="B909">
        <v>60</v>
      </c>
      <c r="C909" s="8">
        <v>26</v>
      </c>
    </row>
    <row r="910" spans="1:3" x14ac:dyDescent="0.3">
      <c r="A910" s="12">
        <v>18</v>
      </c>
      <c r="B910">
        <v>31</v>
      </c>
      <c r="C910" s="8">
        <v>36</v>
      </c>
    </row>
    <row r="911" spans="1:3" x14ac:dyDescent="0.3">
      <c r="A911" s="12">
        <v>13</v>
      </c>
      <c r="B911">
        <v>20</v>
      </c>
      <c r="C911" s="8">
        <v>40.769230769230766</v>
      </c>
    </row>
    <row r="912" spans="1:3" x14ac:dyDescent="0.3">
      <c r="A912" s="12">
        <v>10</v>
      </c>
      <c r="B912">
        <v>18</v>
      </c>
      <c r="C912" s="8">
        <v>41.6</v>
      </c>
    </row>
    <row r="913" spans="1:3" x14ac:dyDescent="0.3">
      <c r="A913" s="12">
        <v>20</v>
      </c>
      <c r="B913">
        <v>38</v>
      </c>
      <c r="C913" s="8">
        <v>38.35</v>
      </c>
    </row>
    <row r="914" spans="1:3" x14ac:dyDescent="0.3">
      <c r="A914" s="12">
        <v>20</v>
      </c>
      <c r="B914">
        <v>40</v>
      </c>
      <c r="C914" s="8">
        <v>40.15</v>
      </c>
    </row>
    <row r="915" spans="1:3" x14ac:dyDescent="0.3">
      <c r="A915" s="12">
        <v>25</v>
      </c>
      <c r="B915">
        <v>51</v>
      </c>
      <c r="C915" s="8">
        <v>38.479999999999997</v>
      </c>
    </row>
    <row r="916" spans="1:3" x14ac:dyDescent="0.3">
      <c r="A916" s="12">
        <v>21</v>
      </c>
      <c r="B916">
        <v>49</v>
      </c>
      <c r="C916" s="8">
        <v>27.80952380952381</v>
      </c>
    </row>
    <row r="917" spans="1:3" x14ac:dyDescent="0.3">
      <c r="A917" s="12">
        <v>19</v>
      </c>
      <c r="B917">
        <v>36</v>
      </c>
      <c r="C917" s="8">
        <v>33.473684210526315</v>
      </c>
    </row>
    <row r="918" spans="1:3" x14ac:dyDescent="0.3">
      <c r="A918" s="12">
        <v>10</v>
      </c>
      <c r="B918">
        <v>19</v>
      </c>
      <c r="C918" s="8">
        <v>36.200000000000003</v>
      </c>
    </row>
    <row r="919" spans="1:3" x14ac:dyDescent="0.3">
      <c r="A919" s="12">
        <v>1</v>
      </c>
      <c r="B919">
        <v>2</v>
      </c>
      <c r="C919" s="8">
        <v>37</v>
      </c>
    </row>
    <row r="920" spans="1:3" x14ac:dyDescent="0.3">
      <c r="A920" s="12">
        <v>23</v>
      </c>
      <c r="B920">
        <v>33</v>
      </c>
      <c r="C920" s="8">
        <v>32.391304347826086</v>
      </c>
    </row>
    <row r="921" spans="1:3" x14ac:dyDescent="0.3">
      <c r="A921" s="12">
        <v>10</v>
      </c>
      <c r="B921">
        <v>16</v>
      </c>
      <c r="C921" s="8">
        <v>37.700000000000003</v>
      </c>
    </row>
    <row r="922" spans="1:3" x14ac:dyDescent="0.3">
      <c r="A922" s="12">
        <v>11</v>
      </c>
      <c r="B922">
        <v>21</v>
      </c>
      <c r="C922" s="8">
        <v>36.909090909090907</v>
      </c>
    </row>
    <row r="923" spans="1:3" x14ac:dyDescent="0.3">
      <c r="A923" s="12">
        <v>18</v>
      </c>
      <c r="B923">
        <v>24</v>
      </c>
      <c r="C923" s="8">
        <v>37</v>
      </c>
    </row>
    <row r="924" spans="1:3" x14ac:dyDescent="0.3">
      <c r="A924" s="12">
        <v>32</v>
      </c>
      <c r="B924">
        <v>59</v>
      </c>
      <c r="C924" s="8">
        <v>29.21875</v>
      </c>
    </row>
    <row r="925" spans="1:3" x14ac:dyDescent="0.3">
      <c r="A925" s="12">
        <v>17</v>
      </c>
      <c r="B925">
        <v>32</v>
      </c>
      <c r="C925" s="8">
        <v>38</v>
      </c>
    </row>
    <row r="926" spans="1:3" x14ac:dyDescent="0.3">
      <c r="A926" s="12">
        <v>17</v>
      </c>
      <c r="B926">
        <v>29</v>
      </c>
      <c r="C926" s="8">
        <v>31.705882352941178</v>
      </c>
    </row>
    <row r="927" spans="1:3" x14ac:dyDescent="0.3">
      <c r="A927" s="12">
        <v>24</v>
      </c>
      <c r="B927">
        <v>49</v>
      </c>
      <c r="C927" s="8">
        <v>32.791666666666664</v>
      </c>
    </row>
    <row r="928" spans="1:3" x14ac:dyDescent="0.3">
      <c r="A928" s="12">
        <v>20</v>
      </c>
      <c r="B928">
        <v>29</v>
      </c>
      <c r="C928" s="8">
        <v>41.85</v>
      </c>
    </row>
    <row r="929" spans="1:3" x14ac:dyDescent="0.3">
      <c r="A929" s="12">
        <v>1</v>
      </c>
      <c r="B929">
        <v>1</v>
      </c>
      <c r="C929" s="8">
        <v>14</v>
      </c>
    </row>
    <row r="930" spans="1:3" x14ac:dyDescent="0.3">
      <c r="A930" s="12">
        <v>36</v>
      </c>
      <c r="B930">
        <v>66</v>
      </c>
      <c r="C930" s="8">
        <v>25.972222222222221</v>
      </c>
    </row>
    <row r="931" spans="1:3" x14ac:dyDescent="0.3">
      <c r="A931" s="12">
        <v>4</v>
      </c>
      <c r="B931">
        <v>4</v>
      </c>
      <c r="C931" s="8">
        <v>35</v>
      </c>
    </row>
    <row r="932" spans="1:3" x14ac:dyDescent="0.3">
      <c r="A932" s="12">
        <v>6</v>
      </c>
      <c r="B932">
        <v>11</v>
      </c>
      <c r="C932" s="8">
        <v>27.833333333333332</v>
      </c>
    </row>
    <row r="933" spans="1:3" x14ac:dyDescent="0.3">
      <c r="A933" s="12">
        <v>14</v>
      </c>
      <c r="B933">
        <v>26</v>
      </c>
      <c r="C933" s="8">
        <v>43.214285714285715</v>
      </c>
    </row>
    <row r="934" spans="1:3" x14ac:dyDescent="0.3">
      <c r="A934" s="12">
        <v>13</v>
      </c>
      <c r="B934">
        <v>20</v>
      </c>
      <c r="C934" s="8">
        <v>28.153846153846153</v>
      </c>
    </row>
    <row r="935" spans="1:3" x14ac:dyDescent="0.3">
      <c r="A935" s="12">
        <v>6</v>
      </c>
      <c r="B935">
        <v>9</v>
      </c>
      <c r="C935" s="8">
        <v>30.833333333333332</v>
      </c>
    </row>
    <row r="936" spans="1:3" x14ac:dyDescent="0.3">
      <c r="A936" s="12">
        <v>15</v>
      </c>
      <c r="B936">
        <v>29</v>
      </c>
      <c r="C936" s="8">
        <v>29.2</v>
      </c>
    </row>
    <row r="937" spans="1:3" x14ac:dyDescent="0.3">
      <c r="A937" s="12">
        <v>32</v>
      </c>
      <c r="B937">
        <v>62</v>
      </c>
      <c r="C937" s="8">
        <v>25.28125</v>
      </c>
    </row>
    <row r="938" spans="1:3" x14ac:dyDescent="0.3">
      <c r="A938" s="12">
        <v>21</v>
      </c>
      <c r="B938">
        <v>47</v>
      </c>
      <c r="C938" s="8">
        <v>43.904761904761905</v>
      </c>
    </row>
    <row r="939" spans="1:3" x14ac:dyDescent="0.3">
      <c r="A939" s="12">
        <v>20</v>
      </c>
      <c r="B939">
        <v>36</v>
      </c>
      <c r="C939" s="8">
        <v>37.25</v>
      </c>
    </row>
    <row r="940" spans="1:3" x14ac:dyDescent="0.3">
      <c r="A940" s="12">
        <v>33</v>
      </c>
      <c r="B940">
        <v>79</v>
      </c>
      <c r="C940" s="8">
        <v>27.333333333333332</v>
      </c>
    </row>
    <row r="941" spans="1:3" x14ac:dyDescent="0.3">
      <c r="A941" s="12">
        <v>22</v>
      </c>
      <c r="B941">
        <v>47</v>
      </c>
      <c r="C941" s="8">
        <v>28.454545454545453</v>
      </c>
    </row>
    <row r="942" spans="1:3" x14ac:dyDescent="0.3">
      <c r="A942" s="12">
        <v>8</v>
      </c>
      <c r="B942">
        <v>12</v>
      </c>
      <c r="C942" s="8">
        <v>30.75</v>
      </c>
    </row>
    <row r="943" spans="1:3" x14ac:dyDescent="0.3">
      <c r="A943" s="12">
        <v>8</v>
      </c>
      <c r="B943">
        <v>14</v>
      </c>
      <c r="C943" s="8">
        <v>47</v>
      </c>
    </row>
    <row r="944" spans="1:3" x14ac:dyDescent="0.3">
      <c r="A944" s="12">
        <v>11</v>
      </c>
      <c r="B944">
        <v>17</v>
      </c>
      <c r="C944" s="8">
        <v>38.727272727272727</v>
      </c>
    </row>
    <row r="945" spans="1:3" x14ac:dyDescent="0.3">
      <c r="A945" s="12">
        <v>20</v>
      </c>
      <c r="B945">
        <v>41</v>
      </c>
      <c r="C945" s="8">
        <v>33</v>
      </c>
    </row>
    <row r="946" spans="1:3" x14ac:dyDescent="0.3">
      <c r="A946" s="12">
        <v>23</v>
      </c>
      <c r="B946">
        <v>46</v>
      </c>
      <c r="C946" s="8">
        <v>25.043478260869566</v>
      </c>
    </row>
    <row r="947" spans="1:3" x14ac:dyDescent="0.3">
      <c r="A947" s="12">
        <v>13</v>
      </c>
      <c r="B947">
        <v>22</v>
      </c>
      <c r="C947" s="8">
        <v>28.76923076923077</v>
      </c>
    </row>
    <row r="948" spans="1:3" x14ac:dyDescent="0.3">
      <c r="A948" s="12">
        <v>24</v>
      </c>
      <c r="B948">
        <v>36</v>
      </c>
      <c r="C948" s="8">
        <v>33.541666666666664</v>
      </c>
    </row>
    <row r="949" spans="1:3" x14ac:dyDescent="0.3">
      <c r="A949" s="12">
        <v>6</v>
      </c>
      <c r="B949">
        <v>7</v>
      </c>
      <c r="C949" s="8">
        <v>26.833333333333332</v>
      </c>
    </row>
    <row r="950" spans="1:3" x14ac:dyDescent="0.3">
      <c r="A950" s="12">
        <v>23</v>
      </c>
      <c r="B950">
        <v>36</v>
      </c>
      <c r="C950" s="8">
        <v>36.826086956521742</v>
      </c>
    </row>
    <row r="951" spans="1:3" x14ac:dyDescent="0.3">
      <c r="A951" s="12">
        <v>8</v>
      </c>
      <c r="B951">
        <v>16</v>
      </c>
      <c r="C951" s="8">
        <v>35</v>
      </c>
    </row>
    <row r="952" spans="1:3" x14ac:dyDescent="0.3">
      <c r="A952" s="12">
        <v>27</v>
      </c>
      <c r="B952">
        <v>62</v>
      </c>
      <c r="C952" s="8">
        <v>30.814814814814813</v>
      </c>
    </row>
    <row r="953" spans="1:3" x14ac:dyDescent="0.3">
      <c r="A953" s="12">
        <v>12</v>
      </c>
      <c r="B953">
        <v>26</v>
      </c>
      <c r="C953" s="8">
        <v>37.333333333333336</v>
      </c>
    </row>
    <row r="954" spans="1:3" x14ac:dyDescent="0.3">
      <c r="A954" s="12">
        <v>17</v>
      </c>
      <c r="B954">
        <v>32</v>
      </c>
      <c r="C954" s="8">
        <v>44.882352941176471</v>
      </c>
    </row>
    <row r="955" spans="1:3" x14ac:dyDescent="0.3">
      <c r="A955" s="12">
        <v>23</v>
      </c>
      <c r="B955">
        <v>50</v>
      </c>
      <c r="C955" s="8">
        <v>35.782608695652172</v>
      </c>
    </row>
    <row r="956" spans="1:3" x14ac:dyDescent="0.3">
      <c r="A956" s="12">
        <v>10</v>
      </c>
      <c r="B956">
        <v>20</v>
      </c>
      <c r="C956" s="8">
        <v>42.8</v>
      </c>
    </row>
    <row r="957" spans="1:3" x14ac:dyDescent="0.3">
      <c r="A957" s="12">
        <v>8</v>
      </c>
      <c r="B957">
        <v>11</v>
      </c>
      <c r="C957" s="8">
        <v>35.75</v>
      </c>
    </row>
    <row r="958" spans="1:3" x14ac:dyDescent="0.3">
      <c r="A958" s="12">
        <v>23</v>
      </c>
      <c r="B958">
        <v>50</v>
      </c>
      <c r="C958" s="8">
        <v>43.478260869565219</v>
      </c>
    </row>
    <row r="959" spans="1:3" x14ac:dyDescent="0.3">
      <c r="A959" s="12">
        <v>22</v>
      </c>
      <c r="B959">
        <v>34</v>
      </c>
      <c r="C959" s="8">
        <v>38.045454545454547</v>
      </c>
    </row>
    <row r="960" spans="1:3" x14ac:dyDescent="0.3">
      <c r="A960" s="12">
        <v>5</v>
      </c>
      <c r="B960">
        <v>8</v>
      </c>
      <c r="C960" s="8">
        <v>31.6</v>
      </c>
    </row>
    <row r="961" spans="1:3" x14ac:dyDescent="0.3">
      <c r="A961" s="12">
        <v>3</v>
      </c>
      <c r="B961">
        <v>4</v>
      </c>
      <c r="C961" s="8">
        <v>49.666666666666664</v>
      </c>
    </row>
    <row r="962" spans="1:3" x14ac:dyDescent="0.3">
      <c r="A962" s="12">
        <v>12</v>
      </c>
      <c r="B962">
        <v>20</v>
      </c>
      <c r="C962" s="8">
        <v>37</v>
      </c>
    </row>
    <row r="963" spans="1:3" x14ac:dyDescent="0.3">
      <c r="A963" s="12">
        <v>31</v>
      </c>
      <c r="B963">
        <v>63</v>
      </c>
      <c r="C963" s="8">
        <v>28.870967741935484</v>
      </c>
    </row>
    <row r="964" spans="1:3" x14ac:dyDescent="0.3">
      <c r="A964" s="12">
        <v>17</v>
      </c>
      <c r="B964">
        <v>36</v>
      </c>
      <c r="C964" s="8">
        <v>39.882352941176471</v>
      </c>
    </row>
    <row r="965" spans="1:3" x14ac:dyDescent="0.3">
      <c r="A965" s="12">
        <v>26</v>
      </c>
      <c r="B965">
        <v>42</v>
      </c>
      <c r="C965" s="8">
        <v>32.57692307692308</v>
      </c>
    </row>
    <row r="966" spans="1:3" x14ac:dyDescent="0.3">
      <c r="A966" s="12">
        <v>15</v>
      </c>
      <c r="B966">
        <v>25</v>
      </c>
      <c r="C966" s="8">
        <v>41.133333333333333</v>
      </c>
    </row>
    <row r="967" spans="1:3" x14ac:dyDescent="0.3">
      <c r="A967" s="12">
        <v>19</v>
      </c>
      <c r="B967">
        <v>27</v>
      </c>
      <c r="C967" s="8">
        <v>29.421052631578949</v>
      </c>
    </row>
    <row r="968" spans="1:3" x14ac:dyDescent="0.3">
      <c r="A968" s="12">
        <v>8</v>
      </c>
      <c r="B968">
        <v>11</v>
      </c>
      <c r="C968" s="8">
        <v>38.25</v>
      </c>
    </row>
    <row r="969" spans="1:3" x14ac:dyDescent="0.3">
      <c r="A969" s="12">
        <v>4</v>
      </c>
      <c r="B969">
        <v>6</v>
      </c>
      <c r="C969" s="8">
        <v>38.75</v>
      </c>
    </row>
    <row r="970" spans="1:3" x14ac:dyDescent="0.3">
      <c r="A970" s="12">
        <v>1</v>
      </c>
      <c r="B970">
        <v>1</v>
      </c>
      <c r="C970" s="8">
        <v>14</v>
      </c>
    </row>
    <row r="971" spans="1:3" x14ac:dyDescent="0.3">
      <c r="A971" s="12">
        <v>5</v>
      </c>
      <c r="B971">
        <v>7</v>
      </c>
      <c r="C971" s="8">
        <v>36.200000000000003</v>
      </c>
    </row>
    <row r="972" spans="1:3" x14ac:dyDescent="0.3">
      <c r="A972" s="12">
        <v>16</v>
      </c>
      <c r="B972">
        <v>28</v>
      </c>
      <c r="C972" s="8">
        <v>34.1875</v>
      </c>
    </row>
    <row r="973" spans="1:3" x14ac:dyDescent="0.3">
      <c r="A973" s="12">
        <v>3</v>
      </c>
      <c r="B973">
        <v>5</v>
      </c>
      <c r="C973" s="8">
        <v>43.666666666666664</v>
      </c>
    </row>
    <row r="974" spans="1:3" x14ac:dyDescent="0.3">
      <c r="A974" s="12">
        <v>5</v>
      </c>
      <c r="B974">
        <v>10</v>
      </c>
      <c r="C974" s="8">
        <v>40.6</v>
      </c>
    </row>
    <row r="975" spans="1:3" x14ac:dyDescent="0.3">
      <c r="A975" s="12">
        <v>17</v>
      </c>
      <c r="B975">
        <v>24</v>
      </c>
      <c r="C975" s="8">
        <v>41</v>
      </c>
    </row>
    <row r="976" spans="1:3" x14ac:dyDescent="0.3">
      <c r="A976" s="12">
        <v>7</v>
      </c>
      <c r="B976">
        <v>13</v>
      </c>
      <c r="C976" s="8">
        <v>30.571428571428573</v>
      </c>
    </row>
    <row r="977" spans="1:3" x14ac:dyDescent="0.3">
      <c r="A977" s="12">
        <v>6</v>
      </c>
      <c r="B977">
        <v>10</v>
      </c>
      <c r="C977" s="8">
        <v>41.5</v>
      </c>
    </row>
    <row r="978" spans="1:3" x14ac:dyDescent="0.3">
      <c r="A978" s="12">
        <v>1</v>
      </c>
      <c r="B978">
        <v>1</v>
      </c>
      <c r="C978" s="8">
        <v>40</v>
      </c>
    </row>
    <row r="979" spans="1:3" x14ac:dyDescent="0.3">
      <c r="A979" s="12">
        <v>22</v>
      </c>
      <c r="B979">
        <v>39</v>
      </c>
      <c r="C979" s="8">
        <v>38.68181818181818</v>
      </c>
    </row>
    <row r="980" spans="1:3" x14ac:dyDescent="0.3">
      <c r="A980" s="12">
        <v>5</v>
      </c>
      <c r="B980">
        <v>9</v>
      </c>
      <c r="C980" s="8">
        <v>41.4</v>
      </c>
    </row>
    <row r="981" spans="1:3" x14ac:dyDescent="0.3">
      <c r="A981" s="12">
        <v>12</v>
      </c>
      <c r="B981">
        <v>18</v>
      </c>
      <c r="C981" s="8">
        <v>30.75</v>
      </c>
    </row>
    <row r="982" spans="1:3" x14ac:dyDescent="0.3">
      <c r="A982" s="12">
        <v>8</v>
      </c>
      <c r="B982">
        <v>14</v>
      </c>
      <c r="C982" s="8">
        <v>38</v>
      </c>
    </row>
    <row r="983" spans="1:3" x14ac:dyDescent="0.3">
      <c r="A983" s="12">
        <v>23</v>
      </c>
      <c r="B983">
        <v>51</v>
      </c>
      <c r="C983" s="8">
        <v>33.391304347826086</v>
      </c>
    </row>
    <row r="984" spans="1:3" x14ac:dyDescent="0.3">
      <c r="A984" s="12">
        <v>31</v>
      </c>
      <c r="B984">
        <v>55</v>
      </c>
      <c r="C984" s="8">
        <v>25.193548387096776</v>
      </c>
    </row>
    <row r="985" spans="1:3" x14ac:dyDescent="0.3">
      <c r="A985" s="12">
        <v>12</v>
      </c>
      <c r="B985">
        <v>16</v>
      </c>
      <c r="C985" s="8">
        <v>37</v>
      </c>
    </row>
    <row r="986" spans="1:3" x14ac:dyDescent="0.3">
      <c r="A986" s="12">
        <v>5</v>
      </c>
      <c r="B986">
        <v>7</v>
      </c>
      <c r="C986" s="8">
        <v>39.4</v>
      </c>
    </row>
    <row r="987" spans="1:3" x14ac:dyDescent="0.3">
      <c r="A987" s="12">
        <v>21</v>
      </c>
      <c r="B987">
        <v>33</v>
      </c>
      <c r="C987" s="8">
        <v>42.285714285714285</v>
      </c>
    </row>
    <row r="988" spans="1:3" x14ac:dyDescent="0.3">
      <c r="A988" s="12">
        <v>12</v>
      </c>
      <c r="B988">
        <v>25</v>
      </c>
      <c r="C988" s="8">
        <v>28.333333333333332</v>
      </c>
    </row>
    <row r="989" spans="1:3" x14ac:dyDescent="0.3">
      <c r="A989" s="12">
        <v>16</v>
      </c>
      <c r="B989">
        <v>21</v>
      </c>
      <c r="C989" s="8">
        <v>36.8125</v>
      </c>
    </row>
    <row r="990" spans="1:3" x14ac:dyDescent="0.3">
      <c r="A990" s="12">
        <v>18</v>
      </c>
      <c r="B990">
        <v>23</v>
      </c>
      <c r="C990" s="8">
        <v>25.333333333333332</v>
      </c>
    </row>
    <row r="991" spans="1:3" x14ac:dyDescent="0.3">
      <c r="A991" s="12">
        <v>3</v>
      </c>
      <c r="B991">
        <v>5</v>
      </c>
      <c r="C991" s="8">
        <v>28.666666666666668</v>
      </c>
    </row>
    <row r="992" spans="1:3" x14ac:dyDescent="0.3">
      <c r="A992" s="12">
        <v>16</v>
      </c>
      <c r="B992">
        <v>33</v>
      </c>
      <c r="C992" s="8">
        <v>44.75</v>
      </c>
    </row>
    <row r="993" spans="1:3" x14ac:dyDescent="0.3">
      <c r="A993" s="12">
        <v>14</v>
      </c>
      <c r="B993">
        <v>30</v>
      </c>
      <c r="C993" s="8">
        <v>42.714285714285715</v>
      </c>
    </row>
    <row r="994" spans="1:3" x14ac:dyDescent="0.3">
      <c r="A994" s="12">
        <v>22</v>
      </c>
      <c r="B994">
        <v>46</v>
      </c>
      <c r="C994" s="8">
        <v>34.636363636363633</v>
      </c>
    </row>
    <row r="995" spans="1:3" x14ac:dyDescent="0.3">
      <c r="A995" s="12">
        <v>33</v>
      </c>
      <c r="B995">
        <v>50</v>
      </c>
      <c r="C995" s="8">
        <v>27.666666666666668</v>
      </c>
    </row>
    <row r="996" spans="1:3" x14ac:dyDescent="0.3">
      <c r="A996" s="12">
        <v>24</v>
      </c>
      <c r="B996">
        <v>35</v>
      </c>
      <c r="C996" s="8">
        <v>39.375</v>
      </c>
    </row>
    <row r="997" spans="1:3" x14ac:dyDescent="0.3">
      <c r="A997" s="12">
        <v>8</v>
      </c>
      <c r="B997">
        <v>12</v>
      </c>
      <c r="C997" s="8">
        <v>32.875</v>
      </c>
    </row>
    <row r="998" spans="1:3" x14ac:dyDescent="0.3">
      <c r="A998" s="12">
        <v>26</v>
      </c>
      <c r="B998">
        <v>61</v>
      </c>
      <c r="C998" s="8">
        <v>31.153846153846153</v>
      </c>
    </row>
    <row r="999" spans="1:3" x14ac:dyDescent="0.3">
      <c r="A999" s="12">
        <v>25</v>
      </c>
      <c r="B999">
        <v>55</v>
      </c>
      <c r="C999" s="8">
        <v>24.68</v>
      </c>
    </row>
    <row r="1000" spans="1:3" x14ac:dyDescent="0.3">
      <c r="A1000" s="12">
        <v>30</v>
      </c>
      <c r="B1000">
        <v>49</v>
      </c>
      <c r="C1000" s="8">
        <v>28.2</v>
      </c>
    </row>
    <row r="1001" spans="1:3" x14ac:dyDescent="0.3">
      <c r="A1001" s="12">
        <v>24</v>
      </c>
      <c r="B1001">
        <v>56</v>
      </c>
      <c r="C1001" s="8">
        <v>27.541666666666668</v>
      </c>
    </row>
    <row r="1002" spans="1:3" x14ac:dyDescent="0.3">
      <c r="A1002" s="12">
        <v>15</v>
      </c>
      <c r="B1002">
        <v>27</v>
      </c>
      <c r="C1002" s="8">
        <v>44.4</v>
      </c>
    </row>
    <row r="1003" spans="1:3" x14ac:dyDescent="0.3">
      <c r="A1003" s="12">
        <v>28</v>
      </c>
      <c r="B1003">
        <v>60</v>
      </c>
      <c r="C1003" s="8">
        <v>34.714285714285715</v>
      </c>
    </row>
    <row r="1004" spans="1:3" x14ac:dyDescent="0.3">
      <c r="A1004" s="12">
        <v>6</v>
      </c>
      <c r="B1004">
        <v>8</v>
      </c>
      <c r="C1004" s="8">
        <v>35.666666666666664</v>
      </c>
    </row>
    <row r="1005" spans="1:3" x14ac:dyDescent="0.3">
      <c r="A1005" s="12">
        <v>7</v>
      </c>
      <c r="B1005">
        <v>13</v>
      </c>
      <c r="C1005" s="8">
        <v>31.571428571428573</v>
      </c>
    </row>
    <row r="1006" spans="1:3" x14ac:dyDescent="0.3">
      <c r="A1006" s="12">
        <v>29</v>
      </c>
      <c r="B1006">
        <v>42</v>
      </c>
      <c r="C1006" s="8">
        <v>34.310344827586206</v>
      </c>
    </row>
    <row r="1007" spans="1:3" x14ac:dyDescent="0.3">
      <c r="A1007" s="12">
        <v>7</v>
      </c>
      <c r="B1007">
        <v>10</v>
      </c>
      <c r="C1007" s="8">
        <v>30.428571428571427</v>
      </c>
    </row>
    <row r="1008" spans="1:3" x14ac:dyDescent="0.3">
      <c r="A1008" s="12">
        <v>24</v>
      </c>
      <c r="B1008">
        <v>53</v>
      </c>
      <c r="C1008" s="8">
        <v>29.833333333333332</v>
      </c>
    </row>
    <row r="1009" spans="1:3" x14ac:dyDescent="0.3">
      <c r="A1009" s="12">
        <v>10</v>
      </c>
      <c r="B1009">
        <v>19</v>
      </c>
      <c r="C1009" s="8">
        <v>34.6</v>
      </c>
    </row>
    <row r="1010" spans="1:3" x14ac:dyDescent="0.3">
      <c r="A1010" s="12">
        <v>18</v>
      </c>
      <c r="B1010">
        <v>24</v>
      </c>
      <c r="C1010" s="8">
        <v>43.388888888888886</v>
      </c>
    </row>
    <row r="1011" spans="1:3" x14ac:dyDescent="0.3">
      <c r="A1011" s="12">
        <v>15</v>
      </c>
      <c r="B1011">
        <v>32</v>
      </c>
      <c r="C1011" s="8">
        <v>35</v>
      </c>
    </row>
    <row r="1012" spans="1:3" x14ac:dyDescent="0.3">
      <c r="A1012" s="12">
        <v>12</v>
      </c>
      <c r="B1012">
        <v>20</v>
      </c>
      <c r="C1012" s="8">
        <v>25</v>
      </c>
    </row>
    <row r="1013" spans="1:3" x14ac:dyDescent="0.3">
      <c r="A1013" s="12">
        <v>18</v>
      </c>
      <c r="B1013">
        <v>24</v>
      </c>
      <c r="C1013" s="8">
        <v>37.611111111111114</v>
      </c>
    </row>
    <row r="1014" spans="1:3" x14ac:dyDescent="0.3">
      <c r="A1014" s="12">
        <v>7</v>
      </c>
      <c r="B1014">
        <v>12</v>
      </c>
      <c r="C1014" s="8">
        <v>39</v>
      </c>
    </row>
    <row r="1015" spans="1:3" x14ac:dyDescent="0.3">
      <c r="A1015" s="12">
        <v>13</v>
      </c>
      <c r="B1015">
        <v>21</v>
      </c>
      <c r="C1015" s="8">
        <v>27.76923076923077</v>
      </c>
    </row>
    <row r="1016" spans="1:3" x14ac:dyDescent="0.3">
      <c r="A1016" s="12">
        <v>34</v>
      </c>
      <c r="B1016">
        <v>81</v>
      </c>
      <c r="C1016" s="8">
        <v>27.294117647058822</v>
      </c>
    </row>
    <row r="1017" spans="1:3" x14ac:dyDescent="0.3">
      <c r="A1017" s="12">
        <v>8</v>
      </c>
      <c r="B1017">
        <v>16</v>
      </c>
      <c r="C1017" s="8">
        <v>45.875</v>
      </c>
    </row>
    <row r="1018" spans="1:3" x14ac:dyDescent="0.3">
      <c r="A1018" s="12">
        <v>3</v>
      </c>
      <c r="B1018">
        <v>3</v>
      </c>
      <c r="C1018" s="8">
        <v>38</v>
      </c>
    </row>
    <row r="1019" spans="1:3" x14ac:dyDescent="0.3">
      <c r="A1019" s="12">
        <v>4</v>
      </c>
      <c r="B1019">
        <v>4</v>
      </c>
      <c r="C1019" s="8">
        <v>38.5</v>
      </c>
    </row>
    <row r="1020" spans="1:3" x14ac:dyDescent="0.3">
      <c r="A1020" s="12">
        <v>17</v>
      </c>
      <c r="B1020">
        <v>30</v>
      </c>
      <c r="C1020" s="8">
        <v>44.117647058823529</v>
      </c>
    </row>
    <row r="1021" spans="1:3" x14ac:dyDescent="0.3">
      <c r="A1021" s="12">
        <v>35</v>
      </c>
      <c r="B1021">
        <v>69</v>
      </c>
      <c r="C1021" s="8">
        <v>26</v>
      </c>
    </row>
    <row r="1022" spans="1:3" x14ac:dyDescent="0.3">
      <c r="A1022" s="12">
        <v>29</v>
      </c>
      <c r="B1022">
        <v>52</v>
      </c>
      <c r="C1022" s="8">
        <v>34.068965517241381</v>
      </c>
    </row>
    <row r="1023" spans="1:3" x14ac:dyDescent="0.3">
      <c r="A1023" s="12">
        <v>24</v>
      </c>
      <c r="B1023">
        <v>57</v>
      </c>
      <c r="C1023" s="8">
        <v>38.208333333333336</v>
      </c>
    </row>
    <row r="1024" spans="1:3" x14ac:dyDescent="0.3">
      <c r="A1024" s="12">
        <v>4</v>
      </c>
      <c r="B1024">
        <v>6</v>
      </c>
      <c r="C1024" s="8">
        <v>27</v>
      </c>
    </row>
    <row r="1025" spans="1:3" x14ac:dyDescent="0.3">
      <c r="A1025" s="12">
        <v>2</v>
      </c>
      <c r="B1025">
        <v>3</v>
      </c>
      <c r="C1025" s="8">
        <v>24.5</v>
      </c>
    </row>
    <row r="1026" spans="1:3" x14ac:dyDescent="0.3">
      <c r="A1026" s="12">
        <v>6</v>
      </c>
      <c r="B1026">
        <v>10</v>
      </c>
      <c r="C1026" s="8">
        <v>40.833333333333336</v>
      </c>
    </row>
    <row r="1027" spans="1:3" x14ac:dyDescent="0.3">
      <c r="A1027" s="12">
        <v>15</v>
      </c>
      <c r="B1027">
        <v>20</v>
      </c>
      <c r="C1027" s="8">
        <v>34.466666666666669</v>
      </c>
    </row>
    <row r="1028" spans="1:3" x14ac:dyDescent="0.3">
      <c r="A1028" s="12">
        <v>18</v>
      </c>
      <c r="B1028">
        <v>35</v>
      </c>
      <c r="C1028" s="8">
        <v>38.222222222222221</v>
      </c>
    </row>
    <row r="1029" spans="1:3" x14ac:dyDescent="0.3">
      <c r="A1029" s="12">
        <v>25</v>
      </c>
      <c r="B1029">
        <v>58</v>
      </c>
      <c r="C1029" s="8">
        <v>36.119999999999997</v>
      </c>
    </row>
    <row r="1030" spans="1:3" x14ac:dyDescent="0.3">
      <c r="A1030" s="12">
        <v>19</v>
      </c>
      <c r="B1030">
        <v>40</v>
      </c>
      <c r="C1030" s="8">
        <v>44.421052631578945</v>
      </c>
    </row>
    <row r="1031" spans="1:3" x14ac:dyDescent="0.3">
      <c r="A1031" s="12">
        <v>10</v>
      </c>
      <c r="B1031">
        <v>13</v>
      </c>
      <c r="C1031" s="8">
        <v>43.6</v>
      </c>
    </row>
    <row r="1032" spans="1:3" x14ac:dyDescent="0.3">
      <c r="A1032" s="12">
        <v>19</v>
      </c>
      <c r="B1032">
        <v>25</v>
      </c>
      <c r="C1032" s="8">
        <v>35.421052631578945</v>
      </c>
    </row>
    <row r="1033" spans="1:3" x14ac:dyDescent="0.3">
      <c r="A1033" s="12">
        <v>18</v>
      </c>
      <c r="B1033">
        <v>30</v>
      </c>
      <c r="C1033" s="8">
        <v>33.5</v>
      </c>
    </row>
    <row r="1034" spans="1:3" x14ac:dyDescent="0.3">
      <c r="A1034" s="12">
        <v>10</v>
      </c>
      <c r="B1034">
        <v>21</v>
      </c>
      <c r="C1034" s="8">
        <v>32.799999999999997</v>
      </c>
    </row>
    <row r="1035" spans="1:3" x14ac:dyDescent="0.3">
      <c r="A1035" s="12">
        <v>8</v>
      </c>
      <c r="B1035">
        <v>11</v>
      </c>
      <c r="C1035" s="8">
        <v>33.5</v>
      </c>
    </row>
    <row r="1036" spans="1:3" x14ac:dyDescent="0.3">
      <c r="A1036" s="12">
        <v>14</v>
      </c>
      <c r="B1036">
        <v>23</v>
      </c>
      <c r="C1036" s="8">
        <v>30</v>
      </c>
    </row>
    <row r="1037" spans="1:3" x14ac:dyDescent="0.3">
      <c r="A1037" s="12">
        <v>10</v>
      </c>
      <c r="B1037">
        <v>20</v>
      </c>
      <c r="C1037" s="8">
        <v>42.8</v>
      </c>
    </row>
    <row r="1038" spans="1:3" x14ac:dyDescent="0.3">
      <c r="A1038" s="12">
        <v>17</v>
      </c>
      <c r="B1038">
        <v>23</v>
      </c>
      <c r="C1038" s="8">
        <v>27.764705882352942</v>
      </c>
    </row>
    <row r="1039" spans="1:3" x14ac:dyDescent="0.3">
      <c r="A1039" s="12">
        <v>4</v>
      </c>
      <c r="B1039">
        <v>7</v>
      </c>
      <c r="C1039" s="8">
        <v>39.75</v>
      </c>
    </row>
    <row r="1040" spans="1:3" x14ac:dyDescent="0.3">
      <c r="A1040" s="12">
        <v>1</v>
      </c>
      <c r="B1040">
        <v>1</v>
      </c>
      <c r="C1040" s="8">
        <v>51</v>
      </c>
    </row>
    <row r="1041" spans="1:3" x14ac:dyDescent="0.3">
      <c r="A1041" s="12">
        <v>17</v>
      </c>
      <c r="B1041">
        <v>35</v>
      </c>
      <c r="C1041" s="8">
        <v>40.941176470588232</v>
      </c>
    </row>
    <row r="1042" spans="1:3" x14ac:dyDescent="0.3">
      <c r="A1042" s="12">
        <v>18</v>
      </c>
      <c r="B1042">
        <v>36</v>
      </c>
      <c r="C1042" s="8">
        <v>32.333333333333336</v>
      </c>
    </row>
    <row r="1043" spans="1:3" x14ac:dyDescent="0.3">
      <c r="A1043" s="12">
        <v>2</v>
      </c>
      <c r="B1043">
        <v>2</v>
      </c>
      <c r="C1043" s="8">
        <v>28</v>
      </c>
    </row>
    <row r="1044" spans="1:3" x14ac:dyDescent="0.3">
      <c r="A1044" s="12">
        <v>32</v>
      </c>
      <c r="B1044">
        <v>70</v>
      </c>
      <c r="C1044" s="8">
        <v>25.75</v>
      </c>
    </row>
    <row r="1045" spans="1:3" x14ac:dyDescent="0.3">
      <c r="A1045" s="12">
        <v>9</v>
      </c>
      <c r="B1045">
        <v>19</v>
      </c>
      <c r="C1045" s="8">
        <v>36.444444444444443</v>
      </c>
    </row>
    <row r="1046" spans="1:3" x14ac:dyDescent="0.3">
      <c r="A1046" s="12">
        <v>5</v>
      </c>
      <c r="B1046">
        <v>10</v>
      </c>
      <c r="C1046" s="8">
        <v>28.2</v>
      </c>
    </row>
    <row r="1047" spans="1:3" x14ac:dyDescent="0.3">
      <c r="A1047" s="12">
        <v>16</v>
      </c>
      <c r="B1047">
        <v>21</v>
      </c>
      <c r="C1047" s="8">
        <v>32.75</v>
      </c>
    </row>
    <row r="1048" spans="1:3" x14ac:dyDescent="0.3">
      <c r="A1048" s="12">
        <v>1</v>
      </c>
      <c r="B1048">
        <v>1</v>
      </c>
      <c r="C1048" s="8">
        <v>43</v>
      </c>
    </row>
    <row r="1049" spans="1:3" x14ac:dyDescent="0.3">
      <c r="A1049" s="12">
        <v>4</v>
      </c>
      <c r="B1049">
        <v>6</v>
      </c>
      <c r="C1049" s="8">
        <v>39</v>
      </c>
    </row>
    <row r="1050" spans="1:3" x14ac:dyDescent="0.3">
      <c r="A1050" s="12">
        <v>1</v>
      </c>
      <c r="B1050">
        <v>2</v>
      </c>
      <c r="C1050" s="8">
        <v>45</v>
      </c>
    </row>
    <row r="1051" spans="1:3" x14ac:dyDescent="0.3">
      <c r="A1051" s="12">
        <v>18</v>
      </c>
      <c r="B1051">
        <v>33</v>
      </c>
      <c r="C1051" s="8">
        <v>29.388888888888889</v>
      </c>
    </row>
    <row r="1052" spans="1:3" x14ac:dyDescent="0.3">
      <c r="A1052" s="12">
        <v>5</v>
      </c>
      <c r="B1052">
        <v>8</v>
      </c>
      <c r="C1052" s="8">
        <v>30.8</v>
      </c>
    </row>
    <row r="1053" spans="1:3" x14ac:dyDescent="0.3">
      <c r="A1053" s="12">
        <v>5</v>
      </c>
      <c r="B1053">
        <v>7</v>
      </c>
      <c r="C1053" s="8">
        <v>24.2</v>
      </c>
    </row>
    <row r="1054" spans="1:3" x14ac:dyDescent="0.3">
      <c r="A1054" s="12">
        <v>9</v>
      </c>
      <c r="B1054">
        <v>14</v>
      </c>
      <c r="C1054" s="8">
        <v>37.111111111111114</v>
      </c>
    </row>
    <row r="1055" spans="1:3" x14ac:dyDescent="0.3">
      <c r="A1055" s="12">
        <v>26</v>
      </c>
      <c r="B1055">
        <v>43</v>
      </c>
      <c r="C1055" s="8">
        <v>26.653846153846153</v>
      </c>
    </row>
    <row r="1056" spans="1:3" x14ac:dyDescent="0.3">
      <c r="A1056" s="12">
        <v>7</v>
      </c>
      <c r="B1056">
        <v>9</v>
      </c>
      <c r="C1056" s="8">
        <v>44.857142857142854</v>
      </c>
    </row>
    <row r="1057" spans="1:3" x14ac:dyDescent="0.3">
      <c r="A1057" s="12">
        <v>4</v>
      </c>
      <c r="B1057">
        <v>5</v>
      </c>
      <c r="C1057" s="8">
        <v>30.25</v>
      </c>
    </row>
    <row r="1058" spans="1:3" x14ac:dyDescent="0.3">
      <c r="A1058" s="12">
        <v>12</v>
      </c>
      <c r="B1058">
        <v>26</v>
      </c>
      <c r="C1058" s="8">
        <v>36.5</v>
      </c>
    </row>
    <row r="1059" spans="1:3" x14ac:dyDescent="0.3">
      <c r="A1059" s="12">
        <v>8</v>
      </c>
      <c r="B1059">
        <v>15</v>
      </c>
      <c r="C1059" s="8">
        <v>35.625</v>
      </c>
    </row>
    <row r="1060" spans="1:3" x14ac:dyDescent="0.3">
      <c r="A1060" s="12">
        <v>2</v>
      </c>
      <c r="B1060">
        <v>3</v>
      </c>
      <c r="C1060" s="8">
        <v>24.5</v>
      </c>
    </row>
    <row r="1061" spans="1:3" x14ac:dyDescent="0.3">
      <c r="A1061" s="12">
        <v>26</v>
      </c>
      <c r="B1061">
        <v>37</v>
      </c>
      <c r="C1061" s="8">
        <v>29.076923076923077</v>
      </c>
    </row>
    <row r="1062" spans="1:3" x14ac:dyDescent="0.3">
      <c r="A1062" s="12">
        <v>25</v>
      </c>
      <c r="B1062">
        <v>45</v>
      </c>
      <c r="C1062" s="8">
        <v>25.84</v>
      </c>
    </row>
    <row r="1063" spans="1:3" x14ac:dyDescent="0.3">
      <c r="A1063" s="12">
        <v>14</v>
      </c>
      <c r="B1063">
        <v>26</v>
      </c>
      <c r="C1063" s="8">
        <v>34.857142857142854</v>
      </c>
    </row>
    <row r="1064" spans="1:3" x14ac:dyDescent="0.3">
      <c r="A1064" s="12">
        <v>16</v>
      </c>
      <c r="B1064">
        <v>31</v>
      </c>
      <c r="C1064" s="8">
        <v>32.875</v>
      </c>
    </row>
    <row r="1065" spans="1:3" x14ac:dyDescent="0.3">
      <c r="A1065" s="12">
        <v>19</v>
      </c>
      <c r="B1065">
        <v>26</v>
      </c>
      <c r="C1065" s="8">
        <v>35.842105263157897</v>
      </c>
    </row>
    <row r="1066" spans="1:3" x14ac:dyDescent="0.3">
      <c r="A1066" s="12">
        <v>29</v>
      </c>
      <c r="B1066">
        <v>44</v>
      </c>
      <c r="C1066" s="8">
        <v>27.793103448275861</v>
      </c>
    </row>
    <row r="1067" spans="1:3" x14ac:dyDescent="0.3">
      <c r="A1067" s="12">
        <v>16</v>
      </c>
      <c r="B1067">
        <v>25</v>
      </c>
      <c r="C1067" s="8">
        <v>34.25</v>
      </c>
    </row>
    <row r="1068" spans="1:3" x14ac:dyDescent="0.3">
      <c r="A1068" s="12">
        <v>14</v>
      </c>
      <c r="B1068">
        <v>18</v>
      </c>
      <c r="C1068" s="8">
        <v>33.285714285714285</v>
      </c>
    </row>
    <row r="1069" spans="1:3" x14ac:dyDescent="0.3">
      <c r="A1069" s="12">
        <v>7</v>
      </c>
      <c r="B1069">
        <v>9</v>
      </c>
      <c r="C1069" s="8">
        <v>40.285714285714285</v>
      </c>
    </row>
    <row r="1070" spans="1:3" x14ac:dyDescent="0.3">
      <c r="A1070" s="12">
        <v>13</v>
      </c>
      <c r="B1070">
        <v>24</v>
      </c>
      <c r="C1070" s="8">
        <v>36.692307692307693</v>
      </c>
    </row>
    <row r="1071" spans="1:3" x14ac:dyDescent="0.3">
      <c r="A1071" s="12">
        <v>18</v>
      </c>
      <c r="B1071">
        <v>28</v>
      </c>
      <c r="C1071" s="8">
        <v>37.888888888888886</v>
      </c>
    </row>
    <row r="1072" spans="1:3" x14ac:dyDescent="0.3">
      <c r="A1072" s="12">
        <v>25</v>
      </c>
      <c r="B1072">
        <v>48</v>
      </c>
      <c r="C1072" s="8">
        <v>26.24</v>
      </c>
    </row>
    <row r="1073" spans="1:3" x14ac:dyDescent="0.3">
      <c r="A1073" s="12">
        <v>1</v>
      </c>
      <c r="B1073">
        <v>1</v>
      </c>
      <c r="C1073" s="8">
        <v>50</v>
      </c>
    </row>
    <row r="1074" spans="1:3" x14ac:dyDescent="0.3">
      <c r="A1074" s="12">
        <v>12</v>
      </c>
      <c r="B1074">
        <v>18</v>
      </c>
      <c r="C1074" s="8">
        <v>40.416666666666664</v>
      </c>
    </row>
    <row r="1075" spans="1:3" x14ac:dyDescent="0.3">
      <c r="A1075" s="12">
        <v>1</v>
      </c>
      <c r="B1075">
        <v>1</v>
      </c>
      <c r="C1075" s="8">
        <v>33</v>
      </c>
    </row>
    <row r="1076" spans="1:3" x14ac:dyDescent="0.3">
      <c r="A1076" s="12">
        <v>31</v>
      </c>
      <c r="B1076">
        <v>59</v>
      </c>
      <c r="C1076" s="8">
        <v>30.548387096774192</v>
      </c>
    </row>
    <row r="1077" spans="1:3" x14ac:dyDescent="0.3">
      <c r="A1077" s="12">
        <v>18</v>
      </c>
      <c r="B1077">
        <v>26</v>
      </c>
      <c r="C1077" s="8">
        <v>45.666666666666664</v>
      </c>
    </row>
    <row r="1078" spans="1:3" x14ac:dyDescent="0.3">
      <c r="A1078" s="12">
        <v>7</v>
      </c>
      <c r="B1078">
        <v>15</v>
      </c>
      <c r="C1078" s="8">
        <v>30.714285714285715</v>
      </c>
    </row>
    <row r="1079" spans="1:3" x14ac:dyDescent="0.3">
      <c r="A1079" s="12">
        <v>4</v>
      </c>
      <c r="B1079">
        <v>6</v>
      </c>
      <c r="C1079" s="8">
        <v>41.25</v>
      </c>
    </row>
    <row r="1080" spans="1:3" x14ac:dyDescent="0.3">
      <c r="A1080" s="12">
        <v>10</v>
      </c>
      <c r="B1080">
        <v>13</v>
      </c>
      <c r="C1080" s="8">
        <v>35.299999999999997</v>
      </c>
    </row>
    <row r="1081" spans="1:3" x14ac:dyDescent="0.3">
      <c r="A1081" s="12">
        <v>13</v>
      </c>
      <c r="B1081">
        <v>19</v>
      </c>
      <c r="C1081" s="8">
        <v>32.307692307692307</v>
      </c>
    </row>
    <row r="1082" spans="1:3" x14ac:dyDescent="0.3">
      <c r="A1082" s="12">
        <v>2</v>
      </c>
      <c r="B1082">
        <v>2</v>
      </c>
      <c r="C1082" s="8">
        <v>26.5</v>
      </c>
    </row>
    <row r="1083" spans="1:3" x14ac:dyDescent="0.3">
      <c r="A1083" s="12">
        <v>1</v>
      </c>
      <c r="B1083">
        <v>1</v>
      </c>
      <c r="C1083" s="8">
        <v>39</v>
      </c>
    </row>
    <row r="1084" spans="1:3" x14ac:dyDescent="0.3">
      <c r="A1084" s="12">
        <v>35</v>
      </c>
      <c r="B1084">
        <v>54</v>
      </c>
      <c r="C1084" s="8">
        <v>27.314285714285713</v>
      </c>
    </row>
    <row r="1085" spans="1:3" x14ac:dyDescent="0.3">
      <c r="A1085" s="12">
        <v>3</v>
      </c>
      <c r="B1085">
        <v>5</v>
      </c>
      <c r="C1085" s="8">
        <v>39</v>
      </c>
    </row>
    <row r="1086" spans="1:3" x14ac:dyDescent="0.3">
      <c r="A1086" s="12">
        <v>5</v>
      </c>
      <c r="B1086">
        <v>9</v>
      </c>
      <c r="C1086" s="8">
        <v>31.8</v>
      </c>
    </row>
    <row r="1087" spans="1:3" x14ac:dyDescent="0.3">
      <c r="A1087" s="12">
        <v>13</v>
      </c>
      <c r="B1087">
        <v>24</v>
      </c>
      <c r="C1087" s="8">
        <v>35.07692307692308</v>
      </c>
    </row>
    <row r="1088" spans="1:3" x14ac:dyDescent="0.3">
      <c r="A1088" s="12">
        <v>14</v>
      </c>
      <c r="B1088">
        <v>21</v>
      </c>
      <c r="C1088" s="8">
        <v>36.428571428571431</v>
      </c>
    </row>
    <row r="1089" spans="1:3" x14ac:dyDescent="0.3">
      <c r="A1089" s="12">
        <v>13</v>
      </c>
      <c r="B1089">
        <v>18</v>
      </c>
      <c r="C1089" s="8">
        <v>28.615384615384617</v>
      </c>
    </row>
    <row r="1090" spans="1:3" x14ac:dyDescent="0.3">
      <c r="A1090" s="12">
        <v>24</v>
      </c>
      <c r="B1090">
        <v>48</v>
      </c>
      <c r="C1090" s="8">
        <v>32.125</v>
      </c>
    </row>
    <row r="1091" spans="1:3" x14ac:dyDescent="0.3">
      <c r="A1091" s="12">
        <v>5</v>
      </c>
      <c r="B1091">
        <v>7</v>
      </c>
      <c r="C1091" s="8">
        <v>31.4</v>
      </c>
    </row>
    <row r="1092" spans="1:3" x14ac:dyDescent="0.3">
      <c r="A1092" s="12">
        <v>15</v>
      </c>
      <c r="B1092">
        <v>23</v>
      </c>
      <c r="C1092" s="8">
        <v>31.8</v>
      </c>
    </row>
    <row r="1093" spans="1:3" x14ac:dyDescent="0.3">
      <c r="A1093" s="12">
        <v>19</v>
      </c>
      <c r="B1093">
        <v>27</v>
      </c>
      <c r="C1093" s="8">
        <v>39.05263157894737</v>
      </c>
    </row>
    <row r="1094" spans="1:3" x14ac:dyDescent="0.3">
      <c r="A1094" s="12">
        <v>4</v>
      </c>
      <c r="B1094">
        <v>4</v>
      </c>
      <c r="C1094" s="8">
        <v>41.5</v>
      </c>
    </row>
    <row r="1095" spans="1:3" x14ac:dyDescent="0.3">
      <c r="A1095" s="12">
        <v>36</v>
      </c>
      <c r="B1095">
        <v>54</v>
      </c>
      <c r="C1095" s="8">
        <v>27.25</v>
      </c>
    </row>
    <row r="1096" spans="1:3" x14ac:dyDescent="0.3">
      <c r="A1096" s="12">
        <v>14</v>
      </c>
      <c r="B1096">
        <v>30</v>
      </c>
      <c r="C1096" s="8">
        <v>42.785714285714285</v>
      </c>
    </row>
    <row r="1097" spans="1:3" x14ac:dyDescent="0.3">
      <c r="A1097" s="12">
        <v>12</v>
      </c>
      <c r="B1097">
        <v>16</v>
      </c>
      <c r="C1097" s="8">
        <v>44.083333333333336</v>
      </c>
    </row>
    <row r="1098" spans="1:3" x14ac:dyDescent="0.3">
      <c r="A1098" s="12">
        <v>15</v>
      </c>
      <c r="B1098">
        <v>18</v>
      </c>
      <c r="C1098" s="8">
        <v>43.266666666666666</v>
      </c>
    </row>
    <row r="1099" spans="1:3" x14ac:dyDescent="0.3">
      <c r="A1099" s="12">
        <v>25</v>
      </c>
      <c r="B1099">
        <v>51</v>
      </c>
      <c r="C1099" s="8">
        <v>33.64</v>
      </c>
    </row>
    <row r="1100" spans="1:3" x14ac:dyDescent="0.3">
      <c r="A1100" s="12">
        <v>12</v>
      </c>
      <c r="B1100">
        <v>17</v>
      </c>
      <c r="C1100" s="8">
        <v>41.166666666666664</v>
      </c>
    </row>
    <row r="1101" spans="1:3" x14ac:dyDescent="0.3">
      <c r="A1101" s="12">
        <v>19</v>
      </c>
      <c r="B1101">
        <v>35</v>
      </c>
      <c r="C1101" s="8">
        <v>37.578947368421055</v>
      </c>
    </row>
    <row r="1102" spans="1:3" x14ac:dyDescent="0.3">
      <c r="A1102" s="12">
        <v>22</v>
      </c>
      <c r="B1102">
        <v>36</v>
      </c>
      <c r="C1102" s="8">
        <v>44.454545454545453</v>
      </c>
    </row>
    <row r="1103" spans="1:3" x14ac:dyDescent="0.3">
      <c r="A1103" s="12">
        <v>26</v>
      </c>
      <c r="B1103">
        <v>46</v>
      </c>
      <c r="C1103" s="8">
        <v>25.846153846153847</v>
      </c>
    </row>
    <row r="1104" spans="1:3" x14ac:dyDescent="0.3">
      <c r="A1104" s="12">
        <v>27</v>
      </c>
      <c r="B1104">
        <v>52</v>
      </c>
      <c r="C1104" s="8">
        <v>34.037037037037038</v>
      </c>
    </row>
    <row r="1105" spans="1:3" x14ac:dyDescent="0.3">
      <c r="A1105" s="12">
        <v>22</v>
      </c>
      <c r="B1105">
        <v>36</v>
      </c>
      <c r="C1105" s="8">
        <v>44.090909090909093</v>
      </c>
    </row>
    <row r="1106" spans="1:3" x14ac:dyDescent="0.3">
      <c r="A1106" s="12">
        <v>6</v>
      </c>
      <c r="B1106">
        <v>9</v>
      </c>
      <c r="C1106" s="8">
        <v>30.166666666666668</v>
      </c>
    </row>
    <row r="1107" spans="1:3" x14ac:dyDescent="0.3">
      <c r="A1107" s="12">
        <v>13</v>
      </c>
      <c r="B1107">
        <v>19</v>
      </c>
      <c r="C1107" s="8">
        <v>35.153846153846153</v>
      </c>
    </row>
    <row r="1108" spans="1:3" x14ac:dyDescent="0.3">
      <c r="A1108" s="12">
        <v>17</v>
      </c>
      <c r="B1108">
        <v>29</v>
      </c>
      <c r="C1108" s="8">
        <v>27.176470588235293</v>
      </c>
    </row>
    <row r="1109" spans="1:3" x14ac:dyDescent="0.3">
      <c r="A1109" s="12">
        <v>23</v>
      </c>
      <c r="B1109">
        <v>46</v>
      </c>
      <c r="C1109" s="8">
        <v>26.217391304347824</v>
      </c>
    </row>
    <row r="1110" spans="1:3" x14ac:dyDescent="0.3">
      <c r="A1110" s="12">
        <v>20</v>
      </c>
      <c r="B1110">
        <v>44</v>
      </c>
      <c r="C1110" s="8">
        <v>40.049999999999997</v>
      </c>
    </row>
    <row r="1111" spans="1:3" x14ac:dyDescent="0.3">
      <c r="A1111" s="12">
        <v>17</v>
      </c>
      <c r="B1111">
        <v>23</v>
      </c>
      <c r="C1111" s="8">
        <v>31.529411764705884</v>
      </c>
    </row>
    <row r="1112" spans="1:3" x14ac:dyDescent="0.3">
      <c r="A1112" s="12">
        <v>10</v>
      </c>
      <c r="B1112">
        <v>18</v>
      </c>
      <c r="C1112" s="8">
        <v>38.799999999999997</v>
      </c>
    </row>
    <row r="1113" spans="1:3" x14ac:dyDescent="0.3">
      <c r="A1113" s="12">
        <v>12</v>
      </c>
      <c r="B1113">
        <v>15</v>
      </c>
      <c r="C1113" s="8">
        <v>32.25</v>
      </c>
    </row>
    <row r="1114" spans="1:3" x14ac:dyDescent="0.3">
      <c r="A1114" s="12">
        <v>6</v>
      </c>
      <c r="B1114">
        <v>9</v>
      </c>
      <c r="C1114" s="8">
        <v>48</v>
      </c>
    </row>
    <row r="1115" spans="1:3" x14ac:dyDescent="0.3">
      <c r="A1115" s="12">
        <v>11</v>
      </c>
      <c r="B1115">
        <v>22</v>
      </c>
      <c r="C1115" s="8">
        <v>42.454545454545453</v>
      </c>
    </row>
    <row r="1116" spans="1:3" x14ac:dyDescent="0.3">
      <c r="A1116" s="12">
        <v>16</v>
      </c>
      <c r="B1116">
        <v>24</v>
      </c>
      <c r="C1116" s="8">
        <v>25.1875</v>
      </c>
    </row>
    <row r="1117" spans="1:3" x14ac:dyDescent="0.3">
      <c r="A1117" s="12">
        <v>12</v>
      </c>
      <c r="B1117">
        <v>18</v>
      </c>
      <c r="C1117" s="8">
        <v>38.666666666666664</v>
      </c>
    </row>
    <row r="1118" spans="1:3" x14ac:dyDescent="0.3">
      <c r="A1118" s="12">
        <v>24</v>
      </c>
      <c r="B1118">
        <v>50</v>
      </c>
      <c r="C1118" s="8">
        <v>40.5</v>
      </c>
    </row>
    <row r="1119" spans="1:3" x14ac:dyDescent="0.3">
      <c r="A1119" s="12">
        <v>30</v>
      </c>
      <c r="B1119">
        <v>66</v>
      </c>
      <c r="C1119" s="8">
        <v>32.966666666666669</v>
      </c>
    </row>
    <row r="1120" spans="1:3" x14ac:dyDescent="0.3">
      <c r="A1120" s="12">
        <v>4</v>
      </c>
      <c r="B1120">
        <v>6</v>
      </c>
      <c r="C1120" s="8">
        <v>34.75</v>
      </c>
    </row>
    <row r="1121" spans="1:3" x14ac:dyDescent="0.3">
      <c r="A1121" s="12">
        <v>2</v>
      </c>
      <c r="B1121">
        <v>2</v>
      </c>
      <c r="C1121" s="8">
        <v>32</v>
      </c>
    </row>
    <row r="1122" spans="1:3" x14ac:dyDescent="0.3">
      <c r="A1122" s="12">
        <v>12</v>
      </c>
      <c r="B1122">
        <v>25</v>
      </c>
      <c r="C1122" s="8">
        <v>44.083333333333336</v>
      </c>
    </row>
    <row r="1123" spans="1:3" x14ac:dyDescent="0.3">
      <c r="A1123" s="12">
        <v>16</v>
      </c>
      <c r="B1123">
        <v>29</v>
      </c>
      <c r="C1123" s="8">
        <v>26.25</v>
      </c>
    </row>
    <row r="1124" spans="1:3" x14ac:dyDescent="0.3">
      <c r="A1124" s="12">
        <v>10</v>
      </c>
      <c r="B1124">
        <v>16</v>
      </c>
      <c r="C1124" s="8">
        <v>37.5</v>
      </c>
    </row>
    <row r="1125" spans="1:3" x14ac:dyDescent="0.3">
      <c r="A1125" s="12">
        <v>20</v>
      </c>
      <c r="B1125">
        <v>31</v>
      </c>
      <c r="C1125" s="8">
        <v>43</v>
      </c>
    </row>
    <row r="1126" spans="1:3" x14ac:dyDescent="0.3">
      <c r="A1126" s="12">
        <v>20</v>
      </c>
      <c r="B1126">
        <v>29</v>
      </c>
      <c r="C1126" s="8">
        <v>44.8</v>
      </c>
    </row>
    <row r="1127" spans="1:3" x14ac:dyDescent="0.3">
      <c r="A1127" s="12">
        <v>10</v>
      </c>
      <c r="B1127">
        <v>20</v>
      </c>
      <c r="C1127" s="8">
        <v>27.5</v>
      </c>
    </row>
    <row r="1128" spans="1:3" x14ac:dyDescent="0.3">
      <c r="A1128" s="12">
        <v>31</v>
      </c>
      <c r="B1128">
        <v>70</v>
      </c>
      <c r="C1128" s="8">
        <v>26.193548387096776</v>
      </c>
    </row>
    <row r="1129" spans="1:3" x14ac:dyDescent="0.3">
      <c r="A1129" s="12">
        <v>22</v>
      </c>
      <c r="B1129">
        <v>46</v>
      </c>
      <c r="C1129" s="8">
        <v>33.363636363636367</v>
      </c>
    </row>
    <row r="1130" spans="1:3" x14ac:dyDescent="0.3">
      <c r="A1130" s="12">
        <v>3</v>
      </c>
      <c r="B1130">
        <v>5</v>
      </c>
      <c r="C1130" s="8">
        <v>42.333333333333336</v>
      </c>
    </row>
    <row r="1131" spans="1:3" x14ac:dyDescent="0.3">
      <c r="A1131" s="12">
        <v>14</v>
      </c>
      <c r="B1131">
        <v>30</v>
      </c>
      <c r="C1131" s="8">
        <v>28.5</v>
      </c>
    </row>
    <row r="1132" spans="1:3" x14ac:dyDescent="0.3">
      <c r="A1132" s="12">
        <v>23</v>
      </c>
      <c r="B1132">
        <v>54</v>
      </c>
      <c r="C1132" s="8">
        <v>38.608695652173914</v>
      </c>
    </row>
    <row r="1133" spans="1:3" x14ac:dyDescent="0.3">
      <c r="A1133" s="12">
        <v>12</v>
      </c>
      <c r="B1133">
        <v>25</v>
      </c>
      <c r="C1133" s="8">
        <v>43.333333333333336</v>
      </c>
    </row>
    <row r="1134" spans="1:3" x14ac:dyDescent="0.3">
      <c r="A1134" s="12">
        <v>4</v>
      </c>
      <c r="B1134">
        <v>4</v>
      </c>
      <c r="C1134" s="8">
        <v>36.5</v>
      </c>
    </row>
    <row r="1135" spans="1:3" x14ac:dyDescent="0.3">
      <c r="A1135" s="12">
        <v>18</v>
      </c>
      <c r="B1135">
        <v>36</v>
      </c>
      <c r="C1135" s="8">
        <v>26.277777777777779</v>
      </c>
    </row>
    <row r="1136" spans="1:3" x14ac:dyDescent="0.3">
      <c r="A1136" s="12">
        <v>9</v>
      </c>
      <c r="B1136">
        <v>12</v>
      </c>
      <c r="C1136" s="8">
        <v>43.222222222222221</v>
      </c>
    </row>
    <row r="1137" spans="1:3" x14ac:dyDescent="0.3">
      <c r="A1137" s="12">
        <v>14</v>
      </c>
      <c r="B1137">
        <v>23</v>
      </c>
      <c r="C1137" s="8">
        <v>42.285714285714285</v>
      </c>
    </row>
    <row r="1138" spans="1:3" x14ac:dyDescent="0.3">
      <c r="A1138" s="12">
        <v>12</v>
      </c>
      <c r="B1138">
        <v>26</v>
      </c>
      <c r="C1138" s="8">
        <v>38.833333333333336</v>
      </c>
    </row>
    <row r="1139" spans="1:3" x14ac:dyDescent="0.3">
      <c r="A1139" s="12">
        <v>13</v>
      </c>
      <c r="B1139">
        <v>18</v>
      </c>
      <c r="C1139" s="8">
        <v>40.53846153846154</v>
      </c>
    </row>
    <row r="1140" spans="1:3" x14ac:dyDescent="0.3">
      <c r="A1140" s="12">
        <v>14</v>
      </c>
      <c r="B1140">
        <v>25</v>
      </c>
      <c r="C1140" s="8">
        <v>44.5</v>
      </c>
    </row>
    <row r="1141" spans="1:3" x14ac:dyDescent="0.3">
      <c r="A1141" s="12">
        <v>35</v>
      </c>
      <c r="B1141">
        <v>78</v>
      </c>
      <c r="C1141" s="8">
        <v>27.114285714285714</v>
      </c>
    </row>
    <row r="1142" spans="1:3" x14ac:dyDescent="0.3">
      <c r="A1142" s="12">
        <v>23</v>
      </c>
      <c r="B1142">
        <v>52</v>
      </c>
      <c r="C1142" s="8">
        <v>32.086956521739133</v>
      </c>
    </row>
    <row r="1143" spans="1:3" x14ac:dyDescent="0.3">
      <c r="A1143" s="12">
        <v>6</v>
      </c>
      <c r="B1143">
        <v>8</v>
      </c>
      <c r="C1143" s="8">
        <v>26</v>
      </c>
    </row>
    <row r="1144" spans="1:3" x14ac:dyDescent="0.3">
      <c r="A1144" s="12">
        <v>7</v>
      </c>
      <c r="B1144">
        <v>13</v>
      </c>
      <c r="C1144" s="8">
        <v>24.285714285714285</v>
      </c>
    </row>
    <row r="1145" spans="1:3" x14ac:dyDescent="0.3">
      <c r="A1145" s="12">
        <v>20</v>
      </c>
      <c r="B1145">
        <v>47</v>
      </c>
      <c r="C1145" s="8">
        <v>39.700000000000003</v>
      </c>
    </row>
    <row r="1146" spans="1:3" x14ac:dyDescent="0.3">
      <c r="A1146" s="12">
        <v>24</v>
      </c>
      <c r="B1146">
        <v>57</v>
      </c>
      <c r="C1146" s="8">
        <v>30.541666666666668</v>
      </c>
    </row>
    <row r="1147" spans="1:3" x14ac:dyDescent="0.3">
      <c r="A1147" s="12">
        <v>6</v>
      </c>
      <c r="B1147">
        <v>8</v>
      </c>
      <c r="C1147" s="8">
        <v>45.333333333333336</v>
      </c>
    </row>
    <row r="1148" spans="1:3" x14ac:dyDescent="0.3">
      <c r="A1148" s="12">
        <v>5</v>
      </c>
      <c r="B1148">
        <v>8</v>
      </c>
      <c r="C1148" s="8">
        <v>39.799999999999997</v>
      </c>
    </row>
    <row r="1149" spans="1:3" x14ac:dyDescent="0.3">
      <c r="A1149" s="12">
        <v>14</v>
      </c>
      <c r="B1149">
        <v>26</v>
      </c>
      <c r="C1149" s="8">
        <v>39.285714285714285</v>
      </c>
    </row>
    <row r="1150" spans="1:3" x14ac:dyDescent="0.3">
      <c r="A1150" s="12">
        <v>30</v>
      </c>
      <c r="B1150">
        <v>49</v>
      </c>
      <c r="C1150" s="8">
        <v>27.233333333333334</v>
      </c>
    </row>
    <row r="1151" spans="1:3" x14ac:dyDescent="0.3">
      <c r="A1151" s="12">
        <v>14</v>
      </c>
      <c r="B1151">
        <v>28</v>
      </c>
      <c r="C1151" s="8">
        <v>33.928571428571431</v>
      </c>
    </row>
    <row r="1152" spans="1:3" x14ac:dyDescent="0.3">
      <c r="A1152" s="12">
        <v>24</v>
      </c>
      <c r="B1152">
        <v>52</v>
      </c>
      <c r="C1152" s="8">
        <v>29.708333333333332</v>
      </c>
    </row>
    <row r="1153" spans="1:3" x14ac:dyDescent="0.3">
      <c r="A1153" s="12">
        <v>6</v>
      </c>
      <c r="B1153">
        <v>12</v>
      </c>
      <c r="C1153" s="8">
        <v>33.833333333333336</v>
      </c>
    </row>
    <row r="1154" spans="1:3" x14ac:dyDescent="0.3">
      <c r="A1154" s="12">
        <v>10</v>
      </c>
      <c r="B1154">
        <v>22</v>
      </c>
      <c r="C1154" s="8">
        <v>29.9</v>
      </c>
    </row>
    <row r="1155" spans="1:3" x14ac:dyDescent="0.3">
      <c r="A1155" s="12">
        <v>8</v>
      </c>
      <c r="B1155">
        <v>17</v>
      </c>
      <c r="C1155" s="8">
        <v>44.625</v>
      </c>
    </row>
    <row r="1156" spans="1:3" x14ac:dyDescent="0.3">
      <c r="A1156" s="12">
        <v>2</v>
      </c>
      <c r="B1156">
        <v>3</v>
      </c>
      <c r="C1156" s="8">
        <v>49.5</v>
      </c>
    </row>
    <row r="1157" spans="1:3" x14ac:dyDescent="0.3">
      <c r="A1157" s="12">
        <v>13</v>
      </c>
      <c r="B1157">
        <v>23</v>
      </c>
      <c r="C1157" s="8">
        <v>35.153846153846153</v>
      </c>
    </row>
    <row r="1158" spans="1:3" x14ac:dyDescent="0.3">
      <c r="A1158" s="12">
        <v>27</v>
      </c>
      <c r="B1158">
        <v>62</v>
      </c>
      <c r="C1158" s="8">
        <v>28.25925925925926</v>
      </c>
    </row>
    <row r="1159" spans="1:3" x14ac:dyDescent="0.3">
      <c r="A1159" s="12">
        <v>6</v>
      </c>
      <c r="B1159">
        <v>8</v>
      </c>
      <c r="C1159" s="8">
        <v>26.166666666666668</v>
      </c>
    </row>
    <row r="1160" spans="1:3" x14ac:dyDescent="0.3">
      <c r="A1160" s="12">
        <v>22</v>
      </c>
      <c r="B1160">
        <v>40</v>
      </c>
      <c r="C1160" s="8">
        <v>36.772727272727273</v>
      </c>
    </row>
    <row r="1161" spans="1:3" x14ac:dyDescent="0.3">
      <c r="A1161" s="12">
        <v>7</v>
      </c>
      <c r="B1161">
        <v>13</v>
      </c>
      <c r="C1161" s="8">
        <v>32.857142857142854</v>
      </c>
    </row>
    <row r="1162" spans="1:3" x14ac:dyDescent="0.3">
      <c r="A1162" s="12">
        <v>32</v>
      </c>
      <c r="B1162">
        <v>62</v>
      </c>
      <c r="C1162" s="8">
        <v>28.125</v>
      </c>
    </row>
    <row r="1163" spans="1:3" x14ac:dyDescent="0.3">
      <c r="A1163" s="12">
        <v>12</v>
      </c>
      <c r="B1163">
        <v>21</v>
      </c>
      <c r="C1163" s="8">
        <v>41.333333333333336</v>
      </c>
    </row>
    <row r="1164" spans="1:3" x14ac:dyDescent="0.3">
      <c r="A1164" s="12">
        <v>8</v>
      </c>
      <c r="B1164">
        <v>11</v>
      </c>
      <c r="C1164" s="8">
        <v>25.375</v>
      </c>
    </row>
    <row r="1165" spans="1:3" x14ac:dyDescent="0.3">
      <c r="A1165" s="12">
        <v>1</v>
      </c>
      <c r="B1165">
        <v>2</v>
      </c>
      <c r="C1165" s="8">
        <v>56</v>
      </c>
    </row>
    <row r="1166" spans="1:3" x14ac:dyDescent="0.3">
      <c r="A1166" s="12">
        <v>3</v>
      </c>
      <c r="B1166">
        <v>5</v>
      </c>
      <c r="C1166" s="8">
        <v>31.333333333333332</v>
      </c>
    </row>
    <row r="1167" spans="1:3" x14ac:dyDescent="0.3">
      <c r="A1167" s="12">
        <v>19</v>
      </c>
      <c r="B1167">
        <v>42</v>
      </c>
      <c r="C1167" s="8">
        <v>41.05263157894737</v>
      </c>
    </row>
    <row r="1168" spans="1:3" x14ac:dyDescent="0.3">
      <c r="A1168" s="12">
        <v>28</v>
      </c>
      <c r="B1168">
        <v>52</v>
      </c>
      <c r="C1168" s="8">
        <v>29.25</v>
      </c>
    </row>
    <row r="1169" spans="1:3" x14ac:dyDescent="0.3">
      <c r="A1169" s="12">
        <v>23</v>
      </c>
      <c r="B1169">
        <v>54</v>
      </c>
      <c r="C1169" s="8">
        <v>41.913043478260867</v>
      </c>
    </row>
    <row r="1170" spans="1:3" x14ac:dyDescent="0.3">
      <c r="A1170" s="12">
        <v>12</v>
      </c>
      <c r="B1170">
        <v>21</v>
      </c>
      <c r="C1170" s="8">
        <v>43.416666666666664</v>
      </c>
    </row>
    <row r="1171" spans="1:3" x14ac:dyDescent="0.3">
      <c r="A1171" s="12">
        <v>16</v>
      </c>
      <c r="B1171">
        <v>29</v>
      </c>
      <c r="C1171" s="8">
        <v>39.375</v>
      </c>
    </row>
    <row r="1172" spans="1:3" x14ac:dyDescent="0.3">
      <c r="A1172" s="12">
        <v>8</v>
      </c>
      <c r="B1172">
        <v>11</v>
      </c>
      <c r="C1172" s="8">
        <v>41.25</v>
      </c>
    </row>
    <row r="1173" spans="1:3" x14ac:dyDescent="0.3">
      <c r="A1173" s="12">
        <v>9</v>
      </c>
      <c r="B1173">
        <v>13</v>
      </c>
      <c r="C1173" s="8">
        <v>33.222222222222221</v>
      </c>
    </row>
    <row r="1174" spans="1:3" x14ac:dyDescent="0.3">
      <c r="A1174" s="12">
        <v>1</v>
      </c>
      <c r="B1174">
        <v>2</v>
      </c>
      <c r="C1174" s="8">
        <v>30</v>
      </c>
    </row>
    <row r="1175" spans="1:3" x14ac:dyDescent="0.3">
      <c r="A1175" s="12">
        <v>15</v>
      </c>
      <c r="B1175">
        <v>27</v>
      </c>
      <c r="C1175" s="8">
        <v>38.133333333333333</v>
      </c>
    </row>
    <row r="1176" spans="1:3" x14ac:dyDescent="0.3">
      <c r="A1176" s="12">
        <v>12</v>
      </c>
      <c r="B1176">
        <v>18</v>
      </c>
      <c r="C1176" s="8">
        <v>43.583333333333336</v>
      </c>
    </row>
    <row r="1177" spans="1:3" x14ac:dyDescent="0.3">
      <c r="A1177" s="12">
        <v>23</v>
      </c>
      <c r="B1177">
        <v>42</v>
      </c>
      <c r="C1177" s="8">
        <v>38</v>
      </c>
    </row>
    <row r="1178" spans="1:3" x14ac:dyDescent="0.3">
      <c r="A1178" s="12">
        <v>14</v>
      </c>
      <c r="B1178">
        <v>22</v>
      </c>
      <c r="C1178" s="8">
        <v>34</v>
      </c>
    </row>
    <row r="1179" spans="1:3" x14ac:dyDescent="0.3">
      <c r="A1179" s="12">
        <v>15</v>
      </c>
      <c r="B1179">
        <v>29</v>
      </c>
      <c r="C1179" s="8">
        <v>31</v>
      </c>
    </row>
    <row r="1180" spans="1:3" x14ac:dyDescent="0.3">
      <c r="A1180" s="12">
        <v>26</v>
      </c>
      <c r="B1180">
        <v>61</v>
      </c>
      <c r="C1180" s="8">
        <v>31.076923076923077</v>
      </c>
    </row>
    <row r="1181" spans="1:3" x14ac:dyDescent="0.3">
      <c r="A1181" s="12">
        <v>21</v>
      </c>
      <c r="B1181">
        <v>35</v>
      </c>
      <c r="C1181" s="8">
        <v>40.523809523809526</v>
      </c>
    </row>
    <row r="1182" spans="1:3" x14ac:dyDescent="0.3">
      <c r="A1182" s="12">
        <v>13</v>
      </c>
      <c r="B1182">
        <v>27</v>
      </c>
      <c r="C1182" s="8">
        <v>32.769230769230766</v>
      </c>
    </row>
    <row r="1183" spans="1:3" x14ac:dyDescent="0.3">
      <c r="A1183" s="12">
        <v>12</v>
      </c>
      <c r="B1183">
        <v>17</v>
      </c>
      <c r="C1183" s="8">
        <v>41.25</v>
      </c>
    </row>
    <row r="1184" spans="1:3" x14ac:dyDescent="0.3">
      <c r="A1184" s="12">
        <v>22</v>
      </c>
      <c r="B1184">
        <v>44</v>
      </c>
      <c r="C1184" s="8">
        <v>39.454545454545453</v>
      </c>
    </row>
    <row r="1185" spans="1:3" x14ac:dyDescent="0.3">
      <c r="A1185" s="12">
        <v>5</v>
      </c>
      <c r="B1185">
        <v>7</v>
      </c>
      <c r="C1185" s="8">
        <v>26.6</v>
      </c>
    </row>
    <row r="1186" spans="1:3" x14ac:dyDescent="0.3">
      <c r="A1186" s="12">
        <v>6</v>
      </c>
      <c r="B1186">
        <v>12</v>
      </c>
      <c r="C1186" s="8">
        <v>45</v>
      </c>
    </row>
    <row r="1187" spans="1:3" x14ac:dyDescent="0.3">
      <c r="A1187" s="12">
        <v>25</v>
      </c>
      <c r="B1187">
        <v>57</v>
      </c>
      <c r="C1187" s="8">
        <v>39.36</v>
      </c>
    </row>
    <row r="1188" spans="1:3" x14ac:dyDescent="0.3">
      <c r="A1188" s="12">
        <v>23</v>
      </c>
      <c r="B1188">
        <v>32</v>
      </c>
      <c r="C1188" s="8">
        <v>43.304347826086953</v>
      </c>
    </row>
    <row r="1189" spans="1:3" x14ac:dyDescent="0.3">
      <c r="A1189" s="12">
        <v>13</v>
      </c>
      <c r="B1189">
        <v>28</v>
      </c>
      <c r="C1189" s="8">
        <v>34.769230769230766</v>
      </c>
    </row>
    <row r="1190" spans="1:3" x14ac:dyDescent="0.3">
      <c r="A1190" s="12">
        <v>9</v>
      </c>
      <c r="B1190">
        <v>17</v>
      </c>
      <c r="C1190" s="8">
        <v>38</v>
      </c>
    </row>
    <row r="1191" spans="1:3" x14ac:dyDescent="0.3">
      <c r="A1191" s="12">
        <v>3</v>
      </c>
      <c r="B1191">
        <v>5</v>
      </c>
      <c r="C1191" s="8">
        <v>44.666666666666664</v>
      </c>
    </row>
    <row r="1192" spans="1:3" x14ac:dyDescent="0.3">
      <c r="A1192" s="12">
        <v>16</v>
      </c>
      <c r="B1192">
        <v>21</v>
      </c>
      <c r="C1192" s="8">
        <v>26.75</v>
      </c>
    </row>
    <row r="1193" spans="1:3" x14ac:dyDescent="0.3">
      <c r="A1193" s="12">
        <v>17</v>
      </c>
      <c r="B1193">
        <v>35</v>
      </c>
      <c r="C1193" s="8">
        <v>37.588235294117645</v>
      </c>
    </row>
    <row r="1194" spans="1:3" x14ac:dyDescent="0.3">
      <c r="A1194" s="12">
        <v>10</v>
      </c>
      <c r="B1194">
        <v>17</v>
      </c>
      <c r="C1194" s="8">
        <v>43.4</v>
      </c>
    </row>
    <row r="1195" spans="1:3" x14ac:dyDescent="0.3">
      <c r="A1195" s="12">
        <v>7</v>
      </c>
      <c r="B1195">
        <v>9</v>
      </c>
      <c r="C1195" s="8">
        <v>38.857142857142854</v>
      </c>
    </row>
    <row r="1196" spans="1:3" x14ac:dyDescent="0.3">
      <c r="A1196" s="12">
        <v>14</v>
      </c>
      <c r="B1196">
        <v>30</v>
      </c>
      <c r="C1196" s="8">
        <v>45.071428571428569</v>
      </c>
    </row>
    <row r="1197" spans="1:3" x14ac:dyDescent="0.3">
      <c r="A1197" s="12">
        <v>10</v>
      </c>
      <c r="B1197">
        <v>13</v>
      </c>
      <c r="C1197" s="8">
        <v>39.1</v>
      </c>
    </row>
    <row r="1198" spans="1:3" x14ac:dyDescent="0.3">
      <c r="A1198" s="12">
        <v>12</v>
      </c>
      <c r="B1198">
        <v>20</v>
      </c>
      <c r="C1198" s="8">
        <v>40.333333333333336</v>
      </c>
    </row>
    <row r="1199" spans="1:3" x14ac:dyDescent="0.3">
      <c r="A1199" s="12">
        <v>16</v>
      </c>
      <c r="B1199">
        <v>31</v>
      </c>
      <c r="C1199" s="8">
        <v>31.0625</v>
      </c>
    </row>
    <row r="1200" spans="1:3" x14ac:dyDescent="0.3">
      <c r="A1200" s="12">
        <v>9</v>
      </c>
      <c r="B1200">
        <v>11</v>
      </c>
      <c r="C1200" s="8">
        <v>36.888888888888886</v>
      </c>
    </row>
    <row r="1201" spans="1:3" x14ac:dyDescent="0.3">
      <c r="A1201" s="12">
        <v>1</v>
      </c>
      <c r="B1201">
        <v>1</v>
      </c>
      <c r="C1201" s="8">
        <v>16</v>
      </c>
    </row>
    <row r="1202" spans="1:3" x14ac:dyDescent="0.3">
      <c r="A1202" s="12">
        <v>10</v>
      </c>
      <c r="B1202">
        <v>20</v>
      </c>
      <c r="C1202" s="8">
        <v>43.2</v>
      </c>
    </row>
    <row r="1203" spans="1:3" x14ac:dyDescent="0.3">
      <c r="A1203" s="12">
        <v>3</v>
      </c>
      <c r="B1203">
        <v>4</v>
      </c>
      <c r="C1203" s="8">
        <v>26.666666666666668</v>
      </c>
    </row>
    <row r="1204" spans="1:3" x14ac:dyDescent="0.3">
      <c r="A1204" s="12">
        <v>23</v>
      </c>
      <c r="B1204">
        <v>42</v>
      </c>
      <c r="C1204" s="8">
        <v>31.565217391304348</v>
      </c>
    </row>
    <row r="1205" spans="1:3" x14ac:dyDescent="0.3">
      <c r="A1205" s="12">
        <v>38</v>
      </c>
      <c r="B1205">
        <v>68</v>
      </c>
      <c r="C1205" s="8">
        <v>25.763157894736842</v>
      </c>
    </row>
    <row r="1206" spans="1:3" x14ac:dyDescent="0.3">
      <c r="A1206" s="12">
        <v>24</v>
      </c>
      <c r="B1206">
        <v>42</v>
      </c>
      <c r="C1206" s="8">
        <v>37.583333333333336</v>
      </c>
    </row>
    <row r="1207" spans="1:3" x14ac:dyDescent="0.3">
      <c r="A1207" s="12">
        <v>1</v>
      </c>
      <c r="B1207">
        <v>2</v>
      </c>
      <c r="C1207" s="8">
        <v>30</v>
      </c>
    </row>
    <row r="1208" spans="1:3" x14ac:dyDescent="0.3">
      <c r="A1208" s="12">
        <v>1</v>
      </c>
      <c r="B1208">
        <v>1</v>
      </c>
      <c r="C1208" s="8">
        <v>36</v>
      </c>
    </row>
    <row r="1209" spans="1:3" x14ac:dyDescent="0.3">
      <c r="A1209" s="12">
        <v>6</v>
      </c>
      <c r="B1209">
        <v>8</v>
      </c>
      <c r="C1209" s="8">
        <v>41.833333333333336</v>
      </c>
    </row>
    <row r="1210" spans="1:3" x14ac:dyDescent="0.3">
      <c r="A1210" s="12">
        <v>21</v>
      </c>
      <c r="B1210">
        <v>49</v>
      </c>
      <c r="C1210" s="8">
        <v>42.523809523809526</v>
      </c>
    </row>
    <row r="1211" spans="1:3" x14ac:dyDescent="0.3">
      <c r="A1211" s="12">
        <v>9</v>
      </c>
      <c r="B1211">
        <v>16</v>
      </c>
      <c r="C1211" s="8">
        <v>31.222222222222221</v>
      </c>
    </row>
    <row r="1212" spans="1:3" x14ac:dyDescent="0.3">
      <c r="A1212" s="12">
        <v>15</v>
      </c>
      <c r="B1212">
        <v>19</v>
      </c>
      <c r="C1212" s="8">
        <v>34.06666666666667</v>
      </c>
    </row>
    <row r="1213" spans="1:3" x14ac:dyDescent="0.3">
      <c r="A1213" s="12">
        <v>20</v>
      </c>
      <c r="B1213">
        <v>38</v>
      </c>
      <c r="C1213" s="8">
        <v>27.8</v>
      </c>
    </row>
    <row r="1214" spans="1:3" x14ac:dyDescent="0.3">
      <c r="A1214" s="12">
        <v>3</v>
      </c>
      <c r="B1214">
        <v>3</v>
      </c>
      <c r="C1214" s="8">
        <v>40</v>
      </c>
    </row>
    <row r="1215" spans="1:3" x14ac:dyDescent="0.3">
      <c r="A1215" s="12">
        <v>23</v>
      </c>
      <c r="B1215">
        <v>45</v>
      </c>
      <c r="C1215" s="8">
        <v>32.434782608695649</v>
      </c>
    </row>
    <row r="1216" spans="1:3" x14ac:dyDescent="0.3">
      <c r="A1216" s="12">
        <v>19</v>
      </c>
      <c r="B1216">
        <v>31</v>
      </c>
      <c r="C1216" s="8">
        <v>37.10526315789474</v>
      </c>
    </row>
    <row r="1217" spans="1:3" x14ac:dyDescent="0.3">
      <c r="A1217" s="12">
        <v>2</v>
      </c>
      <c r="B1217">
        <v>2</v>
      </c>
      <c r="C1217" s="8">
        <v>35.5</v>
      </c>
    </row>
    <row r="1218" spans="1:3" x14ac:dyDescent="0.3">
      <c r="A1218" s="12">
        <v>7</v>
      </c>
      <c r="B1218">
        <v>15</v>
      </c>
      <c r="C1218" s="8">
        <v>41.714285714285715</v>
      </c>
    </row>
    <row r="1219" spans="1:3" x14ac:dyDescent="0.3">
      <c r="A1219" s="12">
        <v>24</v>
      </c>
      <c r="B1219">
        <v>34</v>
      </c>
      <c r="C1219" s="8">
        <v>37.541666666666664</v>
      </c>
    </row>
    <row r="1220" spans="1:3" x14ac:dyDescent="0.3">
      <c r="A1220" s="12">
        <v>8</v>
      </c>
      <c r="B1220">
        <v>15</v>
      </c>
      <c r="C1220" s="8">
        <v>37.875</v>
      </c>
    </row>
    <row r="1221" spans="1:3" x14ac:dyDescent="0.3">
      <c r="A1221" s="12">
        <v>33</v>
      </c>
      <c r="B1221">
        <v>57</v>
      </c>
      <c r="C1221" s="8">
        <v>30</v>
      </c>
    </row>
    <row r="1222" spans="1:3" x14ac:dyDescent="0.3">
      <c r="A1222" s="12">
        <v>1</v>
      </c>
      <c r="B1222">
        <v>1</v>
      </c>
      <c r="C1222" s="8">
        <v>15</v>
      </c>
    </row>
    <row r="1223" spans="1:3" x14ac:dyDescent="0.3">
      <c r="A1223" s="12">
        <v>19</v>
      </c>
      <c r="B1223">
        <v>38</v>
      </c>
      <c r="C1223" s="8">
        <v>29.894736842105264</v>
      </c>
    </row>
    <row r="1224" spans="1:3" x14ac:dyDescent="0.3">
      <c r="A1224" s="12">
        <v>9</v>
      </c>
      <c r="B1224">
        <v>16</v>
      </c>
      <c r="C1224" s="8">
        <v>37.777777777777779</v>
      </c>
    </row>
    <row r="1225" spans="1:3" x14ac:dyDescent="0.3">
      <c r="A1225" s="12">
        <v>2</v>
      </c>
      <c r="B1225">
        <v>2</v>
      </c>
      <c r="C1225" s="8">
        <v>39</v>
      </c>
    </row>
    <row r="1226" spans="1:3" x14ac:dyDescent="0.3">
      <c r="A1226" s="12">
        <v>10</v>
      </c>
      <c r="B1226">
        <v>12</v>
      </c>
      <c r="C1226" s="8">
        <v>35</v>
      </c>
    </row>
    <row r="1227" spans="1:3" x14ac:dyDescent="0.3">
      <c r="A1227" s="12">
        <v>26</v>
      </c>
      <c r="B1227">
        <v>49</v>
      </c>
      <c r="C1227" s="8">
        <v>25.96153846153846</v>
      </c>
    </row>
    <row r="1228" spans="1:3" x14ac:dyDescent="0.3">
      <c r="A1228" s="12">
        <v>24</v>
      </c>
      <c r="B1228">
        <v>47</v>
      </c>
      <c r="C1228" s="8">
        <v>30.208333333333332</v>
      </c>
    </row>
    <row r="1229" spans="1:3" x14ac:dyDescent="0.3">
      <c r="A1229" s="12">
        <v>11</v>
      </c>
      <c r="B1229">
        <v>24</v>
      </c>
      <c r="C1229" s="8">
        <v>41.727272727272727</v>
      </c>
    </row>
    <row r="1230" spans="1:3" x14ac:dyDescent="0.3">
      <c r="A1230" s="12">
        <v>25</v>
      </c>
      <c r="B1230">
        <v>43</v>
      </c>
      <c r="C1230" s="8">
        <v>39.32</v>
      </c>
    </row>
    <row r="1231" spans="1:3" x14ac:dyDescent="0.3">
      <c r="A1231" s="12">
        <v>26</v>
      </c>
      <c r="B1231">
        <v>38</v>
      </c>
      <c r="C1231" s="8">
        <v>27.46153846153846</v>
      </c>
    </row>
    <row r="1232" spans="1:3" x14ac:dyDescent="0.3">
      <c r="A1232" s="12">
        <v>1</v>
      </c>
      <c r="B1232">
        <v>2</v>
      </c>
      <c r="C1232" s="8">
        <v>58</v>
      </c>
    </row>
    <row r="1233" spans="1:3" x14ac:dyDescent="0.3">
      <c r="A1233" s="12">
        <v>26</v>
      </c>
      <c r="B1233">
        <v>56</v>
      </c>
      <c r="C1233" s="8">
        <v>37.230769230769234</v>
      </c>
    </row>
    <row r="1234" spans="1:3" x14ac:dyDescent="0.3">
      <c r="A1234" s="12">
        <v>34</v>
      </c>
      <c r="B1234">
        <v>81</v>
      </c>
      <c r="C1234" s="8">
        <v>26.264705882352942</v>
      </c>
    </row>
    <row r="1235" spans="1:3" x14ac:dyDescent="0.3">
      <c r="A1235" s="12">
        <v>21</v>
      </c>
      <c r="B1235">
        <v>44</v>
      </c>
      <c r="C1235" s="8">
        <v>30.952380952380953</v>
      </c>
    </row>
    <row r="1236" spans="1:3" x14ac:dyDescent="0.3">
      <c r="A1236" s="12">
        <v>1</v>
      </c>
      <c r="B1236">
        <v>1</v>
      </c>
      <c r="C1236" s="8">
        <v>32</v>
      </c>
    </row>
    <row r="1237" spans="1:3" x14ac:dyDescent="0.3">
      <c r="A1237" s="12">
        <v>15</v>
      </c>
      <c r="B1237">
        <v>23</v>
      </c>
      <c r="C1237" s="8">
        <v>29.933333333333334</v>
      </c>
    </row>
    <row r="1238" spans="1:3" x14ac:dyDescent="0.3">
      <c r="A1238" s="12">
        <v>7</v>
      </c>
      <c r="B1238">
        <v>10</v>
      </c>
      <c r="C1238" s="8">
        <v>31.571428571428573</v>
      </c>
    </row>
    <row r="1239" spans="1:3" x14ac:dyDescent="0.3">
      <c r="A1239" s="12">
        <v>13</v>
      </c>
      <c r="B1239">
        <v>17</v>
      </c>
      <c r="C1239" s="8">
        <v>42.307692307692307</v>
      </c>
    </row>
    <row r="1240" spans="1:3" x14ac:dyDescent="0.3">
      <c r="A1240" s="12">
        <v>1</v>
      </c>
      <c r="B1240">
        <v>1</v>
      </c>
      <c r="C1240" s="8">
        <v>38</v>
      </c>
    </row>
    <row r="1241" spans="1:3" x14ac:dyDescent="0.3">
      <c r="A1241" s="12">
        <v>27</v>
      </c>
      <c r="B1241">
        <v>39</v>
      </c>
      <c r="C1241" s="8">
        <v>32.888888888888886</v>
      </c>
    </row>
    <row r="1242" spans="1:3" x14ac:dyDescent="0.3">
      <c r="A1242" s="12">
        <v>8</v>
      </c>
      <c r="B1242">
        <v>17</v>
      </c>
      <c r="C1242" s="8">
        <v>40.75</v>
      </c>
    </row>
    <row r="1243" spans="1:3" x14ac:dyDescent="0.3">
      <c r="A1243" s="12">
        <v>5</v>
      </c>
      <c r="B1243">
        <v>10</v>
      </c>
      <c r="C1243" s="8">
        <v>29.8</v>
      </c>
    </row>
    <row r="1244" spans="1:3" x14ac:dyDescent="0.3">
      <c r="A1244" s="12">
        <v>8</v>
      </c>
      <c r="B1244">
        <v>17</v>
      </c>
      <c r="C1244" s="8">
        <v>28.375</v>
      </c>
    </row>
    <row r="1245" spans="1:3" x14ac:dyDescent="0.3">
      <c r="A1245" s="12">
        <v>9</v>
      </c>
      <c r="B1245">
        <v>17</v>
      </c>
      <c r="C1245" s="8">
        <v>36.555555555555557</v>
      </c>
    </row>
    <row r="1246" spans="1:3" x14ac:dyDescent="0.3">
      <c r="A1246" s="12">
        <v>15</v>
      </c>
      <c r="B1246">
        <v>21</v>
      </c>
      <c r="C1246" s="8">
        <v>43.4</v>
      </c>
    </row>
    <row r="1247" spans="1:3" x14ac:dyDescent="0.3">
      <c r="A1247" s="12">
        <v>2</v>
      </c>
      <c r="B1247">
        <v>3</v>
      </c>
      <c r="C1247" s="8">
        <v>25</v>
      </c>
    </row>
    <row r="1248" spans="1:3" x14ac:dyDescent="0.3">
      <c r="A1248" s="12">
        <v>11</v>
      </c>
      <c r="B1248">
        <v>17</v>
      </c>
      <c r="C1248" s="8">
        <v>27.09090909090909</v>
      </c>
    </row>
    <row r="1249" spans="1:3" x14ac:dyDescent="0.3">
      <c r="A1249" s="12">
        <v>3</v>
      </c>
      <c r="B1249">
        <v>5</v>
      </c>
      <c r="C1249" s="8">
        <v>40.666666666666664</v>
      </c>
    </row>
    <row r="1250" spans="1:3" x14ac:dyDescent="0.3">
      <c r="A1250" s="12">
        <v>19</v>
      </c>
      <c r="B1250">
        <v>35</v>
      </c>
      <c r="C1250" s="8">
        <v>36.05263157894737</v>
      </c>
    </row>
    <row r="1251" spans="1:3" x14ac:dyDescent="0.3">
      <c r="A1251" s="12">
        <v>19</v>
      </c>
      <c r="B1251">
        <v>34</v>
      </c>
      <c r="C1251" s="8">
        <v>28.473684210526315</v>
      </c>
    </row>
    <row r="1252" spans="1:3" x14ac:dyDescent="0.3">
      <c r="A1252" s="12">
        <v>17</v>
      </c>
      <c r="B1252">
        <v>33</v>
      </c>
      <c r="C1252" s="8">
        <v>41.941176470588232</v>
      </c>
    </row>
    <row r="1253" spans="1:3" x14ac:dyDescent="0.3">
      <c r="A1253" s="12">
        <v>19</v>
      </c>
      <c r="B1253">
        <v>32</v>
      </c>
      <c r="C1253" s="8">
        <v>34.631578947368418</v>
      </c>
    </row>
    <row r="1254" spans="1:3" x14ac:dyDescent="0.3">
      <c r="A1254" s="12">
        <v>29</v>
      </c>
      <c r="B1254">
        <v>49</v>
      </c>
      <c r="C1254" s="8">
        <v>30.482758620689655</v>
      </c>
    </row>
    <row r="1255" spans="1:3" x14ac:dyDescent="0.3">
      <c r="A1255" s="12">
        <v>33</v>
      </c>
      <c r="B1255">
        <v>66</v>
      </c>
      <c r="C1255" s="8">
        <v>24.848484848484848</v>
      </c>
    </row>
    <row r="1256" spans="1:3" x14ac:dyDescent="0.3">
      <c r="A1256" s="12">
        <v>24</v>
      </c>
      <c r="B1256">
        <v>53</v>
      </c>
      <c r="C1256" s="8">
        <v>32.916666666666664</v>
      </c>
    </row>
    <row r="1257" spans="1:3" x14ac:dyDescent="0.3">
      <c r="A1257" s="12">
        <v>26</v>
      </c>
      <c r="B1257">
        <v>38</v>
      </c>
      <c r="C1257" s="8">
        <v>24.923076923076923</v>
      </c>
    </row>
    <row r="1258" spans="1:3" x14ac:dyDescent="0.3">
      <c r="A1258" s="12">
        <v>20</v>
      </c>
      <c r="B1258">
        <v>46</v>
      </c>
      <c r="C1258" s="8">
        <v>34.450000000000003</v>
      </c>
    </row>
    <row r="1259" spans="1:3" x14ac:dyDescent="0.3">
      <c r="A1259" s="12">
        <v>21</v>
      </c>
      <c r="B1259">
        <v>36</v>
      </c>
      <c r="C1259" s="8">
        <v>26.952380952380953</v>
      </c>
    </row>
    <row r="1260" spans="1:3" x14ac:dyDescent="0.3">
      <c r="A1260" s="12">
        <v>5</v>
      </c>
      <c r="B1260">
        <v>6</v>
      </c>
      <c r="C1260" s="8">
        <v>26.8</v>
      </c>
    </row>
    <row r="1261" spans="1:3" x14ac:dyDescent="0.3">
      <c r="A1261" s="12">
        <v>19</v>
      </c>
      <c r="B1261">
        <v>30</v>
      </c>
      <c r="C1261" s="8">
        <v>25.473684210526315</v>
      </c>
    </row>
    <row r="1262" spans="1:3" x14ac:dyDescent="0.3">
      <c r="A1262" s="12">
        <v>13</v>
      </c>
      <c r="B1262">
        <v>29</v>
      </c>
      <c r="C1262" s="8">
        <v>31.384615384615383</v>
      </c>
    </row>
    <row r="1263" spans="1:3" x14ac:dyDescent="0.3">
      <c r="A1263" s="12">
        <v>15</v>
      </c>
      <c r="B1263">
        <v>32</v>
      </c>
      <c r="C1263" s="8">
        <v>35.200000000000003</v>
      </c>
    </row>
    <row r="1264" spans="1:3" x14ac:dyDescent="0.3">
      <c r="A1264" s="12">
        <v>2</v>
      </c>
      <c r="B1264">
        <v>3</v>
      </c>
      <c r="C1264" s="8">
        <v>34</v>
      </c>
    </row>
    <row r="1265" spans="1:3" x14ac:dyDescent="0.3">
      <c r="A1265" s="12">
        <v>4</v>
      </c>
      <c r="B1265">
        <v>7</v>
      </c>
      <c r="C1265" s="8">
        <v>2.75</v>
      </c>
    </row>
    <row r="1266" spans="1:3" x14ac:dyDescent="0.3">
      <c r="A1266" s="12">
        <v>23</v>
      </c>
      <c r="B1266">
        <v>44</v>
      </c>
      <c r="C1266" s="8">
        <v>36</v>
      </c>
    </row>
    <row r="1267" spans="1:3" x14ac:dyDescent="0.3">
      <c r="A1267" s="12">
        <v>10</v>
      </c>
      <c r="B1267">
        <v>22</v>
      </c>
      <c r="C1267" s="8">
        <v>38.299999999999997</v>
      </c>
    </row>
    <row r="1268" spans="1:3" x14ac:dyDescent="0.3">
      <c r="A1268" s="12">
        <v>18</v>
      </c>
      <c r="B1268">
        <v>34</v>
      </c>
      <c r="C1268" s="8">
        <v>42.944444444444443</v>
      </c>
    </row>
    <row r="1269" spans="1:3" x14ac:dyDescent="0.3">
      <c r="A1269" s="12">
        <v>2</v>
      </c>
      <c r="B1269">
        <v>3</v>
      </c>
      <c r="C1269" s="8">
        <v>34</v>
      </c>
    </row>
    <row r="1270" spans="1:3" x14ac:dyDescent="0.3">
      <c r="A1270" s="12">
        <v>9</v>
      </c>
      <c r="B1270">
        <v>12</v>
      </c>
      <c r="C1270" s="8">
        <v>40</v>
      </c>
    </row>
    <row r="1271" spans="1:3" x14ac:dyDescent="0.3">
      <c r="A1271" s="12">
        <v>4</v>
      </c>
      <c r="B1271">
        <v>6</v>
      </c>
      <c r="C1271" s="8">
        <v>5.25</v>
      </c>
    </row>
    <row r="1272" spans="1:3" x14ac:dyDescent="0.3">
      <c r="A1272" s="12">
        <v>6</v>
      </c>
      <c r="B1272">
        <v>8</v>
      </c>
      <c r="C1272" s="8">
        <v>36.833333333333336</v>
      </c>
    </row>
    <row r="1273" spans="1:3" x14ac:dyDescent="0.3">
      <c r="A1273" s="12">
        <v>25</v>
      </c>
      <c r="B1273">
        <v>36</v>
      </c>
      <c r="C1273" s="8">
        <v>37.479999999999997</v>
      </c>
    </row>
    <row r="1274" spans="1:3" x14ac:dyDescent="0.3">
      <c r="A1274" s="12">
        <v>14</v>
      </c>
      <c r="B1274">
        <v>29</v>
      </c>
      <c r="C1274" s="8">
        <v>36.714285714285715</v>
      </c>
    </row>
    <row r="1275" spans="1:3" x14ac:dyDescent="0.3">
      <c r="A1275" s="12">
        <v>19</v>
      </c>
      <c r="B1275">
        <v>31</v>
      </c>
      <c r="C1275" s="8">
        <v>35.210526315789473</v>
      </c>
    </row>
    <row r="1276" spans="1:3" x14ac:dyDescent="0.3">
      <c r="A1276" s="12">
        <v>16</v>
      </c>
      <c r="B1276">
        <v>22</v>
      </c>
      <c r="C1276" s="8">
        <v>33.75</v>
      </c>
    </row>
    <row r="1277" spans="1:3" x14ac:dyDescent="0.3">
      <c r="A1277" s="12">
        <v>22</v>
      </c>
      <c r="B1277">
        <v>38</v>
      </c>
      <c r="C1277" s="8">
        <v>41.909090909090907</v>
      </c>
    </row>
    <row r="1278" spans="1:3" x14ac:dyDescent="0.3">
      <c r="A1278" s="12">
        <v>15</v>
      </c>
      <c r="B1278">
        <v>31</v>
      </c>
      <c r="C1278" s="8">
        <v>40.200000000000003</v>
      </c>
    </row>
    <row r="1279" spans="1:3" x14ac:dyDescent="0.3">
      <c r="A1279" s="12">
        <v>14</v>
      </c>
      <c r="B1279">
        <v>29</v>
      </c>
      <c r="C1279" s="8">
        <v>42</v>
      </c>
    </row>
    <row r="1280" spans="1:3" x14ac:dyDescent="0.3">
      <c r="A1280" s="12">
        <v>20</v>
      </c>
      <c r="B1280">
        <v>29</v>
      </c>
      <c r="C1280" s="8">
        <v>39.6</v>
      </c>
    </row>
    <row r="1281" spans="1:3" x14ac:dyDescent="0.3">
      <c r="A1281" s="12">
        <v>28</v>
      </c>
      <c r="B1281">
        <v>46</v>
      </c>
      <c r="C1281" s="8">
        <v>35.571428571428569</v>
      </c>
    </row>
    <row r="1282" spans="1:3" x14ac:dyDescent="0.3">
      <c r="A1282" s="12">
        <v>18</v>
      </c>
      <c r="B1282">
        <v>25</v>
      </c>
      <c r="C1282" s="8">
        <v>33.777777777777779</v>
      </c>
    </row>
    <row r="1283" spans="1:3" x14ac:dyDescent="0.3">
      <c r="A1283" s="12">
        <v>40</v>
      </c>
      <c r="B1283">
        <v>70</v>
      </c>
      <c r="C1283" s="8">
        <v>24.9</v>
      </c>
    </row>
    <row r="1284" spans="1:3" x14ac:dyDescent="0.3">
      <c r="A1284" s="12">
        <v>15</v>
      </c>
      <c r="B1284">
        <v>28</v>
      </c>
      <c r="C1284" s="8">
        <v>41.533333333333331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D0EE-9AC0-4432-921F-54A5BCA2D9AC}">
  <dimension ref="A1:N1284"/>
  <sheetViews>
    <sheetView workbookViewId="0">
      <selection activeCell="B32" sqref="B32"/>
    </sheetView>
  </sheetViews>
  <sheetFormatPr defaultRowHeight="14.4" x14ac:dyDescent="0.3"/>
  <cols>
    <col min="1" max="1" width="21.5546875" bestFit="1" customWidth="1"/>
    <col min="2" max="2" width="17.44140625" bestFit="1" customWidth="1"/>
    <col min="3" max="3" width="10.88671875" style="10" bestFit="1" customWidth="1"/>
    <col min="4" max="4" width="14.44140625" bestFit="1" customWidth="1"/>
    <col min="5" max="5" width="33.44140625" bestFit="1" customWidth="1"/>
  </cols>
  <sheetData>
    <row r="1" spans="1:14" x14ac:dyDescent="0.3">
      <c r="A1" t="s">
        <v>2229</v>
      </c>
      <c r="B1" t="s">
        <v>2227</v>
      </c>
      <c r="C1" s="10" t="s">
        <v>2228</v>
      </c>
      <c r="D1" t="s">
        <v>2226</v>
      </c>
      <c r="E1" t="s">
        <v>2297</v>
      </c>
      <c r="F1" t="s">
        <v>2266</v>
      </c>
    </row>
    <row r="2" spans="1:14" ht="15" thickBot="1" x14ac:dyDescent="0.35">
      <c r="A2">
        <v>44</v>
      </c>
      <c r="B2" s="1">
        <v>26.03448275862069</v>
      </c>
      <c r="C2" s="10">
        <v>51.039125686865582</v>
      </c>
      <c r="D2" s="3">
        <v>29</v>
      </c>
    </row>
    <row r="3" spans="1:14" x14ac:dyDescent="0.3">
      <c r="A3">
        <v>16</v>
      </c>
      <c r="B3" s="1">
        <v>30</v>
      </c>
      <c r="C3" s="10">
        <v>30.72550127490161</v>
      </c>
      <c r="D3" s="3">
        <v>13</v>
      </c>
      <c r="F3" s="15" t="s">
        <v>2267</v>
      </c>
      <c r="G3" s="15"/>
    </row>
    <row r="4" spans="1:14" x14ac:dyDescent="0.3">
      <c r="A4">
        <v>10</v>
      </c>
      <c r="B4" s="1">
        <v>46.142857142857146</v>
      </c>
      <c r="C4" s="10">
        <v>14.97825521785537</v>
      </c>
      <c r="D4" s="3">
        <v>7</v>
      </c>
      <c r="F4" t="s">
        <v>2268</v>
      </c>
      <c r="G4">
        <v>0.97410991204611597</v>
      </c>
    </row>
    <row r="5" spans="1:14" x14ac:dyDescent="0.3">
      <c r="A5">
        <v>15</v>
      </c>
      <c r="B5" s="1">
        <v>34.700000000000003</v>
      </c>
      <c r="C5" s="10">
        <v>16.51433984215889</v>
      </c>
      <c r="D5" s="3">
        <v>10</v>
      </c>
      <c r="F5" t="s">
        <v>2269</v>
      </c>
      <c r="G5">
        <v>0.94889012074649171</v>
      </c>
    </row>
    <row r="6" spans="1:14" x14ac:dyDescent="0.3">
      <c r="A6">
        <v>47</v>
      </c>
      <c r="B6" s="1">
        <v>35.269230769230766</v>
      </c>
      <c r="C6" s="10">
        <v>39.558071783998287</v>
      </c>
      <c r="D6" s="3">
        <v>26</v>
      </c>
      <c r="F6" t="s">
        <v>2270</v>
      </c>
      <c r="G6">
        <v>0.948770238308837</v>
      </c>
    </row>
    <row r="7" spans="1:14" x14ac:dyDescent="0.3">
      <c r="A7">
        <v>51</v>
      </c>
      <c r="B7" s="1">
        <v>35.826086956521742</v>
      </c>
      <c r="C7" s="10">
        <v>32.986387879435277</v>
      </c>
      <c r="D7" s="3">
        <v>23</v>
      </c>
      <c r="F7" t="s">
        <v>2259</v>
      </c>
      <c r="G7">
        <v>2.0077516949772174</v>
      </c>
    </row>
    <row r="8" spans="1:14" ht="15" thickBot="1" x14ac:dyDescent="0.35">
      <c r="A8">
        <v>3</v>
      </c>
      <c r="B8" s="1">
        <v>49</v>
      </c>
      <c r="C8" s="10">
        <v>3.0464686456416472</v>
      </c>
      <c r="D8" s="3">
        <v>2</v>
      </c>
      <c r="F8" s="13" t="s">
        <v>2271</v>
      </c>
      <c r="G8" s="13">
        <v>1283</v>
      </c>
    </row>
    <row r="9" spans="1:14" x14ac:dyDescent="0.3">
      <c r="A9">
        <v>14</v>
      </c>
      <c r="B9" s="1">
        <v>24.888888888888889</v>
      </c>
      <c r="C9" s="10">
        <v>15.005652291409143</v>
      </c>
      <c r="D9" s="3">
        <v>9</v>
      </c>
    </row>
    <row r="10" spans="1:14" ht="15" thickBot="1" x14ac:dyDescent="0.35">
      <c r="A10">
        <v>13</v>
      </c>
      <c r="B10" s="1">
        <v>32.714285714285715</v>
      </c>
      <c r="C10" s="10">
        <v>12.848345978436679</v>
      </c>
      <c r="D10" s="3">
        <v>7</v>
      </c>
      <c r="F10" t="s">
        <v>2272</v>
      </c>
    </row>
    <row r="11" spans="1:14" x14ac:dyDescent="0.3">
      <c r="A11">
        <v>29</v>
      </c>
      <c r="B11" s="1">
        <v>41.266666666666666</v>
      </c>
      <c r="C11" s="10">
        <v>20.849852407119403</v>
      </c>
      <c r="D11" s="3">
        <v>15</v>
      </c>
      <c r="F11" s="14"/>
      <c r="G11" s="14" t="s">
        <v>2277</v>
      </c>
      <c r="H11" s="14" t="s">
        <v>2278</v>
      </c>
      <c r="I11" s="14" t="s">
        <v>2279</v>
      </c>
      <c r="J11" s="14" t="s">
        <v>2280</v>
      </c>
      <c r="K11" s="14" t="s">
        <v>2281</v>
      </c>
    </row>
    <row r="12" spans="1:14" x14ac:dyDescent="0.3">
      <c r="A12">
        <v>11</v>
      </c>
      <c r="B12" s="1">
        <v>45.166666666666664</v>
      </c>
      <c r="C12" s="10">
        <v>11.478004101842998</v>
      </c>
      <c r="D12" s="3">
        <v>6</v>
      </c>
      <c r="F12" t="s">
        <v>2273</v>
      </c>
      <c r="G12">
        <v>3</v>
      </c>
      <c r="H12">
        <v>95719.763526394978</v>
      </c>
      <c r="I12">
        <v>31906.587842131659</v>
      </c>
      <c r="J12">
        <v>7915.172057800396</v>
      </c>
      <c r="K12">
        <v>0</v>
      </c>
    </row>
    <row r="13" spans="1:14" x14ac:dyDescent="0.3">
      <c r="A13">
        <v>7</v>
      </c>
      <c r="B13" s="1">
        <v>34.666666666666664</v>
      </c>
      <c r="C13" s="10">
        <v>8.277834062757556</v>
      </c>
      <c r="D13" s="3">
        <v>6</v>
      </c>
      <c r="F13" t="s">
        <v>2274</v>
      </c>
      <c r="G13">
        <v>1279</v>
      </c>
      <c r="H13">
        <v>5155.7345250466942</v>
      </c>
      <c r="I13">
        <v>4.0310668686838893</v>
      </c>
    </row>
    <row r="14" spans="1:14" ht="15" thickBot="1" x14ac:dyDescent="0.35">
      <c r="A14">
        <v>20</v>
      </c>
      <c r="B14" s="1">
        <v>25.076923076923077</v>
      </c>
      <c r="C14" s="10">
        <v>23.6111439577315</v>
      </c>
      <c r="D14" s="3">
        <v>13</v>
      </c>
      <c r="F14" s="13" t="s">
        <v>2275</v>
      </c>
      <c r="G14" s="13">
        <v>1282</v>
      </c>
      <c r="H14" s="13">
        <v>100875.49805144167</v>
      </c>
      <c r="I14" s="13"/>
      <c r="J14" s="13"/>
      <c r="K14" s="13"/>
    </row>
    <row r="15" spans="1:14" ht="15" thickBot="1" x14ac:dyDescent="0.35">
      <c r="A15">
        <v>40</v>
      </c>
      <c r="B15" s="1">
        <v>30.391304347826086</v>
      </c>
      <c r="C15" s="10">
        <v>51.242365223816378</v>
      </c>
      <c r="D15" s="3">
        <v>23</v>
      </c>
    </row>
    <row r="16" spans="1:14" x14ac:dyDescent="0.3">
      <c r="A16">
        <v>6</v>
      </c>
      <c r="B16" s="1">
        <v>35.75</v>
      </c>
      <c r="C16" s="10">
        <v>9.342886838333456</v>
      </c>
      <c r="D16" s="3">
        <v>4</v>
      </c>
      <c r="F16" s="14"/>
      <c r="G16" s="14" t="s">
        <v>2282</v>
      </c>
      <c r="H16" s="14" t="s">
        <v>2259</v>
      </c>
      <c r="I16" s="14" t="s">
        <v>2283</v>
      </c>
      <c r="J16" s="14" t="s">
        <v>2284</v>
      </c>
      <c r="K16" s="14" t="s">
        <v>2285</v>
      </c>
      <c r="L16" s="14" t="s">
        <v>2286</v>
      </c>
      <c r="M16" s="14" t="s">
        <v>2287</v>
      </c>
      <c r="N16" s="14" t="s">
        <v>2288</v>
      </c>
    </row>
    <row r="17" spans="1:14" x14ac:dyDescent="0.3">
      <c r="A17">
        <v>58</v>
      </c>
      <c r="B17" s="1">
        <v>27.846153846153847</v>
      </c>
      <c r="C17" s="10">
        <v>61.166168360734702</v>
      </c>
      <c r="D17" s="3">
        <v>26</v>
      </c>
      <c r="F17" t="s">
        <v>2276</v>
      </c>
      <c r="G17">
        <v>2.0433104042201569</v>
      </c>
      <c r="H17">
        <v>0.34043913560450079</v>
      </c>
      <c r="I17">
        <v>6.001984468066377</v>
      </c>
      <c r="J17">
        <v>2.5348713478835422E-9</v>
      </c>
      <c r="K17">
        <v>1.3754299299681434</v>
      </c>
      <c r="L17">
        <v>2.7111908784721703</v>
      </c>
      <c r="M17">
        <v>1.3754299299681434</v>
      </c>
      <c r="N17">
        <v>2.7111908784721703</v>
      </c>
    </row>
    <row r="18" spans="1:14" x14ac:dyDescent="0.3">
      <c r="A18">
        <v>31</v>
      </c>
      <c r="B18" s="1">
        <v>28.333333333333332</v>
      </c>
      <c r="C18" s="10">
        <v>28.861803328227133</v>
      </c>
      <c r="D18" s="3">
        <v>15</v>
      </c>
      <c r="F18" t="s">
        <v>2290</v>
      </c>
      <c r="G18">
        <v>0.29979337674826362</v>
      </c>
      <c r="H18">
        <v>7.3619472829315399E-3</v>
      </c>
      <c r="I18">
        <v>40.722021664475349</v>
      </c>
      <c r="J18">
        <v>3.6700938332651152E-233</v>
      </c>
      <c r="K18">
        <v>0.28535055766986378</v>
      </c>
      <c r="L18">
        <v>0.31423619582666346</v>
      </c>
      <c r="M18">
        <v>0.28535055766986378</v>
      </c>
      <c r="N18">
        <v>0.31423619582666346</v>
      </c>
    </row>
    <row r="19" spans="1:14" x14ac:dyDescent="0.3">
      <c r="A19">
        <v>15</v>
      </c>
      <c r="B19" s="1">
        <v>36.5</v>
      </c>
      <c r="C19" s="10">
        <v>15.590706817703337</v>
      </c>
      <c r="D19" s="3">
        <v>8</v>
      </c>
      <c r="F19" t="s">
        <v>2291</v>
      </c>
      <c r="G19">
        <v>-1.4249856082946401E-2</v>
      </c>
      <c r="H19">
        <v>8.720293999752023E-3</v>
      </c>
      <c r="I19">
        <v>-1.6341027129763768</v>
      </c>
      <c r="J19">
        <v>0.1024833830491285</v>
      </c>
      <c r="K19">
        <v>-3.1357507592605478E-2</v>
      </c>
      <c r="L19">
        <v>2.8577954267126754E-3</v>
      </c>
      <c r="M19">
        <v>-3.1357507592605478E-2</v>
      </c>
      <c r="N19">
        <v>2.8577954267126754E-3</v>
      </c>
    </row>
    <row r="20" spans="1:14" ht="15" thickBot="1" x14ac:dyDescent="0.35">
      <c r="A20">
        <v>31</v>
      </c>
      <c r="B20" s="1">
        <v>37.80952380952381</v>
      </c>
      <c r="C20" s="10">
        <v>51.327214362575404</v>
      </c>
      <c r="D20" s="3">
        <v>21</v>
      </c>
      <c r="F20" s="13" t="s">
        <v>2298</v>
      </c>
      <c r="G20" s="13">
        <v>0.18797396951118475</v>
      </c>
      <c r="H20" s="13">
        <v>7.3449292045816199E-3</v>
      </c>
      <c r="I20" s="13">
        <v>25.592345994830058</v>
      </c>
      <c r="J20" s="13">
        <v>5.5239047116623891E-117</v>
      </c>
      <c r="K20" s="13">
        <v>0.17356453684771342</v>
      </c>
      <c r="L20" s="13">
        <v>0.20238340217465609</v>
      </c>
      <c r="M20" s="13">
        <v>0.17356453684771342</v>
      </c>
      <c r="N20" s="13">
        <v>0.20238340217465609</v>
      </c>
    </row>
    <row r="21" spans="1:14" x14ac:dyDescent="0.3">
      <c r="A21">
        <v>4</v>
      </c>
      <c r="B21" s="1">
        <v>33.333333333333336</v>
      </c>
      <c r="C21" s="10">
        <v>5.5943977383895271</v>
      </c>
      <c r="D21" s="3">
        <v>3</v>
      </c>
    </row>
    <row r="22" spans="1:14" x14ac:dyDescent="0.3">
      <c r="A22">
        <v>14</v>
      </c>
      <c r="B22" s="1">
        <v>28.444444444444443</v>
      </c>
      <c r="C22" s="10">
        <v>16.345930333676243</v>
      </c>
      <c r="D22" s="3">
        <v>9</v>
      </c>
      <c r="E22" t="s">
        <v>2299</v>
      </c>
      <c r="F22" t="s">
        <v>2266</v>
      </c>
    </row>
    <row r="23" spans="1:14" ht="15" thickBot="1" x14ac:dyDescent="0.35">
      <c r="A23">
        <v>49</v>
      </c>
      <c r="B23" s="1">
        <v>30.4</v>
      </c>
      <c r="C23" s="10">
        <v>44.475222306952617</v>
      </c>
      <c r="D23" s="3">
        <v>25</v>
      </c>
    </row>
    <row r="24" spans="1:14" x14ac:dyDescent="0.3">
      <c r="A24">
        <v>44</v>
      </c>
      <c r="B24" s="1">
        <v>35.25</v>
      </c>
      <c r="C24" s="10">
        <v>44.827708207994448</v>
      </c>
      <c r="D24" s="3">
        <v>24</v>
      </c>
      <c r="F24" s="15" t="s">
        <v>2267</v>
      </c>
      <c r="G24" s="15"/>
    </row>
    <row r="25" spans="1:14" x14ac:dyDescent="0.3">
      <c r="A25">
        <v>23</v>
      </c>
      <c r="B25" s="1">
        <v>27.615384615384617</v>
      </c>
      <c r="C25" s="10">
        <v>32.14531408451785</v>
      </c>
      <c r="D25" s="3">
        <v>13</v>
      </c>
      <c r="F25" t="s">
        <v>2268</v>
      </c>
      <c r="G25">
        <v>0.96058162606684572</v>
      </c>
    </row>
    <row r="26" spans="1:14" x14ac:dyDescent="0.3">
      <c r="A26">
        <v>32</v>
      </c>
      <c r="B26" s="1">
        <v>44.25</v>
      </c>
      <c r="C26" s="10">
        <v>37.388497058809392</v>
      </c>
      <c r="D26" s="3">
        <v>16</v>
      </c>
      <c r="F26" t="s">
        <v>2269</v>
      </c>
      <c r="G26">
        <v>0.92271706033722545</v>
      </c>
    </row>
    <row r="27" spans="1:14" x14ac:dyDescent="0.3">
      <c r="A27">
        <v>21</v>
      </c>
      <c r="B27" s="1">
        <v>27.823529411764707</v>
      </c>
      <c r="C27" s="10">
        <v>24.691075852270831</v>
      </c>
      <c r="D27" s="3">
        <v>17</v>
      </c>
      <c r="F27" t="s">
        <v>2270</v>
      </c>
      <c r="G27">
        <v>0.92259630574400242</v>
      </c>
    </row>
    <row r="28" spans="1:14" x14ac:dyDescent="0.3">
      <c r="A28">
        <v>1</v>
      </c>
      <c r="B28" s="1">
        <v>29</v>
      </c>
      <c r="C28" s="10">
        <v>1.9235024766406614</v>
      </c>
      <c r="D28" s="3">
        <v>1</v>
      </c>
      <c r="F28" t="s">
        <v>2259</v>
      </c>
      <c r="G28">
        <v>2.4679120459791473</v>
      </c>
    </row>
    <row r="29" spans="1:14" ht="15" thickBot="1" x14ac:dyDescent="0.35">
      <c r="A29">
        <v>27</v>
      </c>
      <c r="B29" s="1">
        <v>36.428571428571431</v>
      </c>
      <c r="C29" s="10">
        <v>17.810723418577641</v>
      </c>
      <c r="D29" s="3">
        <v>14</v>
      </c>
      <c r="F29" s="13" t="s">
        <v>2271</v>
      </c>
      <c r="G29" s="13">
        <v>1283</v>
      </c>
    </row>
    <row r="30" spans="1:14" x14ac:dyDescent="0.3">
      <c r="A30">
        <v>1</v>
      </c>
      <c r="B30" s="1">
        <v>54</v>
      </c>
      <c r="C30" s="10">
        <v>1.5691487312012415</v>
      </c>
      <c r="D30" s="3">
        <v>1</v>
      </c>
    </row>
    <row r="31" spans="1:14" ht="15" thickBot="1" x14ac:dyDescent="0.35">
      <c r="A31">
        <v>70</v>
      </c>
      <c r="B31" s="1">
        <v>31.0625</v>
      </c>
      <c r="C31" s="10">
        <v>45.22993853741113</v>
      </c>
      <c r="D31" s="3">
        <v>32</v>
      </c>
      <c r="F31" t="s">
        <v>2272</v>
      </c>
    </row>
    <row r="32" spans="1:14" x14ac:dyDescent="0.3">
      <c r="A32">
        <v>32</v>
      </c>
      <c r="B32" s="1">
        <v>36.866666666666667</v>
      </c>
      <c r="C32" s="10">
        <v>22.676795500069765</v>
      </c>
      <c r="D32" s="3">
        <v>15</v>
      </c>
      <c r="F32" s="14"/>
      <c r="G32" s="14" t="s">
        <v>2277</v>
      </c>
      <c r="H32" s="14" t="s">
        <v>2278</v>
      </c>
      <c r="I32" s="14" t="s">
        <v>2279</v>
      </c>
      <c r="J32" s="14" t="s">
        <v>2280</v>
      </c>
      <c r="K32" s="14" t="s">
        <v>2281</v>
      </c>
    </row>
    <row r="33" spans="1:14" x14ac:dyDescent="0.3">
      <c r="A33">
        <v>50</v>
      </c>
      <c r="B33" s="1">
        <v>31.291666666666668</v>
      </c>
      <c r="C33" s="10">
        <v>37.2978538537796</v>
      </c>
      <c r="D33" s="3">
        <v>24</v>
      </c>
      <c r="F33" t="s">
        <v>2273</v>
      </c>
      <c r="G33">
        <v>2</v>
      </c>
      <c r="H33">
        <v>93079.543022079772</v>
      </c>
      <c r="I33">
        <v>46539.771511039886</v>
      </c>
      <c r="J33">
        <v>7641.2584872243651</v>
      </c>
      <c r="K33">
        <v>0</v>
      </c>
    </row>
    <row r="34" spans="1:14" x14ac:dyDescent="0.3">
      <c r="A34">
        <v>32</v>
      </c>
      <c r="B34" s="1">
        <v>36.476190476190474</v>
      </c>
      <c r="C34" s="10">
        <v>26.275210577405385</v>
      </c>
      <c r="D34" s="3">
        <v>21</v>
      </c>
      <c r="F34" t="s">
        <v>2274</v>
      </c>
      <c r="G34">
        <v>1280</v>
      </c>
      <c r="H34">
        <v>7795.955029361895</v>
      </c>
      <c r="I34">
        <v>6.0905898666889806</v>
      </c>
    </row>
    <row r="35" spans="1:14" ht="15" thickBot="1" x14ac:dyDescent="0.35">
      <c r="A35">
        <v>52</v>
      </c>
      <c r="B35" s="1">
        <v>26.76</v>
      </c>
      <c r="C35" s="10">
        <v>59.48485076251815</v>
      </c>
      <c r="D35" s="3">
        <v>25</v>
      </c>
      <c r="F35" s="13" t="s">
        <v>2275</v>
      </c>
      <c r="G35" s="13">
        <v>1282</v>
      </c>
      <c r="H35" s="13">
        <v>100875.49805144167</v>
      </c>
      <c r="I35" s="13"/>
      <c r="J35" s="13"/>
      <c r="K35" s="13"/>
    </row>
    <row r="36" spans="1:14" ht="15" thickBot="1" x14ac:dyDescent="0.35">
      <c r="A36">
        <v>40</v>
      </c>
      <c r="B36" s="1">
        <v>33.61904761904762</v>
      </c>
      <c r="C36" s="10">
        <v>45.09132015095819</v>
      </c>
      <c r="D36" s="3">
        <v>21</v>
      </c>
    </row>
    <row r="37" spans="1:14" x14ac:dyDescent="0.3">
      <c r="A37">
        <v>8</v>
      </c>
      <c r="B37" s="1">
        <v>44.8</v>
      </c>
      <c r="C37" s="10">
        <v>6.9749785442320462</v>
      </c>
      <c r="D37" s="3">
        <v>5</v>
      </c>
      <c r="F37" s="14"/>
      <c r="G37" s="14" t="s">
        <v>2282</v>
      </c>
      <c r="H37" s="14" t="s">
        <v>2259</v>
      </c>
      <c r="I37" s="14" t="s">
        <v>2283</v>
      </c>
      <c r="J37" s="14" t="s">
        <v>2284</v>
      </c>
      <c r="K37" s="14" t="s">
        <v>2285</v>
      </c>
      <c r="L37" s="14" t="s">
        <v>2286</v>
      </c>
      <c r="M37" s="14" t="s">
        <v>2287</v>
      </c>
      <c r="N37" s="14" t="s">
        <v>2288</v>
      </c>
    </row>
    <row r="38" spans="1:14" x14ac:dyDescent="0.3">
      <c r="A38">
        <v>41</v>
      </c>
      <c r="B38" s="1">
        <v>42.666666666666664</v>
      </c>
      <c r="C38" s="10">
        <v>29.502041769809452</v>
      </c>
      <c r="D38" s="3">
        <v>21</v>
      </c>
      <c r="F38" t="s">
        <v>2276</v>
      </c>
      <c r="G38">
        <v>2.9118514226179597</v>
      </c>
      <c r="H38">
        <v>0.41638055473076485</v>
      </c>
      <c r="I38">
        <v>6.9932454566731321</v>
      </c>
      <c r="J38">
        <v>4.315440133435241E-12</v>
      </c>
      <c r="K38">
        <v>2.0949881202235474</v>
      </c>
      <c r="L38">
        <v>3.728714725012372</v>
      </c>
      <c r="M38">
        <v>2.0949881202235474</v>
      </c>
      <c r="N38">
        <v>3.728714725012372</v>
      </c>
    </row>
    <row r="39" spans="1:14" x14ac:dyDescent="0.3">
      <c r="A39">
        <v>4</v>
      </c>
      <c r="B39" s="1">
        <v>39.5</v>
      </c>
      <c r="C39" s="10">
        <v>3.3860574240944139</v>
      </c>
      <c r="D39" s="3">
        <v>2</v>
      </c>
      <c r="F39" t="s">
        <v>2290</v>
      </c>
      <c r="G39">
        <v>0.46956407870202671</v>
      </c>
      <c r="H39">
        <v>3.9243645428074193E-3</v>
      </c>
      <c r="I39">
        <v>119.6535320763318</v>
      </c>
      <c r="J39">
        <v>0</v>
      </c>
      <c r="K39">
        <v>0.46186518560095474</v>
      </c>
      <c r="L39">
        <v>0.47726297180309868</v>
      </c>
      <c r="M39">
        <v>0.46186518560095474</v>
      </c>
      <c r="N39">
        <v>0.47726297180309868</v>
      </c>
    </row>
    <row r="40" spans="1:14" ht="15" thickBot="1" x14ac:dyDescent="0.35">
      <c r="A40">
        <v>4</v>
      </c>
      <c r="B40" s="1">
        <v>30.333333333333332</v>
      </c>
      <c r="C40" s="10">
        <v>4.3143451277598768</v>
      </c>
      <c r="D40" s="3">
        <v>3</v>
      </c>
      <c r="F40" s="13" t="s">
        <v>2291</v>
      </c>
      <c r="G40" s="13">
        <v>-1.8413990906656165E-2</v>
      </c>
      <c r="H40" s="13">
        <v>1.0717048365149379E-2</v>
      </c>
      <c r="I40" s="13">
        <v>-1.718196118862015</v>
      </c>
      <c r="J40" s="13">
        <v>8.6002681401482928E-2</v>
      </c>
      <c r="K40" s="13">
        <v>-3.9438900499605828E-2</v>
      </c>
      <c r="L40" s="13">
        <v>2.610918686293498E-3</v>
      </c>
      <c r="M40" s="13">
        <v>-3.9438900499605828E-2</v>
      </c>
      <c r="N40" s="13">
        <v>2.610918686293498E-3</v>
      </c>
    </row>
    <row r="41" spans="1:14" x14ac:dyDescent="0.3">
      <c r="A41">
        <v>41</v>
      </c>
      <c r="B41" s="1">
        <v>32.684210526315788</v>
      </c>
      <c r="C41" s="10">
        <v>28.232727750533083</v>
      </c>
      <c r="D41" s="3">
        <v>19</v>
      </c>
    </row>
    <row r="42" spans="1:14" x14ac:dyDescent="0.3">
      <c r="A42">
        <v>17</v>
      </c>
      <c r="B42" s="1">
        <v>29.555555555555557</v>
      </c>
      <c r="C42" s="10">
        <v>13.573042082972499</v>
      </c>
      <c r="D42" s="3">
        <v>9</v>
      </c>
      <c r="E42" t="s">
        <v>2300</v>
      </c>
      <c r="F42" t="s">
        <v>2266</v>
      </c>
    </row>
    <row r="43" spans="1:14" ht="15" thickBot="1" x14ac:dyDescent="0.35">
      <c r="A43">
        <v>55</v>
      </c>
      <c r="B43" s="1">
        <v>26.1</v>
      </c>
      <c r="C43" s="10">
        <v>63.197373241830789</v>
      </c>
      <c r="D43" s="3">
        <v>30</v>
      </c>
    </row>
    <row r="44" spans="1:14" x14ac:dyDescent="0.3">
      <c r="A44">
        <v>38</v>
      </c>
      <c r="B44" s="1">
        <v>40.142857142857146</v>
      </c>
      <c r="C44" s="10">
        <v>29.529991803770297</v>
      </c>
      <c r="D44" s="3">
        <v>21</v>
      </c>
      <c r="F44" s="15" t="s">
        <v>2267</v>
      </c>
      <c r="G44" s="15"/>
    </row>
    <row r="45" spans="1:14" x14ac:dyDescent="0.3">
      <c r="A45">
        <v>17</v>
      </c>
      <c r="B45" s="1">
        <v>36</v>
      </c>
      <c r="C45" s="10">
        <v>24.321409159651253</v>
      </c>
      <c r="D45" s="3">
        <v>11</v>
      </c>
      <c r="F45" t="s">
        <v>2268</v>
      </c>
      <c r="G45">
        <v>0.96048884148062219</v>
      </c>
    </row>
    <row r="46" spans="1:14" x14ac:dyDescent="0.3">
      <c r="A46">
        <v>26</v>
      </c>
      <c r="B46" s="1">
        <v>42.466666666666669</v>
      </c>
      <c r="C46" s="10">
        <v>31.164742378697849</v>
      </c>
      <c r="D46" s="3">
        <v>15</v>
      </c>
      <c r="F46" t="s">
        <v>2269</v>
      </c>
      <c r="G46">
        <v>0.92253881460878773</v>
      </c>
    </row>
    <row r="47" spans="1:14" x14ac:dyDescent="0.3">
      <c r="A47">
        <v>22</v>
      </c>
      <c r="B47" s="1">
        <v>38.875</v>
      </c>
      <c r="C47" s="10">
        <v>26.664015601702921</v>
      </c>
      <c r="D47" s="3">
        <v>16</v>
      </c>
      <c r="F47" t="s">
        <v>2270</v>
      </c>
      <c r="G47">
        <v>0.92247834529934891</v>
      </c>
    </row>
    <row r="48" spans="1:14" x14ac:dyDescent="0.3">
      <c r="A48">
        <v>28</v>
      </c>
      <c r="B48" s="1">
        <v>35.846153846153847</v>
      </c>
      <c r="C48" s="10">
        <v>32.125365881058677</v>
      </c>
      <c r="D48" s="3">
        <v>13</v>
      </c>
      <c r="F48" t="s">
        <v>2259</v>
      </c>
      <c r="G48">
        <v>2.4697918346440293</v>
      </c>
    </row>
    <row r="49" spans="1:14" ht="15" thickBot="1" x14ac:dyDescent="0.35">
      <c r="A49">
        <v>2</v>
      </c>
      <c r="B49" s="1">
        <v>15</v>
      </c>
      <c r="C49" s="10">
        <v>2.4275052364951444</v>
      </c>
      <c r="D49" s="3">
        <v>1</v>
      </c>
      <c r="F49" s="13" t="s">
        <v>2271</v>
      </c>
      <c r="G49" s="13">
        <v>1283</v>
      </c>
    </row>
    <row r="50" spans="1:14" x14ac:dyDescent="0.3">
      <c r="A50">
        <v>18</v>
      </c>
      <c r="B50" s="1">
        <v>38.266666666666666</v>
      </c>
      <c r="C50" s="10">
        <v>25.848923264436092</v>
      </c>
      <c r="D50" s="3">
        <v>15</v>
      </c>
    </row>
    <row r="51" spans="1:14" ht="15" thickBot="1" x14ac:dyDescent="0.35">
      <c r="A51">
        <v>51</v>
      </c>
      <c r="B51" s="1">
        <v>32.416666666666664</v>
      </c>
      <c r="C51" s="10">
        <v>31.524884107801238</v>
      </c>
      <c r="D51" s="3">
        <v>24</v>
      </c>
      <c r="F51" t="s">
        <v>2272</v>
      </c>
    </row>
    <row r="52" spans="1:14" x14ac:dyDescent="0.3">
      <c r="A52">
        <v>56</v>
      </c>
      <c r="B52" s="1">
        <v>38.119999999999997</v>
      </c>
      <c r="C52" s="10">
        <v>39.79608480350025</v>
      </c>
      <c r="D52" s="3">
        <v>25</v>
      </c>
      <c r="F52" s="14"/>
      <c r="G52" s="14" t="s">
        <v>2277</v>
      </c>
      <c r="H52" s="14" t="s">
        <v>2278</v>
      </c>
      <c r="I52" s="14" t="s">
        <v>2279</v>
      </c>
      <c r="J52" s="14" t="s">
        <v>2280</v>
      </c>
      <c r="K52" s="14" t="s">
        <v>2281</v>
      </c>
    </row>
    <row r="53" spans="1:14" x14ac:dyDescent="0.3">
      <c r="A53">
        <v>18</v>
      </c>
      <c r="B53" s="1">
        <v>39.307692307692307</v>
      </c>
      <c r="C53" s="10">
        <v>25.51104074062134</v>
      </c>
      <c r="D53" s="3">
        <v>13</v>
      </c>
      <c r="F53" t="s">
        <v>2273</v>
      </c>
      <c r="G53">
        <v>1</v>
      </c>
      <c r="H53">
        <v>93061.562395448069</v>
      </c>
      <c r="I53">
        <v>93061.562395448069</v>
      </c>
      <c r="J53">
        <v>15256.314701942636</v>
      </c>
      <c r="K53">
        <v>0</v>
      </c>
    </row>
    <row r="54" spans="1:14" x14ac:dyDescent="0.3">
      <c r="A54">
        <v>26</v>
      </c>
      <c r="B54" s="1">
        <v>42.214285714285715</v>
      </c>
      <c r="C54" s="10">
        <v>30.232948774327383</v>
      </c>
      <c r="D54" s="3">
        <v>14</v>
      </c>
      <c r="F54" t="s">
        <v>2274</v>
      </c>
      <c r="G54">
        <v>1281</v>
      </c>
      <c r="H54">
        <v>7813.9356559936032</v>
      </c>
      <c r="I54">
        <v>6.0998717064743193</v>
      </c>
    </row>
    <row r="55" spans="1:14" ht="15" thickBot="1" x14ac:dyDescent="0.35">
      <c r="A55">
        <v>13</v>
      </c>
      <c r="B55" s="1">
        <v>39.25</v>
      </c>
      <c r="C55" s="10">
        <v>17.418241957914439</v>
      </c>
      <c r="D55" s="3">
        <v>8</v>
      </c>
      <c r="F55" s="13" t="s">
        <v>2275</v>
      </c>
      <c r="G55" s="13">
        <v>1282</v>
      </c>
      <c r="H55" s="13">
        <v>100875.49805144167</v>
      </c>
      <c r="I55" s="13"/>
      <c r="J55" s="13"/>
      <c r="K55" s="13"/>
    </row>
    <row r="56" spans="1:14" ht="15" thickBot="1" x14ac:dyDescent="0.35">
      <c r="A56">
        <v>30</v>
      </c>
      <c r="B56" s="1">
        <v>30.263157894736842</v>
      </c>
      <c r="C56" s="10">
        <v>36.553053829666084</v>
      </c>
      <c r="D56" s="3">
        <v>19</v>
      </c>
    </row>
    <row r="57" spans="1:14" x14ac:dyDescent="0.3">
      <c r="A57">
        <v>3</v>
      </c>
      <c r="B57" s="1">
        <v>38.5</v>
      </c>
      <c r="C57" s="10">
        <v>2.8788453389243567</v>
      </c>
      <c r="D57" s="3">
        <v>2</v>
      </c>
      <c r="F57" s="14"/>
      <c r="G57" s="14" t="s">
        <v>2282</v>
      </c>
      <c r="H57" s="14" t="s">
        <v>2259</v>
      </c>
      <c r="I57" s="14" t="s">
        <v>2283</v>
      </c>
      <c r="J57" s="14" t="s">
        <v>2284</v>
      </c>
      <c r="K57" s="14" t="s">
        <v>2285</v>
      </c>
      <c r="L57" s="14" t="s">
        <v>2286</v>
      </c>
      <c r="M57" s="14" t="s">
        <v>2287</v>
      </c>
      <c r="N57" s="14" t="s">
        <v>2288</v>
      </c>
    </row>
    <row r="58" spans="1:14" x14ac:dyDescent="0.3">
      <c r="A58">
        <v>46</v>
      </c>
      <c r="B58" s="1">
        <v>28.75</v>
      </c>
      <c r="C58" s="10">
        <v>43.615204748575373</v>
      </c>
      <c r="D58" s="3">
        <v>28</v>
      </c>
      <c r="F58" t="s">
        <v>2276</v>
      </c>
      <c r="G58">
        <v>2.228774456796268</v>
      </c>
      <c r="H58">
        <v>0.12388045783544976</v>
      </c>
      <c r="I58">
        <v>17.99133209336977</v>
      </c>
      <c r="J58">
        <v>1.0639301693104249E-64</v>
      </c>
      <c r="K58">
        <v>1.985743594827293</v>
      </c>
      <c r="L58">
        <v>2.4718053187652429</v>
      </c>
      <c r="M58">
        <v>1.985743594827293</v>
      </c>
      <c r="N58">
        <v>2.4718053187652429</v>
      </c>
    </row>
    <row r="59" spans="1:14" ht="15" thickBot="1" x14ac:dyDescent="0.35">
      <c r="A59">
        <v>8</v>
      </c>
      <c r="B59" s="1">
        <v>34.5</v>
      </c>
      <c r="C59" s="10">
        <v>10.736013230890453</v>
      </c>
      <c r="D59" s="3">
        <v>6</v>
      </c>
      <c r="F59" s="13" t="s">
        <v>2290</v>
      </c>
      <c r="G59" s="13">
        <v>0.47116805927864763</v>
      </c>
      <c r="H59" s="13">
        <v>3.8146177249469703E-3</v>
      </c>
      <c r="I59" s="13">
        <v>123.51645518692116</v>
      </c>
      <c r="J59" s="13">
        <v>0</v>
      </c>
      <c r="K59" s="13">
        <v>0.46368447510423799</v>
      </c>
      <c r="L59" s="13">
        <v>0.47865164345305727</v>
      </c>
      <c r="M59" s="13">
        <v>0.46368447510423799</v>
      </c>
      <c r="N59" s="13">
        <v>0.47865164345305727</v>
      </c>
    </row>
    <row r="60" spans="1:14" x14ac:dyDescent="0.3">
      <c r="A60">
        <v>25</v>
      </c>
      <c r="B60" s="1">
        <v>43.3125</v>
      </c>
      <c r="C60" s="10">
        <v>29.847974785497833</v>
      </c>
      <c r="D60" s="3">
        <v>16</v>
      </c>
    </row>
    <row r="61" spans="1:14" x14ac:dyDescent="0.3">
      <c r="A61">
        <v>30</v>
      </c>
      <c r="B61" s="1">
        <v>34.764705882352942</v>
      </c>
      <c r="C61" s="10">
        <v>41.830740930050005</v>
      </c>
      <c r="D61" s="3">
        <v>17</v>
      </c>
      <c r="E61" s="4" t="s">
        <v>2292</v>
      </c>
    </row>
    <row r="62" spans="1:14" x14ac:dyDescent="0.3">
      <c r="A62">
        <v>32</v>
      </c>
      <c r="B62" s="1">
        <v>33.736842105263158</v>
      </c>
      <c r="C62" s="10">
        <v>28.69571532224856</v>
      </c>
      <c r="D62" s="3">
        <v>19</v>
      </c>
    </row>
    <row r="63" spans="1:14" x14ac:dyDescent="0.3">
      <c r="A63">
        <v>16</v>
      </c>
      <c r="B63" s="1">
        <v>36.444444444444443</v>
      </c>
      <c r="C63" s="10">
        <v>18.386342045397527</v>
      </c>
      <c r="D63" s="3">
        <v>9</v>
      </c>
    </row>
    <row r="64" spans="1:14" x14ac:dyDescent="0.3">
      <c r="A64">
        <v>19</v>
      </c>
      <c r="B64" s="1">
        <v>40.200000000000003</v>
      </c>
      <c r="C64" s="10">
        <v>19.416101140940832</v>
      </c>
      <c r="D64" s="3">
        <v>10</v>
      </c>
    </row>
    <row r="65" spans="1:5" x14ac:dyDescent="0.3">
      <c r="A65">
        <v>15</v>
      </c>
      <c r="B65" s="1">
        <v>42.333333333333336</v>
      </c>
      <c r="C65" s="10">
        <v>14.279075947056022</v>
      </c>
      <c r="D65" s="3">
        <v>9</v>
      </c>
      <c r="E65" s="4" t="s">
        <v>2293</v>
      </c>
    </row>
    <row r="66" spans="1:5" x14ac:dyDescent="0.3">
      <c r="A66">
        <v>2</v>
      </c>
      <c r="B66" s="1">
        <v>33.5</v>
      </c>
      <c r="C66" s="10">
        <v>3.5312522649029949</v>
      </c>
      <c r="D66" s="3">
        <v>2</v>
      </c>
    </row>
    <row r="67" spans="1:5" x14ac:dyDescent="0.3">
      <c r="A67">
        <v>44</v>
      </c>
      <c r="B67" s="1">
        <v>28.173913043478262</v>
      </c>
      <c r="C67" s="10">
        <v>35.602456434341192</v>
      </c>
      <c r="D67" s="3">
        <v>23</v>
      </c>
    </row>
    <row r="68" spans="1:5" x14ac:dyDescent="0.3">
      <c r="A68">
        <v>15</v>
      </c>
      <c r="B68" s="1">
        <v>41.428571428571431</v>
      </c>
      <c r="C68" s="10">
        <v>13.400486283499854</v>
      </c>
      <c r="D68" s="3">
        <v>7</v>
      </c>
    </row>
    <row r="69" spans="1:5" x14ac:dyDescent="0.3">
      <c r="A69">
        <v>16</v>
      </c>
      <c r="B69" s="1">
        <v>26.181818181818183</v>
      </c>
      <c r="C69" s="10">
        <v>27.294306522942279</v>
      </c>
      <c r="D69" s="3">
        <v>11</v>
      </c>
      <c r="E69" s="4" t="s">
        <v>2294</v>
      </c>
    </row>
    <row r="70" spans="1:5" x14ac:dyDescent="0.3">
      <c r="A70">
        <v>41</v>
      </c>
      <c r="B70" s="1">
        <v>38.652173913043477</v>
      </c>
      <c r="C70" s="10">
        <v>36.226247143521462</v>
      </c>
      <c r="D70" s="3">
        <v>23</v>
      </c>
    </row>
    <row r="71" spans="1:5" x14ac:dyDescent="0.3">
      <c r="A71">
        <v>30</v>
      </c>
      <c r="B71" s="1">
        <v>27</v>
      </c>
      <c r="C71" s="10">
        <v>26.814978794298217</v>
      </c>
      <c r="D71" s="3">
        <v>20</v>
      </c>
    </row>
    <row r="72" spans="1:5" x14ac:dyDescent="0.3">
      <c r="A72">
        <v>11</v>
      </c>
      <c r="B72" s="1">
        <v>44.428571428571431</v>
      </c>
      <c r="C72" s="10">
        <v>16.374963092359081</v>
      </c>
      <c r="D72" s="3">
        <v>7</v>
      </c>
    </row>
    <row r="73" spans="1:5" x14ac:dyDescent="0.3">
      <c r="A73">
        <v>65</v>
      </c>
      <c r="B73" s="1">
        <v>30</v>
      </c>
      <c r="C73" s="10">
        <v>74.086006812705861</v>
      </c>
      <c r="D73" s="3">
        <v>32</v>
      </c>
      <c r="E73" s="4" t="s">
        <v>2295</v>
      </c>
    </row>
    <row r="74" spans="1:5" x14ac:dyDescent="0.3">
      <c r="A74">
        <v>25</v>
      </c>
      <c r="B74" s="1">
        <v>26.5625</v>
      </c>
      <c r="C74" s="10">
        <v>39.687647610349764</v>
      </c>
      <c r="D74" s="3">
        <v>16</v>
      </c>
    </row>
    <row r="75" spans="1:5" x14ac:dyDescent="0.3">
      <c r="A75">
        <v>42</v>
      </c>
      <c r="B75" s="1">
        <v>39.92</v>
      </c>
      <c r="C75" s="10">
        <v>37.52325929825254</v>
      </c>
      <c r="D75" s="3">
        <v>25</v>
      </c>
    </row>
    <row r="76" spans="1:5" x14ac:dyDescent="0.3">
      <c r="A76">
        <v>23</v>
      </c>
      <c r="B76" s="1">
        <v>26.5</v>
      </c>
      <c r="C76" s="10">
        <v>38.750762838368232</v>
      </c>
      <c r="D76" s="3">
        <v>18</v>
      </c>
    </row>
    <row r="77" spans="1:5" x14ac:dyDescent="0.3">
      <c r="A77">
        <v>4</v>
      </c>
      <c r="B77" s="1">
        <v>42.333333333333336</v>
      </c>
      <c r="C77" s="10">
        <v>5.3055474171500236</v>
      </c>
      <c r="D77" s="3">
        <v>3</v>
      </c>
      <c r="E77" s="4" t="s">
        <v>2296</v>
      </c>
    </row>
    <row r="78" spans="1:5" x14ac:dyDescent="0.3">
      <c r="A78">
        <v>5</v>
      </c>
      <c r="B78" s="1">
        <v>34.666666666666664</v>
      </c>
      <c r="C78" s="10">
        <v>6.3988651651825821</v>
      </c>
      <c r="D78" s="3">
        <v>3</v>
      </c>
    </row>
    <row r="79" spans="1:5" x14ac:dyDescent="0.3">
      <c r="A79">
        <v>1</v>
      </c>
      <c r="B79" s="1">
        <v>43</v>
      </c>
      <c r="C79" s="10">
        <v>1.6153922715577231</v>
      </c>
      <c r="D79" s="3">
        <v>1</v>
      </c>
    </row>
    <row r="80" spans="1:5" x14ac:dyDescent="0.3">
      <c r="A80">
        <v>19</v>
      </c>
      <c r="B80" s="1">
        <v>43.625</v>
      </c>
      <c r="C80" s="10">
        <v>32.514363722428577</v>
      </c>
      <c r="D80" s="3">
        <v>16</v>
      </c>
    </row>
    <row r="81" spans="1:4" x14ac:dyDescent="0.3">
      <c r="A81">
        <v>17</v>
      </c>
      <c r="B81" s="1">
        <v>29.2</v>
      </c>
      <c r="C81" s="10">
        <v>16.566033154980541</v>
      </c>
      <c r="D81" s="3">
        <v>10</v>
      </c>
    </row>
    <row r="82" spans="1:4" x14ac:dyDescent="0.3">
      <c r="A82">
        <v>28</v>
      </c>
      <c r="B82" s="1">
        <v>39.0625</v>
      </c>
      <c r="C82" s="10">
        <v>34.013294933277216</v>
      </c>
      <c r="D82" s="3">
        <v>16</v>
      </c>
    </row>
    <row r="83" spans="1:4" x14ac:dyDescent="0.3">
      <c r="A83">
        <v>25</v>
      </c>
      <c r="B83" s="1">
        <v>34.875</v>
      </c>
      <c r="C83" s="10">
        <v>28.380624581509206</v>
      </c>
      <c r="D83" s="3">
        <v>16</v>
      </c>
    </row>
    <row r="84" spans="1:4" x14ac:dyDescent="0.3">
      <c r="A84">
        <v>39</v>
      </c>
      <c r="B84" s="1">
        <v>34.727272727272727</v>
      </c>
      <c r="C84" s="10">
        <v>39.161769282943546</v>
      </c>
      <c r="D84" s="3">
        <v>22</v>
      </c>
    </row>
    <row r="85" spans="1:4" x14ac:dyDescent="0.3">
      <c r="A85">
        <v>2</v>
      </c>
      <c r="B85" s="1">
        <v>25</v>
      </c>
      <c r="C85" s="10">
        <v>3.9987887854997544</v>
      </c>
      <c r="D85" s="3">
        <v>2</v>
      </c>
    </row>
    <row r="86" spans="1:4" x14ac:dyDescent="0.3">
      <c r="A86">
        <v>86</v>
      </c>
      <c r="B86" s="1">
        <v>25.861111111111111</v>
      </c>
      <c r="C86" s="10">
        <v>66.82089852690612</v>
      </c>
      <c r="D86" s="3">
        <v>36</v>
      </c>
    </row>
    <row r="87" spans="1:4" x14ac:dyDescent="0.3">
      <c r="A87">
        <v>24</v>
      </c>
      <c r="B87" s="1">
        <v>34.545454545454547</v>
      </c>
      <c r="C87" s="10">
        <v>26.246120342436001</v>
      </c>
      <c r="D87" s="3">
        <v>11</v>
      </c>
    </row>
    <row r="88" spans="1:4" x14ac:dyDescent="0.3">
      <c r="A88">
        <v>57</v>
      </c>
      <c r="B88" s="1">
        <v>27.638888888888889</v>
      </c>
      <c r="C88" s="10">
        <v>78.362690533487438</v>
      </c>
      <c r="D88" s="3">
        <v>36</v>
      </c>
    </row>
    <row r="89" spans="1:4" x14ac:dyDescent="0.3">
      <c r="A89">
        <v>43</v>
      </c>
      <c r="B89" s="1">
        <v>34.115384615384613</v>
      </c>
      <c r="C89" s="10">
        <v>41.193578640514183</v>
      </c>
      <c r="D89" s="3">
        <v>26</v>
      </c>
    </row>
    <row r="90" spans="1:4" x14ac:dyDescent="0.3">
      <c r="A90">
        <v>29</v>
      </c>
      <c r="B90" s="1">
        <v>40.357142857142854</v>
      </c>
      <c r="C90" s="10">
        <v>27.334445876949701</v>
      </c>
      <c r="D90" s="3">
        <v>14</v>
      </c>
    </row>
    <row r="91" spans="1:4" x14ac:dyDescent="0.3">
      <c r="A91">
        <v>18</v>
      </c>
      <c r="B91" s="1">
        <v>44</v>
      </c>
      <c r="C91" s="10">
        <v>22.353519446910848</v>
      </c>
      <c r="D91" s="3">
        <v>9</v>
      </c>
    </row>
    <row r="92" spans="1:4" x14ac:dyDescent="0.3">
      <c r="A92">
        <v>17</v>
      </c>
      <c r="B92" s="1">
        <v>41.636363636363633</v>
      </c>
      <c r="C92" s="10">
        <v>20.897978569902726</v>
      </c>
      <c r="D92" s="3">
        <v>11</v>
      </c>
    </row>
    <row r="93" spans="1:4" x14ac:dyDescent="0.3">
      <c r="A93">
        <v>34</v>
      </c>
      <c r="B93" s="1">
        <v>28.80952380952381</v>
      </c>
      <c r="C93" s="10">
        <v>43.242557522644113</v>
      </c>
      <c r="D93" s="3">
        <v>21</v>
      </c>
    </row>
    <row r="94" spans="1:4" x14ac:dyDescent="0.3">
      <c r="A94">
        <v>34</v>
      </c>
      <c r="B94" s="1">
        <v>28.4</v>
      </c>
      <c r="C94" s="10">
        <v>43.038605252492694</v>
      </c>
      <c r="D94" s="3">
        <v>20</v>
      </c>
    </row>
    <row r="95" spans="1:4" x14ac:dyDescent="0.3">
      <c r="A95">
        <v>28</v>
      </c>
      <c r="B95" s="1">
        <v>25.470588235294116</v>
      </c>
      <c r="C95" s="10">
        <v>30.29257618112122</v>
      </c>
      <c r="D95" s="3">
        <v>17</v>
      </c>
    </row>
    <row r="96" spans="1:4" x14ac:dyDescent="0.3">
      <c r="A96">
        <v>51</v>
      </c>
      <c r="B96" s="1">
        <v>29.5</v>
      </c>
      <c r="C96" s="10">
        <v>46.280965456781971</v>
      </c>
      <c r="D96" s="3">
        <v>26</v>
      </c>
    </row>
    <row r="97" spans="1:4" x14ac:dyDescent="0.3">
      <c r="A97">
        <v>22</v>
      </c>
      <c r="B97" s="1">
        <v>41.454545454545453</v>
      </c>
      <c r="C97" s="10">
        <v>16.812068365426729</v>
      </c>
      <c r="D97" s="3">
        <v>11</v>
      </c>
    </row>
    <row r="98" spans="1:4" x14ac:dyDescent="0.3">
      <c r="A98">
        <v>11</v>
      </c>
      <c r="B98" s="1">
        <v>46.666666666666664</v>
      </c>
      <c r="C98" s="10">
        <v>13.897719931108195</v>
      </c>
      <c r="D98" s="3">
        <v>6</v>
      </c>
    </row>
    <row r="99" spans="1:4" x14ac:dyDescent="0.3">
      <c r="A99">
        <v>27</v>
      </c>
      <c r="B99" s="1">
        <v>26</v>
      </c>
      <c r="C99" s="10">
        <v>31.017661388255267</v>
      </c>
      <c r="D99" s="3">
        <v>17</v>
      </c>
    </row>
    <row r="100" spans="1:4" x14ac:dyDescent="0.3">
      <c r="A100">
        <v>27</v>
      </c>
      <c r="B100" s="1">
        <v>38.944444444444443</v>
      </c>
      <c r="C100" s="10">
        <v>32.806791270580213</v>
      </c>
      <c r="D100" s="3">
        <v>18</v>
      </c>
    </row>
    <row r="101" spans="1:4" x14ac:dyDescent="0.3">
      <c r="A101">
        <v>12</v>
      </c>
      <c r="B101" s="1">
        <v>43.111111111111114</v>
      </c>
      <c r="C101" s="10">
        <v>13.360235140983447</v>
      </c>
      <c r="D101" s="3">
        <v>9</v>
      </c>
    </row>
    <row r="102" spans="1:4" x14ac:dyDescent="0.3">
      <c r="A102">
        <v>3</v>
      </c>
      <c r="B102" s="1">
        <v>45.5</v>
      </c>
      <c r="C102" s="10">
        <v>4.1826510319518198</v>
      </c>
      <c r="D102" s="3">
        <v>2</v>
      </c>
    </row>
    <row r="103" spans="1:4" x14ac:dyDescent="0.3">
      <c r="A103">
        <v>24</v>
      </c>
      <c r="B103" s="1">
        <v>41.090909090909093</v>
      </c>
      <c r="C103" s="10">
        <v>15.807733999508457</v>
      </c>
      <c r="D103" s="3">
        <v>11</v>
      </c>
    </row>
    <row r="104" spans="1:4" x14ac:dyDescent="0.3">
      <c r="A104">
        <v>31</v>
      </c>
      <c r="B104" s="1">
        <v>37.842105263157897</v>
      </c>
      <c r="C104" s="10">
        <v>29.532682381158075</v>
      </c>
      <c r="D104" s="3">
        <v>19</v>
      </c>
    </row>
    <row r="105" spans="1:4" x14ac:dyDescent="0.3">
      <c r="A105">
        <v>5</v>
      </c>
      <c r="B105" s="1">
        <v>27.5</v>
      </c>
      <c r="C105" s="10">
        <v>7.6524243892373045</v>
      </c>
      <c r="D105" s="3">
        <v>4</v>
      </c>
    </row>
    <row r="106" spans="1:4" x14ac:dyDescent="0.3">
      <c r="A106">
        <v>27</v>
      </c>
      <c r="B106" s="1">
        <v>36.529411764705884</v>
      </c>
      <c r="C106" s="10">
        <v>41.486536965049545</v>
      </c>
      <c r="D106" s="3">
        <v>17</v>
      </c>
    </row>
    <row r="107" spans="1:4" x14ac:dyDescent="0.3">
      <c r="A107">
        <v>32</v>
      </c>
      <c r="B107" s="1">
        <v>31.9375</v>
      </c>
      <c r="C107" s="10">
        <v>25.563854481781256</v>
      </c>
      <c r="D107" s="3">
        <v>16</v>
      </c>
    </row>
    <row r="108" spans="1:4" x14ac:dyDescent="0.3">
      <c r="A108">
        <v>34</v>
      </c>
      <c r="B108" s="1">
        <v>25.705882352941178</v>
      </c>
      <c r="C108" s="10">
        <v>25.392190187844605</v>
      </c>
      <c r="D108" s="3">
        <v>17</v>
      </c>
    </row>
    <row r="109" spans="1:4" x14ac:dyDescent="0.3">
      <c r="A109">
        <v>18</v>
      </c>
      <c r="B109" s="1">
        <v>32.4</v>
      </c>
      <c r="C109" s="10">
        <v>18.709340286806089</v>
      </c>
      <c r="D109" s="3">
        <v>10</v>
      </c>
    </row>
    <row r="110" spans="1:4" x14ac:dyDescent="0.3">
      <c r="A110">
        <v>16</v>
      </c>
      <c r="B110" s="1">
        <v>34.4</v>
      </c>
      <c r="C110" s="10">
        <v>21.084571391054805</v>
      </c>
      <c r="D110" s="3">
        <v>10</v>
      </c>
    </row>
    <row r="111" spans="1:4" x14ac:dyDescent="0.3">
      <c r="A111">
        <v>45</v>
      </c>
      <c r="B111" s="1">
        <v>35.6</v>
      </c>
      <c r="C111" s="10">
        <v>25.956265020466041</v>
      </c>
      <c r="D111" s="3">
        <v>20</v>
      </c>
    </row>
    <row r="112" spans="1:4" x14ac:dyDescent="0.3">
      <c r="A112">
        <v>59</v>
      </c>
      <c r="B112" s="1">
        <v>26.171428571428571</v>
      </c>
      <c r="C112" s="10">
        <v>79.396382643161999</v>
      </c>
      <c r="D112" s="3">
        <v>35</v>
      </c>
    </row>
    <row r="113" spans="1:4" x14ac:dyDescent="0.3">
      <c r="A113">
        <v>39</v>
      </c>
      <c r="B113" s="1">
        <v>42.055555555555557</v>
      </c>
      <c r="C113" s="10">
        <v>37.865040349621431</v>
      </c>
      <c r="D113" s="3">
        <v>18</v>
      </c>
    </row>
    <row r="114" spans="1:4" x14ac:dyDescent="0.3">
      <c r="A114">
        <v>55</v>
      </c>
      <c r="B114" s="1">
        <v>27.478260869565219</v>
      </c>
      <c r="C114" s="10">
        <v>29.322351653581471</v>
      </c>
      <c r="D114" s="3">
        <v>23</v>
      </c>
    </row>
    <row r="115" spans="1:4" x14ac:dyDescent="0.3">
      <c r="A115">
        <v>27</v>
      </c>
      <c r="B115" s="1">
        <v>45.833333333333336</v>
      </c>
      <c r="C115" s="10">
        <v>24.607754760856114</v>
      </c>
      <c r="D115" s="3">
        <v>18</v>
      </c>
    </row>
    <row r="116" spans="1:4" x14ac:dyDescent="0.3">
      <c r="A116">
        <v>49</v>
      </c>
      <c r="B116" s="1">
        <v>27.333333333333332</v>
      </c>
      <c r="C116" s="10">
        <v>73.06179149949611</v>
      </c>
      <c r="D116" s="3">
        <v>30</v>
      </c>
    </row>
    <row r="117" spans="1:4" x14ac:dyDescent="0.3">
      <c r="A117">
        <v>28</v>
      </c>
      <c r="B117" s="1">
        <v>26.529411764705884</v>
      </c>
      <c r="C117" s="10">
        <v>39.282657012059623</v>
      </c>
      <c r="D117" s="3">
        <v>17</v>
      </c>
    </row>
    <row r="118" spans="1:4" x14ac:dyDescent="0.3">
      <c r="A118">
        <v>5</v>
      </c>
      <c r="B118" s="1">
        <v>46.666666666666664</v>
      </c>
      <c r="C118" s="10">
        <v>6.2999177521775245</v>
      </c>
      <c r="D118" s="3">
        <v>3</v>
      </c>
    </row>
    <row r="119" spans="1:4" x14ac:dyDescent="0.3">
      <c r="A119">
        <v>46</v>
      </c>
      <c r="B119" s="1">
        <v>27.884615384615383</v>
      </c>
      <c r="C119" s="10">
        <v>59.302057994115572</v>
      </c>
      <c r="D119" s="3">
        <v>26</v>
      </c>
    </row>
    <row r="120" spans="1:4" x14ac:dyDescent="0.3">
      <c r="A120">
        <v>50</v>
      </c>
      <c r="B120" s="1">
        <v>43.272727272727273</v>
      </c>
      <c r="C120" s="10">
        <v>51.932600314070164</v>
      </c>
      <c r="D120" s="3">
        <v>22</v>
      </c>
    </row>
    <row r="121" spans="1:4" x14ac:dyDescent="0.3">
      <c r="A121">
        <v>55</v>
      </c>
      <c r="B121" s="1">
        <v>24.62962962962963</v>
      </c>
      <c r="C121" s="10">
        <v>34.880567552141684</v>
      </c>
      <c r="D121" s="3">
        <v>27</v>
      </c>
    </row>
    <row r="122" spans="1:4" x14ac:dyDescent="0.3">
      <c r="A122">
        <v>4</v>
      </c>
      <c r="B122" s="1">
        <v>23.666666666666668</v>
      </c>
      <c r="C122" s="10">
        <v>4.3821539446517841</v>
      </c>
      <c r="D122" s="3">
        <v>3</v>
      </c>
    </row>
    <row r="123" spans="1:4" x14ac:dyDescent="0.3">
      <c r="A123">
        <v>38</v>
      </c>
      <c r="B123" s="1">
        <v>36.05263157894737</v>
      </c>
      <c r="C123" s="10">
        <v>38.915666951330493</v>
      </c>
      <c r="D123" s="3">
        <v>19</v>
      </c>
    </row>
    <row r="124" spans="1:4" x14ac:dyDescent="0.3">
      <c r="A124">
        <v>23</v>
      </c>
      <c r="B124" s="1">
        <v>35.615384615384613</v>
      </c>
      <c r="C124" s="10">
        <v>30.36308219531896</v>
      </c>
      <c r="D124" s="3">
        <v>13</v>
      </c>
    </row>
    <row r="125" spans="1:4" x14ac:dyDescent="0.3">
      <c r="A125">
        <v>13</v>
      </c>
      <c r="B125" s="1">
        <v>43.777777777777779</v>
      </c>
      <c r="C125" s="10">
        <v>14.046514413764893</v>
      </c>
      <c r="D125" s="3">
        <v>9</v>
      </c>
    </row>
    <row r="126" spans="1:4" x14ac:dyDescent="0.3">
      <c r="A126">
        <v>13</v>
      </c>
      <c r="B126" s="1">
        <v>46</v>
      </c>
      <c r="C126" s="10">
        <v>12.649026793237468</v>
      </c>
      <c r="D126" s="3">
        <v>7</v>
      </c>
    </row>
    <row r="127" spans="1:4" x14ac:dyDescent="0.3">
      <c r="A127">
        <v>3</v>
      </c>
      <c r="B127" s="1">
        <v>38</v>
      </c>
      <c r="C127" s="10">
        <v>4.3379976627343417</v>
      </c>
      <c r="D127" s="3">
        <v>3</v>
      </c>
    </row>
    <row r="128" spans="1:4" x14ac:dyDescent="0.3">
      <c r="A128">
        <v>21</v>
      </c>
      <c r="B128" s="1">
        <v>38.529411764705884</v>
      </c>
      <c r="C128" s="10">
        <v>30.482173781988468</v>
      </c>
      <c r="D128" s="3">
        <v>17</v>
      </c>
    </row>
    <row r="129" spans="1:4" x14ac:dyDescent="0.3">
      <c r="A129">
        <v>22</v>
      </c>
      <c r="B129" s="1">
        <v>42.307692307692307</v>
      </c>
      <c r="C129" s="10">
        <v>25.925997937252941</v>
      </c>
      <c r="D129" s="3">
        <v>13</v>
      </c>
    </row>
    <row r="130" spans="1:4" x14ac:dyDescent="0.3">
      <c r="A130">
        <v>46</v>
      </c>
      <c r="B130" s="1">
        <v>29.363636363636363</v>
      </c>
      <c r="C130" s="10">
        <v>54.342717555925582</v>
      </c>
      <c r="D130" s="3">
        <v>22</v>
      </c>
    </row>
    <row r="131" spans="1:4" x14ac:dyDescent="0.3">
      <c r="A131">
        <v>21</v>
      </c>
      <c r="B131" s="1">
        <v>26.53846153846154</v>
      </c>
      <c r="C131" s="10">
        <v>22.898952924043236</v>
      </c>
      <c r="D131" s="3">
        <v>13</v>
      </c>
    </row>
    <row r="132" spans="1:4" x14ac:dyDescent="0.3">
      <c r="A132">
        <v>52</v>
      </c>
      <c r="B132" s="1">
        <v>31.258064516129032</v>
      </c>
      <c r="C132" s="10">
        <v>46.47041015838964</v>
      </c>
      <c r="D132" s="3">
        <v>31</v>
      </c>
    </row>
    <row r="133" spans="1:4" x14ac:dyDescent="0.3">
      <c r="A133">
        <v>40</v>
      </c>
      <c r="B133" s="1">
        <v>30.428571428571427</v>
      </c>
      <c r="C133" s="10">
        <v>42.312463862759124</v>
      </c>
      <c r="D133" s="3">
        <v>21</v>
      </c>
    </row>
    <row r="134" spans="1:4" x14ac:dyDescent="0.3">
      <c r="A134">
        <v>23</v>
      </c>
      <c r="B134" s="1">
        <v>33.666666666666664</v>
      </c>
      <c r="C134" s="10">
        <v>27.095332696682387</v>
      </c>
      <c r="D134" s="3">
        <v>15</v>
      </c>
    </row>
    <row r="135" spans="1:4" x14ac:dyDescent="0.3">
      <c r="A135">
        <v>8</v>
      </c>
      <c r="B135" s="1">
        <v>30</v>
      </c>
      <c r="C135" s="10">
        <v>11.717341234577949</v>
      </c>
      <c r="D135" s="3">
        <v>6</v>
      </c>
    </row>
    <row r="136" spans="1:4" x14ac:dyDescent="0.3">
      <c r="A136">
        <v>12</v>
      </c>
      <c r="B136" s="1">
        <v>27.125</v>
      </c>
      <c r="C136" s="10">
        <v>10.704400851917985</v>
      </c>
      <c r="D136" s="3">
        <v>8</v>
      </c>
    </row>
    <row r="137" spans="1:4" x14ac:dyDescent="0.3">
      <c r="A137">
        <v>58</v>
      </c>
      <c r="B137" s="1">
        <v>30.866666666666667</v>
      </c>
      <c r="C137" s="10">
        <v>48.169741434475583</v>
      </c>
      <c r="D137" s="3">
        <v>30</v>
      </c>
    </row>
    <row r="138" spans="1:4" x14ac:dyDescent="0.3">
      <c r="A138">
        <v>39</v>
      </c>
      <c r="B138" s="1">
        <v>40</v>
      </c>
      <c r="C138" s="10">
        <v>28.75224171465549</v>
      </c>
      <c r="D138" s="3">
        <v>20</v>
      </c>
    </row>
    <row r="139" spans="1:4" x14ac:dyDescent="0.3">
      <c r="A139">
        <v>1</v>
      </c>
      <c r="B139" s="1">
        <v>33</v>
      </c>
      <c r="C139" s="10">
        <v>1.8083044087972584</v>
      </c>
      <c r="D139" s="3">
        <v>1</v>
      </c>
    </row>
    <row r="140" spans="1:4" x14ac:dyDescent="0.3">
      <c r="A140">
        <v>3</v>
      </c>
      <c r="B140" s="1">
        <v>31</v>
      </c>
      <c r="C140" s="10">
        <v>6.1673049629344536</v>
      </c>
      <c r="D140" s="3">
        <v>3</v>
      </c>
    </row>
    <row r="141" spans="1:4" x14ac:dyDescent="0.3">
      <c r="A141">
        <v>28</v>
      </c>
      <c r="B141" s="1">
        <v>42.714285714285715</v>
      </c>
      <c r="C141" s="10">
        <v>21.534860043542363</v>
      </c>
      <c r="D141" s="3">
        <v>14</v>
      </c>
    </row>
    <row r="142" spans="1:4" x14ac:dyDescent="0.3">
      <c r="A142">
        <v>53</v>
      </c>
      <c r="B142" s="1">
        <v>32.200000000000003</v>
      </c>
      <c r="C142" s="10">
        <v>57.767978532979313</v>
      </c>
      <c r="D142" s="3">
        <v>30</v>
      </c>
    </row>
    <row r="143" spans="1:4" x14ac:dyDescent="0.3">
      <c r="A143">
        <v>36</v>
      </c>
      <c r="B143" s="1">
        <v>39.652173913043477</v>
      </c>
      <c r="C143" s="10">
        <v>42.592789560147949</v>
      </c>
      <c r="D143" s="3">
        <v>23</v>
      </c>
    </row>
    <row r="144" spans="1:4" x14ac:dyDescent="0.3">
      <c r="A144">
        <v>24</v>
      </c>
      <c r="B144" s="1">
        <v>24.636363636363637</v>
      </c>
      <c r="C144" s="10">
        <v>24.642372503346483</v>
      </c>
      <c r="D144" s="3">
        <v>11</v>
      </c>
    </row>
    <row r="145" spans="1:4" x14ac:dyDescent="0.3">
      <c r="A145">
        <v>35</v>
      </c>
      <c r="B145" s="1">
        <v>44.571428571428569</v>
      </c>
      <c r="C145" s="10">
        <v>49.029840016644307</v>
      </c>
      <c r="D145" s="3">
        <v>21</v>
      </c>
    </row>
    <row r="146" spans="1:4" x14ac:dyDescent="0.3">
      <c r="A146">
        <v>46</v>
      </c>
      <c r="B146" s="1">
        <v>28.74074074074074</v>
      </c>
      <c r="C146" s="10">
        <v>50.362618129106998</v>
      </c>
      <c r="D146" s="3">
        <v>27</v>
      </c>
    </row>
    <row r="147" spans="1:4" x14ac:dyDescent="0.3">
      <c r="A147">
        <v>14</v>
      </c>
      <c r="B147" s="1">
        <v>43.285714285714285</v>
      </c>
      <c r="C147" s="10">
        <v>9.3398883033188085</v>
      </c>
      <c r="D147" s="3">
        <v>7</v>
      </c>
    </row>
    <row r="148" spans="1:4" x14ac:dyDescent="0.3">
      <c r="A148">
        <v>7</v>
      </c>
      <c r="B148" s="1">
        <v>46.25</v>
      </c>
      <c r="C148" s="10">
        <v>9.4424416826338611</v>
      </c>
      <c r="D148" s="3">
        <v>4</v>
      </c>
    </row>
    <row r="149" spans="1:4" x14ac:dyDescent="0.3">
      <c r="A149">
        <v>39</v>
      </c>
      <c r="B149" s="1">
        <v>39.31818181818182</v>
      </c>
      <c r="C149" s="10">
        <v>42.746577018622723</v>
      </c>
      <c r="D149" s="3">
        <v>22</v>
      </c>
    </row>
    <row r="150" spans="1:4" x14ac:dyDescent="0.3">
      <c r="A150">
        <v>51</v>
      </c>
      <c r="B150" s="1">
        <v>34.592592592592595</v>
      </c>
      <c r="C150" s="10">
        <v>55.571025061120352</v>
      </c>
      <c r="D150" s="3">
        <v>27</v>
      </c>
    </row>
    <row r="151" spans="1:4" x14ac:dyDescent="0.3">
      <c r="A151">
        <v>19</v>
      </c>
      <c r="B151" s="1">
        <v>33.363636363636367</v>
      </c>
      <c r="C151" s="10">
        <v>18.238842584246377</v>
      </c>
      <c r="D151" s="3">
        <v>11</v>
      </c>
    </row>
    <row r="152" spans="1:4" x14ac:dyDescent="0.3">
      <c r="A152">
        <v>10</v>
      </c>
      <c r="B152" s="1">
        <v>43.666666666666664</v>
      </c>
      <c r="C152" s="10">
        <v>10.460458498962762</v>
      </c>
      <c r="D152" s="3">
        <v>6</v>
      </c>
    </row>
    <row r="153" spans="1:4" x14ac:dyDescent="0.3">
      <c r="A153">
        <v>28</v>
      </c>
      <c r="B153" s="1">
        <v>41</v>
      </c>
      <c r="C153" s="10">
        <v>30.068931358869133</v>
      </c>
      <c r="D153" s="3">
        <v>13</v>
      </c>
    </row>
    <row r="154" spans="1:4" x14ac:dyDescent="0.3">
      <c r="A154">
        <v>13</v>
      </c>
      <c r="B154" s="1">
        <v>31.222222222222221</v>
      </c>
      <c r="C154" s="10">
        <v>12.927722429401001</v>
      </c>
      <c r="D154" s="3">
        <v>9</v>
      </c>
    </row>
    <row r="155" spans="1:4" x14ac:dyDescent="0.3">
      <c r="A155">
        <v>10</v>
      </c>
      <c r="B155" s="1">
        <v>40.4</v>
      </c>
      <c r="C155" s="10">
        <v>8.3042273897571857</v>
      </c>
      <c r="D155" s="3">
        <v>5</v>
      </c>
    </row>
    <row r="156" spans="1:4" x14ac:dyDescent="0.3">
      <c r="A156">
        <v>59</v>
      </c>
      <c r="B156" s="1">
        <v>27.266666666666666</v>
      </c>
      <c r="C156" s="10">
        <v>68.233543385481497</v>
      </c>
      <c r="D156" s="3">
        <v>30</v>
      </c>
    </row>
    <row r="157" spans="1:4" x14ac:dyDescent="0.3">
      <c r="A157">
        <v>41</v>
      </c>
      <c r="B157" s="1">
        <v>29.5</v>
      </c>
      <c r="C157" s="10">
        <v>38.934908810125052</v>
      </c>
      <c r="D157" s="3">
        <v>20</v>
      </c>
    </row>
    <row r="158" spans="1:4" x14ac:dyDescent="0.3">
      <c r="A158">
        <v>17</v>
      </c>
      <c r="B158" s="1">
        <v>39</v>
      </c>
      <c r="C158" s="10">
        <v>12.222052355209458</v>
      </c>
      <c r="D158" s="3">
        <v>8</v>
      </c>
    </row>
    <row r="159" spans="1:4" x14ac:dyDescent="0.3">
      <c r="A159">
        <v>13</v>
      </c>
      <c r="B159" s="1">
        <v>44.6</v>
      </c>
      <c r="C159" s="10">
        <v>21.201590432510947</v>
      </c>
      <c r="D159" s="3">
        <v>10</v>
      </c>
    </row>
    <row r="160" spans="1:4" x14ac:dyDescent="0.3">
      <c r="A160">
        <v>15</v>
      </c>
      <c r="B160" s="1">
        <v>39</v>
      </c>
      <c r="C160" s="10">
        <v>24.543354102892113</v>
      </c>
      <c r="D160" s="3">
        <v>10</v>
      </c>
    </row>
    <row r="161" spans="1:4" x14ac:dyDescent="0.3">
      <c r="A161">
        <v>20</v>
      </c>
      <c r="B161" s="1">
        <v>28.307692307692307</v>
      </c>
      <c r="C161" s="10">
        <v>18.002244347356061</v>
      </c>
      <c r="D161" s="3">
        <v>13</v>
      </c>
    </row>
    <row r="162" spans="1:4" x14ac:dyDescent="0.3">
      <c r="A162">
        <v>4</v>
      </c>
      <c r="B162" s="1">
        <v>36.5</v>
      </c>
      <c r="C162" s="10">
        <v>9.0103075814421487</v>
      </c>
      <c r="D162" s="3">
        <v>4</v>
      </c>
    </row>
    <row r="163" spans="1:4" x14ac:dyDescent="0.3">
      <c r="A163">
        <v>24</v>
      </c>
      <c r="B163" s="1">
        <v>28.166666666666668</v>
      </c>
      <c r="C163" s="10">
        <v>22.425606100957918</v>
      </c>
      <c r="D163" s="3">
        <v>12</v>
      </c>
    </row>
    <row r="164" spans="1:4" x14ac:dyDescent="0.3">
      <c r="A164">
        <v>8</v>
      </c>
      <c r="B164" s="1">
        <v>41</v>
      </c>
      <c r="C164" s="10">
        <v>8.4866306115279411</v>
      </c>
      <c r="D164" s="3">
        <v>6</v>
      </c>
    </row>
    <row r="165" spans="1:4" x14ac:dyDescent="0.3">
      <c r="A165">
        <v>8</v>
      </c>
      <c r="B165" s="1">
        <v>34.833333333333336</v>
      </c>
      <c r="C165" s="10">
        <v>8.2355184546778979</v>
      </c>
      <c r="D165" s="3">
        <v>6</v>
      </c>
    </row>
    <row r="166" spans="1:4" x14ac:dyDescent="0.3">
      <c r="A166">
        <v>16</v>
      </c>
      <c r="B166" s="1">
        <v>33.454545454545453</v>
      </c>
      <c r="C166" s="10">
        <v>14.489449301927033</v>
      </c>
      <c r="D166" s="3">
        <v>11</v>
      </c>
    </row>
    <row r="167" spans="1:4" x14ac:dyDescent="0.3">
      <c r="A167">
        <v>51</v>
      </c>
      <c r="B167" s="1">
        <v>30.92</v>
      </c>
      <c r="C167" s="10">
        <v>37.415140740110573</v>
      </c>
      <c r="D167" s="3">
        <v>25</v>
      </c>
    </row>
    <row r="168" spans="1:4" x14ac:dyDescent="0.3">
      <c r="A168">
        <v>15</v>
      </c>
      <c r="B168" s="1">
        <v>45.75</v>
      </c>
      <c r="C168" s="10">
        <v>23.203264546440124</v>
      </c>
      <c r="D168" s="3">
        <v>12</v>
      </c>
    </row>
    <row r="169" spans="1:4" x14ac:dyDescent="0.3">
      <c r="A169">
        <v>47</v>
      </c>
      <c r="B169" s="1">
        <v>36.761904761904759</v>
      </c>
      <c r="C169" s="10">
        <v>49.322824618625837</v>
      </c>
      <c r="D169" s="3">
        <v>21</v>
      </c>
    </row>
    <row r="170" spans="1:4" x14ac:dyDescent="0.3">
      <c r="A170">
        <v>18</v>
      </c>
      <c r="B170" s="1">
        <v>28.1</v>
      </c>
      <c r="C170" s="10">
        <v>22.399296202062718</v>
      </c>
      <c r="D170" s="3">
        <v>10</v>
      </c>
    </row>
    <row r="171" spans="1:4" x14ac:dyDescent="0.3">
      <c r="A171">
        <v>12</v>
      </c>
      <c r="B171" s="1">
        <v>39.142857142857146</v>
      </c>
      <c r="C171" s="10">
        <v>14.339581296638995</v>
      </c>
      <c r="D171" s="3">
        <v>7</v>
      </c>
    </row>
    <row r="172" spans="1:4" x14ac:dyDescent="0.3">
      <c r="A172">
        <v>6</v>
      </c>
      <c r="B172" s="1">
        <v>36.75</v>
      </c>
      <c r="C172" s="10">
        <v>7.9095878884882094</v>
      </c>
      <c r="D172" s="3">
        <v>4</v>
      </c>
    </row>
    <row r="173" spans="1:4" x14ac:dyDescent="0.3">
      <c r="A173">
        <v>17</v>
      </c>
      <c r="B173" s="1">
        <v>41.125</v>
      </c>
      <c r="C173" s="10">
        <v>14.85124275553324</v>
      </c>
      <c r="D173" s="3">
        <v>8</v>
      </c>
    </row>
    <row r="174" spans="1:4" x14ac:dyDescent="0.3">
      <c r="A174">
        <v>27</v>
      </c>
      <c r="B174" s="1">
        <v>39.944444444444443</v>
      </c>
      <c r="C174" s="10">
        <v>25.91609117081234</v>
      </c>
      <c r="D174" s="3">
        <v>18</v>
      </c>
    </row>
    <row r="175" spans="1:4" x14ac:dyDescent="0.3">
      <c r="A175">
        <v>5</v>
      </c>
      <c r="B175" s="1">
        <v>37</v>
      </c>
      <c r="C175" s="10">
        <v>7.0227960537466751</v>
      </c>
      <c r="D175" s="3">
        <v>3</v>
      </c>
    </row>
    <row r="176" spans="1:4" x14ac:dyDescent="0.3">
      <c r="A176">
        <v>28</v>
      </c>
      <c r="B176" s="1">
        <v>35.733333333333334</v>
      </c>
      <c r="C176" s="10">
        <v>37.272525983716179</v>
      </c>
      <c r="D176" s="3">
        <v>15</v>
      </c>
    </row>
    <row r="177" spans="1:4" x14ac:dyDescent="0.3">
      <c r="A177">
        <v>52</v>
      </c>
      <c r="B177" s="1">
        <v>29.071428571428573</v>
      </c>
      <c r="C177" s="10">
        <v>62.055648322349498</v>
      </c>
      <c r="D177" s="3">
        <v>28</v>
      </c>
    </row>
    <row r="178" spans="1:4" x14ac:dyDescent="0.3">
      <c r="A178">
        <v>33</v>
      </c>
      <c r="B178" s="1">
        <v>35.133333333333333</v>
      </c>
      <c r="C178" s="10">
        <v>32.044262904083467</v>
      </c>
      <c r="D178" s="3">
        <v>15</v>
      </c>
    </row>
    <row r="179" spans="1:4" x14ac:dyDescent="0.3">
      <c r="A179">
        <v>19</v>
      </c>
      <c r="B179" s="1">
        <v>24</v>
      </c>
      <c r="C179" s="10">
        <v>27.944807251537863</v>
      </c>
      <c r="D179" s="3">
        <v>12</v>
      </c>
    </row>
    <row r="180" spans="1:4" x14ac:dyDescent="0.3">
      <c r="A180">
        <v>8</v>
      </c>
      <c r="B180" s="1">
        <v>41.2</v>
      </c>
      <c r="C180" s="10">
        <v>11.774313521021323</v>
      </c>
      <c r="D180" s="3">
        <v>5</v>
      </c>
    </row>
    <row r="181" spans="1:4" x14ac:dyDescent="0.3">
      <c r="A181">
        <v>25</v>
      </c>
      <c r="B181" s="1">
        <v>43.8</v>
      </c>
      <c r="C181" s="10">
        <v>23.124398489475983</v>
      </c>
      <c r="D181" s="3">
        <v>15</v>
      </c>
    </row>
    <row r="182" spans="1:4" x14ac:dyDescent="0.3">
      <c r="A182">
        <v>45</v>
      </c>
      <c r="B182" s="1">
        <v>36.72</v>
      </c>
      <c r="C182" s="10">
        <v>42.608179381031441</v>
      </c>
      <c r="D182" s="3">
        <v>25</v>
      </c>
    </row>
    <row r="183" spans="1:4" x14ac:dyDescent="0.3">
      <c r="A183">
        <v>76</v>
      </c>
      <c r="B183" s="1">
        <v>27.027027027027028</v>
      </c>
      <c r="C183" s="10">
        <v>74.239842587263183</v>
      </c>
      <c r="D183" s="3">
        <v>37</v>
      </c>
    </row>
    <row r="184" spans="1:4" x14ac:dyDescent="0.3">
      <c r="A184">
        <v>44</v>
      </c>
      <c r="B184" s="1">
        <v>42.476190476190474</v>
      </c>
      <c r="C184" s="10">
        <v>52.494020165617613</v>
      </c>
      <c r="D184" s="3">
        <v>21</v>
      </c>
    </row>
    <row r="185" spans="1:4" x14ac:dyDescent="0.3">
      <c r="A185">
        <v>48</v>
      </c>
      <c r="B185" s="1">
        <v>35</v>
      </c>
      <c r="C185" s="10">
        <v>35.433736560728178</v>
      </c>
      <c r="D185" s="3">
        <v>24</v>
      </c>
    </row>
    <row r="186" spans="1:4" x14ac:dyDescent="0.3">
      <c r="A186">
        <v>9</v>
      </c>
      <c r="B186" s="1">
        <v>33</v>
      </c>
      <c r="C186" s="10">
        <v>7.6052997580989645</v>
      </c>
      <c r="D186" s="3">
        <v>6</v>
      </c>
    </row>
    <row r="187" spans="1:4" x14ac:dyDescent="0.3">
      <c r="A187">
        <v>39</v>
      </c>
      <c r="B187" s="1">
        <v>36.789473684210527</v>
      </c>
      <c r="C187" s="10">
        <v>41.018887018308114</v>
      </c>
      <c r="D187" s="3">
        <v>19</v>
      </c>
    </row>
    <row r="188" spans="1:4" x14ac:dyDescent="0.3">
      <c r="A188">
        <v>37</v>
      </c>
      <c r="B188" s="1">
        <v>28.217391304347824</v>
      </c>
      <c r="C188" s="10">
        <v>53.288336446172615</v>
      </c>
      <c r="D188" s="3">
        <v>23</v>
      </c>
    </row>
    <row r="189" spans="1:4" x14ac:dyDescent="0.3">
      <c r="A189">
        <v>1</v>
      </c>
      <c r="B189" s="1">
        <v>38</v>
      </c>
      <c r="C189" s="10">
        <v>1.5273208893851042</v>
      </c>
      <c r="D189" s="3">
        <v>1</v>
      </c>
    </row>
    <row r="190" spans="1:4" x14ac:dyDescent="0.3">
      <c r="A190">
        <v>41</v>
      </c>
      <c r="B190" s="1">
        <v>42.05</v>
      </c>
      <c r="C190" s="10">
        <v>30.206908601827195</v>
      </c>
      <c r="D190" s="3">
        <v>20</v>
      </c>
    </row>
    <row r="191" spans="1:4" x14ac:dyDescent="0.3">
      <c r="A191">
        <v>74</v>
      </c>
      <c r="B191" s="1">
        <v>25.72972972972973</v>
      </c>
      <c r="C191" s="10">
        <v>84.031689058927654</v>
      </c>
      <c r="D191" s="3">
        <v>37</v>
      </c>
    </row>
    <row r="192" spans="1:4" x14ac:dyDescent="0.3">
      <c r="A192">
        <v>25</v>
      </c>
      <c r="B192" s="1">
        <v>44.142857142857146</v>
      </c>
      <c r="C192" s="10">
        <v>23.478106703804528</v>
      </c>
      <c r="D192" s="3">
        <v>14</v>
      </c>
    </row>
    <row r="193" spans="1:4" x14ac:dyDescent="0.3">
      <c r="A193">
        <v>15</v>
      </c>
      <c r="B193" s="1">
        <v>31.363636363636363</v>
      </c>
      <c r="C193" s="10">
        <v>19.072694142467832</v>
      </c>
      <c r="D193" s="3">
        <v>11</v>
      </c>
    </row>
    <row r="194" spans="1:4" x14ac:dyDescent="0.3">
      <c r="A194">
        <v>35</v>
      </c>
      <c r="B194" s="1">
        <v>25.684210526315791</v>
      </c>
      <c r="C194" s="10">
        <v>29.680889304088495</v>
      </c>
      <c r="D194" s="3">
        <v>19</v>
      </c>
    </row>
    <row r="195" spans="1:4" x14ac:dyDescent="0.3">
      <c r="A195">
        <v>1</v>
      </c>
      <c r="B195" s="1">
        <v>49</v>
      </c>
      <c r="C195" s="10">
        <v>2.2150505049358009</v>
      </c>
      <c r="D195" s="3">
        <v>1</v>
      </c>
    </row>
    <row r="196" spans="1:4" x14ac:dyDescent="0.3">
      <c r="A196">
        <v>24</v>
      </c>
      <c r="B196" s="1">
        <v>27.1875</v>
      </c>
      <c r="C196" s="10">
        <v>23.998655566369553</v>
      </c>
      <c r="D196" s="3">
        <v>16</v>
      </c>
    </row>
    <row r="197" spans="1:4" x14ac:dyDescent="0.3">
      <c r="A197">
        <v>4</v>
      </c>
      <c r="B197" s="1">
        <v>31.5</v>
      </c>
      <c r="C197" s="10">
        <v>4.1778361118640461</v>
      </c>
      <c r="D197" s="3">
        <v>2</v>
      </c>
    </row>
    <row r="198" spans="1:4" x14ac:dyDescent="0.3">
      <c r="A198">
        <v>27</v>
      </c>
      <c r="B198" s="1">
        <v>41.307692307692307</v>
      </c>
      <c r="C198" s="10">
        <v>23.639992746325383</v>
      </c>
      <c r="D198" s="3">
        <v>13</v>
      </c>
    </row>
    <row r="199" spans="1:4" x14ac:dyDescent="0.3">
      <c r="A199">
        <v>47</v>
      </c>
      <c r="B199" s="1">
        <v>32.862068965517238</v>
      </c>
      <c r="C199" s="10">
        <v>71.953724715168278</v>
      </c>
      <c r="D199" s="3">
        <v>29</v>
      </c>
    </row>
    <row r="200" spans="1:4" x14ac:dyDescent="0.3">
      <c r="A200">
        <v>47</v>
      </c>
      <c r="B200" s="1">
        <v>32.333333333333336</v>
      </c>
      <c r="C200" s="10">
        <v>44.808168793688331</v>
      </c>
      <c r="D200" s="3">
        <v>21</v>
      </c>
    </row>
    <row r="201" spans="1:4" x14ac:dyDescent="0.3">
      <c r="A201">
        <v>7</v>
      </c>
      <c r="B201" s="1">
        <v>35</v>
      </c>
      <c r="C201" s="10">
        <v>7.3417791939110995</v>
      </c>
      <c r="D201" s="3">
        <v>4</v>
      </c>
    </row>
    <row r="202" spans="1:4" x14ac:dyDescent="0.3">
      <c r="A202">
        <v>2</v>
      </c>
      <c r="B202" s="1">
        <v>23</v>
      </c>
      <c r="C202" s="10">
        <v>1.3567687298057007</v>
      </c>
      <c r="D202" s="3">
        <v>1</v>
      </c>
    </row>
    <row r="203" spans="1:4" x14ac:dyDescent="0.3">
      <c r="A203">
        <v>35</v>
      </c>
      <c r="B203" s="1">
        <v>43.222222222222221</v>
      </c>
      <c r="C203" s="10">
        <v>35.037189265851246</v>
      </c>
      <c r="D203" s="3">
        <v>18</v>
      </c>
    </row>
    <row r="204" spans="1:4" x14ac:dyDescent="0.3">
      <c r="A204">
        <v>28</v>
      </c>
      <c r="B204" s="1">
        <v>40.294117647058826</v>
      </c>
      <c r="C204" s="10">
        <v>24.522769268643351</v>
      </c>
      <c r="D204" s="3">
        <v>17</v>
      </c>
    </row>
    <row r="205" spans="1:4" x14ac:dyDescent="0.3">
      <c r="A205">
        <v>5</v>
      </c>
      <c r="B205" s="1">
        <v>36.75</v>
      </c>
      <c r="C205" s="10">
        <v>5.4913641039620478</v>
      </c>
      <c r="D205" s="3">
        <v>4</v>
      </c>
    </row>
    <row r="206" spans="1:4" x14ac:dyDescent="0.3">
      <c r="A206">
        <v>29</v>
      </c>
      <c r="B206" s="1">
        <v>36.25</v>
      </c>
      <c r="C206" s="10">
        <v>21.543576736995668</v>
      </c>
      <c r="D206" s="3">
        <v>16</v>
      </c>
    </row>
    <row r="207" spans="1:4" x14ac:dyDescent="0.3">
      <c r="A207">
        <v>24</v>
      </c>
      <c r="B207" s="1">
        <v>37.352941176470587</v>
      </c>
      <c r="C207" s="10">
        <v>29.322719164582704</v>
      </c>
      <c r="D207" s="3">
        <v>17</v>
      </c>
    </row>
    <row r="208" spans="1:4" x14ac:dyDescent="0.3">
      <c r="A208">
        <v>47</v>
      </c>
      <c r="B208" s="1">
        <v>41.75</v>
      </c>
      <c r="C208" s="10">
        <v>48.40654246580538</v>
      </c>
      <c r="D208" s="3">
        <v>20</v>
      </c>
    </row>
    <row r="209" spans="1:4" x14ac:dyDescent="0.3">
      <c r="A209">
        <v>2</v>
      </c>
      <c r="B209" s="1">
        <v>28</v>
      </c>
      <c r="C209" s="10">
        <v>4.6917534818660132</v>
      </c>
      <c r="D209" s="3">
        <v>2</v>
      </c>
    </row>
    <row r="210" spans="1:4" x14ac:dyDescent="0.3">
      <c r="A210">
        <v>6</v>
      </c>
      <c r="B210" s="1">
        <v>42.8</v>
      </c>
      <c r="C210" s="10">
        <v>9.1204636766705391</v>
      </c>
      <c r="D210" s="3">
        <v>5</v>
      </c>
    </row>
    <row r="211" spans="1:4" x14ac:dyDescent="0.3">
      <c r="A211">
        <v>41</v>
      </c>
      <c r="B211" s="1">
        <v>33.65</v>
      </c>
      <c r="C211" s="10">
        <v>31.685771429969339</v>
      </c>
      <c r="D211" s="3">
        <v>20</v>
      </c>
    </row>
    <row r="212" spans="1:4" x14ac:dyDescent="0.3">
      <c r="A212">
        <v>48</v>
      </c>
      <c r="B212" s="1">
        <v>34.482758620689658</v>
      </c>
      <c r="C212" s="10">
        <v>58.128076701844947</v>
      </c>
      <c r="D212" s="3">
        <v>29</v>
      </c>
    </row>
    <row r="213" spans="1:4" x14ac:dyDescent="0.3">
      <c r="A213">
        <v>10</v>
      </c>
      <c r="B213" s="1">
        <v>36.6</v>
      </c>
      <c r="C213" s="10">
        <v>10.490350769030508</v>
      </c>
      <c r="D213" s="3">
        <v>5</v>
      </c>
    </row>
    <row r="214" spans="1:4" x14ac:dyDescent="0.3">
      <c r="A214">
        <v>11</v>
      </c>
      <c r="B214" s="1">
        <v>36.142857142857146</v>
      </c>
      <c r="C214" s="10">
        <v>16.737394756447969</v>
      </c>
      <c r="D214" s="3">
        <v>7</v>
      </c>
    </row>
    <row r="215" spans="1:4" x14ac:dyDescent="0.3">
      <c r="A215">
        <v>68</v>
      </c>
      <c r="B215" s="1">
        <v>29</v>
      </c>
      <c r="C215" s="10">
        <v>73.365854603972878</v>
      </c>
      <c r="D215" s="3">
        <v>33</v>
      </c>
    </row>
    <row r="216" spans="1:4" x14ac:dyDescent="0.3">
      <c r="A216">
        <v>16</v>
      </c>
      <c r="B216" s="1">
        <v>27.5</v>
      </c>
      <c r="C216" s="10">
        <v>16.368487693304012</v>
      </c>
      <c r="D216" s="3">
        <v>12</v>
      </c>
    </row>
    <row r="217" spans="1:4" x14ac:dyDescent="0.3">
      <c r="A217">
        <v>15</v>
      </c>
      <c r="B217" s="1">
        <v>32</v>
      </c>
      <c r="C217" s="10">
        <v>11.192537203145465</v>
      </c>
      <c r="D217" s="3">
        <v>7</v>
      </c>
    </row>
    <row r="218" spans="1:4" x14ac:dyDescent="0.3">
      <c r="A218">
        <v>51</v>
      </c>
      <c r="B218" s="1">
        <v>30.916666666666668</v>
      </c>
      <c r="C218" s="10">
        <v>52.376303903952198</v>
      </c>
      <c r="D218" s="3">
        <v>24</v>
      </c>
    </row>
    <row r="219" spans="1:4" x14ac:dyDescent="0.3">
      <c r="A219">
        <v>56</v>
      </c>
      <c r="B219" s="1">
        <v>26.222222222222221</v>
      </c>
      <c r="C219" s="10">
        <v>62.984395637990822</v>
      </c>
      <c r="D219" s="3">
        <v>27</v>
      </c>
    </row>
    <row r="220" spans="1:4" x14ac:dyDescent="0.3">
      <c r="A220">
        <v>15</v>
      </c>
      <c r="B220" s="1">
        <v>25.3</v>
      </c>
      <c r="C220" s="10">
        <v>16.342839766267044</v>
      </c>
      <c r="D220" s="3">
        <v>10</v>
      </c>
    </row>
    <row r="221" spans="1:4" x14ac:dyDescent="0.3">
      <c r="A221">
        <v>35</v>
      </c>
      <c r="B221" s="1">
        <v>34.25</v>
      </c>
      <c r="C221" s="10">
        <v>24.189012160559614</v>
      </c>
      <c r="D221" s="3">
        <v>16</v>
      </c>
    </row>
    <row r="222" spans="1:4" x14ac:dyDescent="0.3">
      <c r="A222">
        <v>20</v>
      </c>
      <c r="B222" s="1">
        <v>27.466666666666665</v>
      </c>
      <c r="C222" s="10">
        <v>25.081010493901871</v>
      </c>
      <c r="D222" s="3">
        <v>15</v>
      </c>
    </row>
    <row r="223" spans="1:4" x14ac:dyDescent="0.3">
      <c r="A223">
        <v>35</v>
      </c>
      <c r="B223" s="1">
        <v>40.4</v>
      </c>
      <c r="C223" s="10">
        <v>37.707680386345309</v>
      </c>
      <c r="D223" s="3">
        <v>20</v>
      </c>
    </row>
    <row r="224" spans="1:4" x14ac:dyDescent="0.3">
      <c r="A224">
        <v>15</v>
      </c>
      <c r="B224" s="1">
        <v>36.888888888888886</v>
      </c>
      <c r="C224" s="10">
        <v>14.004814078326437</v>
      </c>
      <c r="D224" s="3">
        <v>9</v>
      </c>
    </row>
    <row r="225" spans="1:4" x14ac:dyDescent="0.3">
      <c r="A225">
        <v>13</v>
      </c>
      <c r="B225" s="1">
        <v>42.1</v>
      </c>
      <c r="C225" s="10">
        <v>23.282541354937809</v>
      </c>
      <c r="D225" s="3">
        <v>10</v>
      </c>
    </row>
    <row r="226" spans="1:4" x14ac:dyDescent="0.3">
      <c r="A226">
        <v>34</v>
      </c>
      <c r="B226" s="1">
        <v>27.529411764705884</v>
      </c>
      <c r="C226" s="10">
        <v>36.607624005546207</v>
      </c>
      <c r="D226" s="3">
        <v>17</v>
      </c>
    </row>
    <row r="227" spans="1:4" x14ac:dyDescent="0.3">
      <c r="A227">
        <v>21</v>
      </c>
      <c r="B227" s="1">
        <v>39</v>
      </c>
      <c r="C227" s="10">
        <v>21.906124229468496</v>
      </c>
      <c r="D227" s="3">
        <v>14</v>
      </c>
    </row>
    <row r="228" spans="1:4" x14ac:dyDescent="0.3">
      <c r="A228">
        <v>25</v>
      </c>
      <c r="B228" s="1">
        <v>40.615384615384613</v>
      </c>
      <c r="C228" s="10">
        <v>29.699542746370106</v>
      </c>
      <c r="D228" s="3">
        <v>13</v>
      </c>
    </row>
    <row r="229" spans="1:4" x14ac:dyDescent="0.3">
      <c r="A229">
        <v>52</v>
      </c>
      <c r="B229" s="1">
        <v>32.033333333333331</v>
      </c>
      <c r="C229" s="10">
        <v>66.197677019894911</v>
      </c>
      <c r="D229" s="3">
        <v>30</v>
      </c>
    </row>
    <row r="230" spans="1:4" x14ac:dyDescent="0.3">
      <c r="A230">
        <v>28</v>
      </c>
      <c r="B230" s="1">
        <v>39.692307692307693</v>
      </c>
      <c r="C230" s="10">
        <v>26.038486674996477</v>
      </c>
      <c r="D230" s="3">
        <v>13</v>
      </c>
    </row>
    <row r="231" spans="1:4" x14ac:dyDescent="0.3">
      <c r="A231">
        <v>59</v>
      </c>
      <c r="B231" s="1">
        <v>31.793103448275861</v>
      </c>
      <c r="C231" s="10">
        <v>71.92126481411546</v>
      </c>
      <c r="D231" s="3">
        <v>29</v>
      </c>
    </row>
    <row r="232" spans="1:4" x14ac:dyDescent="0.3">
      <c r="A232">
        <v>9</v>
      </c>
      <c r="B232" s="1">
        <v>34.6</v>
      </c>
      <c r="C232" s="10">
        <v>8.8504825871995063</v>
      </c>
      <c r="D232" s="3">
        <v>5</v>
      </c>
    </row>
    <row r="233" spans="1:4" x14ac:dyDescent="0.3">
      <c r="A233">
        <v>10</v>
      </c>
      <c r="B233" s="1">
        <v>41.833333333333336</v>
      </c>
      <c r="C233" s="10">
        <v>11.626780516262375</v>
      </c>
      <c r="D233" s="3">
        <v>6</v>
      </c>
    </row>
    <row r="234" spans="1:4" x14ac:dyDescent="0.3">
      <c r="A234">
        <v>51</v>
      </c>
      <c r="B234" s="1">
        <v>41.541666666666664</v>
      </c>
      <c r="C234" s="10">
        <v>45.830343135972306</v>
      </c>
      <c r="D234" s="3">
        <v>24</v>
      </c>
    </row>
    <row r="235" spans="1:4" x14ac:dyDescent="0.3">
      <c r="A235">
        <v>3</v>
      </c>
      <c r="B235" s="1">
        <v>35</v>
      </c>
      <c r="C235" s="10">
        <v>3.9715928835545853</v>
      </c>
      <c r="D235" s="3">
        <v>2</v>
      </c>
    </row>
    <row r="236" spans="1:4" x14ac:dyDescent="0.3">
      <c r="A236">
        <v>63</v>
      </c>
      <c r="B236" s="1">
        <v>34.555555555555557</v>
      </c>
      <c r="C236" s="10">
        <v>43.18678837943478</v>
      </c>
      <c r="D236" s="3">
        <v>27</v>
      </c>
    </row>
    <row r="237" spans="1:4" x14ac:dyDescent="0.3">
      <c r="A237">
        <v>72</v>
      </c>
      <c r="B237" s="1">
        <v>26.875</v>
      </c>
      <c r="C237" s="10">
        <v>53.836826432970319</v>
      </c>
      <c r="D237" s="3">
        <v>32</v>
      </c>
    </row>
    <row r="238" spans="1:4" x14ac:dyDescent="0.3">
      <c r="A238">
        <v>21</v>
      </c>
      <c r="B238" s="1">
        <v>33.299999999999997</v>
      </c>
      <c r="C238" s="10">
        <v>12.872378868158762</v>
      </c>
      <c r="D238" s="3">
        <v>10</v>
      </c>
    </row>
    <row r="239" spans="1:4" x14ac:dyDescent="0.3">
      <c r="A239">
        <v>51</v>
      </c>
      <c r="B239" s="1">
        <v>30.857142857142858</v>
      </c>
      <c r="C239" s="10">
        <v>53.318303025507049</v>
      </c>
      <c r="D239" s="3">
        <v>28</v>
      </c>
    </row>
    <row r="240" spans="1:4" x14ac:dyDescent="0.3">
      <c r="A240">
        <v>36</v>
      </c>
      <c r="B240" s="1">
        <v>41.470588235294116</v>
      </c>
      <c r="C240" s="10">
        <v>37.841304565519749</v>
      </c>
      <c r="D240" s="3">
        <v>17</v>
      </c>
    </row>
    <row r="241" spans="1:4" x14ac:dyDescent="0.3">
      <c r="A241">
        <v>22</v>
      </c>
      <c r="B241" s="1">
        <v>31.454545454545453</v>
      </c>
      <c r="C241" s="10">
        <v>25.635819894948824</v>
      </c>
      <c r="D241" s="3">
        <v>11</v>
      </c>
    </row>
    <row r="242" spans="1:4" x14ac:dyDescent="0.3">
      <c r="A242">
        <v>25</v>
      </c>
      <c r="B242" s="1">
        <v>35.5</v>
      </c>
      <c r="C242" s="10">
        <v>23.130196919976136</v>
      </c>
      <c r="D242" s="3">
        <v>16</v>
      </c>
    </row>
    <row r="243" spans="1:4" x14ac:dyDescent="0.3">
      <c r="A243">
        <v>19</v>
      </c>
      <c r="B243" s="1">
        <v>33.700000000000003</v>
      </c>
      <c r="C243" s="10">
        <v>18.408596968597909</v>
      </c>
      <c r="D243" s="3">
        <v>10</v>
      </c>
    </row>
    <row r="244" spans="1:4" x14ac:dyDescent="0.3">
      <c r="A244">
        <v>19</v>
      </c>
      <c r="B244" s="1">
        <v>41.733333333333334</v>
      </c>
      <c r="C244" s="10">
        <v>28.465934882808245</v>
      </c>
      <c r="D244" s="3">
        <v>15</v>
      </c>
    </row>
    <row r="245" spans="1:4" x14ac:dyDescent="0.3">
      <c r="A245">
        <v>17</v>
      </c>
      <c r="B245" s="1">
        <v>29.375</v>
      </c>
      <c r="C245" s="10">
        <v>19.439697378204524</v>
      </c>
      <c r="D245" s="3">
        <v>8</v>
      </c>
    </row>
    <row r="246" spans="1:4" x14ac:dyDescent="0.3">
      <c r="A246">
        <v>9</v>
      </c>
      <c r="B246" s="1">
        <v>24.2</v>
      </c>
      <c r="C246" s="10">
        <v>9.7711851778675314</v>
      </c>
      <c r="D246" s="3">
        <v>5</v>
      </c>
    </row>
    <row r="247" spans="1:4" x14ac:dyDescent="0.3">
      <c r="A247">
        <v>25</v>
      </c>
      <c r="B247" s="1">
        <v>31.846153846153847</v>
      </c>
      <c r="C247" s="10">
        <v>21.723909476606821</v>
      </c>
      <c r="D247" s="3">
        <v>13</v>
      </c>
    </row>
    <row r="248" spans="1:4" x14ac:dyDescent="0.3">
      <c r="A248">
        <v>23</v>
      </c>
      <c r="B248" s="1">
        <v>45.8125</v>
      </c>
      <c r="C248" s="10">
        <v>29.285819084490718</v>
      </c>
      <c r="D248" s="3">
        <v>16</v>
      </c>
    </row>
    <row r="249" spans="1:4" x14ac:dyDescent="0.3">
      <c r="A249">
        <v>49</v>
      </c>
      <c r="B249" s="1">
        <v>36.80952380952381</v>
      </c>
      <c r="C249" s="10">
        <v>45.385652927696206</v>
      </c>
      <c r="D249" s="3">
        <v>21</v>
      </c>
    </row>
    <row r="250" spans="1:4" x14ac:dyDescent="0.3">
      <c r="A250">
        <v>22</v>
      </c>
      <c r="B250" s="1">
        <v>27.4</v>
      </c>
      <c r="C250" s="10">
        <v>21.672116277826259</v>
      </c>
      <c r="D250" s="3">
        <v>15</v>
      </c>
    </row>
    <row r="251" spans="1:4" x14ac:dyDescent="0.3">
      <c r="A251">
        <v>27</v>
      </c>
      <c r="B251" s="1">
        <v>38.733333333333334</v>
      </c>
      <c r="C251" s="10">
        <v>23.730298350073568</v>
      </c>
      <c r="D251" s="3">
        <v>15</v>
      </c>
    </row>
    <row r="252" spans="1:4" x14ac:dyDescent="0.3">
      <c r="A252">
        <v>7</v>
      </c>
      <c r="B252" s="1">
        <v>46.2</v>
      </c>
      <c r="C252" s="10">
        <v>7.5080199782127712</v>
      </c>
      <c r="D252" s="3">
        <v>5</v>
      </c>
    </row>
    <row r="253" spans="1:4" x14ac:dyDescent="0.3">
      <c r="A253">
        <v>47</v>
      </c>
      <c r="B253" s="1">
        <v>38.72</v>
      </c>
      <c r="C253" s="10">
        <v>55.543519799982555</v>
      </c>
      <c r="D253" s="3">
        <v>25</v>
      </c>
    </row>
    <row r="254" spans="1:4" x14ac:dyDescent="0.3">
      <c r="A254">
        <v>1</v>
      </c>
      <c r="B254" s="1">
        <v>44</v>
      </c>
      <c r="C254" s="10">
        <v>1.9794162986856401</v>
      </c>
      <c r="D254" s="3">
        <v>1</v>
      </c>
    </row>
    <row r="255" spans="1:4" x14ac:dyDescent="0.3">
      <c r="A255">
        <v>9</v>
      </c>
      <c r="B255" s="1">
        <v>44.857142857142854</v>
      </c>
      <c r="C255" s="10">
        <v>10.258983426598006</v>
      </c>
      <c r="D255" s="3">
        <v>7</v>
      </c>
    </row>
    <row r="256" spans="1:4" x14ac:dyDescent="0.3">
      <c r="A256">
        <v>47</v>
      </c>
      <c r="B256" s="1">
        <v>38.666666666666664</v>
      </c>
      <c r="C256" s="10">
        <v>57.969700491775519</v>
      </c>
      <c r="D256" s="3">
        <v>24</v>
      </c>
    </row>
    <row r="257" spans="1:4" x14ac:dyDescent="0.3">
      <c r="A257">
        <v>14</v>
      </c>
      <c r="B257" s="1">
        <v>35.555555555555557</v>
      </c>
      <c r="C257" s="10">
        <v>15.891520215110237</v>
      </c>
      <c r="D257" s="3">
        <v>9</v>
      </c>
    </row>
    <row r="258" spans="1:4" x14ac:dyDescent="0.3">
      <c r="A258">
        <v>34</v>
      </c>
      <c r="B258" s="1">
        <v>40.333333333333336</v>
      </c>
      <c r="C258" s="10">
        <v>42.781594956621277</v>
      </c>
      <c r="D258" s="3">
        <v>21</v>
      </c>
    </row>
    <row r="259" spans="1:4" x14ac:dyDescent="0.3">
      <c r="A259">
        <v>57</v>
      </c>
      <c r="B259" s="1">
        <v>25.416666666666668</v>
      </c>
      <c r="C259" s="10">
        <v>52.121109803608178</v>
      </c>
      <c r="D259" s="3">
        <v>24</v>
      </c>
    </row>
    <row r="260" spans="1:4" x14ac:dyDescent="0.3">
      <c r="A260">
        <v>39</v>
      </c>
      <c r="B260" s="1">
        <v>25.4</v>
      </c>
      <c r="C260" s="10">
        <v>28.10134672178124</v>
      </c>
      <c r="D260" s="3">
        <v>20</v>
      </c>
    </row>
    <row r="261" spans="1:4" x14ac:dyDescent="0.3">
      <c r="A261">
        <v>24</v>
      </c>
      <c r="B261" s="1">
        <v>36.363636363636367</v>
      </c>
      <c r="C261" s="10">
        <v>21.364441528944049</v>
      </c>
      <c r="D261" s="3">
        <v>11</v>
      </c>
    </row>
    <row r="262" spans="1:4" x14ac:dyDescent="0.3">
      <c r="A262">
        <v>2</v>
      </c>
      <c r="B262" s="1">
        <v>66</v>
      </c>
      <c r="C262" s="10">
        <v>2.0023912271571658</v>
      </c>
      <c r="D262" s="3">
        <v>1</v>
      </c>
    </row>
    <row r="263" spans="1:4" x14ac:dyDescent="0.3">
      <c r="A263">
        <v>19</v>
      </c>
      <c r="B263" s="1">
        <v>36.454545454545453</v>
      </c>
      <c r="C263" s="10">
        <v>22.869392316745348</v>
      </c>
      <c r="D263" s="3">
        <v>11</v>
      </c>
    </row>
    <row r="264" spans="1:4" x14ac:dyDescent="0.3">
      <c r="A264">
        <v>9</v>
      </c>
      <c r="B264" s="1">
        <v>42.5</v>
      </c>
      <c r="C264" s="10">
        <v>13.12856092071635</v>
      </c>
      <c r="D264" s="3">
        <v>6</v>
      </c>
    </row>
    <row r="265" spans="1:4" x14ac:dyDescent="0.3">
      <c r="A265">
        <v>3</v>
      </c>
      <c r="B265" s="1">
        <v>40.5</v>
      </c>
      <c r="C265" s="10">
        <v>4.9579297084721121</v>
      </c>
      <c r="D265" s="3">
        <v>2</v>
      </c>
    </row>
    <row r="266" spans="1:4" x14ac:dyDescent="0.3">
      <c r="A266">
        <v>22</v>
      </c>
      <c r="B266" s="1">
        <v>43.611111111111114</v>
      </c>
      <c r="C266" s="10">
        <v>43.44679833800182</v>
      </c>
      <c r="D266" s="3">
        <v>18</v>
      </c>
    </row>
    <row r="267" spans="1:4" x14ac:dyDescent="0.3">
      <c r="A267">
        <v>3</v>
      </c>
      <c r="B267" s="1">
        <v>31.5</v>
      </c>
      <c r="C267" s="10">
        <v>3.4974779316989322</v>
      </c>
      <c r="D267" s="3">
        <v>2</v>
      </c>
    </row>
    <row r="268" spans="1:4" x14ac:dyDescent="0.3">
      <c r="A268">
        <v>37</v>
      </c>
      <c r="B268" s="1">
        <v>32.94736842105263</v>
      </c>
      <c r="C268" s="10">
        <v>27.767546019272586</v>
      </c>
      <c r="D268" s="3">
        <v>19</v>
      </c>
    </row>
    <row r="269" spans="1:4" x14ac:dyDescent="0.3">
      <c r="A269">
        <v>24</v>
      </c>
      <c r="B269" s="1">
        <v>28.75</v>
      </c>
      <c r="C269" s="10">
        <v>22.142077405534501</v>
      </c>
      <c r="D269" s="3">
        <v>12</v>
      </c>
    </row>
    <row r="270" spans="1:4" x14ac:dyDescent="0.3">
      <c r="A270">
        <v>2</v>
      </c>
      <c r="B270" s="1">
        <v>29</v>
      </c>
      <c r="C270" s="10">
        <v>1.6755118791657087</v>
      </c>
      <c r="D270" s="3">
        <v>1</v>
      </c>
    </row>
    <row r="271" spans="1:4" x14ac:dyDescent="0.3">
      <c r="A271">
        <v>16</v>
      </c>
      <c r="B271" s="1">
        <v>29.666666666666668</v>
      </c>
      <c r="C271" s="10">
        <v>17.158889526373326</v>
      </c>
      <c r="D271" s="3">
        <v>9</v>
      </c>
    </row>
    <row r="272" spans="1:4" x14ac:dyDescent="0.3">
      <c r="A272">
        <v>20</v>
      </c>
      <c r="B272" s="1">
        <v>28.181818181818183</v>
      </c>
      <c r="C272" s="10">
        <v>24.061918136125527</v>
      </c>
      <c r="D272" s="3">
        <v>11</v>
      </c>
    </row>
    <row r="273" spans="1:4" x14ac:dyDescent="0.3">
      <c r="A273">
        <v>66</v>
      </c>
      <c r="B273" s="1">
        <v>26.03448275862069</v>
      </c>
      <c r="C273" s="10">
        <v>40.588115104490498</v>
      </c>
      <c r="D273" s="3">
        <v>29</v>
      </c>
    </row>
    <row r="274" spans="1:4" x14ac:dyDescent="0.3">
      <c r="A274">
        <v>27</v>
      </c>
      <c r="B274" s="1">
        <v>41.421052631578945</v>
      </c>
      <c r="C274" s="10">
        <v>29.076317940112489</v>
      </c>
      <c r="D274" s="3">
        <v>19</v>
      </c>
    </row>
    <row r="275" spans="1:4" x14ac:dyDescent="0.3">
      <c r="A275">
        <v>38</v>
      </c>
      <c r="B275" s="1">
        <v>36.157894736842103</v>
      </c>
      <c r="C275" s="10">
        <v>37.909314093413954</v>
      </c>
      <c r="D275" s="3">
        <v>19</v>
      </c>
    </row>
    <row r="276" spans="1:4" x14ac:dyDescent="0.3">
      <c r="A276">
        <v>48</v>
      </c>
      <c r="B276" s="1">
        <v>30.636363636363637</v>
      </c>
      <c r="C276" s="10">
        <v>29.027139583991751</v>
      </c>
      <c r="D276" s="3">
        <v>22</v>
      </c>
    </row>
    <row r="277" spans="1:4" x14ac:dyDescent="0.3">
      <c r="A277">
        <v>12</v>
      </c>
      <c r="B277" s="1">
        <v>42.625</v>
      </c>
      <c r="C277" s="10">
        <v>16.007175965931236</v>
      </c>
      <c r="D277" s="3">
        <v>8</v>
      </c>
    </row>
    <row r="278" spans="1:4" x14ac:dyDescent="0.3">
      <c r="A278">
        <v>26</v>
      </c>
      <c r="B278" s="1">
        <v>26.166666666666668</v>
      </c>
      <c r="C278" s="10">
        <v>30.351621744893677</v>
      </c>
      <c r="D278" s="3">
        <v>18</v>
      </c>
    </row>
    <row r="279" spans="1:4" x14ac:dyDescent="0.3">
      <c r="A279">
        <v>27</v>
      </c>
      <c r="B279" s="1">
        <v>27.352941176470587</v>
      </c>
      <c r="C279" s="10">
        <v>38.540007393314596</v>
      </c>
      <c r="D279" s="3">
        <v>17</v>
      </c>
    </row>
    <row r="280" spans="1:4" x14ac:dyDescent="0.3">
      <c r="A280">
        <v>25</v>
      </c>
      <c r="B280" s="1">
        <v>32.125</v>
      </c>
      <c r="C280" s="10">
        <v>34.095717485315632</v>
      </c>
      <c r="D280" s="3">
        <v>16</v>
      </c>
    </row>
    <row r="281" spans="1:4" x14ac:dyDescent="0.3">
      <c r="A281">
        <v>18</v>
      </c>
      <c r="B281" s="1">
        <v>42.75</v>
      </c>
      <c r="C281" s="10">
        <v>24.522913668469471</v>
      </c>
      <c r="D281" s="3">
        <v>12</v>
      </c>
    </row>
    <row r="282" spans="1:4" x14ac:dyDescent="0.3">
      <c r="A282">
        <v>56</v>
      </c>
      <c r="B282" s="1">
        <v>30.923076923076923</v>
      </c>
      <c r="C282" s="10">
        <v>50.052254044486908</v>
      </c>
      <c r="D282" s="3">
        <v>26</v>
      </c>
    </row>
    <row r="283" spans="1:4" x14ac:dyDescent="0.3">
      <c r="A283">
        <v>72</v>
      </c>
      <c r="B283" s="1">
        <v>27.37142857142857</v>
      </c>
      <c r="C283" s="10">
        <v>55.650017672181249</v>
      </c>
      <c r="D283" s="3">
        <v>35</v>
      </c>
    </row>
    <row r="284" spans="1:4" x14ac:dyDescent="0.3">
      <c r="A284">
        <v>18</v>
      </c>
      <c r="B284" s="1">
        <v>29.428571428571427</v>
      </c>
      <c r="C284" s="10">
        <v>29.64733365340113</v>
      </c>
      <c r="D284" s="3">
        <v>14</v>
      </c>
    </row>
    <row r="285" spans="1:4" x14ac:dyDescent="0.3">
      <c r="A285">
        <v>34</v>
      </c>
      <c r="B285" s="1">
        <v>27.3</v>
      </c>
      <c r="C285" s="10">
        <v>37.660724683880318</v>
      </c>
      <c r="D285" s="3">
        <v>20</v>
      </c>
    </row>
    <row r="286" spans="1:4" x14ac:dyDescent="0.3">
      <c r="A286">
        <v>43</v>
      </c>
      <c r="B286" s="1">
        <v>32.571428571428569</v>
      </c>
      <c r="C286" s="10">
        <v>43.621427580593327</v>
      </c>
      <c r="D286" s="3">
        <v>21</v>
      </c>
    </row>
    <row r="287" spans="1:4" x14ac:dyDescent="0.3">
      <c r="A287">
        <v>19</v>
      </c>
      <c r="B287" s="1">
        <v>38.5</v>
      </c>
      <c r="C287" s="10">
        <v>23.548155611467795</v>
      </c>
      <c r="D287" s="3">
        <v>10</v>
      </c>
    </row>
    <row r="288" spans="1:4" x14ac:dyDescent="0.3">
      <c r="A288">
        <v>19</v>
      </c>
      <c r="B288" s="1">
        <v>34</v>
      </c>
      <c r="C288" s="10">
        <v>20.156156082952435</v>
      </c>
      <c r="D288" s="3">
        <v>9</v>
      </c>
    </row>
    <row r="289" spans="1:4" x14ac:dyDescent="0.3">
      <c r="A289">
        <v>21</v>
      </c>
      <c r="B289" s="1">
        <v>25.833333333333332</v>
      </c>
      <c r="C289" s="10">
        <v>28.970411605234325</v>
      </c>
      <c r="D289" s="3">
        <v>12</v>
      </c>
    </row>
    <row r="290" spans="1:4" x14ac:dyDescent="0.3">
      <c r="A290">
        <v>32</v>
      </c>
      <c r="B290" s="1">
        <v>41.736842105263158</v>
      </c>
      <c r="C290" s="10">
        <v>35.29683736431744</v>
      </c>
      <c r="D290" s="3">
        <v>19</v>
      </c>
    </row>
    <row r="291" spans="1:4" x14ac:dyDescent="0.3">
      <c r="A291">
        <v>4</v>
      </c>
      <c r="B291" s="1">
        <v>46.666666666666664</v>
      </c>
      <c r="C291" s="10">
        <v>6.8187376460890405</v>
      </c>
      <c r="D291" s="3">
        <v>3</v>
      </c>
    </row>
    <row r="292" spans="1:4" x14ac:dyDescent="0.3">
      <c r="A292">
        <v>32</v>
      </c>
      <c r="B292" s="1">
        <v>42.5</v>
      </c>
      <c r="C292" s="10">
        <v>45.482105377570349</v>
      </c>
      <c r="D292" s="3">
        <v>20</v>
      </c>
    </row>
    <row r="293" spans="1:4" x14ac:dyDescent="0.3">
      <c r="A293">
        <v>9</v>
      </c>
      <c r="B293" s="1">
        <v>33.714285714285715</v>
      </c>
      <c r="C293" s="10">
        <v>15.552311647292299</v>
      </c>
      <c r="D293" s="3">
        <v>7</v>
      </c>
    </row>
    <row r="294" spans="1:4" x14ac:dyDescent="0.3">
      <c r="A294">
        <v>34</v>
      </c>
      <c r="B294" s="1">
        <v>36.833333333333336</v>
      </c>
      <c r="C294" s="10">
        <v>24.757800000621966</v>
      </c>
      <c r="D294" s="3">
        <v>18</v>
      </c>
    </row>
    <row r="295" spans="1:4" x14ac:dyDescent="0.3">
      <c r="A295">
        <v>50</v>
      </c>
      <c r="B295" s="1">
        <v>42.5</v>
      </c>
      <c r="C295" s="10">
        <v>34.540653360068639</v>
      </c>
      <c r="D295" s="3">
        <v>22</v>
      </c>
    </row>
    <row r="296" spans="1:4" x14ac:dyDescent="0.3">
      <c r="A296">
        <v>19</v>
      </c>
      <c r="B296" s="1">
        <v>40.090909090909093</v>
      </c>
      <c r="C296" s="10">
        <v>22.773059250687147</v>
      </c>
      <c r="D296" s="3">
        <v>11</v>
      </c>
    </row>
    <row r="297" spans="1:4" x14ac:dyDescent="0.3">
      <c r="A297">
        <v>17</v>
      </c>
      <c r="B297" s="1">
        <v>44.4</v>
      </c>
      <c r="C297" s="10">
        <v>15.178271328423524</v>
      </c>
      <c r="D297" s="3">
        <v>10</v>
      </c>
    </row>
    <row r="298" spans="1:4" x14ac:dyDescent="0.3">
      <c r="A298">
        <v>10</v>
      </c>
      <c r="B298" s="1">
        <v>37.625</v>
      </c>
      <c r="C298" s="10">
        <v>18.298313459245744</v>
      </c>
      <c r="D298" s="3">
        <v>8</v>
      </c>
    </row>
    <row r="299" spans="1:4" x14ac:dyDescent="0.3">
      <c r="A299">
        <v>9</v>
      </c>
      <c r="B299" s="1">
        <v>37.833333333333336</v>
      </c>
      <c r="C299" s="10">
        <v>8.5021979640269798</v>
      </c>
      <c r="D299" s="3">
        <v>6</v>
      </c>
    </row>
    <row r="300" spans="1:4" x14ac:dyDescent="0.3">
      <c r="A300">
        <v>25</v>
      </c>
      <c r="B300" s="1">
        <v>37.928571428571431</v>
      </c>
      <c r="C300" s="10">
        <v>18.284252661551125</v>
      </c>
      <c r="D300" s="3">
        <v>14</v>
      </c>
    </row>
    <row r="301" spans="1:4" x14ac:dyDescent="0.3">
      <c r="A301">
        <v>4</v>
      </c>
      <c r="B301" s="1">
        <v>36.75</v>
      </c>
      <c r="C301" s="10">
        <v>9.9504555311662397</v>
      </c>
      <c r="D301" s="3">
        <v>4</v>
      </c>
    </row>
    <row r="302" spans="1:4" x14ac:dyDescent="0.3">
      <c r="A302">
        <v>28</v>
      </c>
      <c r="B302" s="1">
        <v>28.6875</v>
      </c>
      <c r="C302" s="10">
        <v>28.284136600840117</v>
      </c>
      <c r="D302" s="3">
        <v>16</v>
      </c>
    </row>
    <row r="303" spans="1:4" x14ac:dyDescent="0.3">
      <c r="A303">
        <v>2</v>
      </c>
      <c r="B303" s="1">
        <v>19</v>
      </c>
      <c r="C303" s="10">
        <v>1.6338826279863135</v>
      </c>
      <c r="D303" s="3">
        <v>1</v>
      </c>
    </row>
    <row r="304" spans="1:4" x14ac:dyDescent="0.3">
      <c r="A304">
        <v>47</v>
      </c>
      <c r="B304" s="1">
        <v>29.304347826086957</v>
      </c>
      <c r="C304" s="10">
        <v>31.178480655213697</v>
      </c>
      <c r="D304" s="3">
        <v>23</v>
      </c>
    </row>
    <row r="305" spans="1:4" x14ac:dyDescent="0.3">
      <c r="A305">
        <v>10</v>
      </c>
      <c r="B305" s="1">
        <v>42</v>
      </c>
      <c r="C305" s="10">
        <v>11.682181298351715</v>
      </c>
      <c r="D305" s="3">
        <v>7</v>
      </c>
    </row>
    <row r="306" spans="1:4" x14ac:dyDescent="0.3">
      <c r="A306">
        <v>15</v>
      </c>
      <c r="B306" s="1">
        <v>39.909090909090907</v>
      </c>
      <c r="C306" s="10">
        <v>19.532047055589345</v>
      </c>
      <c r="D306" s="3">
        <v>11</v>
      </c>
    </row>
    <row r="307" spans="1:4" x14ac:dyDescent="0.3">
      <c r="A307">
        <v>15</v>
      </c>
      <c r="B307" s="1">
        <v>38.875</v>
      </c>
      <c r="C307" s="10">
        <v>19.428242194984872</v>
      </c>
      <c r="D307" s="3">
        <v>8</v>
      </c>
    </row>
    <row r="308" spans="1:4" x14ac:dyDescent="0.3">
      <c r="A308">
        <v>20</v>
      </c>
      <c r="B308" s="1">
        <v>36.4</v>
      </c>
      <c r="C308" s="10">
        <v>21.452784306280144</v>
      </c>
      <c r="D308" s="3">
        <v>10</v>
      </c>
    </row>
    <row r="309" spans="1:4" x14ac:dyDescent="0.3">
      <c r="A309">
        <v>25</v>
      </c>
      <c r="B309" s="1">
        <v>38.25</v>
      </c>
      <c r="C309" s="10">
        <v>23.574068304006826</v>
      </c>
      <c r="D309" s="3">
        <v>12</v>
      </c>
    </row>
    <row r="310" spans="1:4" x14ac:dyDescent="0.3">
      <c r="A310">
        <v>21</v>
      </c>
      <c r="B310" s="1">
        <v>26.454545454545453</v>
      </c>
      <c r="C310" s="10">
        <v>23.183045591243392</v>
      </c>
      <c r="D310" s="3">
        <v>11</v>
      </c>
    </row>
    <row r="311" spans="1:4" x14ac:dyDescent="0.3">
      <c r="A311">
        <v>1</v>
      </c>
      <c r="B311" s="1">
        <v>17</v>
      </c>
      <c r="C311" s="10">
        <v>1.4863143488747461</v>
      </c>
      <c r="D311" s="3">
        <v>1</v>
      </c>
    </row>
    <row r="312" spans="1:4" x14ac:dyDescent="0.3">
      <c r="A312">
        <v>10</v>
      </c>
      <c r="B312" s="1">
        <v>29</v>
      </c>
      <c r="C312" s="10">
        <v>9.2533041665652558</v>
      </c>
      <c r="D312" s="3">
        <v>5</v>
      </c>
    </row>
    <row r="313" spans="1:4" x14ac:dyDescent="0.3">
      <c r="A313">
        <v>1</v>
      </c>
      <c r="B313" s="1">
        <v>55</v>
      </c>
      <c r="C313" s="10">
        <v>2.019402632256488</v>
      </c>
      <c r="D313" s="3">
        <v>1</v>
      </c>
    </row>
    <row r="314" spans="1:4" x14ac:dyDescent="0.3">
      <c r="A314">
        <v>37</v>
      </c>
      <c r="B314" s="1">
        <v>38.479999999999997</v>
      </c>
      <c r="C314" s="10">
        <v>40.645651065541813</v>
      </c>
      <c r="D314" s="3">
        <v>25</v>
      </c>
    </row>
    <row r="315" spans="1:4" x14ac:dyDescent="0.3">
      <c r="A315">
        <v>24</v>
      </c>
      <c r="B315" s="1">
        <v>33.92307692307692</v>
      </c>
      <c r="C315" s="10">
        <v>28.233149796593437</v>
      </c>
      <c r="D315" s="3">
        <v>13</v>
      </c>
    </row>
    <row r="316" spans="1:4" x14ac:dyDescent="0.3">
      <c r="A316">
        <v>18</v>
      </c>
      <c r="B316" s="1">
        <v>40.06666666666667</v>
      </c>
      <c r="C316" s="10">
        <v>31.459006967132183</v>
      </c>
      <c r="D316" s="3">
        <v>15</v>
      </c>
    </row>
    <row r="317" spans="1:4" x14ac:dyDescent="0.3">
      <c r="A317">
        <v>67</v>
      </c>
      <c r="B317" s="1">
        <v>29.90909090909091</v>
      </c>
      <c r="C317" s="10">
        <v>43.014045391293493</v>
      </c>
      <c r="D317" s="3">
        <v>33</v>
      </c>
    </row>
    <row r="318" spans="1:4" x14ac:dyDescent="0.3">
      <c r="A318">
        <v>13</v>
      </c>
      <c r="B318" s="1">
        <v>40.111111111111114</v>
      </c>
      <c r="C318" s="10">
        <v>13.516412981701752</v>
      </c>
      <c r="D318" s="3">
        <v>9</v>
      </c>
    </row>
    <row r="319" spans="1:4" x14ac:dyDescent="0.3">
      <c r="A319">
        <v>12</v>
      </c>
      <c r="B319" s="1">
        <v>34.888888888888886</v>
      </c>
      <c r="C319" s="10">
        <v>11.543538249853086</v>
      </c>
      <c r="D319" s="3">
        <v>9</v>
      </c>
    </row>
    <row r="320" spans="1:4" x14ac:dyDescent="0.3">
      <c r="A320">
        <v>75</v>
      </c>
      <c r="B320" s="1">
        <v>25.735294117647058</v>
      </c>
      <c r="C320" s="10">
        <v>81.673690701460629</v>
      </c>
      <c r="D320" s="3">
        <v>34</v>
      </c>
    </row>
    <row r="321" spans="1:4" x14ac:dyDescent="0.3">
      <c r="A321">
        <v>29</v>
      </c>
      <c r="B321" s="1">
        <v>39.428571428571431</v>
      </c>
      <c r="C321" s="10">
        <v>29.865358063027351</v>
      </c>
      <c r="D321" s="3">
        <v>14</v>
      </c>
    </row>
    <row r="322" spans="1:4" x14ac:dyDescent="0.3">
      <c r="A322">
        <v>10</v>
      </c>
      <c r="B322" s="1">
        <v>32.799999999999997</v>
      </c>
      <c r="C322" s="10">
        <v>8.9390632099654059</v>
      </c>
      <c r="D322" s="3">
        <v>5</v>
      </c>
    </row>
    <row r="323" spans="1:4" x14ac:dyDescent="0.3">
      <c r="A323">
        <v>43</v>
      </c>
      <c r="B323" s="1">
        <v>36.884615384615387</v>
      </c>
      <c r="C323" s="10">
        <v>35.345819812200908</v>
      </c>
      <c r="D323" s="3">
        <v>26</v>
      </c>
    </row>
    <row r="324" spans="1:4" x14ac:dyDescent="0.3">
      <c r="A324">
        <v>55</v>
      </c>
      <c r="B324" s="1">
        <v>26.48</v>
      </c>
      <c r="C324" s="10">
        <v>53.833154284277029</v>
      </c>
      <c r="D324" s="3">
        <v>25</v>
      </c>
    </row>
    <row r="325" spans="1:4" x14ac:dyDescent="0.3">
      <c r="A325">
        <v>13</v>
      </c>
      <c r="B325" s="1">
        <v>36.6</v>
      </c>
      <c r="C325" s="10">
        <v>23.788631822435274</v>
      </c>
      <c r="D325" s="3">
        <v>10</v>
      </c>
    </row>
    <row r="326" spans="1:4" x14ac:dyDescent="0.3">
      <c r="A326">
        <v>44</v>
      </c>
      <c r="B326" s="1">
        <v>39.80952380952381</v>
      </c>
      <c r="C326" s="10">
        <v>50.354472880325915</v>
      </c>
      <c r="D326" s="3">
        <v>21</v>
      </c>
    </row>
    <row r="327" spans="1:4" x14ac:dyDescent="0.3">
      <c r="A327">
        <v>34</v>
      </c>
      <c r="B327" s="1">
        <v>34.450000000000003</v>
      </c>
      <c r="C327" s="10">
        <v>45.496453570309171</v>
      </c>
      <c r="D327" s="3">
        <v>20</v>
      </c>
    </row>
    <row r="328" spans="1:4" x14ac:dyDescent="0.3">
      <c r="A328">
        <v>14</v>
      </c>
      <c r="B328" s="1">
        <v>37.545454545454547</v>
      </c>
      <c r="C328" s="10">
        <v>27.476031021921901</v>
      </c>
      <c r="D328" s="3">
        <v>11</v>
      </c>
    </row>
    <row r="329" spans="1:4" x14ac:dyDescent="0.3">
      <c r="A329">
        <v>26</v>
      </c>
      <c r="B329" s="1">
        <v>38.176470588235297</v>
      </c>
      <c r="C329" s="10">
        <v>32.199326186114135</v>
      </c>
      <c r="D329" s="3">
        <v>17</v>
      </c>
    </row>
    <row r="330" spans="1:4" x14ac:dyDescent="0.3">
      <c r="A330">
        <v>50</v>
      </c>
      <c r="B330" s="1">
        <v>26.09375</v>
      </c>
      <c r="C330" s="10">
        <v>72.869927997697204</v>
      </c>
      <c r="D330" s="3">
        <v>32</v>
      </c>
    </row>
    <row r="331" spans="1:4" x14ac:dyDescent="0.3">
      <c r="A331">
        <v>19</v>
      </c>
      <c r="B331" s="1">
        <v>34.583333333333336</v>
      </c>
      <c r="C331" s="10">
        <v>20.678343209107229</v>
      </c>
      <c r="D331" s="3">
        <v>12</v>
      </c>
    </row>
    <row r="332" spans="1:4" x14ac:dyDescent="0.3">
      <c r="A332">
        <v>43</v>
      </c>
      <c r="B332" s="1">
        <v>28.68</v>
      </c>
      <c r="C332" s="10">
        <v>37.832132038514295</v>
      </c>
      <c r="D332" s="3">
        <v>25</v>
      </c>
    </row>
    <row r="333" spans="1:4" x14ac:dyDescent="0.3">
      <c r="A333">
        <v>33</v>
      </c>
      <c r="B333" s="1">
        <v>36.411764705882355</v>
      </c>
      <c r="C333" s="10">
        <v>31.193639142952559</v>
      </c>
      <c r="D333" s="3">
        <v>17</v>
      </c>
    </row>
    <row r="334" spans="1:4" x14ac:dyDescent="0.3">
      <c r="A334">
        <v>27</v>
      </c>
      <c r="B334" s="1">
        <v>42</v>
      </c>
      <c r="C334" s="10">
        <v>29.14665615862393</v>
      </c>
      <c r="D334" s="3">
        <v>13</v>
      </c>
    </row>
    <row r="335" spans="1:4" x14ac:dyDescent="0.3">
      <c r="A335">
        <v>66</v>
      </c>
      <c r="B335" s="1">
        <v>25.736842105263158</v>
      </c>
      <c r="C335" s="10">
        <v>67.761252170425877</v>
      </c>
      <c r="D335" s="3">
        <v>38</v>
      </c>
    </row>
    <row r="336" spans="1:4" x14ac:dyDescent="0.3">
      <c r="A336">
        <v>2</v>
      </c>
      <c r="B336" s="1">
        <v>21</v>
      </c>
      <c r="C336" s="10">
        <v>4.2111388117900059</v>
      </c>
      <c r="D336" s="3">
        <v>2</v>
      </c>
    </row>
    <row r="337" spans="1:4" x14ac:dyDescent="0.3">
      <c r="A337">
        <v>10</v>
      </c>
      <c r="B337" s="1">
        <v>28.625</v>
      </c>
      <c r="C337" s="10">
        <v>18.946877941477378</v>
      </c>
      <c r="D337" s="3">
        <v>8</v>
      </c>
    </row>
    <row r="338" spans="1:4" x14ac:dyDescent="0.3">
      <c r="A338">
        <v>47</v>
      </c>
      <c r="B338" s="1">
        <v>32.81818181818182</v>
      </c>
      <c r="C338" s="10">
        <v>48.323712233750037</v>
      </c>
      <c r="D338" s="3">
        <v>22</v>
      </c>
    </row>
    <row r="339" spans="1:4" x14ac:dyDescent="0.3">
      <c r="A339">
        <v>31</v>
      </c>
      <c r="B339" s="1">
        <v>39.05263157894737</v>
      </c>
      <c r="C339" s="10">
        <v>37.911232765006815</v>
      </c>
      <c r="D339" s="3">
        <v>19</v>
      </c>
    </row>
    <row r="340" spans="1:4" x14ac:dyDescent="0.3">
      <c r="A340">
        <v>35</v>
      </c>
      <c r="B340" s="1">
        <v>27.894736842105264</v>
      </c>
      <c r="C340" s="10">
        <v>32.348171998155934</v>
      </c>
      <c r="D340" s="3">
        <v>19</v>
      </c>
    </row>
    <row r="341" spans="1:4" x14ac:dyDescent="0.3">
      <c r="A341">
        <v>54</v>
      </c>
      <c r="B341" s="1">
        <v>38.269230769230766</v>
      </c>
      <c r="C341" s="10">
        <v>44.866801843768251</v>
      </c>
      <c r="D341" s="3">
        <v>26</v>
      </c>
    </row>
    <row r="342" spans="1:4" x14ac:dyDescent="0.3">
      <c r="A342">
        <v>43</v>
      </c>
      <c r="B342" s="1">
        <v>34.260869565217391</v>
      </c>
      <c r="C342" s="10">
        <v>49.169791226620632</v>
      </c>
      <c r="D342" s="3">
        <v>23</v>
      </c>
    </row>
    <row r="343" spans="1:4" x14ac:dyDescent="0.3">
      <c r="A343">
        <v>11</v>
      </c>
      <c r="B343" s="1">
        <v>34.666666666666664</v>
      </c>
      <c r="C343" s="10">
        <v>10.714548576400034</v>
      </c>
      <c r="D343" s="3">
        <v>6</v>
      </c>
    </row>
    <row r="344" spans="1:4" x14ac:dyDescent="0.3">
      <c r="A344">
        <v>15</v>
      </c>
      <c r="B344" s="1">
        <v>45.545454545454547</v>
      </c>
      <c r="C344" s="10">
        <v>27.203449850897311</v>
      </c>
      <c r="D344" s="3">
        <v>11</v>
      </c>
    </row>
    <row r="345" spans="1:4" x14ac:dyDescent="0.3">
      <c r="A345">
        <v>14</v>
      </c>
      <c r="B345" s="1">
        <v>37</v>
      </c>
      <c r="C345" s="10">
        <v>16.675792658110357</v>
      </c>
      <c r="D345" s="3">
        <v>8</v>
      </c>
    </row>
    <row r="346" spans="1:4" x14ac:dyDescent="0.3">
      <c r="A346">
        <v>45</v>
      </c>
      <c r="B346" s="1">
        <v>33.541666666666664</v>
      </c>
      <c r="C346" s="10">
        <v>44.076530886459892</v>
      </c>
      <c r="D346" s="3">
        <v>24</v>
      </c>
    </row>
    <row r="347" spans="1:4" x14ac:dyDescent="0.3">
      <c r="A347">
        <v>28</v>
      </c>
      <c r="B347" s="1">
        <v>44.05</v>
      </c>
      <c r="C347" s="10">
        <v>26.911140990139657</v>
      </c>
      <c r="D347" s="3">
        <v>20</v>
      </c>
    </row>
    <row r="348" spans="1:4" x14ac:dyDescent="0.3">
      <c r="A348">
        <v>32</v>
      </c>
      <c r="B348" s="1">
        <v>26.764705882352942</v>
      </c>
      <c r="C348" s="10">
        <v>28.515024784559646</v>
      </c>
      <c r="D348" s="3">
        <v>17</v>
      </c>
    </row>
    <row r="349" spans="1:4" x14ac:dyDescent="0.3">
      <c r="A349">
        <v>33</v>
      </c>
      <c r="B349" s="1">
        <v>42.125</v>
      </c>
      <c r="C349" s="10">
        <v>23.012321816633783</v>
      </c>
      <c r="D349" s="3">
        <v>16</v>
      </c>
    </row>
    <row r="350" spans="1:4" x14ac:dyDescent="0.3">
      <c r="A350">
        <v>14</v>
      </c>
      <c r="B350" s="1">
        <v>44.285714285714285</v>
      </c>
      <c r="C350" s="10">
        <v>10.553159765482198</v>
      </c>
      <c r="D350" s="3">
        <v>7</v>
      </c>
    </row>
    <row r="351" spans="1:4" x14ac:dyDescent="0.3">
      <c r="A351">
        <v>30</v>
      </c>
      <c r="B351" s="1">
        <v>35.5</v>
      </c>
      <c r="C351" s="10">
        <v>20.019120989724001</v>
      </c>
      <c r="D351" s="3">
        <v>16</v>
      </c>
    </row>
    <row r="352" spans="1:4" x14ac:dyDescent="0.3">
      <c r="A352">
        <v>32</v>
      </c>
      <c r="B352" s="1">
        <v>45.3125</v>
      </c>
      <c r="C352" s="10">
        <v>39.183460315049714</v>
      </c>
      <c r="D352" s="3">
        <v>16</v>
      </c>
    </row>
    <row r="353" spans="1:4" x14ac:dyDescent="0.3">
      <c r="A353">
        <v>55</v>
      </c>
      <c r="B353" s="1">
        <v>25.444444444444443</v>
      </c>
      <c r="C353" s="10">
        <v>66.103769907088534</v>
      </c>
      <c r="D353" s="3">
        <v>27</v>
      </c>
    </row>
    <row r="354" spans="1:4" x14ac:dyDescent="0.3">
      <c r="A354">
        <v>29</v>
      </c>
      <c r="B354" s="1">
        <v>32.411764705882355</v>
      </c>
      <c r="C354" s="10">
        <v>24.138779707423197</v>
      </c>
      <c r="D354" s="3">
        <v>17</v>
      </c>
    </row>
    <row r="355" spans="1:4" x14ac:dyDescent="0.3">
      <c r="A355">
        <v>3</v>
      </c>
      <c r="B355" s="1">
        <v>44.333333333333336</v>
      </c>
      <c r="C355" s="10">
        <v>6.5031946497357103</v>
      </c>
      <c r="D355" s="3">
        <v>3</v>
      </c>
    </row>
    <row r="356" spans="1:4" x14ac:dyDescent="0.3">
      <c r="A356">
        <v>22</v>
      </c>
      <c r="B356" s="1">
        <v>36.058823529411768</v>
      </c>
      <c r="C356" s="10">
        <v>32.726730594750457</v>
      </c>
      <c r="D356" s="3">
        <v>17</v>
      </c>
    </row>
    <row r="357" spans="1:4" x14ac:dyDescent="0.3">
      <c r="A357">
        <v>55</v>
      </c>
      <c r="B357" s="1">
        <v>34.666666666666664</v>
      </c>
      <c r="C357" s="10">
        <v>58.139936348453148</v>
      </c>
      <c r="D357" s="3">
        <v>27</v>
      </c>
    </row>
    <row r="358" spans="1:4" x14ac:dyDescent="0.3">
      <c r="A358">
        <v>9</v>
      </c>
      <c r="B358" s="1">
        <v>35.571428571428569</v>
      </c>
      <c r="C358" s="10">
        <v>10.148865355711434</v>
      </c>
      <c r="D358" s="3">
        <v>7</v>
      </c>
    </row>
    <row r="359" spans="1:4" x14ac:dyDescent="0.3">
      <c r="A359">
        <v>35</v>
      </c>
      <c r="B359" s="1">
        <v>33.3125</v>
      </c>
      <c r="C359" s="10">
        <v>33.701623552621193</v>
      </c>
      <c r="D359" s="3">
        <v>16</v>
      </c>
    </row>
    <row r="360" spans="1:4" x14ac:dyDescent="0.3">
      <c r="A360">
        <v>19</v>
      </c>
      <c r="B360" s="1">
        <v>30.818181818181817</v>
      </c>
      <c r="C360" s="10">
        <v>21.452713236857562</v>
      </c>
      <c r="D360" s="3">
        <v>11</v>
      </c>
    </row>
    <row r="361" spans="1:4" x14ac:dyDescent="0.3">
      <c r="A361">
        <v>2</v>
      </c>
      <c r="B361" s="1">
        <v>12</v>
      </c>
      <c r="C361" s="10">
        <v>1.7190918950087875</v>
      </c>
      <c r="D361" s="3">
        <v>1</v>
      </c>
    </row>
    <row r="362" spans="1:4" x14ac:dyDescent="0.3">
      <c r="A362">
        <v>12</v>
      </c>
      <c r="B362" s="1">
        <v>41</v>
      </c>
      <c r="C362" s="10">
        <v>13.892088150061021</v>
      </c>
      <c r="D362" s="3">
        <v>6</v>
      </c>
    </row>
    <row r="363" spans="1:4" x14ac:dyDescent="0.3">
      <c r="A363">
        <v>7</v>
      </c>
      <c r="B363" s="1">
        <v>32</v>
      </c>
      <c r="C363" s="10">
        <v>11.256773422877529</v>
      </c>
      <c r="D363" s="3">
        <v>5</v>
      </c>
    </row>
    <row r="364" spans="1:4" x14ac:dyDescent="0.3">
      <c r="A364">
        <v>44</v>
      </c>
      <c r="B364" s="1">
        <v>33.090909090909093</v>
      </c>
      <c r="C364" s="10">
        <v>51.411437018715219</v>
      </c>
      <c r="D364" s="3">
        <v>22</v>
      </c>
    </row>
    <row r="365" spans="1:4" x14ac:dyDescent="0.3">
      <c r="A365">
        <v>6</v>
      </c>
      <c r="B365" s="1">
        <v>30.5</v>
      </c>
      <c r="C365" s="10">
        <v>8.6849101671716618</v>
      </c>
      <c r="D365" s="3">
        <v>4</v>
      </c>
    </row>
    <row r="366" spans="1:4" x14ac:dyDescent="0.3">
      <c r="A366">
        <v>10</v>
      </c>
      <c r="B366" s="1">
        <v>38.200000000000003</v>
      </c>
      <c r="C366" s="10">
        <v>6.5399301025461751</v>
      </c>
      <c r="D366" s="3">
        <v>5</v>
      </c>
    </row>
    <row r="367" spans="1:4" x14ac:dyDescent="0.3">
      <c r="A367">
        <v>37</v>
      </c>
      <c r="B367" s="1">
        <v>26.238095238095237</v>
      </c>
      <c r="C367" s="10">
        <v>32.427545032537324</v>
      </c>
      <c r="D367" s="3">
        <v>21</v>
      </c>
    </row>
    <row r="368" spans="1:4" x14ac:dyDescent="0.3">
      <c r="A368">
        <v>31</v>
      </c>
      <c r="B368" s="1">
        <v>33.049999999999997</v>
      </c>
      <c r="C368" s="10">
        <v>45.931176756706776</v>
      </c>
      <c r="D368" s="3">
        <v>20</v>
      </c>
    </row>
    <row r="369" spans="1:4" x14ac:dyDescent="0.3">
      <c r="A369">
        <v>53</v>
      </c>
      <c r="B369" s="1">
        <v>33.64</v>
      </c>
      <c r="C369" s="10">
        <v>50.508993498655187</v>
      </c>
      <c r="D369" s="3">
        <v>25</v>
      </c>
    </row>
    <row r="370" spans="1:4" x14ac:dyDescent="0.3">
      <c r="A370">
        <v>20</v>
      </c>
      <c r="B370" s="1">
        <v>43.571428571428569</v>
      </c>
      <c r="C370" s="10">
        <v>34.702138026993964</v>
      </c>
      <c r="D370" s="3">
        <v>14</v>
      </c>
    </row>
    <row r="371" spans="1:4" x14ac:dyDescent="0.3">
      <c r="A371">
        <v>19</v>
      </c>
      <c r="B371" s="1">
        <v>41.888888888888886</v>
      </c>
      <c r="C371" s="10">
        <v>18.150723000184485</v>
      </c>
      <c r="D371" s="3">
        <v>9</v>
      </c>
    </row>
    <row r="372" spans="1:4" x14ac:dyDescent="0.3">
      <c r="A372">
        <v>18</v>
      </c>
      <c r="B372" s="1">
        <v>44.53846153846154</v>
      </c>
      <c r="C372" s="10">
        <v>22.47009321098626</v>
      </c>
      <c r="D372" s="3">
        <v>13</v>
      </c>
    </row>
    <row r="373" spans="1:4" x14ac:dyDescent="0.3">
      <c r="A373">
        <v>55</v>
      </c>
      <c r="B373" s="1">
        <v>27</v>
      </c>
      <c r="C373" s="10">
        <v>46.670372406372763</v>
      </c>
      <c r="D373" s="3">
        <v>30</v>
      </c>
    </row>
    <row r="374" spans="1:4" x14ac:dyDescent="0.3">
      <c r="A374">
        <v>3</v>
      </c>
      <c r="B374" s="1">
        <v>40</v>
      </c>
      <c r="C374" s="10">
        <v>2.6492085693739611</v>
      </c>
      <c r="D374" s="3">
        <v>2</v>
      </c>
    </row>
    <row r="375" spans="1:4" x14ac:dyDescent="0.3">
      <c r="A375">
        <v>39</v>
      </c>
      <c r="B375" s="1">
        <v>28.814814814814813</v>
      </c>
      <c r="C375" s="10">
        <v>39.476508448388721</v>
      </c>
      <c r="D375" s="3">
        <v>27</v>
      </c>
    </row>
    <row r="376" spans="1:4" x14ac:dyDescent="0.3">
      <c r="A376">
        <v>10</v>
      </c>
      <c r="B376" s="1">
        <v>35.6</v>
      </c>
      <c r="C376" s="10">
        <v>8.2953247443681875</v>
      </c>
      <c r="D376" s="3">
        <v>5</v>
      </c>
    </row>
    <row r="377" spans="1:4" x14ac:dyDescent="0.3">
      <c r="A377">
        <v>46</v>
      </c>
      <c r="B377" s="1">
        <v>30.333333333333332</v>
      </c>
      <c r="C377" s="10">
        <v>48.533772055843727</v>
      </c>
      <c r="D377" s="3">
        <v>27</v>
      </c>
    </row>
    <row r="378" spans="1:4" x14ac:dyDescent="0.3">
      <c r="A378">
        <v>26</v>
      </c>
      <c r="B378" s="1">
        <v>35.666666666666664</v>
      </c>
      <c r="C378" s="10">
        <v>35.53693845999576</v>
      </c>
      <c r="D378" s="3">
        <v>15</v>
      </c>
    </row>
    <row r="379" spans="1:4" x14ac:dyDescent="0.3">
      <c r="A379">
        <v>40</v>
      </c>
      <c r="B379" s="1">
        <v>34.578947368421055</v>
      </c>
      <c r="C379" s="10">
        <v>39.023124084243861</v>
      </c>
      <c r="D379" s="3">
        <v>19</v>
      </c>
    </row>
    <row r="380" spans="1:4" x14ac:dyDescent="0.3">
      <c r="A380">
        <v>15</v>
      </c>
      <c r="B380" s="1">
        <v>36.666666666666664</v>
      </c>
      <c r="C380" s="10">
        <v>19.523998461103115</v>
      </c>
      <c r="D380" s="3">
        <v>9</v>
      </c>
    </row>
    <row r="381" spans="1:4" x14ac:dyDescent="0.3">
      <c r="A381">
        <v>2</v>
      </c>
      <c r="B381" s="1">
        <v>36.5</v>
      </c>
      <c r="C381" s="10">
        <v>4.1448490155375577</v>
      </c>
      <c r="D381" s="3">
        <v>2</v>
      </c>
    </row>
    <row r="382" spans="1:4" x14ac:dyDescent="0.3">
      <c r="A382">
        <v>39</v>
      </c>
      <c r="B382" s="1">
        <v>38.227272727272727</v>
      </c>
      <c r="C382" s="10">
        <v>48.274559723274059</v>
      </c>
      <c r="D382" s="3">
        <v>22</v>
      </c>
    </row>
    <row r="383" spans="1:4" x14ac:dyDescent="0.3">
      <c r="A383">
        <v>33</v>
      </c>
      <c r="B383" s="1">
        <v>30.523809523809526</v>
      </c>
      <c r="C383" s="10">
        <v>52.04359618797637</v>
      </c>
      <c r="D383" s="3">
        <v>21</v>
      </c>
    </row>
    <row r="384" spans="1:4" x14ac:dyDescent="0.3">
      <c r="A384">
        <v>2</v>
      </c>
      <c r="B384" s="1">
        <v>26</v>
      </c>
      <c r="C384" s="10">
        <v>2.495177045424338</v>
      </c>
      <c r="D384" s="3">
        <v>1</v>
      </c>
    </row>
    <row r="385" spans="1:4" x14ac:dyDescent="0.3">
      <c r="A385">
        <v>23</v>
      </c>
      <c r="B385" s="1">
        <v>36.214285714285715</v>
      </c>
      <c r="C385" s="10">
        <v>28.548160824146908</v>
      </c>
      <c r="D385" s="3">
        <v>14</v>
      </c>
    </row>
    <row r="386" spans="1:4" x14ac:dyDescent="0.3">
      <c r="A386">
        <v>10</v>
      </c>
      <c r="B386" s="1">
        <v>24.375</v>
      </c>
      <c r="C386" s="10">
        <v>10.00444918503015</v>
      </c>
      <c r="D386" s="3">
        <v>8</v>
      </c>
    </row>
    <row r="387" spans="1:4" x14ac:dyDescent="0.3">
      <c r="A387">
        <v>6</v>
      </c>
      <c r="B387" s="1">
        <v>36.5</v>
      </c>
      <c r="C387" s="10">
        <v>8.1534535390237419</v>
      </c>
      <c r="D387" s="3">
        <v>4</v>
      </c>
    </row>
    <row r="388" spans="1:4" x14ac:dyDescent="0.3">
      <c r="A388">
        <v>5</v>
      </c>
      <c r="B388" s="1">
        <v>32</v>
      </c>
      <c r="C388" s="10">
        <v>6.8300420080067958</v>
      </c>
      <c r="D388" s="3">
        <v>3</v>
      </c>
    </row>
    <row r="389" spans="1:4" x14ac:dyDescent="0.3">
      <c r="A389">
        <v>11</v>
      </c>
      <c r="B389" s="1">
        <v>34.571428571428569</v>
      </c>
      <c r="C389" s="10">
        <v>11.155297079344885</v>
      </c>
      <c r="D389" s="3">
        <v>7</v>
      </c>
    </row>
    <row r="390" spans="1:4" x14ac:dyDescent="0.3">
      <c r="A390">
        <v>2</v>
      </c>
      <c r="B390" s="1">
        <v>29.5</v>
      </c>
      <c r="C390" s="10">
        <v>3.4102955766363818</v>
      </c>
      <c r="D390" s="3">
        <v>2</v>
      </c>
    </row>
    <row r="391" spans="1:4" x14ac:dyDescent="0.3">
      <c r="A391">
        <v>45</v>
      </c>
      <c r="B391" s="1">
        <v>27.64</v>
      </c>
      <c r="C391" s="10">
        <v>39.157861970682504</v>
      </c>
      <c r="D391" s="3">
        <v>25</v>
      </c>
    </row>
    <row r="392" spans="1:4" x14ac:dyDescent="0.3">
      <c r="A392">
        <v>6</v>
      </c>
      <c r="B392" s="1">
        <v>30.4</v>
      </c>
      <c r="C392" s="10">
        <v>6.3621344344580084</v>
      </c>
      <c r="D392" s="3">
        <v>5</v>
      </c>
    </row>
    <row r="393" spans="1:4" x14ac:dyDescent="0.3">
      <c r="A393">
        <v>43</v>
      </c>
      <c r="B393" s="1">
        <v>28.59090909090909</v>
      </c>
      <c r="C393" s="10">
        <v>39.966258436987687</v>
      </c>
      <c r="D393" s="3">
        <v>22</v>
      </c>
    </row>
    <row r="394" spans="1:4" x14ac:dyDescent="0.3">
      <c r="A394">
        <v>74</v>
      </c>
      <c r="B394" s="1">
        <v>25.852941176470587</v>
      </c>
      <c r="C394" s="10">
        <v>61.782099754969984</v>
      </c>
      <c r="D394" s="3">
        <v>34</v>
      </c>
    </row>
    <row r="395" spans="1:4" x14ac:dyDescent="0.3">
      <c r="A395">
        <v>20</v>
      </c>
      <c r="B395" s="1">
        <v>42.714285714285715</v>
      </c>
      <c r="C395" s="10">
        <v>22.162740205365242</v>
      </c>
      <c r="D395" s="3">
        <v>14</v>
      </c>
    </row>
    <row r="396" spans="1:4" x14ac:dyDescent="0.3">
      <c r="A396">
        <v>33</v>
      </c>
      <c r="B396" s="1">
        <v>32.421052631578945</v>
      </c>
      <c r="C396" s="10">
        <v>44.900418026579487</v>
      </c>
      <c r="D396" s="3">
        <v>19</v>
      </c>
    </row>
    <row r="397" spans="1:4" x14ac:dyDescent="0.3">
      <c r="A397">
        <v>23</v>
      </c>
      <c r="B397" s="1">
        <v>45.416666666666664</v>
      </c>
      <c r="C397" s="10">
        <v>28.744542222215117</v>
      </c>
      <c r="D397" s="3">
        <v>12</v>
      </c>
    </row>
    <row r="398" spans="1:4" x14ac:dyDescent="0.3">
      <c r="A398">
        <v>60</v>
      </c>
      <c r="B398" s="1">
        <v>32.962962962962962</v>
      </c>
      <c r="C398" s="10">
        <v>52.846542680873974</v>
      </c>
      <c r="D398" s="3">
        <v>27</v>
      </c>
    </row>
    <row r="399" spans="1:4" x14ac:dyDescent="0.3">
      <c r="A399">
        <v>34</v>
      </c>
      <c r="B399" s="1">
        <v>28.541666666666668</v>
      </c>
      <c r="C399" s="10">
        <v>44.788382921986248</v>
      </c>
      <c r="D399" s="3">
        <v>24</v>
      </c>
    </row>
    <row r="400" spans="1:4" x14ac:dyDescent="0.3">
      <c r="A400">
        <v>45</v>
      </c>
      <c r="B400" s="1">
        <v>26.454545454545453</v>
      </c>
      <c r="C400" s="10">
        <v>33.887245544368803</v>
      </c>
      <c r="D400" s="3">
        <v>22</v>
      </c>
    </row>
    <row r="401" spans="1:4" x14ac:dyDescent="0.3">
      <c r="A401">
        <v>41</v>
      </c>
      <c r="B401" s="1">
        <v>34.6</v>
      </c>
      <c r="C401" s="10">
        <v>35.594843405225141</v>
      </c>
      <c r="D401" s="3">
        <v>20</v>
      </c>
    </row>
    <row r="402" spans="1:4" x14ac:dyDescent="0.3">
      <c r="A402">
        <v>22</v>
      </c>
      <c r="B402" s="1">
        <v>43.583333333333336</v>
      </c>
      <c r="C402" s="10">
        <v>28.170790468112436</v>
      </c>
      <c r="D402" s="3">
        <v>12</v>
      </c>
    </row>
    <row r="403" spans="1:4" x14ac:dyDescent="0.3">
      <c r="A403">
        <v>16</v>
      </c>
      <c r="B403" s="1">
        <v>29.444444444444443</v>
      </c>
      <c r="C403" s="10">
        <v>13.127115569017366</v>
      </c>
      <c r="D403" s="3">
        <v>9</v>
      </c>
    </row>
    <row r="404" spans="1:4" x14ac:dyDescent="0.3">
      <c r="A404">
        <v>35</v>
      </c>
      <c r="B404" s="1">
        <v>29.38095238095238</v>
      </c>
      <c r="C404" s="10">
        <v>43.923111416739928</v>
      </c>
      <c r="D404" s="3">
        <v>21</v>
      </c>
    </row>
    <row r="405" spans="1:4" x14ac:dyDescent="0.3">
      <c r="A405">
        <v>31</v>
      </c>
      <c r="B405" s="1">
        <v>38.526315789473685</v>
      </c>
      <c r="C405" s="10">
        <v>27.145180349995819</v>
      </c>
      <c r="D405" s="3">
        <v>19</v>
      </c>
    </row>
    <row r="406" spans="1:4" x14ac:dyDescent="0.3">
      <c r="A406">
        <v>61</v>
      </c>
      <c r="B406" s="1">
        <v>27.25</v>
      </c>
      <c r="C406" s="10">
        <v>57.733304839248824</v>
      </c>
      <c r="D406" s="3">
        <v>28</v>
      </c>
    </row>
    <row r="407" spans="1:4" x14ac:dyDescent="0.3">
      <c r="A407">
        <v>41</v>
      </c>
      <c r="B407" s="1">
        <v>29.565217391304348</v>
      </c>
      <c r="C407" s="10">
        <v>29.625910408703803</v>
      </c>
      <c r="D407" s="3">
        <v>23</v>
      </c>
    </row>
    <row r="408" spans="1:4" x14ac:dyDescent="0.3">
      <c r="A408">
        <v>16</v>
      </c>
      <c r="B408" s="1">
        <v>30.923076923076923</v>
      </c>
      <c r="C408" s="10">
        <v>19.019254999092471</v>
      </c>
      <c r="D408" s="3">
        <v>13</v>
      </c>
    </row>
    <row r="409" spans="1:4" x14ac:dyDescent="0.3">
      <c r="A409">
        <v>24</v>
      </c>
      <c r="B409" s="1">
        <v>43.428571428571431</v>
      </c>
      <c r="C409" s="10">
        <v>32.090492299767405</v>
      </c>
      <c r="D409" s="3">
        <v>14</v>
      </c>
    </row>
    <row r="410" spans="1:4" x14ac:dyDescent="0.3">
      <c r="A410">
        <v>23</v>
      </c>
      <c r="B410" s="1">
        <v>33.266666666666666</v>
      </c>
      <c r="C410" s="10">
        <v>35.867481743290824</v>
      </c>
      <c r="D410" s="3">
        <v>15</v>
      </c>
    </row>
    <row r="411" spans="1:4" x14ac:dyDescent="0.3">
      <c r="A411">
        <v>45</v>
      </c>
      <c r="B411" s="1">
        <v>28.958333333333332</v>
      </c>
      <c r="C411" s="10">
        <v>55.735511737472095</v>
      </c>
      <c r="D411" s="3">
        <v>24</v>
      </c>
    </row>
    <row r="412" spans="1:4" x14ac:dyDescent="0.3">
      <c r="A412">
        <v>24</v>
      </c>
      <c r="B412" s="1">
        <v>32.736842105263158</v>
      </c>
      <c r="C412" s="10">
        <v>39.145050259369768</v>
      </c>
      <c r="D412" s="3">
        <v>19</v>
      </c>
    </row>
    <row r="413" spans="1:4" x14ac:dyDescent="0.3">
      <c r="A413">
        <v>36</v>
      </c>
      <c r="B413" s="1">
        <v>30.4</v>
      </c>
      <c r="C413" s="10">
        <v>30.755511910552311</v>
      </c>
      <c r="D413" s="3">
        <v>20</v>
      </c>
    </row>
    <row r="414" spans="1:4" x14ac:dyDescent="0.3">
      <c r="A414">
        <v>12</v>
      </c>
      <c r="B414" s="1">
        <v>43.142857142857146</v>
      </c>
      <c r="C414" s="10">
        <v>16.611832162953117</v>
      </c>
      <c r="D414" s="3">
        <v>7</v>
      </c>
    </row>
    <row r="415" spans="1:4" x14ac:dyDescent="0.3">
      <c r="A415">
        <v>12</v>
      </c>
      <c r="B415" s="1">
        <v>27.333333333333332</v>
      </c>
      <c r="C415" s="10">
        <v>10.104290468295009</v>
      </c>
      <c r="D415" s="3">
        <v>6</v>
      </c>
    </row>
    <row r="416" spans="1:4" x14ac:dyDescent="0.3">
      <c r="A416">
        <v>37</v>
      </c>
      <c r="B416" s="1">
        <v>38.76</v>
      </c>
      <c r="C416" s="10">
        <v>57.350022737930082</v>
      </c>
      <c r="D416" s="3">
        <v>25</v>
      </c>
    </row>
    <row r="417" spans="1:4" x14ac:dyDescent="0.3">
      <c r="A417">
        <v>12</v>
      </c>
      <c r="B417" s="1">
        <v>35.333333333333336</v>
      </c>
      <c r="C417" s="10">
        <v>9.1667879326054518</v>
      </c>
      <c r="D417" s="3">
        <v>6</v>
      </c>
    </row>
    <row r="418" spans="1:4" x14ac:dyDescent="0.3">
      <c r="A418">
        <v>19</v>
      </c>
      <c r="B418" s="1">
        <v>35.692307692307693</v>
      </c>
      <c r="C418" s="10">
        <v>28.372905054696275</v>
      </c>
      <c r="D418" s="3">
        <v>13</v>
      </c>
    </row>
    <row r="419" spans="1:4" x14ac:dyDescent="0.3">
      <c r="A419">
        <v>35</v>
      </c>
      <c r="B419" s="1">
        <v>33.333333333333336</v>
      </c>
      <c r="C419" s="10">
        <v>38.44017539839988</v>
      </c>
      <c r="D419" s="3">
        <v>18</v>
      </c>
    </row>
    <row r="420" spans="1:4" x14ac:dyDescent="0.3">
      <c r="A420">
        <v>14</v>
      </c>
      <c r="B420" s="1">
        <v>32.125</v>
      </c>
      <c r="C420" s="10">
        <v>14.141996569802302</v>
      </c>
      <c r="D420" s="3">
        <v>8</v>
      </c>
    </row>
    <row r="421" spans="1:4" x14ac:dyDescent="0.3">
      <c r="A421">
        <v>24</v>
      </c>
      <c r="B421" s="1">
        <v>34.692307692307693</v>
      </c>
      <c r="C421" s="10">
        <v>28.625126894331625</v>
      </c>
      <c r="D421" s="3">
        <v>13</v>
      </c>
    </row>
    <row r="422" spans="1:4" x14ac:dyDescent="0.3">
      <c r="A422">
        <v>22</v>
      </c>
      <c r="B422" s="1">
        <v>38.299999999999997</v>
      </c>
      <c r="C422" s="10">
        <v>19.544084340208791</v>
      </c>
      <c r="D422" s="3">
        <v>10</v>
      </c>
    </row>
    <row r="423" spans="1:4" x14ac:dyDescent="0.3">
      <c r="A423">
        <v>23</v>
      </c>
      <c r="B423" s="1">
        <v>31</v>
      </c>
      <c r="C423" s="10">
        <v>21.956796468729411</v>
      </c>
      <c r="D423" s="3">
        <v>11</v>
      </c>
    </row>
    <row r="424" spans="1:4" x14ac:dyDescent="0.3">
      <c r="A424">
        <v>30</v>
      </c>
      <c r="B424" s="1">
        <v>38.799999999999997</v>
      </c>
      <c r="C424" s="10">
        <v>35.348549122803831</v>
      </c>
      <c r="D424" s="3">
        <v>15</v>
      </c>
    </row>
    <row r="425" spans="1:4" x14ac:dyDescent="0.3">
      <c r="A425">
        <v>25</v>
      </c>
      <c r="B425" s="1">
        <v>31.2</v>
      </c>
      <c r="C425" s="10">
        <v>21.433049195272012</v>
      </c>
      <c r="D425" s="3">
        <v>15</v>
      </c>
    </row>
    <row r="426" spans="1:4" x14ac:dyDescent="0.3">
      <c r="A426">
        <v>3</v>
      </c>
      <c r="B426" s="1">
        <v>21.5</v>
      </c>
      <c r="C426" s="10">
        <v>4.3534422840776541</v>
      </c>
      <c r="D426" s="3">
        <v>2</v>
      </c>
    </row>
    <row r="427" spans="1:4" x14ac:dyDescent="0.3">
      <c r="A427">
        <v>42</v>
      </c>
      <c r="B427" s="1">
        <v>36.952380952380949</v>
      </c>
      <c r="C427" s="10">
        <v>38.388492160507482</v>
      </c>
      <c r="D427" s="3">
        <v>21</v>
      </c>
    </row>
    <row r="428" spans="1:4" x14ac:dyDescent="0.3">
      <c r="A428">
        <v>3</v>
      </c>
      <c r="B428" s="1">
        <v>33</v>
      </c>
      <c r="C428" s="10">
        <v>4.7653401648069984</v>
      </c>
      <c r="D428" s="3">
        <v>2</v>
      </c>
    </row>
    <row r="429" spans="1:4" x14ac:dyDescent="0.3">
      <c r="A429">
        <v>9</v>
      </c>
      <c r="B429" s="1">
        <v>33.799999999999997</v>
      </c>
      <c r="C429" s="10">
        <v>8.0586254714129559</v>
      </c>
      <c r="D429" s="3">
        <v>5</v>
      </c>
    </row>
    <row r="430" spans="1:4" x14ac:dyDescent="0.3">
      <c r="A430">
        <v>14</v>
      </c>
      <c r="B430" s="1">
        <v>43.285714285714285</v>
      </c>
      <c r="C430" s="10">
        <v>9.7741413921622957</v>
      </c>
      <c r="D430" s="3">
        <v>7</v>
      </c>
    </row>
    <row r="431" spans="1:4" x14ac:dyDescent="0.3">
      <c r="A431">
        <v>36</v>
      </c>
      <c r="B431" s="1">
        <v>36.739130434782609</v>
      </c>
      <c r="C431" s="10">
        <v>34.742852789200185</v>
      </c>
      <c r="D431" s="3">
        <v>23</v>
      </c>
    </row>
    <row r="432" spans="1:4" x14ac:dyDescent="0.3">
      <c r="A432">
        <v>39</v>
      </c>
      <c r="B432" s="1">
        <v>30.260869565217391</v>
      </c>
      <c r="C432" s="10">
        <v>52.189094058687736</v>
      </c>
      <c r="D432" s="3">
        <v>23</v>
      </c>
    </row>
    <row r="433" spans="1:4" x14ac:dyDescent="0.3">
      <c r="A433">
        <v>26</v>
      </c>
      <c r="B433" s="1">
        <v>42.89473684210526</v>
      </c>
      <c r="C433" s="10">
        <v>32.710711656908948</v>
      </c>
      <c r="D433" s="3">
        <v>19</v>
      </c>
    </row>
    <row r="434" spans="1:4" x14ac:dyDescent="0.3">
      <c r="A434">
        <v>5</v>
      </c>
      <c r="B434" s="1">
        <v>47</v>
      </c>
      <c r="C434" s="10">
        <v>7.0753418870299436</v>
      </c>
      <c r="D434" s="3">
        <v>4</v>
      </c>
    </row>
    <row r="435" spans="1:4" x14ac:dyDescent="0.3">
      <c r="A435">
        <v>53</v>
      </c>
      <c r="B435" s="1">
        <v>29.178571428571427</v>
      </c>
      <c r="C435" s="10">
        <v>39.012531883059538</v>
      </c>
      <c r="D435" s="3">
        <v>28</v>
      </c>
    </row>
    <row r="436" spans="1:4" x14ac:dyDescent="0.3">
      <c r="A436">
        <v>7</v>
      </c>
      <c r="B436" s="1">
        <v>41</v>
      </c>
      <c r="C436" s="10">
        <v>8.8652694965328198</v>
      </c>
      <c r="D436" s="3">
        <v>4</v>
      </c>
    </row>
    <row r="437" spans="1:4" x14ac:dyDescent="0.3">
      <c r="A437">
        <v>29</v>
      </c>
      <c r="B437" s="1">
        <v>28.857142857142858</v>
      </c>
      <c r="C437" s="10">
        <v>25.370905493324248</v>
      </c>
      <c r="D437" s="3">
        <v>14</v>
      </c>
    </row>
    <row r="438" spans="1:4" x14ac:dyDescent="0.3">
      <c r="A438">
        <v>58</v>
      </c>
      <c r="B438" s="1">
        <v>24.9375</v>
      </c>
      <c r="C438" s="10">
        <v>41.441661357737956</v>
      </c>
      <c r="D438" s="3">
        <v>32</v>
      </c>
    </row>
    <row r="439" spans="1:4" x14ac:dyDescent="0.3">
      <c r="A439">
        <v>26</v>
      </c>
      <c r="B439" s="1">
        <v>33</v>
      </c>
      <c r="C439" s="10">
        <v>25.466978333791292</v>
      </c>
      <c r="D439" s="3">
        <v>15</v>
      </c>
    </row>
    <row r="440" spans="1:4" x14ac:dyDescent="0.3">
      <c r="A440">
        <v>80</v>
      </c>
      <c r="B440" s="1">
        <v>27.028571428571428</v>
      </c>
      <c r="C440" s="10">
        <v>73.460618229657499</v>
      </c>
      <c r="D440" s="3">
        <v>35</v>
      </c>
    </row>
    <row r="441" spans="1:4" x14ac:dyDescent="0.3">
      <c r="A441">
        <v>32</v>
      </c>
      <c r="B441" s="1">
        <v>31.894736842105264</v>
      </c>
      <c r="C441" s="10">
        <v>24.864014641775928</v>
      </c>
      <c r="D441" s="3">
        <v>19</v>
      </c>
    </row>
    <row r="442" spans="1:4" x14ac:dyDescent="0.3">
      <c r="A442">
        <v>15</v>
      </c>
      <c r="B442" s="1">
        <v>37.285714285714285</v>
      </c>
      <c r="C442" s="10">
        <v>12.4244529615657</v>
      </c>
      <c r="D442" s="3">
        <v>7</v>
      </c>
    </row>
    <row r="443" spans="1:4" x14ac:dyDescent="0.3">
      <c r="A443">
        <v>13</v>
      </c>
      <c r="B443" s="1">
        <v>43.5</v>
      </c>
      <c r="C443" s="10">
        <v>16.967336945485311</v>
      </c>
      <c r="D443" s="3">
        <v>10</v>
      </c>
    </row>
    <row r="444" spans="1:4" x14ac:dyDescent="0.3">
      <c r="A444">
        <v>67</v>
      </c>
      <c r="B444" s="1">
        <v>32.06666666666667</v>
      </c>
      <c r="C444" s="10">
        <v>64.907704476404177</v>
      </c>
      <c r="D444" s="3">
        <v>30</v>
      </c>
    </row>
    <row r="445" spans="1:4" x14ac:dyDescent="0.3">
      <c r="A445">
        <v>49</v>
      </c>
      <c r="B445" s="1">
        <v>33.793103448275865</v>
      </c>
      <c r="C445" s="10">
        <v>72.390904855246433</v>
      </c>
      <c r="D445" s="3">
        <v>29</v>
      </c>
    </row>
    <row r="446" spans="1:4" x14ac:dyDescent="0.3">
      <c r="A446">
        <v>28</v>
      </c>
      <c r="B446" s="1">
        <v>38.07692307692308</v>
      </c>
      <c r="C446" s="10">
        <v>29.092970916035572</v>
      </c>
      <c r="D446" s="3">
        <v>13</v>
      </c>
    </row>
    <row r="447" spans="1:4" x14ac:dyDescent="0.3">
      <c r="A447">
        <v>22</v>
      </c>
      <c r="B447" s="1">
        <v>44.666666666666664</v>
      </c>
      <c r="C447" s="10">
        <v>33.907710064354795</v>
      </c>
      <c r="D447" s="3">
        <v>15</v>
      </c>
    </row>
    <row r="448" spans="1:4" x14ac:dyDescent="0.3">
      <c r="A448">
        <v>24</v>
      </c>
      <c r="B448" s="1">
        <v>29.5</v>
      </c>
      <c r="C448" s="10">
        <v>24.968491651808147</v>
      </c>
      <c r="D448" s="3">
        <v>18</v>
      </c>
    </row>
    <row r="449" spans="1:4" x14ac:dyDescent="0.3">
      <c r="A449">
        <v>3</v>
      </c>
      <c r="B449" s="1">
        <v>46.666666666666664</v>
      </c>
      <c r="C449" s="10">
        <v>7.4398433645985493</v>
      </c>
      <c r="D449" s="3">
        <v>3</v>
      </c>
    </row>
    <row r="450" spans="1:4" x14ac:dyDescent="0.3">
      <c r="A450">
        <v>16</v>
      </c>
      <c r="B450" s="1">
        <v>41.3</v>
      </c>
      <c r="C450" s="10">
        <v>17.786965961447766</v>
      </c>
      <c r="D450" s="3">
        <v>10</v>
      </c>
    </row>
    <row r="451" spans="1:4" x14ac:dyDescent="0.3">
      <c r="A451">
        <v>14</v>
      </c>
      <c r="B451" s="1">
        <v>29</v>
      </c>
      <c r="C451" s="10">
        <v>10.660262601178715</v>
      </c>
      <c r="D451" s="3">
        <v>7</v>
      </c>
    </row>
    <row r="452" spans="1:4" x14ac:dyDescent="0.3">
      <c r="A452">
        <v>3</v>
      </c>
      <c r="B452" s="1">
        <v>34</v>
      </c>
      <c r="C452" s="10">
        <v>6.8412465768754043</v>
      </c>
      <c r="D452" s="3">
        <v>3</v>
      </c>
    </row>
    <row r="453" spans="1:4" x14ac:dyDescent="0.3">
      <c r="A453">
        <v>4</v>
      </c>
      <c r="B453" s="1">
        <v>39</v>
      </c>
      <c r="C453" s="10">
        <v>5.2863476062821615</v>
      </c>
      <c r="D453" s="3">
        <v>3</v>
      </c>
    </row>
    <row r="454" spans="1:4" x14ac:dyDescent="0.3">
      <c r="A454">
        <v>11</v>
      </c>
      <c r="B454" s="1">
        <v>36.5</v>
      </c>
      <c r="C454" s="10">
        <v>18.378511108212464</v>
      </c>
      <c r="D454" s="3">
        <v>8</v>
      </c>
    </row>
    <row r="455" spans="1:4" x14ac:dyDescent="0.3">
      <c r="A455">
        <v>35</v>
      </c>
      <c r="B455" s="1">
        <v>26.375</v>
      </c>
      <c r="C455" s="10">
        <v>47.49966330999073</v>
      </c>
      <c r="D455" s="3">
        <v>24</v>
      </c>
    </row>
    <row r="456" spans="1:4" x14ac:dyDescent="0.3">
      <c r="A456">
        <v>2</v>
      </c>
      <c r="B456" s="1">
        <v>42</v>
      </c>
      <c r="C456" s="10">
        <v>2.355326700982852</v>
      </c>
      <c r="D456" s="3">
        <v>1</v>
      </c>
    </row>
    <row r="457" spans="1:4" x14ac:dyDescent="0.3">
      <c r="A457">
        <v>26</v>
      </c>
      <c r="B457" s="1">
        <v>41.89473684210526</v>
      </c>
      <c r="C457" s="10">
        <v>26.201428371839135</v>
      </c>
      <c r="D457" s="3">
        <v>19</v>
      </c>
    </row>
    <row r="458" spans="1:4" x14ac:dyDescent="0.3">
      <c r="A458">
        <v>23</v>
      </c>
      <c r="B458" s="1">
        <v>39.846153846153847</v>
      </c>
      <c r="C458" s="10">
        <v>26.000862494848509</v>
      </c>
      <c r="D458" s="3">
        <v>13</v>
      </c>
    </row>
    <row r="459" spans="1:4" x14ac:dyDescent="0.3">
      <c r="A459">
        <v>4</v>
      </c>
      <c r="B459" s="1">
        <v>45.5</v>
      </c>
      <c r="C459" s="10">
        <v>3.2243711023053385</v>
      </c>
      <c r="D459" s="3">
        <v>2</v>
      </c>
    </row>
    <row r="460" spans="1:4" x14ac:dyDescent="0.3">
      <c r="A460">
        <v>50</v>
      </c>
      <c r="B460" s="1">
        <v>29.238095238095237</v>
      </c>
      <c r="C460" s="10">
        <v>27.799110269255291</v>
      </c>
      <c r="D460" s="3">
        <v>21</v>
      </c>
    </row>
    <row r="461" spans="1:4" x14ac:dyDescent="0.3">
      <c r="A461">
        <v>84</v>
      </c>
      <c r="B461" s="1">
        <v>26.971428571428572</v>
      </c>
      <c r="C461" s="10">
        <v>83.403137187451236</v>
      </c>
      <c r="D461" s="3">
        <v>35</v>
      </c>
    </row>
    <row r="462" spans="1:4" x14ac:dyDescent="0.3">
      <c r="A462">
        <v>31</v>
      </c>
      <c r="B462" s="1">
        <v>28.533333333333335</v>
      </c>
      <c r="C462" s="10">
        <v>27.895480794109183</v>
      </c>
      <c r="D462" s="3">
        <v>15</v>
      </c>
    </row>
    <row r="463" spans="1:4" x14ac:dyDescent="0.3">
      <c r="A463">
        <v>5</v>
      </c>
      <c r="B463" s="1">
        <v>38.5</v>
      </c>
      <c r="C463" s="10">
        <v>9.8015192624862344</v>
      </c>
      <c r="D463" s="3">
        <v>4</v>
      </c>
    </row>
    <row r="464" spans="1:4" x14ac:dyDescent="0.3">
      <c r="A464">
        <v>24</v>
      </c>
      <c r="B464" s="1">
        <v>36.722222222222221</v>
      </c>
      <c r="C464" s="10">
        <v>36.136504739747352</v>
      </c>
      <c r="D464" s="3">
        <v>18</v>
      </c>
    </row>
    <row r="465" spans="1:4" x14ac:dyDescent="0.3">
      <c r="A465">
        <v>20</v>
      </c>
      <c r="B465" s="1">
        <v>40.307692307692307</v>
      </c>
      <c r="C465" s="10">
        <v>28.231607283815279</v>
      </c>
      <c r="D465" s="3">
        <v>13</v>
      </c>
    </row>
    <row r="466" spans="1:4" x14ac:dyDescent="0.3">
      <c r="A466">
        <v>11</v>
      </c>
      <c r="B466" s="1">
        <v>29.375</v>
      </c>
      <c r="C466" s="10">
        <v>10.566580582420801</v>
      </c>
      <c r="D466" s="3">
        <v>8</v>
      </c>
    </row>
    <row r="467" spans="1:4" x14ac:dyDescent="0.3">
      <c r="A467">
        <v>20</v>
      </c>
      <c r="B467" s="1">
        <v>37.6</v>
      </c>
      <c r="C467" s="10">
        <v>36.721292378800683</v>
      </c>
      <c r="D467" s="3">
        <v>15</v>
      </c>
    </row>
    <row r="468" spans="1:4" x14ac:dyDescent="0.3">
      <c r="A468">
        <v>27</v>
      </c>
      <c r="B468" s="1">
        <v>29.928571428571427</v>
      </c>
      <c r="C468" s="10">
        <v>23.690315072779256</v>
      </c>
      <c r="D468" s="3">
        <v>14</v>
      </c>
    </row>
    <row r="469" spans="1:4" x14ac:dyDescent="0.3">
      <c r="A469">
        <v>1</v>
      </c>
      <c r="B469" s="1">
        <v>22</v>
      </c>
      <c r="C469" s="10">
        <v>2.4338998702881791</v>
      </c>
      <c r="D469" s="3">
        <v>1</v>
      </c>
    </row>
    <row r="470" spans="1:4" x14ac:dyDescent="0.3">
      <c r="A470">
        <v>52</v>
      </c>
      <c r="B470" s="1">
        <v>31.15625</v>
      </c>
      <c r="C470" s="10">
        <v>74.609468273463989</v>
      </c>
      <c r="D470" s="3">
        <v>32</v>
      </c>
    </row>
    <row r="471" spans="1:4" x14ac:dyDescent="0.3">
      <c r="A471">
        <v>33</v>
      </c>
      <c r="B471" s="1">
        <v>42.142857142857146</v>
      </c>
      <c r="C471" s="10">
        <v>29.629384680032185</v>
      </c>
      <c r="D471" s="3">
        <v>21</v>
      </c>
    </row>
    <row r="472" spans="1:4" x14ac:dyDescent="0.3">
      <c r="A472">
        <v>60</v>
      </c>
      <c r="B472" s="1">
        <v>25.266666666666666</v>
      </c>
      <c r="C472" s="10">
        <v>47.878891062214521</v>
      </c>
      <c r="D472" s="3">
        <v>30</v>
      </c>
    </row>
    <row r="473" spans="1:4" x14ac:dyDescent="0.3">
      <c r="A473">
        <v>11</v>
      </c>
      <c r="B473" s="1">
        <v>39.5</v>
      </c>
      <c r="C473" s="10">
        <v>7.948615956668168</v>
      </c>
      <c r="D473" s="3">
        <v>6</v>
      </c>
    </row>
    <row r="474" spans="1:4" x14ac:dyDescent="0.3">
      <c r="A474">
        <v>8</v>
      </c>
      <c r="B474" s="1">
        <v>34.799999999999997</v>
      </c>
      <c r="C474" s="10">
        <v>11.594791462563245</v>
      </c>
      <c r="D474" s="3">
        <v>5</v>
      </c>
    </row>
    <row r="475" spans="1:4" x14ac:dyDescent="0.3">
      <c r="A475">
        <v>48</v>
      </c>
      <c r="B475" s="1">
        <v>26.807692307692307</v>
      </c>
      <c r="C475" s="10">
        <v>63.709577275408179</v>
      </c>
      <c r="D475" s="3">
        <v>26</v>
      </c>
    </row>
    <row r="476" spans="1:4" x14ac:dyDescent="0.3">
      <c r="A476">
        <v>64</v>
      </c>
      <c r="B476" s="1">
        <v>29.428571428571427</v>
      </c>
      <c r="C476" s="10">
        <v>69.304940021616986</v>
      </c>
      <c r="D476" s="3">
        <v>28</v>
      </c>
    </row>
    <row r="477" spans="1:4" x14ac:dyDescent="0.3">
      <c r="A477">
        <v>50</v>
      </c>
      <c r="B477" s="1">
        <v>27.083333333333332</v>
      </c>
      <c r="C477" s="10">
        <v>31.591029466418206</v>
      </c>
      <c r="D477" s="3">
        <v>24</v>
      </c>
    </row>
    <row r="478" spans="1:4" x14ac:dyDescent="0.3">
      <c r="A478">
        <v>37</v>
      </c>
      <c r="B478" s="1">
        <v>34.846153846153847</v>
      </c>
      <c r="C478" s="10">
        <v>34.232242459900547</v>
      </c>
      <c r="D478" s="3">
        <v>26</v>
      </c>
    </row>
    <row r="479" spans="1:4" x14ac:dyDescent="0.3">
      <c r="A479">
        <v>47</v>
      </c>
      <c r="B479" s="1">
        <v>33.409090909090907</v>
      </c>
      <c r="C479" s="10">
        <v>33.028473624457597</v>
      </c>
      <c r="D479" s="3">
        <v>22</v>
      </c>
    </row>
    <row r="480" spans="1:4" x14ac:dyDescent="0.3">
      <c r="A480">
        <v>11</v>
      </c>
      <c r="B480" s="1">
        <v>29.166666666666668</v>
      </c>
      <c r="C480" s="10">
        <v>11.540645513190235</v>
      </c>
      <c r="D480" s="3">
        <v>6</v>
      </c>
    </row>
    <row r="481" spans="1:4" x14ac:dyDescent="0.3">
      <c r="A481">
        <v>61</v>
      </c>
      <c r="B481" s="1">
        <v>25.277777777777779</v>
      </c>
      <c r="C481" s="10">
        <v>83.875753941905586</v>
      </c>
      <c r="D481" s="3">
        <v>36</v>
      </c>
    </row>
    <row r="482" spans="1:4" x14ac:dyDescent="0.3">
      <c r="A482">
        <v>48</v>
      </c>
      <c r="B482" s="1">
        <v>41.1</v>
      </c>
      <c r="C482" s="10">
        <v>25.193841649631324</v>
      </c>
      <c r="D482" s="3">
        <v>20</v>
      </c>
    </row>
    <row r="483" spans="1:4" x14ac:dyDescent="0.3">
      <c r="A483">
        <v>4</v>
      </c>
      <c r="B483" s="1">
        <v>34.25</v>
      </c>
      <c r="C483" s="10">
        <v>6.093799300038631</v>
      </c>
      <c r="D483" s="3">
        <v>4</v>
      </c>
    </row>
    <row r="484" spans="1:4" x14ac:dyDescent="0.3">
      <c r="A484">
        <v>48</v>
      </c>
      <c r="B484" s="1">
        <v>36.217391304347828</v>
      </c>
      <c r="C484" s="10">
        <v>37.940548313112608</v>
      </c>
      <c r="D484" s="3">
        <v>23</v>
      </c>
    </row>
    <row r="485" spans="1:4" x14ac:dyDescent="0.3">
      <c r="A485">
        <v>46</v>
      </c>
      <c r="B485" s="1">
        <v>26.366666666666667</v>
      </c>
      <c r="C485" s="10">
        <v>40.443553828500278</v>
      </c>
      <c r="D485" s="3">
        <v>30</v>
      </c>
    </row>
    <row r="486" spans="1:4" x14ac:dyDescent="0.3">
      <c r="A486">
        <v>10</v>
      </c>
      <c r="B486" s="1">
        <v>26.875</v>
      </c>
      <c r="C486" s="10">
        <v>15.42727020519939</v>
      </c>
      <c r="D486" s="3">
        <v>8</v>
      </c>
    </row>
    <row r="487" spans="1:4" x14ac:dyDescent="0.3">
      <c r="A487">
        <v>9</v>
      </c>
      <c r="B487" s="1">
        <v>28.285714285714285</v>
      </c>
      <c r="C487" s="10">
        <v>11.752593621756056</v>
      </c>
      <c r="D487" s="3">
        <v>7</v>
      </c>
    </row>
    <row r="488" spans="1:4" x14ac:dyDescent="0.3">
      <c r="A488">
        <v>27</v>
      </c>
      <c r="B488" s="1">
        <v>29.071428571428573</v>
      </c>
      <c r="C488" s="10">
        <v>22.88260884861333</v>
      </c>
      <c r="D488" s="3">
        <v>14</v>
      </c>
    </row>
    <row r="489" spans="1:4" x14ac:dyDescent="0.3">
      <c r="A489">
        <v>36</v>
      </c>
      <c r="B489" s="1">
        <v>35.058823529411768</v>
      </c>
      <c r="C489" s="10">
        <v>41.458796508652959</v>
      </c>
      <c r="D489" s="3">
        <v>17</v>
      </c>
    </row>
    <row r="490" spans="1:4" x14ac:dyDescent="0.3">
      <c r="A490">
        <v>66</v>
      </c>
      <c r="B490" s="1">
        <v>27.133333333333333</v>
      </c>
      <c r="C490" s="10">
        <v>73.888835672393668</v>
      </c>
      <c r="D490" s="3">
        <v>30</v>
      </c>
    </row>
    <row r="491" spans="1:4" x14ac:dyDescent="0.3">
      <c r="A491">
        <v>32</v>
      </c>
      <c r="B491" s="1">
        <v>38.714285714285715</v>
      </c>
      <c r="C491" s="10">
        <v>34.23387980627502</v>
      </c>
      <c r="D491" s="3">
        <v>21</v>
      </c>
    </row>
    <row r="492" spans="1:4" x14ac:dyDescent="0.3">
      <c r="A492">
        <v>4</v>
      </c>
      <c r="B492" s="1">
        <v>24</v>
      </c>
      <c r="C492" s="10">
        <v>3.104773671491643</v>
      </c>
      <c r="D492" s="3">
        <v>2</v>
      </c>
    </row>
    <row r="493" spans="1:4" x14ac:dyDescent="0.3">
      <c r="A493">
        <v>40</v>
      </c>
      <c r="B493" s="1">
        <v>27.833333333333332</v>
      </c>
      <c r="C493" s="10">
        <v>38.684403063456585</v>
      </c>
      <c r="D493" s="3">
        <v>24</v>
      </c>
    </row>
    <row r="494" spans="1:4" x14ac:dyDescent="0.3">
      <c r="A494">
        <v>80</v>
      </c>
      <c r="B494" s="1">
        <v>26.675675675675677</v>
      </c>
      <c r="C494" s="10">
        <v>74.710192533209479</v>
      </c>
      <c r="D494" s="3">
        <v>37</v>
      </c>
    </row>
    <row r="495" spans="1:4" x14ac:dyDescent="0.3">
      <c r="A495">
        <v>27</v>
      </c>
      <c r="B495" s="1">
        <v>38.4375</v>
      </c>
      <c r="C495" s="10">
        <v>36.049895294019947</v>
      </c>
      <c r="D495" s="3">
        <v>16</v>
      </c>
    </row>
    <row r="496" spans="1:4" x14ac:dyDescent="0.3">
      <c r="A496">
        <v>61</v>
      </c>
      <c r="B496" s="1">
        <v>32</v>
      </c>
      <c r="C496" s="10">
        <v>42.235141186944993</v>
      </c>
      <c r="D496" s="3">
        <v>27</v>
      </c>
    </row>
    <row r="497" spans="1:4" x14ac:dyDescent="0.3">
      <c r="A497">
        <v>25</v>
      </c>
      <c r="B497" s="1">
        <v>44.2</v>
      </c>
      <c r="C497" s="10">
        <v>23.670717271217352</v>
      </c>
      <c r="D497" s="3">
        <v>15</v>
      </c>
    </row>
    <row r="498" spans="1:4" x14ac:dyDescent="0.3">
      <c r="A498">
        <v>12</v>
      </c>
      <c r="B498" s="1">
        <v>41.333333333333336</v>
      </c>
      <c r="C498" s="10">
        <v>14.347393446317922</v>
      </c>
      <c r="D498" s="3">
        <v>6</v>
      </c>
    </row>
    <row r="499" spans="1:4" x14ac:dyDescent="0.3">
      <c r="A499">
        <v>44</v>
      </c>
      <c r="B499" s="1">
        <v>27.137931034482758</v>
      </c>
      <c r="C499" s="10">
        <v>49.179983835677056</v>
      </c>
      <c r="D499" s="3">
        <v>29</v>
      </c>
    </row>
    <row r="500" spans="1:4" x14ac:dyDescent="0.3">
      <c r="A500">
        <v>46</v>
      </c>
      <c r="B500" s="1">
        <v>27.357142857142858</v>
      </c>
      <c r="C500" s="10">
        <v>44.483531645856488</v>
      </c>
      <c r="D500" s="3">
        <v>28</v>
      </c>
    </row>
    <row r="501" spans="1:4" x14ac:dyDescent="0.3">
      <c r="A501">
        <v>17</v>
      </c>
      <c r="B501" s="1">
        <v>31</v>
      </c>
      <c r="C501" s="10">
        <v>15.98771295607869</v>
      </c>
      <c r="D501" s="3">
        <v>9</v>
      </c>
    </row>
    <row r="502" spans="1:4" x14ac:dyDescent="0.3">
      <c r="A502">
        <v>27</v>
      </c>
      <c r="B502" s="1">
        <v>26.142857142857142</v>
      </c>
      <c r="C502" s="10">
        <v>30.624312398548774</v>
      </c>
      <c r="D502" s="3">
        <v>14</v>
      </c>
    </row>
    <row r="503" spans="1:4" x14ac:dyDescent="0.3">
      <c r="A503">
        <v>21</v>
      </c>
      <c r="B503" s="1">
        <v>36.81818181818182</v>
      </c>
      <c r="C503" s="10">
        <v>24.089179579558234</v>
      </c>
      <c r="D503" s="3">
        <v>11</v>
      </c>
    </row>
    <row r="504" spans="1:4" x14ac:dyDescent="0.3">
      <c r="A504">
        <v>32</v>
      </c>
      <c r="B504" s="1">
        <v>27.625</v>
      </c>
      <c r="C504" s="10">
        <v>31.465677423723328</v>
      </c>
      <c r="D504" s="3">
        <v>16</v>
      </c>
    </row>
    <row r="505" spans="1:4" x14ac:dyDescent="0.3">
      <c r="A505">
        <v>10</v>
      </c>
      <c r="B505" s="1">
        <v>45.333333333333336</v>
      </c>
      <c r="C505" s="10">
        <v>14.048558978983788</v>
      </c>
      <c r="D505" s="3">
        <v>6</v>
      </c>
    </row>
    <row r="506" spans="1:4" x14ac:dyDescent="0.3">
      <c r="A506">
        <v>5</v>
      </c>
      <c r="B506" s="1">
        <v>28.333333333333332</v>
      </c>
      <c r="C506" s="10">
        <v>4.5490329900172437</v>
      </c>
      <c r="D506" s="3">
        <v>3</v>
      </c>
    </row>
    <row r="507" spans="1:4" x14ac:dyDescent="0.3">
      <c r="A507">
        <v>16</v>
      </c>
      <c r="B507" s="1">
        <v>43.666666666666664</v>
      </c>
      <c r="C507" s="10">
        <v>16.318567791243311</v>
      </c>
      <c r="D507" s="3">
        <v>9</v>
      </c>
    </row>
    <row r="508" spans="1:4" x14ac:dyDescent="0.3">
      <c r="A508">
        <v>19</v>
      </c>
      <c r="B508" s="1">
        <v>43.454545454545453</v>
      </c>
      <c r="C508" s="10">
        <v>14.102549773526682</v>
      </c>
      <c r="D508" s="3">
        <v>11</v>
      </c>
    </row>
    <row r="509" spans="1:4" x14ac:dyDescent="0.3">
      <c r="A509">
        <v>43</v>
      </c>
      <c r="B509" s="1">
        <v>36.730769230769234</v>
      </c>
      <c r="C509" s="10">
        <v>62.703269519552613</v>
      </c>
      <c r="D509" s="3">
        <v>26</v>
      </c>
    </row>
    <row r="510" spans="1:4" x14ac:dyDescent="0.3">
      <c r="A510">
        <v>30</v>
      </c>
      <c r="B510" s="1">
        <v>28.357142857142858</v>
      </c>
      <c r="C510" s="10">
        <v>34.748129847443572</v>
      </c>
      <c r="D510" s="3">
        <v>14</v>
      </c>
    </row>
    <row r="511" spans="1:4" x14ac:dyDescent="0.3">
      <c r="A511">
        <v>14</v>
      </c>
      <c r="B511" s="1">
        <v>36.444444444444443</v>
      </c>
      <c r="C511" s="10">
        <v>18.895814819049416</v>
      </c>
      <c r="D511" s="3">
        <v>9</v>
      </c>
    </row>
    <row r="512" spans="1:4" x14ac:dyDescent="0.3">
      <c r="A512">
        <v>5</v>
      </c>
      <c r="B512" s="1">
        <v>38.666666666666664</v>
      </c>
      <c r="C512" s="10">
        <v>5.4928010805546243</v>
      </c>
      <c r="D512" s="3">
        <v>3</v>
      </c>
    </row>
    <row r="513" spans="1:4" x14ac:dyDescent="0.3">
      <c r="A513">
        <v>25</v>
      </c>
      <c r="B513" s="1">
        <v>30.473684210526315</v>
      </c>
      <c r="C513" s="10">
        <v>28.62060722521835</v>
      </c>
      <c r="D513" s="3">
        <v>19</v>
      </c>
    </row>
    <row r="514" spans="1:4" x14ac:dyDescent="0.3">
      <c r="A514">
        <v>10</v>
      </c>
      <c r="B514" s="1">
        <v>32.571428571428569</v>
      </c>
      <c r="C514" s="10">
        <v>16.545075989579999</v>
      </c>
      <c r="D514" s="3">
        <v>7</v>
      </c>
    </row>
    <row r="515" spans="1:4" x14ac:dyDescent="0.3">
      <c r="A515">
        <v>11</v>
      </c>
      <c r="B515" s="1">
        <v>37.888888888888886</v>
      </c>
      <c r="C515" s="10">
        <v>18.635138083351563</v>
      </c>
      <c r="D515" s="3">
        <v>9</v>
      </c>
    </row>
    <row r="516" spans="1:4" x14ac:dyDescent="0.3">
      <c r="A516">
        <v>23</v>
      </c>
      <c r="B516" s="1">
        <v>42.07692307692308</v>
      </c>
      <c r="C516" s="10">
        <v>28.880902702035598</v>
      </c>
      <c r="D516" s="3">
        <v>13</v>
      </c>
    </row>
    <row r="517" spans="1:4" x14ac:dyDescent="0.3">
      <c r="A517">
        <v>20</v>
      </c>
      <c r="B517" s="1">
        <v>37.583333333333336</v>
      </c>
      <c r="C517" s="10">
        <v>21.422387928642458</v>
      </c>
      <c r="D517" s="3">
        <v>12</v>
      </c>
    </row>
    <row r="518" spans="1:4" x14ac:dyDescent="0.3">
      <c r="A518">
        <v>47</v>
      </c>
      <c r="B518" s="1">
        <v>41.125</v>
      </c>
      <c r="C518" s="10">
        <v>30.380085439312101</v>
      </c>
      <c r="D518" s="3">
        <v>24</v>
      </c>
    </row>
    <row r="519" spans="1:4" x14ac:dyDescent="0.3">
      <c r="A519">
        <v>30</v>
      </c>
      <c r="B519" s="1">
        <v>41.06666666666667</v>
      </c>
      <c r="C519" s="10">
        <v>19.22550803084847</v>
      </c>
      <c r="D519" s="3">
        <v>15</v>
      </c>
    </row>
    <row r="520" spans="1:4" x14ac:dyDescent="0.3">
      <c r="A520">
        <v>4</v>
      </c>
      <c r="B520" s="1">
        <v>31.666666666666668</v>
      </c>
      <c r="C520" s="10">
        <v>6.717128207715124</v>
      </c>
      <c r="D520" s="3">
        <v>3</v>
      </c>
    </row>
    <row r="521" spans="1:4" x14ac:dyDescent="0.3">
      <c r="A521">
        <v>10</v>
      </c>
      <c r="B521" s="1">
        <v>29</v>
      </c>
      <c r="C521" s="10">
        <v>12.702256262153144</v>
      </c>
      <c r="D521" s="3">
        <v>7</v>
      </c>
    </row>
    <row r="522" spans="1:4" x14ac:dyDescent="0.3">
      <c r="A522">
        <v>4</v>
      </c>
      <c r="B522" s="1">
        <v>32</v>
      </c>
      <c r="C522" s="10">
        <v>6.8789854852594328</v>
      </c>
      <c r="D522" s="3">
        <v>4</v>
      </c>
    </row>
    <row r="523" spans="1:4" x14ac:dyDescent="0.3">
      <c r="A523">
        <v>15</v>
      </c>
      <c r="B523" s="1">
        <v>26.625</v>
      </c>
      <c r="C523" s="10">
        <v>12.945941998504352</v>
      </c>
      <c r="D523" s="3">
        <v>8</v>
      </c>
    </row>
    <row r="524" spans="1:4" x14ac:dyDescent="0.3">
      <c r="A524">
        <v>2</v>
      </c>
      <c r="B524" s="1">
        <v>29</v>
      </c>
      <c r="C524" s="10">
        <v>3.7235792859775558</v>
      </c>
      <c r="D524" s="3">
        <v>2</v>
      </c>
    </row>
    <row r="525" spans="1:4" x14ac:dyDescent="0.3">
      <c r="A525">
        <v>36</v>
      </c>
      <c r="B525" s="1">
        <v>24.941176470588236</v>
      </c>
      <c r="C525" s="10">
        <v>31.989675806779754</v>
      </c>
      <c r="D525" s="3">
        <v>17</v>
      </c>
    </row>
    <row r="526" spans="1:4" x14ac:dyDescent="0.3">
      <c r="A526">
        <v>21</v>
      </c>
      <c r="B526" s="1">
        <v>39.692307692307693</v>
      </c>
      <c r="C526" s="10">
        <v>18.25177450040011</v>
      </c>
      <c r="D526" s="3">
        <v>13</v>
      </c>
    </row>
    <row r="527" spans="1:4" x14ac:dyDescent="0.3">
      <c r="A527">
        <v>4</v>
      </c>
      <c r="B527" s="1">
        <v>24.333333333333332</v>
      </c>
      <c r="C527" s="10">
        <v>7.2236710463039877</v>
      </c>
      <c r="D527" s="3">
        <v>3</v>
      </c>
    </row>
    <row r="528" spans="1:4" x14ac:dyDescent="0.3">
      <c r="A528">
        <v>4</v>
      </c>
      <c r="B528" s="1">
        <v>36.5</v>
      </c>
      <c r="C528" s="10">
        <v>9.101907586331178</v>
      </c>
      <c r="D528" s="3">
        <v>4</v>
      </c>
    </row>
    <row r="529" spans="1:4" x14ac:dyDescent="0.3">
      <c r="A529">
        <v>3</v>
      </c>
      <c r="B529" s="1">
        <v>29.5</v>
      </c>
      <c r="C529" s="10">
        <v>2.9544336736205787</v>
      </c>
      <c r="D529" s="3">
        <v>2</v>
      </c>
    </row>
    <row r="530" spans="1:4" x14ac:dyDescent="0.3">
      <c r="A530">
        <v>10</v>
      </c>
      <c r="B530" s="1">
        <v>24.625</v>
      </c>
      <c r="C530" s="10">
        <v>11.414478726110337</v>
      </c>
      <c r="D530" s="3">
        <v>8</v>
      </c>
    </row>
    <row r="531" spans="1:4" x14ac:dyDescent="0.3">
      <c r="A531">
        <v>20</v>
      </c>
      <c r="B531" s="1">
        <v>35.866666666666667</v>
      </c>
      <c r="C531" s="10">
        <v>20.251889191313438</v>
      </c>
      <c r="D531" s="3">
        <v>15</v>
      </c>
    </row>
    <row r="532" spans="1:4" x14ac:dyDescent="0.3">
      <c r="A532">
        <v>48</v>
      </c>
      <c r="B532" s="1">
        <v>29.545454545454547</v>
      </c>
      <c r="C532" s="10">
        <v>37.453811004174284</v>
      </c>
      <c r="D532" s="3">
        <v>22</v>
      </c>
    </row>
    <row r="533" spans="1:4" x14ac:dyDescent="0.3">
      <c r="A533">
        <v>46</v>
      </c>
      <c r="B533" s="1">
        <v>35.450000000000003</v>
      </c>
      <c r="C533" s="10">
        <v>41.24371769916749</v>
      </c>
      <c r="D533" s="3">
        <v>20</v>
      </c>
    </row>
    <row r="534" spans="1:4" x14ac:dyDescent="0.3">
      <c r="A534">
        <v>48</v>
      </c>
      <c r="B534" s="1">
        <v>31.96153846153846</v>
      </c>
      <c r="C534" s="10">
        <v>43.627778586397177</v>
      </c>
      <c r="D534" s="3">
        <v>26</v>
      </c>
    </row>
    <row r="535" spans="1:4" x14ac:dyDescent="0.3">
      <c r="A535">
        <v>56</v>
      </c>
      <c r="B535" s="1">
        <v>25.148148148148149</v>
      </c>
      <c r="C535" s="10">
        <v>55.445758076403003</v>
      </c>
      <c r="D535" s="3">
        <v>27</v>
      </c>
    </row>
    <row r="536" spans="1:4" x14ac:dyDescent="0.3">
      <c r="A536">
        <v>26</v>
      </c>
      <c r="B536" s="1">
        <v>37.133333333333333</v>
      </c>
      <c r="C536" s="10">
        <v>25.79182180372969</v>
      </c>
      <c r="D536" s="3">
        <v>15</v>
      </c>
    </row>
    <row r="537" spans="1:4" x14ac:dyDescent="0.3">
      <c r="A537">
        <v>37</v>
      </c>
      <c r="B537" s="1">
        <v>38.454545454545453</v>
      </c>
      <c r="C537" s="10">
        <v>32.133625621669722</v>
      </c>
      <c r="D537" s="3">
        <v>22</v>
      </c>
    </row>
    <row r="538" spans="1:4" x14ac:dyDescent="0.3">
      <c r="A538">
        <v>45</v>
      </c>
      <c r="B538" s="1">
        <v>32.652173913043477</v>
      </c>
      <c r="C538" s="10">
        <v>46.42516793122369</v>
      </c>
      <c r="D538" s="3">
        <v>23</v>
      </c>
    </row>
    <row r="539" spans="1:4" x14ac:dyDescent="0.3">
      <c r="A539">
        <v>8</v>
      </c>
      <c r="B539" s="1">
        <v>33</v>
      </c>
      <c r="C539" s="10">
        <v>8.0632312463781304</v>
      </c>
      <c r="D539" s="3">
        <v>5</v>
      </c>
    </row>
    <row r="540" spans="1:4" x14ac:dyDescent="0.3">
      <c r="A540">
        <v>31</v>
      </c>
      <c r="B540" s="1">
        <v>30.071428571428573</v>
      </c>
      <c r="C540" s="10">
        <v>33.627893582879757</v>
      </c>
      <c r="D540" s="3">
        <v>14</v>
      </c>
    </row>
    <row r="541" spans="1:4" x14ac:dyDescent="0.3">
      <c r="A541">
        <v>9</v>
      </c>
      <c r="B541" s="1">
        <v>36</v>
      </c>
      <c r="C541" s="10">
        <v>11.386573086393463</v>
      </c>
      <c r="D541" s="3">
        <v>5</v>
      </c>
    </row>
    <row r="542" spans="1:4" x14ac:dyDescent="0.3">
      <c r="A542">
        <v>29</v>
      </c>
      <c r="B542" s="1">
        <v>38.785714285714285</v>
      </c>
      <c r="C542" s="10">
        <v>34.990317827276947</v>
      </c>
      <c r="D542" s="3">
        <v>14</v>
      </c>
    </row>
    <row r="543" spans="1:4" x14ac:dyDescent="0.3">
      <c r="A543">
        <v>18</v>
      </c>
      <c r="B543" s="1">
        <v>36.133333333333333</v>
      </c>
      <c r="C543" s="10">
        <v>25.530786101809973</v>
      </c>
      <c r="D543" s="3">
        <v>15</v>
      </c>
    </row>
    <row r="544" spans="1:4" x14ac:dyDescent="0.3">
      <c r="A544">
        <v>50</v>
      </c>
      <c r="B544" s="1">
        <v>31.793103448275861</v>
      </c>
      <c r="C544" s="10">
        <v>53.315886569992294</v>
      </c>
      <c r="D544" s="3">
        <v>29</v>
      </c>
    </row>
    <row r="545" spans="1:4" x14ac:dyDescent="0.3">
      <c r="A545">
        <v>55</v>
      </c>
      <c r="B545" s="1">
        <v>25.75</v>
      </c>
      <c r="C545" s="10">
        <v>46.324471553623411</v>
      </c>
      <c r="D545" s="3">
        <v>32</v>
      </c>
    </row>
    <row r="546" spans="1:4" x14ac:dyDescent="0.3">
      <c r="A546">
        <v>33</v>
      </c>
      <c r="B546" s="1">
        <v>34.4375</v>
      </c>
      <c r="C546" s="10">
        <v>31.93190173628313</v>
      </c>
      <c r="D546" s="3">
        <v>16</v>
      </c>
    </row>
    <row r="547" spans="1:4" x14ac:dyDescent="0.3">
      <c r="A547">
        <v>2</v>
      </c>
      <c r="B547" s="1">
        <v>52</v>
      </c>
      <c r="C547" s="10">
        <v>1.7458189956554442</v>
      </c>
      <c r="D547" s="3">
        <v>1</v>
      </c>
    </row>
    <row r="548" spans="1:4" x14ac:dyDescent="0.3">
      <c r="A548">
        <v>40</v>
      </c>
      <c r="B548" s="1">
        <v>38.80952380952381</v>
      </c>
      <c r="C548" s="10">
        <v>36.139915313832887</v>
      </c>
      <c r="D548" s="3">
        <v>21</v>
      </c>
    </row>
    <row r="549" spans="1:4" x14ac:dyDescent="0.3">
      <c r="A549">
        <v>7</v>
      </c>
      <c r="B549" s="1">
        <v>38.799999999999997</v>
      </c>
      <c r="C549" s="10">
        <v>7.5339004636266882</v>
      </c>
      <c r="D549" s="3">
        <v>5</v>
      </c>
    </row>
    <row r="550" spans="1:4" x14ac:dyDescent="0.3">
      <c r="A550">
        <v>15</v>
      </c>
      <c r="B550" s="1">
        <v>27.142857142857142</v>
      </c>
      <c r="C550" s="10">
        <v>10.588937835349062</v>
      </c>
      <c r="D550" s="3">
        <v>7</v>
      </c>
    </row>
    <row r="551" spans="1:4" x14ac:dyDescent="0.3">
      <c r="A551">
        <v>42</v>
      </c>
      <c r="B551" s="1">
        <v>35.5</v>
      </c>
      <c r="C551" s="10">
        <v>41.623774533297834</v>
      </c>
      <c r="D551" s="3">
        <v>28</v>
      </c>
    </row>
    <row r="552" spans="1:4" x14ac:dyDescent="0.3">
      <c r="A552">
        <v>26</v>
      </c>
      <c r="B552" s="1">
        <v>38</v>
      </c>
      <c r="C552" s="10">
        <v>19.522752496300811</v>
      </c>
      <c r="D552" s="3">
        <v>15</v>
      </c>
    </row>
    <row r="553" spans="1:4" x14ac:dyDescent="0.3">
      <c r="A553">
        <v>14</v>
      </c>
      <c r="B553" s="1">
        <v>31.285714285714285</v>
      </c>
      <c r="C553" s="10">
        <v>9.5730131017322471</v>
      </c>
      <c r="D553" s="3">
        <v>7</v>
      </c>
    </row>
    <row r="554" spans="1:4" x14ac:dyDescent="0.3">
      <c r="A554">
        <v>13</v>
      </c>
      <c r="B554" s="1">
        <v>27.3</v>
      </c>
      <c r="C554" s="10">
        <v>18.308710873419717</v>
      </c>
      <c r="D554" s="3">
        <v>10</v>
      </c>
    </row>
    <row r="555" spans="1:4" x14ac:dyDescent="0.3">
      <c r="A555">
        <v>12</v>
      </c>
      <c r="B555" s="1">
        <v>41.833333333333336</v>
      </c>
      <c r="C555" s="10">
        <v>8.3275889938812782</v>
      </c>
      <c r="D555" s="3">
        <v>6</v>
      </c>
    </row>
    <row r="556" spans="1:4" x14ac:dyDescent="0.3">
      <c r="A556">
        <v>23</v>
      </c>
      <c r="B556" s="1">
        <v>37.454545454545453</v>
      </c>
      <c r="C556" s="10">
        <v>23.848912389311845</v>
      </c>
      <c r="D556" s="3">
        <v>11</v>
      </c>
    </row>
    <row r="557" spans="1:4" x14ac:dyDescent="0.3">
      <c r="A557">
        <v>15</v>
      </c>
      <c r="B557" s="1">
        <v>31.142857142857142</v>
      </c>
      <c r="C557" s="10">
        <v>14.261016399204092</v>
      </c>
      <c r="D557" s="3">
        <v>7</v>
      </c>
    </row>
    <row r="558" spans="1:4" x14ac:dyDescent="0.3">
      <c r="A558">
        <v>39</v>
      </c>
      <c r="B558" s="1">
        <v>37.611111111111114</v>
      </c>
      <c r="C558" s="10">
        <v>26.742616245056897</v>
      </c>
      <c r="D558" s="3">
        <v>18</v>
      </c>
    </row>
    <row r="559" spans="1:4" x14ac:dyDescent="0.3">
      <c r="A559">
        <v>16</v>
      </c>
      <c r="B559" s="1">
        <v>28.23076923076923</v>
      </c>
      <c r="C559" s="10">
        <v>18.667349032283656</v>
      </c>
      <c r="D559" s="3">
        <v>13</v>
      </c>
    </row>
    <row r="560" spans="1:4" x14ac:dyDescent="0.3">
      <c r="A560">
        <v>38</v>
      </c>
      <c r="B560" s="1">
        <v>30.333333333333332</v>
      </c>
      <c r="C560" s="10">
        <v>23.502276231375792</v>
      </c>
      <c r="D560" s="3">
        <v>18</v>
      </c>
    </row>
    <row r="561" spans="1:4" x14ac:dyDescent="0.3">
      <c r="A561">
        <v>30</v>
      </c>
      <c r="B561" s="1">
        <v>38.210526315789473</v>
      </c>
      <c r="C561" s="10">
        <v>38.882913418981168</v>
      </c>
      <c r="D561" s="3">
        <v>19</v>
      </c>
    </row>
    <row r="562" spans="1:4" x14ac:dyDescent="0.3">
      <c r="A562">
        <v>21</v>
      </c>
      <c r="B562" s="1">
        <v>38.545454545454547</v>
      </c>
      <c r="C562" s="10">
        <v>23.086200303858128</v>
      </c>
      <c r="D562" s="3">
        <v>11</v>
      </c>
    </row>
    <row r="563" spans="1:4" x14ac:dyDescent="0.3">
      <c r="A563">
        <v>13</v>
      </c>
      <c r="B563" s="1">
        <v>34.714285714285715</v>
      </c>
      <c r="C563" s="10">
        <v>11.1998859025414</v>
      </c>
      <c r="D563" s="3">
        <v>7</v>
      </c>
    </row>
    <row r="564" spans="1:4" x14ac:dyDescent="0.3">
      <c r="A564">
        <v>8</v>
      </c>
      <c r="B564" s="1">
        <v>44.333333333333336</v>
      </c>
      <c r="C564" s="10">
        <v>12.538185522269261</v>
      </c>
      <c r="D564" s="3">
        <v>6</v>
      </c>
    </row>
    <row r="565" spans="1:4" x14ac:dyDescent="0.3">
      <c r="A565">
        <v>32</v>
      </c>
      <c r="B565" s="1">
        <v>24.722222222222221</v>
      </c>
      <c r="C565" s="10">
        <v>35.78293246958561</v>
      </c>
      <c r="D565" s="3">
        <v>18</v>
      </c>
    </row>
    <row r="566" spans="1:4" x14ac:dyDescent="0.3">
      <c r="A566">
        <v>34</v>
      </c>
      <c r="B566" s="1">
        <v>31</v>
      </c>
      <c r="C566" s="10">
        <v>47.479779639929603</v>
      </c>
      <c r="D566" s="3">
        <v>21</v>
      </c>
    </row>
    <row r="567" spans="1:4" x14ac:dyDescent="0.3">
      <c r="A567">
        <v>24</v>
      </c>
      <c r="B567" s="1">
        <v>33.058823529411768</v>
      </c>
      <c r="C567" s="10">
        <v>39.234082843224286</v>
      </c>
      <c r="D567" s="3">
        <v>17</v>
      </c>
    </row>
    <row r="568" spans="1:4" x14ac:dyDescent="0.3">
      <c r="A568">
        <v>43</v>
      </c>
      <c r="B568" s="1">
        <v>33.476190476190474</v>
      </c>
      <c r="C568" s="10">
        <v>50.242038483028651</v>
      </c>
      <c r="D568" s="3">
        <v>21</v>
      </c>
    </row>
    <row r="569" spans="1:4" x14ac:dyDescent="0.3">
      <c r="A569">
        <v>18</v>
      </c>
      <c r="B569" s="1">
        <v>44.2</v>
      </c>
      <c r="C569" s="10">
        <v>20.110450217774538</v>
      </c>
      <c r="D569" s="3">
        <v>10</v>
      </c>
    </row>
    <row r="570" spans="1:4" x14ac:dyDescent="0.3">
      <c r="A570">
        <v>1</v>
      </c>
      <c r="B570" s="1">
        <v>27</v>
      </c>
      <c r="C570" s="10">
        <v>1.5814250538941577</v>
      </c>
      <c r="D570" s="3">
        <v>1</v>
      </c>
    </row>
    <row r="571" spans="1:4" x14ac:dyDescent="0.3">
      <c r="A571">
        <v>4</v>
      </c>
      <c r="B571" s="1">
        <v>31.666666666666668</v>
      </c>
      <c r="C571" s="10">
        <v>5.3587822738562654</v>
      </c>
      <c r="D571" s="3">
        <v>3</v>
      </c>
    </row>
    <row r="572" spans="1:4" x14ac:dyDescent="0.3">
      <c r="A572">
        <v>9</v>
      </c>
      <c r="B572" s="1">
        <v>44</v>
      </c>
      <c r="C572" s="10">
        <v>12.747390889616973</v>
      </c>
      <c r="D572" s="3">
        <v>7</v>
      </c>
    </row>
    <row r="573" spans="1:4" x14ac:dyDescent="0.3">
      <c r="A573">
        <v>6</v>
      </c>
      <c r="B573" s="1">
        <v>31.5</v>
      </c>
      <c r="C573" s="10">
        <v>8.8537980907468032</v>
      </c>
      <c r="D573" s="3">
        <v>4</v>
      </c>
    </row>
    <row r="574" spans="1:4" x14ac:dyDescent="0.3">
      <c r="A574">
        <v>23</v>
      </c>
      <c r="B574" s="1">
        <v>43.07692307692308</v>
      </c>
      <c r="C574" s="10">
        <v>30.455122152604069</v>
      </c>
      <c r="D574" s="3">
        <v>13</v>
      </c>
    </row>
    <row r="575" spans="1:4" x14ac:dyDescent="0.3">
      <c r="A575">
        <v>45</v>
      </c>
      <c r="B575" s="1">
        <v>29.391304347826086</v>
      </c>
      <c r="C575" s="10">
        <v>50.941414456283347</v>
      </c>
      <c r="D575" s="3">
        <v>23</v>
      </c>
    </row>
    <row r="576" spans="1:4" x14ac:dyDescent="0.3">
      <c r="A576">
        <v>15</v>
      </c>
      <c r="B576" s="1">
        <v>30</v>
      </c>
      <c r="C576" s="10">
        <v>14.700611592895676</v>
      </c>
      <c r="D576" s="3">
        <v>8</v>
      </c>
    </row>
    <row r="577" spans="1:4" x14ac:dyDescent="0.3">
      <c r="A577">
        <v>9</v>
      </c>
      <c r="B577" s="1">
        <v>25.833333333333332</v>
      </c>
      <c r="C577" s="10">
        <v>11.830967649623558</v>
      </c>
      <c r="D577" s="3">
        <v>6</v>
      </c>
    </row>
    <row r="578" spans="1:4" x14ac:dyDescent="0.3">
      <c r="A578">
        <v>10</v>
      </c>
      <c r="B578" s="1">
        <v>31.4</v>
      </c>
      <c r="C578" s="10">
        <v>6.7763035766489734</v>
      </c>
      <c r="D578" s="3">
        <v>5</v>
      </c>
    </row>
    <row r="579" spans="1:4" x14ac:dyDescent="0.3">
      <c r="A579">
        <v>29</v>
      </c>
      <c r="B579" s="1">
        <v>36.6</v>
      </c>
      <c r="C579" s="10">
        <v>45.263935177527621</v>
      </c>
      <c r="D579" s="3">
        <v>20</v>
      </c>
    </row>
    <row r="580" spans="1:4" x14ac:dyDescent="0.3">
      <c r="A580">
        <v>21</v>
      </c>
      <c r="B580" s="1">
        <v>31.692307692307693</v>
      </c>
      <c r="C580" s="10">
        <v>30.700406808848879</v>
      </c>
      <c r="D580" s="3">
        <v>13</v>
      </c>
    </row>
    <row r="581" spans="1:4" x14ac:dyDescent="0.3">
      <c r="A581">
        <v>20</v>
      </c>
      <c r="B581" s="1">
        <v>35.299999999999997</v>
      </c>
      <c r="C581" s="10">
        <v>23.516980698185151</v>
      </c>
      <c r="D581" s="3">
        <v>10</v>
      </c>
    </row>
    <row r="582" spans="1:4" x14ac:dyDescent="0.3">
      <c r="A582">
        <v>12</v>
      </c>
      <c r="B582" s="1">
        <v>35.666666666666664</v>
      </c>
      <c r="C582" s="10">
        <v>12.711058645474475</v>
      </c>
      <c r="D582" s="3">
        <v>9</v>
      </c>
    </row>
    <row r="583" spans="1:4" x14ac:dyDescent="0.3">
      <c r="A583">
        <v>19</v>
      </c>
      <c r="B583" s="1">
        <v>44.428571428571431</v>
      </c>
      <c r="C583" s="10">
        <v>24.542219818610803</v>
      </c>
      <c r="D583" s="3">
        <v>14</v>
      </c>
    </row>
    <row r="584" spans="1:4" x14ac:dyDescent="0.3">
      <c r="A584">
        <v>49</v>
      </c>
      <c r="B584" s="1">
        <v>27.620689655172413</v>
      </c>
      <c r="C584" s="10">
        <v>63.618854190361048</v>
      </c>
      <c r="D584" s="3">
        <v>29</v>
      </c>
    </row>
    <row r="585" spans="1:4" x14ac:dyDescent="0.3">
      <c r="A585">
        <v>46</v>
      </c>
      <c r="B585" s="1">
        <v>31.8</v>
      </c>
      <c r="C585" s="10">
        <v>49.614957453754648</v>
      </c>
      <c r="D585" s="3">
        <v>30</v>
      </c>
    </row>
    <row r="586" spans="1:4" x14ac:dyDescent="0.3">
      <c r="A586">
        <v>26</v>
      </c>
      <c r="B586" s="1">
        <v>30.777777777777779</v>
      </c>
      <c r="C586" s="10">
        <v>39.806404757682195</v>
      </c>
      <c r="D586" s="3">
        <v>18</v>
      </c>
    </row>
    <row r="587" spans="1:4" x14ac:dyDescent="0.3">
      <c r="A587">
        <v>55</v>
      </c>
      <c r="B587" s="1">
        <v>28.677419354838708</v>
      </c>
      <c r="C587" s="10">
        <v>68.651150621665849</v>
      </c>
      <c r="D587" s="3">
        <v>31</v>
      </c>
    </row>
    <row r="588" spans="1:4" x14ac:dyDescent="0.3">
      <c r="A588">
        <v>50</v>
      </c>
      <c r="B588" s="1">
        <v>26.607142857142858</v>
      </c>
      <c r="C588" s="10">
        <v>60.758647442365344</v>
      </c>
      <c r="D588" s="3">
        <v>28</v>
      </c>
    </row>
    <row r="589" spans="1:4" x14ac:dyDescent="0.3">
      <c r="A589">
        <v>11</v>
      </c>
      <c r="B589" s="1">
        <v>33.666666666666664</v>
      </c>
      <c r="C589" s="10">
        <v>13.238668834582555</v>
      </c>
      <c r="D589" s="3">
        <v>6</v>
      </c>
    </row>
    <row r="590" spans="1:4" x14ac:dyDescent="0.3">
      <c r="A590">
        <v>11</v>
      </c>
      <c r="B590" s="1">
        <v>40.888888888888886</v>
      </c>
      <c r="C590" s="10">
        <v>15.2330653454563</v>
      </c>
      <c r="D590" s="3">
        <v>9</v>
      </c>
    </row>
    <row r="591" spans="1:4" x14ac:dyDescent="0.3">
      <c r="A591">
        <v>33</v>
      </c>
      <c r="B591" s="1">
        <v>45.705882352941174</v>
      </c>
      <c r="C591" s="10">
        <v>32.147834805662555</v>
      </c>
      <c r="D591" s="3">
        <v>17</v>
      </c>
    </row>
    <row r="592" spans="1:4" x14ac:dyDescent="0.3">
      <c r="A592">
        <v>20</v>
      </c>
      <c r="B592" s="1">
        <v>41.636363636363633</v>
      </c>
      <c r="C592" s="10">
        <v>24.164102416203477</v>
      </c>
      <c r="D592" s="3">
        <v>11</v>
      </c>
    </row>
    <row r="593" spans="1:4" x14ac:dyDescent="0.3">
      <c r="A593">
        <v>43</v>
      </c>
      <c r="B593" s="1">
        <v>31.9</v>
      </c>
      <c r="C593" s="10">
        <v>48.497192998070474</v>
      </c>
      <c r="D593" s="3">
        <v>20</v>
      </c>
    </row>
    <row r="594" spans="1:4" x14ac:dyDescent="0.3">
      <c r="A594">
        <v>39</v>
      </c>
      <c r="B594" s="1">
        <v>30.684210526315791</v>
      </c>
      <c r="C594" s="10">
        <v>47.010596724455418</v>
      </c>
      <c r="D594" s="3">
        <v>19</v>
      </c>
    </row>
    <row r="595" spans="1:4" x14ac:dyDescent="0.3">
      <c r="A595">
        <v>56</v>
      </c>
      <c r="B595" s="1">
        <v>38.24</v>
      </c>
      <c r="C595" s="10">
        <v>35.48050992662094</v>
      </c>
      <c r="D595" s="3">
        <v>25</v>
      </c>
    </row>
    <row r="596" spans="1:4" x14ac:dyDescent="0.3">
      <c r="A596">
        <v>23</v>
      </c>
      <c r="B596" s="1">
        <v>41.727272727272727</v>
      </c>
      <c r="C596" s="10">
        <v>25.763978089988207</v>
      </c>
      <c r="D596" s="3">
        <v>11</v>
      </c>
    </row>
    <row r="597" spans="1:4" x14ac:dyDescent="0.3">
      <c r="A597">
        <v>30</v>
      </c>
      <c r="B597" s="1">
        <v>41.388888888888886</v>
      </c>
      <c r="C597" s="10">
        <v>27.378926126214704</v>
      </c>
      <c r="D597" s="3">
        <v>18</v>
      </c>
    </row>
    <row r="598" spans="1:4" x14ac:dyDescent="0.3">
      <c r="A598">
        <v>3</v>
      </c>
      <c r="B598" s="1">
        <v>28.5</v>
      </c>
      <c r="C598" s="10">
        <v>4.3162855148202928</v>
      </c>
      <c r="D598" s="3">
        <v>2</v>
      </c>
    </row>
    <row r="599" spans="1:4" x14ac:dyDescent="0.3">
      <c r="A599">
        <v>72</v>
      </c>
      <c r="B599" s="1">
        <v>30.75</v>
      </c>
      <c r="C599" s="10">
        <v>66.094120867538876</v>
      </c>
      <c r="D599" s="3">
        <v>32</v>
      </c>
    </row>
    <row r="600" spans="1:4" x14ac:dyDescent="0.3">
      <c r="A600">
        <v>20</v>
      </c>
      <c r="B600" s="1">
        <v>39.1</v>
      </c>
      <c r="C600" s="10">
        <v>22.283953115489368</v>
      </c>
      <c r="D600" s="3">
        <v>10</v>
      </c>
    </row>
    <row r="601" spans="1:4" x14ac:dyDescent="0.3">
      <c r="A601">
        <v>19</v>
      </c>
      <c r="B601" s="1">
        <v>32.666666666666664</v>
      </c>
      <c r="C601" s="10">
        <v>12.194517644930359</v>
      </c>
      <c r="D601" s="3">
        <v>9</v>
      </c>
    </row>
    <row r="602" spans="1:4" x14ac:dyDescent="0.3">
      <c r="A602">
        <v>39</v>
      </c>
      <c r="B602" s="1">
        <v>42.5</v>
      </c>
      <c r="C602" s="10">
        <v>37.520005031651351</v>
      </c>
      <c r="D602" s="3">
        <v>22</v>
      </c>
    </row>
    <row r="603" spans="1:4" x14ac:dyDescent="0.3">
      <c r="A603">
        <v>15</v>
      </c>
      <c r="B603" s="1">
        <v>41.545454545454547</v>
      </c>
      <c r="C603" s="10">
        <v>26.101661426686867</v>
      </c>
      <c r="D603" s="3">
        <v>11</v>
      </c>
    </row>
    <row r="604" spans="1:4" x14ac:dyDescent="0.3">
      <c r="A604">
        <v>64</v>
      </c>
      <c r="B604" s="1">
        <v>25</v>
      </c>
      <c r="C604" s="10">
        <v>45.701295303218281</v>
      </c>
      <c r="D604" s="3">
        <v>27</v>
      </c>
    </row>
    <row r="605" spans="1:4" x14ac:dyDescent="0.3">
      <c r="A605">
        <v>7</v>
      </c>
      <c r="B605" s="1">
        <v>38.4</v>
      </c>
      <c r="C605" s="10">
        <v>11.792330491645583</v>
      </c>
      <c r="D605" s="3">
        <v>5</v>
      </c>
    </row>
    <row r="606" spans="1:4" x14ac:dyDescent="0.3">
      <c r="A606">
        <v>2</v>
      </c>
      <c r="B606" s="1">
        <v>33</v>
      </c>
      <c r="C606" s="10">
        <v>1.621131500702927</v>
      </c>
      <c r="D606" s="3">
        <v>1</v>
      </c>
    </row>
    <row r="607" spans="1:4" x14ac:dyDescent="0.3">
      <c r="A607">
        <v>7</v>
      </c>
      <c r="B607" s="1">
        <v>31</v>
      </c>
      <c r="C607" s="10">
        <v>6.8821108127796737</v>
      </c>
      <c r="D607" s="3">
        <v>4</v>
      </c>
    </row>
    <row r="608" spans="1:4" x14ac:dyDescent="0.3">
      <c r="A608">
        <v>17</v>
      </c>
      <c r="B608" s="1">
        <v>26.90909090909091</v>
      </c>
      <c r="C608" s="10">
        <v>26.160660775988546</v>
      </c>
      <c r="D608" s="3">
        <v>11</v>
      </c>
    </row>
    <row r="609" spans="1:4" x14ac:dyDescent="0.3">
      <c r="A609">
        <v>36</v>
      </c>
      <c r="B609" s="1">
        <v>39.4</v>
      </c>
      <c r="C609" s="10">
        <v>51.965067529153707</v>
      </c>
      <c r="D609" s="3">
        <v>25</v>
      </c>
    </row>
    <row r="610" spans="1:4" x14ac:dyDescent="0.3">
      <c r="A610">
        <v>55</v>
      </c>
      <c r="B610" s="1">
        <v>24.92</v>
      </c>
      <c r="C610" s="10">
        <v>46.592168142524272</v>
      </c>
      <c r="D610" s="3">
        <v>25</v>
      </c>
    </row>
    <row r="611" spans="1:4" x14ac:dyDescent="0.3">
      <c r="A611">
        <v>19</v>
      </c>
      <c r="B611" s="1">
        <v>33</v>
      </c>
      <c r="C611" s="10">
        <v>16.110836244335786</v>
      </c>
      <c r="D611" s="3">
        <v>9</v>
      </c>
    </row>
    <row r="612" spans="1:4" x14ac:dyDescent="0.3">
      <c r="A612">
        <v>40</v>
      </c>
      <c r="B612" s="1">
        <v>29.08</v>
      </c>
      <c r="C612" s="10">
        <v>32.570814115316246</v>
      </c>
      <c r="D612" s="3">
        <v>25</v>
      </c>
    </row>
    <row r="613" spans="1:4" x14ac:dyDescent="0.3">
      <c r="A613">
        <v>3</v>
      </c>
      <c r="B613" s="1">
        <v>38</v>
      </c>
      <c r="C613" s="10">
        <v>2.988801895344078</v>
      </c>
      <c r="D613" s="3">
        <v>2</v>
      </c>
    </row>
    <row r="614" spans="1:4" x14ac:dyDescent="0.3">
      <c r="A614">
        <v>28</v>
      </c>
      <c r="B614" s="1">
        <v>28.5625</v>
      </c>
      <c r="C614" s="10">
        <v>31.258306204805532</v>
      </c>
      <c r="D614" s="3">
        <v>16</v>
      </c>
    </row>
    <row r="615" spans="1:4" x14ac:dyDescent="0.3">
      <c r="A615">
        <v>38</v>
      </c>
      <c r="B615" s="1">
        <v>34.409090909090907</v>
      </c>
      <c r="C615" s="10">
        <v>35.597960169724054</v>
      </c>
      <c r="D615" s="3">
        <v>22</v>
      </c>
    </row>
    <row r="616" spans="1:4" x14ac:dyDescent="0.3">
      <c r="A616">
        <v>16</v>
      </c>
      <c r="B616" s="1">
        <v>26.916666666666668</v>
      </c>
      <c r="C616" s="10">
        <v>20.624907454773638</v>
      </c>
      <c r="D616" s="3">
        <v>12</v>
      </c>
    </row>
    <row r="617" spans="1:4" x14ac:dyDescent="0.3">
      <c r="A617">
        <v>22</v>
      </c>
      <c r="B617" s="1">
        <v>33.615384615384613</v>
      </c>
      <c r="C617" s="10">
        <v>23.984694083417995</v>
      </c>
      <c r="D617" s="3">
        <v>13</v>
      </c>
    </row>
    <row r="618" spans="1:4" x14ac:dyDescent="0.3">
      <c r="A618">
        <v>33</v>
      </c>
      <c r="B618" s="1">
        <v>33.111111111111114</v>
      </c>
      <c r="C618" s="10">
        <v>23.686792285350037</v>
      </c>
      <c r="D618" s="3">
        <v>18</v>
      </c>
    </row>
    <row r="619" spans="1:4" x14ac:dyDescent="0.3">
      <c r="A619">
        <v>59</v>
      </c>
      <c r="B619" s="1">
        <v>26.617647058823529</v>
      </c>
      <c r="C619" s="10">
        <v>71.62933661046192</v>
      </c>
      <c r="D619" s="3">
        <v>34</v>
      </c>
    </row>
    <row r="620" spans="1:4" x14ac:dyDescent="0.3">
      <c r="A620">
        <v>24</v>
      </c>
      <c r="B620" s="1">
        <v>27.533333333333335</v>
      </c>
      <c r="C620" s="10">
        <v>31.99430330756304</v>
      </c>
      <c r="D620" s="3">
        <v>15</v>
      </c>
    </row>
    <row r="621" spans="1:4" x14ac:dyDescent="0.3">
      <c r="A621">
        <v>53</v>
      </c>
      <c r="B621" s="1">
        <v>34.64</v>
      </c>
      <c r="C621" s="10">
        <v>52.441254664736384</v>
      </c>
      <c r="D621" s="3">
        <v>25</v>
      </c>
    </row>
    <row r="622" spans="1:4" x14ac:dyDescent="0.3">
      <c r="A622">
        <v>35</v>
      </c>
      <c r="B622" s="1">
        <v>30.176470588235293</v>
      </c>
      <c r="C622" s="10">
        <v>37.303051374325754</v>
      </c>
      <c r="D622" s="3">
        <v>17</v>
      </c>
    </row>
    <row r="623" spans="1:4" x14ac:dyDescent="0.3">
      <c r="A623">
        <v>46</v>
      </c>
      <c r="B623" s="1">
        <v>44.454545454545453</v>
      </c>
      <c r="C623" s="10">
        <v>43.698083696798214</v>
      </c>
      <c r="D623" s="3">
        <v>22</v>
      </c>
    </row>
    <row r="624" spans="1:4" x14ac:dyDescent="0.3">
      <c r="A624">
        <v>2</v>
      </c>
      <c r="B624" s="1">
        <v>32</v>
      </c>
      <c r="C624" s="10">
        <v>2.108752436386967</v>
      </c>
      <c r="D624" s="3">
        <v>1</v>
      </c>
    </row>
    <row r="625" spans="1:4" x14ac:dyDescent="0.3">
      <c r="A625">
        <v>8</v>
      </c>
      <c r="B625" s="1">
        <v>44.833333333333336</v>
      </c>
      <c r="C625" s="10">
        <v>8.9324855899428002</v>
      </c>
      <c r="D625" s="3">
        <v>6</v>
      </c>
    </row>
    <row r="626" spans="1:4" x14ac:dyDescent="0.3">
      <c r="A626">
        <v>49</v>
      </c>
      <c r="B626" s="1">
        <v>32.880000000000003</v>
      </c>
      <c r="C626" s="10">
        <v>54.92760011367541</v>
      </c>
      <c r="D626" s="3">
        <v>25</v>
      </c>
    </row>
    <row r="627" spans="1:4" x14ac:dyDescent="0.3">
      <c r="A627">
        <v>19</v>
      </c>
      <c r="B627" s="1">
        <v>34.642857142857146</v>
      </c>
      <c r="C627" s="10">
        <v>27.931944290855828</v>
      </c>
      <c r="D627" s="3">
        <v>14</v>
      </c>
    </row>
    <row r="628" spans="1:4" x14ac:dyDescent="0.3">
      <c r="A628">
        <v>2</v>
      </c>
      <c r="B628" s="1">
        <v>44.5</v>
      </c>
      <c r="C628" s="10">
        <v>2.8071671873298265</v>
      </c>
      <c r="D628" s="3">
        <v>2</v>
      </c>
    </row>
    <row r="629" spans="1:4" x14ac:dyDescent="0.3">
      <c r="A629">
        <v>67</v>
      </c>
      <c r="B629" s="1">
        <v>27.59375</v>
      </c>
      <c r="C629" s="10">
        <v>61.988228549689964</v>
      </c>
      <c r="D629" s="3">
        <v>32</v>
      </c>
    </row>
    <row r="630" spans="1:4" x14ac:dyDescent="0.3">
      <c r="A630">
        <v>26</v>
      </c>
      <c r="B630" s="1">
        <v>27.285714285714285</v>
      </c>
      <c r="C630" s="10">
        <v>25.52705259865504</v>
      </c>
      <c r="D630" s="3">
        <v>14</v>
      </c>
    </row>
    <row r="631" spans="1:4" x14ac:dyDescent="0.3">
      <c r="A631">
        <v>14</v>
      </c>
      <c r="B631" s="1">
        <v>33</v>
      </c>
      <c r="C631" s="10">
        <v>15.220943113094842</v>
      </c>
      <c r="D631" s="3">
        <v>7</v>
      </c>
    </row>
    <row r="632" spans="1:4" x14ac:dyDescent="0.3">
      <c r="A632">
        <v>11</v>
      </c>
      <c r="B632" s="1">
        <v>28.833333333333332</v>
      </c>
      <c r="C632" s="10">
        <v>13.60403863683317</v>
      </c>
      <c r="D632" s="3">
        <v>6</v>
      </c>
    </row>
    <row r="633" spans="1:4" x14ac:dyDescent="0.3">
      <c r="A633">
        <v>48</v>
      </c>
      <c r="B633" s="1">
        <v>28.5</v>
      </c>
      <c r="C633" s="10">
        <v>35.306143876963034</v>
      </c>
      <c r="D633" s="3">
        <v>22</v>
      </c>
    </row>
    <row r="634" spans="1:4" x14ac:dyDescent="0.3">
      <c r="A634">
        <v>50</v>
      </c>
      <c r="B634" s="1">
        <v>38.652173913043477</v>
      </c>
      <c r="C634" s="10">
        <v>40.888869336514311</v>
      </c>
      <c r="D634" s="3">
        <v>23</v>
      </c>
    </row>
    <row r="635" spans="1:4" x14ac:dyDescent="0.3">
      <c r="A635">
        <v>16</v>
      </c>
      <c r="B635" s="1">
        <v>34</v>
      </c>
      <c r="C635" s="10">
        <v>16.584134159166986</v>
      </c>
      <c r="D635" s="3">
        <v>12</v>
      </c>
    </row>
    <row r="636" spans="1:4" x14ac:dyDescent="0.3">
      <c r="A636">
        <v>41</v>
      </c>
      <c r="B636" s="1">
        <v>33.592592592592595</v>
      </c>
      <c r="C636" s="10">
        <v>45.972480225841394</v>
      </c>
      <c r="D636" s="3">
        <v>27</v>
      </c>
    </row>
    <row r="637" spans="1:4" x14ac:dyDescent="0.3">
      <c r="A637">
        <v>7</v>
      </c>
      <c r="B637" s="1">
        <v>38</v>
      </c>
      <c r="C637" s="10">
        <v>7.6228371060722333</v>
      </c>
      <c r="D637" s="3">
        <v>5</v>
      </c>
    </row>
    <row r="638" spans="1:4" x14ac:dyDescent="0.3">
      <c r="A638">
        <v>50</v>
      </c>
      <c r="B638" s="1">
        <v>43.666666666666664</v>
      </c>
      <c r="C638" s="10">
        <v>29.431604453067791</v>
      </c>
      <c r="D638" s="3">
        <v>21</v>
      </c>
    </row>
    <row r="639" spans="1:4" x14ac:dyDescent="0.3">
      <c r="A639">
        <v>60</v>
      </c>
      <c r="B639" s="1">
        <v>31.48</v>
      </c>
      <c r="C639" s="10">
        <v>56.040237473347787</v>
      </c>
      <c r="D639" s="3">
        <v>25</v>
      </c>
    </row>
    <row r="640" spans="1:4" x14ac:dyDescent="0.3">
      <c r="A640">
        <v>19</v>
      </c>
      <c r="B640" s="1">
        <v>35.444444444444443</v>
      </c>
      <c r="C640" s="10">
        <v>19.094778950994854</v>
      </c>
      <c r="D640" s="3">
        <v>9</v>
      </c>
    </row>
    <row r="641" spans="1:4" x14ac:dyDescent="0.3">
      <c r="A641">
        <v>50</v>
      </c>
      <c r="B641" s="1">
        <v>28.416666666666668</v>
      </c>
      <c r="C641" s="10">
        <v>38.023699370630546</v>
      </c>
      <c r="D641" s="3">
        <v>24</v>
      </c>
    </row>
    <row r="642" spans="1:4" x14ac:dyDescent="0.3">
      <c r="A642">
        <v>1</v>
      </c>
      <c r="B642" s="1">
        <v>20</v>
      </c>
      <c r="C642" s="10">
        <v>1.2938849582548135</v>
      </c>
      <c r="D642" s="3">
        <v>1</v>
      </c>
    </row>
    <row r="643" spans="1:4" x14ac:dyDescent="0.3">
      <c r="A643">
        <v>52</v>
      </c>
      <c r="B643" s="1">
        <v>36.565217391304351</v>
      </c>
      <c r="C643" s="10">
        <v>54.702791220450585</v>
      </c>
      <c r="D643" s="3">
        <v>23</v>
      </c>
    </row>
    <row r="644" spans="1:4" x14ac:dyDescent="0.3">
      <c r="A644">
        <v>10</v>
      </c>
      <c r="B644" s="1">
        <v>24.75</v>
      </c>
      <c r="C644" s="10">
        <v>11.846229384696889</v>
      </c>
      <c r="D644" s="3">
        <v>8</v>
      </c>
    </row>
    <row r="645" spans="1:4" x14ac:dyDescent="0.3">
      <c r="A645">
        <v>17</v>
      </c>
      <c r="B645" s="1">
        <v>37</v>
      </c>
      <c r="C645" s="10">
        <v>11.313679053036914</v>
      </c>
      <c r="D645" s="3">
        <v>9</v>
      </c>
    </row>
    <row r="646" spans="1:4" x14ac:dyDescent="0.3">
      <c r="A646">
        <v>46</v>
      </c>
      <c r="B646" s="1">
        <v>33.521739130434781</v>
      </c>
      <c r="C646" s="10">
        <v>35.868700359464306</v>
      </c>
      <c r="D646" s="3">
        <v>23</v>
      </c>
    </row>
    <row r="647" spans="1:4" x14ac:dyDescent="0.3">
      <c r="A647">
        <v>4</v>
      </c>
      <c r="B647" s="1">
        <v>35.75</v>
      </c>
      <c r="C647" s="10">
        <v>5.9805948728597205</v>
      </c>
      <c r="D647" s="3">
        <v>4</v>
      </c>
    </row>
    <row r="648" spans="1:4" x14ac:dyDescent="0.3">
      <c r="A648">
        <v>5</v>
      </c>
      <c r="B648" s="1">
        <v>35.666666666666664</v>
      </c>
      <c r="C648" s="10">
        <v>5.6697174824579184</v>
      </c>
      <c r="D648" s="3">
        <v>3</v>
      </c>
    </row>
    <row r="649" spans="1:4" x14ac:dyDescent="0.3">
      <c r="A649">
        <v>60</v>
      </c>
      <c r="B649" s="1">
        <v>29.387096774193548</v>
      </c>
      <c r="C649" s="10">
        <v>39.253570347932545</v>
      </c>
      <c r="D649" s="3">
        <v>31</v>
      </c>
    </row>
    <row r="650" spans="1:4" x14ac:dyDescent="0.3">
      <c r="A650">
        <v>2</v>
      </c>
      <c r="B650" s="1">
        <v>44</v>
      </c>
      <c r="C650" s="10">
        <v>2.15703348061504</v>
      </c>
      <c r="D650" s="3">
        <v>1</v>
      </c>
    </row>
    <row r="651" spans="1:4" x14ac:dyDescent="0.3">
      <c r="A651">
        <v>37</v>
      </c>
      <c r="B651" s="1">
        <v>41.136363636363633</v>
      </c>
      <c r="C651" s="10">
        <v>30.810125591493566</v>
      </c>
      <c r="D651" s="3">
        <v>22</v>
      </c>
    </row>
    <row r="652" spans="1:4" x14ac:dyDescent="0.3">
      <c r="A652">
        <v>8</v>
      </c>
      <c r="B652" s="1">
        <v>44.5</v>
      </c>
      <c r="C652" s="10">
        <v>11.333349921270106</v>
      </c>
      <c r="D652" s="3">
        <v>6</v>
      </c>
    </row>
    <row r="653" spans="1:4" x14ac:dyDescent="0.3">
      <c r="A653">
        <v>15</v>
      </c>
      <c r="B653" s="1">
        <v>33.25</v>
      </c>
      <c r="C653" s="10">
        <v>10.574004674882996</v>
      </c>
      <c r="D653" s="3">
        <v>8</v>
      </c>
    </row>
    <row r="654" spans="1:4" x14ac:dyDescent="0.3">
      <c r="A654">
        <v>14</v>
      </c>
      <c r="B654" s="1">
        <v>26.888888888888889</v>
      </c>
      <c r="C654" s="10">
        <v>13.500095830849464</v>
      </c>
      <c r="D654" s="3">
        <v>9</v>
      </c>
    </row>
    <row r="655" spans="1:4" x14ac:dyDescent="0.3">
      <c r="A655">
        <v>24</v>
      </c>
      <c r="B655" s="1">
        <v>38.705882352941174</v>
      </c>
      <c r="C655" s="10">
        <v>41.733251149345385</v>
      </c>
      <c r="D655" s="3">
        <v>17</v>
      </c>
    </row>
    <row r="656" spans="1:4" x14ac:dyDescent="0.3">
      <c r="A656">
        <v>40</v>
      </c>
      <c r="B656" s="1">
        <v>42.3</v>
      </c>
      <c r="C656" s="10">
        <v>36.301750907682347</v>
      </c>
      <c r="D656" s="3">
        <v>20</v>
      </c>
    </row>
    <row r="657" spans="1:4" x14ac:dyDescent="0.3">
      <c r="A657">
        <v>25</v>
      </c>
      <c r="B657" s="1">
        <v>27.388888888888889</v>
      </c>
      <c r="C657" s="10">
        <v>36.05026629456485</v>
      </c>
      <c r="D657" s="3">
        <v>18</v>
      </c>
    </row>
    <row r="658" spans="1:4" x14ac:dyDescent="0.3">
      <c r="A658">
        <v>19</v>
      </c>
      <c r="B658" s="1">
        <v>25</v>
      </c>
      <c r="C658" s="10">
        <v>24.579596022941182</v>
      </c>
      <c r="D658" s="3">
        <v>12</v>
      </c>
    </row>
    <row r="659" spans="1:4" x14ac:dyDescent="0.3">
      <c r="A659">
        <v>55</v>
      </c>
      <c r="B659" s="1">
        <v>31.4</v>
      </c>
      <c r="C659" s="10">
        <v>55.57156896127551</v>
      </c>
      <c r="D659" s="3">
        <v>25</v>
      </c>
    </row>
    <row r="660" spans="1:4" x14ac:dyDescent="0.3">
      <c r="A660">
        <v>3</v>
      </c>
      <c r="B660" s="1">
        <v>43.5</v>
      </c>
      <c r="C660" s="10">
        <v>3.4848930254068473</v>
      </c>
      <c r="D660" s="3">
        <v>2</v>
      </c>
    </row>
    <row r="661" spans="1:4" x14ac:dyDescent="0.3">
      <c r="A661">
        <v>20</v>
      </c>
      <c r="B661" s="1">
        <v>25.285714285714285</v>
      </c>
      <c r="C661" s="10">
        <v>25.603700047627274</v>
      </c>
      <c r="D661" s="3">
        <v>14</v>
      </c>
    </row>
    <row r="662" spans="1:4" x14ac:dyDescent="0.3">
      <c r="A662">
        <v>14</v>
      </c>
      <c r="B662" s="1">
        <v>41.545454545454547</v>
      </c>
      <c r="C662" s="10">
        <v>18.153158331761055</v>
      </c>
      <c r="D662" s="3">
        <v>11</v>
      </c>
    </row>
    <row r="663" spans="1:4" x14ac:dyDescent="0.3">
      <c r="A663">
        <v>22</v>
      </c>
      <c r="B663" s="1">
        <v>39.799999999999997</v>
      </c>
      <c r="C663" s="10">
        <v>12.631027749054663</v>
      </c>
      <c r="D663" s="3">
        <v>10</v>
      </c>
    </row>
    <row r="664" spans="1:4" x14ac:dyDescent="0.3">
      <c r="A664">
        <v>58</v>
      </c>
      <c r="B664" s="1">
        <v>32.068965517241381</v>
      </c>
      <c r="C664" s="10">
        <v>57.970356631066942</v>
      </c>
      <c r="D664" s="3">
        <v>29</v>
      </c>
    </row>
    <row r="665" spans="1:4" x14ac:dyDescent="0.3">
      <c r="A665">
        <v>53</v>
      </c>
      <c r="B665" s="1">
        <v>39.72</v>
      </c>
      <c r="C665" s="10">
        <v>42.456391353943253</v>
      </c>
      <c r="D665" s="3">
        <v>25</v>
      </c>
    </row>
    <row r="666" spans="1:4" x14ac:dyDescent="0.3">
      <c r="A666">
        <v>3</v>
      </c>
      <c r="B666" s="1">
        <v>34.5</v>
      </c>
      <c r="C666" s="10">
        <v>3.5388424467598512</v>
      </c>
      <c r="D666" s="3">
        <v>2</v>
      </c>
    </row>
    <row r="667" spans="1:4" x14ac:dyDescent="0.3">
      <c r="A667">
        <v>22</v>
      </c>
      <c r="B667" s="1">
        <v>30.636363636363637</v>
      </c>
      <c r="C667" s="10">
        <v>18.337406090017659</v>
      </c>
      <c r="D667" s="3">
        <v>11</v>
      </c>
    </row>
    <row r="668" spans="1:4" x14ac:dyDescent="0.3">
      <c r="A668">
        <v>43</v>
      </c>
      <c r="B668" s="1">
        <v>35.4</v>
      </c>
      <c r="C668" s="10">
        <v>49.686336118947708</v>
      </c>
      <c r="D668" s="3">
        <v>25</v>
      </c>
    </row>
    <row r="669" spans="1:4" x14ac:dyDescent="0.3">
      <c r="A669">
        <v>42</v>
      </c>
      <c r="B669" s="1">
        <v>25.592592592592592</v>
      </c>
      <c r="C669" s="10">
        <v>58.845045582490677</v>
      </c>
      <c r="D669" s="3">
        <v>27</v>
      </c>
    </row>
    <row r="670" spans="1:4" x14ac:dyDescent="0.3">
      <c r="A670">
        <v>39</v>
      </c>
      <c r="B670" s="1">
        <v>43.95</v>
      </c>
      <c r="C670" s="10">
        <v>36.457094422692926</v>
      </c>
      <c r="D670" s="3">
        <v>20</v>
      </c>
    </row>
    <row r="671" spans="1:4" x14ac:dyDescent="0.3">
      <c r="A671">
        <v>7</v>
      </c>
      <c r="B671" s="1">
        <v>39.799999999999997</v>
      </c>
      <c r="C671" s="10">
        <v>10.130883876170444</v>
      </c>
      <c r="D671" s="3">
        <v>5</v>
      </c>
    </row>
    <row r="672" spans="1:4" x14ac:dyDescent="0.3">
      <c r="A672">
        <v>70</v>
      </c>
      <c r="B672" s="1">
        <v>25.972972972972972</v>
      </c>
      <c r="C672" s="10">
        <v>83.685948821064287</v>
      </c>
      <c r="D672" s="3">
        <v>37</v>
      </c>
    </row>
    <row r="673" spans="1:4" x14ac:dyDescent="0.3">
      <c r="A673">
        <v>30</v>
      </c>
      <c r="B673" s="1">
        <v>36.4</v>
      </c>
      <c r="C673" s="10">
        <v>36.525920485098077</v>
      </c>
      <c r="D673" s="3">
        <v>15</v>
      </c>
    </row>
    <row r="674" spans="1:4" x14ac:dyDescent="0.3">
      <c r="A674">
        <v>30</v>
      </c>
      <c r="B674" s="1">
        <v>36.375</v>
      </c>
      <c r="C674" s="10">
        <v>21.784293279748994</v>
      </c>
      <c r="D674" s="3">
        <v>16</v>
      </c>
    </row>
    <row r="675" spans="1:4" x14ac:dyDescent="0.3">
      <c r="A675">
        <v>59</v>
      </c>
      <c r="B675" s="1">
        <v>25.805555555555557</v>
      </c>
      <c r="C675" s="10">
        <v>78.844030097569572</v>
      </c>
      <c r="D675" s="3">
        <v>36</v>
      </c>
    </row>
    <row r="676" spans="1:4" x14ac:dyDescent="0.3">
      <c r="A676">
        <v>33</v>
      </c>
      <c r="B676" s="1">
        <v>34.333333333333336</v>
      </c>
      <c r="C676" s="10">
        <v>28.334263672397547</v>
      </c>
      <c r="D676" s="3">
        <v>18</v>
      </c>
    </row>
    <row r="677" spans="1:4" x14ac:dyDescent="0.3">
      <c r="A677">
        <v>44</v>
      </c>
      <c r="B677" s="1">
        <v>31.933333333333334</v>
      </c>
      <c r="C677" s="10">
        <v>54.827192124655092</v>
      </c>
      <c r="D677" s="3">
        <v>30</v>
      </c>
    </row>
    <row r="678" spans="1:4" x14ac:dyDescent="0.3">
      <c r="A678">
        <v>34</v>
      </c>
      <c r="B678" s="1">
        <v>31.421052631578949</v>
      </c>
      <c r="C678" s="10">
        <v>38.344739524630825</v>
      </c>
      <c r="D678" s="3">
        <v>19</v>
      </c>
    </row>
    <row r="679" spans="1:4" x14ac:dyDescent="0.3">
      <c r="A679">
        <v>22</v>
      </c>
      <c r="B679" s="1">
        <v>42.785714285714285</v>
      </c>
      <c r="C679" s="10">
        <v>21.699088960502003</v>
      </c>
      <c r="D679" s="3">
        <v>14</v>
      </c>
    </row>
    <row r="680" spans="1:4" x14ac:dyDescent="0.3">
      <c r="A680">
        <v>9</v>
      </c>
      <c r="B680" s="1">
        <v>41.166666666666664</v>
      </c>
      <c r="C680" s="10">
        <v>9.9464917372788726</v>
      </c>
      <c r="D680" s="3">
        <v>6</v>
      </c>
    </row>
    <row r="681" spans="1:4" x14ac:dyDescent="0.3">
      <c r="A681">
        <v>21</v>
      </c>
      <c r="B681" s="1">
        <v>38.333333333333336</v>
      </c>
      <c r="C681" s="10">
        <v>21.627802046387469</v>
      </c>
      <c r="D681" s="3">
        <v>15</v>
      </c>
    </row>
    <row r="682" spans="1:4" x14ac:dyDescent="0.3">
      <c r="A682">
        <v>14</v>
      </c>
      <c r="B682" s="1">
        <v>34.299999999999997</v>
      </c>
      <c r="C682" s="10">
        <v>18.230260579950492</v>
      </c>
      <c r="D682" s="3">
        <v>10</v>
      </c>
    </row>
    <row r="683" spans="1:4" x14ac:dyDescent="0.3">
      <c r="A683">
        <v>1</v>
      </c>
      <c r="B683" s="1">
        <v>30</v>
      </c>
      <c r="C683" s="10">
        <v>2.3250431294556364</v>
      </c>
      <c r="D683" s="3">
        <v>1</v>
      </c>
    </row>
    <row r="684" spans="1:4" x14ac:dyDescent="0.3">
      <c r="A684">
        <v>29</v>
      </c>
      <c r="B684" s="1">
        <v>32.411764705882355</v>
      </c>
      <c r="C684" s="10">
        <v>36.945168915376733</v>
      </c>
      <c r="D684" s="3">
        <v>17</v>
      </c>
    </row>
    <row r="685" spans="1:4" x14ac:dyDescent="0.3">
      <c r="A685">
        <v>7</v>
      </c>
      <c r="B685" s="1">
        <v>46.2</v>
      </c>
      <c r="C685" s="10">
        <v>10.693580719256977</v>
      </c>
      <c r="D685" s="3">
        <v>5</v>
      </c>
    </row>
    <row r="686" spans="1:4" x14ac:dyDescent="0.3">
      <c r="A686">
        <v>20</v>
      </c>
      <c r="B686" s="1">
        <v>31.785714285714285</v>
      </c>
      <c r="C686" s="10">
        <v>32.363218927667319</v>
      </c>
      <c r="D686" s="3">
        <v>14</v>
      </c>
    </row>
    <row r="687" spans="1:4" x14ac:dyDescent="0.3">
      <c r="A687">
        <v>1</v>
      </c>
      <c r="B687" s="1">
        <v>46</v>
      </c>
      <c r="C687" s="10">
        <v>2.1973880140888142</v>
      </c>
      <c r="D687" s="3">
        <v>1</v>
      </c>
    </row>
    <row r="688" spans="1:4" x14ac:dyDescent="0.3">
      <c r="A688">
        <v>30</v>
      </c>
      <c r="B688" s="1">
        <v>31.714285714285715</v>
      </c>
      <c r="C688" s="10">
        <v>42.438958175441719</v>
      </c>
      <c r="D688" s="3">
        <v>21</v>
      </c>
    </row>
    <row r="689" spans="1:4" x14ac:dyDescent="0.3">
      <c r="A689">
        <v>11</v>
      </c>
      <c r="B689" s="1">
        <v>43</v>
      </c>
      <c r="C689" s="10">
        <v>12.563376584090898</v>
      </c>
      <c r="D689" s="3">
        <v>6</v>
      </c>
    </row>
    <row r="690" spans="1:4" x14ac:dyDescent="0.3">
      <c r="A690">
        <v>19</v>
      </c>
      <c r="B690" s="1">
        <v>39.799999999999997</v>
      </c>
      <c r="C690" s="10">
        <v>19.648038757661169</v>
      </c>
      <c r="D690" s="3">
        <v>10</v>
      </c>
    </row>
    <row r="691" spans="1:4" x14ac:dyDescent="0.3">
      <c r="A691">
        <v>41</v>
      </c>
      <c r="B691" s="1">
        <v>36.315789473684212</v>
      </c>
      <c r="C691" s="10">
        <v>47.268232435427599</v>
      </c>
      <c r="D691" s="3">
        <v>19</v>
      </c>
    </row>
    <row r="692" spans="1:4" x14ac:dyDescent="0.3">
      <c r="A692">
        <v>27</v>
      </c>
      <c r="B692" s="1">
        <v>29.526315789473685</v>
      </c>
      <c r="C692" s="10">
        <v>36.668118572529821</v>
      </c>
      <c r="D692" s="3">
        <v>19</v>
      </c>
    </row>
    <row r="693" spans="1:4" x14ac:dyDescent="0.3">
      <c r="A693">
        <v>25</v>
      </c>
      <c r="B693" s="1">
        <v>42.071428571428569</v>
      </c>
      <c r="C693" s="10">
        <v>34.627503068901362</v>
      </c>
      <c r="D693" s="3">
        <v>14</v>
      </c>
    </row>
    <row r="694" spans="1:4" x14ac:dyDescent="0.3">
      <c r="A694">
        <v>3</v>
      </c>
      <c r="B694" s="1">
        <v>27.333333333333332</v>
      </c>
      <c r="C694" s="10">
        <v>6.4499458833196295</v>
      </c>
      <c r="D694" s="3">
        <v>3</v>
      </c>
    </row>
    <row r="695" spans="1:4" x14ac:dyDescent="0.3">
      <c r="A695">
        <v>2</v>
      </c>
      <c r="B695" s="1">
        <v>28</v>
      </c>
      <c r="C695" s="10">
        <v>2.1071251616454219</v>
      </c>
      <c r="D695" s="3">
        <v>1</v>
      </c>
    </row>
    <row r="696" spans="1:4" x14ac:dyDescent="0.3">
      <c r="A696">
        <v>45</v>
      </c>
      <c r="B696" s="1">
        <v>24.8</v>
      </c>
      <c r="C696" s="10">
        <v>47.428720193044057</v>
      </c>
      <c r="D696" s="3">
        <v>30</v>
      </c>
    </row>
    <row r="697" spans="1:4" x14ac:dyDescent="0.3">
      <c r="A697">
        <v>10</v>
      </c>
      <c r="B697" s="1">
        <v>30.666666666666668</v>
      </c>
      <c r="C697" s="10">
        <v>8.3535316206188632</v>
      </c>
      <c r="D697" s="3">
        <v>6</v>
      </c>
    </row>
    <row r="698" spans="1:4" x14ac:dyDescent="0.3">
      <c r="A698">
        <v>14</v>
      </c>
      <c r="B698" s="1">
        <v>37.444444444444443</v>
      </c>
      <c r="C698" s="10">
        <v>19.474229658886745</v>
      </c>
      <c r="D698" s="3">
        <v>9</v>
      </c>
    </row>
    <row r="699" spans="1:4" x14ac:dyDescent="0.3">
      <c r="A699">
        <v>16</v>
      </c>
      <c r="B699" s="1">
        <v>41.111111111111114</v>
      </c>
      <c r="C699" s="10">
        <v>15.606100089426402</v>
      </c>
      <c r="D699" s="3">
        <v>9</v>
      </c>
    </row>
    <row r="700" spans="1:4" x14ac:dyDescent="0.3">
      <c r="A700">
        <v>48</v>
      </c>
      <c r="B700" s="1">
        <v>29.774193548387096</v>
      </c>
      <c r="C700" s="10">
        <v>71.139725667777526</v>
      </c>
      <c r="D700" s="3">
        <v>31</v>
      </c>
    </row>
    <row r="701" spans="1:4" x14ac:dyDescent="0.3">
      <c r="A701">
        <v>36</v>
      </c>
      <c r="B701" s="1">
        <v>37.058823529411768</v>
      </c>
      <c r="C701" s="10">
        <v>27.208436979402755</v>
      </c>
      <c r="D701" s="3">
        <v>17</v>
      </c>
    </row>
    <row r="702" spans="1:4" x14ac:dyDescent="0.3">
      <c r="A702">
        <v>17</v>
      </c>
      <c r="B702" s="1">
        <v>26.375</v>
      </c>
      <c r="C702" s="10">
        <v>14.929156137185032</v>
      </c>
      <c r="D702" s="3">
        <v>8</v>
      </c>
    </row>
    <row r="703" spans="1:4" x14ac:dyDescent="0.3">
      <c r="A703">
        <v>40</v>
      </c>
      <c r="B703" s="1">
        <v>30.375</v>
      </c>
      <c r="C703" s="10">
        <v>41.880327372164587</v>
      </c>
      <c r="D703" s="3">
        <v>24</v>
      </c>
    </row>
    <row r="704" spans="1:4" x14ac:dyDescent="0.3">
      <c r="A704">
        <v>4</v>
      </c>
      <c r="B704" s="1">
        <v>37.5</v>
      </c>
      <c r="C704" s="10">
        <v>4.3945613665161494</v>
      </c>
      <c r="D704" s="3">
        <v>2</v>
      </c>
    </row>
    <row r="705" spans="1:4" x14ac:dyDescent="0.3">
      <c r="A705">
        <v>23</v>
      </c>
      <c r="B705" s="1">
        <v>41.666666666666664</v>
      </c>
      <c r="C705" s="10">
        <v>29.926117830235007</v>
      </c>
      <c r="D705" s="3">
        <v>12</v>
      </c>
    </row>
    <row r="706" spans="1:4" x14ac:dyDescent="0.3">
      <c r="A706">
        <v>18</v>
      </c>
      <c r="B706" s="1">
        <v>40.666666666666664</v>
      </c>
      <c r="C706" s="10">
        <v>12.948666202610626</v>
      </c>
      <c r="D706" s="3">
        <v>9</v>
      </c>
    </row>
    <row r="707" spans="1:4" x14ac:dyDescent="0.3">
      <c r="A707">
        <v>49</v>
      </c>
      <c r="B707" s="1">
        <v>41.625</v>
      </c>
      <c r="C707" s="10">
        <v>43.25239004923867</v>
      </c>
      <c r="D707" s="3">
        <v>24</v>
      </c>
    </row>
    <row r="708" spans="1:4" x14ac:dyDescent="0.3">
      <c r="A708">
        <v>59</v>
      </c>
      <c r="B708" s="1">
        <v>26.407407407407408</v>
      </c>
      <c r="C708" s="10">
        <v>44.605359051091583</v>
      </c>
      <c r="D708" s="3">
        <v>27</v>
      </c>
    </row>
    <row r="709" spans="1:4" x14ac:dyDescent="0.3">
      <c r="A709">
        <v>31</v>
      </c>
      <c r="B709" s="1">
        <v>39.10526315789474</v>
      </c>
      <c r="C709" s="10">
        <v>24.272418950162105</v>
      </c>
      <c r="D709" s="3">
        <v>19</v>
      </c>
    </row>
    <row r="710" spans="1:4" x14ac:dyDescent="0.3">
      <c r="A710">
        <v>14</v>
      </c>
      <c r="B710" s="1">
        <v>42.18181818181818</v>
      </c>
      <c r="C710" s="10">
        <v>15.86947103767795</v>
      </c>
      <c r="D710" s="3">
        <v>11</v>
      </c>
    </row>
    <row r="711" spans="1:4" x14ac:dyDescent="0.3">
      <c r="A711">
        <v>35</v>
      </c>
      <c r="B711" s="1">
        <v>33.210526315789473</v>
      </c>
      <c r="C711" s="10">
        <v>37.766491153522892</v>
      </c>
      <c r="D711" s="3">
        <v>19</v>
      </c>
    </row>
    <row r="712" spans="1:4" x14ac:dyDescent="0.3">
      <c r="A712">
        <v>16</v>
      </c>
      <c r="B712" s="1">
        <v>28.923076923076923</v>
      </c>
      <c r="C712" s="10">
        <v>30.231916331416869</v>
      </c>
      <c r="D712" s="3">
        <v>13</v>
      </c>
    </row>
    <row r="713" spans="1:4" x14ac:dyDescent="0.3">
      <c r="A713">
        <v>31</v>
      </c>
      <c r="B713" s="1">
        <v>44.133333333333333</v>
      </c>
      <c r="C713" s="10">
        <v>36.776921149450928</v>
      </c>
      <c r="D713" s="3">
        <v>15</v>
      </c>
    </row>
    <row r="714" spans="1:4" x14ac:dyDescent="0.3">
      <c r="A714">
        <v>22</v>
      </c>
      <c r="B714" s="1">
        <v>35.166666666666664</v>
      </c>
      <c r="C714" s="10">
        <v>36.572380648214498</v>
      </c>
      <c r="D714" s="3">
        <v>18</v>
      </c>
    </row>
    <row r="715" spans="1:4" x14ac:dyDescent="0.3">
      <c r="A715">
        <v>3</v>
      </c>
      <c r="B715" s="1">
        <v>51</v>
      </c>
      <c r="C715" s="10">
        <v>4.2482433683573051</v>
      </c>
      <c r="D715" s="3">
        <v>2</v>
      </c>
    </row>
    <row r="716" spans="1:4" x14ac:dyDescent="0.3">
      <c r="A716">
        <v>34</v>
      </c>
      <c r="B716" s="1">
        <v>44.388888888888886</v>
      </c>
      <c r="C716" s="10">
        <v>32.979070365749209</v>
      </c>
      <c r="D716" s="3">
        <v>18</v>
      </c>
    </row>
    <row r="717" spans="1:4" x14ac:dyDescent="0.3">
      <c r="A717">
        <v>50</v>
      </c>
      <c r="B717" s="1">
        <v>35.304347826086953</v>
      </c>
      <c r="C717" s="10">
        <v>56.551940631576642</v>
      </c>
      <c r="D717" s="3">
        <v>23</v>
      </c>
    </row>
    <row r="718" spans="1:4" x14ac:dyDescent="0.3">
      <c r="A718">
        <v>3</v>
      </c>
      <c r="B718" s="1">
        <v>25</v>
      </c>
      <c r="C718" s="10">
        <v>3.7316725353789302</v>
      </c>
      <c r="D718" s="3">
        <v>2</v>
      </c>
    </row>
    <row r="719" spans="1:4" x14ac:dyDescent="0.3">
      <c r="A719">
        <v>7</v>
      </c>
      <c r="B719" s="1">
        <v>39.4</v>
      </c>
      <c r="C719" s="10">
        <v>8.8377172255966521</v>
      </c>
      <c r="D719" s="3">
        <v>5</v>
      </c>
    </row>
    <row r="720" spans="1:4" x14ac:dyDescent="0.3">
      <c r="A720">
        <v>47</v>
      </c>
      <c r="B720" s="1">
        <v>36.304347826086953</v>
      </c>
      <c r="C720" s="10">
        <v>29.148319253731167</v>
      </c>
      <c r="D720" s="3">
        <v>23</v>
      </c>
    </row>
    <row r="721" spans="1:4" x14ac:dyDescent="0.3">
      <c r="A721">
        <v>19</v>
      </c>
      <c r="B721" s="1">
        <v>45.666666666666664</v>
      </c>
      <c r="C721" s="10">
        <v>18.512708921990153</v>
      </c>
      <c r="D721" s="3">
        <v>9</v>
      </c>
    </row>
    <row r="722" spans="1:4" x14ac:dyDescent="0.3">
      <c r="A722">
        <v>59</v>
      </c>
      <c r="B722" s="1">
        <v>30.444444444444443</v>
      </c>
      <c r="C722" s="10">
        <v>64.326657616705219</v>
      </c>
      <c r="D722" s="3">
        <v>27</v>
      </c>
    </row>
    <row r="723" spans="1:4" x14ac:dyDescent="0.3">
      <c r="A723">
        <v>1</v>
      </c>
      <c r="B723" s="1">
        <v>16</v>
      </c>
      <c r="C723" s="10">
        <v>1.9571906431332164</v>
      </c>
      <c r="D723" s="3">
        <v>1</v>
      </c>
    </row>
    <row r="724" spans="1:4" x14ac:dyDescent="0.3">
      <c r="A724">
        <v>4</v>
      </c>
      <c r="B724" s="1">
        <v>36.666666666666664</v>
      </c>
      <c r="C724" s="10">
        <v>6.178038125296931</v>
      </c>
      <c r="D724" s="3">
        <v>3</v>
      </c>
    </row>
    <row r="725" spans="1:4" x14ac:dyDescent="0.3">
      <c r="A725">
        <v>23</v>
      </c>
      <c r="B725" s="1">
        <v>30.5</v>
      </c>
      <c r="C725" s="10">
        <v>20.519917610295625</v>
      </c>
      <c r="D725" s="3">
        <v>12</v>
      </c>
    </row>
    <row r="726" spans="1:4" x14ac:dyDescent="0.3">
      <c r="A726">
        <v>5</v>
      </c>
      <c r="B726" s="1">
        <v>33</v>
      </c>
      <c r="C726" s="10">
        <v>6.7770653484037053</v>
      </c>
      <c r="D726" s="3">
        <v>3</v>
      </c>
    </row>
    <row r="727" spans="1:4" x14ac:dyDescent="0.3">
      <c r="A727">
        <v>22</v>
      </c>
      <c r="B727" s="1">
        <v>37.533333333333331</v>
      </c>
      <c r="C727" s="10">
        <v>32.944378402466903</v>
      </c>
      <c r="D727" s="3">
        <v>15</v>
      </c>
    </row>
    <row r="728" spans="1:4" x14ac:dyDescent="0.3">
      <c r="A728">
        <v>22</v>
      </c>
      <c r="B728" s="1">
        <v>32.625</v>
      </c>
      <c r="C728" s="10">
        <v>27.789795277976928</v>
      </c>
      <c r="D728" s="3">
        <v>16</v>
      </c>
    </row>
    <row r="729" spans="1:4" x14ac:dyDescent="0.3">
      <c r="A729">
        <v>32</v>
      </c>
      <c r="B729" s="1">
        <v>29.2</v>
      </c>
      <c r="C729" s="10">
        <v>19.683980069612655</v>
      </c>
      <c r="D729" s="3">
        <v>15</v>
      </c>
    </row>
    <row r="730" spans="1:4" x14ac:dyDescent="0.3">
      <c r="A730">
        <v>39</v>
      </c>
      <c r="B730" s="1">
        <v>43.94736842105263</v>
      </c>
      <c r="C730" s="10">
        <v>44.088132960920753</v>
      </c>
      <c r="D730" s="3">
        <v>19</v>
      </c>
    </row>
    <row r="731" spans="1:4" x14ac:dyDescent="0.3">
      <c r="A731">
        <v>18</v>
      </c>
      <c r="B731" s="1">
        <v>41.9</v>
      </c>
      <c r="C731" s="10">
        <v>23.472614881070541</v>
      </c>
      <c r="D731" s="3">
        <v>10</v>
      </c>
    </row>
    <row r="732" spans="1:4" x14ac:dyDescent="0.3">
      <c r="A732">
        <v>17</v>
      </c>
      <c r="B732" s="1">
        <v>36.4</v>
      </c>
      <c r="C732" s="10">
        <v>14.474696530025868</v>
      </c>
      <c r="D732" s="3">
        <v>10</v>
      </c>
    </row>
    <row r="733" spans="1:4" x14ac:dyDescent="0.3">
      <c r="A733">
        <v>1</v>
      </c>
      <c r="B733" s="1">
        <v>53</v>
      </c>
      <c r="C733" s="10">
        <v>1.4306951605483176</v>
      </c>
      <c r="D733" s="3">
        <v>1</v>
      </c>
    </row>
    <row r="734" spans="1:4" x14ac:dyDescent="0.3">
      <c r="A734">
        <v>1</v>
      </c>
      <c r="B734" s="1">
        <v>36</v>
      </c>
      <c r="C734" s="10">
        <v>1.3231616263874857</v>
      </c>
      <c r="D734" s="3">
        <v>1</v>
      </c>
    </row>
    <row r="735" spans="1:4" x14ac:dyDescent="0.3">
      <c r="A735">
        <v>44</v>
      </c>
      <c r="B735" s="1">
        <v>36.904761904761905</v>
      </c>
      <c r="C735" s="10">
        <v>43.744757864974709</v>
      </c>
      <c r="D735" s="3">
        <v>21</v>
      </c>
    </row>
    <row r="736" spans="1:4" x14ac:dyDescent="0.3">
      <c r="A736">
        <v>28</v>
      </c>
      <c r="B736" s="1">
        <v>30</v>
      </c>
      <c r="C736" s="10">
        <v>32.747969310191827</v>
      </c>
      <c r="D736" s="3">
        <v>20</v>
      </c>
    </row>
    <row r="737" spans="1:4" x14ac:dyDescent="0.3">
      <c r="A737">
        <v>39</v>
      </c>
      <c r="B737" s="1">
        <v>32.409090909090907</v>
      </c>
      <c r="C737" s="10">
        <v>40.182072290405252</v>
      </c>
      <c r="D737" s="3">
        <v>22</v>
      </c>
    </row>
    <row r="738" spans="1:4" x14ac:dyDescent="0.3">
      <c r="A738">
        <v>69</v>
      </c>
      <c r="B738" s="1">
        <v>31.517241379310345</v>
      </c>
      <c r="C738" s="10">
        <v>47.888732045009007</v>
      </c>
      <c r="D738" s="3">
        <v>29</v>
      </c>
    </row>
    <row r="739" spans="1:4" x14ac:dyDescent="0.3">
      <c r="A739">
        <v>51</v>
      </c>
      <c r="B739" s="1">
        <v>45.454545454545453</v>
      </c>
      <c r="C739" s="10">
        <v>36.091532655352914</v>
      </c>
      <c r="D739" s="3">
        <v>22</v>
      </c>
    </row>
    <row r="740" spans="1:4" x14ac:dyDescent="0.3">
      <c r="A740">
        <v>9</v>
      </c>
      <c r="B740" s="1">
        <v>27</v>
      </c>
      <c r="C740" s="10">
        <v>7.6853538751973911</v>
      </c>
      <c r="D740" s="3">
        <v>5</v>
      </c>
    </row>
    <row r="741" spans="1:4" x14ac:dyDescent="0.3">
      <c r="A741">
        <v>32</v>
      </c>
      <c r="B741" s="1">
        <v>36</v>
      </c>
      <c r="C741" s="10">
        <v>25.179393851339885</v>
      </c>
      <c r="D741" s="3">
        <v>15</v>
      </c>
    </row>
    <row r="742" spans="1:4" x14ac:dyDescent="0.3">
      <c r="A742">
        <v>5</v>
      </c>
      <c r="B742" s="1">
        <v>39.333333333333336</v>
      </c>
      <c r="C742" s="10">
        <v>6.0513493624824273</v>
      </c>
      <c r="D742" s="3">
        <v>3</v>
      </c>
    </row>
    <row r="743" spans="1:4" x14ac:dyDescent="0.3">
      <c r="A743">
        <v>10</v>
      </c>
      <c r="B743" s="1">
        <v>42.166666666666664</v>
      </c>
      <c r="C743" s="10">
        <v>8.1053288072442058</v>
      </c>
      <c r="D743" s="3">
        <v>6</v>
      </c>
    </row>
    <row r="744" spans="1:4" x14ac:dyDescent="0.3">
      <c r="A744">
        <v>38</v>
      </c>
      <c r="B744" s="1">
        <v>39.173913043478258</v>
      </c>
      <c r="C744" s="10">
        <v>43.368789648520533</v>
      </c>
      <c r="D744" s="3">
        <v>23</v>
      </c>
    </row>
    <row r="745" spans="1:4" x14ac:dyDescent="0.3">
      <c r="A745">
        <v>66</v>
      </c>
      <c r="B745" s="1">
        <v>30.178571428571427</v>
      </c>
      <c r="C745" s="10">
        <v>48.489070721354985</v>
      </c>
      <c r="D745" s="3">
        <v>28</v>
      </c>
    </row>
    <row r="746" spans="1:4" x14ac:dyDescent="0.3">
      <c r="A746">
        <v>22</v>
      </c>
      <c r="B746" s="1">
        <v>28.333333333333332</v>
      </c>
      <c r="C746" s="10">
        <v>25.156558180256379</v>
      </c>
      <c r="D746" s="3">
        <v>12</v>
      </c>
    </row>
    <row r="747" spans="1:4" x14ac:dyDescent="0.3">
      <c r="A747">
        <v>43</v>
      </c>
      <c r="B747" s="1">
        <v>24.52</v>
      </c>
      <c r="C747" s="10">
        <v>38.067504867623583</v>
      </c>
      <c r="D747" s="3">
        <v>25</v>
      </c>
    </row>
    <row r="748" spans="1:4" x14ac:dyDescent="0.3">
      <c r="A748">
        <v>41</v>
      </c>
      <c r="B748" s="1">
        <v>37.299999999999997</v>
      </c>
      <c r="C748" s="10">
        <v>43.740944572827004</v>
      </c>
      <c r="D748" s="3">
        <v>20</v>
      </c>
    </row>
    <row r="749" spans="1:4" x14ac:dyDescent="0.3">
      <c r="A749">
        <v>48</v>
      </c>
      <c r="B749" s="1">
        <v>42.68181818181818</v>
      </c>
      <c r="C749" s="10">
        <v>29.963810416647451</v>
      </c>
      <c r="D749" s="3">
        <v>22</v>
      </c>
    </row>
    <row r="750" spans="1:4" x14ac:dyDescent="0.3">
      <c r="A750">
        <v>37</v>
      </c>
      <c r="B750" s="1">
        <v>35.04</v>
      </c>
      <c r="C750" s="10">
        <v>49.695873849186093</v>
      </c>
      <c r="D750" s="3">
        <v>25</v>
      </c>
    </row>
    <row r="751" spans="1:4" x14ac:dyDescent="0.3">
      <c r="A751">
        <v>17</v>
      </c>
      <c r="B751" s="1">
        <v>34.642857142857146</v>
      </c>
      <c r="C751" s="10">
        <v>21.899964554847799</v>
      </c>
      <c r="D751" s="3">
        <v>14</v>
      </c>
    </row>
    <row r="752" spans="1:4" x14ac:dyDescent="0.3">
      <c r="A752">
        <v>37</v>
      </c>
      <c r="B752" s="1">
        <v>29.7</v>
      </c>
      <c r="C752" s="10">
        <v>47.570464931988496</v>
      </c>
      <c r="D752" s="3">
        <v>20</v>
      </c>
    </row>
    <row r="753" spans="1:4" x14ac:dyDescent="0.3">
      <c r="A753">
        <v>15</v>
      </c>
      <c r="B753" s="1">
        <v>42.81818181818182</v>
      </c>
      <c r="C753" s="10">
        <v>16.15413320598482</v>
      </c>
      <c r="D753" s="3">
        <v>11</v>
      </c>
    </row>
    <row r="754" spans="1:4" x14ac:dyDescent="0.3">
      <c r="A754">
        <v>74</v>
      </c>
      <c r="B754" s="1">
        <v>26.142857142857142</v>
      </c>
      <c r="C754" s="10">
        <v>70.799568936460247</v>
      </c>
      <c r="D754" s="3">
        <v>35</v>
      </c>
    </row>
    <row r="755" spans="1:4" x14ac:dyDescent="0.3">
      <c r="A755">
        <v>27</v>
      </c>
      <c r="B755" s="1">
        <v>46.214285714285715</v>
      </c>
      <c r="C755" s="10">
        <v>22.936818980701879</v>
      </c>
      <c r="D755" s="3">
        <v>14</v>
      </c>
    </row>
    <row r="756" spans="1:4" x14ac:dyDescent="0.3">
      <c r="A756">
        <v>18</v>
      </c>
      <c r="B756" s="1">
        <v>34.81818181818182</v>
      </c>
      <c r="C756" s="10">
        <v>22.94212426611271</v>
      </c>
      <c r="D756" s="3">
        <v>11</v>
      </c>
    </row>
    <row r="757" spans="1:4" x14ac:dyDescent="0.3">
      <c r="A757">
        <v>37</v>
      </c>
      <c r="B757" s="1">
        <v>40.954545454545453</v>
      </c>
      <c r="C757" s="10">
        <v>34.433671562070906</v>
      </c>
      <c r="D757" s="3">
        <v>22</v>
      </c>
    </row>
    <row r="758" spans="1:4" x14ac:dyDescent="0.3">
      <c r="A758">
        <v>49</v>
      </c>
      <c r="B758" s="1">
        <v>26.444444444444443</v>
      </c>
      <c r="C758" s="10">
        <v>56.395574479534112</v>
      </c>
      <c r="D758" s="3">
        <v>27</v>
      </c>
    </row>
    <row r="759" spans="1:4" x14ac:dyDescent="0.3">
      <c r="A759">
        <v>35</v>
      </c>
      <c r="B759" s="1">
        <v>40.5625</v>
      </c>
      <c r="C759" s="10">
        <v>25.328370442631094</v>
      </c>
      <c r="D759" s="3">
        <v>16</v>
      </c>
    </row>
    <row r="760" spans="1:4" x14ac:dyDescent="0.3">
      <c r="A760">
        <v>55</v>
      </c>
      <c r="B760" s="1">
        <v>34.518518518518519</v>
      </c>
      <c r="C760" s="10">
        <v>58.082826414924654</v>
      </c>
      <c r="D760" s="3">
        <v>27</v>
      </c>
    </row>
    <row r="761" spans="1:4" x14ac:dyDescent="0.3">
      <c r="A761">
        <v>19</v>
      </c>
      <c r="B761" s="1">
        <v>39.166666666666664</v>
      </c>
      <c r="C761" s="10">
        <v>27.878103831350401</v>
      </c>
      <c r="D761" s="3">
        <v>12</v>
      </c>
    </row>
    <row r="762" spans="1:4" x14ac:dyDescent="0.3">
      <c r="A762">
        <v>54</v>
      </c>
      <c r="B762" s="1">
        <v>33.6</v>
      </c>
      <c r="C762" s="10">
        <v>38.247302912170255</v>
      </c>
      <c r="D762" s="3">
        <v>25</v>
      </c>
    </row>
    <row r="763" spans="1:4" x14ac:dyDescent="0.3">
      <c r="A763">
        <v>21</v>
      </c>
      <c r="B763" s="1">
        <v>37</v>
      </c>
      <c r="C763" s="10">
        <v>25.980524897293698</v>
      </c>
      <c r="D763" s="3">
        <v>11</v>
      </c>
    </row>
    <row r="764" spans="1:4" x14ac:dyDescent="0.3">
      <c r="A764">
        <v>40</v>
      </c>
      <c r="B764" s="1">
        <v>25.347826086956523</v>
      </c>
      <c r="C764" s="10">
        <v>51.01882407132193</v>
      </c>
      <c r="D764" s="3">
        <v>23</v>
      </c>
    </row>
    <row r="765" spans="1:4" x14ac:dyDescent="0.3">
      <c r="A765">
        <v>46</v>
      </c>
      <c r="B765" s="1">
        <v>25.677419354838708</v>
      </c>
      <c r="C765" s="10">
        <v>46.184953109193572</v>
      </c>
      <c r="D765" s="3">
        <v>31</v>
      </c>
    </row>
    <row r="766" spans="1:4" x14ac:dyDescent="0.3">
      <c r="A766">
        <v>2</v>
      </c>
      <c r="B766" s="1">
        <v>17</v>
      </c>
      <c r="C766" s="10">
        <v>1.6021401007891161</v>
      </c>
      <c r="D766" s="3">
        <v>1</v>
      </c>
    </row>
    <row r="767" spans="1:4" x14ac:dyDescent="0.3">
      <c r="A767">
        <v>42</v>
      </c>
      <c r="B767" s="1">
        <v>36.772727272727273</v>
      </c>
      <c r="C767" s="10">
        <v>51.954400273246755</v>
      </c>
      <c r="D767" s="3">
        <v>22</v>
      </c>
    </row>
    <row r="768" spans="1:4" x14ac:dyDescent="0.3">
      <c r="A768">
        <v>27</v>
      </c>
      <c r="B768" s="1">
        <v>26.071428571428573</v>
      </c>
      <c r="C768" s="10">
        <v>33.639311319758036</v>
      </c>
      <c r="D768" s="3">
        <v>14</v>
      </c>
    </row>
    <row r="769" spans="1:4" x14ac:dyDescent="0.3">
      <c r="A769">
        <v>21</v>
      </c>
      <c r="B769" s="1">
        <v>29.75</v>
      </c>
      <c r="C769" s="10">
        <v>24.651280360720243</v>
      </c>
      <c r="D769" s="3">
        <v>12</v>
      </c>
    </row>
    <row r="770" spans="1:4" x14ac:dyDescent="0.3">
      <c r="A770">
        <v>43</v>
      </c>
      <c r="B770" s="1">
        <v>38.799999999999997</v>
      </c>
      <c r="C770" s="10">
        <v>46.108720213236211</v>
      </c>
      <c r="D770" s="3">
        <v>20</v>
      </c>
    </row>
    <row r="771" spans="1:4" x14ac:dyDescent="0.3">
      <c r="A771">
        <v>29</v>
      </c>
      <c r="B771" s="1">
        <v>25.357142857142858</v>
      </c>
      <c r="C771" s="10">
        <v>24.756273609164943</v>
      </c>
      <c r="D771" s="3">
        <v>14</v>
      </c>
    </row>
    <row r="772" spans="1:4" x14ac:dyDescent="0.3">
      <c r="A772">
        <v>33</v>
      </c>
      <c r="B772" s="1">
        <v>36.857142857142854</v>
      </c>
      <c r="C772" s="10">
        <v>35.369773787642153</v>
      </c>
      <c r="D772" s="3">
        <v>21</v>
      </c>
    </row>
    <row r="773" spans="1:4" x14ac:dyDescent="0.3">
      <c r="A773">
        <v>18</v>
      </c>
      <c r="B773" s="1">
        <v>39.333333333333336</v>
      </c>
      <c r="C773" s="10">
        <v>13.664094683757797</v>
      </c>
      <c r="D773" s="3">
        <v>9</v>
      </c>
    </row>
    <row r="774" spans="1:4" x14ac:dyDescent="0.3">
      <c r="A774">
        <v>2</v>
      </c>
      <c r="B774" s="1">
        <v>23</v>
      </c>
      <c r="C774" s="10">
        <v>1.5443120214900199</v>
      </c>
      <c r="D774" s="3">
        <v>1</v>
      </c>
    </row>
    <row r="775" spans="1:4" x14ac:dyDescent="0.3">
      <c r="A775">
        <v>35</v>
      </c>
      <c r="B775" s="1">
        <v>32.416666666666664</v>
      </c>
      <c r="C775" s="10">
        <v>53.015189508568824</v>
      </c>
      <c r="D775" s="3">
        <v>24</v>
      </c>
    </row>
    <row r="776" spans="1:4" x14ac:dyDescent="0.3">
      <c r="A776">
        <v>16</v>
      </c>
      <c r="B776" s="1">
        <v>36.46153846153846</v>
      </c>
      <c r="C776" s="10">
        <v>20.282738077244282</v>
      </c>
      <c r="D776" s="3">
        <v>13</v>
      </c>
    </row>
    <row r="777" spans="1:4" x14ac:dyDescent="0.3">
      <c r="A777">
        <v>78</v>
      </c>
      <c r="B777" s="1">
        <v>27.142857142857142</v>
      </c>
      <c r="C777" s="10">
        <v>61.223636898927019</v>
      </c>
      <c r="D777" s="3">
        <v>35</v>
      </c>
    </row>
    <row r="778" spans="1:4" x14ac:dyDescent="0.3">
      <c r="A778">
        <v>11</v>
      </c>
      <c r="B778" s="1">
        <v>36.666666666666664</v>
      </c>
      <c r="C778" s="10">
        <v>14.287286111741569</v>
      </c>
      <c r="D778" s="3">
        <v>9</v>
      </c>
    </row>
    <row r="779" spans="1:4" x14ac:dyDescent="0.3">
      <c r="A779">
        <v>42</v>
      </c>
      <c r="B779" s="1">
        <v>40.958333333333336</v>
      </c>
      <c r="C779" s="10">
        <v>33.76555449352638</v>
      </c>
      <c r="D779" s="3">
        <v>24</v>
      </c>
    </row>
    <row r="780" spans="1:4" x14ac:dyDescent="0.3">
      <c r="A780">
        <v>54</v>
      </c>
      <c r="B780" s="1">
        <v>25.894736842105264</v>
      </c>
      <c r="C780" s="10">
        <v>61.973880901139829</v>
      </c>
      <c r="D780" s="3">
        <v>38</v>
      </c>
    </row>
    <row r="781" spans="1:4" x14ac:dyDescent="0.3">
      <c r="A781">
        <v>19</v>
      </c>
      <c r="B781" s="1">
        <v>38</v>
      </c>
      <c r="C781" s="10">
        <v>26.946643064641044</v>
      </c>
      <c r="D781" s="3">
        <v>15</v>
      </c>
    </row>
    <row r="782" spans="1:4" x14ac:dyDescent="0.3">
      <c r="A782">
        <v>16</v>
      </c>
      <c r="B782" s="1">
        <v>43.7</v>
      </c>
      <c r="C782" s="10">
        <v>17.024955270554607</v>
      </c>
      <c r="D782" s="3">
        <v>10</v>
      </c>
    </row>
    <row r="783" spans="1:4" x14ac:dyDescent="0.3">
      <c r="A783">
        <v>1</v>
      </c>
      <c r="B783" s="1">
        <v>39</v>
      </c>
      <c r="C783" s="10">
        <v>2.4169882398761282</v>
      </c>
      <c r="D783" s="3">
        <v>1</v>
      </c>
    </row>
    <row r="784" spans="1:4" x14ac:dyDescent="0.3">
      <c r="A784">
        <v>32</v>
      </c>
      <c r="B784" s="1">
        <v>26.333333333333332</v>
      </c>
      <c r="C784" s="10">
        <v>37.272782792260529</v>
      </c>
      <c r="D784" s="3">
        <v>15</v>
      </c>
    </row>
    <row r="785" spans="1:4" x14ac:dyDescent="0.3">
      <c r="A785">
        <v>53</v>
      </c>
      <c r="B785" s="1">
        <v>39.958333333333336</v>
      </c>
      <c r="C785" s="10">
        <v>58.568888080935231</v>
      </c>
      <c r="D785" s="3">
        <v>24</v>
      </c>
    </row>
    <row r="786" spans="1:4" x14ac:dyDescent="0.3">
      <c r="A786">
        <v>24</v>
      </c>
      <c r="B786" s="1">
        <v>36.055555555555557</v>
      </c>
      <c r="C786" s="10">
        <v>42.666351624057704</v>
      </c>
      <c r="D786" s="3">
        <v>18</v>
      </c>
    </row>
    <row r="787" spans="1:4" x14ac:dyDescent="0.3">
      <c r="A787">
        <v>53</v>
      </c>
      <c r="B787" s="1">
        <v>30.3125</v>
      </c>
      <c r="C787" s="10">
        <v>42.390456951740362</v>
      </c>
      <c r="D787" s="3">
        <v>32</v>
      </c>
    </row>
    <row r="788" spans="1:4" x14ac:dyDescent="0.3">
      <c r="A788">
        <v>9</v>
      </c>
      <c r="B788" s="1">
        <v>30.714285714285715</v>
      </c>
      <c r="C788" s="10">
        <v>9.3679152253380877</v>
      </c>
      <c r="D788" s="3">
        <v>7</v>
      </c>
    </row>
    <row r="789" spans="1:4" x14ac:dyDescent="0.3">
      <c r="A789">
        <v>40</v>
      </c>
      <c r="B789" s="1">
        <v>25.38095238095238</v>
      </c>
      <c r="C789" s="10">
        <v>30.408262462397246</v>
      </c>
      <c r="D789" s="3">
        <v>21</v>
      </c>
    </row>
    <row r="790" spans="1:4" x14ac:dyDescent="0.3">
      <c r="A790">
        <v>34</v>
      </c>
      <c r="B790" s="1">
        <v>44</v>
      </c>
      <c r="C790" s="10">
        <v>47.144644689517129</v>
      </c>
      <c r="D790" s="3">
        <v>19</v>
      </c>
    </row>
    <row r="791" spans="1:4" x14ac:dyDescent="0.3">
      <c r="A791">
        <v>5</v>
      </c>
      <c r="B791" s="1">
        <v>43.666666666666664</v>
      </c>
      <c r="C791" s="10">
        <v>5.4426404316250601</v>
      </c>
      <c r="D791" s="3">
        <v>3</v>
      </c>
    </row>
    <row r="792" spans="1:4" x14ac:dyDescent="0.3">
      <c r="A792">
        <v>37</v>
      </c>
      <c r="B792" s="1">
        <v>30.523809523809526</v>
      </c>
      <c r="C792" s="10">
        <v>51.724120230253966</v>
      </c>
      <c r="D792" s="3">
        <v>21</v>
      </c>
    </row>
    <row r="793" spans="1:4" x14ac:dyDescent="0.3">
      <c r="A793">
        <v>5</v>
      </c>
      <c r="B793" s="1">
        <v>34.75</v>
      </c>
      <c r="C793" s="10">
        <v>6.0390833173474228</v>
      </c>
      <c r="D793" s="3">
        <v>4</v>
      </c>
    </row>
    <row r="794" spans="1:4" x14ac:dyDescent="0.3">
      <c r="A794">
        <v>47</v>
      </c>
      <c r="B794" s="1">
        <v>37.708333333333336</v>
      </c>
      <c r="C794" s="10">
        <v>38.933777464092394</v>
      </c>
      <c r="D794" s="3">
        <v>24</v>
      </c>
    </row>
    <row r="795" spans="1:4" x14ac:dyDescent="0.3">
      <c r="A795">
        <v>57</v>
      </c>
      <c r="B795" s="1">
        <v>26.642857142857142</v>
      </c>
      <c r="C795" s="10">
        <v>57.471469955477922</v>
      </c>
      <c r="D795" s="3">
        <v>28</v>
      </c>
    </row>
    <row r="796" spans="1:4" x14ac:dyDescent="0.3">
      <c r="A796">
        <v>6</v>
      </c>
      <c r="B796" s="1">
        <v>44.6</v>
      </c>
      <c r="C796" s="10">
        <v>9.0018275942070183</v>
      </c>
      <c r="D796" s="3">
        <v>5</v>
      </c>
    </row>
    <row r="797" spans="1:4" x14ac:dyDescent="0.3">
      <c r="A797">
        <v>16</v>
      </c>
      <c r="B797" s="1">
        <v>31.09090909090909</v>
      </c>
      <c r="C797" s="10">
        <v>14.555008660985342</v>
      </c>
      <c r="D797" s="3">
        <v>11</v>
      </c>
    </row>
    <row r="798" spans="1:4" x14ac:dyDescent="0.3">
      <c r="A798">
        <v>21</v>
      </c>
      <c r="B798" s="1">
        <v>30.785714285714285</v>
      </c>
      <c r="C798" s="10">
        <v>28.339551015926641</v>
      </c>
      <c r="D798" s="3">
        <v>14</v>
      </c>
    </row>
    <row r="799" spans="1:4" x14ac:dyDescent="0.3">
      <c r="A799">
        <v>13</v>
      </c>
      <c r="B799" s="1">
        <v>37.5</v>
      </c>
      <c r="C799" s="10">
        <v>11.913071538660642</v>
      </c>
      <c r="D799" s="3">
        <v>6</v>
      </c>
    </row>
    <row r="800" spans="1:4" x14ac:dyDescent="0.3">
      <c r="A800">
        <v>43</v>
      </c>
      <c r="B800" s="1">
        <v>40.18181818181818</v>
      </c>
      <c r="C800" s="10">
        <v>52.010607545441985</v>
      </c>
      <c r="D800" s="3">
        <v>22</v>
      </c>
    </row>
    <row r="801" spans="1:4" x14ac:dyDescent="0.3">
      <c r="A801">
        <v>26</v>
      </c>
      <c r="B801" s="1">
        <v>34.705882352941174</v>
      </c>
      <c r="C801" s="10">
        <v>39.607026796065291</v>
      </c>
      <c r="D801" s="3">
        <v>17</v>
      </c>
    </row>
    <row r="802" spans="1:4" x14ac:dyDescent="0.3">
      <c r="A802">
        <v>68</v>
      </c>
      <c r="B802" s="1">
        <v>27.029411764705884</v>
      </c>
      <c r="C802" s="10">
        <v>50.119685109529151</v>
      </c>
      <c r="D802" s="3">
        <v>34</v>
      </c>
    </row>
    <row r="803" spans="1:4" x14ac:dyDescent="0.3">
      <c r="A803">
        <v>3</v>
      </c>
      <c r="B803" s="1">
        <v>33.5</v>
      </c>
      <c r="C803" s="10">
        <v>3.4994755225208856</v>
      </c>
      <c r="D803" s="3">
        <v>2</v>
      </c>
    </row>
    <row r="804" spans="1:4" x14ac:dyDescent="0.3">
      <c r="A804">
        <v>9</v>
      </c>
      <c r="B804" s="1">
        <v>44.166666666666664</v>
      </c>
      <c r="C804" s="10">
        <v>14.309265138930089</v>
      </c>
      <c r="D804" s="3">
        <v>6</v>
      </c>
    </row>
    <row r="805" spans="1:4" x14ac:dyDescent="0.3">
      <c r="A805">
        <v>33</v>
      </c>
      <c r="B805" s="1">
        <v>24.529411764705884</v>
      </c>
      <c r="C805" s="10">
        <v>23.621408727495325</v>
      </c>
      <c r="D805" s="3">
        <v>17</v>
      </c>
    </row>
    <row r="806" spans="1:4" x14ac:dyDescent="0.3">
      <c r="A806">
        <v>55</v>
      </c>
      <c r="B806" s="1">
        <v>25.620689655172413</v>
      </c>
      <c r="C806" s="10">
        <v>37.428409173726365</v>
      </c>
      <c r="D806" s="3">
        <v>29</v>
      </c>
    </row>
    <row r="807" spans="1:4" x14ac:dyDescent="0.3">
      <c r="A807">
        <v>8</v>
      </c>
      <c r="B807" s="1">
        <v>37.200000000000003</v>
      </c>
      <c r="C807" s="10">
        <v>7.2310824443035742</v>
      </c>
      <c r="D807" s="3">
        <v>5</v>
      </c>
    </row>
    <row r="808" spans="1:4" x14ac:dyDescent="0.3">
      <c r="A808">
        <v>28</v>
      </c>
      <c r="B808" s="1">
        <v>38.071428571428569</v>
      </c>
      <c r="C808" s="10">
        <v>28.798911088781949</v>
      </c>
      <c r="D808" s="3">
        <v>14</v>
      </c>
    </row>
    <row r="809" spans="1:4" x14ac:dyDescent="0.3">
      <c r="A809">
        <v>22</v>
      </c>
      <c r="B809" s="1">
        <v>42.588235294117645</v>
      </c>
      <c r="C809" s="10">
        <v>23.721213037758591</v>
      </c>
      <c r="D809" s="3">
        <v>17</v>
      </c>
    </row>
    <row r="810" spans="1:4" x14ac:dyDescent="0.3">
      <c r="A810">
        <v>11</v>
      </c>
      <c r="B810" s="1">
        <v>31.857142857142858</v>
      </c>
      <c r="C810" s="10">
        <v>11.933513253210446</v>
      </c>
      <c r="D810" s="3">
        <v>7</v>
      </c>
    </row>
    <row r="811" spans="1:4" x14ac:dyDescent="0.3">
      <c r="A811">
        <v>40</v>
      </c>
      <c r="B811" s="1">
        <v>41.458333333333336</v>
      </c>
      <c r="C811" s="10">
        <v>34.432747122274819</v>
      </c>
      <c r="D811" s="3">
        <v>24</v>
      </c>
    </row>
    <row r="812" spans="1:4" x14ac:dyDescent="0.3">
      <c r="A812">
        <v>50</v>
      </c>
      <c r="B812" s="1">
        <v>26.291666666666668</v>
      </c>
      <c r="C812" s="10">
        <v>49.530998400622224</v>
      </c>
      <c r="D812" s="3">
        <v>24</v>
      </c>
    </row>
    <row r="813" spans="1:4" x14ac:dyDescent="0.3">
      <c r="A813">
        <v>31</v>
      </c>
      <c r="B813" s="1">
        <v>38.684210526315788</v>
      </c>
      <c r="C813" s="10">
        <v>28.242700815458612</v>
      </c>
      <c r="D813" s="3">
        <v>19</v>
      </c>
    </row>
    <row r="814" spans="1:4" x14ac:dyDescent="0.3">
      <c r="A814">
        <v>10</v>
      </c>
      <c r="B814" s="1">
        <v>37</v>
      </c>
      <c r="C814" s="10">
        <v>8.2159766768662106</v>
      </c>
      <c r="D814" s="3">
        <v>5</v>
      </c>
    </row>
    <row r="815" spans="1:4" x14ac:dyDescent="0.3">
      <c r="A815">
        <v>7</v>
      </c>
      <c r="B815" s="1">
        <v>30.6</v>
      </c>
      <c r="C815" s="10">
        <v>8.7737554898472361</v>
      </c>
      <c r="D815" s="3">
        <v>5</v>
      </c>
    </row>
    <row r="816" spans="1:4" x14ac:dyDescent="0.3">
      <c r="A816">
        <v>15</v>
      </c>
      <c r="B816" s="1">
        <v>46</v>
      </c>
      <c r="C816" s="10">
        <v>13.351275353442077</v>
      </c>
      <c r="D816" s="3">
        <v>7</v>
      </c>
    </row>
    <row r="817" spans="1:4" x14ac:dyDescent="0.3">
      <c r="A817">
        <v>67</v>
      </c>
      <c r="B817" s="1">
        <v>26.794117647058822</v>
      </c>
      <c r="C817" s="10">
        <v>74.545799923707136</v>
      </c>
      <c r="D817" s="3">
        <v>34</v>
      </c>
    </row>
    <row r="818" spans="1:4" x14ac:dyDescent="0.3">
      <c r="A818">
        <v>18</v>
      </c>
      <c r="B818" s="1">
        <v>42.230769230769234</v>
      </c>
      <c r="C818" s="10">
        <v>25.098440564935622</v>
      </c>
      <c r="D818" s="3">
        <v>13</v>
      </c>
    </row>
    <row r="819" spans="1:4" x14ac:dyDescent="0.3">
      <c r="A819">
        <v>21</v>
      </c>
      <c r="B819" s="1">
        <v>35.5</v>
      </c>
      <c r="C819" s="10">
        <v>20.991606987150771</v>
      </c>
      <c r="D819" s="3">
        <v>12</v>
      </c>
    </row>
    <row r="820" spans="1:4" x14ac:dyDescent="0.3">
      <c r="A820">
        <v>43</v>
      </c>
      <c r="B820" s="1">
        <v>36.615384615384613</v>
      </c>
      <c r="C820" s="10">
        <v>53.243774018975003</v>
      </c>
      <c r="D820" s="3">
        <v>26</v>
      </c>
    </row>
    <row r="821" spans="1:4" x14ac:dyDescent="0.3">
      <c r="A821">
        <v>26</v>
      </c>
      <c r="B821" s="1">
        <v>40.315789473684212</v>
      </c>
      <c r="C821" s="10">
        <v>40.680218103857172</v>
      </c>
      <c r="D821" s="3">
        <v>19</v>
      </c>
    </row>
    <row r="822" spans="1:4" x14ac:dyDescent="0.3">
      <c r="A822">
        <v>52</v>
      </c>
      <c r="B822" s="1">
        <v>36.307692307692307</v>
      </c>
      <c r="C822" s="10">
        <v>63.316088765334626</v>
      </c>
      <c r="D822" s="3">
        <v>26</v>
      </c>
    </row>
    <row r="823" spans="1:4" x14ac:dyDescent="0.3">
      <c r="A823">
        <v>29</v>
      </c>
      <c r="B823" s="1">
        <v>35.4</v>
      </c>
      <c r="C823" s="10">
        <v>33.138198098360022</v>
      </c>
      <c r="D823" s="3">
        <v>15</v>
      </c>
    </row>
    <row r="824" spans="1:4" x14ac:dyDescent="0.3">
      <c r="A824">
        <v>16</v>
      </c>
      <c r="B824" s="1">
        <v>42.444444444444443</v>
      </c>
      <c r="C824" s="10">
        <v>17.024481306083324</v>
      </c>
      <c r="D824" s="3">
        <v>9</v>
      </c>
    </row>
    <row r="825" spans="1:4" x14ac:dyDescent="0.3">
      <c r="A825">
        <v>47</v>
      </c>
      <c r="B825" s="1">
        <v>35.590909090909093</v>
      </c>
      <c r="C825" s="10">
        <v>41.165224470666828</v>
      </c>
      <c r="D825" s="3">
        <v>22</v>
      </c>
    </row>
    <row r="826" spans="1:4" x14ac:dyDescent="0.3">
      <c r="A826">
        <v>11</v>
      </c>
      <c r="B826" s="1">
        <v>26</v>
      </c>
      <c r="C826" s="10">
        <v>11.625842806811441</v>
      </c>
      <c r="D826" s="3">
        <v>6</v>
      </c>
    </row>
    <row r="827" spans="1:4" x14ac:dyDescent="0.3">
      <c r="A827">
        <v>45</v>
      </c>
      <c r="B827" s="1">
        <v>34.25</v>
      </c>
      <c r="C827" s="10">
        <v>40.446786633705401</v>
      </c>
      <c r="D827" s="3">
        <v>20</v>
      </c>
    </row>
    <row r="828" spans="1:4" x14ac:dyDescent="0.3">
      <c r="A828">
        <v>14</v>
      </c>
      <c r="B828" s="1">
        <v>37.5</v>
      </c>
      <c r="C828" s="10">
        <v>15.069617067221429</v>
      </c>
      <c r="D828" s="3">
        <v>10</v>
      </c>
    </row>
    <row r="829" spans="1:4" x14ac:dyDescent="0.3">
      <c r="A829">
        <v>10</v>
      </c>
      <c r="B829" s="1">
        <v>34</v>
      </c>
      <c r="C829" s="10">
        <v>12.191435747617156</v>
      </c>
      <c r="D829" s="3">
        <v>5</v>
      </c>
    </row>
    <row r="830" spans="1:4" x14ac:dyDescent="0.3">
      <c r="A830">
        <v>30</v>
      </c>
      <c r="B830" s="1">
        <v>31.222222222222221</v>
      </c>
      <c r="C830" s="10">
        <v>31.793408421690348</v>
      </c>
      <c r="D830" s="3">
        <v>18</v>
      </c>
    </row>
    <row r="831" spans="1:4" x14ac:dyDescent="0.3">
      <c r="A831">
        <v>7</v>
      </c>
      <c r="B831" s="1">
        <v>46</v>
      </c>
      <c r="C831" s="10">
        <v>10.781386584910482</v>
      </c>
      <c r="D831" s="3">
        <v>6</v>
      </c>
    </row>
    <row r="832" spans="1:4" x14ac:dyDescent="0.3">
      <c r="A832">
        <v>38</v>
      </c>
      <c r="B832" s="1">
        <v>33.840000000000003</v>
      </c>
      <c r="C832" s="10">
        <v>50.472574364751544</v>
      </c>
      <c r="D832" s="3">
        <v>25</v>
      </c>
    </row>
    <row r="833" spans="1:4" x14ac:dyDescent="0.3">
      <c r="A833">
        <v>29</v>
      </c>
      <c r="B833" s="1">
        <v>38.647058823529413</v>
      </c>
      <c r="C833" s="10">
        <v>21.42405983996527</v>
      </c>
      <c r="D833" s="3">
        <v>17</v>
      </c>
    </row>
    <row r="834" spans="1:4" x14ac:dyDescent="0.3">
      <c r="A834">
        <v>59</v>
      </c>
      <c r="B834" s="1">
        <v>31.62962962962963</v>
      </c>
      <c r="C834" s="10">
        <v>64.25335679749135</v>
      </c>
      <c r="D834" s="3">
        <v>27</v>
      </c>
    </row>
    <row r="835" spans="1:4" x14ac:dyDescent="0.3">
      <c r="A835">
        <v>28</v>
      </c>
      <c r="B835" s="1">
        <v>43.473684210526315</v>
      </c>
      <c r="C835" s="10">
        <v>35.942954042920967</v>
      </c>
      <c r="D835" s="3">
        <v>19</v>
      </c>
    </row>
    <row r="836" spans="1:4" x14ac:dyDescent="0.3">
      <c r="A836">
        <v>19</v>
      </c>
      <c r="B836" s="1">
        <v>29.266666666666666</v>
      </c>
      <c r="C836" s="10">
        <v>19.670526127499372</v>
      </c>
      <c r="D836" s="3">
        <v>15</v>
      </c>
    </row>
    <row r="837" spans="1:4" x14ac:dyDescent="0.3">
      <c r="A837">
        <v>50</v>
      </c>
      <c r="B837" s="1">
        <v>35.321428571428569</v>
      </c>
      <c r="C837" s="10">
        <v>41.040425204371758</v>
      </c>
      <c r="D837" s="3">
        <v>28</v>
      </c>
    </row>
    <row r="838" spans="1:4" x14ac:dyDescent="0.3">
      <c r="A838">
        <v>18</v>
      </c>
      <c r="B838" s="1">
        <v>28.428571428571427</v>
      </c>
      <c r="C838" s="10">
        <v>23.707901936723104</v>
      </c>
      <c r="D838" s="3">
        <v>14</v>
      </c>
    </row>
    <row r="839" spans="1:4" x14ac:dyDescent="0.3">
      <c r="A839">
        <v>8</v>
      </c>
      <c r="B839" s="1">
        <v>35.833333333333336</v>
      </c>
      <c r="C839" s="10">
        <v>12.966623711731099</v>
      </c>
      <c r="D839" s="3">
        <v>6</v>
      </c>
    </row>
    <row r="840" spans="1:4" x14ac:dyDescent="0.3">
      <c r="A840">
        <v>33</v>
      </c>
      <c r="B840" s="1">
        <v>42.4</v>
      </c>
      <c r="C840" s="10">
        <v>43.108797587143272</v>
      </c>
      <c r="D840" s="3">
        <v>20</v>
      </c>
    </row>
    <row r="841" spans="1:4" x14ac:dyDescent="0.3">
      <c r="A841">
        <v>73</v>
      </c>
      <c r="B841" s="1">
        <v>26.193548387096776</v>
      </c>
      <c r="C841" s="10">
        <v>42.810291512558607</v>
      </c>
      <c r="D841" s="3">
        <v>31</v>
      </c>
    </row>
    <row r="842" spans="1:4" x14ac:dyDescent="0.3">
      <c r="A842">
        <v>39</v>
      </c>
      <c r="B842" s="1">
        <v>33.38095238095238</v>
      </c>
      <c r="C842" s="10">
        <v>37.17097309523821</v>
      </c>
      <c r="D842" s="3">
        <v>21</v>
      </c>
    </row>
    <row r="843" spans="1:4" x14ac:dyDescent="0.3">
      <c r="A843">
        <v>54</v>
      </c>
      <c r="B843" s="1">
        <v>25.071428571428573</v>
      </c>
      <c r="C843" s="10">
        <v>54.926495198332582</v>
      </c>
      <c r="D843" s="3">
        <v>28</v>
      </c>
    </row>
    <row r="844" spans="1:4" x14ac:dyDescent="0.3">
      <c r="A844">
        <v>21</v>
      </c>
      <c r="B844" s="1">
        <v>43.411764705882355</v>
      </c>
      <c r="C844" s="10">
        <v>25.786514493214881</v>
      </c>
      <c r="D844" s="3">
        <v>17</v>
      </c>
    </row>
    <row r="845" spans="1:4" x14ac:dyDescent="0.3">
      <c r="A845">
        <v>1</v>
      </c>
      <c r="B845" s="1">
        <v>40</v>
      </c>
      <c r="C845" s="10">
        <v>1.8871743730871797</v>
      </c>
      <c r="D845" s="3">
        <v>1</v>
      </c>
    </row>
    <row r="846" spans="1:4" x14ac:dyDescent="0.3">
      <c r="A846">
        <v>15</v>
      </c>
      <c r="B846" s="1">
        <v>36.555555555555557</v>
      </c>
      <c r="C846" s="10">
        <v>17.128471202148308</v>
      </c>
      <c r="D846" s="3">
        <v>9</v>
      </c>
    </row>
    <row r="847" spans="1:4" x14ac:dyDescent="0.3">
      <c r="A847">
        <v>26</v>
      </c>
      <c r="B847" s="1">
        <v>28.125</v>
      </c>
      <c r="C847" s="10">
        <v>25.127173015097185</v>
      </c>
      <c r="D847" s="3">
        <v>16</v>
      </c>
    </row>
    <row r="848" spans="1:4" x14ac:dyDescent="0.3">
      <c r="A848">
        <v>23</v>
      </c>
      <c r="B848" s="1">
        <v>40.666666666666664</v>
      </c>
      <c r="C848" s="10">
        <v>36.459371555861402</v>
      </c>
      <c r="D848" s="3">
        <v>15</v>
      </c>
    </row>
    <row r="849" spans="1:4" x14ac:dyDescent="0.3">
      <c r="A849">
        <v>51</v>
      </c>
      <c r="B849" s="1">
        <v>24.541666666666668</v>
      </c>
      <c r="C849" s="10">
        <v>59.920832274419297</v>
      </c>
      <c r="D849" s="3">
        <v>24</v>
      </c>
    </row>
    <row r="850" spans="1:4" x14ac:dyDescent="0.3">
      <c r="A850">
        <v>20</v>
      </c>
      <c r="B850" s="1">
        <v>37.06666666666667</v>
      </c>
      <c r="C850" s="10">
        <v>20.620093360300579</v>
      </c>
      <c r="D850" s="3">
        <v>15</v>
      </c>
    </row>
    <row r="851" spans="1:4" x14ac:dyDescent="0.3">
      <c r="A851">
        <v>28</v>
      </c>
      <c r="B851" s="1">
        <v>38.769230769230766</v>
      </c>
      <c r="C851" s="10">
        <v>32.041215141372149</v>
      </c>
      <c r="D851" s="3">
        <v>13</v>
      </c>
    </row>
    <row r="852" spans="1:4" x14ac:dyDescent="0.3">
      <c r="A852">
        <v>34</v>
      </c>
      <c r="B852" s="1">
        <v>25.478260869565219</v>
      </c>
      <c r="C852" s="10">
        <v>35.042548255840678</v>
      </c>
      <c r="D852" s="3">
        <v>23</v>
      </c>
    </row>
    <row r="853" spans="1:4" x14ac:dyDescent="0.3">
      <c r="A853">
        <v>27</v>
      </c>
      <c r="B853" s="1">
        <v>37.799999999999997</v>
      </c>
      <c r="C853" s="10">
        <v>26.148952147619436</v>
      </c>
      <c r="D853" s="3">
        <v>15</v>
      </c>
    </row>
    <row r="854" spans="1:4" x14ac:dyDescent="0.3">
      <c r="A854">
        <v>37</v>
      </c>
      <c r="B854" s="1">
        <v>31.111111111111111</v>
      </c>
      <c r="C854" s="10">
        <v>36.985941466681695</v>
      </c>
      <c r="D854" s="3">
        <v>18</v>
      </c>
    </row>
    <row r="855" spans="1:4" x14ac:dyDescent="0.3">
      <c r="A855">
        <v>18</v>
      </c>
      <c r="B855" s="1">
        <v>42</v>
      </c>
      <c r="C855" s="10">
        <v>12.762334996344151</v>
      </c>
      <c r="D855" s="3">
        <v>10</v>
      </c>
    </row>
    <row r="856" spans="1:4" x14ac:dyDescent="0.3">
      <c r="A856">
        <v>56</v>
      </c>
      <c r="B856" s="1">
        <v>41.541666666666664</v>
      </c>
      <c r="C856" s="10">
        <v>39.405873719597878</v>
      </c>
      <c r="D856" s="3">
        <v>24</v>
      </c>
    </row>
    <row r="857" spans="1:4" x14ac:dyDescent="0.3">
      <c r="A857">
        <v>12</v>
      </c>
      <c r="B857" s="1">
        <v>29.666666666666668</v>
      </c>
      <c r="C857" s="10">
        <v>20.780538529098173</v>
      </c>
      <c r="D857" s="3">
        <v>9</v>
      </c>
    </row>
    <row r="858" spans="1:4" x14ac:dyDescent="0.3">
      <c r="A858">
        <v>40</v>
      </c>
      <c r="B858" s="1">
        <v>32.75</v>
      </c>
      <c r="C858" s="10">
        <v>32.850456079361507</v>
      </c>
      <c r="D858" s="3">
        <v>20</v>
      </c>
    </row>
    <row r="859" spans="1:4" x14ac:dyDescent="0.3">
      <c r="A859">
        <v>45</v>
      </c>
      <c r="B859" s="1">
        <v>30.52</v>
      </c>
      <c r="C859" s="10">
        <v>36.620141137675546</v>
      </c>
      <c r="D859" s="3">
        <v>25</v>
      </c>
    </row>
    <row r="860" spans="1:4" x14ac:dyDescent="0.3">
      <c r="A860">
        <v>25</v>
      </c>
      <c r="B860" s="1">
        <v>37.333333333333336</v>
      </c>
      <c r="C860" s="10">
        <v>36.779608160385102</v>
      </c>
      <c r="D860" s="3">
        <v>18</v>
      </c>
    </row>
    <row r="861" spans="1:4" x14ac:dyDescent="0.3">
      <c r="A861">
        <v>31</v>
      </c>
      <c r="B861" s="1">
        <v>43.277777777777779</v>
      </c>
      <c r="C861" s="10">
        <v>32.241807813140518</v>
      </c>
      <c r="D861" s="3">
        <v>18</v>
      </c>
    </row>
    <row r="862" spans="1:4" x14ac:dyDescent="0.3">
      <c r="A862">
        <v>8</v>
      </c>
      <c r="B862" s="1">
        <v>34.166666666666664</v>
      </c>
      <c r="C862" s="10">
        <v>10.609448439041003</v>
      </c>
      <c r="D862" s="3">
        <v>6</v>
      </c>
    </row>
    <row r="863" spans="1:4" x14ac:dyDescent="0.3">
      <c r="A863">
        <v>16</v>
      </c>
      <c r="B863" s="1">
        <v>36.909090909090907</v>
      </c>
      <c r="C863" s="10">
        <v>27.041870767402411</v>
      </c>
      <c r="D863" s="3">
        <v>11</v>
      </c>
    </row>
    <row r="864" spans="1:4" x14ac:dyDescent="0.3">
      <c r="A864">
        <v>1</v>
      </c>
      <c r="B864" s="1">
        <v>33</v>
      </c>
      <c r="C864" s="10">
        <v>1.4986078281133763</v>
      </c>
      <c r="D864" s="3">
        <v>1</v>
      </c>
    </row>
    <row r="865" spans="1:4" x14ac:dyDescent="0.3">
      <c r="A865">
        <v>7</v>
      </c>
      <c r="B865" s="1">
        <v>41.75</v>
      </c>
      <c r="C865" s="10">
        <v>6.756410380893807</v>
      </c>
      <c r="D865" s="3">
        <v>4</v>
      </c>
    </row>
    <row r="866" spans="1:4" x14ac:dyDescent="0.3">
      <c r="A866">
        <v>4</v>
      </c>
      <c r="B866" s="1">
        <v>33</v>
      </c>
      <c r="C866" s="10">
        <v>5.8925689717431071</v>
      </c>
      <c r="D866" s="3">
        <v>3</v>
      </c>
    </row>
    <row r="867" spans="1:4" x14ac:dyDescent="0.3">
      <c r="A867">
        <v>20</v>
      </c>
      <c r="B867" s="1">
        <v>25.4</v>
      </c>
      <c r="C867" s="10">
        <v>18.64472119053103</v>
      </c>
      <c r="D867" s="3">
        <v>10</v>
      </c>
    </row>
    <row r="868" spans="1:4" x14ac:dyDescent="0.3">
      <c r="A868">
        <v>25</v>
      </c>
      <c r="B868" s="1">
        <v>29.833333333333332</v>
      </c>
      <c r="C868" s="10">
        <v>21.455097243796111</v>
      </c>
      <c r="D868" s="3">
        <v>12</v>
      </c>
    </row>
    <row r="869" spans="1:4" x14ac:dyDescent="0.3">
      <c r="A869">
        <v>18</v>
      </c>
      <c r="B869" s="1">
        <v>26.428571428571427</v>
      </c>
      <c r="C869" s="10">
        <v>21.426504742484504</v>
      </c>
      <c r="D869" s="3">
        <v>14</v>
      </c>
    </row>
    <row r="870" spans="1:4" x14ac:dyDescent="0.3">
      <c r="A870">
        <v>23</v>
      </c>
      <c r="B870" s="1">
        <v>32.799999999999997</v>
      </c>
      <c r="C870" s="10">
        <v>31.576698366353028</v>
      </c>
      <c r="D870" s="3">
        <v>15</v>
      </c>
    </row>
    <row r="871" spans="1:4" x14ac:dyDescent="0.3">
      <c r="A871">
        <v>19</v>
      </c>
      <c r="B871" s="1">
        <v>41</v>
      </c>
      <c r="C871" s="10">
        <v>20.43253648085609</v>
      </c>
      <c r="D871" s="3">
        <v>11</v>
      </c>
    </row>
    <row r="872" spans="1:4" x14ac:dyDescent="0.3">
      <c r="A872">
        <v>8</v>
      </c>
      <c r="B872" s="1">
        <v>39</v>
      </c>
      <c r="C872" s="10">
        <v>14.531317096083008</v>
      </c>
      <c r="D872" s="3">
        <v>6</v>
      </c>
    </row>
    <row r="873" spans="1:4" x14ac:dyDescent="0.3">
      <c r="A873">
        <v>4</v>
      </c>
      <c r="B873" s="1">
        <v>30.333333333333332</v>
      </c>
      <c r="C873" s="10">
        <v>4.9153702010075619</v>
      </c>
      <c r="D873" s="3">
        <v>3</v>
      </c>
    </row>
    <row r="874" spans="1:4" x14ac:dyDescent="0.3">
      <c r="A874">
        <v>32</v>
      </c>
      <c r="B874" s="1">
        <v>44.285714285714285</v>
      </c>
      <c r="C874" s="10">
        <v>42.089096203620834</v>
      </c>
      <c r="D874" s="3">
        <v>21</v>
      </c>
    </row>
    <row r="875" spans="1:4" x14ac:dyDescent="0.3">
      <c r="A875">
        <v>36</v>
      </c>
      <c r="B875" s="1">
        <v>44.045454545454547</v>
      </c>
      <c r="C875" s="10">
        <v>52.486492383823872</v>
      </c>
      <c r="D875" s="3">
        <v>22</v>
      </c>
    </row>
    <row r="876" spans="1:4" x14ac:dyDescent="0.3">
      <c r="A876">
        <v>48</v>
      </c>
      <c r="B876" s="1">
        <v>36.260869565217391</v>
      </c>
      <c r="C876" s="10">
        <v>30.371086828470741</v>
      </c>
      <c r="D876" s="3">
        <v>23</v>
      </c>
    </row>
    <row r="877" spans="1:4" x14ac:dyDescent="0.3">
      <c r="A877">
        <v>31</v>
      </c>
      <c r="B877" s="1">
        <v>29.933333333333334</v>
      </c>
      <c r="C877" s="10">
        <v>22.141583921295897</v>
      </c>
      <c r="D877" s="3">
        <v>15</v>
      </c>
    </row>
    <row r="878" spans="1:4" x14ac:dyDescent="0.3">
      <c r="A878">
        <v>2</v>
      </c>
      <c r="B878" s="1">
        <v>25.5</v>
      </c>
      <c r="C878" s="10">
        <v>2.750649654006752</v>
      </c>
      <c r="D878" s="3">
        <v>2</v>
      </c>
    </row>
    <row r="879" spans="1:4" x14ac:dyDescent="0.3">
      <c r="A879">
        <v>24</v>
      </c>
      <c r="B879" s="1">
        <v>38.333333333333336</v>
      </c>
      <c r="C879" s="10">
        <v>23.552283899390883</v>
      </c>
      <c r="D879" s="3">
        <v>12</v>
      </c>
    </row>
    <row r="880" spans="1:4" x14ac:dyDescent="0.3">
      <c r="A880">
        <v>15</v>
      </c>
      <c r="B880" s="1">
        <v>43.285714285714285</v>
      </c>
      <c r="C880" s="10">
        <v>15.33785463865431</v>
      </c>
      <c r="D880" s="3">
        <v>7</v>
      </c>
    </row>
    <row r="881" spans="1:4" x14ac:dyDescent="0.3">
      <c r="A881">
        <v>27</v>
      </c>
      <c r="B881" s="1">
        <v>27.647058823529413</v>
      </c>
      <c r="C881" s="10">
        <v>34.227510481278813</v>
      </c>
      <c r="D881" s="3">
        <v>17</v>
      </c>
    </row>
    <row r="882" spans="1:4" x14ac:dyDescent="0.3">
      <c r="A882">
        <v>15</v>
      </c>
      <c r="B882" s="1">
        <v>41.1</v>
      </c>
      <c r="C882" s="10">
        <v>15.07781083635507</v>
      </c>
      <c r="D882" s="3">
        <v>10</v>
      </c>
    </row>
    <row r="883" spans="1:4" x14ac:dyDescent="0.3">
      <c r="A883">
        <v>47</v>
      </c>
      <c r="B883" s="1">
        <v>44.95</v>
      </c>
      <c r="C883" s="10">
        <v>28.359025309892729</v>
      </c>
      <c r="D883" s="3">
        <v>20</v>
      </c>
    </row>
    <row r="884" spans="1:4" x14ac:dyDescent="0.3">
      <c r="A884">
        <v>13</v>
      </c>
      <c r="B884" s="1">
        <v>39.833333333333336</v>
      </c>
      <c r="C884" s="10">
        <v>10.167400102925409</v>
      </c>
      <c r="D884" s="3">
        <v>6</v>
      </c>
    </row>
    <row r="885" spans="1:4" x14ac:dyDescent="0.3">
      <c r="A885">
        <v>27</v>
      </c>
      <c r="B885" s="1">
        <v>40.6875</v>
      </c>
      <c r="C885" s="10">
        <v>32.695340413191623</v>
      </c>
      <c r="D885" s="3">
        <v>16</v>
      </c>
    </row>
    <row r="886" spans="1:4" x14ac:dyDescent="0.3">
      <c r="A886">
        <v>64</v>
      </c>
      <c r="B886" s="1">
        <v>35</v>
      </c>
      <c r="C886" s="10">
        <v>64.407837123033104</v>
      </c>
      <c r="D886" s="3">
        <v>27</v>
      </c>
    </row>
    <row r="887" spans="1:4" x14ac:dyDescent="0.3">
      <c r="A887">
        <v>1</v>
      </c>
      <c r="B887" s="1">
        <v>20</v>
      </c>
      <c r="C887" s="10">
        <v>1.4029778215283495</v>
      </c>
      <c r="D887" s="3">
        <v>1</v>
      </c>
    </row>
    <row r="888" spans="1:4" x14ac:dyDescent="0.3">
      <c r="A888">
        <v>8</v>
      </c>
      <c r="B888" s="1">
        <v>33.799999999999997</v>
      </c>
      <c r="C888" s="10">
        <v>7.7145895750211331</v>
      </c>
      <c r="D888" s="3">
        <v>5</v>
      </c>
    </row>
    <row r="889" spans="1:4" x14ac:dyDescent="0.3">
      <c r="A889">
        <v>50</v>
      </c>
      <c r="B889" s="1">
        <v>40.142857142857146</v>
      </c>
      <c r="C889" s="10">
        <v>39.763008285924279</v>
      </c>
      <c r="D889" s="3">
        <v>21</v>
      </c>
    </row>
    <row r="890" spans="1:4" x14ac:dyDescent="0.3">
      <c r="A890">
        <v>1</v>
      </c>
      <c r="B890" s="1">
        <v>29</v>
      </c>
      <c r="C890" s="10">
        <v>2.1573914467360704</v>
      </c>
      <c r="D890" s="3">
        <v>1</v>
      </c>
    </row>
    <row r="891" spans="1:4" x14ac:dyDescent="0.3">
      <c r="A891">
        <v>45</v>
      </c>
      <c r="B891" s="1">
        <v>30.03448275862069</v>
      </c>
      <c r="C891" s="10">
        <v>42.975402166931772</v>
      </c>
      <c r="D891" s="3">
        <v>29</v>
      </c>
    </row>
    <row r="892" spans="1:4" x14ac:dyDescent="0.3">
      <c r="A892">
        <v>9</v>
      </c>
      <c r="B892" s="1">
        <v>40.666666666666664</v>
      </c>
      <c r="C892" s="10">
        <v>8.3275457760827774</v>
      </c>
      <c r="D892" s="3">
        <v>6</v>
      </c>
    </row>
    <row r="893" spans="1:4" x14ac:dyDescent="0.3">
      <c r="A893">
        <v>51</v>
      </c>
      <c r="B893" s="1">
        <v>45.136363636363633</v>
      </c>
      <c r="C893" s="10">
        <v>48.61723749417343</v>
      </c>
      <c r="D893" s="3">
        <v>22</v>
      </c>
    </row>
    <row r="894" spans="1:4" x14ac:dyDescent="0.3">
      <c r="A894">
        <v>32</v>
      </c>
      <c r="B894" s="1">
        <v>43.8</v>
      </c>
      <c r="C894" s="10">
        <v>27.239901456182626</v>
      </c>
      <c r="D894" s="3">
        <v>15</v>
      </c>
    </row>
    <row r="895" spans="1:4" x14ac:dyDescent="0.3">
      <c r="A895">
        <v>14</v>
      </c>
      <c r="B895" s="1">
        <v>31.222222222222221</v>
      </c>
      <c r="C895" s="10">
        <v>16.369328159836737</v>
      </c>
      <c r="D895" s="3">
        <v>9</v>
      </c>
    </row>
    <row r="896" spans="1:4" x14ac:dyDescent="0.3">
      <c r="A896">
        <v>2</v>
      </c>
      <c r="B896" s="1">
        <v>41.5</v>
      </c>
      <c r="C896" s="10">
        <v>4.2866433043109549</v>
      </c>
      <c r="D896" s="3">
        <v>2</v>
      </c>
    </row>
    <row r="897" spans="1:4" x14ac:dyDescent="0.3">
      <c r="A897">
        <v>11</v>
      </c>
      <c r="B897" s="1">
        <v>38.5</v>
      </c>
      <c r="C897" s="10">
        <v>13.591451732486782</v>
      </c>
      <c r="D897" s="3">
        <v>8</v>
      </c>
    </row>
    <row r="898" spans="1:4" x14ac:dyDescent="0.3">
      <c r="A898">
        <v>83</v>
      </c>
      <c r="B898" s="1">
        <v>26.222222222222221</v>
      </c>
      <c r="C898" s="10">
        <v>57.76391894758391</v>
      </c>
      <c r="D898" s="3">
        <v>36</v>
      </c>
    </row>
    <row r="899" spans="1:4" x14ac:dyDescent="0.3">
      <c r="A899">
        <v>30</v>
      </c>
      <c r="B899" s="1">
        <v>30.4</v>
      </c>
      <c r="C899" s="10">
        <v>30.021000018373844</v>
      </c>
      <c r="D899" s="3">
        <v>20</v>
      </c>
    </row>
    <row r="900" spans="1:4" x14ac:dyDescent="0.3">
      <c r="A900">
        <v>30</v>
      </c>
      <c r="B900" s="1">
        <v>38.444444444444443</v>
      </c>
      <c r="C900" s="10">
        <v>40.968927081351261</v>
      </c>
      <c r="D900" s="3">
        <v>18</v>
      </c>
    </row>
    <row r="901" spans="1:4" x14ac:dyDescent="0.3">
      <c r="A901">
        <v>2</v>
      </c>
      <c r="B901" s="1">
        <v>35</v>
      </c>
      <c r="C901" s="10">
        <v>4.7022812367787132</v>
      </c>
      <c r="D901" s="3">
        <v>2</v>
      </c>
    </row>
    <row r="902" spans="1:4" x14ac:dyDescent="0.3">
      <c r="A902">
        <v>29</v>
      </c>
      <c r="B902" s="1">
        <v>32.866666666666667</v>
      </c>
      <c r="C902" s="10">
        <v>27.581838274670247</v>
      </c>
      <c r="D902" s="3">
        <v>15</v>
      </c>
    </row>
    <row r="903" spans="1:4" x14ac:dyDescent="0.3">
      <c r="A903">
        <v>17</v>
      </c>
      <c r="B903" s="1">
        <v>43</v>
      </c>
      <c r="C903" s="10">
        <v>17.866835131967225</v>
      </c>
      <c r="D903" s="3">
        <v>12</v>
      </c>
    </row>
    <row r="904" spans="1:4" x14ac:dyDescent="0.3">
      <c r="A904">
        <v>30</v>
      </c>
      <c r="B904" s="1">
        <v>43.315789473684212</v>
      </c>
      <c r="C904" s="10">
        <v>46.201646108379904</v>
      </c>
      <c r="D904" s="3">
        <v>19</v>
      </c>
    </row>
    <row r="905" spans="1:4" x14ac:dyDescent="0.3">
      <c r="A905">
        <v>55</v>
      </c>
      <c r="B905" s="1">
        <v>27.382352941176471</v>
      </c>
      <c r="C905" s="10">
        <v>47.084245497387002</v>
      </c>
      <c r="D905" s="3">
        <v>34</v>
      </c>
    </row>
    <row r="906" spans="1:4" x14ac:dyDescent="0.3">
      <c r="A906">
        <v>41</v>
      </c>
      <c r="B906" s="1">
        <v>26.551724137931036</v>
      </c>
      <c r="C906" s="10">
        <v>59.564753826558757</v>
      </c>
      <c r="D906" s="3">
        <v>29</v>
      </c>
    </row>
    <row r="907" spans="1:4" x14ac:dyDescent="0.3">
      <c r="A907">
        <v>39</v>
      </c>
      <c r="B907" s="1">
        <v>34.28</v>
      </c>
      <c r="C907" s="10">
        <v>46.156289171287611</v>
      </c>
      <c r="D907" s="3">
        <v>25</v>
      </c>
    </row>
    <row r="908" spans="1:4" x14ac:dyDescent="0.3">
      <c r="A908">
        <v>29</v>
      </c>
      <c r="B908" s="1">
        <v>26.352941176470587</v>
      </c>
      <c r="C908" s="10">
        <v>30.353279492707362</v>
      </c>
      <c r="D908" s="3">
        <v>17</v>
      </c>
    </row>
    <row r="909" spans="1:4" x14ac:dyDescent="0.3">
      <c r="A909">
        <v>60</v>
      </c>
      <c r="B909" s="1">
        <v>26</v>
      </c>
      <c r="C909" s="10">
        <v>56.707747999826388</v>
      </c>
      <c r="D909" s="3">
        <v>35</v>
      </c>
    </row>
    <row r="910" spans="1:4" x14ac:dyDescent="0.3">
      <c r="A910">
        <v>31</v>
      </c>
      <c r="B910" s="1">
        <v>36</v>
      </c>
      <c r="C910" s="10">
        <v>36.002580654221859</v>
      </c>
      <c r="D910" s="3">
        <v>18</v>
      </c>
    </row>
    <row r="911" spans="1:4" x14ac:dyDescent="0.3">
      <c r="A911">
        <v>20</v>
      </c>
      <c r="B911" s="1">
        <v>40.769230769230766</v>
      </c>
      <c r="C911" s="10">
        <v>23.594369079518124</v>
      </c>
      <c r="D911" s="3">
        <v>13</v>
      </c>
    </row>
    <row r="912" spans="1:4" x14ac:dyDescent="0.3">
      <c r="A912">
        <v>18</v>
      </c>
      <c r="B912" s="1">
        <v>41.6</v>
      </c>
      <c r="C912" s="10">
        <v>15.094474287822635</v>
      </c>
      <c r="D912" s="3">
        <v>10</v>
      </c>
    </row>
    <row r="913" spans="1:4" x14ac:dyDescent="0.3">
      <c r="A913">
        <v>38</v>
      </c>
      <c r="B913" s="1">
        <v>38.35</v>
      </c>
      <c r="C913" s="10">
        <v>41.443375735279119</v>
      </c>
      <c r="D913" s="3">
        <v>20</v>
      </c>
    </row>
    <row r="914" spans="1:4" x14ac:dyDescent="0.3">
      <c r="A914">
        <v>40</v>
      </c>
      <c r="B914" s="1">
        <v>40.15</v>
      </c>
      <c r="C914" s="10">
        <v>35.924012587284267</v>
      </c>
      <c r="D914" s="3">
        <v>20</v>
      </c>
    </row>
    <row r="915" spans="1:4" x14ac:dyDescent="0.3">
      <c r="A915">
        <v>51</v>
      </c>
      <c r="B915" s="1">
        <v>38.479999999999997</v>
      </c>
      <c r="C915" s="10">
        <v>60.886832615597775</v>
      </c>
      <c r="D915" s="3">
        <v>25</v>
      </c>
    </row>
    <row r="916" spans="1:4" x14ac:dyDescent="0.3">
      <c r="A916">
        <v>49</v>
      </c>
      <c r="B916" s="1">
        <v>27.80952380952381</v>
      </c>
      <c r="C916" s="10">
        <v>32.979601264540449</v>
      </c>
      <c r="D916" s="3">
        <v>21</v>
      </c>
    </row>
    <row r="917" spans="1:4" x14ac:dyDescent="0.3">
      <c r="A917">
        <v>36</v>
      </c>
      <c r="B917" s="1">
        <v>33.473684210526315</v>
      </c>
      <c r="C917" s="10">
        <v>38.377936564482226</v>
      </c>
      <c r="D917" s="3">
        <v>19</v>
      </c>
    </row>
    <row r="918" spans="1:4" x14ac:dyDescent="0.3">
      <c r="A918">
        <v>19</v>
      </c>
      <c r="B918" s="1">
        <v>36.200000000000003</v>
      </c>
      <c r="C918" s="10">
        <v>13.839905839024256</v>
      </c>
      <c r="D918" s="3">
        <v>10</v>
      </c>
    </row>
    <row r="919" spans="1:4" x14ac:dyDescent="0.3">
      <c r="A919">
        <v>2</v>
      </c>
      <c r="B919" s="1">
        <v>37</v>
      </c>
      <c r="C919" s="10">
        <v>2.2574275553416467</v>
      </c>
      <c r="D919" s="3">
        <v>1</v>
      </c>
    </row>
    <row r="920" spans="1:4" x14ac:dyDescent="0.3">
      <c r="A920">
        <v>33</v>
      </c>
      <c r="B920" s="1">
        <v>32.391304347826086</v>
      </c>
      <c r="C920" s="10">
        <v>45.962557417925616</v>
      </c>
      <c r="D920" s="3">
        <v>23</v>
      </c>
    </row>
    <row r="921" spans="1:4" x14ac:dyDescent="0.3">
      <c r="A921">
        <v>16</v>
      </c>
      <c r="B921" s="1">
        <v>37.700000000000003</v>
      </c>
      <c r="C921" s="10">
        <v>14.298439592875546</v>
      </c>
      <c r="D921" s="3">
        <v>10</v>
      </c>
    </row>
    <row r="922" spans="1:4" x14ac:dyDescent="0.3">
      <c r="A922">
        <v>21</v>
      </c>
      <c r="B922" s="1">
        <v>36.909090909090907</v>
      </c>
      <c r="C922" s="10">
        <v>16.530457592024327</v>
      </c>
      <c r="D922" s="3">
        <v>11</v>
      </c>
    </row>
    <row r="923" spans="1:4" x14ac:dyDescent="0.3">
      <c r="A923">
        <v>24</v>
      </c>
      <c r="B923" s="1">
        <v>37</v>
      </c>
      <c r="C923" s="10">
        <v>44.236297671290913</v>
      </c>
      <c r="D923" s="3">
        <v>18</v>
      </c>
    </row>
    <row r="924" spans="1:4" x14ac:dyDescent="0.3">
      <c r="A924">
        <v>59</v>
      </c>
      <c r="B924" s="1">
        <v>29.21875</v>
      </c>
      <c r="C924" s="10">
        <v>78.388401435953</v>
      </c>
      <c r="D924" s="3">
        <v>32</v>
      </c>
    </row>
    <row r="925" spans="1:4" x14ac:dyDescent="0.3">
      <c r="A925">
        <v>32</v>
      </c>
      <c r="B925" s="1">
        <v>38</v>
      </c>
      <c r="C925" s="10">
        <v>39.521480356232935</v>
      </c>
      <c r="D925" s="3">
        <v>17</v>
      </c>
    </row>
    <row r="926" spans="1:4" x14ac:dyDescent="0.3">
      <c r="A926">
        <v>29</v>
      </c>
      <c r="B926" s="1">
        <v>31.705882352941178</v>
      </c>
      <c r="C926" s="10">
        <v>32.21522485088186</v>
      </c>
      <c r="D926" s="3">
        <v>17</v>
      </c>
    </row>
    <row r="927" spans="1:4" x14ac:dyDescent="0.3">
      <c r="A927">
        <v>49</v>
      </c>
      <c r="B927" s="1">
        <v>32.791666666666664</v>
      </c>
      <c r="C927" s="10">
        <v>55.373095727334587</v>
      </c>
      <c r="D927" s="3">
        <v>24</v>
      </c>
    </row>
    <row r="928" spans="1:4" x14ac:dyDescent="0.3">
      <c r="A928">
        <v>29</v>
      </c>
      <c r="B928" s="1">
        <v>41.85</v>
      </c>
      <c r="C928" s="10">
        <v>42.315393824860614</v>
      </c>
      <c r="D928" s="3">
        <v>20</v>
      </c>
    </row>
    <row r="929" spans="1:4" x14ac:dyDescent="0.3">
      <c r="A929">
        <v>1</v>
      </c>
      <c r="B929" s="1">
        <v>14</v>
      </c>
      <c r="C929" s="10">
        <v>2.1630495157563727</v>
      </c>
      <c r="D929" s="3">
        <v>1</v>
      </c>
    </row>
    <row r="930" spans="1:4" x14ac:dyDescent="0.3">
      <c r="A930">
        <v>66</v>
      </c>
      <c r="B930" s="1">
        <v>25.972222222222221</v>
      </c>
      <c r="C930" s="10">
        <v>79.425275155526492</v>
      </c>
      <c r="D930" s="3">
        <v>36</v>
      </c>
    </row>
    <row r="931" spans="1:4" x14ac:dyDescent="0.3">
      <c r="A931">
        <v>4</v>
      </c>
      <c r="B931" s="1">
        <v>35</v>
      </c>
      <c r="C931" s="10">
        <v>9.6392122592329912</v>
      </c>
      <c r="D931" s="3">
        <v>4</v>
      </c>
    </row>
    <row r="932" spans="1:4" x14ac:dyDescent="0.3">
      <c r="A932">
        <v>11</v>
      </c>
      <c r="B932" s="1">
        <v>27.833333333333332</v>
      </c>
      <c r="C932" s="10">
        <v>14.747447878585024</v>
      </c>
      <c r="D932" s="3">
        <v>6</v>
      </c>
    </row>
    <row r="933" spans="1:4" x14ac:dyDescent="0.3">
      <c r="A933">
        <v>26</v>
      </c>
      <c r="B933" s="1">
        <v>43.214285714285715</v>
      </c>
      <c r="C933" s="10">
        <v>25.558331907310578</v>
      </c>
      <c r="D933" s="3">
        <v>14</v>
      </c>
    </row>
    <row r="934" spans="1:4" x14ac:dyDescent="0.3">
      <c r="A934">
        <v>20</v>
      </c>
      <c r="B934" s="1">
        <v>28.153846153846153</v>
      </c>
      <c r="C934" s="10">
        <v>19.823378188728348</v>
      </c>
      <c r="D934" s="3">
        <v>13</v>
      </c>
    </row>
    <row r="935" spans="1:4" x14ac:dyDescent="0.3">
      <c r="A935">
        <v>9</v>
      </c>
      <c r="B935" s="1">
        <v>30.833333333333332</v>
      </c>
      <c r="C935" s="10">
        <v>12.952228957042923</v>
      </c>
      <c r="D935" s="3">
        <v>6</v>
      </c>
    </row>
    <row r="936" spans="1:4" x14ac:dyDescent="0.3">
      <c r="A936">
        <v>29</v>
      </c>
      <c r="B936" s="1">
        <v>29.2</v>
      </c>
      <c r="C936" s="10">
        <v>25.119658699084383</v>
      </c>
      <c r="D936" s="3">
        <v>15</v>
      </c>
    </row>
    <row r="937" spans="1:4" x14ac:dyDescent="0.3">
      <c r="A937">
        <v>62</v>
      </c>
      <c r="B937" s="1">
        <v>25.28125</v>
      </c>
      <c r="C937" s="10">
        <v>77.378642384220171</v>
      </c>
      <c r="D937" s="3">
        <v>32</v>
      </c>
    </row>
    <row r="938" spans="1:4" x14ac:dyDescent="0.3">
      <c r="A938">
        <v>47</v>
      </c>
      <c r="B938" s="1">
        <v>43.904761904761905</v>
      </c>
      <c r="C938" s="10">
        <v>45.226121910337113</v>
      </c>
      <c r="D938" s="3">
        <v>21</v>
      </c>
    </row>
    <row r="939" spans="1:4" x14ac:dyDescent="0.3">
      <c r="A939">
        <v>36</v>
      </c>
      <c r="B939" s="1">
        <v>37.25</v>
      </c>
      <c r="C939" s="10">
        <v>47.40066354324594</v>
      </c>
      <c r="D939" s="3">
        <v>20</v>
      </c>
    </row>
    <row r="940" spans="1:4" x14ac:dyDescent="0.3">
      <c r="A940">
        <v>79</v>
      </c>
      <c r="B940" s="1">
        <v>27.333333333333332</v>
      </c>
      <c r="C940" s="10">
        <v>69.408790989049393</v>
      </c>
      <c r="D940" s="3">
        <v>33</v>
      </c>
    </row>
    <row r="941" spans="1:4" x14ac:dyDescent="0.3">
      <c r="A941">
        <v>47</v>
      </c>
      <c r="B941" s="1">
        <v>28.454545454545453</v>
      </c>
      <c r="C941" s="10">
        <v>29.790764945817166</v>
      </c>
      <c r="D941" s="3">
        <v>22</v>
      </c>
    </row>
    <row r="942" spans="1:4" x14ac:dyDescent="0.3">
      <c r="A942">
        <v>12</v>
      </c>
      <c r="B942" s="1">
        <v>30.75</v>
      </c>
      <c r="C942" s="10">
        <v>10.021502361277786</v>
      </c>
      <c r="D942" s="3">
        <v>8</v>
      </c>
    </row>
    <row r="943" spans="1:4" x14ac:dyDescent="0.3">
      <c r="A943">
        <v>14</v>
      </c>
      <c r="B943" s="1">
        <v>47</v>
      </c>
      <c r="C943" s="10">
        <v>15.652427661352341</v>
      </c>
      <c r="D943" s="3">
        <v>8</v>
      </c>
    </row>
    <row r="944" spans="1:4" x14ac:dyDescent="0.3">
      <c r="A944">
        <v>17</v>
      </c>
      <c r="B944" s="1">
        <v>38.727272727272727</v>
      </c>
      <c r="C944" s="10">
        <v>22.591660681440128</v>
      </c>
      <c r="D944" s="3">
        <v>11</v>
      </c>
    </row>
    <row r="945" spans="1:4" x14ac:dyDescent="0.3">
      <c r="A945">
        <v>41</v>
      </c>
      <c r="B945" s="1">
        <v>33</v>
      </c>
      <c r="C945" s="10">
        <v>32.234136202040098</v>
      </c>
      <c r="D945" s="3">
        <v>20</v>
      </c>
    </row>
    <row r="946" spans="1:4" x14ac:dyDescent="0.3">
      <c r="A946">
        <v>46</v>
      </c>
      <c r="B946" s="1">
        <v>25.043478260869566</v>
      </c>
      <c r="C946" s="10">
        <v>54.466591962800877</v>
      </c>
      <c r="D946" s="3">
        <v>23</v>
      </c>
    </row>
    <row r="947" spans="1:4" x14ac:dyDescent="0.3">
      <c r="A947">
        <v>22</v>
      </c>
      <c r="B947" s="1">
        <v>28.76923076923077</v>
      </c>
      <c r="C947" s="10">
        <v>28.284886282521114</v>
      </c>
      <c r="D947" s="3">
        <v>13</v>
      </c>
    </row>
    <row r="948" spans="1:4" x14ac:dyDescent="0.3">
      <c r="A948">
        <v>36</v>
      </c>
      <c r="B948" s="1">
        <v>33.541666666666664</v>
      </c>
      <c r="C948" s="10">
        <v>43.406706347737369</v>
      </c>
      <c r="D948" s="3">
        <v>24</v>
      </c>
    </row>
    <row r="949" spans="1:4" x14ac:dyDescent="0.3">
      <c r="A949">
        <v>7</v>
      </c>
      <c r="B949" s="1">
        <v>26.833333333333332</v>
      </c>
      <c r="C949" s="10">
        <v>8.4817505137021829</v>
      </c>
      <c r="D949" s="3">
        <v>6</v>
      </c>
    </row>
    <row r="950" spans="1:4" x14ac:dyDescent="0.3">
      <c r="A950">
        <v>36</v>
      </c>
      <c r="B950" s="1">
        <v>36.826086956521742</v>
      </c>
      <c r="C950" s="10">
        <v>32.518071504987638</v>
      </c>
      <c r="D950" s="3">
        <v>23</v>
      </c>
    </row>
    <row r="951" spans="1:4" x14ac:dyDescent="0.3">
      <c r="A951">
        <v>16</v>
      </c>
      <c r="B951" s="1">
        <v>35</v>
      </c>
      <c r="C951" s="10">
        <v>16.865026963353174</v>
      </c>
      <c r="D951" s="3">
        <v>8</v>
      </c>
    </row>
    <row r="952" spans="1:4" x14ac:dyDescent="0.3">
      <c r="A952">
        <v>62</v>
      </c>
      <c r="B952" s="1">
        <v>30.814814814814813</v>
      </c>
      <c r="C952" s="10">
        <v>56.646761952214121</v>
      </c>
      <c r="D952" s="3">
        <v>27</v>
      </c>
    </row>
    <row r="953" spans="1:4" x14ac:dyDescent="0.3">
      <c r="A953">
        <v>26</v>
      </c>
      <c r="B953" s="1">
        <v>37.333333333333336</v>
      </c>
      <c r="C953" s="10">
        <v>25.329816639787349</v>
      </c>
      <c r="D953" s="3">
        <v>12</v>
      </c>
    </row>
    <row r="954" spans="1:4" x14ac:dyDescent="0.3">
      <c r="A954">
        <v>32</v>
      </c>
      <c r="B954" s="1">
        <v>44.882352941176471</v>
      </c>
      <c r="C954" s="10">
        <v>33.461124724051601</v>
      </c>
      <c r="D954" s="3">
        <v>17</v>
      </c>
    </row>
    <row r="955" spans="1:4" x14ac:dyDescent="0.3">
      <c r="A955">
        <v>50</v>
      </c>
      <c r="B955" s="1">
        <v>35.782608695652172</v>
      </c>
      <c r="C955" s="10">
        <v>30.093399820297254</v>
      </c>
      <c r="D955" s="3">
        <v>23</v>
      </c>
    </row>
    <row r="956" spans="1:4" x14ac:dyDescent="0.3">
      <c r="A956">
        <v>20</v>
      </c>
      <c r="B956" s="1">
        <v>42.8</v>
      </c>
      <c r="C956" s="10">
        <v>22.309487848830454</v>
      </c>
      <c r="D956" s="3">
        <v>10</v>
      </c>
    </row>
    <row r="957" spans="1:4" x14ac:dyDescent="0.3">
      <c r="A957">
        <v>11</v>
      </c>
      <c r="B957" s="1">
        <v>35.75</v>
      </c>
      <c r="C957" s="10">
        <v>13.871732184320109</v>
      </c>
      <c r="D957" s="3">
        <v>8</v>
      </c>
    </row>
    <row r="958" spans="1:4" x14ac:dyDescent="0.3">
      <c r="A958">
        <v>50</v>
      </c>
      <c r="B958" s="1">
        <v>43.478260869565219</v>
      </c>
      <c r="C958" s="10">
        <v>45.625554322789547</v>
      </c>
      <c r="D958" s="3">
        <v>23</v>
      </c>
    </row>
    <row r="959" spans="1:4" x14ac:dyDescent="0.3">
      <c r="A959">
        <v>34</v>
      </c>
      <c r="B959" s="1">
        <v>38.045454545454547</v>
      </c>
      <c r="C959" s="10">
        <v>43.05504932133875</v>
      </c>
      <c r="D959" s="3">
        <v>22</v>
      </c>
    </row>
    <row r="960" spans="1:4" x14ac:dyDescent="0.3">
      <c r="A960">
        <v>8</v>
      </c>
      <c r="B960" s="1">
        <v>31.6</v>
      </c>
      <c r="C960" s="10">
        <v>7.0979118565357719</v>
      </c>
      <c r="D960" s="3">
        <v>5</v>
      </c>
    </row>
    <row r="961" spans="1:4" x14ac:dyDescent="0.3">
      <c r="A961">
        <v>4</v>
      </c>
      <c r="B961" s="1">
        <v>49.666666666666664</v>
      </c>
      <c r="C961" s="10">
        <v>6.6557549494820147</v>
      </c>
      <c r="D961" s="3">
        <v>3</v>
      </c>
    </row>
    <row r="962" spans="1:4" x14ac:dyDescent="0.3">
      <c r="A962">
        <v>20</v>
      </c>
      <c r="B962" s="1">
        <v>37</v>
      </c>
      <c r="C962" s="10">
        <v>15.183856296869852</v>
      </c>
      <c r="D962" s="3">
        <v>12</v>
      </c>
    </row>
    <row r="963" spans="1:4" x14ac:dyDescent="0.3">
      <c r="A963">
        <v>63</v>
      </c>
      <c r="B963" s="1">
        <v>28.870967741935484</v>
      </c>
      <c r="C963" s="10">
        <v>67.519820453270583</v>
      </c>
      <c r="D963" s="3">
        <v>31</v>
      </c>
    </row>
    <row r="964" spans="1:4" x14ac:dyDescent="0.3">
      <c r="A964">
        <v>36</v>
      </c>
      <c r="B964" s="1">
        <v>39.882352941176471</v>
      </c>
      <c r="C964" s="10">
        <v>34.836030387552611</v>
      </c>
      <c r="D964" s="3">
        <v>17</v>
      </c>
    </row>
    <row r="965" spans="1:4" x14ac:dyDescent="0.3">
      <c r="A965">
        <v>42</v>
      </c>
      <c r="B965" s="1">
        <v>32.57692307692308</v>
      </c>
      <c r="C965" s="10">
        <v>46.108797238130393</v>
      </c>
      <c r="D965" s="3">
        <v>26</v>
      </c>
    </row>
    <row r="966" spans="1:4" x14ac:dyDescent="0.3">
      <c r="A966">
        <v>25</v>
      </c>
      <c r="B966" s="1">
        <v>41.133333333333333</v>
      </c>
      <c r="C966" s="10">
        <v>21.255680948382121</v>
      </c>
      <c r="D966" s="3">
        <v>15</v>
      </c>
    </row>
    <row r="967" spans="1:4" x14ac:dyDescent="0.3">
      <c r="A967">
        <v>27</v>
      </c>
      <c r="B967" s="1">
        <v>29.421052631578949</v>
      </c>
      <c r="C967" s="10">
        <v>32.714394902644337</v>
      </c>
      <c r="D967" s="3">
        <v>19</v>
      </c>
    </row>
    <row r="968" spans="1:4" x14ac:dyDescent="0.3">
      <c r="A968">
        <v>11</v>
      </c>
      <c r="B968" s="1">
        <v>38.25</v>
      </c>
      <c r="C968" s="10">
        <v>15.924434559048672</v>
      </c>
      <c r="D968" s="3">
        <v>8</v>
      </c>
    </row>
    <row r="969" spans="1:4" x14ac:dyDescent="0.3">
      <c r="A969">
        <v>6</v>
      </c>
      <c r="B969" s="1">
        <v>38.75</v>
      </c>
      <c r="C969" s="10">
        <v>9.5181213717330611</v>
      </c>
      <c r="D969" s="3">
        <v>4</v>
      </c>
    </row>
    <row r="970" spans="1:4" x14ac:dyDescent="0.3">
      <c r="A970">
        <v>1</v>
      </c>
      <c r="B970" s="1">
        <v>14</v>
      </c>
      <c r="C970" s="10">
        <v>2.0628728808664341</v>
      </c>
      <c r="D970" s="3">
        <v>1</v>
      </c>
    </row>
    <row r="971" spans="1:4" x14ac:dyDescent="0.3">
      <c r="A971">
        <v>7</v>
      </c>
      <c r="B971" s="1">
        <v>36.200000000000003</v>
      </c>
      <c r="C971" s="10">
        <v>7.9832782401743208</v>
      </c>
      <c r="D971" s="3">
        <v>5</v>
      </c>
    </row>
    <row r="972" spans="1:4" x14ac:dyDescent="0.3">
      <c r="A972">
        <v>28</v>
      </c>
      <c r="B972" s="1">
        <v>34.1875</v>
      </c>
      <c r="C972" s="10">
        <v>33.186620852872082</v>
      </c>
      <c r="D972" s="3">
        <v>16</v>
      </c>
    </row>
    <row r="973" spans="1:4" x14ac:dyDescent="0.3">
      <c r="A973">
        <v>5</v>
      </c>
      <c r="B973" s="1">
        <v>43.666666666666664</v>
      </c>
      <c r="C973" s="10">
        <v>5.6475500137294841</v>
      </c>
      <c r="D973" s="3">
        <v>3</v>
      </c>
    </row>
    <row r="974" spans="1:4" x14ac:dyDescent="0.3">
      <c r="A974">
        <v>10</v>
      </c>
      <c r="B974" s="1">
        <v>40.6</v>
      </c>
      <c r="C974" s="10">
        <v>6.5748741475081278</v>
      </c>
      <c r="D974" s="3">
        <v>5</v>
      </c>
    </row>
    <row r="975" spans="1:4" x14ac:dyDescent="0.3">
      <c r="A975">
        <v>24</v>
      </c>
      <c r="B975" s="1">
        <v>41</v>
      </c>
      <c r="C975" s="10">
        <v>29.568845156721782</v>
      </c>
      <c r="D975" s="3">
        <v>17</v>
      </c>
    </row>
    <row r="976" spans="1:4" x14ac:dyDescent="0.3">
      <c r="A976">
        <v>13</v>
      </c>
      <c r="B976" s="1">
        <v>30.571428571428573</v>
      </c>
      <c r="C976" s="10">
        <v>13.93981617039239</v>
      </c>
      <c r="D976" s="3">
        <v>7</v>
      </c>
    </row>
    <row r="977" spans="1:4" x14ac:dyDescent="0.3">
      <c r="A977">
        <v>10</v>
      </c>
      <c r="B977" s="1">
        <v>41.5</v>
      </c>
      <c r="C977" s="10">
        <v>10.73234783302823</v>
      </c>
      <c r="D977" s="3">
        <v>6</v>
      </c>
    </row>
    <row r="978" spans="1:4" x14ac:dyDescent="0.3">
      <c r="A978">
        <v>1</v>
      </c>
      <c r="B978" s="1">
        <v>40</v>
      </c>
      <c r="C978" s="10">
        <v>2.2963879323747731</v>
      </c>
      <c r="D978" s="3">
        <v>1</v>
      </c>
    </row>
    <row r="979" spans="1:4" x14ac:dyDescent="0.3">
      <c r="A979">
        <v>39</v>
      </c>
      <c r="B979" s="1">
        <v>38.68181818181818</v>
      </c>
      <c r="C979" s="10">
        <v>31.587806115719744</v>
      </c>
      <c r="D979" s="3">
        <v>22</v>
      </c>
    </row>
    <row r="980" spans="1:4" x14ac:dyDescent="0.3">
      <c r="A980">
        <v>9</v>
      </c>
      <c r="B980" s="1">
        <v>41.4</v>
      </c>
      <c r="C980" s="10">
        <v>8.0343585422400015</v>
      </c>
      <c r="D980" s="3">
        <v>5</v>
      </c>
    </row>
    <row r="981" spans="1:4" x14ac:dyDescent="0.3">
      <c r="A981">
        <v>18</v>
      </c>
      <c r="B981" s="1">
        <v>30.75</v>
      </c>
      <c r="C981" s="10">
        <v>24.250809738604783</v>
      </c>
      <c r="D981" s="3">
        <v>12</v>
      </c>
    </row>
    <row r="982" spans="1:4" x14ac:dyDescent="0.3">
      <c r="A982">
        <v>14</v>
      </c>
      <c r="B982" s="1">
        <v>38</v>
      </c>
      <c r="C982" s="10">
        <v>15.346761764046512</v>
      </c>
      <c r="D982" s="3">
        <v>8</v>
      </c>
    </row>
    <row r="983" spans="1:4" x14ac:dyDescent="0.3">
      <c r="A983">
        <v>51</v>
      </c>
      <c r="B983" s="1">
        <v>33.391304347826086</v>
      </c>
      <c r="C983" s="10">
        <v>54.969656390331181</v>
      </c>
      <c r="D983" s="3">
        <v>23</v>
      </c>
    </row>
    <row r="984" spans="1:4" x14ac:dyDescent="0.3">
      <c r="A984">
        <v>55</v>
      </c>
      <c r="B984" s="1">
        <v>25.193548387096776</v>
      </c>
      <c r="C984" s="10">
        <v>42.300135629960863</v>
      </c>
      <c r="D984" s="3">
        <v>31</v>
      </c>
    </row>
    <row r="985" spans="1:4" x14ac:dyDescent="0.3">
      <c r="A985">
        <v>16</v>
      </c>
      <c r="B985" s="1">
        <v>37</v>
      </c>
      <c r="C985" s="10">
        <v>18.046155958114497</v>
      </c>
      <c r="D985" s="3">
        <v>12</v>
      </c>
    </row>
    <row r="986" spans="1:4" x14ac:dyDescent="0.3">
      <c r="A986">
        <v>7</v>
      </c>
      <c r="B986" s="1">
        <v>39.4</v>
      </c>
      <c r="C986" s="10">
        <v>10.958988426457568</v>
      </c>
      <c r="D986" s="3">
        <v>5</v>
      </c>
    </row>
    <row r="987" spans="1:4" x14ac:dyDescent="0.3">
      <c r="A987">
        <v>33</v>
      </c>
      <c r="B987" s="1">
        <v>42.285714285714285</v>
      </c>
      <c r="C987" s="10">
        <v>32.225585718971445</v>
      </c>
      <c r="D987" s="3">
        <v>21</v>
      </c>
    </row>
    <row r="988" spans="1:4" x14ac:dyDescent="0.3">
      <c r="A988">
        <v>25</v>
      </c>
      <c r="B988" s="1">
        <v>28.333333333333332</v>
      </c>
      <c r="C988" s="10">
        <v>17.269173441428791</v>
      </c>
      <c r="D988" s="3">
        <v>12</v>
      </c>
    </row>
    <row r="989" spans="1:4" x14ac:dyDescent="0.3">
      <c r="A989">
        <v>21</v>
      </c>
      <c r="B989" s="1">
        <v>36.8125</v>
      </c>
      <c r="C989" s="10">
        <v>30.219501891584592</v>
      </c>
      <c r="D989" s="3">
        <v>16</v>
      </c>
    </row>
    <row r="990" spans="1:4" x14ac:dyDescent="0.3">
      <c r="A990">
        <v>23</v>
      </c>
      <c r="B990" s="1">
        <v>25.333333333333332</v>
      </c>
      <c r="C990" s="10">
        <v>22.51572094578065</v>
      </c>
      <c r="D990" s="3">
        <v>18</v>
      </c>
    </row>
    <row r="991" spans="1:4" x14ac:dyDescent="0.3">
      <c r="A991">
        <v>5</v>
      </c>
      <c r="B991" s="1">
        <v>28.666666666666668</v>
      </c>
      <c r="C991" s="10">
        <v>5.9942095293269553</v>
      </c>
      <c r="D991" s="3">
        <v>3</v>
      </c>
    </row>
    <row r="992" spans="1:4" x14ac:dyDescent="0.3">
      <c r="A992">
        <v>33</v>
      </c>
      <c r="B992" s="1">
        <v>44.75</v>
      </c>
      <c r="C992" s="10">
        <v>31.671491367601895</v>
      </c>
      <c r="D992" s="3">
        <v>16</v>
      </c>
    </row>
    <row r="993" spans="1:4" x14ac:dyDescent="0.3">
      <c r="A993">
        <v>30</v>
      </c>
      <c r="B993" s="1">
        <v>42.714285714285715</v>
      </c>
      <c r="C993" s="10">
        <v>29.198250005292607</v>
      </c>
      <c r="D993" s="3">
        <v>14</v>
      </c>
    </row>
    <row r="994" spans="1:4" x14ac:dyDescent="0.3">
      <c r="A994">
        <v>46</v>
      </c>
      <c r="B994" s="1">
        <v>34.636363636363633</v>
      </c>
      <c r="C994" s="10">
        <v>33.188157547183181</v>
      </c>
      <c r="D994" s="3">
        <v>22</v>
      </c>
    </row>
    <row r="995" spans="1:4" x14ac:dyDescent="0.3">
      <c r="A995">
        <v>50</v>
      </c>
      <c r="B995" s="1">
        <v>27.666666666666668</v>
      </c>
      <c r="C995" s="10">
        <v>81.195071666606935</v>
      </c>
      <c r="D995" s="3">
        <v>33</v>
      </c>
    </row>
    <row r="996" spans="1:4" x14ac:dyDescent="0.3">
      <c r="A996">
        <v>35</v>
      </c>
      <c r="B996" s="1">
        <v>39.375</v>
      </c>
      <c r="C996" s="10">
        <v>35.275799405593624</v>
      </c>
      <c r="D996" s="3">
        <v>24</v>
      </c>
    </row>
    <row r="997" spans="1:4" x14ac:dyDescent="0.3">
      <c r="A997">
        <v>12</v>
      </c>
      <c r="B997" s="1">
        <v>32.875</v>
      </c>
      <c r="C997" s="10">
        <v>19.49593743439436</v>
      </c>
      <c r="D997" s="3">
        <v>8</v>
      </c>
    </row>
    <row r="998" spans="1:4" x14ac:dyDescent="0.3">
      <c r="A998">
        <v>61</v>
      </c>
      <c r="B998" s="1">
        <v>31.153846153846153</v>
      </c>
      <c r="C998" s="10">
        <v>52.382944393489694</v>
      </c>
      <c r="D998" s="3">
        <v>26</v>
      </c>
    </row>
    <row r="999" spans="1:4" x14ac:dyDescent="0.3">
      <c r="A999">
        <v>55</v>
      </c>
      <c r="B999" s="1">
        <v>24.68</v>
      </c>
      <c r="C999" s="10">
        <v>50.698515580198858</v>
      </c>
      <c r="D999" s="3">
        <v>25</v>
      </c>
    </row>
    <row r="1000" spans="1:4" x14ac:dyDescent="0.3">
      <c r="A1000">
        <v>49</v>
      </c>
      <c r="B1000" s="1">
        <v>28.2</v>
      </c>
      <c r="C1000" s="10">
        <v>74.743343658385044</v>
      </c>
      <c r="D1000" s="3">
        <v>30</v>
      </c>
    </row>
    <row r="1001" spans="1:4" x14ac:dyDescent="0.3">
      <c r="A1001">
        <v>56</v>
      </c>
      <c r="B1001" s="1">
        <v>27.541666666666668</v>
      </c>
      <c r="C1001" s="10">
        <v>47.014312953926726</v>
      </c>
      <c r="D1001" s="3">
        <v>24</v>
      </c>
    </row>
    <row r="1002" spans="1:4" x14ac:dyDescent="0.3">
      <c r="A1002">
        <v>27</v>
      </c>
      <c r="B1002" s="1">
        <v>44.4</v>
      </c>
      <c r="C1002" s="10">
        <v>26.784852625152972</v>
      </c>
      <c r="D1002" s="3">
        <v>15</v>
      </c>
    </row>
    <row r="1003" spans="1:4" x14ac:dyDescent="0.3">
      <c r="A1003">
        <v>60</v>
      </c>
      <c r="B1003" s="1">
        <v>34.714285714285715</v>
      </c>
      <c r="C1003" s="10">
        <v>41.854260846293137</v>
      </c>
      <c r="D1003" s="3">
        <v>28</v>
      </c>
    </row>
    <row r="1004" spans="1:4" x14ac:dyDescent="0.3">
      <c r="A1004">
        <v>8</v>
      </c>
      <c r="B1004" s="1">
        <v>35.666666666666664</v>
      </c>
      <c r="C1004" s="10">
        <v>8.0078546054630877</v>
      </c>
      <c r="D1004" s="3">
        <v>6</v>
      </c>
    </row>
    <row r="1005" spans="1:4" x14ac:dyDescent="0.3">
      <c r="A1005">
        <v>13</v>
      </c>
      <c r="B1005" s="1">
        <v>31.571428571428573</v>
      </c>
      <c r="C1005" s="10">
        <v>13.217451628828895</v>
      </c>
      <c r="D1005" s="3">
        <v>7</v>
      </c>
    </row>
    <row r="1006" spans="1:4" x14ac:dyDescent="0.3">
      <c r="A1006">
        <v>42</v>
      </c>
      <c r="B1006" s="1">
        <v>34.310344827586206</v>
      </c>
      <c r="C1006" s="10">
        <v>59.763783167823355</v>
      </c>
      <c r="D1006" s="3">
        <v>29</v>
      </c>
    </row>
    <row r="1007" spans="1:4" x14ac:dyDescent="0.3">
      <c r="A1007">
        <v>10</v>
      </c>
      <c r="B1007" s="1">
        <v>30.428571428571427</v>
      </c>
      <c r="C1007" s="10">
        <v>13.249095789356199</v>
      </c>
      <c r="D1007" s="3">
        <v>7</v>
      </c>
    </row>
    <row r="1008" spans="1:4" x14ac:dyDescent="0.3">
      <c r="A1008">
        <v>53</v>
      </c>
      <c r="B1008" s="1">
        <v>29.833333333333332</v>
      </c>
      <c r="C1008" s="10">
        <v>38.596177547580936</v>
      </c>
      <c r="D1008" s="3">
        <v>24</v>
      </c>
    </row>
    <row r="1009" spans="1:4" x14ac:dyDescent="0.3">
      <c r="A1009">
        <v>19</v>
      </c>
      <c r="B1009" s="1">
        <v>34.6</v>
      </c>
      <c r="C1009" s="10">
        <v>16.645564233578241</v>
      </c>
      <c r="D1009" s="3">
        <v>10</v>
      </c>
    </row>
    <row r="1010" spans="1:4" x14ac:dyDescent="0.3">
      <c r="A1010">
        <v>24</v>
      </c>
      <c r="B1010" s="1">
        <v>43.388888888888886</v>
      </c>
      <c r="C1010" s="10">
        <v>32.524305030078843</v>
      </c>
      <c r="D1010" s="3">
        <v>18</v>
      </c>
    </row>
    <row r="1011" spans="1:4" x14ac:dyDescent="0.3">
      <c r="A1011">
        <v>32</v>
      </c>
      <c r="B1011" s="1">
        <v>35</v>
      </c>
      <c r="C1011" s="10">
        <v>35.400122692143817</v>
      </c>
      <c r="D1011" s="3">
        <v>15</v>
      </c>
    </row>
    <row r="1012" spans="1:4" x14ac:dyDescent="0.3">
      <c r="A1012">
        <v>20</v>
      </c>
      <c r="B1012" s="1">
        <v>25</v>
      </c>
      <c r="C1012" s="10">
        <v>22.626318176763483</v>
      </c>
      <c r="D1012" s="3">
        <v>12</v>
      </c>
    </row>
    <row r="1013" spans="1:4" x14ac:dyDescent="0.3">
      <c r="A1013">
        <v>24</v>
      </c>
      <c r="B1013" s="1">
        <v>37.611111111111114</v>
      </c>
      <c r="C1013" s="10">
        <v>31.25378762979161</v>
      </c>
      <c r="D1013" s="3">
        <v>18</v>
      </c>
    </row>
    <row r="1014" spans="1:4" x14ac:dyDescent="0.3">
      <c r="A1014">
        <v>12</v>
      </c>
      <c r="B1014" s="1">
        <v>39</v>
      </c>
      <c r="C1014" s="10">
        <v>11.524869359245796</v>
      </c>
      <c r="D1014" s="3">
        <v>7</v>
      </c>
    </row>
    <row r="1015" spans="1:4" x14ac:dyDescent="0.3">
      <c r="A1015">
        <v>21</v>
      </c>
      <c r="B1015" s="1">
        <v>27.76923076923077</v>
      </c>
      <c r="C1015" s="10">
        <v>22.921611549347478</v>
      </c>
      <c r="D1015" s="3">
        <v>13</v>
      </c>
    </row>
    <row r="1016" spans="1:4" x14ac:dyDescent="0.3">
      <c r="A1016">
        <v>81</v>
      </c>
      <c r="B1016" s="1">
        <v>27.294117647058822</v>
      </c>
      <c r="C1016" s="10">
        <v>62.359549999180558</v>
      </c>
      <c r="D1016" s="3">
        <v>34</v>
      </c>
    </row>
    <row r="1017" spans="1:4" x14ac:dyDescent="0.3">
      <c r="A1017">
        <v>16</v>
      </c>
      <c r="B1017" s="1">
        <v>45.875</v>
      </c>
      <c r="C1017" s="10">
        <v>16.283915876341695</v>
      </c>
      <c r="D1017" s="3">
        <v>8</v>
      </c>
    </row>
    <row r="1018" spans="1:4" x14ac:dyDescent="0.3">
      <c r="A1018">
        <v>3</v>
      </c>
      <c r="B1018" s="1">
        <v>38</v>
      </c>
      <c r="C1018" s="10">
        <v>4.464088938712413</v>
      </c>
      <c r="D1018" s="3">
        <v>3</v>
      </c>
    </row>
    <row r="1019" spans="1:4" x14ac:dyDescent="0.3">
      <c r="A1019">
        <v>4</v>
      </c>
      <c r="B1019" s="1">
        <v>38.5</v>
      </c>
      <c r="C1019" s="10">
        <v>8.5628401816502802</v>
      </c>
      <c r="D1019" s="3">
        <v>4</v>
      </c>
    </row>
    <row r="1020" spans="1:4" x14ac:dyDescent="0.3">
      <c r="A1020">
        <v>30</v>
      </c>
      <c r="B1020" s="1">
        <v>44.117647058823529</v>
      </c>
      <c r="C1020" s="10">
        <v>41.549668606740063</v>
      </c>
      <c r="D1020" s="3">
        <v>17</v>
      </c>
    </row>
    <row r="1021" spans="1:4" x14ac:dyDescent="0.3">
      <c r="A1021">
        <v>69</v>
      </c>
      <c r="B1021" s="1">
        <v>26</v>
      </c>
      <c r="C1021" s="10">
        <v>61.02168104728139</v>
      </c>
      <c r="D1021" s="3">
        <v>35</v>
      </c>
    </row>
    <row r="1022" spans="1:4" x14ac:dyDescent="0.3">
      <c r="A1022">
        <v>52</v>
      </c>
      <c r="B1022" s="1">
        <v>34.068965517241381</v>
      </c>
      <c r="C1022" s="10">
        <v>40.423123218848644</v>
      </c>
      <c r="D1022" s="3">
        <v>29</v>
      </c>
    </row>
    <row r="1023" spans="1:4" x14ac:dyDescent="0.3">
      <c r="A1023">
        <v>57</v>
      </c>
      <c r="B1023" s="1">
        <v>38.208333333333336</v>
      </c>
      <c r="C1023" s="10">
        <v>30.934199937171314</v>
      </c>
      <c r="D1023" s="3">
        <v>24</v>
      </c>
    </row>
    <row r="1024" spans="1:4" x14ac:dyDescent="0.3">
      <c r="A1024">
        <v>6</v>
      </c>
      <c r="B1024" s="1">
        <v>27</v>
      </c>
      <c r="C1024" s="10">
        <v>9.375145436585159</v>
      </c>
      <c r="D1024" s="3">
        <v>4</v>
      </c>
    </row>
    <row r="1025" spans="1:4" x14ac:dyDescent="0.3">
      <c r="A1025">
        <v>3</v>
      </c>
      <c r="B1025" s="1">
        <v>24.5</v>
      </c>
      <c r="C1025" s="10">
        <v>3.2664350934273099</v>
      </c>
      <c r="D1025" s="3">
        <v>2</v>
      </c>
    </row>
    <row r="1026" spans="1:4" x14ac:dyDescent="0.3">
      <c r="A1026">
        <v>10</v>
      </c>
      <c r="B1026" s="1">
        <v>40.833333333333336</v>
      </c>
      <c r="C1026" s="10">
        <v>9.1389777389433249</v>
      </c>
      <c r="D1026" s="3">
        <v>6</v>
      </c>
    </row>
    <row r="1027" spans="1:4" x14ac:dyDescent="0.3">
      <c r="A1027">
        <v>20</v>
      </c>
      <c r="B1027" s="1">
        <v>34.466666666666669</v>
      </c>
      <c r="C1027" s="10">
        <v>34.084486566163733</v>
      </c>
      <c r="D1027" s="3">
        <v>15</v>
      </c>
    </row>
    <row r="1028" spans="1:4" x14ac:dyDescent="0.3">
      <c r="A1028">
        <v>35</v>
      </c>
      <c r="B1028" s="1">
        <v>38.222222222222221</v>
      </c>
      <c r="C1028" s="10">
        <v>38.269927723346797</v>
      </c>
      <c r="D1028" s="3">
        <v>18</v>
      </c>
    </row>
    <row r="1029" spans="1:4" x14ac:dyDescent="0.3">
      <c r="A1029">
        <v>58</v>
      </c>
      <c r="B1029" s="1">
        <v>36.119999999999997</v>
      </c>
      <c r="C1029" s="10">
        <v>38.166247727508306</v>
      </c>
      <c r="D1029" s="3">
        <v>25</v>
      </c>
    </row>
    <row r="1030" spans="1:4" x14ac:dyDescent="0.3">
      <c r="A1030">
        <v>40</v>
      </c>
      <c r="B1030" s="1">
        <v>44.421052631578945</v>
      </c>
      <c r="C1030" s="10">
        <v>39.466573379906563</v>
      </c>
      <c r="D1030" s="3">
        <v>19</v>
      </c>
    </row>
    <row r="1031" spans="1:4" x14ac:dyDescent="0.3">
      <c r="A1031">
        <v>13</v>
      </c>
      <c r="B1031" s="1">
        <v>43.6</v>
      </c>
      <c r="C1031" s="10">
        <v>23.14434552497228</v>
      </c>
      <c r="D1031" s="3">
        <v>10</v>
      </c>
    </row>
    <row r="1032" spans="1:4" x14ac:dyDescent="0.3">
      <c r="A1032">
        <v>25</v>
      </c>
      <c r="B1032" s="1">
        <v>35.421052631578945</v>
      </c>
      <c r="C1032" s="10">
        <v>33.576469637873139</v>
      </c>
      <c r="D1032" s="3">
        <v>19</v>
      </c>
    </row>
    <row r="1033" spans="1:4" x14ac:dyDescent="0.3">
      <c r="A1033">
        <v>30</v>
      </c>
      <c r="B1033" s="1">
        <v>33.5</v>
      </c>
      <c r="C1033" s="10">
        <v>37.377041175936647</v>
      </c>
      <c r="D1033" s="3">
        <v>18</v>
      </c>
    </row>
    <row r="1034" spans="1:4" x14ac:dyDescent="0.3">
      <c r="A1034">
        <v>21</v>
      </c>
      <c r="B1034" s="1">
        <v>32.799999999999997</v>
      </c>
      <c r="C1034" s="10">
        <v>18.811489167846123</v>
      </c>
      <c r="D1034" s="3">
        <v>10</v>
      </c>
    </row>
    <row r="1035" spans="1:4" x14ac:dyDescent="0.3">
      <c r="A1035">
        <v>11</v>
      </c>
      <c r="B1035" s="1">
        <v>33.5</v>
      </c>
      <c r="C1035" s="10">
        <v>18.98466223879451</v>
      </c>
      <c r="D1035" s="3">
        <v>8</v>
      </c>
    </row>
    <row r="1036" spans="1:4" x14ac:dyDescent="0.3">
      <c r="A1036">
        <v>23</v>
      </c>
      <c r="B1036" s="1">
        <v>30</v>
      </c>
      <c r="C1036" s="10">
        <v>29.348704790082735</v>
      </c>
      <c r="D1036" s="3">
        <v>14</v>
      </c>
    </row>
    <row r="1037" spans="1:4" x14ac:dyDescent="0.3">
      <c r="A1037">
        <v>20</v>
      </c>
      <c r="B1037" s="1">
        <v>42.8</v>
      </c>
      <c r="C1037" s="10">
        <v>23.169674140175704</v>
      </c>
      <c r="D1037" s="3">
        <v>10</v>
      </c>
    </row>
    <row r="1038" spans="1:4" x14ac:dyDescent="0.3">
      <c r="A1038">
        <v>23</v>
      </c>
      <c r="B1038" s="1">
        <v>27.764705882352942</v>
      </c>
      <c r="C1038" s="10">
        <v>32.631524530332548</v>
      </c>
      <c r="D1038" s="3">
        <v>17</v>
      </c>
    </row>
    <row r="1039" spans="1:4" x14ac:dyDescent="0.3">
      <c r="A1039">
        <v>7</v>
      </c>
      <c r="B1039" s="1">
        <v>39.75</v>
      </c>
      <c r="C1039" s="10">
        <v>5.8814839711290157</v>
      </c>
      <c r="D1039" s="3">
        <v>4</v>
      </c>
    </row>
    <row r="1040" spans="1:4" x14ac:dyDescent="0.3">
      <c r="A1040">
        <v>1</v>
      </c>
      <c r="B1040" s="1">
        <v>51</v>
      </c>
      <c r="C1040" s="10">
        <v>2.2514939644025311</v>
      </c>
      <c r="D1040" s="3">
        <v>1</v>
      </c>
    </row>
    <row r="1041" spans="1:4" x14ac:dyDescent="0.3">
      <c r="A1041">
        <v>35</v>
      </c>
      <c r="B1041" s="1">
        <v>40.941176470588232</v>
      </c>
      <c r="C1041" s="10">
        <v>23.716103257400782</v>
      </c>
      <c r="D1041" s="3">
        <v>17</v>
      </c>
    </row>
    <row r="1042" spans="1:4" x14ac:dyDescent="0.3">
      <c r="A1042">
        <v>36</v>
      </c>
      <c r="B1042" s="1">
        <v>32.333333333333336</v>
      </c>
      <c r="C1042" s="10">
        <v>32.055181629198962</v>
      </c>
      <c r="D1042" s="3">
        <v>18</v>
      </c>
    </row>
    <row r="1043" spans="1:4" x14ac:dyDescent="0.3">
      <c r="A1043">
        <v>2</v>
      </c>
      <c r="B1043" s="1">
        <v>28</v>
      </c>
      <c r="C1043" s="10">
        <v>4.0604442747976295</v>
      </c>
      <c r="D1043" s="3">
        <v>2</v>
      </c>
    </row>
    <row r="1044" spans="1:4" x14ac:dyDescent="0.3">
      <c r="A1044">
        <v>70</v>
      </c>
      <c r="B1044" s="1">
        <v>25.75</v>
      </c>
      <c r="C1044" s="10">
        <v>71.376637793863466</v>
      </c>
      <c r="D1044" s="3">
        <v>32</v>
      </c>
    </row>
    <row r="1045" spans="1:4" x14ac:dyDescent="0.3">
      <c r="A1045">
        <v>19</v>
      </c>
      <c r="B1045" s="1">
        <v>36.444444444444443</v>
      </c>
      <c r="C1045" s="10">
        <v>14.467096074791911</v>
      </c>
      <c r="D1045" s="3">
        <v>9</v>
      </c>
    </row>
    <row r="1046" spans="1:4" x14ac:dyDescent="0.3">
      <c r="A1046">
        <v>10</v>
      </c>
      <c r="B1046" s="1">
        <v>28.2</v>
      </c>
      <c r="C1046" s="10">
        <v>7.9875835580140206</v>
      </c>
      <c r="D1046" s="3">
        <v>5</v>
      </c>
    </row>
    <row r="1047" spans="1:4" x14ac:dyDescent="0.3">
      <c r="A1047">
        <v>21</v>
      </c>
      <c r="B1047" s="1">
        <v>32.75</v>
      </c>
      <c r="C1047" s="10">
        <v>29.472466915599249</v>
      </c>
      <c r="D1047" s="3">
        <v>16</v>
      </c>
    </row>
    <row r="1048" spans="1:4" x14ac:dyDescent="0.3">
      <c r="A1048">
        <v>1</v>
      </c>
      <c r="B1048" s="1">
        <v>43</v>
      </c>
      <c r="C1048" s="10">
        <v>2.2918721796023322</v>
      </c>
      <c r="D1048" s="3">
        <v>1</v>
      </c>
    </row>
    <row r="1049" spans="1:4" x14ac:dyDescent="0.3">
      <c r="A1049">
        <v>6</v>
      </c>
      <c r="B1049" s="1">
        <v>39</v>
      </c>
      <c r="C1049" s="10">
        <v>5.3888735699789292</v>
      </c>
      <c r="D1049" s="3">
        <v>4</v>
      </c>
    </row>
    <row r="1050" spans="1:4" x14ac:dyDescent="0.3">
      <c r="A1050">
        <v>2</v>
      </c>
      <c r="B1050" s="1">
        <v>45</v>
      </c>
      <c r="C1050" s="10">
        <v>2.2719177393879986</v>
      </c>
      <c r="D1050" s="3">
        <v>1</v>
      </c>
    </row>
    <row r="1051" spans="1:4" x14ac:dyDescent="0.3">
      <c r="A1051">
        <v>33</v>
      </c>
      <c r="B1051" s="1">
        <v>29.388888888888889</v>
      </c>
      <c r="C1051" s="10">
        <v>41.490139317327305</v>
      </c>
      <c r="D1051" s="3">
        <v>18</v>
      </c>
    </row>
    <row r="1052" spans="1:4" x14ac:dyDescent="0.3">
      <c r="A1052">
        <v>8</v>
      </c>
      <c r="B1052" s="1">
        <v>30.8</v>
      </c>
      <c r="C1052" s="10">
        <v>9.6565046289791727</v>
      </c>
      <c r="D1052" s="3">
        <v>5</v>
      </c>
    </row>
    <row r="1053" spans="1:4" x14ac:dyDescent="0.3">
      <c r="A1053">
        <v>7</v>
      </c>
      <c r="B1053" s="1">
        <v>24.2</v>
      </c>
      <c r="C1053" s="10">
        <v>10.225393231439073</v>
      </c>
      <c r="D1053" s="3">
        <v>5</v>
      </c>
    </row>
    <row r="1054" spans="1:4" x14ac:dyDescent="0.3">
      <c r="A1054">
        <v>14</v>
      </c>
      <c r="B1054" s="1">
        <v>37.111111111111114</v>
      </c>
      <c r="C1054" s="10">
        <v>19.144035839765795</v>
      </c>
      <c r="D1054" s="3">
        <v>9</v>
      </c>
    </row>
    <row r="1055" spans="1:4" x14ac:dyDescent="0.3">
      <c r="A1055">
        <v>43</v>
      </c>
      <c r="B1055" s="1">
        <v>26.653846153846153</v>
      </c>
      <c r="C1055" s="10">
        <v>53.631691759783919</v>
      </c>
      <c r="D1055" s="3">
        <v>26</v>
      </c>
    </row>
    <row r="1056" spans="1:4" x14ac:dyDescent="0.3">
      <c r="A1056">
        <v>9</v>
      </c>
      <c r="B1056" s="1">
        <v>44.857142857142854</v>
      </c>
      <c r="C1056" s="10">
        <v>9.3498620319389651</v>
      </c>
      <c r="D1056" s="3">
        <v>7</v>
      </c>
    </row>
    <row r="1057" spans="1:4" x14ac:dyDescent="0.3">
      <c r="A1057">
        <v>5</v>
      </c>
      <c r="B1057" s="1">
        <v>30.25</v>
      </c>
      <c r="C1057" s="10">
        <v>9.3673184806114502</v>
      </c>
      <c r="D1057" s="3">
        <v>4</v>
      </c>
    </row>
    <row r="1058" spans="1:4" x14ac:dyDescent="0.3">
      <c r="A1058">
        <v>26</v>
      </c>
      <c r="B1058" s="1">
        <v>36.5</v>
      </c>
      <c r="C1058" s="10">
        <v>21.809784253784695</v>
      </c>
      <c r="D1058" s="3">
        <v>12</v>
      </c>
    </row>
    <row r="1059" spans="1:4" x14ac:dyDescent="0.3">
      <c r="A1059">
        <v>15</v>
      </c>
      <c r="B1059" s="1">
        <v>35.625</v>
      </c>
      <c r="C1059" s="10">
        <v>12.137301360278201</v>
      </c>
      <c r="D1059" s="3">
        <v>8</v>
      </c>
    </row>
    <row r="1060" spans="1:4" x14ac:dyDescent="0.3">
      <c r="A1060">
        <v>3</v>
      </c>
      <c r="B1060" s="1">
        <v>24.5</v>
      </c>
      <c r="C1060" s="10">
        <v>3.8527462404109047</v>
      </c>
      <c r="D1060" s="3">
        <v>2</v>
      </c>
    </row>
    <row r="1061" spans="1:4" x14ac:dyDescent="0.3">
      <c r="A1061">
        <v>37</v>
      </c>
      <c r="B1061" s="1">
        <v>29.076923076923077</v>
      </c>
      <c r="C1061" s="10">
        <v>49.909760057376999</v>
      </c>
      <c r="D1061" s="3">
        <v>26</v>
      </c>
    </row>
    <row r="1062" spans="1:4" x14ac:dyDescent="0.3">
      <c r="A1062">
        <v>45</v>
      </c>
      <c r="B1062" s="1">
        <v>25.84</v>
      </c>
      <c r="C1062" s="10">
        <v>46.032841697974838</v>
      </c>
      <c r="D1062" s="3">
        <v>25</v>
      </c>
    </row>
    <row r="1063" spans="1:4" x14ac:dyDescent="0.3">
      <c r="A1063">
        <v>26</v>
      </c>
      <c r="B1063" s="1">
        <v>34.857142857142854</v>
      </c>
      <c r="C1063" s="10">
        <v>28.393684555862247</v>
      </c>
      <c r="D1063" s="3">
        <v>14</v>
      </c>
    </row>
    <row r="1064" spans="1:4" x14ac:dyDescent="0.3">
      <c r="A1064">
        <v>31</v>
      </c>
      <c r="B1064" s="1">
        <v>32.875</v>
      </c>
      <c r="C1064" s="10">
        <v>35.590192623631566</v>
      </c>
      <c r="D1064" s="3">
        <v>16</v>
      </c>
    </row>
    <row r="1065" spans="1:4" x14ac:dyDescent="0.3">
      <c r="A1065">
        <v>26</v>
      </c>
      <c r="B1065" s="1">
        <v>35.842105263157897</v>
      </c>
      <c r="C1065" s="10">
        <v>39.006698633265003</v>
      </c>
      <c r="D1065" s="3">
        <v>19</v>
      </c>
    </row>
    <row r="1066" spans="1:4" x14ac:dyDescent="0.3">
      <c r="A1066">
        <v>44</v>
      </c>
      <c r="B1066" s="1">
        <v>27.793103448275861</v>
      </c>
      <c r="C1066" s="10">
        <v>49.238309874688113</v>
      </c>
      <c r="D1066" s="3">
        <v>29</v>
      </c>
    </row>
    <row r="1067" spans="1:4" x14ac:dyDescent="0.3">
      <c r="A1067">
        <v>25</v>
      </c>
      <c r="B1067" s="1">
        <v>34.25</v>
      </c>
      <c r="C1067" s="10">
        <v>35.133372942632157</v>
      </c>
      <c r="D1067" s="3">
        <v>16</v>
      </c>
    </row>
    <row r="1068" spans="1:4" x14ac:dyDescent="0.3">
      <c r="A1068">
        <v>18</v>
      </c>
      <c r="B1068" s="1">
        <v>33.285714285714285</v>
      </c>
      <c r="C1068" s="10">
        <v>26.355968812244321</v>
      </c>
      <c r="D1068" s="3">
        <v>14</v>
      </c>
    </row>
    <row r="1069" spans="1:4" x14ac:dyDescent="0.3">
      <c r="A1069">
        <v>9</v>
      </c>
      <c r="B1069" s="1">
        <v>40.285714285714285</v>
      </c>
      <c r="C1069" s="10">
        <v>13.929005532686311</v>
      </c>
      <c r="D1069" s="3">
        <v>7</v>
      </c>
    </row>
    <row r="1070" spans="1:4" x14ac:dyDescent="0.3">
      <c r="A1070">
        <v>24</v>
      </c>
      <c r="B1070" s="1">
        <v>36.692307692307693</v>
      </c>
      <c r="C1070" s="10">
        <v>29.851098332486323</v>
      </c>
      <c r="D1070" s="3">
        <v>13</v>
      </c>
    </row>
    <row r="1071" spans="1:4" x14ac:dyDescent="0.3">
      <c r="A1071">
        <v>28</v>
      </c>
      <c r="B1071" s="1">
        <v>37.888888888888886</v>
      </c>
      <c r="C1071" s="10">
        <v>24.074728739695018</v>
      </c>
      <c r="D1071" s="3">
        <v>18</v>
      </c>
    </row>
    <row r="1072" spans="1:4" x14ac:dyDescent="0.3">
      <c r="A1072">
        <v>48</v>
      </c>
      <c r="B1072" s="1">
        <v>26.24</v>
      </c>
      <c r="C1072" s="10">
        <v>39.19743632472359</v>
      </c>
      <c r="D1072" s="3">
        <v>25</v>
      </c>
    </row>
    <row r="1073" spans="1:4" x14ac:dyDescent="0.3">
      <c r="A1073">
        <v>1</v>
      </c>
      <c r="B1073" s="1">
        <v>50</v>
      </c>
      <c r="C1073" s="10">
        <v>1.8834682626540158</v>
      </c>
      <c r="D1073" s="3">
        <v>1</v>
      </c>
    </row>
    <row r="1074" spans="1:4" x14ac:dyDescent="0.3">
      <c r="A1074">
        <v>18</v>
      </c>
      <c r="B1074" s="1">
        <v>40.416666666666664</v>
      </c>
      <c r="C1074" s="10">
        <v>21.216975755429551</v>
      </c>
      <c r="D1074" s="3">
        <v>12</v>
      </c>
    </row>
    <row r="1075" spans="1:4" x14ac:dyDescent="0.3">
      <c r="A1075">
        <v>1</v>
      </c>
      <c r="B1075" s="1">
        <v>33</v>
      </c>
      <c r="C1075" s="10">
        <v>2.315775416209974</v>
      </c>
      <c r="D1075" s="3">
        <v>1</v>
      </c>
    </row>
    <row r="1076" spans="1:4" x14ac:dyDescent="0.3">
      <c r="A1076">
        <v>59</v>
      </c>
      <c r="B1076" s="1">
        <v>30.548387096774192</v>
      </c>
      <c r="C1076" s="10">
        <v>46.092603787801394</v>
      </c>
      <c r="D1076" s="3">
        <v>31</v>
      </c>
    </row>
    <row r="1077" spans="1:4" x14ac:dyDescent="0.3">
      <c r="A1077">
        <v>26</v>
      </c>
      <c r="B1077" s="1">
        <v>45.666666666666664</v>
      </c>
      <c r="C1077" s="10">
        <v>32.025375868923625</v>
      </c>
      <c r="D1077" s="3">
        <v>18</v>
      </c>
    </row>
    <row r="1078" spans="1:4" x14ac:dyDescent="0.3">
      <c r="A1078">
        <v>15</v>
      </c>
      <c r="B1078" s="1">
        <v>30.714285714285715</v>
      </c>
      <c r="C1078" s="10">
        <v>12.598189116399066</v>
      </c>
      <c r="D1078" s="3">
        <v>7</v>
      </c>
    </row>
    <row r="1079" spans="1:4" x14ac:dyDescent="0.3">
      <c r="A1079">
        <v>6</v>
      </c>
      <c r="B1079" s="1">
        <v>41.25</v>
      </c>
      <c r="C1079" s="10">
        <v>8.975803614111765</v>
      </c>
      <c r="D1079" s="3">
        <v>4</v>
      </c>
    </row>
    <row r="1080" spans="1:4" x14ac:dyDescent="0.3">
      <c r="A1080">
        <v>13</v>
      </c>
      <c r="B1080" s="1">
        <v>35.299999999999997</v>
      </c>
      <c r="C1080" s="10">
        <v>20.773348791345498</v>
      </c>
      <c r="D1080" s="3">
        <v>10</v>
      </c>
    </row>
    <row r="1081" spans="1:4" x14ac:dyDescent="0.3">
      <c r="A1081">
        <v>19</v>
      </c>
      <c r="B1081" s="1">
        <v>32.307692307692307</v>
      </c>
      <c r="C1081" s="10">
        <v>28.056237480360181</v>
      </c>
      <c r="D1081" s="3">
        <v>13</v>
      </c>
    </row>
    <row r="1082" spans="1:4" x14ac:dyDescent="0.3">
      <c r="A1082">
        <v>2</v>
      </c>
      <c r="B1082" s="1">
        <v>26.5</v>
      </c>
      <c r="C1082" s="10">
        <v>2.7331890678567357</v>
      </c>
      <c r="D1082" s="3">
        <v>2</v>
      </c>
    </row>
    <row r="1083" spans="1:4" x14ac:dyDescent="0.3">
      <c r="A1083">
        <v>1</v>
      </c>
      <c r="B1083" s="1">
        <v>39</v>
      </c>
      <c r="C1083" s="10">
        <v>1.3107952426862024</v>
      </c>
      <c r="D1083" s="3">
        <v>1</v>
      </c>
    </row>
    <row r="1084" spans="1:4" x14ac:dyDescent="0.3">
      <c r="A1084">
        <v>54</v>
      </c>
      <c r="B1084" s="1">
        <v>27.314285714285713</v>
      </c>
      <c r="C1084" s="10">
        <v>60.25481398786664</v>
      </c>
      <c r="D1084" s="3">
        <v>35</v>
      </c>
    </row>
    <row r="1085" spans="1:4" x14ac:dyDescent="0.3">
      <c r="A1085">
        <v>5</v>
      </c>
      <c r="B1085" s="1">
        <v>39</v>
      </c>
      <c r="C1085" s="10">
        <v>7.1596357008369864</v>
      </c>
      <c r="D1085" s="3">
        <v>3</v>
      </c>
    </row>
    <row r="1086" spans="1:4" x14ac:dyDescent="0.3">
      <c r="A1086">
        <v>9</v>
      </c>
      <c r="B1086" s="1">
        <v>31.8</v>
      </c>
      <c r="C1086" s="10">
        <v>8.2673764335771622</v>
      </c>
      <c r="D1086" s="3">
        <v>5</v>
      </c>
    </row>
    <row r="1087" spans="1:4" x14ac:dyDescent="0.3">
      <c r="A1087">
        <v>24</v>
      </c>
      <c r="B1087" s="1">
        <v>35.07692307692308</v>
      </c>
      <c r="C1087" s="10">
        <v>19.169166488027582</v>
      </c>
      <c r="D1087" s="3">
        <v>13</v>
      </c>
    </row>
    <row r="1088" spans="1:4" x14ac:dyDescent="0.3">
      <c r="A1088">
        <v>21</v>
      </c>
      <c r="B1088" s="1">
        <v>36.428571428571431</v>
      </c>
      <c r="C1088" s="10">
        <v>27.371050392154764</v>
      </c>
      <c r="D1088" s="3">
        <v>14</v>
      </c>
    </row>
    <row r="1089" spans="1:4" x14ac:dyDescent="0.3">
      <c r="A1089">
        <v>18</v>
      </c>
      <c r="B1089" s="1">
        <v>28.615384615384617</v>
      </c>
      <c r="C1089" s="10">
        <v>25.157782448073906</v>
      </c>
      <c r="D1089" s="3">
        <v>13</v>
      </c>
    </row>
    <row r="1090" spans="1:4" x14ac:dyDescent="0.3">
      <c r="A1090">
        <v>48</v>
      </c>
      <c r="B1090" s="1">
        <v>32.125</v>
      </c>
      <c r="C1090" s="10">
        <v>36.606978576998095</v>
      </c>
      <c r="D1090" s="3">
        <v>24</v>
      </c>
    </row>
    <row r="1091" spans="1:4" x14ac:dyDescent="0.3">
      <c r="A1091">
        <v>7</v>
      </c>
      <c r="B1091" s="1">
        <v>31.4</v>
      </c>
      <c r="C1091" s="10">
        <v>10.76847435335093</v>
      </c>
      <c r="D1091" s="3">
        <v>5</v>
      </c>
    </row>
    <row r="1092" spans="1:4" x14ac:dyDescent="0.3">
      <c r="A1092">
        <v>23</v>
      </c>
      <c r="B1092" s="1">
        <v>31.8</v>
      </c>
      <c r="C1092" s="10">
        <v>37.114916102979386</v>
      </c>
      <c r="D1092" s="3">
        <v>15</v>
      </c>
    </row>
    <row r="1093" spans="1:4" x14ac:dyDescent="0.3">
      <c r="A1093">
        <v>27</v>
      </c>
      <c r="B1093" s="1">
        <v>39.05263157894737</v>
      </c>
      <c r="C1093" s="10">
        <v>41.379151572130027</v>
      </c>
      <c r="D1093" s="3">
        <v>19</v>
      </c>
    </row>
    <row r="1094" spans="1:4" x14ac:dyDescent="0.3">
      <c r="A1094">
        <v>4</v>
      </c>
      <c r="B1094" s="1">
        <v>41.5</v>
      </c>
      <c r="C1094" s="10">
        <v>6.5102914213011029</v>
      </c>
      <c r="D1094" s="3">
        <v>4</v>
      </c>
    </row>
    <row r="1095" spans="1:4" x14ac:dyDescent="0.3">
      <c r="A1095">
        <v>54</v>
      </c>
      <c r="B1095" s="1">
        <v>27.25</v>
      </c>
      <c r="C1095" s="10">
        <v>66.552896385487983</v>
      </c>
      <c r="D1095" s="3">
        <v>36</v>
      </c>
    </row>
    <row r="1096" spans="1:4" x14ac:dyDescent="0.3">
      <c r="A1096">
        <v>30</v>
      </c>
      <c r="B1096" s="1">
        <v>42.785714285714285</v>
      </c>
      <c r="C1096" s="10">
        <v>25.805572489661262</v>
      </c>
      <c r="D1096" s="3">
        <v>14</v>
      </c>
    </row>
    <row r="1097" spans="1:4" x14ac:dyDescent="0.3">
      <c r="A1097">
        <v>16</v>
      </c>
      <c r="B1097" s="1">
        <v>44.083333333333336</v>
      </c>
      <c r="C1097" s="10">
        <v>27.575363370508313</v>
      </c>
      <c r="D1097" s="3">
        <v>12</v>
      </c>
    </row>
    <row r="1098" spans="1:4" x14ac:dyDescent="0.3">
      <c r="A1098">
        <v>18</v>
      </c>
      <c r="B1098" s="1">
        <v>43.266666666666666</v>
      </c>
      <c r="C1098" s="10">
        <v>25.985597698405737</v>
      </c>
      <c r="D1098" s="3">
        <v>15</v>
      </c>
    </row>
    <row r="1099" spans="1:4" x14ac:dyDescent="0.3">
      <c r="A1099">
        <v>51</v>
      </c>
      <c r="B1099" s="1">
        <v>33.64</v>
      </c>
      <c r="C1099" s="10">
        <v>61.605350731197397</v>
      </c>
      <c r="D1099" s="3">
        <v>25</v>
      </c>
    </row>
    <row r="1100" spans="1:4" x14ac:dyDescent="0.3">
      <c r="A1100">
        <v>17</v>
      </c>
      <c r="B1100" s="1">
        <v>41.166666666666664</v>
      </c>
      <c r="C1100" s="10">
        <v>29.733906807299078</v>
      </c>
      <c r="D1100" s="3">
        <v>12</v>
      </c>
    </row>
    <row r="1101" spans="1:4" x14ac:dyDescent="0.3">
      <c r="A1101">
        <v>35</v>
      </c>
      <c r="B1101" s="1">
        <v>37.578947368421055</v>
      </c>
      <c r="C1101" s="10">
        <v>40.960653181622263</v>
      </c>
      <c r="D1101" s="3">
        <v>19</v>
      </c>
    </row>
    <row r="1102" spans="1:4" x14ac:dyDescent="0.3">
      <c r="A1102">
        <v>36</v>
      </c>
      <c r="B1102" s="1">
        <v>44.454545454545453</v>
      </c>
      <c r="C1102" s="10">
        <v>43.205746476215168</v>
      </c>
      <c r="D1102" s="3">
        <v>22</v>
      </c>
    </row>
    <row r="1103" spans="1:4" x14ac:dyDescent="0.3">
      <c r="A1103">
        <v>46</v>
      </c>
      <c r="B1103" s="1">
        <v>25.846153846153847</v>
      </c>
      <c r="C1103" s="10">
        <v>63.736567507955101</v>
      </c>
      <c r="D1103" s="3">
        <v>26</v>
      </c>
    </row>
    <row r="1104" spans="1:4" x14ac:dyDescent="0.3">
      <c r="A1104">
        <v>52</v>
      </c>
      <c r="B1104" s="1">
        <v>34.037037037037038</v>
      </c>
      <c r="C1104" s="10">
        <v>44.742173233648799</v>
      </c>
      <c r="D1104" s="3">
        <v>27</v>
      </c>
    </row>
    <row r="1105" spans="1:4" x14ac:dyDescent="0.3">
      <c r="A1105">
        <v>36</v>
      </c>
      <c r="B1105" s="1">
        <v>44.090909090909093</v>
      </c>
      <c r="C1105" s="10">
        <v>54.065040480754277</v>
      </c>
      <c r="D1105" s="3">
        <v>22</v>
      </c>
    </row>
    <row r="1106" spans="1:4" x14ac:dyDescent="0.3">
      <c r="A1106">
        <v>9</v>
      </c>
      <c r="B1106" s="1">
        <v>30.166666666666668</v>
      </c>
      <c r="C1106" s="10">
        <v>11.261095846337458</v>
      </c>
      <c r="D1106" s="3">
        <v>6</v>
      </c>
    </row>
    <row r="1107" spans="1:4" x14ac:dyDescent="0.3">
      <c r="A1107">
        <v>19</v>
      </c>
      <c r="B1107" s="1">
        <v>35.153846153846153</v>
      </c>
      <c r="C1107" s="10">
        <v>31.143807305998113</v>
      </c>
      <c r="D1107" s="3">
        <v>13</v>
      </c>
    </row>
    <row r="1108" spans="1:4" x14ac:dyDescent="0.3">
      <c r="A1108">
        <v>29</v>
      </c>
      <c r="B1108" s="1">
        <v>27.176470588235293</v>
      </c>
      <c r="C1108" s="10">
        <v>22.711555522183605</v>
      </c>
      <c r="D1108" s="3">
        <v>17</v>
      </c>
    </row>
    <row r="1109" spans="1:4" x14ac:dyDescent="0.3">
      <c r="A1109">
        <v>46</v>
      </c>
      <c r="B1109" s="1">
        <v>26.217391304347824</v>
      </c>
      <c r="C1109" s="10">
        <v>53.927248866073896</v>
      </c>
      <c r="D1109" s="3">
        <v>23</v>
      </c>
    </row>
    <row r="1110" spans="1:4" x14ac:dyDescent="0.3">
      <c r="A1110">
        <v>44</v>
      </c>
      <c r="B1110" s="1">
        <v>40.049999999999997</v>
      </c>
      <c r="C1110" s="10">
        <v>34.291420123978341</v>
      </c>
      <c r="D1110" s="3">
        <v>20</v>
      </c>
    </row>
    <row r="1111" spans="1:4" x14ac:dyDescent="0.3">
      <c r="A1111">
        <v>23</v>
      </c>
      <c r="B1111" s="1">
        <v>31.529411764705884</v>
      </c>
      <c r="C1111" s="10">
        <v>29.236285395140783</v>
      </c>
      <c r="D1111" s="3">
        <v>17</v>
      </c>
    </row>
    <row r="1112" spans="1:4" x14ac:dyDescent="0.3">
      <c r="A1112">
        <v>18</v>
      </c>
      <c r="B1112" s="1">
        <v>38.799999999999997</v>
      </c>
      <c r="C1112" s="10">
        <v>19.973983703990811</v>
      </c>
      <c r="D1112" s="3">
        <v>10</v>
      </c>
    </row>
    <row r="1113" spans="1:4" x14ac:dyDescent="0.3">
      <c r="A1113">
        <v>15</v>
      </c>
      <c r="B1113" s="1">
        <v>32.25</v>
      </c>
      <c r="C1113" s="10">
        <v>25.438758592786087</v>
      </c>
      <c r="D1113" s="3">
        <v>12</v>
      </c>
    </row>
    <row r="1114" spans="1:4" x14ac:dyDescent="0.3">
      <c r="A1114">
        <v>9</v>
      </c>
      <c r="B1114" s="1">
        <v>48</v>
      </c>
      <c r="C1114" s="10">
        <v>11.876438477456791</v>
      </c>
      <c r="D1114" s="3">
        <v>6</v>
      </c>
    </row>
    <row r="1115" spans="1:4" x14ac:dyDescent="0.3">
      <c r="A1115">
        <v>22</v>
      </c>
      <c r="B1115" s="1">
        <v>42.454545454545453</v>
      </c>
      <c r="C1115" s="10">
        <v>25.071691859807583</v>
      </c>
      <c r="D1115" s="3">
        <v>11</v>
      </c>
    </row>
    <row r="1116" spans="1:4" x14ac:dyDescent="0.3">
      <c r="A1116">
        <v>24</v>
      </c>
      <c r="B1116" s="1">
        <v>25.1875</v>
      </c>
      <c r="C1116" s="10">
        <v>21.902439694433578</v>
      </c>
      <c r="D1116" s="3">
        <v>16</v>
      </c>
    </row>
    <row r="1117" spans="1:4" x14ac:dyDescent="0.3">
      <c r="A1117">
        <v>18</v>
      </c>
      <c r="B1117" s="1">
        <v>38.666666666666664</v>
      </c>
      <c r="C1117" s="10">
        <v>17.519101241601746</v>
      </c>
      <c r="D1117" s="3">
        <v>12</v>
      </c>
    </row>
    <row r="1118" spans="1:4" x14ac:dyDescent="0.3">
      <c r="A1118">
        <v>50</v>
      </c>
      <c r="B1118" s="1">
        <v>40.5</v>
      </c>
      <c r="C1118" s="10">
        <v>52.82956240676053</v>
      </c>
      <c r="D1118" s="3">
        <v>24</v>
      </c>
    </row>
    <row r="1119" spans="1:4" x14ac:dyDescent="0.3">
      <c r="A1119">
        <v>66</v>
      </c>
      <c r="B1119" s="1">
        <v>32.966666666666669</v>
      </c>
      <c r="C1119" s="10">
        <v>62.929270182978556</v>
      </c>
      <c r="D1119" s="3">
        <v>30</v>
      </c>
    </row>
    <row r="1120" spans="1:4" x14ac:dyDescent="0.3">
      <c r="A1120">
        <v>6</v>
      </c>
      <c r="B1120" s="1">
        <v>34.75</v>
      </c>
      <c r="C1120" s="10">
        <v>5.1368045807169356</v>
      </c>
      <c r="D1120" s="3">
        <v>4</v>
      </c>
    </row>
    <row r="1121" spans="1:4" x14ac:dyDescent="0.3">
      <c r="A1121">
        <v>2</v>
      </c>
      <c r="B1121" s="1">
        <v>32</v>
      </c>
      <c r="C1121" s="10">
        <v>3.2421586623979612</v>
      </c>
      <c r="D1121" s="3">
        <v>2</v>
      </c>
    </row>
    <row r="1122" spans="1:4" x14ac:dyDescent="0.3">
      <c r="A1122">
        <v>25</v>
      </c>
      <c r="B1122" s="1">
        <v>44.083333333333336</v>
      </c>
      <c r="C1122" s="10">
        <v>21.693170622960448</v>
      </c>
      <c r="D1122" s="3">
        <v>12</v>
      </c>
    </row>
    <row r="1123" spans="1:4" x14ac:dyDescent="0.3">
      <c r="A1123">
        <v>29</v>
      </c>
      <c r="B1123" s="1">
        <v>26.25</v>
      </c>
      <c r="C1123" s="10">
        <v>35.788862859088013</v>
      </c>
      <c r="D1123" s="3">
        <v>16</v>
      </c>
    </row>
    <row r="1124" spans="1:4" x14ac:dyDescent="0.3">
      <c r="A1124">
        <v>16</v>
      </c>
      <c r="B1124" s="1">
        <v>37.5</v>
      </c>
      <c r="C1124" s="10">
        <v>15.265279340283291</v>
      </c>
      <c r="D1124" s="3">
        <v>10</v>
      </c>
    </row>
    <row r="1125" spans="1:4" x14ac:dyDescent="0.3">
      <c r="A1125">
        <v>31</v>
      </c>
      <c r="B1125" s="1">
        <v>43</v>
      </c>
      <c r="C1125" s="10">
        <v>38.825758666380906</v>
      </c>
      <c r="D1125" s="3">
        <v>20</v>
      </c>
    </row>
    <row r="1126" spans="1:4" x14ac:dyDescent="0.3">
      <c r="A1126">
        <v>29</v>
      </c>
      <c r="B1126" s="1">
        <v>44.8</v>
      </c>
      <c r="C1126" s="10">
        <v>38.286171014960701</v>
      </c>
      <c r="D1126" s="3">
        <v>20</v>
      </c>
    </row>
    <row r="1127" spans="1:4" x14ac:dyDescent="0.3">
      <c r="A1127">
        <v>20</v>
      </c>
      <c r="B1127" s="1">
        <v>27.5</v>
      </c>
      <c r="C1127" s="10">
        <v>21.607822643813176</v>
      </c>
      <c r="D1127" s="3">
        <v>10</v>
      </c>
    </row>
    <row r="1128" spans="1:4" x14ac:dyDescent="0.3">
      <c r="A1128">
        <v>70</v>
      </c>
      <c r="B1128" s="1">
        <v>26.193548387096776</v>
      </c>
      <c r="C1128" s="10">
        <v>50.357970242347804</v>
      </c>
      <c r="D1128" s="3">
        <v>31</v>
      </c>
    </row>
    <row r="1129" spans="1:4" x14ac:dyDescent="0.3">
      <c r="A1129">
        <v>46</v>
      </c>
      <c r="B1129" s="1">
        <v>33.363636363636367</v>
      </c>
      <c r="C1129" s="10">
        <v>32.425958517570052</v>
      </c>
      <c r="D1129" s="3">
        <v>22</v>
      </c>
    </row>
    <row r="1130" spans="1:4" x14ac:dyDescent="0.3">
      <c r="A1130">
        <v>5</v>
      </c>
      <c r="B1130" s="1">
        <v>42.333333333333336</v>
      </c>
      <c r="C1130" s="10">
        <v>5.3168532737766769</v>
      </c>
      <c r="D1130" s="3">
        <v>3</v>
      </c>
    </row>
    <row r="1131" spans="1:4" x14ac:dyDescent="0.3">
      <c r="A1131">
        <v>30</v>
      </c>
      <c r="B1131" s="1">
        <v>28.5</v>
      </c>
      <c r="C1131" s="10">
        <v>25.565289216258943</v>
      </c>
      <c r="D1131" s="3">
        <v>14</v>
      </c>
    </row>
    <row r="1132" spans="1:4" x14ac:dyDescent="0.3">
      <c r="A1132">
        <v>54</v>
      </c>
      <c r="B1132" s="1">
        <v>38.608695652173914</v>
      </c>
      <c r="C1132" s="10">
        <v>43.270518922814063</v>
      </c>
      <c r="D1132" s="3">
        <v>23</v>
      </c>
    </row>
    <row r="1133" spans="1:4" x14ac:dyDescent="0.3">
      <c r="A1133">
        <v>25</v>
      </c>
      <c r="B1133" s="1">
        <v>43.333333333333336</v>
      </c>
      <c r="C1133" s="10">
        <v>29.604075401798731</v>
      </c>
      <c r="D1133" s="3">
        <v>12</v>
      </c>
    </row>
    <row r="1134" spans="1:4" x14ac:dyDescent="0.3">
      <c r="A1134">
        <v>4</v>
      </c>
      <c r="B1134" s="1">
        <v>36.5</v>
      </c>
      <c r="C1134" s="10">
        <v>8.9335079986957862</v>
      </c>
      <c r="D1134" s="3">
        <v>4</v>
      </c>
    </row>
    <row r="1135" spans="1:4" x14ac:dyDescent="0.3">
      <c r="A1135">
        <v>36</v>
      </c>
      <c r="B1135" s="1">
        <v>26.277777777777779</v>
      </c>
      <c r="C1135" s="10">
        <v>25.949442584451283</v>
      </c>
      <c r="D1135" s="3">
        <v>18</v>
      </c>
    </row>
    <row r="1136" spans="1:4" x14ac:dyDescent="0.3">
      <c r="A1136">
        <v>12</v>
      </c>
      <c r="B1136" s="1">
        <v>43.222222222222221</v>
      </c>
      <c r="C1136" s="10">
        <v>11.607998989358467</v>
      </c>
      <c r="D1136" s="3">
        <v>9</v>
      </c>
    </row>
    <row r="1137" spans="1:4" x14ac:dyDescent="0.3">
      <c r="A1137">
        <v>23</v>
      </c>
      <c r="B1137" s="1">
        <v>42.285714285714285</v>
      </c>
      <c r="C1137" s="10">
        <v>21.719585486211436</v>
      </c>
      <c r="D1137" s="3">
        <v>14</v>
      </c>
    </row>
    <row r="1138" spans="1:4" x14ac:dyDescent="0.3">
      <c r="A1138">
        <v>26</v>
      </c>
      <c r="B1138" s="1">
        <v>38.833333333333336</v>
      </c>
      <c r="C1138" s="10">
        <v>25.671541089531992</v>
      </c>
      <c r="D1138" s="3">
        <v>12</v>
      </c>
    </row>
    <row r="1139" spans="1:4" x14ac:dyDescent="0.3">
      <c r="A1139">
        <v>18</v>
      </c>
      <c r="B1139" s="1">
        <v>40.53846153846154</v>
      </c>
      <c r="C1139" s="10">
        <v>24.55164391576918</v>
      </c>
      <c r="D1139" s="3">
        <v>13</v>
      </c>
    </row>
    <row r="1140" spans="1:4" x14ac:dyDescent="0.3">
      <c r="A1140">
        <v>25</v>
      </c>
      <c r="B1140" s="1">
        <v>44.5</v>
      </c>
      <c r="C1140" s="10">
        <v>34.632990692666844</v>
      </c>
      <c r="D1140" s="3">
        <v>14</v>
      </c>
    </row>
    <row r="1141" spans="1:4" x14ac:dyDescent="0.3">
      <c r="A1141">
        <v>78</v>
      </c>
      <c r="B1141" s="1">
        <v>27.114285714285714</v>
      </c>
      <c r="C1141" s="10">
        <v>80.799000276484151</v>
      </c>
      <c r="D1141" s="3">
        <v>35</v>
      </c>
    </row>
    <row r="1142" spans="1:4" x14ac:dyDescent="0.3">
      <c r="A1142">
        <v>52</v>
      </c>
      <c r="B1142" s="1">
        <v>32.086956521739133</v>
      </c>
      <c r="C1142" s="10">
        <v>32.07805902619203</v>
      </c>
      <c r="D1142" s="3">
        <v>23</v>
      </c>
    </row>
    <row r="1143" spans="1:4" x14ac:dyDescent="0.3">
      <c r="A1143">
        <v>8</v>
      </c>
      <c r="B1143" s="1">
        <v>26</v>
      </c>
      <c r="C1143" s="10">
        <v>14.8017259278939</v>
      </c>
      <c r="D1143" s="3">
        <v>6</v>
      </c>
    </row>
    <row r="1144" spans="1:4" x14ac:dyDescent="0.3">
      <c r="A1144">
        <v>13</v>
      </c>
      <c r="B1144" s="1">
        <v>24.285714285714285</v>
      </c>
      <c r="C1144" s="10">
        <v>15.773644327763039</v>
      </c>
      <c r="D1144" s="3">
        <v>7</v>
      </c>
    </row>
    <row r="1145" spans="1:4" x14ac:dyDescent="0.3">
      <c r="A1145">
        <v>47</v>
      </c>
      <c r="B1145" s="1">
        <v>39.700000000000003</v>
      </c>
      <c r="C1145" s="10">
        <v>25.89255936862029</v>
      </c>
      <c r="D1145" s="3">
        <v>20</v>
      </c>
    </row>
    <row r="1146" spans="1:4" x14ac:dyDescent="0.3">
      <c r="A1146">
        <v>57</v>
      </c>
      <c r="B1146" s="1">
        <v>30.541666666666668</v>
      </c>
      <c r="C1146" s="10">
        <v>52.90724032316092</v>
      </c>
      <c r="D1146" s="3">
        <v>24</v>
      </c>
    </row>
    <row r="1147" spans="1:4" x14ac:dyDescent="0.3">
      <c r="A1147">
        <v>8</v>
      </c>
      <c r="B1147" s="1">
        <v>45.333333333333336</v>
      </c>
      <c r="C1147" s="10">
        <v>9.9525884058187657</v>
      </c>
      <c r="D1147" s="3">
        <v>6</v>
      </c>
    </row>
    <row r="1148" spans="1:4" x14ac:dyDescent="0.3">
      <c r="A1148">
        <v>8</v>
      </c>
      <c r="B1148" s="1">
        <v>39.799999999999997</v>
      </c>
      <c r="C1148" s="10">
        <v>9.5383514137033547</v>
      </c>
      <c r="D1148" s="3">
        <v>5</v>
      </c>
    </row>
    <row r="1149" spans="1:4" x14ac:dyDescent="0.3">
      <c r="A1149">
        <v>26</v>
      </c>
      <c r="B1149" s="1">
        <v>39.285714285714285</v>
      </c>
      <c r="C1149" s="10">
        <v>27.973238634909517</v>
      </c>
      <c r="D1149" s="3">
        <v>14</v>
      </c>
    </row>
    <row r="1150" spans="1:4" x14ac:dyDescent="0.3">
      <c r="A1150">
        <v>49</v>
      </c>
      <c r="B1150" s="1">
        <v>27.233333333333334</v>
      </c>
      <c r="C1150" s="10">
        <v>60.317934400739411</v>
      </c>
      <c r="D1150" s="3">
        <v>30</v>
      </c>
    </row>
    <row r="1151" spans="1:4" x14ac:dyDescent="0.3">
      <c r="A1151">
        <v>28</v>
      </c>
      <c r="B1151" s="1">
        <v>33.928571428571431</v>
      </c>
      <c r="C1151" s="10">
        <v>19.507835809801239</v>
      </c>
      <c r="D1151" s="3">
        <v>14</v>
      </c>
    </row>
    <row r="1152" spans="1:4" x14ac:dyDescent="0.3">
      <c r="A1152">
        <v>52</v>
      </c>
      <c r="B1152" s="1">
        <v>29.708333333333332</v>
      </c>
      <c r="C1152" s="10">
        <v>36.563160566706635</v>
      </c>
      <c r="D1152" s="3">
        <v>24</v>
      </c>
    </row>
    <row r="1153" spans="1:4" x14ac:dyDescent="0.3">
      <c r="A1153">
        <v>12</v>
      </c>
      <c r="B1153" s="1">
        <v>33.833333333333336</v>
      </c>
      <c r="C1153" s="10">
        <v>12.61000879735365</v>
      </c>
      <c r="D1153" s="3">
        <v>6</v>
      </c>
    </row>
    <row r="1154" spans="1:4" x14ac:dyDescent="0.3">
      <c r="A1154">
        <v>22</v>
      </c>
      <c r="B1154" s="1">
        <v>29.9</v>
      </c>
      <c r="C1154" s="10">
        <v>19.926964793207272</v>
      </c>
      <c r="D1154" s="3">
        <v>10</v>
      </c>
    </row>
    <row r="1155" spans="1:4" x14ac:dyDescent="0.3">
      <c r="A1155">
        <v>17</v>
      </c>
      <c r="B1155" s="1">
        <v>44.625</v>
      </c>
      <c r="C1155" s="10">
        <v>14.59482732592749</v>
      </c>
      <c r="D1155" s="3">
        <v>8</v>
      </c>
    </row>
    <row r="1156" spans="1:4" x14ac:dyDescent="0.3">
      <c r="A1156">
        <v>3</v>
      </c>
      <c r="B1156" s="1">
        <v>49.5</v>
      </c>
      <c r="C1156" s="10">
        <v>4.5075635973935242</v>
      </c>
      <c r="D1156" s="3">
        <v>2</v>
      </c>
    </row>
    <row r="1157" spans="1:4" x14ac:dyDescent="0.3">
      <c r="A1157">
        <v>23</v>
      </c>
      <c r="B1157" s="1">
        <v>35.153846153846153</v>
      </c>
      <c r="C1157" s="10">
        <v>18.475243829501462</v>
      </c>
      <c r="D1157" s="3">
        <v>13</v>
      </c>
    </row>
    <row r="1158" spans="1:4" x14ac:dyDescent="0.3">
      <c r="A1158">
        <v>62</v>
      </c>
      <c r="B1158" s="1">
        <v>28.25925925925926</v>
      </c>
      <c r="C1158" s="10">
        <v>63.895192607074286</v>
      </c>
      <c r="D1158" s="3">
        <v>27</v>
      </c>
    </row>
    <row r="1159" spans="1:4" x14ac:dyDescent="0.3">
      <c r="A1159">
        <v>8</v>
      </c>
      <c r="B1159" s="1">
        <v>26.166666666666668</v>
      </c>
      <c r="C1159" s="10">
        <v>9.9412387111312945</v>
      </c>
      <c r="D1159" s="3">
        <v>6</v>
      </c>
    </row>
    <row r="1160" spans="1:4" x14ac:dyDescent="0.3">
      <c r="A1160">
        <v>40</v>
      </c>
      <c r="B1160" s="1">
        <v>36.772727272727273</v>
      </c>
      <c r="C1160" s="10">
        <v>41.172233332628792</v>
      </c>
      <c r="D1160" s="3">
        <v>22</v>
      </c>
    </row>
    <row r="1161" spans="1:4" x14ac:dyDescent="0.3">
      <c r="A1161">
        <v>13</v>
      </c>
      <c r="B1161" s="1">
        <v>32.857142857142854</v>
      </c>
      <c r="C1161" s="10">
        <v>9.3575780735085843</v>
      </c>
      <c r="D1161" s="3">
        <v>7</v>
      </c>
    </row>
    <row r="1162" spans="1:4" x14ac:dyDescent="0.3">
      <c r="A1162">
        <v>62</v>
      </c>
      <c r="B1162" s="1">
        <v>28.125</v>
      </c>
      <c r="C1162" s="10">
        <v>76.756793389591067</v>
      </c>
      <c r="D1162" s="3">
        <v>32</v>
      </c>
    </row>
    <row r="1163" spans="1:4" x14ac:dyDescent="0.3">
      <c r="A1163">
        <v>21</v>
      </c>
      <c r="B1163" s="1">
        <v>41.333333333333336</v>
      </c>
      <c r="C1163" s="10">
        <v>20.196329397994269</v>
      </c>
      <c r="D1163" s="3">
        <v>12</v>
      </c>
    </row>
    <row r="1164" spans="1:4" x14ac:dyDescent="0.3">
      <c r="A1164">
        <v>11</v>
      </c>
      <c r="B1164" s="1">
        <v>25.375</v>
      </c>
      <c r="C1164" s="10">
        <v>15.152188084727374</v>
      </c>
      <c r="D1164" s="3">
        <v>8</v>
      </c>
    </row>
    <row r="1165" spans="1:4" x14ac:dyDescent="0.3">
      <c r="A1165">
        <v>2</v>
      </c>
      <c r="B1165" s="1">
        <v>56</v>
      </c>
      <c r="C1165" s="10">
        <v>1.9723195580947961</v>
      </c>
      <c r="D1165" s="3">
        <v>1</v>
      </c>
    </row>
    <row r="1166" spans="1:4" x14ac:dyDescent="0.3">
      <c r="A1166">
        <v>5</v>
      </c>
      <c r="B1166" s="1">
        <v>31.333333333333332</v>
      </c>
      <c r="C1166" s="10">
        <v>4.3331592525744274</v>
      </c>
      <c r="D1166" s="3">
        <v>3</v>
      </c>
    </row>
    <row r="1167" spans="1:4" x14ac:dyDescent="0.3">
      <c r="A1167">
        <v>42</v>
      </c>
      <c r="B1167" s="1">
        <v>41.05263157894737</v>
      </c>
      <c r="C1167" s="10">
        <v>28.514091345258908</v>
      </c>
      <c r="D1167" s="3">
        <v>19</v>
      </c>
    </row>
    <row r="1168" spans="1:4" x14ac:dyDescent="0.3">
      <c r="A1168">
        <v>52</v>
      </c>
      <c r="B1168" s="1">
        <v>29.25</v>
      </c>
      <c r="C1168" s="10">
        <v>67.745469116636599</v>
      </c>
      <c r="D1168" s="3">
        <v>28</v>
      </c>
    </row>
    <row r="1169" spans="1:4" x14ac:dyDescent="0.3">
      <c r="A1169">
        <v>54</v>
      </c>
      <c r="B1169" s="1">
        <v>41.913043478260867</v>
      </c>
      <c r="C1169" s="10">
        <v>56.738195054590136</v>
      </c>
      <c r="D1169" s="3">
        <v>23</v>
      </c>
    </row>
    <row r="1170" spans="1:4" x14ac:dyDescent="0.3">
      <c r="A1170">
        <v>21</v>
      </c>
      <c r="B1170" s="1">
        <v>43.416666666666664</v>
      </c>
      <c r="C1170" s="10">
        <v>17.096710892111378</v>
      </c>
      <c r="D1170" s="3">
        <v>12</v>
      </c>
    </row>
    <row r="1171" spans="1:4" x14ac:dyDescent="0.3">
      <c r="A1171">
        <v>29</v>
      </c>
      <c r="B1171" s="1">
        <v>39.375</v>
      </c>
      <c r="C1171" s="10">
        <v>22.72710820233074</v>
      </c>
      <c r="D1171" s="3">
        <v>16</v>
      </c>
    </row>
    <row r="1172" spans="1:4" x14ac:dyDescent="0.3">
      <c r="A1172">
        <v>11</v>
      </c>
      <c r="B1172" s="1">
        <v>41.25</v>
      </c>
      <c r="C1172" s="10">
        <v>11.396567203825789</v>
      </c>
      <c r="D1172" s="3">
        <v>8</v>
      </c>
    </row>
    <row r="1173" spans="1:4" x14ac:dyDescent="0.3">
      <c r="A1173">
        <v>13</v>
      </c>
      <c r="B1173" s="1">
        <v>33.222222222222221</v>
      </c>
      <c r="C1173" s="10">
        <v>20.725653665942481</v>
      </c>
      <c r="D1173" s="3">
        <v>9</v>
      </c>
    </row>
    <row r="1174" spans="1:4" x14ac:dyDescent="0.3">
      <c r="A1174">
        <v>2</v>
      </c>
      <c r="B1174" s="1">
        <v>30</v>
      </c>
      <c r="C1174" s="10">
        <v>2.0910406538593489</v>
      </c>
      <c r="D1174" s="3">
        <v>1</v>
      </c>
    </row>
    <row r="1175" spans="1:4" x14ac:dyDescent="0.3">
      <c r="A1175">
        <v>27</v>
      </c>
      <c r="B1175" s="1">
        <v>38.133333333333333</v>
      </c>
      <c r="C1175" s="10">
        <v>26.237152572805151</v>
      </c>
      <c r="D1175" s="3">
        <v>15</v>
      </c>
    </row>
    <row r="1176" spans="1:4" x14ac:dyDescent="0.3">
      <c r="A1176">
        <v>18</v>
      </c>
      <c r="B1176" s="1">
        <v>43.583333333333336</v>
      </c>
      <c r="C1176" s="10">
        <v>22.874159578110572</v>
      </c>
      <c r="D1176" s="3">
        <v>12</v>
      </c>
    </row>
    <row r="1177" spans="1:4" x14ac:dyDescent="0.3">
      <c r="A1177">
        <v>42</v>
      </c>
      <c r="B1177" s="1">
        <v>38</v>
      </c>
      <c r="C1177" s="10">
        <v>30.232453415731236</v>
      </c>
      <c r="D1177" s="3">
        <v>23</v>
      </c>
    </row>
    <row r="1178" spans="1:4" x14ac:dyDescent="0.3">
      <c r="A1178">
        <v>22</v>
      </c>
      <c r="B1178" s="1">
        <v>34</v>
      </c>
      <c r="C1178" s="10">
        <v>24.802231695803719</v>
      </c>
      <c r="D1178" s="3">
        <v>14</v>
      </c>
    </row>
    <row r="1179" spans="1:4" x14ac:dyDescent="0.3">
      <c r="A1179">
        <v>29</v>
      </c>
      <c r="B1179" s="1">
        <v>31</v>
      </c>
      <c r="C1179" s="10">
        <v>27.832401209743168</v>
      </c>
      <c r="D1179" s="3">
        <v>15</v>
      </c>
    </row>
    <row r="1180" spans="1:4" x14ac:dyDescent="0.3">
      <c r="A1180">
        <v>61</v>
      </c>
      <c r="B1180" s="1">
        <v>31.076923076923077</v>
      </c>
      <c r="C1180" s="10">
        <v>56.66009752721785</v>
      </c>
      <c r="D1180" s="3">
        <v>26</v>
      </c>
    </row>
    <row r="1181" spans="1:4" x14ac:dyDescent="0.3">
      <c r="A1181">
        <v>35</v>
      </c>
      <c r="B1181" s="1">
        <v>40.523809523809526</v>
      </c>
      <c r="C1181" s="10">
        <v>41.803713844753815</v>
      </c>
      <c r="D1181" s="3">
        <v>21</v>
      </c>
    </row>
    <row r="1182" spans="1:4" x14ac:dyDescent="0.3">
      <c r="A1182">
        <v>27</v>
      </c>
      <c r="B1182" s="1">
        <v>32.769230769230766</v>
      </c>
      <c r="C1182" s="10">
        <v>18.486308215161646</v>
      </c>
      <c r="D1182" s="3">
        <v>13</v>
      </c>
    </row>
    <row r="1183" spans="1:4" x14ac:dyDescent="0.3">
      <c r="A1183">
        <v>17</v>
      </c>
      <c r="B1183" s="1">
        <v>41.25</v>
      </c>
      <c r="C1183" s="10">
        <v>20.648869575666403</v>
      </c>
      <c r="D1183" s="3">
        <v>12</v>
      </c>
    </row>
    <row r="1184" spans="1:4" x14ac:dyDescent="0.3">
      <c r="A1184">
        <v>44</v>
      </c>
      <c r="B1184" s="1">
        <v>39.454545454545453</v>
      </c>
      <c r="C1184" s="10">
        <v>30.439436346264767</v>
      </c>
      <c r="D1184" s="3">
        <v>22</v>
      </c>
    </row>
    <row r="1185" spans="1:4" x14ac:dyDescent="0.3">
      <c r="A1185">
        <v>7</v>
      </c>
      <c r="B1185" s="1">
        <v>26.6</v>
      </c>
      <c r="C1185" s="10">
        <v>9.516460380330038</v>
      </c>
      <c r="D1185" s="3">
        <v>5</v>
      </c>
    </row>
    <row r="1186" spans="1:4" x14ac:dyDescent="0.3">
      <c r="A1186">
        <v>12</v>
      </c>
      <c r="B1186" s="1">
        <v>45</v>
      </c>
      <c r="C1186" s="10">
        <v>9.9387249869285608</v>
      </c>
      <c r="D1186" s="3">
        <v>6</v>
      </c>
    </row>
    <row r="1187" spans="1:4" x14ac:dyDescent="0.3">
      <c r="A1187">
        <v>57</v>
      </c>
      <c r="B1187" s="1">
        <v>39.36</v>
      </c>
      <c r="C1187" s="10">
        <v>37.571691931431943</v>
      </c>
      <c r="D1187" s="3">
        <v>25</v>
      </c>
    </row>
    <row r="1188" spans="1:4" x14ac:dyDescent="0.3">
      <c r="A1188">
        <v>32</v>
      </c>
      <c r="B1188" s="1">
        <v>43.304347826086953</v>
      </c>
      <c r="C1188" s="10">
        <v>54.620804021841501</v>
      </c>
      <c r="D1188" s="3">
        <v>23</v>
      </c>
    </row>
    <row r="1189" spans="1:4" x14ac:dyDescent="0.3">
      <c r="A1189">
        <v>28</v>
      </c>
      <c r="B1189" s="1">
        <v>34.769230769230766</v>
      </c>
      <c r="C1189" s="10">
        <v>19.796518931978348</v>
      </c>
      <c r="D1189" s="3">
        <v>13</v>
      </c>
    </row>
    <row r="1190" spans="1:4" x14ac:dyDescent="0.3">
      <c r="A1190">
        <v>17</v>
      </c>
      <c r="B1190" s="1">
        <v>38</v>
      </c>
      <c r="C1190" s="10">
        <v>21.966554702843403</v>
      </c>
      <c r="D1190" s="3">
        <v>9</v>
      </c>
    </row>
    <row r="1191" spans="1:4" x14ac:dyDescent="0.3">
      <c r="A1191">
        <v>5</v>
      </c>
      <c r="B1191" s="1">
        <v>44.666666666666664</v>
      </c>
      <c r="C1191" s="10">
        <v>4.3234562938161885</v>
      </c>
      <c r="D1191" s="3">
        <v>3</v>
      </c>
    </row>
    <row r="1192" spans="1:4" x14ac:dyDescent="0.3">
      <c r="A1192">
        <v>21</v>
      </c>
      <c r="B1192" s="1">
        <v>26.75</v>
      </c>
      <c r="C1192" s="10">
        <v>32.472187088020675</v>
      </c>
      <c r="D1192" s="3">
        <v>16</v>
      </c>
    </row>
    <row r="1193" spans="1:4" x14ac:dyDescent="0.3">
      <c r="A1193">
        <v>35</v>
      </c>
      <c r="B1193" s="1">
        <v>37.588235294117645</v>
      </c>
      <c r="C1193" s="10">
        <v>29.254227690825534</v>
      </c>
      <c r="D1193" s="3">
        <v>17</v>
      </c>
    </row>
    <row r="1194" spans="1:4" x14ac:dyDescent="0.3">
      <c r="A1194">
        <v>17</v>
      </c>
      <c r="B1194" s="1">
        <v>43.4</v>
      </c>
      <c r="C1194" s="10">
        <v>24.443242985490471</v>
      </c>
      <c r="D1194" s="3">
        <v>10</v>
      </c>
    </row>
    <row r="1195" spans="1:4" x14ac:dyDescent="0.3">
      <c r="A1195">
        <v>9</v>
      </c>
      <c r="B1195" s="1">
        <v>38.857142857142854</v>
      </c>
      <c r="C1195" s="10">
        <v>13.518502464620759</v>
      </c>
      <c r="D1195" s="3">
        <v>7</v>
      </c>
    </row>
    <row r="1196" spans="1:4" x14ac:dyDescent="0.3">
      <c r="A1196">
        <v>30</v>
      </c>
      <c r="B1196" s="1">
        <v>45.071428571428569</v>
      </c>
      <c r="C1196" s="10">
        <v>21.00973513684648</v>
      </c>
      <c r="D1196" s="3">
        <v>14</v>
      </c>
    </row>
    <row r="1197" spans="1:4" x14ac:dyDescent="0.3">
      <c r="A1197">
        <v>13</v>
      </c>
      <c r="B1197" s="1">
        <v>39.1</v>
      </c>
      <c r="C1197" s="10">
        <v>21.466481665009173</v>
      </c>
      <c r="D1197" s="3">
        <v>10</v>
      </c>
    </row>
    <row r="1198" spans="1:4" x14ac:dyDescent="0.3">
      <c r="A1198">
        <v>20</v>
      </c>
      <c r="B1198" s="1">
        <v>40.333333333333336</v>
      </c>
      <c r="C1198" s="10">
        <v>29.312756262785221</v>
      </c>
      <c r="D1198" s="3">
        <v>12</v>
      </c>
    </row>
    <row r="1199" spans="1:4" x14ac:dyDescent="0.3">
      <c r="A1199">
        <v>31</v>
      </c>
      <c r="B1199" s="1">
        <v>31.0625</v>
      </c>
      <c r="C1199" s="10">
        <v>31.730684678494914</v>
      </c>
      <c r="D1199" s="3">
        <v>16</v>
      </c>
    </row>
    <row r="1200" spans="1:4" x14ac:dyDescent="0.3">
      <c r="A1200">
        <v>11</v>
      </c>
      <c r="B1200" s="1">
        <v>36.888888888888886</v>
      </c>
      <c r="C1200" s="10">
        <v>22.217237256500319</v>
      </c>
      <c r="D1200" s="3">
        <v>9</v>
      </c>
    </row>
    <row r="1201" spans="1:4" x14ac:dyDescent="0.3">
      <c r="A1201">
        <v>1</v>
      </c>
      <c r="B1201" s="1">
        <v>16</v>
      </c>
      <c r="C1201" s="10">
        <v>2.4813280799034758</v>
      </c>
      <c r="D1201" s="3">
        <v>1</v>
      </c>
    </row>
    <row r="1202" spans="1:4" x14ac:dyDescent="0.3">
      <c r="A1202">
        <v>20</v>
      </c>
      <c r="B1202" s="1">
        <v>43.2</v>
      </c>
      <c r="C1202" s="10">
        <v>15.747637533565349</v>
      </c>
      <c r="D1202" s="3">
        <v>10</v>
      </c>
    </row>
    <row r="1203" spans="1:4" x14ac:dyDescent="0.3">
      <c r="A1203">
        <v>4</v>
      </c>
      <c r="B1203" s="1">
        <v>26.666666666666668</v>
      </c>
      <c r="C1203" s="10">
        <v>4.4535626667888373</v>
      </c>
      <c r="D1203" s="3">
        <v>3</v>
      </c>
    </row>
    <row r="1204" spans="1:4" x14ac:dyDescent="0.3">
      <c r="A1204">
        <v>42</v>
      </c>
      <c r="B1204" s="1">
        <v>31.565217391304348</v>
      </c>
      <c r="C1204" s="10">
        <v>39.781572737576795</v>
      </c>
      <c r="D1204" s="3">
        <v>23</v>
      </c>
    </row>
    <row r="1205" spans="1:4" x14ac:dyDescent="0.3">
      <c r="A1205">
        <v>68</v>
      </c>
      <c r="B1205" s="1">
        <v>25.763157894736842</v>
      </c>
      <c r="C1205" s="10">
        <v>68.810321776520539</v>
      </c>
      <c r="D1205" s="3">
        <v>38</v>
      </c>
    </row>
    <row r="1206" spans="1:4" x14ac:dyDescent="0.3">
      <c r="A1206">
        <v>42</v>
      </c>
      <c r="B1206" s="1">
        <v>37.583333333333336</v>
      </c>
      <c r="C1206" s="10">
        <v>52.581333125575959</v>
      </c>
      <c r="D1206" s="3">
        <v>24</v>
      </c>
    </row>
    <row r="1207" spans="1:4" x14ac:dyDescent="0.3">
      <c r="A1207">
        <v>2</v>
      </c>
      <c r="B1207" s="1">
        <v>30</v>
      </c>
      <c r="C1207" s="10">
        <v>2.0915633954310611</v>
      </c>
      <c r="D1207" s="3">
        <v>1</v>
      </c>
    </row>
    <row r="1208" spans="1:4" x14ac:dyDescent="0.3">
      <c r="A1208">
        <v>1</v>
      </c>
      <c r="B1208" s="1">
        <v>36</v>
      </c>
      <c r="C1208" s="10">
        <v>2.0295337312121768</v>
      </c>
      <c r="D1208" s="3">
        <v>1</v>
      </c>
    </row>
    <row r="1209" spans="1:4" x14ac:dyDescent="0.3">
      <c r="A1209">
        <v>8</v>
      </c>
      <c r="B1209" s="1">
        <v>41.833333333333336</v>
      </c>
      <c r="C1209" s="10">
        <v>14.713132636527895</v>
      </c>
      <c r="D1209" s="3">
        <v>6</v>
      </c>
    </row>
    <row r="1210" spans="1:4" x14ac:dyDescent="0.3">
      <c r="A1210">
        <v>49</v>
      </c>
      <c r="B1210" s="1">
        <v>42.523809523809526</v>
      </c>
      <c r="C1210" s="10">
        <v>51.868786290206707</v>
      </c>
      <c r="D1210" s="3">
        <v>21</v>
      </c>
    </row>
    <row r="1211" spans="1:4" x14ac:dyDescent="0.3">
      <c r="A1211">
        <v>16</v>
      </c>
      <c r="B1211" s="1">
        <v>31.222222222222221</v>
      </c>
      <c r="C1211" s="10">
        <v>20.765458580071908</v>
      </c>
      <c r="D1211" s="3">
        <v>9</v>
      </c>
    </row>
    <row r="1212" spans="1:4" x14ac:dyDescent="0.3">
      <c r="A1212">
        <v>19</v>
      </c>
      <c r="B1212" s="1">
        <v>34.06666666666667</v>
      </c>
      <c r="C1212" s="10">
        <v>34.182962857440899</v>
      </c>
      <c r="D1212" s="3">
        <v>15</v>
      </c>
    </row>
    <row r="1213" spans="1:4" x14ac:dyDescent="0.3">
      <c r="A1213">
        <v>38</v>
      </c>
      <c r="B1213" s="1">
        <v>27.8</v>
      </c>
      <c r="C1213" s="10">
        <v>25.866013883252336</v>
      </c>
      <c r="D1213" s="3">
        <v>20</v>
      </c>
    </row>
    <row r="1214" spans="1:4" x14ac:dyDescent="0.3">
      <c r="A1214">
        <v>3</v>
      </c>
      <c r="B1214" s="1">
        <v>40</v>
      </c>
      <c r="C1214" s="10">
        <v>4.542385297908754</v>
      </c>
      <c r="D1214" s="3">
        <v>3</v>
      </c>
    </row>
    <row r="1215" spans="1:4" x14ac:dyDescent="0.3">
      <c r="A1215">
        <v>45</v>
      </c>
      <c r="B1215" s="1">
        <v>32.434782608695649</v>
      </c>
      <c r="C1215" s="10">
        <v>51.722813643725289</v>
      </c>
      <c r="D1215" s="3">
        <v>23</v>
      </c>
    </row>
    <row r="1216" spans="1:4" x14ac:dyDescent="0.3">
      <c r="A1216">
        <v>31</v>
      </c>
      <c r="B1216" s="1">
        <v>37.10526315789474</v>
      </c>
      <c r="C1216" s="10">
        <v>37.34751766583986</v>
      </c>
      <c r="D1216" s="3">
        <v>19</v>
      </c>
    </row>
    <row r="1217" spans="1:4" x14ac:dyDescent="0.3">
      <c r="A1217">
        <v>2</v>
      </c>
      <c r="B1217" s="1">
        <v>35.5</v>
      </c>
      <c r="C1217" s="10">
        <v>4.5296004361399778</v>
      </c>
      <c r="D1217" s="3">
        <v>2</v>
      </c>
    </row>
    <row r="1218" spans="1:4" x14ac:dyDescent="0.3">
      <c r="A1218">
        <v>15</v>
      </c>
      <c r="B1218" s="1">
        <v>41.714285714285715</v>
      </c>
      <c r="C1218" s="10">
        <v>11.679747384017174</v>
      </c>
      <c r="D1218" s="3">
        <v>7</v>
      </c>
    </row>
    <row r="1219" spans="1:4" x14ac:dyDescent="0.3">
      <c r="A1219">
        <v>34</v>
      </c>
      <c r="B1219" s="1">
        <v>37.541666666666664</v>
      </c>
      <c r="C1219" s="10">
        <v>53.48120909883081</v>
      </c>
      <c r="D1219" s="3">
        <v>24</v>
      </c>
    </row>
    <row r="1220" spans="1:4" x14ac:dyDescent="0.3">
      <c r="A1220">
        <v>15</v>
      </c>
      <c r="B1220" s="1">
        <v>37.875</v>
      </c>
      <c r="C1220" s="10">
        <v>12.577545635839712</v>
      </c>
      <c r="D1220" s="3">
        <v>8</v>
      </c>
    </row>
    <row r="1221" spans="1:4" x14ac:dyDescent="0.3">
      <c r="A1221">
        <v>57</v>
      </c>
      <c r="B1221" s="1">
        <v>30</v>
      </c>
      <c r="C1221" s="10">
        <v>74.896974176086943</v>
      </c>
      <c r="D1221" s="3">
        <v>33</v>
      </c>
    </row>
    <row r="1222" spans="1:4" x14ac:dyDescent="0.3">
      <c r="A1222">
        <v>1</v>
      </c>
      <c r="B1222" s="1">
        <v>15</v>
      </c>
      <c r="C1222" s="10">
        <v>2.3487258974849983</v>
      </c>
      <c r="D1222" s="3">
        <v>1</v>
      </c>
    </row>
    <row r="1223" spans="1:4" x14ac:dyDescent="0.3">
      <c r="A1223">
        <v>38</v>
      </c>
      <c r="B1223" s="1">
        <v>29.894736842105264</v>
      </c>
      <c r="C1223" s="10">
        <v>35.853290181072452</v>
      </c>
      <c r="D1223" s="3">
        <v>19</v>
      </c>
    </row>
    <row r="1224" spans="1:4" x14ac:dyDescent="0.3">
      <c r="A1224">
        <v>16</v>
      </c>
      <c r="B1224" s="1">
        <v>37.777777777777779</v>
      </c>
      <c r="C1224" s="10">
        <v>14.538624641951142</v>
      </c>
      <c r="D1224" s="3">
        <v>9</v>
      </c>
    </row>
    <row r="1225" spans="1:4" x14ac:dyDescent="0.3">
      <c r="A1225">
        <v>2</v>
      </c>
      <c r="B1225" s="1">
        <v>39</v>
      </c>
      <c r="C1225" s="10">
        <v>2.6747269099012838</v>
      </c>
      <c r="D1225" s="3">
        <v>2</v>
      </c>
    </row>
    <row r="1226" spans="1:4" x14ac:dyDescent="0.3">
      <c r="A1226">
        <v>12</v>
      </c>
      <c r="B1226" s="1">
        <v>35</v>
      </c>
      <c r="C1226" s="10">
        <v>16.131577212354774</v>
      </c>
      <c r="D1226" s="3">
        <v>10</v>
      </c>
    </row>
    <row r="1227" spans="1:4" x14ac:dyDescent="0.3">
      <c r="A1227">
        <v>49</v>
      </c>
      <c r="B1227" s="1">
        <v>25.96153846153846</v>
      </c>
      <c r="C1227" s="10">
        <v>33.269331122831098</v>
      </c>
      <c r="D1227" s="3">
        <v>26</v>
      </c>
    </row>
    <row r="1228" spans="1:4" x14ac:dyDescent="0.3">
      <c r="A1228">
        <v>47</v>
      </c>
      <c r="B1228" s="1">
        <v>30.208333333333332</v>
      </c>
      <c r="C1228" s="10">
        <v>52.816123445851787</v>
      </c>
      <c r="D1228" s="3">
        <v>24</v>
      </c>
    </row>
    <row r="1229" spans="1:4" x14ac:dyDescent="0.3">
      <c r="A1229">
        <v>24</v>
      </c>
      <c r="B1229" s="1">
        <v>41.727272727272727</v>
      </c>
      <c r="C1229" s="10">
        <v>27.32430664530834</v>
      </c>
      <c r="D1229" s="3">
        <v>11</v>
      </c>
    </row>
    <row r="1230" spans="1:4" x14ac:dyDescent="0.3">
      <c r="A1230">
        <v>43</v>
      </c>
      <c r="B1230" s="1">
        <v>39.32</v>
      </c>
      <c r="C1230" s="10">
        <v>57.956166668748367</v>
      </c>
      <c r="D1230" s="3">
        <v>25</v>
      </c>
    </row>
    <row r="1231" spans="1:4" x14ac:dyDescent="0.3">
      <c r="A1231">
        <v>38</v>
      </c>
      <c r="B1231" s="1">
        <v>27.46153846153846</v>
      </c>
      <c r="C1231" s="10">
        <v>52.590209451063394</v>
      </c>
      <c r="D1231" s="3">
        <v>26</v>
      </c>
    </row>
    <row r="1232" spans="1:4" x14ac:dyDescent="0.3">
      <c r="A1232">
        <v>2</v>
      </c>
      <c r="B1232" s="1">
        <v>58</v>
      </c>
      <c r="C1232" s="10">
        <v>2.0177411862594452</v>
      </c>
      <c r="D1232" s="3">
        <v>1</v>
      </c>
    </row>
    <row r="1233" spans="1:4" x14ac:dyDescent="0.3">
      <c r="A1233">
        <v>56</v>
      </c>
      <c r="B1233" s="1">
        <v>37.230769230769234</v>
      </c>
      <c r="C1233" s="10">
        <v>51.087512152351813</v>
      </c>
      <c r="D1233" s="3">
        <v>26</v>
      </c>
    </row>
    <row r="1234" spans="1:4" x14ac:dyDescent="0.3">
      <c r="A1234">
        <v>81</v>
      </c>
      <c r="B1234" s="1">
        <v>26.264705882352942</v>
      </c>
      <c r="C1234" s="10">
        <v>62.752244559339424</v>
      </c>
      <c r="D1234" s="3">
        <v>34</v>
      </c>
    </row>
    <row r="1235" spans="1:4" x14ac:dyDescent="0.3">
      <c r="A1235">
        <v>44</v>
      </c>
      <c r="B1235" s="1">
        <v>30.952380952380953</v>
      </c>
      <c r="C1235" s="10">
        <v>47.191796127830187</v>
      </c>
      <c r="D1235" s="3">
        <v>21</v>
      </c>
    </row>
    <row r="1236" spans="1:4" x14ac:dyDescent="0.3">
      <c r="A1236">
        <v>1</v>
      </c>
      <c r="B1236" s="1">
        <v>32</v>
      </c>
      <c r="C1236" s="10">
        <v>1.5611481783136669</v>
      </c>
      <c r="D1236" s="3">
        <v>1</v>
      </c>
    </row>
    <row r="1237" spans="1:4" x14ac:dyDescent="0.3">
      <c r="A1237">
        <v>23</v>
      </c>
      <c r="B1237" s="1">
        <v>29.933333333333334</v>
      </c>
      <c r="C1237" s="10">
        <v>20.050692045026004</v>
      </c>
      <c r="D1237" s="3">
        <v>15</v>
      </c>
    </row>
    <row r="1238" spans="1:4" x14ac:dyDescent="0.3">
      <c r="A1238">
        <v>10</v>
      </c>
      <c r="B1238" s="1">
        <v>31.571428571428573</v>
      </c>
      <c r="C1238" s="10">
        <v>10.55489731148776</v>
      </c>
      <c r="D1238" s="3">
        <v>7</v>
      </c>
    </row>
    <row r="1239" spans="1:4" x14ac:dyDescent="0.3">
      <c r="A1239">
        <v>17</v>
      </c>
      <c r="B1239" s="1">
        <v>42.307692307692307</v>
      </c>
      <c r="C1239" s="10">
        <v>24.070892025868229</v>
      </c>
      <c r="D1239" s="3">
        <v>13</v>
      </c>
    </row>
    <row r="1240" spans="1:4" x14ac:dyDescent="0.3">
      <c r="A1240">
        <v>1</v>
      </c>
      <c r="B1240" s="1">
        <v>38</v>
      </c>
      <c r="C1240" s="10">
        <v>1.6146678242026593</v>
      </c>
      <c r="D1240" s="3">
        <v>1</v>
      </c>
    </row>
    <row r="1241" spans="1:4" x14ac:dyDescent="0.3">
      <c r="A1241">
        <v>39</v>
      </c>
      <c r="B1241" s="1">
        <v>32.888888888888886</v>
      </c>
      <c r="C1241" s="10">
        <v>59.454794010068731</v>
      </c>
      <c r="D1241" s="3">
        <v>27</v>
      </c>
    </row>
    <row r="1242" spans="1:4" x14ac:dyDescent="0.3">
      <c r="A1242">
        <v>17</v>
      </c>
      <c r="B1242" s="1">
        <v>40.75</v>
      </c>
      <c r="C1242" s="10">
        <v>17.749157897348397</v>
      </c>
      <c r="D1242" s="3">
        <v>8</v>
      </c>
    </row>
    <row r="1243" spans="1:4" x14ac:dyDescent="0.3">
      <c r="A1243">
        <v>10</v>
      </c>
      <c r="B1243" s="1">
        <v>29.8</v>
      </c>
      <c r="C1243" s="10">
        <v>10.643758573836068</v>
      </c>
      <c r="D1243" s="3">
        <v>5</v>
      </c>
    </row>
    <row r="1244" spans="1:4" x14ac:dyDescent="0.3">
      <c r="A1244">
        <v>17</v>
      </c>
      <c r="B1244" s="1">
        <v>28.375</v>
      </c>
      <c r="C1244" s="10">
        <v>17.890813440241136</v>
      </c>
      <c r="D1244" s="3">
        <v>8</v>
      </c>
    </row>
    <row r="1245" spans="1:4" x14ac:dyDescent="0.3">
      <c r="A1245">
        <v>17</v>
      </c>
      <c r="B1245" s="1">
        <v>36.555555555555557</v>
      </c>
      <c r="C1245" s="10">
        <v>14.08392713697342</v>
      </c>
      <c r="D1245" s="3">
        <v>9</v>
      </c>
    </row>
    <row r="1246" spans="1:4" x14ac:dyDescent="0.3">
      <c r="A1246">
        <v>21</v>
      </c>
      <c r="B1246" s="1">
        <v>43.4</v>
      </c>
      <c r="C1246" s="10">
        <v>37.085436314956212</v>
      </c>
      <c r="D1246" s="3">
        <v>15</v>
      </c>
    </row>
    <row r="1247" spans="1:4" x14ac:dyDescent="0.3">
      <c r="A1247">
        <v>3</v>
      </c>
      <c r="B1247" s="1">
        <v>25</v>
      </c>
      <c r="C1247" s="10">
        <v>3.6173033802986976</v>
      </c>
      <c r="D1247" s="3">
        <v>2</v>
      </c>
    </row>
    <row r="1248" spans="1:4" x14ac:dyDescent="0.3">
      <c r="A1248">
        <v>17</v>
      </c>
      <c r="B1248" s="1">
        <v>27.09090909090909</v>
      </c>
      <c r="C1248" s="10">
        <v>17.266235173157209</v>
      </c>
      <c r="D1248" s="3">
        <v>11</v>
      </c>
    </row>
    <row r="1249" spans="1:4" x14ac:dyDescent="0.3">
      <c r="A1249">
        <v>5</v>
      </c>
      <c r="B1249" s="1">
        <v>40.666666666666664</v>
      </c>
      <c r="C1249" s="10">
        <v>6.7632599645167897</v>
      </c>
      <c r="D1249" s="3">
        <v>3</v>
      </c>
    </row>
    <row r="1250" spans="1:4" x14ac:dyDescent="0.3">
      <c r="A1250">
        <v>35</v>
      </c>
      <c r="B1250" s="1">
        <v>36.05263157894737</v>
      </c>
      <c r="C1250" s="10">
        <v>29.150533228155147</v>
      </c>
      <c r="D1250" s="3">
        <v>19</v>
      </c>
    </row>
    <row r="1251" spans="1:4" x14ac:dyDescent="0.3">
      <c r="A1251">
        <v>34</v>
      </c>
      <c r="B1251" s="1">
        <v>28.473684210526315</v>
      </c>
      <c r="C1251" s="10">
        <v>36.832734643544327</v>
      </c>
      <c r="D1251" s="3">
        <v>19</v>
      </c>
    </row>
    <row r="1252" spans="1:4" x14ac:dyDescent="0.3">
      <c r="A1252">
        <v>33</v>
      </c>
      <c r="B1252" s="1">
        <v>41.941176470588232</v>
      </c>
      <c r="C1252" s="10">
        <v>30.384656498583954</v>
      </c>
      <c r="D1252" s="3">
        <v>17</v>
      </c>
    </row>
    <row r="1253" spans="1:4" x14ac:dyDescent="0.3">
      <c r="A1253">
        <v>32</v>
      </c>
      <c r="B1253" s="1">
        <v>34.631578947368418</v>
      </c>
      <c r="C1253" s="10">
        <v>42.860336873590022</v>
      </c>
      <c r="D1253" s="3">
        <v>19</v>
      </c>
    </row>
    <row r="1254" spans="1:4" x14ac:dyDescent="0.3">
      <c r="A1254">
        <v>49</v>
      </c>
      <c r="B1254" s="1">
        <v>30.482758620689655</v>
      </c>
      <c r="C1254" s="10">
        <v>44.748638642180801</v>
      </c>
      <c r="D1254" s="3">
        <v>29</v>
      </c>
    </row>
    <row r="1255" spans="1:4" x14ac:dyDescent="0.3">
      <c r="A1255">
        <v>66</v>
      </c>
      <c r="B1255" s="1">
        <v>24.848484848484848</v>
      </c>
      <c r="C1255" s="10">
        <v>72.340359317406964</v>
      </c>
      <c r="D1255" s="3">
        <v>33</v>
      </c>
    </row>
    <row r="1256" spans="1:4" x14ac:dyDescent="0.3">
      <c r="A1256">
        <v>53</v>
      </c>
      <c r="B1256" s="1">
        <v>32.916666666666664</v>
      </c>
      <c r="C1256" s="10">
        <v>53.483905044092921</v>
      </c>
      <c r="D1256" s="3">
        <v>24</v>
      </c>
    </row>
    <row r="1257" spans="1:4" x14ac:dyDescent="0.3">
      <c r="A1257">
        <v>38</v>
      </c>
      <c r="B1257" s="1">
        <v>24.923076923076923</v>
      </c>
      <c r="C1257" s="10">
        <v>56.880467493217211</v>
      </c>
      <c r="D1257" s="3">
        <v>26</v>
      </c>
    </row>
    <row r="1258" spans="1:4" x14ac:dyDescent="0.3">
      <c r="A1258">
        <v>46</v>
      </c>
      <c r="B1258" s="1">
        <v>34.450000000000003</v>
      </c>
      <c r="C1258" s="10">
        <v>33.148991021819654</v>
      </c>
      <c r="D1258" s="3">
        <v>20</v>
      </c>
    </row>
    <row r="1259" spans="1:4" x14ac:dyDescent="0.3">
      <c r="A1259">
        <v>36</v>
      </c>
      <c r="B1259" s="1">
        <v>26.952380952380953</v>
      </c>
      <c r="C1259" s="10">
        <v>29.475196979436365</v>
      </c>
      <c r="D1259" s="3">
        <v>21</v>
      </c>
    </row>
    <row r="1260" spans="1:4" x14ac:dyDescent="0.3">
      <c r="A1260">
        <v>6</v>
      </c>
      <c r="B1260" s="1">
        <v>26.8</v>
      </c>
      <c r="C1260" s="10">
        <v>11.077714621697663</v>
      </c>
      <c r="D1260" s="3">
        <v>5</v>
      </c>
    </row>
    <row r="1261" spans="1:4" x14ac:dyDescent="0.3">
      <c r="A1261">
        <v>30</v>
      </c>
      <c r="B1261" s="1">
        <v>25.473684210526315</v>
      </c>
      <c r="C1261" s="10">
        <v>23.985785840631518</v>
      </c>
      <c r="D1261" s="3">
        <v>19</v>
      </c>
    </row>
    <row r="1262" spans="1:4" x14ac:dyDescent="0.3">
      <c r="A1262">
        <v>29</v>
      </c>
      <c r="B1262" s="1">
        <v>31.384615384615383</v>
      </c>
      <c r="C1262" s="10">
        <v>29.83578590844342</v>
      </c>
      <c r="D1262" s="3">
        <v>13</v>
      </c>
    </row>
    <row r="1263" spans="1:4" x14ac:dyDescent="0.3">
      <c r="A1263">
        <v>32</v>
      </c>
      <c r="B1263" s="1">
        <v>35.200000000000003</v>
      </c>
      <c r="C1263" s="10">
        <v>21.688046048254389</v>
      </c>
      <c r="D1263" s="3">
        <v>15</v>
      </c>
    </row>
    <row r="1264" spans="1:4" x14ac:dyDescent="0.3">
      <c r="A1264">
        <v>3</v>
      </c>
      <c r="B1264" s="1">
        <v>34</v>
      </c>
      <c r="C1264" s="10">
        <v>3.8160366728794264</v>
      </c>
      <c r="D1264" s="3">
        <v>2</v>
      </c>
    </row>
    <row r="1265" spans="1:4" x14ac:dyDescent="0.3">
      <c r="A1265">
        <v>7</v>
      </c>
      <c r="B1265" s="1">
        <v>2.75</v>
      </c>
      <c r="C1265" s="10">
        <v>6.8609712403724643</v>
      </c>
      <c r="D1265" s="3">
        <v>4</v>
      </c>
    </row>
    <row r="1266" spans="1:4" x14ac:dyDescent="0.3">
      <c r="A1266">
        <v>44</v>
      </c>
      <c r="B1266" s="1">
        <v>36</v>
      </c>
      <c r="C1266" s="10">
        <v>51.936265593006738</v>
      </c>
      <c r="D1266" s="3">
        <v>23</v>
      </c>
    </row>
    <row r="1267" spans="1:4" x14ac:dyDescent="0.3">
      <c r="A1267">
        <v>22</v>
      </c>
      <c r="B1267" s="1">
        <v>38.299999999999997</v>
      </c>
      <c r="C1267" s="10">
        <v>15.87113652790752</v>
      </c>
      <c r="D1267" s="3">
        <v>10</v>
      </c>
    </row>
    <row r="1268" spans="1:4" x14ac:dyDescent="0.3">
      <c r="A1268">
        <v>34</v>
      </c>
      <c r="B1268" s="1">
        <v>42.944444444444443</v>
      </c>
      <c r="C1268" s="10">
        <v>28.522262492025327</v>
      </c>
      <c r="D1268" s="3">
        <v>18</v>
      </c>
    </row>
    <row r="1269" spans="1:4" x14ac:dyDescent="0.3">
      <c r="A1269">
        <v>3</v>
      </c>
      <c r="B1269" s="1">
        <v>34</v>
      </c>
      <c r="C1269" s="10">
        <v>3.5265785965514773</v>
      </c>
      <c r="D1269" s="3">
        <v>2</v>
      </c>
    </row>
    <row r="1270" spans="1:4" x14ac:dyDescent="0.3">
      <c r="A1270">
        <v>12</v>
      </c>
      <c r="B1270" s="1">
        <v>40</v>
      </c>
      <c r="C1270" s="10">
        <v>13.465533650605332</v>
      </c>
      <c r="D1270" s="3">
        <v>9</v>
      </c>
    </row>
    <row r="1271" spans="1:4" x14ac:dyDescent="0.3">
      <c r="A1271">
        <v>6</v>
      </c>
      <c r="B1271" s="1">
        <v>5.25</v>
      </c>
      <c r="C1271" s="10">
        <v>5.9223544770788061</v>
      </c>
      <c r="D1271" s="3">
        <v>4</v>
      </c>
    </row>
    <row r="1272" spans="1:4" x14ac:dyDescent="0.3">
      <c r="A1272">
        <v>8</v>
      </c>
      <c r="B1272" s="1">
        <v>36.833333333333336</v>
      </c>
      <c r="C1272" s="10">
        <v>11.85143877971538</v>
      </c>
      <c r="D1272" s="3">
        <v>6</v>
      </c>
    </row>
    <row r="1273" spans="1:4" x14ac:dyDescent="0.3">
      <c r="A1273">
        <v>36</v>
      </c>
      <c r="B1273" s="1">
        <v>37.479999999999997</v>
      </c>
      <c r="C1273" s="10">
        <v>61.121443511876926</v>
      </c>
      <c r="D1273" s="3">
        <v>25</v>
      </c>
    </row>
    <row r="1274" spans="1:4" x14ac:dyDescent="0.3">
      <c r="A1274">
        <v>29</v>
      </c>
      <c r="B1274" s="1">
        <v>36.714285714285715</v>
      </c>
      <c r="C1274" s="10">
        <v>34.382148015475366</v>
      </c>
      <c r="D1274" s="3">
        <v>14</v>
      </c>
    </row>
    <row r="1275" spans="1:4" x14ac:dyDescent="0.3">
      <c r="A1275">
        <v>31</v>
      </c>
      <c r="B1275" s="1">
        <v>35.210526315789473</v>
      </c>
      <c r="C1275" s="10">
        <v>24.845130701578967</v>
      </c>
      <c r="D1275" s="3">
        <v>19</v>
      </c>
    </row>
    <row r="1276" spans="1:4" x14ac:dyDescent="0.3">
      <c r="A1276">
        <v>22</v>
      </c>
      <c r="B1276" s="1">
        <v>33.75</v>
      </c>
      <c r="C1276" s="10">
        <v>25.520764675729826</v>
      </c>
      <c r="D1276" s="3">
        <v>16</v>
      </c>
    </row>
    <row r="1277" spans="1:4" x14ac:dyDescent="0.3">
      <c r="A1277">
        <v>38</v>
      </c>
      <c r="B1277" s="1">
        <v>41.909090909090907</v>
      </c>
      <c r="C1277" s="10">
        <v>47.153373062416875</v>
      </c>
      <c r="D1277" s="3">
        <v>22</v>
      </c>
    </row>
    <row r="1278" spans="1:4" x14ac:dyDescent="0.3">
      <c r="A1278">
        <v>31</v>
      </c>
      <c r="B1278" s="1">
        <v>40.200000000000003</v>
      </c>
      <c r="C1278" s="10">
        <v>21.468976744008156</v>
      </c>
      <c r="D1278" s="3">
        <v>15</v>
      </c>
    </row>
    <row r="1279" spans="1:4" x14ac:dyDescent="0.3">
      <c r="A1279">
        <v>29</v>
      </c>
      <c r="B1279" s="1">
        <v>42</v>
      </c>
      <c r="C1279" s="10">
        <v>34.145405594143263</v>
      </c>
      <c r="D1279" s="3">
        <v>14</v>
      </c>
    </row>
    <row r="1280" spans="1:4" x14ac:dyDescent="0.3">
      <c r="A1280">
        <v>29</v>
      </c>
      <c r="B1280" s="1">
        <v>39.6</v>
      </c>
      <c r="C1280" s="10">
        <v>27.47198146864055</v>
      </c>
      <c r="D1280" s="3">
        <v>20</v>
      </c>
    </row>
    <row r="1281" spans="1:4" x14ac:dyDescent="0.3">
      <c r="A1281">
        <v>46</v>
      </c>
      <c r="B1281" s="1">
        <v>35.571428571428569</v>
      </c>
      <c r="C1281" s="10">
        <v>47.230242048121013</v>
      </c>
      <c r="D1281" s="3">
        <v>28</v>
      </c>
    </row>
    <row r="1282" spans="1:4" x14ac:dyDescent="0.3">
      <c r="A1282">
        <v>25</v>
      </c>
      <c r="B1282" s="1">
        <v>33.777777777777779</v>
      </c>
      <c r="C1282" s="10">
        <v>30.785648185850675</v>
      </c>
      <c r="D1282" s="3">
        <v>18</v>
      </c>
    </row>
    <row r="1283" spans="1:4" x14ac:dyDescent="0.3">
      <c r="A1283">
        <v>70</v>
      </c>
      <c r="B1283" s="1">
        <v>24.9</v>
      </c>
      <c r="C1283" s="10">
        <v>73.503651536797463</v>
      </c>
      <c r="D1283" s="3">
        <v>40</v>
      </c>
    </row>
    <row r="1284" spans="1:4" x14ac:dyDescent="0.3">
      <c r="A1284">
        <v>28</v>
      </c>
      <c r="B1284" s="1">
        <v>41.533333333333331</v>
      </c>
      <c r="C1284" s="10">
        <v>26.578585445449303</v>
      </c>
      <c r="D1284" s="3">
        <v>15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60FD092171664B91D2DE22CF11D320" ma:contentTypeVersion="14" ma:contentTypeDescription="Create a new document." ma:contentTypeScope="" ma:versionID="de0eb7bdfa0adf26c56e3c3f41e1f8f1">
  <xsd:schema xmlns:xsd="http://www.w3.org/2001/XMLSchema" xmlns:xs="http://www.w3.org/2001/XMLSchema" xmlns:p="http://schemas.microsoft.com/office/2006/metadata/properties" xmlns:ns3="38f1a970-ec10-4b65-bf63-5356b78c1eca" xmlns:ns4="ce5e2193-5685-4cac-b8e8-fc98ee0dd9b3" targetNamespace="http://schemas.microsoft.com/office/2006/metadata/properties" ma:root="true" ma:fieldsID="7399fe766a97ed88641c3bd27cffb857" ns3:_="" ns4:_="">
    <xsd:import namespace="38f1a970-ec10-4b65-bf63-5356b78c1eca"/>
    <xsd:import namespace="ce5e2193-5685-4cac-b8e8-fc98ee0dd9b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Location" minOccurs="0"/>
                <xsd:element ref="ns3:MediaServiceOCR" minOccurs="0"/>
                <xsd:element ref="ns3:MediaLengthInSecond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f1a970-ec10-4b65-bf63-5356b78c1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e5e2193-5685-4cac-b8e8-fc98ee0dd9b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A0E71C-EE2F-4D3D-A67E-47D0F22F62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f1a970-ec10-4b65-bf63-5356b78c1eca"/>
    <ds:schemaRef ds:uri="ce5e2193-5685-4cac-b8e8-fc98ee0dd9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3862B5-0054-4116-8675-65BB66DB57DC}">
  <ds:schemaRefs>
    <ds:schemaRef ds:uri="http://schemas.microsoft.com/sharepoint/v3/contenttype/forms"/>
  </ds:schemaRefs>
</ds:datastoreItem>
</file>

<file path=customXml/itemProps3.xml><?xml version="1.0" encoding="utf-8"?>
<ds:datastoreItem xmlns:ds="http://schemas.openxmlformats.org/officeDocument/2006/customXml" ds:itemID="{E7166440-15EA-48FB-8B93-D1F63AE31885}">
  <ds:schemaRefs>
    <ds:schemaRef ds:uri="http://schemas.microsoft.com/office/2006/metadata/properties"/>
    <ds:schemaRef ds:uri="http://purl.org/dc/elements/1.1/"/>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ce5e2193-5685-4cac-b8e8-fc98ee0dd9b3"/>
    <ds:schemaRef ds:uri="38f1a970-ec10-4b65-bf63-5356b78c1e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CustomerDemographics_SalesData_</vt:lpstr>
      <vt:lpstr>A1</vt:lpstr>
      <vt:lpstr>A2</vt:lpstr>
      <vt:lpstr>B1</vt:lpstr>
      <vt:lpstr>B2</vt:lpstr>
      <vt:lpstr>B3</vt:lpstr>
      <vt:lpstr>B4</vt:lpstr>
      <vt:lpstr>B5</vt:lpstr>
      <vt:lpstr>B6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 Nemes</dc:creator>
  <cp:lastModifiedBy>Ryan Dotson</cp:lastModifiedBy>
  <dcterms:created xsi:type="dcterms:W3CDTF">2021-01-21T03:23:07Z</dcterms:created>
  <dcterms:modified xsi:type="dcterms:W3CDTF">2025-09-23T00:53:01Z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0x0101002B60FD092171664B91D2DE22CF11D320</vt:lpwstr>
  </property>
</Properties>
</file>