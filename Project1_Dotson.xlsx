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ac7ec4673245cf28/Desktop/Data 600/Module 2/"/>
    </mc:Choice>
  </mc:AlternateContent>
  <xr:revisionPtr revIDLastSave="31" documentId="8_{2F2ABDDB-8225-4C0F-A673-277E2C84103D}" xr6:coauthVersionLast="47" xr6:coauthVersionMax="47" xr10:uidLastSave="{02E33108-11EF-4A36-981A-1526EEDA66C7}"/>
  <bookViews>
    <workbookView xWindow="-108" yWindow="-108" windowWidth="23256" windowHeight="13896" xr2:uid="{13D42F74-1979-4A13-B78E-11B4258274D4}"/>
  </bookViews>
  <sheets>
    <sheet name="Part A" sheetId="1" r:id="rId1"/>
    <sheet name="Part B" sheetId="4" r:id="rId2"/>
    <sheet name="Part C" sheetId="9" r:id="rId3"/>
    <sheet name="Part D" sheetId="3" r:id="rId4"/>
    <sheet name="Part E" sheetId="11" r:id="rId5"/>
    <sheet name="Data_Set_2" sheetId="2" r:id="rId6"/>
    <sheet name="Worksheet" sheetId="8" r:id="rId7"/>
  </sheets>
  <definedNames>
    <definedName name="_xlnm._FilterDatabase" localSheetId="1" hidden="1">'Part B'!$A$1:$A$1396</definedName>
    <definedName name="_xlnm._FilterDatabase" localSheetId="2" hidden="1">'Part C'!$A$1:$A$559</definedName>
    <definedName name="_xlnm._FilterDatabase" localSheetId="6" hidden="1">Worksheet!$A$1:$E$559</definedName>
    <definedName name="ExternalData_1" localSheetId="5" hidden="1">Data_Set_2!$A$1:$D$1001</definedName>
    <definedName name="ExternalData_1" localSheetId="3" hidden="1">'Part D'!$A$1:$P$1284</definedName>
  </definedName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 l="1"/>
  <c r="J3" i="4"/>
  <c r="J4" i="4"/>
  <c r="J5" i="4"/>
  <c r="J6" i="4"/>
  <c r="J7" i="4"/>
  <c r="J8" i="4"/>
  <c r="J9" i="4"/>
  <c r="J10" i="4"/>
  <c r="J11" i="4"/>
  <c r="J12" i="4"/>
  <c r="J13" i="4"/>
  <c r="J14" i="4"/>
  <c r="J2" i="4"/>
  <c r="I3" i="4"/>
  <c r="I4" i="4"/>
  <c r="I5" i="4"/>
  <c r="I6" i="4"/>
  <c r="I7" i="4"/>
  <c r="I8" i="4"/>
  <c r="I9" i="4"/>
  <c r="I10" i="4"/>
  <c r="I11" i="4"/>
  <c r="I12" i="4"/>
  <c r="I13" i="4"/>
  <c r="I14" i="4"/>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E6" i="8" l="1"/>
  <c r="E14" i="8"/>
  <c r="E22" i="8"/>
  <c r="E30" i="8"/>
  <c r="E38" i="8"/>
  <c r="E46" i="8"/>
  <c r="E54" i="8"/>
  <c r="E62" i="8"/>
  <c r="E70" i="8"/>
  <c r="E78" i="8"/>
  <c r="E86" i="8"/>
  <c r="E94" i="8"/>
  <c r="E102" i="8"/>
  <c r="E110" i="8"/>
  <c r="E118" i="8"/>
  <c r="E126" i="8"/>
  <c r="E134" i="8"/>
  <c r="E142" i="8"/>
  <c r="E150" i="8"/>
  <c r="E158" i="8"/>
  <c r="E166" i="8"/>
  <c r="E174" i="8"/>
  <c r="E182" i="8"/>
  <c r="E190" i="8"/>
  <c r="E198" i="8"/>
  <c r="E206" i="8"/>
  <c r="E214" i="8"/>
  <c r="E222" i="8"/>
  <c r="E230" i="8"/>
  <c r="E238" i="8"/>
  <c r="E246" i="8"/>
  <c r="E254" i="8"/>
  <c r="E262" i="8"/>
  <c r="E270" i="8"/>
  <c r="E278" i="8"/>
  <c r="E286" i="8"/>
  <c r="E294" i="8"/>
  <c r="E302" i="8"/>
  <c r="E310" i="8"/>
  <c r="E318" i="8"/>
  <c r="E326" i="8"/>
  <c r="E334" i="8"/>
  <c r="E342" i="8"/>
  <c r="E350" i="8"/>
  <c r="E358" i="8"/>
  <c r="E366" i="8"/>
  <c r="E374" i="8"/>
  <c r="E382" i="8"/>
  <c r="E390" i="8"/>
  <c r="E398" i="8"/>
  <c r="E406" i="8"/>
  <c r="E414" i="8"/>
  <c r="E422" i="8"/>
  <c r="E430" i="8"/>
  <c r="E438" i="8"/>
  <c r="E446" i="8"/>
  <c r="E454" i="8"/>
  <c r="E462" i="8"/>
  <c r="E470" i="8"/>
  <c r="E478" i="8"/>
  <c r="E486" i="8"/>
  <c r="E494" i="8"/>
  <c r="E502" i="8"/>
  <c r="E510" i="8"/>
  <c r="E518" i="8"/>
  <c r="E526" i="8"/>
  <c r="E534" i="8"/>
  <c r="E542" i="8"/>
  <c r="E550" i="8"/>
  <c r="E558" i="8"/>
  <c r="E7" i="8"/>
  <c r="E15" i="8"/>
  <c r="E23" i="8"/>
  <c r="E31" i="8"/>
  <c r="E39" i="8"/>
  <c r="E47" i="8"/>
  <c r="E55" i="8"/>
  <c r="E63" i="8"/>
  <c r="E71" i="8"/>
  <c r="E79" i="8"/>
  <c r="E87" i="8"/>
  <c r="E95" i="8"/>
  <c r="E103" i="8"/>
  <c r="E10" i="8"/>
  <c r="E20" i="8"/>
  <c r="E32" i="8"/>
  <c r="E42" i="8"/>
  <c r="E52" i="8"/>
  <c r="E64" i="8"/>
  <c r="E74" i="8"/>
  <c r="E84" i="8"/>
  <c r="E96" i="8"/>
  <c r="E106" i="8"/>
  <c r="E115" i="8"/>
  <c r="E124" i="8"/>
  <c r="E133" i="8"/>
  <c r="E143" i="8"/>
  <c r="E152" i="8"/>
  <c r="E161" i="8"/>
  <c r="E170" i="8"/>
  <c r="E179" i="8"/>
  <c r="E188" i="8"/>
  <c r="E197" i="8"/>
  <c r="E207" i="8"/>
  <c r="E216" i="8"/>
  <c r="E225" i="8"/>
  <c r="E234" i="8"/>
  <c r="E243" i="8"/>
  <c r="E252" i="8"/>
  <c r="E261" i="8"/>
  <c r="E271" i="8"/>
  <c r="E280" i="8"/>
  <c r="E289" i="8"/>
  <c r="E298" i="8"/>
  <c r="E307" i="8"/>
  <c r="E316" i="8"/>
  <c r="E325" i="8"/>
  <c r="E335" i="8"/>
  <c r="E344" i="8"/>
  <c r="E353" i="8"/>
  <c r="E362" i="8"/>
  <c r="E371" i="8"/>
  <c r="E380" i="8"/>
  <c r="E389" i="8"/>
  <c r="E399" i="8"/>
  <c r="E408" i="8"/>
  <c r="E417" i="8"/>
  <c r="E426" i="8"/>
  <c r="E435" i="8"/>
  <c r="E444" i="8"/>
  <c r="E453" i="8"/>
  <c r="E463" i="8"/>
  <c r="E472" i="8"/>
  <c r="E481" i="8"/>
  <c r="E490" i="8"/>
  <c r="E499" i="8"/>
  <c r="E508" i="8"/>
  <c r="E517" i="8"/>
  <c r="E527" i="8"/>
  <c r="E536" i="8"/>
  <c r="E545" i="8"/>
  <c r="E554" i="8"/>
  <c r="E11" i="8"/>
  <c r="E21" i="8"/>
  <c r="E33" i="8"/>
  <c r="E43" i="8"/>
  <c r="E53" i="8"/>
  <c r="E65" i="8"/>
  <c r="E75" i="8"/>
  <c r="E85" i="8"/>
  <c r="E97" i="8"/>
  <c r="E107" i="8"/>
  <c r="E116" i="8"/>
  <c r="E125" i="8"/>
  <c r="E135" i="8"/>
  <c r="E144" i="8"/>
  <c r="E153" i="8"/>
  <c r="E162" i="8"/>
  <c r="E171" i="8"/>
  <c r="E180" i="8"/>
  <c r="E189" i="8"/>
  <c r="E199" i="8"/>
  <c r="E208" i="8"/>
  <c r="E217" i="8"/>
  <c r="E226" i="8"/>
  <c r="E235" i="8"/>
  <c r="E244" i="8"/>
  <c r="E253" i="8"/>
  <c r="E263" i="8"/>
  <c r="E272" i="8"/>
  <c r="E281" i="8"/>
  <c r="E290" i="8"/>
  <c r="E299" i="8"/>
  <c r="E308" i="8"/>
  <c r="E317" i="8"/>
  <c r="E327" i="8"/>
  <c r="E336" i="8"/>
  <c r="E345" i="8"/>
  <c r="E354" i="8"/>
  <c r="E363" i="8"/>
  <c r="E372" i="8"/>
  <c r="E381" i="8"/>
  <c r="E391" i="8"/>
  <c r="E400" i="8"/>
  <c r="E409" i="8"/>
  <c r="E418" i="8"/>
  <c r="E427" i="8"/>
  <c r="E436" i="8"/>
  <c r="E445" i="8"/>
  <c r="E455" i="8"/>
  <c r="E464" i="8"/>
  <c r="E473" i="8"/>
  <c r="E482" i="8"/>
  <c r="E491" i="8"/>
  <c r="E500" i="8"/>
  <c r="E509" i="8"/>
  <c r="E519" i="8"/>
  <c r="E528" i="8"/>
  <c r="E537" i="8"/>
  <c r="E546" i="8"/>
  <c r="E555" i="8"/>
  <c r="E12" i="8"/>
  <c r="E24" i="8"/>
  <c r="E34" i="8"/>
  <c r="E44" i="8"/>
  <c r="E56" i="8"/>
  <c r="E66" i="8"/>
  <c r="E76" i="8"/>
  <c r="E88" i="8"/>
  <c r="E98" i="8"/>
  <c r="E108" i="8"/>
  <c r="E117" i="8"/>
  <c r="E127" i="8"/>
  <c r="E136" i="8"/>
  <c r="E145" i="8"/>
  <c r="E154" i="8"/>
  <c r="E163" i="8"/>
  <c r="E172" i="8"/>
  <c r="E181" i="8"/>
  <c r="E191" i="8"/>
  <c r="E200" i="8"/>
  <c r="E209" i="8"/>
  <c r="E218" i="8"/>
  <c r="E227" i="8"/>
  <c r="E236" i="8"/>
  <c r="E245" i="8"/>
  <c r="E255" i="8"/>
  <c r="E264" i="8"/>
  <c r="E273" i="8"/>
  <c r="E282" i="8"/>
  <c r="E291" i="8"/>
  <c r="E300" i="8"/>
  <c r="E309" i="8"/>
  <c r="E319" i="8"/>
  <c r="E328" i="8"/>
  <c r="E337" i="8"/>
  <c r="E346" i="8"/>
  <c r="E355" i="8"/>
  <c r="E364" i="8"/>
  <c r="E373" i="8"/>
  <c r="E383" i="8"/>
  <c r="E392" i="8"/>
  <c r="E401" i="8"/>
  <c r="E410" i="8"/>
  <c r="E419" i="8"/>
  <c r="E428" i="8"/>
  <c r="E437" i="8"/>
  <c r="E447" i="8"/>
  <c r="E456" i="8"/>
  <c r="E465" i="8"/>
  <c r="E3" i="8"/>
  <c r="E18" i="8"/>
  <c r="E36" i="8"/>
  <c r="E51" i="8"/>
  <c r="E69" i="8"/>
  <c r="E89" i="8"/>
  <c r="E104" i="8"/>
  <c r="E120" i="8"/>
  <c r="E132" i="8"/>
  <c r="E148" i="8"/>
  <c r="E164" i="8"/>
  <c r="E177" i="8"/>
  <c r="E193" i="8"/>
  <c r="E205" i="8"/>
  <c r="E221" i="8"/>
  <c r="E237" i="8"/>
  <c r="E250" i="8"/>
  <c r="E266" i="8"/>
  <c r="E279" i="8"/>
  <c r="E295" i="8"/>
  <c r="E311" i="8"/>
  <c r="E323" i="8"/>
  <c r="E339" i="8"/>
  <c r="E352" i="8"/>
  <c r="E368" i="8"/>
  <c r="E384" i="8"/>
  <c r="E396" i="8"/>
  <c r="E412" i="8"/>
  <c r="E425" i="8"/>
  <c r="E441" i="8"/>
  <c r="E457" i="8"/>
  <c r="E469" i="8"/>
  <c r="E483" i="8"/>
  <c r="E495" i="8"/>
  <c r="E506" i="8"/>
  <c r="E520" i="8"/>
  <c r="E531" i="8"/>
  <c r="E543" i="8"/>
  <c r="E556" i="8"/>
  <c r="E4" i="8"/>
  <c r="E19" i="8"/>
  <c r="E37" i="8"/>
  <c r="E57" i="8"/>
  <c r="E72" i="8"/>
  <c r="E90" i="8"/>
  <c r="E105" i="8"/>
  <c r="E121" i="8"/>
  <c r="E137" i="8"/>
  <c r="E149" i="8"/>
  <c r="E165" i="8"/>
  <c r="E178" i="8"/>
  <c r="E194" i="8"/>
  <c r="E210" i="8"/>
  <c r="E223" i="8"/>
  <c r="E239" i="8"/>
  <c r="E251" i="8"/>
  <c r="E267" i="8"/>
  <c r="E283" i="8"/>
  <c r="E296" i="8"/>
  <c r="E312" i="8"/>
  <c r="E324" i="8"/>
  <c r="E340" i="8"/>
  <c r="E356" i="8"/>
  <c r="E369" i="8"/>
  <c r="E385" i="8"/>
  <c r="E397" i="8"/>
  <c r="E413" i="8"/>
  <c r="E429" i="8"/>
  <c r="E442" i="8"/>
  <c r="E458" i="8"/>
  <c r="E471" i="8"/>
  <c r="E484" i="8"/>
  <c r="E496" i="8"/>
  <c r="E507" i="8"/>
  <c r="E521" i="8"/>
  <c r="E532" i="8"/>
  <c r="E544" i="8"/>
  <c r="E557" i="8"/>
  <c r="E5" i="8"/>
  <c r="E25" i="8"/>
  <c r="E40" i="8"/>
  <c r="E58" i="8"/>
  <c r="E73" i="8"/>
  <c r="E91" i="8"/>
  <c r="E109" i="8"/>
  <c r="E122" i="8"/>
  <c r="E138" i="8"/>
  <c r="E151" i="8"/>
  <c r="E167" i="8"/>
  <c r="E183" i="8"/>
  <c r="E195" i="8"/>
  <c r="E211" i="8"/>
  <c r="E224" i="8"/>
  <c r="E240" i="8"/>
  <c r="E256" i="8"/>
  <c r="E268" i="8"/>
  <c r="E284" i="8"/>
  <c r="E297" i="8"/>
  <c r="E313" i="8"/>
  <c r="E329" i="8"/>
  <c r="E341" i="8"/>
  <c r="E357" i="8"/>
  <c r="E370" i="8"/>
  <c r="E386" i="8"/>
  <c r="E402" i="8"/>
  <c r="E415" i="8"/>
  <c r="E431" i="8"/>
  <c r="E443" i="8"/>
  <c r="E459" i="8"/>
  <c r="E474" i="8"/>
  <c r="E485" i="8"/>
  <c r="E497" i="8"/>
  <c r="E511" i="8"/>
  <c r="E522" i="8"/>
  <c r="E533" i="8"/>
  <c r="E547" i="8"/>
  <c r="E559" i="8"/>
  <c r="E8" i="8"/>
  <c r="E26" i="8"/>
  <c r="E41" i="8"/>
  <c r="E59" i="8"/>
  <c r="E77" i="8"/>
  <c r="E92" i="8"/>
  <c r="E111" i="8"/>
  <c r="E123" i="8"/>
  <c r="E139" i="8"/>
  <c r="E155" i="8"/>
  <c r="E168" i="8"/>
  <c r="E184" i="8"/>
  <c r="E196" i="8"/>
  <c r="E212" i="8"/>
  <c r="E228" i="8"/>
  <c r="E241" i="8"/>
  <c r="E257" i="8"/>
  <c r="E269" i="8"/>
  <c r="E285" i="8"/>
  <c r="E301" i="8"/>
  <c r="E314" i="8"/>
  <c r="E330" i="8"/>
  <c r="E343" i="8"/>
  <c r="E359" i="8"/>
  <c r="E375" i="8"/>
  <c r="E387" i="8"/>
  <c r="E403" i="8"/>
  <c r="E416" i="8"/>
  <c r="E432" i="8"/>
  <c r="E448" i="8"/>
  <c r="E460" i="8"/>
  <c r="E475" i="8"/>
  <c r="E487" i="8"/>
  <c r="E498" i="8"/>
  <c r="E512" i="8"/>
  <c r="E523" i="8"/>
  <c r="E535" i="8"/>
  <c r="E548" i="8"/>
  <c r="E2" i="8"/>
  <c r="E9" i="8"/>
  <c r="E27" i="8"/>
  <c r="E45" i="8"/>
  <c r="E60" i="8"/>
  <c r="E80" i="8"/>
  <c r="E93" i="8"/>
  <c r="E112" i="8"/>
  <c r="E128" i="8"/>
  <c r="E140" i="8"/>
  <c r="E156" i="8"/>
  <c r="E169" i="8"/>
  <c r="E185" i="8"/>
  <c r="E201" i="8"/>
  <c r="E213" i="8"/>
  <c r="E229" i="8"/>
  <c r="E242" i="8"/>
  <c r="E258" i="8"/>
  <c r="E274" i="8"/>
  <c r="E287" i="8"/>
  <c r="E303" i="8"/>
  <c r="E315" i="8"/>
  <c r="E331" i="8"/>
  <c r="E347" i="8"/>
  <c r="E360" i="8"/>
  <c r="E376" i="8"/>
  <c r="E388" i="8"/>
  <c r="E404" i="8"/>
  <c r="E420" i="8"/>
  <c r="E433" i="8"/>
  <c r="E449" i="8"/>
  <c r="E461" i="8"/>
  <c r="E476" i="8"/>
  <c r="E488" i="8"/>
  <c r="E501" i="8"/>
  <c r="E513" i="8"/>
  <c r="E524" i="8"/>
  <c r="E538" i="8"/>
  <c r="E549" i="8"/>
  <c r="E13" i="8"/>
  <c r="E28" i="8"/>
  <c r="E48" i="8"/>
  <c r="E61" i="8"/>
  <c r="E81" i="8"/>
  <c r="E99" i="8"/>
  <c r="E113" i="8"/>
  <c r="E129" i="8"/>
  <c r="E141" i="8"/>
  <c r="E157" i="8"/>
  <c r="E173" i="8"/>
  <c r="E186" i="8"/>
  <c r="E202" i="8"/>
  <c r="E215" i="8"/>
  <c r="E231" i="8"/>
  <c r="E247" i="8"/>
  <c r="E259" i="8"/>
  <c r="E275" i="8"/>
  <c r="E288" i="8"/>
  <c r="E304" i="8"/>
  <c r="E320" i="8"/>
  <c r="E332" i="8"/>
  <c r="E348" i="8"/>
  <c r="E361" i="8"/>
  <c r="E377" i="8"/>
  <c r="E393" i="8"/>
  <c r="E405" i="8"/>
  <c r="E421" i="8"/>
  <c r="E434" i="8"/>
  <c r="E450" i="8"/>
  <c r="E466" i="8"/>
  <c r="E477" i="8"/>
  <c r="E489" i="8"/>
  <c r="E503" i="8"/>
  <c r="E514" i="8"/>
  <c r="E525" i="8"/>
  <c r="E539" i="8"/>
  <c r="E551" i="8"/>
  <c r="E16" i="8"/>
  <c r="E29" i="8"/>
  <c r="E49" i="8"/>
  <c r="E67" i="8"/>
  <c r="E82" i="8"/>
  <c r="E100" i="8"/>
  <c r="E114" i="8"/>
  <c r="E130" i="8"/>
  <c r="E146" i="8"/>
  <c r="E159" i="8"/>
  <c r="E175" i="8"/>
  <c r="E187" i="8"/>
  <c r="E203" i="8"/>
  <c r="E219" i="8"/>
  <c r="E232" i="8"/>
  <c r="E248" i="8"/>
  <c r="E260" i="8"/>
  <c r="E276" i="8"/>
  <c r="E292" i="8"/>
  <c r="E305" i="8"/>
  <c r="E321" i="8"/>
  <c r="E333" i="8"/>
  <c r="E349" i="8"/>
  <c r="E365" i="8"/>
  <c r="E378" i="8"/>
  <c r="E394" i="8"/>
  <c r="E407" i="8"/>
  <c r="E423" i="8"/>
  <c r="E439" i="8"/>
  <c r="E451" i="8"/>
  <c r="E467" i="8"/>
  <c r="E479" i="8"/>
  <c r="E492" i="8"/>
  <c r="E504" i="8"/>
  <c r="E515" i="8"/>
  <c r="E529" i="8"/>
  <c r="E540" i="8"/>
  <c r="E552" i="8"/>
  <c r="E17" i="8"/>
  <c r="E35" i="8"/>
  <c r="E50" i="8"/>
  <c r="E68" i="8"/>
  <c r="E83" i="8"/>
  <c r="E101" i="8"/>
  <c r="E119" i="8"/>
  <c r="E131" i="8"/>
  <c r="E147" i="8"/>
  <c r="E160" i="8"/>
  <c r="E176" i="8"/>
  <c r="E192" i="8"/>
  <c r="E204" i="8"/>
  <c r="E220" i="8"/>
  <c r="E233" i="8"/>
  <c r="E249" i="8"/>
  <c r="E265" i="8"/>
  <c r="E277" i="8"/>
  <c r="E293" i="8"/>
  <c r="E306" i="8"/>
  <c r="E322" i="8"/>
  <c r="E338" i="8"/>
  <c r="E351" i="8"/>
  <c r="E367" i="8"/>
  <c r="E379" i="8"/>
  <c r="E395" i="8"/>
  <c r="E411" i="8"/>
  <c r="E424" i="8"/>
  <c r="E440" i="8"/>
  <c r="E452" i="8"/>
  <c r="E468" i="8"/>
  <c r="E480" i="8"/>
  <c r="E493" i="8"/>
  <c r="E505" i="8"/>
  <c r="E516" i="8"/>
  <c r="E530" i="8"/>
  <c r="E541" i="8"/>
  <c r="E553" i="8"/>
  <c r="D65" i="8"/>
  <c r="D22" i="8"/>
  <c r="D383" i="8"/>
  <c r="D333" i="8"/>
  <c r="D293" i="8"/>
  <c r="D238" i="8"/>
  <c r="D549" i="8"/>
  <c r="D175" i="8"/>
  <c r="D516" i="8"/>
  <c r="D129" i="8"/>
  <c r="D68" i="8"/>
  <c r="D470" i="8"/>
  <c r="D377" i="8"/>
  <c r="D174" i="8"/>
  <c r="D430" i="8"/>
  <c r="D536" i="8"/>
  <c r="D503" i="8"/>
  <c r="D366" i="8"/>
  <c r="D329" i="8"/>
  <c r="D173" i="8"/>
  <c r="D47" i="8"/>
  <c r="D535" i="8"/>
  <c r="D415" i="8"/>
  <c r="D365" i="8"/>
  <c r="D278" i="8"/>
  <c r="D216" i="8"/>
  <c r="D153" i="8"/>
  <c r="D46" i="8"/>
  <c r="D534" i="8"/>
  <c r="D501" i="8"/>
  <c r="D449" i="8"/>
  <c r="D399" i="8"/>
  <c r="D364" i="8"/>
  <c r="D312" i="8"/>
  <c r="D261" i="8"/>
  <c r="D215" i="8"/>
  <c r="D152" i="8"/>
  <c r="D89" i="8"/>
  <c r="D45" i="8"/>
  <c r="D533" i="8"/>
  <c r="D485" i="8"/>
  <c r="D448" i="8"/>
  <c r="D398" i="8"/>
  <c r="D351" i="8"/>
  <c r="D311" i="8"/>
  <c r="D260" i="8"/>
  <c r="D197" i="8"/>
  <c r="D151" i="8"/>
  <c r="D88" i="8"/>
  <c r="D469" i="8"/>
  <c r="D280" i="8"/>
  <c r="D111" i="8"/>
  <c r="D390" i="8"/>
  <c r="D400" i="8"/>
  <c r="D412" i="8"/>
  <c r="D422" i="8"/>
  <c r="D432" i="8"/>
  <c r="D444" i="8"/>
  <c r="D454" i="8"/>
  <c r="D464" i="8"/>
  <c r="D476" i="8"/>
  <c r="D486" i="8"/>
  <c r="D496" i="8"/>
  <c r="D508" i="8"/>
  <c r="D518" i="8"/>
  <c r="D528" i="8"/>
  <c r="D540" i="8"/>
  <c r="D550" i="8"/>
  <c r="D2" i="8"/>
  <c r="D105" i="8"/>
  <c r="D25" i="8"/>
  <c r="D136" i="8"/>
  <c r="D158" i="8"/>
  <c r="D168" i="8"/>
  <c r="D190" i="8"/>
  <c r="D222" i="8"/>
  <c r="D254" i="8"/>
  <c r="D264" i="8"/>
  <c r="D296" i="8"/>
  <c r="D308" i="8"/>
  <c r="D340" i="8"/>
  <c r="D372" i="8"/>
  <c r="D404" i="8"/>
  <c r="D414" i="8"/>
  <c r="D446" i="8"/>
  <c r="D456" i="8"/>
  <c r="D488" i="8"/>
  <c r="D500" i="8"/>
  <c r="D532" i="8"/>
  <c r="D542" i="8"/>
  <c r="D15" i="8"/>
  <c r="D40" i="8"/>
  <c r="D73" i="8"/>
  <c r="D85" i="8"/>
  <c r="D127" i="8"/>
  <c r="D137" i="8"/>
  <c r="D169" i="8"/>
  <c r="D191" i="8"/>
  <c r="D201" i="8"/>
  <c r="D233" i="8"/>
  <c r="D245" i="8"/>
  <c r="D14" i="8"/>
  <c r="D39" i="8"/>
  <c r="D52" i="8"/>
  <c r="D62" i="8"/>
  <c r="D72" i="8"/>
  <c r="D84" i="8"/>
  <c r="D94" i="8"/>
  <c r="D104" i="8"/>
  <c r="D116" i="8"/>
  <c r="D126" i="8"/>
  <c r="D148" i="8"/>
  <c r="D180" i="8"/>
  <c r="D200" i="8"/>
  <c r="D212" i="8"/>
  <c r="D232" i="8"/>
  <c r="D244" i="8"/>
  <c r="D276" i="8"/>
  <c r="D286" i="8"/>
  <c r="D318" i="8"/>
  <c r="D328" i="8"/>
  <c r="D350" i="8"/>
  <c r="D360" i="8"/>
  <c r="D382" i="8"/>
  <c r="D392" i="8"/>
  <c r="D424" i="8"/>
  <c r="D436" i="8"/>
  <c r="D468" i="8"/>
  <c r="D478" i="8"/>
  <c r="D510" i="8"/>
  <c r="D520" i="8"/>
  <c r="D552" i="8"/>
  <c r="D29" i="8"/>
  <c r="D53" i="8"/>
  <c r="D63" i="8"/>
  <c r="D95" i="8"/>
  <c r="D117" i="8"/>
  <c r="D149" i="8"/>
  <c r="D159" i="8"/>
  <c r="D181" i="8"/>
  <c r="D213" i="8"/>
  <c r="D223" i="8"/>
  <c r="D255" i="8"/>
  <c r="D265" i="8"/>
  <c r="D5" i="8"/>
  <c r="D30" i="8"/>
  <c r="D54" i="8"/>
  <c r="D76" i="8"/>
  <c r="D96" i="8"/>
  <c r="D118" i="8"/>
  <c r="D140" i="8"/>
  <c r="D160" i="8"/>
  <c r="D182" i="8"/>
  <c r="D204" i="8"/>
  <c r="D224" i="8"/>
  <c r="D246" i="8"/>
  <c r="D268" i="8"/>
  <c r="D281" i="8"/>
  <c r="D301" i="8"/>
  <c r="D319" i="8"/>
  <c r="D334" i="8"/>
  <c r="D352" i="8"/>
  <c r="D367" i="8"/>
  <c r="D385" i="8"/>
  <c r="D405" i="8"/>
  <c r="D420" i="8"/>
  <c r="D438" i="8"/>
  <c r="D453" i="8"/>
  <c r="D471" i="8"/>
  <c r="D489" i="8"/>
  <c r="D504" i="8"/>
  <c r="D524" i="8"/>
  <c r="D537" i="8"/>
  <c r="D557" i="8"/>
  <c r="D6" i="8"/>
  <c r="D31" i="8"/>
  <c r="D55" i="8"/>
  <c r="D77" i="8"/>
  <c r="D97" i="8"/>
  <c r="D119" i="8"/>
  <c r="D141" i="8"/>
  <c r="D161" i="8"/>
  <c r="D183" i="8"/>
  <c r="D205" i="8"/>
  <c r="D225" i="8"/>
  <c r="D247" i="8"/>
  <c r="D269" i="8"/>
  <c r="D287" i="8"/>
  <c r="D302" i="8"/>
  <c r="D320" i="8"/>
  <c r="D335" i="8"/>
  <c r="D353" i="8"/>
  <c r="D373" i="8"/>
  <c r="D388" i="8"/>
  <c r="D406" i="8"/>
  <c r="D421" i="8"/>
  <c r="D439" i="8"/>
  <c r="D457" i="8"/>
  <c r="D472" i="8"/>
  <c r="D492" i="8"/>
  <c r="D505" i="8"/>
  <c r="D525" i="8"/>
  <c r="D543" i="8"/>
  <c r="D558" i="8"/>
  <c r="D7" i="8"/>
  <c r="D32" i="8"/>
  <c r="D56" i="8"/>
  <c r="D78" i="8"/>
  <c r="D100" i="8"/>
  <c r="D120" i="8"/>
  <c r="D142" i="8"/>
  <c r="D164" i="8"/>
  <c r="D184" i="8"/>
  <c r="D206" i="8"/>
  <c r="D228" i="8"/>
  <c r="D248" i="8"/>
  <c r="D270" i="8"/>
  <c r="D288" i="8"/>
  <c r="D303" i="8"/>
  <c r="D321" i="8"/>
  <c r="D341" i="8"/>
  <c r="D356" i="8"/>
  <c r="D374" i="8"/>
  <c r="D389" i="8"/>
  <c r="D407" i="8"/>
  <c r="D425" i="8"/>
  <c r="D440" i="8"/>
  <c r="D460" i="8"/>
  <c r="D473" i="8"/>
  <c r="D493" i="8"/>
  <c r="D511" i="8"/>
  <c r="D526" i="8"/>
  <c r="D544" i="8"/>
  <c r="D559" i="8"/>
  <c r="D8" i="8"/>
  <c r="D33" i="8"/>
  <c r="D57" i="8"/>
  <c r="D79" i="8"/>
  <c r="D101" i="8"/>
  <c r="D121" i="8"/>
  <c r="D143" i="8"/>
  <c r="D165" i="8"/>
  <c r="D185" i="8"/>
  <c r="D207" i="8"/>
  <c r="D229" i="8"/>
  <c r="D249" i="8"/>
  <c r="D271" i="8"/>
  <c r="D289" i="8"/>
  <c r="D309" i="8"/>
  <c r="D324" i="8"/>
  <c r="D342" i="8"/>
  <c r="D357" i="8"/>
  <c r="D375" i="8"/>
  <c r="D393" i="8"/>
  <c r="D408" i="8"/>
  <c r="D428" i="8"/>
  <c r="D441" i="8"/>
  <c r="D461" i="8"/>
  <c r="D479" i="8"/>
  <c r="D494" i="8"/>
  <c r="D512" i="8"/>
  <c r="D527" i="8"/>
  <c r="D545" i="8"/>
  <c r="D16" i="8"/>
  <c r="D41" i="8"/>
  <c r="D64" i="8"/>
  <c r="D86" i="8"/>
  <c r="D108" i="8"/>
  <c r="D128" i="8"/>
  <c r="D150" i="8"/>
  <c r="D172" i="8"/>
  <c r="D192" i="8"/>
  <c r="D214" i="8"/>
  <c r="D236" i="8"/>
  <c r="D256" i="8"/>
  <c r="D277" i="8"/>
  <c r="D292" i="8"/>
  <c r="D310" i="8"/>
  <c r="D325" i="8"/>
  <c r="D343" i="8"/>
  <c r="D361" i="8"/>
  <c r="D376" i="8"/>
  <c r="D396" i="8"/>
  <c r="D409" i="8"/>
  <c r="D429" i="8"/>
  <c r="D447" i="8"/>
  <c r="D462" i="8"/>
  <c r="D480" i="8"/>
  <c r="D495" i="8"/>
  <c r="D463" i="8"/>
  <c r="D416" i="8"/>
  <c r="D279" i="8"/>
  <c r="D217" i="8"/>
  <c r="D110" i="8"/>
  <c r="D502" i="8"/>
  <c r="D452" i="8"/>
  <c r="D313" i="8"/>
  <c r="D109" i="8"/>
  <c r="D556" i="8"/>
  <c r="D521" i="8"/>
  <c r="D484" i="8"/>
  <c r="D437" i="8"/>
  <c r="D397" i="8"/>
  <c r="D345" i="8"/>
  <c r="D300" i="8"/>
  <c r="D257" i="8"/>
  <c r="D196" i="8"/>
  <c r="D133" i="8"/>
  <c r="D87" i="8"/>
  <c r="D21" i="8"/>
  <c r="D548" i="8"/>
  <c r="D513" i="8"/>
  <c r="D417" i="8"/>
  <c r="D332" i="8"/>
  <c r="D237" i="8"/>
  <c r="D553" i="8"/>
  <c r="D517" i="8"/>
  <c r="D481" i="8"/>
  <c r="D431" i="8"/>
  <c r="D384" i="8"/>
  <c r="D344" i="8"/>
  <c r="D297" i="8"/>
  <c r="D239" i="8"/>
  <c r="D193" i="8"/>
  <c r="D132" i="8"/>
  <c r="D69" i="8"/>
  <c r="D17" i="8"/>
  <c r="D10" i="8"/>
  <c r="D18" i="8"/>
  <c r="D26" i="8"/>
  <c r="D34" i="8"/>
  <c r="D42" i="8"/>
  <c r="D50" i="8"/>
  <c r="D58" i="8"/>
  <c r="D66" i="8"/>
  <c r="D74" i="8"/>
  <c r="D82" i="8"/>
  <c r="D90" i="8"/>
  <c r="D98" i="8"/>
  <c r="D106" i="8"/>
  <c r="D114" i="8"/>
  <c r="D122" i="8"/>
  <c r="D130" i="8"/>
  <c r="D138" i="8"/>
  <c r="D146" i="8"/>
  <c r="D154" i="8"/>
  <c r="D162" i="8"/>
  <c r="D170" i="8"/>
  <c r="D178" i="8"/>
  <c r="D186" i="8"/>
  <c r="D194" i="8"/>
  <c r="D202" i="8"/>
  <c r="D210" i="8"/>
  <c r="D218" i="8"/>
  <c r="D226" i="8"/>
  <c r="D234" i="8"/>
  <c r="D242" i="8"/>
  <c r="D250" i="8"/>
  <c r="D258" i="8"/>
  <c r="D266" i="8"/>
  <c r="D274" i="8"/>
  <c r="D282" i="8"/>
  <c r="D290" i="8"/>
  <c r="D298" i="8"/>
  <c r="D306" i="8"/>
  <c r="D314" i="8"/>
  <c r="D322" i="8"/>
  <c r="D330" i="8"/>
  <c r="D338" i="8"/>
  <c r="D346" i="8"/>
  <c r="D354" i="8"/>
  <c r="D362" i="8"/>
  <c r="D370" i="8"/>
  <c r="D378" i="8"/>
  <c r="D386" i="8"/>
  <c r="D394" i="8"/>
  <c r="D402" i="8"/>
  <c r="D410" i="8"/>
  <c r="D418" i="8"/>
  <c r="D426" i="8"/>
  <c r="D434" i="8"/>
  <c r="D442" i="8"/>
  <c r="D450" i="8"/>
  <c r="D458" i="8"/>
  <c r="D466" i="8"/>
  <c r="D474" i="8"/>
  <c r="D482" i="8"/>
  <c r="D490" i="8"/>
  <c r="D498" i="8"/>
  <c r="D506" i="8"/>
  <c r="D514" i="8"/>
  <c r="D522" i="8"/>
  <c r="D530" i="8"/>
  <c r="D538" i="8"/>
  <c r="D546" i="8"/>
  <c r="D554" i="8"/>
  <c r="D4" i="8"/>
  <c r="D12" i="8"/>
  <c r="D20" i="8"/>
  <c r="D28" i="8"/>
  <c r="D36" i="8"/>
  <c r="D44" i="8"/>
  <c r="D3" i="8"/>
  <c r="D11" i="8"/>
  <c r="D19" i="8"/>
  <c r="D27" i="8"/>
  <c r="D35" i="8"/>
  <c r="D43" i="8"/>
  <c r="D51" i="8"/>
  <c r="D59" i="8"/>
  <c r="D67" i="8"/>
  <c r="D75" i="8"/>
  <c r="D83" i="8"/>
  <c r="D91" i="8"/>
  <c r="D99" i="8"/>
  <c r="D107" i="8"/>
  <c r="D115" i="8"/>
  <c r="D123" i="8"/>
  <c r="D131" i="8"/>
  <c r="D139" i="8"/>
  <c r="D147" i="8"/>
  <c r="D155" i="8"/>
  <c r="D163" i="8"/>
  <c r="D171" i="8"/>
  <c r="D179" i="8"/>
  <c r="D187" i="8"/>
  <c r="D195" i="8"/>
  <c r="D203" i="8"/>
  <c r="D211" i="8"/>
  <c r="D219" i="8"/>
  <c r="D227" i="8"/>
  <c r="D235" i="8"/>
  <c r="D243" i="8"/>
  <c r="D251" i="8"/>
  <c r="D259" i="8"/>
  <c r="D267" i="8"/>
  <c r="D275" i="8"/>
  <c r="D283" i="8"/>
  <c r="D291" i="8"/>
  <c r="D299" i="8"/>
  <c r="D307" i="8"/>
  <c r="D315" i="8"/>
  <c r="D323" i="8"/>
  <c r="D331" i="8"/>
  <c r="D339" i="8"/>
  <c r="D347" i="8"/>
  <c r="D355" i="8"/>
  <c r="D363" i="8"/>
  <c r="D371" i="8"/>
  <c r="D379" i="8"/>
  <c r="D387" i="8"/>
  <c r="D395" i="8"/>
  <c r="D403" i="8"/>
  <c r="D411" i="8"/>
  <c r="D419" i="8"/>
  <c r="D427" i="8"/>
  <c r="D435" i="8"/>
  <c r="D443" i="8"/>
  <c r="D451" i="8"/>
  <c r="D459" i="8"/>
  <c r="D467" i="8"/>
  <c r="D475" i="8"/>
  <c r="D483" i="8"/>
  <c r="D491" i="8"/>
  <c r="D499" i="8"/>
  <c r="D507" i="8"/>
  <c r="D515" i="8"/>
  <c r="D523" i="8"/>
  <c r="D531" i="8"/>
  <c r="D539" i="8"/>
  <c r="D547" i="8"/>
  <c r="D555" i="8"/>
  <c r="D551" i="8"/>
  <c r="D541" i="8"/>
  <c r="D529" i="8"/>
  <c r="D519" i="8"/>
  <c r="D509" i="8"/>
  <c r="D497" i="8"/>
  <c r="D487" i="8"/>
  <c r="D477" i="8"/>
  <c r="D465" i="8"/>
  <c r="D455" i="8"/>
  <c r="D445" i="8"/>
  <c r="D433" i="8"/>
  <c r="D423" i="8"/>
  <c r="D413" i="8"/>
  <c r="D401" i="8"/>
  <c r="D391" i="8"/>
  <c r="D381" i="8"/>
  <c r="D369" i="8"/>
  <c r="D359" i="8"/>
  <c r="D349" i="8"/>
  <c r="D337" i="8"/>
  <c r="D327" i="8"/>
  <c r="D317" i="8"/>
  <c r="D305" i="8"/>
  <c r="D295" i="8"/>
  <c r="D285" i="8"/>
  <c r="D273" i="8"/>
  <c r="D263" i="8"/>
  <c r="D253" i="8"/>
  <c r="D241" i="8"/>
  <c r="D231" i="8"/>
  <c r="D221" i="8"/>
  <c r="D209" i="8"/>
  <c r="D199" i="8"/>
  <c r="D189" i="8"/>
  <c r="D177" i="8"/>
  <c r="D167" i="8"/>
  <c r="D157" i="8"/>
  <c r="D145" i="8"/>
  <c r="D135" i="8"/>
  <c r="D125" i="8"/>
  <c r="D113" i="8"/>
  <c r="D103" i="8"/>
  <c r="D93" i="8"/>
  <c r="D81" i="8"/>
  <c r="D71" i="8"/>
  <c r="D61" i="8"/>
  <c r="D49" i="8"/>
  <c r="D38" i="8"/>
  <c r="D24" i="8"/>
  <c r="D13" i="8"/>
  <c r="D380" i="8"/>
  <c r="D368" i="8"/>
  <c r="D358" i="8"/>
  <c r="D348" i="8"/>
  <c r="D336" i="8"/>
  <c r="D326" i="8"/>
  <c r="D316" i="8"/>
  <c r="D304" i="8"/>
  <c r="D294" i="8"/>
  <c r="D284" i="8"/>
  <c r="D272" i="8"/>
  <c r="D262" i="8"/>
  <c r="D252" i="8"/>
  <c r="D240" i="8"/>
  <c r="D230" i="8"/>
  <c r="D220" i="8"/>
  <c r="D208" i="8"/>
  <c r="D198" i="8"/>
  <c r="D188" i="8"/>
  <c r="D176" i="8"/>
  <c r="D166" i="8"/>
  <c r="D156" i="8"/>
  <c r="D144" i="8"/>
  <c r="D134" i="8"/>
  <c r="D124" i="8"/>
  <c r="D112" i="8"/>
  <c r="D102" i="8"/>
  <c r="D92" i="8"/>
  <c r="D80" i="8"/>
  <c r="D70" i="8"/>
  <c r="D60" i="8"/>
  <c r="D48" i="8"/>
  <c r="D37" i="8"/>
  <c r="D23" i="8"/>
  <c r="D9" i="8"/>
  <c r="C103" i="8"/>
  <c r="C276" i="8"/>
  <c r="C45" i="8"/>
  <c r="C331" i="8"/>
  <c r="C162" i="8"/>
  <c r="C159" i="8"/>
  <c r="C107" i="8"/>
  <c r="C106" i="8"/>
  <c r="C21" i="8"/>
  <c r="B346" i="8"/>
  <c r="B86" i="8"/>
  <c r="C435" i="8"/>
  <c r="B345" i="8"/>
  <c r="B428" i="8"/>
  <c r="C44" i="8"/>
  <c r="B520" i="8"/>
  <c r="B435" i="8"/>
  <c r="B372" i="8"/>
  <c r="B288" i="8"/>
  <c r="B188" i="8"/>
  <c r="B115" i="8"/>
  <c r="B5" i="8"/>
  <c r="C439" i="8"/>
  <c r="B518" i="8"/>
  <c r="B434" i="8"/>
  <c r="B283" i="8"/>
  <c r="B187" i="8"/>
  <c r="B4" i="8"/>
  <c r="C277" i="8"/>
  <c r="B492" i="8"/>
  <c r="B429" i="8"/>
  <c r="B259" i="8"/>
  <c r="B186" i="8"/>
  <c r="B80" i="8"/>
  <c r="C526" i="8"/>
  <c r="C434" i="8"/>
  <c r="B491" i="8"/>
  <c r="B406" i="8"/>
  <c r="B344" i="8"/>
  <c r="B253" i="8"/>
  <c r="B155" i="8"/>
  <c r="B79" i="8"/>
  <c r="C525" i="8"/>
  <c r="C391" i="8"/>
  <c r="C275" i="8"/>
  <c r="B553" i="8"/>
  <c r="B490" i="8"/>
  <c r="B402" i="8"/>
  <c r="B317" i="8"/>
  <c r="B252" i="8"/>
  <c r="B154" i="8"/>
  <c r="B44" i="8"/>
  <c r="C522" i="8"/>
  <c r="C390" i="8"/>
  <c r="C221" i="8"/>
  <c r="B548" i="8"/>
  <c r="B464" i="8"/>
  <c r="B401" i="8"/>
  <c r="B316" i="8"/>
  <c r="B221" i="8"/>
  <c r="B153" i="8"/>
  <c r="B43" i="8"/>
  <c r="C486" i="8"/>
  <c r="C387" i="8"/>
  <c r="C220" i="8"/>
  <c r="C51" i="8"/>
  <c r="B547" i="8"/>
  <c r="B462" i="8"/>
  <c r="B374" i="8"/>
  <c r="B315" i="8"/>
  <c r="B220" i="8"/>
  <c r="B122" i="8"/>
  <c r="B41" i="8"/>
  <c r="C483" i="8"/>
  <c r="C333" i="8"/>
  <c r="C215" i="8"/>
  <c r="C50" i="8"/>
  <c r="B521" i="8"/>
  <c r="B461" i="8"/>
  <c r="B373" i="8"/>
  <c r="B289" i="8"/>
  <c r="B219" i="8"/>
  <c r="B121" i="8"/>
  <c r="B6" i="8"/>
  <c r="C477" i="8"/>
  <c r="C332" i="8"/>
  <c r="C163" i="8"/>
  <c r="B508" i="8"/>
  <c r="B448" i="8"/>
  <c r="B390" i="8"/>
  <c r="B333" i="8"/>
  <c r="B273" i="8"/>
  <c r="B206" i="8"/>
  <c r="B137" i="8"/>
  <c r="B64" i="8"/>
  <c r="B27" i="8"/>
  <c r="C503" i="8"/>
  <c r="C460" i="8"/>
  <c r="C363" i="8"/>
  <c r="C307" i="8"/>
  <c r="C247" i="8"/>
  <c r="C191" i="8"/>
  <c r="C135" i="8"/>
  <c r="C77" i="8"/>
  <c r="B546" i="8"/>
  <c r="B517" i="8"/>
  <c r="B489" i="8"/>
  <c r="B457" i="8"/>
  <c r="B400" i="8"/>
  <c r="B371" i="8"/>
  <c r="B342" i="8"/>
  <c r="B310" i="8"/>
  <c r="B282" i="8"/>
  <c r="B251" i="8"/>
  <c r="B218" i="8"/>
  <c r="B185" i="8"/>
  <c r="B147" i="8"/>
  <c r="B114" i="8"/>
  <c r="B78" i="8"/>
  <c r="B40" i="8"/>
  <c r="C558" i="8"/>
  <c r="C517" i="8"/>
  <c r="C476" i="8"/>
  <c r="C429" i="8"/>
  <c r="C386" i="8"/>
  <c r="C330" i="8"/>
  <c r="C274" i="8"/>
  <c r="C214" i="8"/>
  <c r="C158" i="8"/>
  <c r="C102" i="8"/>
  <c r="B537" i="8"/>
  <c r="B480" i="8"/>
  <c r="B419" i="8"/>
  <c r="B362" i="8"/>
  <c r="B301" i="8"/>
  <c r="B241" i="8"/>
  <c r="B173" i="8"/>
  <c r="B101" i="8"/>
  <c r="C547" i="8"/>
  <c r="C415" i="8"/>
  <c r="C13" i="8"/>
  <c r="C43" i="8"/>
  <c r="C71" i="8"/>
  <c r="C99" i="8"/>
  <c r="C127" i="8"/>
  <c r="C157" i="8"/>
  <c r="C183" i="8"/>
  <c r="C213" i="8"/>
  <c r="C243" i="8"/>
  <c r="C255" i="8"/>
  <c r="C285" i="8"/>
  <c r="C311" i="8"/>
  <c r="C341" i="8"/>
  <c r="C371" i="8"/>
  <c r="C29" i="8"/>
  <c r="C55" i="8"/>
  <c r="C85" i="8"/>
  <c r="C115" i="8"/>
  <c r="C141" i="8"/>
  <c r="C171" i="8"/>
  <c r="C199" i="8"/>
  <c r="C227" i="8"/>
  <c r="C269" i="8"/>
  <c r="C299" i="8"/>
  <c r="C327" i="8"/>
  <c r="C355" i="8"/>
  <c r="C383" i="8"/>
  <c r="C30" i="8"/>
  <c r="C60" i="8"/>
  <c r="C86" i="8"/>
  <c r="C116" i="8"/>
  <c r="C146" i="8"/>
  <c r="C172" i="8"/>
  <c r="C202" i="8"/>
  <c r="C230" i="8"/>
  <c r="C258" i="8"/>
  <c r="C286" i="8"/>
  <c r="C316" i="8"/>
  <c r="C342" i="8"/>
  <c r="C372" i="8"/>
  <c r="C397" i="8"/>
  <c r="C418" i="8"/>
  <c r="C444" i="8"/>
  <c r="C461" i="8"/>
  <c r="C487" i="8"/>
  <c r="C510" i="8"/>
  <c r="C527" i="8"/>
  <c r="C548" i="8"/>
  <c r="B7" i="8"/>
  <c r="B28" i="8"/>
  <c r="B51" i="8"/>
  <c r="B68" i="8"/>
  <c r="B87" i="8"/>
  <c r="B104" i="8"/>
  <c r="B123" i="8"/>
  <c r="B141" i="8"/>
  <c r="B156" i="8"/>
  <c r="B174" i="8"/>
  <c r="B189" i="8"/>
  <c r="B209" i="8"/>
  <c r="B227" i="8"/>
  <c r="B242" i="8"/>
  <c r="B260" i="8"/>
  <c r="B274" i="8"/>
  <c r="B290" i="8"/>
  <c r="B306" i="8"/>
  <c r="B318" i="8"/>
  <c r="B334" i="8"/>
  <c r="B347" i="8"/>
  <c r="B363" i="8"/>
  <c r="B379" i="8"/>
  <c r="B392" i="8"/>
  <c r="B408" i="8"/>
  <c r="B420" i="8"/>
  <c r="B436" i="8"/>
  <c r="B452" i="8"/>
  <c r="B465" i="8"/>
  <c r="B481" i="8"/>
  <c r="B493" i="8"/>
  <c r="B509" i="8"/>
  <c r="B525" i="8"/>
  <c r="B538" i="8"/>
  <c r="B554" i="8"/>
  <c r="C3" i="8"/>
  <c r="C31" i="8"/>
  <c r="C61" i="8"/>
  <c r="C87" i="8"/>
  <c r="C117" i="8"/>
  <c r="C147" i="8"/>
  <c r="C173" i="8"/>
  <c r="C203" i="8"/>
  <c r="C231" i="8"/>
  <c r="C259" i="8"/>
  <c r="C287" i="8"/>
  <c r="C317" i="8"/>
  <c r="C343" i="8"/>
  <c r="C373" i="8"/>
  <c r="C402" i="8"/>
  <c r="C419" i="8"/>
  <c r="C445" i="8"/>
  <c r="C469" i="8"/>
  <c r="C490" i="8"/>
  <c r="C511" i="8"/>
  <c r="C529" i="8"/>
  <c r="C549" i="8"/>
  <c r="B14" i="8"/>
  <c r="B31" i="8"/>
  <c r="B52" i="8"/>
  <c r="B69" i="8"/>
  <c r="B88" i="8"/>
  <c r="B109" i="8"/>
  <c r="B124" i="8"/>
  <c r="B142" i="8"/>
  <c r="B157" i="8"/>
  <c r="B177" i="8"/>
  <c r="B195" i="8"/>
  <c r="B210" i="8"/>
  <c r="B228" i="8"/>
  <c r="B243" i="8"/>
  <c r="B261" i="8"/>
  <c r="B278" i="8"/>
  <c r="B291" i="8"/>
  <c r="B307" i="8"/>
  <c r="B320" i="8"/>
  <c r="B336" i="8"/>
  <c r="B352" i="8"/>
  <c r="B364" i="8"/>
  <c r="B380" i="8"/>
  <c r="B393" i="8"/>
  <c r="B409" i="8"/>
  <c r="B425" i="8"/>
  <c r="B437" i="8"/>
  <c r="B453" i="8"/>
  <c r="B466" i="8"/>
  <c r="B482" i="8"/>
  <c r="B498" i="8"/>
  <c r="B510" i="8"/>
  <c r="B526" i="8"/>
  <c r="B539" i="8"/>
  <c r="B555" i="8"/>
  <c r="C6" i="8"/>
  <c r="C34" i="8"/>
  <c r="C62" i="8"/>
  <c r="C92" i="8"/>
  <c r="C118" i="8"/>
  <c r="C148" i="8"/>
  <c r="C178" i="8"/>
  <c r="C204" i="8"/>
  <c r="C234" i="8"/>
  <c r="C262" i="8"/>
  <c r="C290" i="8"/>
  <c r="C318" i="8"/>
  <c r="C348" i="8"/>
  <c r="C374" i="8"/>
  <c r="C403" i="8"/>
  <c r="C427" i="8"/>
  <c r="C446" i="8"/>
  <c r="C470" i="8"/>
  <c r="C491" i="8"/>
  <c r="C513" i="8"/>
  <c r="C535" i="8"/>
  <c r="C553" i="8"/>
  <c r="B15" i="8"/>
  <c r="B32" i="8"/>
  <c r="B53" i="8"/>
  <c r="B73" i="8"/>
  <c r="B89" i="8"/>
  <c r="B110" i="8"/>
  <c r="B125" i="8"/>
  <c r="B145" i="8"/>
  <c r="B163" i="8"/>
  <c r="B178" i="8"/>
  <c r="B196" i="8"/>
  <c r="B211" i="8"/>
  <c r="B229" i="8"/>
  <c r="B249" i="8"/>
  <c r="B262" i="8"/>
  <c r="B280" i="8"/>
  <c r="B292" i="8"/>
  <c r="B308" i="8"/>
  <c r="B324" i="8"/>
  <c r="B337" i="8"/>
  <c r="B353" i="8"/>
  <c r="B365" i="8"/>
  <c r="B381" i="8"/>
  <c r="B397" i="8"/>
  <c r="B410" i="8"/>
  <c r="B426" i="8"/>
  <c r="B438" i="8"/>
  <c r="B454" i="8"/>
  <c r="B470" i="8"/>
  <c r="B483" i="8"/>
  <c r="B499" i="8"/>
  <c r="B512" i="8"/>
  <c r="B528" i="8"/>
  <c r="B544" i="8"/>
  <c r="B556" i="8"/>
  <c r="C7" i="8"/>
  <c r="C35" i="8"/>
  <c r="C63" i="8"/>
  <c r="C93" i="8"/>
  <c r="C119" i="8"/>
  <c r="C149" i="8"/>
  <c r="C179" i="8"/>
  <c r="C205" i="8"/>
  <c r="C235" i="8"/>
  <c r="C263" i="8"/>
  <c r="C291" i="8"/>
  <c r="C319" i="8"/>
  <c r="C349" i="8"/>
  <c r="C375" i="8"/>
  <c r="C404" i="8"/>
  <c r="C428" i="8"/>
  <c r="C447" i="8"/>
  <c r="C471" i="8"/>
  <c r="C499" i="8"/>
  <c r="C516" i="8"/>
  <c r="C537" i="8"/>
  <c r="C554" i="8"/>
  <c r="B16" i="8"/>
  <c r="B37" i="8"/>
  <c r="B54" i="8"/>
  <c r="B77" i="8"/>
  <c r="B91" i="8"/>
  <c r="B113" i="8"/>
  <c r="B131" i="8"/>
  <c r="B146" i="8"/>
  <c r="B164" i="8"/>
  <c r="B179" i="8"/>
  <c r="B197" i="8"/>
  <c r="B217" i="8"/>
  <c r="B230" i="8"/>
  <c r="B250" i="8"/>
  <c r="B265" i="8"/>
  <c r="B281" i="8"/>
  <c r="B297" i="8"/>
  <c r="B309" i="8"/>
  <c r="B325" i="8"/>
  <c r="B338" i="8"/>
  <c r="B354" i="8"/>
  <c r="B370" i="8"/>
  <c r="B382" i="8"/>
  <c r="B398" i="8"/>
  <c r="B411" i="8"/>
  <c r="B427" i="8"/>
  <c r="B443" i="8"/>
  <c r="B456" i="8"/>
  <c r="B472" i="8"/>
  <c r="B484" i="8"/>
  <c r="B500" i="8"/>
  <c r="B516" i="8"/>
  <c r="B529" i="8"/>
  <c r="B545" i="8"/>
  <c r="B536" i="8"/>
  <c r="B507" i="8"/>
  <c r="B475" i="8"/>
  <c r="B446" i="8"/>
  <c r="B418" i="8"/>
  <c r="B389" i="8"/>
  <c r="B361" i="8"/>
  <c r="B329" i="8"/>
  <c r="B300" i="8"/>
  <c r="B272" i="8"/>
  <c r="B238" i="8"/>
  <c r="B205" i="8"/>
  <c r="B169" i="8"/>
  <c r="B134" i="8"/>
  <c r="B100" i="8"/>
  <c r="B63" i="8"/>
  <c r="B25" i="8"/>
  <c r="C540" i="8"/>
  <c r="C502" i="8"/>
  <c r="C459" i="8"/>
  <c r="C414" i="8"/>
  <c r="C362" i="8"/>
  <c r="C306" i="8"/>
  <c r="C246" i="8"/>
  <c r="C190" i="8"/>
  <c r="C134" i="8"/>
  <c r="C76" i="8"/>
  <c r="C20" i="8"/>
  <c r="C11" i="8"/>
  <c r="B534" i="8"/>
  <c r="B502" i="8"/>
  <c r="B474" i="8"/>
  <c r="B445" i="8"/>
  <c r="B417" i="8"/>
  <c r="B388" i="8"/>
  <c r="B356" i="8"/>
  <c r="B328" i="8"/>
  <c r="B299" i="8"/>
  <c r="B270" i="8"/>
  <c r="B237" i="8"/>
  <c r="B201" i="8"/>
  <c r="B166" i="8"/>
  <c r="B133" i="8"/>
  <c r="B99" i="8"/>
  <c r="B62" i="8"/>
  <c r="B19" i="8"/>
  <c r="C539" i="8"/>
  <c r="C501" i="8"/>
  <c r="C458" i="8"/>
  <c r="C413" i="8"/>
  <c r="C359" i="8"/>
  <c r="C301" i="8"/>
  <c r="C245" i="8"/>
  <c r="C189" i="8"/>
  <c r="C131" i="8"/>
  <c r="C75" i="8"/>
  <c r="C19" i="8"/>
  <c r="B557" i="8"/>
  <c r="B530" i="8"/>
  <c r="B501" i="8"/>
  <c r="B473" i="8"/>
  <c r="B444" i="8"/>
  <c r="B416" i="8"/>
  <c r="B384" i="8"/>
  <c r="B355" i="8"/>
  <c r="B326" i="8"/>
  <c r="B298" i="8"/>
  <c r="B269" i="8"/>
  <c r="B233" i="8"/>
  <c r="B198" i="8"/>
  <c r="B165" i="8"/>
  <c r="B132" i="8"/>
  <c r="B97" i="8"/>
  <c r="B55" i="8"/>
  <c r="B17" i="8"/>
  <c r="C538" i="8"/>
  <c r="C500" i="8"/>
  <c r="C455" i="8"/>
  <c r="C405" i="8"/>
  <c r="C358" i="8"/>
  <c r="C300" i="8"/>
  <c r="C244" i="8"/>
  <c r="C188" i="8"/>
  <c r="C130" i="8"/>
  <c r="C74" i="8"/>
  <c r="C18" i="8"/>
  <c r="B552" i="8"/>
  <c r="B533" i="8"/>
  <c r="B515" i="8"/>
  <c r="B497" i="8"/>
  <c r="B478" i="8"/>
  <c r="B460" i="8"/>
  <c r="B442" i="8"/>
  <c r="B424" i="8"/>
  <c r="B405" i="8"/>
  <c r="B387" i="8"/>
  <c r="B369" i="8"/>
  <c r="B350" i="8"/>
  <c r="B332" i="8"/>
  <c r="B314" i="8"/>
  <c r="B296" i="8"/>
  <c r="B286" i="8"/>
  <c r="B268" i="8"/>
  <c r="B246" i="8"/>
  <c r="B226" i="8"/>
  <c r="B204" i="8"/>
  <c r="B182" i="8"/>
  <c r="B162" i="8"/>
  <c r="B140" i="8"/>
  <c r="B118" i="8"/>
  <c r="B96" i="8"/>
  <c r="B85" i="8"/>
  <c r="B61" i="8"/>
  <c r="B36" i="8"/>
  <c r="B13" i="8"/>
  <c r="C546" i="8"/>
  <c r="C521" i="8"/>
  <c r="C498" i="8"/>
  <c r="C468" i="8"/>
  <c r="C438" i="8"/>
  <c r="C412" i="8"/>
  <c r="C382" i="8"/>
  <c r="C354" i="8"/>
  <c r="C326" i="8"/>
  <c r="C298" i="8"/>
  <c r="C268" i="8"/>
  <c r="C242" i="8"/>
  <c r="C226" i="8"/>
  <c r="C198" i="8"/>
  <c r="C182" i="8"/>
  <c r="C170" i="8"/>
  <c r="C140" i="8"/>
  <c r="C126" i="8"/>
  <c r="C114" i="8"/>
  <c r="C98" i="8"/>
  <c r="C84" i="8"/>
  <c r="C70" i="8"/>
  <c r="C54" i="8"/>
  <c r="C42" i="8"/>
  <c r="C28" i="8"/>
  <c r="C12" i="8"/>
  <c r="B2" i="8"/>
  <c r="B541" i="8"/>
  <c r="B523" i="8"/>
  <c r="B505" i="8"/>
  <c r="B486" i="8"/>
  <c r="B468" i="8"/>
  <c r="B450" i="8"/>
  <c r="B432" i="8"/>
  <c r="B413" i="8"/>
  <c r="B395" i="8"/>
  <c r="B377" i="8"/>
  <c r="B358" i="8"/>
  <c r="B340" i="8"/>
  <c r="B322" i="8"/>
  <c r="B304" i="8"/>
  <c r="B285" i="8"/>
  <c r="B267" i="8"/>
  <c r="B257" i="8"/>
  <c r="B235" i="8"/>
  <c r="B225" i="8"/>
  <c r="B213" i="8"/>
  <c r="B193" i="8"/>
  <c r="B181" i="8"/>
  <c r="B171" i="8"/>
  <c r="B161" i="8"/>
  <c r="B149" i="8"/>
  <c r="B139" i="8"/>
  <c r="B129" i="8"/>
  <c r="B117" i="8"/>
  <c r="B107" i="8"/>
  <c r="B95" i="8"/>
  <c r="B83" i="8"/>
  <c r="B71" i="8"/>
  <c r="B60" i="8"/>
  <c r="B46" i="8"/>
  <c r="B35" i="8"/>
  <c r="B23" i="8"/>
  <c r="B9" i="8"/>
  <c r="C556" i="8"/>
  <c r="C545" i="8"/>
  <c r="C531" i="8"/>
  <c r="C519" i="8"/>
  <c r="C508" i="8"/>
  <c r="C493" i="8"/>
  <c r="C479" i="8"/>
  <c r="C467" i="8"/>
  <c r="C451" i="8"/>
  <c r="C437" i="8"/>
  <c r="C423" i="8"/>
  <c r="C407" i="8"/>
  <c r="C381" i="8"/>
  <c r="C365" i="8"/>
  <c r="C351" i="8"/>
  <c r="C339" i="8"/>
  <c r="C323" i="8"/>
  <c r="C309" i="8"/>
  <c r="C295" i="8"/>
  <c r="C279" i="8"/>
  <c r="C267" i="8"/>
  <c r="C253" i="8"/>
  <c r="C237" i="8"/>
  <c r="C223" i="8"/>
  <c r="C211" i="8"/>
  <c r="C195" i="8"/>
  <c r="C181" i="8"/>
  <c r="C167" i="8"/>
  <c r="C151" i="8"/>
  <c r="C139" i="8"/>
  <c r="C125" i="8"/>
  <c r="C109" i="8"/>
  <c r="C95" i="8"/>
  <c r="C83" i="8"/>
  <c r="C67" i="8"/>
  <c r="C53" i="8"/>
  <c r="C39" i="8"/>
  <c r="C23" i="8"/>
  <c r="C8" i="8"/>
  <c r="C16" i="8"/>
  <c r="C24" i="8"/>
  <c r="C32" i="8"/>
  <c r="C40" i="8"/>
  <c r="C48" i="8"/>
  <c r="C56" i="8"/>
  <c r="C64" i="8"/>
  <c r="C72" i="8"/>
  <c r="C80" i="8"/>
  <c r="C88" i="8"/>
  <c r="C96" i="8"/>
  <c r="C104" i="8"/>
  <c r="C112" i="8"/>
  <c r="C120" i="8"/>
  <c r="C128" i="8"/>
  <c r="C136" i="8"/>
  <c r="C144" i="8"/>
  <c r="C152" i="8"/>
  <c r="C160" i="8"/>
  <c r="C168" i="8"/>
  <c r="C176" i="8"/>
  <c r="C184" i="8"/>
  <c r="C192" i="8"/>
  <c r="C200" i="8"/>
  <c r="C208" i="8"/>
  <c r="C216" i="8"/>
  <c r="C224" i="8"/>
  <c r="C232" i="8"/>
  <c r="C240" i="8"/>
  <c r="C248" i="8"/>
  <c r="C256" i="8"/>
  <c r="C264" i="8"/>
  <c r="C272" i="8"/>
  <c r="C280" i="8"/>
  <c r="C288" i="8"/>
  <c r="C296" i="8"/>
  <c r="C304" i="8"/>
  <c r="C312" i="8"/>
  <c r="C320" i="8"/>
  <c r="C328" i="8"/>
  <c r="C336" i="8"/>
  <c r="C344" i="8"/>
  <c r="C352" i="8"/>
  <c r="C360" i="8"/>
  <c r="C368" i="8"/>
  <c r="C376" i="8"/>
  <c r="C384" i="8"/>
  <c r="C392" i="8"/>
  <c r="C400" i="8"/>
  <c r="C408" i="8"/>
  <c r="C416" i="8"/>
  <c r="C424" i="8"/>
  <c r="C432" i="8"/>
  <c r="C440" i="8"/>
  <c r="C448" i="8"/>
  <c r="C456" i="8"/>
  <c r="C464" i="8"/>
  <c r="C472" i="8"/>
  <c r="C480" i="8"/>
  <c r="C488" i="8"/>
  <c r="C496" i="8"/>
  <c r="C504" i="8"/>
  <c r="C512" i="8"/>
  <c r="C520" i="8"/>
  <c r="C528" i="8"/>
  <c r="C536" i="8"/>
  <c r="C544" i="8"/>
  <c r="C552" i="8"/>
  <c r="C2" i="8"/>
  <c r="B10" i="8"/>
  <c r="B18" i="8"/>
  <c r="B26" i="8"/>
  <c r="B34" i="8"/>
  <c r="B42" i="8"/>
  <c r="B50" i="8"/>
  <c r="B58" i="8"/>
  <c r="B66" i="8"/>
  <c r="B74" i="8"/>
  <c r="B82" i="8"/>
  <c r="B90" i="8"/>
  <c r="B98" i="8"/>
  <c r="B106" i="8"/>
  <c r="C9" i="8"/>
  <c r="C17" i="8"/>
  <c r="C25" i="8"/>
  <c r="C33" i="8"/>
  <c r="C41" i="8"/>
  <c r="C49" i="8"/>
  <c r="C57" i="8"/>
  <c r="C65" i="8"/>
  <c r="C73" i="8"/>
  <c r="C81" i="8"/>
  <c r="C89" i="8"/>
  <c r="C97" i="8"/>
  <c r="C105" i="8"/>
  <c r="C113" i="8"/>
  <c r="C121" i="8"/>
  <c r="C129" i="8"/>
  <c r="C137" i="8"/>
  <c r="C145" i="8"/>
  <c r="C153" i="8"/>
  <c r="C161" i="8"/>
  <c r="C169" i="8"/>
  <c r="C177" i="8"/>
  <c r="C185" i="8"/>
  <c r="C193" i="8"/>
  <c r="C201" i="8"/>
  <c r="C209" i="8"/>
  <c r="C217" i="8"/>
  <c r="C225" i="8"/>
  <c r="C233" i="8"/>
  <c r="C241" i="8"/>
  <c r="C249" i="8"/>
  <c r="C257" i="8"/>
  <c r="C265" i="8"/>
  <c r="C273" i="8"/>
  <c r="C281" i="8"/>
  <c r="C289" i="8"/>
  <c r="C297" i="8"/>
  <c r="C305" i="8"/>
  <c r="C313" i="8"/>
  <c r="C321" i="8"/>
  <c r="C329" i="8"/>
  <c r="C337" i="8"/>
  <c r="C345" i="8"/>
  <c r="C353" i="8"/>
  <c r="C361" i="8"/>
  <c r="C369" i="8"/>
  <c r="C377" i="8"/>
  <c r="C385" i="8"/>
  <c r="C393" i="8"/>
  <c r="C401" i="8"/>
  <c r="C409" i="8"/>
  <c r="C417" i="8"/>
  <c r="C425" i="8"/>
  <c r="C433" i="8"/>
  <c r="C441" i="8"/>
  <c r="C449" i="8"/>
  <c r="C457" i="8"/>
  <c r="C465" i="8"/>
  <c r="C473" i="8"/>
  <c r="C481" i="8"/>
  <c r="C489" i="8"/>
  <c r="C497" i="8"/>
  <c r="C4" i="8"/>
  <c r="C14" i="8"/>
  <c r="C26" i="8"/>
  <c r="C36" i="8"/>
  <c r="C46" i="8"/>
  <c r="C58" i="8"/>
  <c r="C68" i="8"/>
  <c r="C78" i="8"/>
  <c r="C90" i="8"/>
  <c r="C100" i="8"/>
  <c r="C110" i="8"/>
  <c r="C122" i="8"/>
  <c r="C132" i="8"/>
  <c r="C142" i="8"/>
  <c r="C154" i="8"/>
  <c r="C164" i="8"/>
  <c r="C174" i="8"/>
  <c r="C186" i="8"/>
  <c r="C196" i="8"/>
  <c r="C206" i="8"/>
  <c r="C218" i="8"/>
  <c r="C228" i="8"/>
  <c r="C238" i="8"/>
  <c r="C250" i="8"/>
  <c r="C260" i="8"/>
  <c r="C270" i="8"/>
  <c r="C282" i="8"/>
  <c r="C292" i="8"/>
  <c r="C302" i="8"/>
  <c r="C314" i="8"/>
  <c r="C324" i="8"/>
  <c r="C334" i="8"/>
  <c r="C346" i="8"/>
  <c r="C356" i="8"/>
  <c r="C366" i="8"/>
  <c r="C378" i="8"/>
  <c r="C388" i="8"/>
  <c r="C398" i="8"/>
  <c r="C410" i="8"/>
  <c r="C420" i="8"/>
  <c r="C430" i="8"/>
  <c r="C442" i="8"/>
  <c r="C452" i="8"/>
  <c r="C462" i="8"/>
  <c r="C474" i="8"/>
  <c r="C484" i="8"/>
  <c r="C494" i="8"/>
  <c r="C505" i="8"/>
  <c r="C514" i="8"/>
  <c r="C523" i="8"/>
  <c r="C532" i="8"/>
  <c r="C541" i="8"/>
  <c r="C550" i="8"/>
  <c r="C559" i="8"/>
  <c r="B11" i="8"/>
  <c r="B20" i="8"/>
  <c r="B29" i="8"/>
  <c r="B38" i="8"/>
  <c r="B47" i="8"/>
  <c r="B56" i="8"/>
  <c r="B65" i="8"/>
  <c r="B75" i="8"/>
  <c r="B84" i="8"/>
  <c r="B93" i="8"/>
  <c r="B102" i="8"/>
  <c r="B111" i="8"/>
  <c r="B119" i="8"/>
  <c r="B127" i="8"/>
  <c r="B135" i="8"/>
  <c r="B143" i="8"/>
  <c r="B151" i="8"/>
  <c r="B159" i="8"/>
  <c r="B167" i="8"/>
  <c r="B175" i="8"/>
  <c r="B183" i="8"/>
  <c r="B191" i="8"/>
  <c r="B199" i="8"/>
  <c r="B207" i="8"/>
  <c r="B215" i="8"/>
  <c r="B223" i="8"/>
  <c r="B231" i="8"/>
  <c r="B239" i="8"/>
  <c r="B247" i="8"/>
  <c r="B255" i="8"/>
  <c r="B263" i="8"/>
  <c r="B271" i="8"/>
  <c r="B279" i="8"/>
  <c r="B287" i="8"/>
  <c r="B295" i="8"/>
  <c r="B303" i="8"/>
  <c r="B311" i="8"/>
  <c r="B319" i="8"/>
  <c r="B327" i="8"/>
  <c r="B335" i="8"/>
  <c r="B343" i="8"/>
  <c r="B351" i="8"/>
  <c r="B359" i="8"/>
  <c r="B367" i="8"/>
  <c r="B375" i="8"/>
  <c r="B383" i="8"/>
  <c r="B391" i="8"/>
  <c r="B399" i="8"/>
  <c r="B407" i="8"/>
  <c r="B415" i="8"/>
  <c r="B423" i="8"/>
  <c r="B431" i="8"/>
  <c r="B439" i="8"/>
  <c r="B447" i="8"/>
  <c r="B455" i="8"/>
  <c r="B463" i="8"/>
  <c r="B471" i="8"/>
  <c r="B479" i="8"/>
  <c r="B487" i="8"/>
  <c r="B495" i="8"/>
  <c r="B503" i="8"/>
  <c r="B511" i="8"/>
  <c r="B519" i="8"/>
  <c r="B527" i="8"/>
  <c r="B535" i="8"/>
  <c r="B543" i="8"/>
  <c r="B551" i="8"/>
  <c r="B559" i="8"/>
  <c r="C5" i="8"/>
  <c r="C15" i="8"/>
  <c r="C27" i="8"/>
  <c r="C37" i="8"/>
  <c r="C47" i="8"/>
  <c r="C59" i="8"/>
  <c r="C69" i="8"/>
  <c r="C79" i="8"/>
  <c r="C91" i="8"/>
  <c r="C101" i="8"/>
  <c r="C111" i="8"/>
  <c r="C123" i="8"/>
  <c r="C133" i="8"/>
  <c r="C143" i="8"/>
  <c r="C155" i="8"/>
  <c r="C165" i="8"/>
  <c r="C175" i="8"/>
  <c r="C187" i="8"/>
  <c r="C197" i="8"/>
  <c r="C207" i="8"/>
  <c r="C219" i="8"/>
  <c r="C229" i="8"/>
  <c r="C239" i="8"/>
  <c r="C251" i="8"/>
  <c r="C261" i="8"/>
  <c r="C271" i="8"/>
  <c r="C283" i="8"/>
  <c r="C293" i="8"/>
  <c r="C303" i="8"/>
  <c r="C315" i="8"/>
  <c r="C325" i="8"/>
  <c r="C335" i="8"/>
  <c r="C347" i="8"/>
  <c r="C357" i="8"/>
  <c r="C367" i="8"/>
  <c r="C379" i="8"/>
  <c r="C389" i="8"/>
  <c r="C399" i="8"/>
  <c r="C411" i="8"/>
  <c r="C421" i="8"/>
  <c r="C431" i="8"/>
  <c r="C443" i="8"/>
  <c r="C453" i="8"/>
  <c r="C463" i="8"/>
  <c r="C475" i="8"/>
  <c r="C485" i="8"/>
  <c r="C495" i="8"/>
  <c r="C506" i="8"/>
  <c r="C515" i="8"/>
  <c r="C524" i="8"/>
  <c r="C533" i="8"/>
  <c r="C542" i="8"/>
  <c r="C551" i="8"/>
  <c r="B3" i="8"/>
  <c r="B12" i="8"/>
  <c r="B21" i="8"/>
  <c r="B30" i="8"/>
  <c r="B39" i="8"/>
  <c r="B48" i="8"/>
  <c r="B57" i="8"/>
  <c r="B67" i="8"/>
  <c r="B76" i="8"/>
  <c r="B94" i="8"/>
  <c r="B103" i="8"/>
  <c r="B112" i="8"/>
  <c r="B120" i="8"/>
  <c r="B128" i="8"/>
  <c r="B136" i="8"/>
  <c r="B144" i="8"/>
  <c r="B152" i="8"/>
  <c r="B160" i="8"/>
  <c r="B168" i="8"/>
  <c r="B176" i="8"/>
  <c r="B184" i="8"/>
  <c r="B192" i="8"/>
  <c r="B200" i="8"/>
  <c r="B208" i="8"/>
  <c r="B216" i="8"/>
  <c r="B224" i="8"/>
  <c r="B232" i="8"/>
  <c r="B240" i="8"/>
  <c r="B248" i="8"/>
  <c r="B256" i="8"/>
  <c r="B264" i="8"/>
  <c r="B542" i="8"/>
  <c r="B524" i="8"/>
  <c r="B506" i="8"/>
  <c r="B488" i="8"/>
  <c r="B469" i="8"/>
  <c r="B451" i="8"/>
  <c r="B433" i="8"/>
  <c r="B414" i="8"/>
  <c r="B396" i="8"/>
  <c r="B378" i="8"/>
  <c r="B360" i="8"/>
  <c r="B341" i="8"/>
  <c r="B323" i="8"/>
  <c r="B305" i="8"/>
  <c r="B277" i="8"/>
  <c r="B258" i="8"/>
  <c r="B236" i="8"/>
  <c r="B214" i="8"/>
  <c r="B194" i="8"/>
  <c r="B172" i="8"/>
  <c r="B150" i="8"/>
  <c r="B130" i="8"/>
  <c r="B108" i="8"/>
  <c r="B72" i="8"/>
  <c r="B49" i="8"/>
  <c r="B24" i="8"/>
  <c r="C557" i="8"/>
  <c r="C534" i="8"/>
  <c r="C509" i="8"/>
  <c r="C482" i="8"/>
  <c r="C454" i="8"/>
  <c r="C426" i="8"/>
  <c r="C396" i="8"/>
  <c r="C370" i="8"/>
  <c r="C340" i="8"/>
  <c r="C310" i="8"/>
  <c r="C284" i="8"/>
  <c r="C254" i="8"/>
  <c r="C212" i="8"/>
  <c r="C156" i="8"/>
  <c r="B550" i="8"/>
  <c r="B532" i="8"/>
  <c r="B514" i="8"/>
  <c r="B496" i="8"/>
  <c r="B477" i="8"/>
  <c r="B459" i="8"/>
  <c r="B441" i="8"/>
  <c r="B422" i="8"/>
  <c r="B404" i="8"/>
  <c r="B386" i="8"/>
  <c r="B368" i="8"/>
  <c r="B349" i="8"/>
  <c r="B331" i="8"/>
  <c r="B313" i="8"/>
  <c r="B294" i="8"/>
  <c r="B276" i="8"/>
  <c r="B245" i="8"/>
  <c r="B203" i="8"/>
  <c r="C395" i="8"/>
  <c r="B558" i="8"/>
  <c r="B549" i="8"/>
  <c r="B540" i="8"/>
  <c r="B531" i="8"/>
  <c r="B522" i="8"/>
  <c r="B513" i="8"/>
  <c r="B504" i="8"/>
  <c r="B494" i="8"/>
  <c r="B485" i="8"/>
  <c r="B476" i="8"/>
  <c r="B467" i="8"/>
  <c r="B458" i="8"/>
  <c r="B449" i="8"/>
  <c r="B440" i="8"/>
  <c r="B430" i="8"/>
  <c r="B421" i="8"/>
  <c r="B412" i="8"/>
  <c r="B403" i="8"/>
  <c r="B394" i="8"/>
  <c r="B385" i="8"/>
  <c r="B376" i="8"/>
  <c r="B366" i="8"/>
  <c r="B357" i="8"/>
  <c r="B348" i="8"/>
  <c r="B339" i="8"/>
  <c r="B330" i="8"/>
  <c r="B321" i="8"/>
  <c r="B312" i="8"/>
  <c r="B302" i="8"/>
  <c r="B293" i="8"/>
  <c r="B284" i="8"/>
  <c r="B275" i="8"/>
  <c r="B266" i="8"/>
  <c r="B254" i="8"/>
  <c r="B244" i="8"/>
  <c r="B234" i="8"/>
  <c r="B222" i="8"/>
  <c r="B212" i="8"/>
  <c r="B202" i="8"/>
  <c r="B190" i="8"/>
  <c r="B180" i="8"/>
  <c r="B170" i="8"/>
  <c r="B158" i="8"/>
  <c r="B148" i="8"/>
  <c r="B138" i="8"/>
  <c r="B126" i="8"/>
  <c r="B116" i="8"/>
  <c r="B105" i="8"/>
  <c r="B92" i="8"/>
  <c r="B81" i="8"/>
  <c r="B70" i="8"/>
  <c r="B59" i="8"/>
  <c r="B45" i="8"/>
  <c r="B33" i="8"/>
  <c r="B22" i="8"/>
  <c r="B8" i="8"/>
  <c r="C555" i="8"/>
  <c r="C543" i="8"/>
  <c r="C530" i="8"/>
  <c r="C518" i="8"/>
  <c r="C507" i="8"/>
  <c r="C492" i="8"/>
  <c r="C478" i="8"/>
  <c r="C466" i="8"/>
  <c r="C450" i="8"/>
  <c r="C436" i="8"/>
  <c r="C422" i="8"/>
  <c r="C406" i="8"/>
  <c r="C394" i="8"/>
  <c r="C380" i="8"/>
  <c r="C364" i="8"/>
  <c r="C350" i="8"/>
  <c r="C338" i="8"/>
  <c r="C322" i="8"/>
  <c r="C308" i="8"/>
  <c r="C294" i="8"/>
  <c r="C278" i="8"/>
  <c r="C266" i="8"/>
  <c r="C252" i="8"/>
  <c r="C236" i="8"/>
  <c r="C222" i="8"/>
  <c r="C210" i="8"/>
  <c r="C194" i="8"/>
  <c r="C180" i="8"/>
  <c r="C166" i="8"/>
  <c r="C150" i="8"/>
  <c r="C138" i="8"/>
  <c r="C124" i="8"/>
  <c r="C108" i="8"/>
  <c r="C94" i="8"/>
  <c r="C82" i="8"/>
  <c r="C66" i="8"/>
  <c r="C52" i="8"/>
  <c r="C38" i="8"/>
  <c r="C22" i="8"/>
  <c r="C10" i="8"/>
  <c r="B4" i="9" l="1"/>
  <c r="C4" i="9" s="1"/>
  <c r="B5" i="9"/>
  <c r="C5" i="9" s="1"/>
  <c r="B6" i="9"/>
  <c r="C6" i="9" s="1"/>
  <c r="B2" i="9"/>
  <c r="C2" i="9" s="1"/>
  <c r="B3" i="9"/>
  <c r="C3" i="9" s="1"/>
  <c r="E6" i="9"/>
  <c r="E3" i="9"/>
  <c r="E5" i="9"/>
  <c r="E4" i="9"/>
  <c r="E2" i="9"/>
  <c r="C2" i="4"/>
  <c r="F2" i="4"/>
  <c r="C5" i="4"/>
  <c r="C13" i="4"/>
  <c r="C6" i="4"/>
  <c r="C14" i="4"/>
  <c r="C7" i="4"/>
  <c r="C8" i="4"/>
  <c r="C9" i="4"/>
  <c r="C10" i="4"/>
  <c r="C11" i="4"/>
  <c r="C12" i="4"/>
  <c r="C4" i="4"/>
  <c r="C3" i="4"/>
  <c r="F3" i="4"/>
  <c r="H5" i="9" l="1"/>
  <c r="F5" i="9"/>
  <c r="F6" i="9"/>
  <c r="H6" i="9"/>
  <c r="H3" i="9"/>
  <c r="F3" i="9"/>
  <c r="F2" i="9"/>
  <c r="H2" i="9"/>
  <c r="H4" i="9"/>
  <c r="F4"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F408C2-0050-4880-80A2-64A6673ED71F}" keepAlive="1" name="Query - Data_Set_2" description="Connection to the 'Data_Set_2' query in the workbook." type="5" refreshedVersion="8" background="1" saveData="1">
    <dbPr connection="Provider=Microsoft.Mashup.OleDb.1;Data Source=$Workbook$;Location=Data_Set_2;Extended Properties=&quot;&quot;" command="SELECT * FROM [Data_Set_2]"/>
  </connection>
  <connection id="2" xr16:uid="{B3E4A795-B61A-4929-9C5A-C2A3901721B2}" keepAlive="1" name="Query - Data_Set_3" description="Connection to the 'Data_Set_3' query in the workbook." type="5" refreshedVersion="8" background="1" saveData="1">
    <dbPr connection="Provider=Microsoft.Mashup.OleDb.1;Data Source=$Workbook$;Location=Data_Set_3;Extended Properties=&quot;&quot;" command="SELECT * FROM [Data_Set_3]"/>
  </connection>
</connections>
</file>

<file path=xl/sharedStrings.xml><?xml version="1.0" encoding="utf-8"?>
<sst xmlns="http://schemas.openxmlformats.org/spreadsheetml/2006/main" count="31711" uniqueCount="4648">
  <si>
    <t>ID</t>
  </si>
  <si>
    <t>first_name</t>
  </si>
  <si>
    <t>last_name</t>
  </si>
  <si>
    <t>email</t>
  </si>
  <si>
    <t>gender</t>
  </si>
  <si>
    <t>Race</t>
  </si>
  <si>
    <t>purchase</t>
  </si>
  <si>
    <t>credit_card_type</t>
  </si>
  <si>
    <t>date</t>
  </si>
  <si>
    <t>State/Province</t>
  </si>
  <si>
    <t>City</t>
  </si>
  <si>
    <t>PostalCode</t>
  </si>
  <si>
    <t>Country</t>
  </si>
  <si>
    <t>Shawn</t>
  </si>
  <si>
    <t>Edwards</t>
  </si>
  <si>
    <t>sedwardsek@macromedia.com</t>
  </si>
  <si>
    <t>Male</t>
  </si>
  <si>
    <t>Black or African American</t>
  </si>
  <si>
    <t>switch</t>
  </si>
  <si>
    <t>Massachusetts</t>
  </si>
  <si>
    <t>Worcester</t>
  </si>
  <si>
    <t>United States</t>
  </si>
  <si>
    <t>Albert</t>
  </si>
  <si>
    <t>Murray</t>
  </si>
  <si>
    <t>amurray99@google.de</t>
  </si>
  <si>
    <t>Asian</t>
  </si>
  <si>
    <t>jcb</t>
  </si>
  <si>
    <t>Colorado</t>
  </si>
  <si>
    <t>Denver</t>
  </si>
  <si>
    <t>Tina</t>
  </si>
  <si>
    <t>Mccoy</t>
  </si>
  <si>
    <t>tmccoyd8@yahoo.com</t>
  </si>
  <si>
    <t>Female</t>
  </si>
  <si>
    <t>White</t>
  </si>
  <si>
    <t>mastercard</t>
  </si>
  <si>
    <t>California</t>
  </si>
  <si>
    <t>Glendale</t>
  </si>
  <si>
    <t>Mark</t>
  </si>
  <si>
    <t>Chapman</t>
  </si>
  <si>
    <t>mchapmank6@thetimes.co.uk</t>
  </si>
  <si>
    <t>diners-club-enroute</t>
  </si>
  <si>
    <t>Kentucky</t>
  </si>
  <si>
    <t>Louisville</t>
  </si>
  <si>
    <t>Brandon</t>
  </si>
  <si>
    <t>Hawkins</t>
  </si>
  <si>
    <t>bhawkins23@taobao.com</t>
  </si>
  <si>
    <t>Connecticut</t>
  </si>
  <si>
    <t>Hartford</t>
  </si>
  <si>
    <t>Lisa</t>
  </si>
  <si>
    <t>Hart</t>
  </si>
  <si>
    <t>lhartnf@shinystat.com</t>
  </si>
  <si>
    <t>Mexican</t>
  </si>
  <si>
    <t>West Virginia</t>
  </si>
  <si>
    <t>Huntington</t>
  </si>
  <si>
    <t>Barbara</t>
  </si>
  <si>
    <t>Hicks</t>
  </si>
  <si>
    <t>bhicksgy@walmart.com</t>
  </si>
  <si>
    <t>diners-club-carte-blanche</t>
  </si>
  <si>
    <t>Kansas</t>
  </si>
  <si>
    <t>Wichita</t>
  </si>
  <si>
    <t>Jacobs</t>
  </si>
  <si>
    <t>bjacobsop@hp.com</t>
  </si>
  <si>
    <t>maestro</t>
  </si>
  <si>
    <t>Nebraska</t>
  </si>
  <si>
    <t>Omaha</t>
  </si>
  <si>
    <t>Kenneth</t>
  </si>
  <si>
    <t>Perry</t>
  </si>
  <si>
    <t>kperry98@github.com</t>
  </si>
  <si>
    <t>Texas</t>
  </si>
  <si>
    <t>Austin</t>
  </si>
  <si>
    <t>Ruth</t>
  </si>
  <si>
    <t>Simpson</t>
  </si>
  <si>
    <t>rsimpson1i@vistaprint.com</t>
  </si>
  <si>
    <t>bankcard</t>
  </si>
  <si>
    <t>Georgia</t>
  </si>
  <si>
    <t>Atlanta</t>
  </si>
  <si>
    <t>Phillips</t>
  </si>
  <si>
    <t>mphillipsjw@webs.com</t>
  </si>
  <si>
    <t>Michigan</t>
  </si>
  <si>
    <t>Southfield</t>
  </si>
  <si>
    <t>Jesse</t>
  </si>
  <si>
    <t>Bryant</t>
  </si>
  <si>
    <t>jbryant19@hugedomains.com</t>
  </si>
  <si>
    <t>instapayment</t>
  </si>
  <si>
    <t>Lynn</t>
  </si>
  <si>
    <t>Janice</t>
  </si>
  <si>
    <t>Vasquez</t>
  </si>
  <si>
    <t>jvasquez4g@lycos.com</t>
  </si>
  <si>
    <t>Midland</t>
  </si>
  <si>
    <t>Stephen</t>
  </si>
  <si>
    <t>Romero</t>
  </si>
  <si>
    <t>sromerook@java.com</t>
  </si>
  <si>
    <t>Ralph</t>
  </si>
  <si>
    <t>Oliver</t>
  </si>
  <si>
    <t>roliver7a@oracle.com</t>
  </si>
  <si>
    <t>americanexpress</t>
  </si>
  <si>
    <t>Indiana</t>
  </si>
  <si>
    <t>South Bend</t>
  </si>
  <si>
    <t>Phyllis</t>
  </si>
  <si>
    <t>Peterson</t>
  </si>
  <si>
    <t>ppetersonl6@bizjournals.com</t>
  </si>
  <si>
    <t>Boulder</t>
  </si>
  <si>
    <t>Pamela</t>
  </si>
  <si>
    <t>Thompson</t>
  </si>
  <si>
    <t>pthompsono7@wordpress.org</t>
  </si>
  <si>
    <t>Detroit</t>
  </si>
  <si>
    <t>Wanda</t>
  </si>
  <si>
    <t>Coleman</t>
  </si>
  <si>
    <t>wcolemanky@ocn.ne.jp</t>
  </si>
  <si>
    <t>visa</t>
  </si>
  <si>
    <t>Pennsylvania</t>
  </si>
  <si>
    <t>Pittsburgh</t>
  </si>
  <si>
    <t>Norma</t>
  </si>
  <si>
    <t>Cooper</t>
  </si>
  <si>
    <t>ncooper48@marketwatch.com</t>
  </si>
  <si>
    <t>Florida</t>
  </si>
  <si>
    <t>Ocala</t>
  </si>
  <si>
    <t>Laura</t>
  </si>
  <si>
    <t>Wright</t>
  </si>
  <si>
    <t>lwright7b@loc.gov</t>
  </si>
  <si>
    <t>Louisiana</t>
  </si>
  <si>
    <t>Shreveport</t>
  </si>
  <si>
    <t>Andrea</t>
  </si>
  <si>
    <t>Holmes</t>
  </si>
  <si>
    <t>aholmeska@wiley.com</t>
  </si>
  <si>
    <t>Missouri</t>
  </si>
  <si>
    <t>Saint Louis</t>
  </si>
  <si>
    <t>Ray</t>
  </si>
  <si>
    <t>jray9t@nature.com</t>
  </si>
  <si>
    <t>Fresno</t>
  </si>
  <si>
    <t>Susan</t>
  </si>
  <si>
    <t>Elliott</t>
  </si>
  <si>
    <t>selliottjz@independent.co.uk</t>
  </si>
  <si>
    <t>Hawaii</t>
  </si>
  <si>
    <t>Honolulu</t>
  </si>
  <si>
    <t>Christina</t>
  </si>
  <si>
    <t>Fox</t>
  </si>
  <si>
    <t>cfoxcb@ow.ly</t>
  </si>
  <si>
    <t>Oregon</t>
  </si>
  <si>
    <t>Portland</t>
  </si>
  <si>
    <t>Jessica</t>
  </si>
  <si>
    <t>Rice</t>
  </si>
  <si>
    <t>jricemn@cpanel.net</t>
  </si>
  <si>
    <t>Miami</t>
  </si>
  <si>
    <t>Nicole</t>
  </si>
  <si>
    <t>Jackson</t>
  </si>
  <si>
    <t>njacksonn1@mozilla.org</t>
  </si>
  <si>
    <t>Wisconsin</t>
  </si>
  <si>
    <t>Green Bay</t>
  </si>
  <si>
    <t>Medina</t>
  </si>
  <si>
    <t>rmedina5p@techcrunch.com</t>
  </si>
  <si>
    <t>Argentinian</t>
  </si>
  <si>
    <t>Ohio</t>
  </si>
  <si>
    <t>Youngstown</t>
  </si>
  <si>
    <t>Wayne</t>
  </si>
  <si>
    <t>woliverdn@wix.com</t>
  </si>
  <si>
    <t>Vero Beach</t>
  </si>
  <si>
    <t>Eric</t>
  </si>
  <si>
    <t>Davis</t>
  </si>
  <si>
    <t>edavisdl@live.com</t>
  </si>
  <si>
    <t>Philadelphia</t>
  </si>
  <si>
    <t>Michael</t>
  </si>
  <si>
    <t>Gilbert</t>
  </si>
  <si>
    <t>mgilbert5r@rakuten.co.jp</t>
  </si>
  <si>
    <t>china-unionpay</t>
  </si>
  <si>
    <t>Oceanside</t>
  </si>
  <si>
    <t>Brenda</t>
  </si>
  <si>
    <t>Meyer</t>
  </si>
  <si>
    <t>bmeyer9e@senate.gov</t>
  </si>
  <si>
    <t>El Paso</t>
  </si>
  <si>
    <t>Richards</t>
  </si>
  <si>
    <t>srichardsnh@webeden.co.uk</t>
  </si>
  <si>
    <t>Mississippi</t>
  </si>
  <si>
    <t>Gulfport</t>
  </si>
  <si>
    <t>Phillip</t>
  </si>
  <si>
    <t>psimpson9c@usnews.com</t>
  </si>
  <si>
    <t>Shirley</t>
  </si>
  <si>
    <t>Riley</t>
  </si>
  <si>
    <t>srileyk8@aboutads.info</t>
  </si>
  <si>
    <t>Eskimo</t>
  </si>
  <si>
    <t>San Jose</t>
  </si>
  <si>
    <t>Debra</t>
  </si>
  <si>
    <t>James</t>
  </si>
  <si>
    <t>djames1w@intel.com</t>
  </si>
  <si>
    <t>New York</t>
  </si>
  <si>
    <t>Bronx</t>
  </si>
  <si>
    <t>Judy</t>
  </si>
  <si>
    <t>Carpenter</t>
  </si>
  <si>
    <t>jcarpenterpi@fc2.com</t>
  </si>
  <si>
    <t>Charleston</t>
  </si>
  <si>
    <t>Johnny</t>
  </si>
  <si>
    <t>jaustind9@dmoz.org</t>
  </si>
  <si>
    <t>Minnesota</t>
  </si>
  <si>
    <t>Minneapolis</t>
  </si>
  <si>
    <t>Evelyn</t>
  </si>
  <si>
    <t>Turner</t>
  </si>
  <si>
    <t>eturneri1@umich.edu</t>
  </si>
  <si>
    <t>New York City</t>
  </si>
  <si>
    <t>Anthony</t>
  </si>
  <si>
    <t>Frazier</t>
  </si>
  <si>
    <t>afrazierg2@g.co</t>
  </si>
  <si>
    <t>Athens</t>
  </si>
  <si>
    <t>Kennedy</t>
  </si>
  <si>
    <t>ekennedyfo@4shared.com</t>
  </si>
  <si>
    <t>Virginia</t>
  </si>
  <si>
    <t>Fredericksburg</t>
  </si>
  <si>
    <t>Sandra</t>
  </si>
  <si>
    <t>Martin</t>
  </si>
  <si>
    <t>smartinjk@webmd.com</t>
  </si>
  <si>
    <t>Vienna</t>
  </si>
  <si>
    <t>Dorothy</t>
  </si>
  <si>
    <t>Reed</t>
  </si>
  <si>
    <t>dreed7c@ted.com</t>
  </si>
  <si>
    <t>Alan</t>
  </si>
  <si>
    <t>avasquez5n@hhs.gov</t>
  </si>
  <si>
    <t>Colorado Springs</t>
  </si>
  <si>
    <t>Griffin</t>
  </si>
  <si>
    <t>sgriffin1g@tinyurl.com</t>
  </si>
  <si>
    <t>Arthur</t>
  </si>
  <si>
    <t>acooperd4@yale.edu</t>
  </si>
  <si>
    <t>Washington</t>
  </si>
  <si>
    <t>Tacoma</t>
  </si>
  <si>
    <t>Sharon</t>
  </si>
  <si>
    <t>Gonzales</t>
  </si>
  <si>
    <t>sgonzalesm7@columbia.edu</t>
  </si>
  <si>
    <t>visa-electron</t>
  </si>
  <si>
    <t>Waco</t>
  </si>
  <si>
    <t>Eugene</t>
  </si>
  <si>
    <t>Watkins</t>
  </si>
  <si>
    <t>ewatkinsmb@stanford.edu</t>
  </si>
  <si>
    <t>North Carolina</t>
  </si>
  <si>
    <t>Raleigh</t>
  </si>
  <si>
    <t>Ward</t>
  </si>
  <si>
    <t>awardos@samsung.com</t>
  </si>
  <si>
    <t>Houston</t>
  </si>
  <si>
    <t>Sarah</t>
  </si>
  <si>
    <t>Clark</t>
  </si>
  <si>
    <t>sclarkrb@cbslocal.com</t>
  </si>
  <si>
    <t>Texarkana</t>
  </si>
  <si>
    <t>Janet</t>
  </si>
  <si>
    <t>Wagner</t>
  </si>
  <si>
    <t>jwagner7g@engadget.com</t>
  </si>
  <si>
    <t>Richmond</t>
  </si>
  <si>
    <t>Peter</t>
  </si>
  <si>
    <t>Morales</t>
  </si>
  <si>
    <t>pmoralespb@vkontakte.ru</t>
  </si>
  <si>
    <t>Illinois</t>
  </si>
  <si>
    <t>Springfield</t>
  </si>
  <si>
    <t>Benjamin</t>
  </si>
  <si>
    <t>Evans</t>
  </si>
  <si>
    <t>bevansaj@php.net</t>
  </si>
  <si>
    <t>Akron</t>
  </si>
  <si>
    <t>Joshua</t>
  </si>
  <si>
    <t>jaustinhv@yolasite.com</t>
  </si>
  <si>
    <t>Iowa</t>
  </si>
  <si>
    <t>Des Moines</t>
  </si>
  <si>
    <t>Mary</t>
  </si>
  <si>
    <t>mwardk@arizona.edu</t>
  </si>
  <si>
    <t>pfoxbh@chron.com</t>
  </si>
  <si>
    <t>diners-club-international</t>
  </si>
  <si>
    <t>Charlotte</t>
  </si>
  <si>
    <t>ncarpenterej@meetup.com</t>
  </si>
  <si>
    <t>Rochester</t>
  </si>
  <si>
    <t>Steve</t>
  </si>
  <si>
    <t>Carr</t>
  </si>
  <si>
    <t>scarrbw@unblog.fr</t>
  </si>
  <si>
    <t>Van Nuys</t>
  </si>
  <si>
    <t>Mildred</t>
  </si>
  <si>
    <t>mkennedyje@microsoft.com</t>
  </si>
  <si>
    <t>Alaska</t>
  </si>
  <si>
    <t>Juneau</t>
  </si>
  <si>
    <t>Jimmy</t>
  </si>
  <si>
    <t>Boyd</t>
  </si>
  <si>
    <t>jboydl7@reddit.com</t>
  </si>
  <si>
    <t>Taiwanese</t>
  </si>
  <si>
    <t>diners-club-us-ca</t>
  </si>
  <si>
    <t>Concord</t>
  </si>
  <si>
    <t>Joe</t>
  </si>
  <si>
    <t>Hayes</t>
  </si>
  <si>
    <t>jhayesfz@admin.ch</t>
  </si>
  <si>
    <t>American Indian</t>
  </si>
  <si>
    <t>Warren</t>
  </si>
  <si>
    <t>mwarrenbu@icq.com</t>
  </si>
  <si>
    <t>Levittown</t>
  </si>
  <si>
    <t>Ann</t>
  </si>
  <si>
    <t>Cook</t>
  </si>
  <si>
    <t>acook18@lulu.com</t>
  </si>
  <si>
    <t>Arizona</t>
  </si>
  <si>
    <t>Tucson</t>
  </si>
  <si>
    <t>George</t>
  </si>
  <si>
    <t>egeorge71@java.com</t>
  </si>
  <si>
    <t>Maryland</t>
  </si>
  <si>
    <t>Baltimore</t>
  </si>
  <si>
    <t>Thomas</t>
  </si>
  <si>
    <t>athomasdr@huffingtonpost.com</t>
  </si>
  <si>
    <t>Seattle</t>
  </si>
  <si>
    <t>Bradley</t>
  </si>
  <si>
    <t>pbradley33@auda.org.au</t>
  </si>
  <si>
    <t>Lehigh Acres</t>
  </si>
  <si>
    <t>Judith</t>
  </si>
  <si>
    <t>jwagner96@pbs.org</t>
  </si>
  <si>
    <t>South Carolina</t>
  </si>
  <si>
    <t>Mitchell</t>
  </si>
  <si>
    <t>nmitchellcm@si.edu</t>
  </si>
  <si>
    <t>Rebecca</t>
  </si>
  <si>
    <t>revansc0@fc2.com</t>
  </si>
  <si>
    <t>Norfolk</t>
  </si>
  <si>
    <t>Williamson</t>
  </si>
  <si>
    <t>jwilliamson20@google.com.hk</t>
  </si>
  <si>
    <t>Gatesville</t>
  </si>
  <si>
    <t>Willis</t>
  </si>
  <si>
    <t>pwillisj6@whitehouse.gov</t>
  </si>
  <si>
    <t>Pensacola</t>
  </si>
  <si>
    <t>Henry</t>
  </si>
  <si>
    <t>Pierce</t>
  </si>
  <si>
    <t>hpiercerm@chicagotribune.com</t>
  </si>
  <si>
    <t>Katherine</t>
  </si>
  <si>
    <t>Richardson</t>
  </si>
  <si>
    <t>krichardsonal@webs.com</t>
  </si>
  <si>
    <t>Utica</t>
  </si>
  <si>
    <t>Julia</t>
  </si>
  <si>
    <t>Carter</t>
  </si>
  <si>
    <t>jcarterb0@wunderground.com</t>
  </si>
  <si>
    <t>New Haven</t>
  </si>
  <si>
    <t>Alice</t>
  </si>
  <si>
    <t>aturner5q@answers.com</t>
  </si>
  <si>
    <t>Pasadena</t>
  </si>
  <si>
    <t>Kathy</t>
  </si>
  <si>
    <t>kwillisoj@harvard.edu</t>
  </si>
  <si>
    <t>Evansville</t>
  </si>
  <si>
    <t>Robin</t>
  </si>
  <si>
    <t>Banks</t>
  </si>
  <si>
    <t>rbanks34@bizjournals.com</t>
  </si>
  <si>
    <t>Carol</t>
  </si>
  <si>
    <t>Shaw</t>
  </si>
  <si>
    <t>cshaw3q@nbcnews.com</t>
  </si>
  <si>
    <t>Ronald</t>
  </si>
  <si>
    <t>Weaver</t>
  </si>
  <si>
    <t>rweaverme@ucoz.ru</t>
  </si>
  <si>
    <t>Chicago</t>
  </si>
  <si>
    <t>jbradleyo@shop-pro.jp</t>
  </si>
  <si>
    <t>solo</t>
  </si>
  <si>
    <t>jboydfl@stumbleupon.com</t>
  </si>
  <si>
    <t>Hansen</t>
  </si>
  <si>
    <t>ehanseni3@noaa.gov</t>
  </si>
  <si>
    <t>District of Columbia</t>
  </si>
  <si>
    <t>Julie</t>
  </si>
  <si>
    <t>Brooks</t>
  </si>
  <si>
    <t>jbrooks9a@nyu.edu</t>
  </si>
  <si>
    <t>Olson</t>
  </si>
  <si>
    <t>dolsonqp@bloomberg.com</t>
  </si>
  <si>
    <t>Orlando</t>
  </si>
  <si>
    <t>Rachel</t>
  </si>
  <si>
    <t>Fowler</t>
  </si>
  <si>
    <t>rfowlerr9@cnn.com</t>
  </si>
  <si>
    <t>San Rafael</t>
  </si>
  <si>
    <t>Ashley</t>
  </si>
  <si>
    <t>Taylor</t>
  </si>
  <si>
    <t>ataylornx@home.pl</t>
  </si>
  <si>
    <t>Deborah</t>
  </si>
  <si>
    <t>dfowlerc5@irs.gov</t>
  </si>
  <si>
    <t>Hispanic</t>
  </si>
  <si>
    <t>North Hollywood</t>
  </si>
  <si>
    <t>Howard</t>
  </si>
  <si>
    <t>Ramos</t>
  </si>
  <si>
    <t>hramos32@bloomberg.com</t>
  </si>
  <si>
    <t>Rose</t>
  </si>
  <si>
    <t>Kim</t>
  </si>
  <si>
    <t>rkimrh@godaddy.com</t>
  </si>
  <si>
    <t>William</t>
  </si>
  <si>
    <t>Ortiz</t>
  </si>
  <si>
    <t>wortizke@economist.com</t>
  </si>
  <si>
    <t>Greensboro</t>
  </si>
  <si>
    <t>Kathleen</t>
  </si>
  <si>
    <t>kward1r@woothemes.com</t>
  </si>
  <si>
    <t>South Dakota</t>
  </si>
  <si>
    <t>Sioux Falls</t>
  </si>
  <si>
    <t>Betty</t>
  </si>
  <si>
    <t>bphillipshy@netvibes.com</t>
  </si>
  <si>
    <t>Simmons</t>
  </si>
  <si>
    <t>dsimmons4n@oakley.com</t>
  </si>
  <si>
    <t>Matthew</t>
  </si>
  <si>
    <t>Stanley</t>
  </si>
  <si>
    <t>mstanley4h@wp.com</t>
  </si>
  <si>
    <t>Harold</t>
  </si>
  <si>
    <t>hsimpson72@phoca.cz</t>
  </si>
  <si>
    <t>Aaron</t>
  </si>
  <si>
    <t>Patterson</t>
  </si>
  <si>
    <t>apattersonda@diigo.com</t>
  </si>
  <si>
    <t>Irene</t>
  </si>
  <si>
    <t>iturnerhw@sciencedirect.com</t>
  </si>
  <si>
    <t>Fort Wayne</t>
  </si>
  <si>
    <t>sgeorgeca@samsung.com</t>
  </si>
  <si>
    <t>Tennessee</t>
  </si>
  <si>
    <t>Knoxville</t>
  </si>
  <si>
    <t>Emily</t>
  </si>
  <si>
    <t>Gordon</t>
  </si>
  <si>
    <t>egordonfq@utexas.edu</t>
  </si>
  <si>
    <t>Littleton</t>
  </si>
  <si>
    <t>hjacobs4k@adobe.com</t>
  </si>
  <si>
    <t>Duluth</t>
  </si>
  <si>
    <t>Armstrong</t>
  </si>
  <si>
    <t>earmstronglg@nih.gov</t>
  </si>
  <si>
    <t>Jennifer</t>
  </si>
  <si>
    <t>Bennett</t>
  </si>
  <si>
    <t>jbennettfx@google.cn</t>
  </si>
  <si>
    <t>Costa Rican</t>
  </si>
  <si>
    <t>Murphy</t>
  </si>
  <si>
    <t>jmurphy10@google.com.au</t>
  </si>
  <si>
    <t>Edward</t>
  </si>
  <si>
    <t>Moreno</t>
  </si>
  <si>
    <t>emoreno95@theatlantic.com</t>
  </si>
  <si>
    <t>Riverside</t>
  </si>
  <si>
    <t>Kathryn</t>
  </si>
  <si>
    <t>Diaz</t>
  </si>
  <si>
    <t>kdiazhx@uiuc.edu</t>
  </si>
  <si>
    <t>laser</t>
  </si>
  <si>
    <t>Willie</t>
  </si>
  <si>
    <t>wfowler5e@naver.com</t>
  </si>
  <si>
    <t>Kansas City</t>
  </si>
  <si>
    <t>Antonio</t>
  </si>
  <si>
    <t>astanley7y@imageshack.us</t>
  </si>
  <si>
    <t>David</t>
  </si>
  <si>
    <t>Hamilton</t>
  </si>
  <si>
    <t>dhamiltonbz@cnn.com</t>
  </si>
  <si>
    <t>Indianapolis</t>
  </si>
  <si>
    <t>Ryan</t>
  </si>
  <si>
    <t>Andrews</t>
  </si>
  <si>
    <t>randrewsbr@about.com</t>
  </si>
  <si>
    <t>Chris</t>
  </si>
  <si>
    <t>Moore</t>
  </si>
  <si>
    <t>cmooregb@noaa.gov</t>
  </si>
  <si>
    <t>Steven</t>
  </si>
  <si>
    <t>Cunningham</t>
  </si>
  <si>
    <t>scunninghamqy@google.es</t>
  </si>
  <si>
    <t>New Mexico</t>
  </si>
  <si>
    <t>Albuquerque</t>
  </si>
  <si>
    <t>jcunninghamaa@dailymail.co.uk</t>
  </si>
  <si>
    <t>Los Angeles</t>
  </si>
  <si>
    <t>Jean</t>
  </si>
  <si>
    <t>Kelley</t>
  </si>
  <si>
    <t>jkelleyrk@aboutads.info</t>
  </si>
  <si>
    <t>Lexington</t>
  </si>
  <si>
    <t>Marilyn</t>
  </si>
  <si>
    <t>mbrookspz@zimbio.com</t>
  </si>
  <si>
    <t>Teresa</t>
  </si>
  <si>
    <t>Fuller</t>
  </si>
  <si>
    <t>tfullerdy@columbia.edu</t>
  </si>
  <si>
    <t>Lincoln</t>
  </si>
  <si>
    <t>Fields</t>
  </si>
  <si>
    <t>rfieldsjf@skyrock.com</t>
  </si>
  <si>
    <t>Utah</t>
  </si>
  <si>
    <t>Sandy</t>
  </si>
  <si>
    <t>rboydbg@aboutads.info</t>
  </si>
  <si>
    <t>South American</t>
  </si>
  <si>
    <t>Hanson</t>
  </si>
  <si>
    <t>shansonb3@nature.com</t>
  </si>
  <si>
    <t>Gary</t>
  </si>
  <si>
    <t>arayfr@about.me</t>
  </si>
  <si>
    <t>Nashville</t>
  </si>
  <si>
    <t>Lillian</t>
  </si>
  <si>
    <t>Lynch</t>
  </si>
  <si>
    <t>llynchmz@gmpg.org</t>
  </si>
  <si>
    <t>Odessa</t>
  </si>
  <si>
    <t>Jack</t>
  </si>
  <si>
    <t>Dean</t>
  </si>
  <si>
    <t>jdeanlc@naver.com</t>
  </si>
  <si>
    <t>Donald</t>
  </si>
  <si>
    <t>Bishop</t>
  </si>
  <si>
    <t>dbishopgv@mayoclinic.com</t>
  </si>
  <si>
    <t>Murfreesboro</t>
  </si>
  <si>
    <t>Linda</t>
  </si>
  <si>
    <t>ldean3d@homestead.com</t>
  </si>
  <si>
    <t>Marshall</t>
  </si>
  <si>
    <t>lmarshall2u@yahoo.com</t>
  </si>
  <si>
    <t>Dallas</t>
  </si>
  <si>
    <t>Gloria</t>
  </si>
  <si>
    <t>ghanson91@google.co.jp</t>
  </si>
  <si>
    <t>dwillis2j@newsvine.com</t>
  </si>
  <si>
    <t>bperrynn@behance.net</t>
  </si>
  <si>
    <t>New Jersey</t>
  </si>
  <si>
    <t>Newark</t>
  </si>
  <si>
    <t>Fernandez</t>
  </si>
  <si>
    <t>vfernandez4s@chron.com</t>
  </si>
  <si>
    <t>Dayton</t>
  </si>
  <si>
    <t>staylord3@google.com.hk</t>
  </si>
  <si>
    <t>aboyd97@mail.ru</t>
  </si>
  <si>
    <t>Lubbock</t>
  </si>
  <si>
    <t>hpetersonf7@netlog.com</t>
  </si>
  <si>
    <t>Nevada</t>
  </si>
  <si>
    <t>Las Vegas</t>
  </si>
  <si>
    <t>Melissa</t>
  </si>
  <si>
    <t>mrileyng@tripadvisor.com</t>
  </si>
  <si>
    <t>tcunninghamql@addtoany.com</t>
  </si>
  <si>
    <t>Oakland</t>
  </si>
  <si>
    <t>Amy</t>
  </si>
  <si>
    <t>Cruz</t>
  </si>
  <si>
    <t>acruzc6@cnet.com</t>
  </si>
  <si>
    <t>Wichita Falls</t>
  </si>
  <si>
    <t>Jason</t>
  </si>
  <si>
    <t>Ramirez</t>
  </si>
  <si>
    <t>jramirezkm@tumblr.com</t>
  </si>
  <si>
    <t>Terre Haute</t>
  </si>
  <si>
    <t>jcruz1l@google.nl</t>
  </si>
  <si>
    <t>Phoenix</t>
  </si>
  <si>
    <t>Mcdonald</t>
  </si>
  <si>
    <t>smcdonald77@wikipedia.org</t>
  </si>
  <si>
    <t>Castillo</t>
  </si>
  <si>
    <t>acastillo7f@bloglovin.com</t>
  </si>
  <si>
    <t>Plano</t>
  </si>
  <si>
    <t>pjamesoa@sciencedirect.com</t>
  </si>
  <si>
    <t>Long</t>
  </si>
  <si>
    <t>dlongd6@answers.com</t>
  </si>
  <si>
    <t>Lawrence</t>
  </si>
  <si>
    <t>jlawrenceir@columbia.edu</t>
  </si>
  <si>
    <t>Saint Paul</t>
  </si>
  <si>
    <t>Donna</t>
  </si>
  <si>
    <t>drichardson1v@typepad.com</t>
  </si>
  <si>
    <t>San Antonio</t>
  </si>
  <si>
    <t>Butler</t>
  </si>
  <si>
    <t>tbutlermy@soundcloud.com</t>
  </si>
  <si>
    <t>Chattanooga</t>
  </si>
  <si>
    <t>Alvarez</t>
  </si>
  <si>
    <t>talvarezet@edublogs.org</t>
  </si>
  <si>
    <t>Alabama</t>
  </si>
  <si>
    <t>Anniston</t>
  </si>
  <si>
    <t>Lawson</t>
  </si>
  <si>
    <t>klawsonap@histats.com</t>
  </si>
  <si>
    <t>Powell</t>
  </si>
  <si>
    <t>mpowellqa@plala.or.jp</t>
  </si>
  <si>
    <t>Denton</t>
  </si>
  <si>
    <t>mdeankb@livejournal.com</t>
  </si>
  <si>
    <t>Saginaw</t>
  </si>
  <si>
    <t>ithompsonnk@webs.com</t>
  </si>
  <si>
    <t>Foster</t>
  </si>
  <si>
    <t>afosterp1@meetup.com</t>
  </si>
  <si>
    <t>Pompano Beach</t>
  </si>
  <si>
    <t>Gregory</t>
  </si>
  <si>
    <t>Myers</t>
  </si>
  <si>
    <t>gmyersk1@amazonaws.com</t>
  </si>
  <si>
    <t>Huntington Beach</t>
  </si>
  <si>
    <t>Ruby</t>
  </si>
  <si>
    <t>rhicks7d@1688.com</t>
  </si>
  <si>
    <t>Japanese</t>
  </si>
  <si>
    <t>Robinson</t>
  </si>
  <si>
    <t>drobinsondp@symantec.com</t>
  </si>
  <si>
    <t>Hollywood</t>
  </si>
  <si>
    <t>Patricia</t>
  </si>
  <si>
    <t>pbrooksed@eventbrite.com</t>
  </si>
  <si>
    <t>Jane</t>
  </si>
  <si>
    <t>jhenryd7@moonfruit.com</t>
  </si>
  <si>
    <t>Savannah</t>
  </si>
  <si>
    <t>award53@springer.com</t>
  </si>
  <si>
    <t>Thai</t>
  </si>
  <si>
    <t>Trenton</t>
  </si>
  <si>
    <t>Andrew</t>
  </si>
  <si>
    <t>Gutierrez</t>
  </si>
  <si>
    <t>agutierrez58@bbb.org</t>
  </si>
  <si>
    <t>Oxnard</t>
  </si>
  <si>
    <t>rfernandezv@smh.com.au</t>
  </si>
  <si>
    <t>Theresa</t>
  </si>
  <si>
    <t>Rogers</t>
  </si>
  <si>
    <t>trogersnl@gov.uk</t>
  </si>
  <si>
    <t>Idaho</t>
  </si>
  <si>
    <t>Boise</t>
  </si>
  <si>
    <t>Patrick</t>
  </si>
  <si>
    <t>pmooreg8@ihg.com</t>
  </si>
  <si>
    <t>Jordan</t>
  </si>
  <si>
    <t>djordanpr@uol.com.br</t>
  </si>
  <si>
    <t>Nicholas</t>
  </si>
  <si>
    <t>ncastillorc@typepad.com</t>
  </si>
  <si>
    <t>Cleveland</t>
  </si>
  <si>
    <t>Parker</t>
  </si>
  <si>
    <t>gparkeroz@arizona.edu</t>
  </si>
  <si>
    <t>Payne</t>
  </si>
  <si>
    <t>ppayner7@csmonitor.com</t>
  </si>
  <si>
    <t>Migrate</t>
  </si>
  <si>
    <t>afernandezik@sfgate.com</t>
  </si>
  <si>
    <t>Memphis</t>
  </si>
  <si>
    <t>Carlos</t>
  </si>
  <si>
    <t>chansonm0@flavors.me</t>
  </si>
  <si>
    <t>Harvey</t>
  </si>
  <si>
    <t>bharveyhr@msn.com</t>
  </si>
  <si>
    <t>Santa Barbara</t>
  </si>
  <si>
    <t>Stephanie</t>
  </si>
  <si>
    <t>scastillomq@umn.edu</t>
  </si>
  <si>
    <t>Saint Joseph</t>
  </si>
  <si>
    <t>nturnerof@storify.com</t>
  </si>
  <si>
    <t>Brian</t>
  </si>
  <si>
    <t>blonga0@examiner.com</t>
  </si>
  <si>
    <t>ewatkinsqn@google.it</t>
  </si>
  <si>
    <t>rarmstrongg7@tiny.cc</t>
  </si>
  <si>
    <t>srice3b@bizjournals.com</t>
  </si>
  <si>
    <t>Helen</t>
  </si>
  <si>
    <t>hhartq7@altervista.org</t>
  </si>
  <si>
    <t>Anna</t>
  </si>
  <si>
    <t>ahansen75@4shared.com</t>
  </si>
  <si>
    <t>Carolyn</t>
  </si>
  <si>
    <t>cwatkinsbv@army.mil</t>
  </si>
  <si>
    <t>Sacramento</t>
  </si>
  <si>
    <t>Louise</t>
  </si>
  <si>
    <t>lfullerj7@vinaora.com</t>
  </si>
  <si>
    <t>Diane</t>
  </si>
  <si>
    <t>Porter</t>
  </si>
  <si>
    <t>dporter5u@economist.com</t>
  </si>
  <si>
    <t>San Bernardino</t>
  </si>
  <si>
    <t>2/29/2019</t>
  </si>
  <si>
    <t>swardkp@mozilla.org</t>
  </si>
  <si>
    <t>Bridgeport</t>
  </si>
  <si>
    <t>Nancy</t>
  </si>
  <si>
    <t>Gardner</t>
  </si>
  <si>
    <t>ngardnerqw@furl.net</t>
  </si>
  <si>
    <t>Gonzalez</t>
  </si>
  <si>
    <t>jgonzalezcd@cafepress.com</t>
  </si>
  <si>
    <t>Stone</t>
  </si>
  <si>
    <t>istoned0@narod.ru</t>
  </si>
  <si>
    <t>Beverly</t>
  </si>
  <si>
    <t>Carroll</t>
  </si>
  <si>
    <t>bcarrollo2@w3.org</t>
  </si>
  <si>
    <t>gcunninghamlh@virginia.edu</t>
  </si>
  <si>
    <t>San Francisco</t>
  </si>
  <si>
    <t>Frank</t>
  </si>
  <si>
    <t>fstanleylk@biblegateway.com</t>
  </si>
  <si>
    <t>Jose</t>
  </si>
  <si>
    <t>Scott</t>
  </si>
  <si>
    <t>jscottoe@topsy.com</t>
  </si>
  <si>
    <t>Toledo</t>
  </si>
  <si>
    <t>Christopher</t>
  </si>
  <si>
    <t>colsonm2@theglobeandmail.com</t>
  </si>
  <si>
    <t>gpiercemc@youku.com</t>
  </si>
  <si>
    <t>Karen</t>
  </si>
  <si>
    <t>kboydcz@indiegogo.com</t>
  </si>
  <si>
    <t>Shawnee Mission</t>
  </si>
  <si>
    <t>kmurraypf@gnu.org</t>
  </si>
  <si>
    <t>Visalia</t>
  </si>
  <si>
    <t>Nguyen</t>
  </si>
  <si>
    <t>anguyenns@mozilla.org</t>
  </si>
  <si>
    <t>Stockton</t>
  </si>
  <si>
    <t>Michelle</t>
  </si>
  <si>
    <t>Harris</t>
  </si>
  <si>
    <t>mharris1k@ted.com</t>
  </si>
  <si>
    <t>Walker</t>
  </si>
  <si>
    <t>swalkerh0@europa.eu</t>
  </si>
  <si>
    <t>Columbus</t>
  </si>
  <si>
    <t>Lori</t>
  </si>
  <si>
    <t>Torres</t>
  </si>
  <si>
    <t>ltorreslq@myspace.com</t>
  </si>
  <si>
    <t>Manassas</t>
  </si>
  <si>
    <t>jhawkinsjx@loc.gov</t>
  </si>
  <si>
    <t>Alexandria</t>
  </si>
  <si>
    <t>Russell</t>
  </si>
  <si>
    <t>srussellpc@goo.ne.jp</t>
  </si>
  <si>
    <t>Kelly</t>
  </si>
  <si>
    <t>kbryantlb@usgs.gov</t>
  </si>
  <si>
    <t>Lois</t>
  </si>
  <si>
    <t>lgonzalesc3@jiathis.com</t>
  </si>
  <si>
    <t>Brooklyn</t>
  </si>
  <si>
    <t>sshawz@nhs.uk</t>
  </si>
  <si>
    <t>pjamesl1@zimbio.com</t>
  </si>
  <si>
    <t>swarrenrg@ft.com</t>
  </si>
  <si>
    <t>lporteroy@mediafire.com</t>
  </si>
  <si>
    <t>Walter</t>
  </si>
  <si>
    <t>wclarkrn@cdbaby.com</t>
  </si>
  <si>
    <t>ecarterr5@usatoday.com</t>
  </si>
  <si>
    <t>mshawgu@soup.io</t>
  </si>
  <si>
    <t>Perez</t>
  </si>
  <si>
    <t>rperezl@boston.com</t>
  </si>
  <si>
    <t>Reno</t>
  </si>
  <si>
    <t>mcoleman6y@blogger.com</t>
  </si>
  <si>
    <t>Owens</t>
  </si>
  <si>
    <t>bowens1d@cbsnews.com</t>
  </si>
  <si>
    <t>Ellis</t>
  </si>
  <si>
    <t>jelliskd@twitpic.com</t>
  </si>
  <si>
    <t>fedwards68@ft.com</t>
  </si>
  <si>
    <t>Price</t>
  </si>
  <si>
    <t>wpricef1@hugedomains.com</t>
  </si>
  <si>
    <t>djordano4@gov.uk</t>
  </si>
  <si>
    <t>Augusta</t>
  </si>
  <si>
    <t>jandrews1n@weibo.com</t>
  </si>
  <si>
    <t>White Plains</t>
  </si>
  <si>
    <t>John</t>
  </si>
  <si>
    <t>jfernandez6z@diigo.com</t>
  </si>
  <si>
    <t>Mendoza</t>
  </si>
  <si>
    <t>lmendozaiw@blinklist.com</t>
  </si>
  <si>
    <t>Fisher</t>
  </si>
  <si>
    <t>wfisher1q@cornell.edu</t>
  </si>
  <si>
    <t>Delray Beach</t>
  </si>
  <si>
    <t>Robert</t>
  </si>
  <si>
    <t>rfishergz@taobao.com</t>
  </si>
  <si>
    <t>ibradleylo@google.co.jp</t>
  </si>
  <si>
    <t>Aurora</t>
  </si>
  <si>
    <t>jrobinson9w@jalbum.net</t>
  </si>
  <si>
    <t>Stamford</t>
  </si>
  <si>
    <t>dlawsonb6@paginegialle.it</t>
  </si>
  <si>
    <t>Baker</t>
  </si>
  <si>
    <t>rbakerqd@examiner.com</t>
  </si>
  <si>
    <t>Arkansas</t>
  </si>
  <si>
    <t>North Little Rock</t>
  </si>
  <si>
    <t>ckellyri@apple.com</t>
  </si>
  <si>
    <t>Douglas</t>
  </si>
  <si>
    <t>dbrooksiv@google.com</t>
  </si>
  <si>
    <t>Jacksonville</t>
  </si>
  <si>
    <t>wmoorek9@ifeng.com</t>
  </si>
  <si>
    <t>jedwards49@free.fr</t>
  </si>
  <si>
    <t>Oklahoma</t>
  </si>
  <si>
    <t>Oklahoma City</t>
  </si>
  <si>
    <t>Marie</t>
  </si>
  <si>
    <t>Ford</t>
  </si>
  <si>
    <t>mford1e@bing.com</t>
  </si>
  <si>
    <t>nharrisak@so-net.ne.jp</t>
  </si>
  <si>
    <t>rcarrollpp@ameblo.jp</t>
  </si>
  <si>
    <t>Marietta</t>
  </si>
  <si>
    <t>Joan</t>
  </si>
  <si>
    <t>Morris</t>
  </si>
  <si>
    <t>jmorrisdv@surveymonkey.com</t>
  </si>
  <si>
    <t>Mobile</t>
  </si>
  <si>
    <t>Sara</t>
  </si>
  <si>
    <t>sowensob@fotki.com</t>
  </si>
  <si>
    <t>New Orleans</t>
  </si>
  <si>
    <t>khartnt@sbwire.com</t>
  </si>
  <si>
    <t>Albany</t>
  </si>
  <si>
    <t>Juan</t>
  </si>
  <si>
    <t>Lopez</t>
  </si>
  <si>
    <t>jlopezcx@oracle.com</t>
  </si>
  <si>
    <t>wfoxpa@samsung.com</t>
  </si>
  <si>
    <t>Laredo</t>
  </si>
  <si>
    <t>Clarence</t>
  </si>
  <si>
    <t>calvarezjj@elegantthemes.com</t>
  </si>
  <si>
    <t>dharrispo@fastcompany.com</t>
  </si>
  <si>
    <t>lcruz1f@senate.gov</t>
  </si>
  <si>
    <t>Stewart</t>
  </si>
  <si>
    <t>jstewartm6@cnet.com</t>
  </si>
  <si>
    <t>eholmes5s@yellowbook.com</t>
  </si>
  <si>
    <t>Champaign</t>
  </si>
  <si>
    <t>eperezpk@cnn.com</t>
  </si>
  <si>
    <t>Long Beach</t>
  </si>
  <si>
    <t>Kimberly</t>
  </si>
  <si>
    <t>Wood</t>
  </si>
  <si>
    <t>kwood5t@nifty.com</t>
  </si>
  <si>
    <t>Waterbury</t>
  </si>
  <si>
    <t>mlopezlm@intel.com</t>
  </si>
  <si>
    <t>Bowman</t>
  </si>
  <si>
    <t>pbowman2f@usatoday.com</t>
  </si>
  <si>
    <t>Perkins</t>
  </si>
  <si>
    <t>aperkins76@nbcnews.com</t>
  </si>
  <si>
    <t>Harry</t>
  </si>
  <si>
    <t>hhawkinsc8@latimes.com</t>
  </si>
  <si>
    <t>rgordonip@weather.com</t>
  </si>
  <si>
    <t>jmeyer2g@dell.com</t>
  </si>
  <si>
    <t>Doris</t>
  </si>
  <si>
    <t>Bailey</t>
  </si>
  <si>
    <t>dbaileybj@de.vu</t>
  </si>
  <si>
    <t>Jenkins</t>
  </si>
  <si>
    <t>bjenkins2q@list-manage.com</t>
  </si>
  <si>
    <t>Rodriguez</t>
  </si>
  <si>
    <t>arodriguezg4@si.edu</t>
  </si>
  <si>
    <t>Sullivan</t>
  </si>
  <si>
    <t>dsullivan51@wordpress.org</t>
  </si>
  <si>
    <t>Florence</t>
  </si>
  <si>
    <t>jfoxny@china.com.cn</t>
  </si>
  <si>
    <t>Anderson</t>
  </si>
  <si>
    <t>Louis</t>
  </si>
  <si>
    <t>Nichols</t>
  </si>
  <si>
    <t>lnicholsrf@tinypic.com</t>
  </si>
  <si>
    <t>Tucker</t>
  </si>
  <si>
    <t>jtuckerg6@google.ru</t>
  </si>
  <si>
    <t>Knight</t>
  </si>
  <si>
    <t>sknight9b@statcounter.com</t>
  </si>
  <si>
    <t>alopezma@theguardian.com</t>
  </si>
  <si>
    <t>Todd</t>
  </si>
  <si>
    <t>thowardna@nasa.gov</t>
  </si>
  <si>
    <t>Syracuse</t>
  </si>
  <si>
    <t>aperkinsem@google.co.jp</t>
  </si>
  <si>
    <t>Richard</t>
  </si>
  <si>
    <t>rfosterpm@elpais.com</t>
  </si>
  <si>
    <t>Jeffrey</t>
  </si>
  <si>
    <t>jdean45@pbs.org</t>
  </si>
  <si>
    <t>Madison</t>
  </si>
  <si>
    <t>aboydov@biblegateway.com</t>
  </si>
  <si>
    <t>jpowell7e@aol.com</t>
  </si>
  <si>
    <t>Delaware</t>
  </si>
  <si>
    <t>Wilmington</t>
  </si>
  <si>
    <t>Tammy</t>
  </si>
  <si>
    <t>Spencer</t>
  </si>
  <si>
    <t>tspencerg@istockphoto.com</t>
  </si>
  <si>
    <t>jjameshu@ning.com</t>
  </si>
  <si>
    <t>cgeorge2b@bloglovin.com</t>
  </si>
  <si>
    <t>Macon</t>
  </si>
  <si>
    <t>schapmanb2@deviantart.com</t>
  </si>
  <si>
    <t>Victor</t>
  </si>
  <si>
    <t>Gibson</t>
  </si>
  <si>
    <t>vgibsonku@yandex.ru</t>
  </si>
  <si>
    <t>dkim6c@dropbox.com</t>
  </si>
  <si>
    <t>astanleyqk@phpbb.com</t>
  </si>
  <si>
    <t>Iowa City</t>
  </si>
  <si>
    <t>Anne</t>
  </si>
  <si>
    <t>Day</t>
  </si>
  <si>
    <t>adayqg@hhs.gov</t>
  </si>
  <si>
    <t>rfisherko@com.com</t>
  </si>
  <si>
    <t>Daniel</t>
  </si>
  <si>
    <t>Cox</t>
  </si>
  <si>
    <t>dcoxbf@addtoany.com</t>
  </si>
  <si>
    <t>Palo Alto</t>
  </si>
  <si>
    <t>Diana</t>
  </si>
  <si>
    <t>dday9v@cdc.gov</t>
  </si>
  <si>
    <t>Sanders</t>
  </si>
  <si>
    <t>ssandersqe@goo.ne.jp</t>
  </si>
  <si>
    <t>vwatkins9q@bbc.co.uk</t>
  </si>
  <si>
    <t>Jamaica</t>
  </si>
  <si>
    <t>Larry</t>
  </si>
  <si>
    <t>Miller</t>
  </si>
  <si>
    <t>lmiller5o@addthis.com</t>
  </si>
  <si>
    <t>Billy</t>
  </si>
  <si>
    <t>Snyder</t>
  </si>
  <si>
    <t>bsnyder1x@digg.com</t>
  </si>
  <si>
    <t>Birmingham</t>
  </si>
  <si>
    <t>Freeman</t>
  </si>
  <si>
    <t>tfreeman6a@soundcloud.com</t>
  </si>
  <si>
    <t>nsandersl3@youtube.com</t>
  </si>
  <si>
    <t>Margaret</t>
  </si>
  <si>
    <t>Henderson</t>
  </si>
  <si>
    <t>mhenderson1u@whitehouse.gov</t>
  </si>
  <si>
    <t>pcoxp5@acquirethisname.com</t>
  </si>
  <si>
    <t>Salt Lake City</t>
  </si>
  <si>
    <t>jtucker4t@desdev.cn</t>
  </si>
  <si>
    <t>Peters</t>
  </si>
  <si>
    <t>speterspd@nih.gov</t>
  </si>
  <si>
    <t>Arlington</t>
  </si>
  <si>
    <t>mmitchellil@forbes.com</t>
  </si>
  <si>
    <t>ffowlermw@timesonline.co.uk</t>
  </si>
  <si>
    <t>sandersoni6@odnoklassniki.ru</t>
  </si>
  <si>
    <t>tdiazaz@un.org</t>
  </si>
  <si>
    <t>Angela</t>
  </si>
  <si>
    <t>Stephens</t>
  </si>
  <si>
    <t>astephenskn@dropbox.com</t>
  </si>
  <si>
    <t>Hernandez</t>
  </si>
  <si>
    <t>shernandezel@nsw.gov.au</t>
  </si>
  <si>
    <t>Charles</t>
  </si>
  <si>
    <t>Arnold</t>
  </si>
  <si>
    <t>carnold3l@hao123.com</t>
  </si>
  <si>
    <t>Wilson</t>
  </si>
  <si>
    <t>iwilsonmo@barnesandnoble.com</t>
  </si>
  <si>
    <t>North Dakota</t>
  </si>
  <si>
    <t>Bismarck</t>
  </si>
  <si>
    <t>Jacqueline</t>
  </si>
  <si>
    <t>jkelley2d@51.la</t>
  </si>
  <si>
    <t>Asheville</t>
  </si>
  <si>
    <t>Grant</t>
  </si>
  <si>
    <t>mgrant3z@reference.com</t>
  </si>
  <si>
    <t>Matthews</t>
  </si>
  <si>
    <t>smatthews3h@alibaba.com</t>
  </si>
  <si>
    <t>Keith</t>
  </si>
  <si>
    <t>kmillerhq@slideshare.net</t>
  </si>
  <si>
    <t>tsimpsonht@businessweek.com</t>
  </si>
  <si>
    <t>gclark21@ftc.gov</t>
  </si>
  <si>
    <t>Morrison</t>
  </si>
  <si>
    <t>emorrisonbi@usda.gov</t>
  </si>
  <si>
    <t>lmccoygr@squarespace.com</t>
  </si>
  <si>
    <t>wlong2y@redcross.org</t>
  </si>
  <si>
    <t>bwatkins17@exblog.jp</t>
  </si>
  <si>
    <t>Roger</t>
  </si>
  <si>
    <t>rwarren2v@foxnews.com</t>
  </si>
  <si>
    <t>Canton</t>
  </si>
  <si>
    <t>thawkinsjv@networkadvertising.org</t>
  </si>
  <si>
    <t>Tampa</t>
  </si>
  <si>
    <t>emcdonaldmk@blogtalkradio.com</t>
  </si>
  <si>
    <t>pelliottl9@ning.com</t>
  </si>
  <si>
    <t>rbanksnz@toplist.cz</t>
  </si>
  <si>
    <t>Peoria</t>
  </si>
  <si>
    <t>nmitchelllj@yahoo.com</t>
  </si>
  <si>
    <t>Saint Augustine</t>
  </si>
  <si>
    <t>llong6u@slate.com</t>
  </si>
  <si>
    <t>Huntsville</t>
  </si>
  <si>
    <t>Cole</t>
  </si>
  <si>
    <t>lcoleo3@shinystat.com</t>
  </si>
  <si>
    <t>Mansfield</t>
  </si>
  <si>
    <t>Franklin</t>
  </si>
  <si>
    <t>jfranklinf6@trellian.com</t>
  </si>
  <si>
    <t>cbishopnc@java.com</t>
  </si>
  <si>
    <t>jarnoldga@paginegialle.it</t>
  </si>
  <si>
    <t>Hudson</t>
  </si>
  <si>
    <t>chudsono8@ask.com</t>
  </si>
  <si>
    <t>rgonzalezrp@wired.com</t>
  </si>
  <si>
    <t>Roberts</t>
  </si>
  <si>
    <t>crobertsfm@tiny.cc</t>
  </si>
  <si>
    <t>rrice79@sphinn.com</t>
  </si>
  <si>
    <t>Daniels</t>
  </si>
  <si>
    <t>ddanielsh@cam.ac.uk</t>
  </si>
  <si>
    <t>abowmanq8@amazon.co.uk</t>
  </si>
  <si>
    <t>jholmesqr@pbs.org</t>
  </si>
  <si>
    <t>Joyce</t>
  </si>
  <si>
    <t>jvasquez90@china.com.cn</t>
  </si>
  <si>
    <t>Irvine</t>
  </si>
  <si>
    <t>Paula</t>
  </si>
  <si>
    <t>pfowlerdu@bloomberg.com</t>
  </si>
  <si>
    <t>wgonzalez3k@java.com</t>
  </si>
  <si>
    <t>jdayen@google.co.jp</t>
  </si>
  <si>
    <t>Carlsbad</t>
  </si>
  <si>
    <t>rstephensnp@soundcloud.com</t>
  </si>
  <si>
    <t>Elizabeth</t>
  </si>
  <si>
    <t>emedina57@usnews.com</t>
  </si>
  <si>
    <t>wcruzg3@myspace.com</t>
  </si>
  <si>
    <t>paustind5@networksolutions.com</t>
  </si>
  <si>
    <t>Bakersfield</t>
  </si>
  <si>
    <t>dmorenoq1@seesaa.net</t>
  </si>
  <si>
    <t>Carl</t>
  </si>
  <si>
    <t>Lewis</t>
  </si>
  <si>
    <t>clewisgs@ezinearticles.com</t>
  </si>
  <si>
    <t>San Diego</t>
  </si>
  <si>
    <t>Maria</t>
  </si>
  <si>
    <t>mhartj@intel.com</t>
  </si>
  <si>
    <t>hcooperoi@furl.net</t>
  </si>
  <si>
    <t>rmooredw@diigo.com</t>
  </si>
  <si>
    <t>Larson</t>
  </si>
  <si>
    <t>jlarson94@furl.net</t>
  </si>
  <si>
    <t>Chico</t>
  </si>
  <si>
    <t>cnichols3c@bloglovin.com</t>
  </si>
  <si>
    <t>thawkins8i@wikia.com</t>
  </si>
  <si>
    <t>cday74@phoca.cz</t>
  </si>
  <si>
    <t>Bradenton</t>
  </si>
  <si>
    <t>Bobby</t>
  </si>
  <si>
    <t>Bell</t>
  </si>
  <si>
    <t>bbellaq@barnesandnoble.com</t>
  </si>
  <si>
    <t>Morgan</t>
  </si>
  <si>
    <t>bmorgankg@mapquest.com</t>
  </si>
  <si>
    <t>aromerob1@ucla.edu</t>
  </si>
  <si>
    <t>ssimmonskj@yahoo.co.jp</t>
  </si>
  <si>
    <t>gcarrk2@archive.org</t>
  </si>
  <si>
    <t>Amanda</t>
  </si>
  <si>
    <t>ajamesjq@wp.com</t>
  </si>
  <si>
    <t>Smith</t>
  </si>
  <si>
    <t>dsmith3i@buzzfeed.com</t>
  </si>
  <si>
    <t>Boston</t>
  </si>
  <si>
    <t>tpeters9f@networkadvertising.org</t>
  </si>
  <si>
    <t>Martinez</t>
  </si>
  <si>
    <t>cmartinezce@theguardian.com</t>
  </si>
  <si>
    <t>mromerogo@sfgate.com</t>
  </si>
  <si>
    <t>rgordonps@howstuffworks.com</t>
  </si>
  <si>
    <t>acarterlp@blogs.com</t>
  </si>
  <si>
    <t>cmarshallot@parallels.com</t>
  </si>
  <si>
    <t>cwardq4@bloglines.com</t>
  </si>
  <si>
    <t>Kissimmee</t>
  </si>
  <si>
    <t>West</t>
  </si>
  <si>
    <t>twestf0@ebay.co.uk</t>
  </si>
  <si>
    <t>Christine</t>
  </si>
  <si>
    <t>cmoralesmd@phpbb.com</t>
  </si>
  <si>
    <t>Collins</t>
  </si>
  <si>
    <t>ecollinsor@goo.ne.jp</t>
  </si>
  <si>
    <t>Hall</t>
  </si>
  <si>
    <t>mhallkc@g.co</t>
  </si>
  <si>
    <t>Paul</t>
  </si>
  <si>
    <t>pbrooksjg@lycos.com</t>
  </si>
  <si>
    <t>staylorfn@tmall.com</t>
  </si>
  <si>
    <t>Mesquite</t>
  </si>
  <si>
    <t>Mason</t>
  </si>
  <si>
    <t>rmasonqf@economist.com</t>
  </si>
  <si>
    <t>kcastilloc7@photobucket.com</t>
  </si>
  <si>
    <t>scoxfp@ibm.com</t>
  </si>
  <si>
    <t>rhawkins6d@utexas.edu</t>
  </si>
  <si>
    <t>Naples</t>
  </si>
  <si>
    <t>jtuckerl0@bizjournals.com</t>
  </si>
  <si>
    <t>jrosejc@csmonitor.com</t>
  </si>
  <si>
    <t>jcunninghamg0@ocn.ne.jp</t>
  </si>
  <si>
    <t>Winston Salem</t>
  </si>
  <si>
    <t>Green</t>
  </si>
  <si>
    <t>egreenkq@wikia.com</t>
  </si>
  <si>
    <t>jevanslt@unc.edu</t>
  </si>
  <si>
    <t>jfieldsiz@myspace.com</t>
  </si>
  <si>
    <t>Sean</t>
  </si>
  <si>
    <t>skennedy1c@sitemeter.com</t>
  </si>
  <si>
    <t>Ernest</t>
  </si>
  <si>
    <t>eperkinsix@unc.edu</t>
  </si>
  <si>
    <t>Carson City</t>
  </si>
  <si>
    <t>Alexander</t>
  </si>
  <si>
    <t>jalexanderks@clickbank.net</t>
  </si>
  <si>
    <t>Mills</t>
  </si>
  <si>
    <t>emillsp@indiegogo.com</t>
  </si>
  <si>
    <t>Saint Petersburg</t>
  </si>
  <si>
    <t>Wallace</t>
  </si>
  <si>
    <t>awallacedq@archive.org</t>
  </si>
  <si>
    <t>eknightjm@thetimes.co.uk</t>
  </si>
  <si>
    <t>Reid</t>
  </si>
  <si>
    <t>wreidr8@phpbb.com</t>
  </si>
  <si>
    <t>vjamesmi@theglobeandmail.com</t>
  </si>
  <si>
    <t>fmartina1@japanpost.jp</t>
  </si>
  <si>
    <t>wowensmx@alexa.com</t>
  </si>
  <si>
    <t>Rivera</t>
  </si>
  <si>
    <t>jriveraog@nationalgeographic.com</t>
  </si>
  <si>
    <t>Hagerstown</t>
  </si>
  <si>
    <t>sramirez4m@google.de</t>
  </si>
  <si>
    <t>Beaumont</t>
  </si>
  <si>
    <t>Garcia</t>
  </si>
  <si>
    <t>jgarcia4c@hibu.com</t>
  </si>
  <si>
    <t>Dixon</t>
  </si>
  <si>
    <t>vdixon3r@blogger.com</t>
  </si>
  <si>
    <t>krichardsoneh@facebook.com</t>
  </si>
  <si>
    <t>Las Cruces</t>
  </si>
  <si>
    <t>swardf4@xing.com</t>
  </si>
  <si>
    <t>jhallm3@macromedia.com</t>
  </si>
  <si>
    <t>Annie</t>
  </si>
  <si>
    <t>Reyes</t>
  </si>
  <si>
    <t>areyesmp@patch.com</t>
  </si>
  <si>
    <t>jsimpsonm9@mapy.cz</t>
  </si>
  <si>
    <t>rknightn9@slideshare.net</t>
  </si>
  <si>
    <t>Little Rock</t>
  </si>
  <si>
    <t>kgardnerp7@discovery.com</t>
  </si>
  <si>
    <t>Ferguson</t>
  </si>
  <si>
    <t>cfergusonn8@arstechnica.com</t>
  </si>
  <si>
    <t>kturner2c@auda.org.au</t>
  </si>
  <si>
    <t>mryang9@goo.gl</t>
  </si>
  <si>
    <t>cmasondb@ucsd.edu</t>
  </si>
  <si>
    <t>tarmstrong4q@desdev.cn</t>
  </si>
  <si>
    <t>Erie</t>
  </si>
  <si>
    <t>cwest2t@examiner.com</t>
  </si>
  <si>
    <t>jcarrb4@geocities.com</t>
  </si>
  <si>
    <t>jthomas9u@sfgate.com</t>
  </si>
  <si>
    <t>Terry</t>
  </si>
  <si>
    <t>Dunn</t>
  </si>
  <si>
    <t>tdunn37@apache.org</t>
  </si>
  <si>
    <t>mbowmanmr@gnu.org</t>
  </si>
  <si>
    <t>jforddm@washingtonpost.com</t>
  </si>
  <si>
    <t>South Lake Tahoe</t>
  </si>
  <si>
    <t>Watson</t>
  </si>
  <si>
    <t>jwatsonrr@samsung.com</t>
  </si>
  <si>
    <t>Timothy</t>
  </si>
  <si>
    <t>tedwardsll@ycombinator.com</t>
  </si>
  <si>
    <t>Schmidt</t>
  </si>
  <si>
    <t>tschmidtiq@youtube.com</t>
  </si>
  <si>
    <t>Hunter</t>
  </si>
  <si>
    <t>chuntercc@rakuten.co.jp</t>
  </si>
  <si>
    <t>Gainesville</t>
  </si>
  <si>
    <t>dclark6x@twitpic.com</t>
  </si>
  <si>
    <t>slewisn6@fc2.com</t>
  </si>
  <si>
    <t>Jeffersonville</t>
  </si>
  <si>
    <t>ddixonp8@virginia.edu</t>
  </si>
  <si>
    <t>wdanielsg5@nbcnews.com</t>
  </si>
  <si>
    <t>nmatthewspg@deviantart.com</t>
  </si>
  <si>
    <t>Gomez</t>
  </si>
  <si>
    <t>lgomezmg@networksolutions.com</t>
  </si>
  <si>
    <t>Montgomery</t>
  </si>
  <si>
    <t>Reynolds</t>
  </si>
  <si>
    <t>ereynoldskf@bloomberg.com</t>
  </si>
  <si>
    <t>erichardskv@blinklist.com</t>
  </si>
  <si>
    <t>Cape Coral</t>
  </si>
  <si>
    <t>Cheryl</t>
  </si>
  <si>
    <t>Brown</t>
  </si>
  <si>
    <t>cbrown5b@ebay.co.uk</t>
  </si>
  <si>
    <t>jowensln@dell.com</t>
  </si>
  <si>
    <t>Sarasota</t>
  </si>
  <si>
    <t>swalkerei@is.gd</t>
  </si>
  <si>
    <t>Graham</t>
  </si>
  <si>
    <t>agrahamlv@google.com</t>
  </si>
  <si>
    <t>Miami Beach</t>
  </si>
  <si>
    <t>Martha</t>
  </si>
  <si>
    <t>mmontgomeryr1@mac.com</t>
  </si>
  <si>
    <t>Anchorage</t>
  </si>
  <si>
    <t>wpatterson2a@behance.net</t>
  </si>
  <si>
    <t>jjamesjh@networkadvertising.org</t>
  </si>
  <si>
    <t>evasquez9z@unc.edu</t>
  </si>
  <si>
    <t>Chandler</t>
  </si>
  <si>
    <t>dmoore78@surveymonkey.com</t>
  </si>
  <si>
    <t>jwardnm@china.com.cn</t>
  </si>
  <si>
    <t>Topeka</t>
  </si>
  <si>
    <t>rmendozai2@cnbc.com</t>
  </si>
  <si>
    <t>jlewisl2@slate.com</t>
  </si>
  <si>
    <t>ajenkins8j@ycombinator.com</t>
  </si>
  <si>
    <t>Apache Junction</t>
  </si>
  <si>
    <t>brussell39@dropbox.com</t>
  </si>
  <si>
    <t>ahartgw@narod.ru</t>
  </si>
  <si>
    <t>Williams</t>
  </si>
  <si>
    <t>twilliamsqm@timesonline.co.uk</t>
  </si>
  <si>
    <t>banderson73@prweb.com</t>
  </si>
  <si>
    <t>ahenderson3a@zimbio.com</t>
  </si>
  <si>
    <t>wfosteris@soup.io</t>
  </si>
  <si>
    <t>Gray</t>
  </si>
  <si>
    <t>jgrayju@wiley.com</t>
  </si>
  <si>
    <t>Fort Worth</t>
  </si>
  <si>
    <t>Allen</t>
  </si>
  <si>
    <t>nallenee@theguardian.com</t>
  </si>
  <si>
    <t>llopezf5@google.ru</t>
  </si>
  <si>
    <t>dwalkerr4@netvibes.com</t>
  </si>
  <si>
    <t>Santa Cruz</t>
  </si>
  <si>
    <t>lcoxnd@google.es</t>
  </si>
  <si>
    <t>dperrym4@jimdo.com</t>
  </si>
  <si>
    <t>cwalkerao@house.gov</t>
  </si>
  <si>
    <t>rsmithan@oracle.com</t>
  </si>
  <si>
    <t>jstephensjo@columbia.edu</t>
  </si>
  <si>
    <t>Vancouver</t>
  </si>
  <si>
    <t>jowenso1@google.cn</t>
  </si>
  <si>
    <t>Little</t>
  </si>
  <si>
    <t>slittle4e@wordpress.org</t>
  </si>
  <si>
    <t>mgraham1b@blogger.com</t>
  </si>
  <si>
    <t>mricebx@cnn.com</t>
  </si>
  <si>
    <t>Kevin</t>
  </si>
  <si>
    <t>kgarciaj1@gizmodo.com</t>
  </si>
  <si>
    <t>Independence</t>
  </si>
  <si>
    <t>hmooreq0@state.gov</t>
  </si>
  <si>
    <t>tdiaz12@blogspot.com</t>
  </si>
  <si>
    <t>wbutlerq2@irs.gov</t>
  </si>
  <si>
    <t>lfowlerf@seattletimes.com</t>
  </si>
  <si>
    <t>dsimmonscf@seesaa.net</t>
  </si>
  <si>
    <t>gperryoh@nationalgeographic.com</t>
  </si>
  <si>
    <t>lwillisnw@ehow.com</t>
  </si>
  <si>
    <t>mweaverk4@etsy.com</t>
  </si>
  <si>
    <t>hortizbs@prweb.com</t>
  </si>
  <si>
    <t>Buffalo</t>
  </si>
  <si>
    <t>Samuel</t>
  </si>
  <si>
    <t>Duncan</t>
  </si>
  <si>
    <t>sduncanou@java.com</t>
  </si>
  <si>
    <t>rtuckerpy@symantec.com</t>
  </si>
  <si>
    <t>kcooper6v@vinaora.com</t>
  </si>
  <si>
    <t>efreemandc@ycombinator.com</t>
  </si>
  <si>
    <t>jschmidt93@eventbrite.com</t>
  </si>
  <si>
    <t>Harrisburg</t>
  </si>
  <si>
    <t>cowens1j@eventbrite.com</t>
  </si>
  <si>
    <t>creed4f@nyu.edu</t>
  </si>
  <si>
    <t>Corona</t>
  </si>
  <si>
    <t>wwarren56@tmall.com</t>
  </si>
  <si>
    <t>Heather</t>
  </si>
  <si>
    <t>hdayo5@techcrunch.com</t>
  </si>
  <si>
    <t>jgonzales22@tripadvisor.com</t>
  </si>
  <si>
    <t>Ridgely</t>
  </si>
  <si>
    <t>tmitchell2e@usda.gov</t>
  </si>
  <si>
    <t>ekennedy2h@yellowbook.com</t>
  </si>
  <si>
    <t>glarsonr6@goo.ne.jp</t>
  </si>
  <si>
    <t>bwalkerd1@utexas.edu</t>
  </si>
  <si>
    <t>jcruz3j@google.com.hk</t>
  </si>
  <si>
    <t>Sparks</t>
  </si>
  <si>
    <t>brileykw@mashable.com</t>
  </si>
  <si>
    <t>Milwaukee</t>
  </si>
  <si>
    <t>Randy</t>
  </si>
  <si>
    <t>rmeyerrq@uiuc.edu</t>
  </si>
  <si>
    <t>fcooper14@smugmug.com</t>
  </si>
  <si>
    <t>Harrison</t>
  </si>
  <si>
    <t>rharrisoncg@ca.gov</t>
  </si>
  <si>
    <t>Hampton</t>
  </si>
  <si>
    <t>Ross</t>
  </si>
  <si>
    <t>aross1z@friendfeed.com</t>
  </si>
  <si>
    <t>tcarpentergt@craigslist.org</t>
  </si>
  <si>
    <t>Pomona</t>
  </si>
  <si>
    <t>dhansenlf@senate.gov</t>
  </si>
  <si>
    <t>egordon5d@jugem.jp</t>
  </si>
  <si>
    <t>hbailey11@plala.or.jp</t>
  </si>
  <si>
    <t>Grand Rapids</t>
  </si>
  <si>
    <t>dsnyder4r@google.co.jp</t>
  </si>
  <si>
    <t>London</t>
  </si>
  <si>
    <t>smatthewsq9@spiegel.de</t>
  </si>
  <si>
    <t>dmeyerox@so-net.ne.jp</t>
  </si>
  <si>
    <t>jreynolds92@exblog.jp</t>
  </si>
  <si>
    <t>aromero4j@amazon.co.uk</t>
  </si>
  <si>
    <t>Reading</t>
  </si>
  <si>
    <t>fellis9x@netscape.com</t>
  </si>
  <si>
    <t>barmstronglr@microsoft.com</t>
  </si>
  <si>
    <t>dpattersonfj@wisc.edu</t>
  </si>
  <si>
    <t>hwarrenn@jalbum.net</t>
  </si>
  <si>
    <t>nramirezm1@go.com</t>
  </si>
  <si>
    <t>cmartinezn0@freewebs.com</t>
  </si>
  <si>
    <t>Davenport</t>
  </si>
  <si>
    <t>rwillis1y@mysql.com</t>
  </si>
  <si>
    <t>arussellml@yelp.com</t>
  </si>
  <si>
    <t>Clearwater</t>
  </si>
  <si>
    <t>jfishergp@booking.com</t>
  </si>
  <si>
    <t>afoxjb@typepad.com</t>
  </si>
  <si>
    <t>Denise</t>
  </si>
  <si>
    <t>dmcdonald9d@desdev.cn</t>
  </si>
  <si>
    <t>Boca Raton</t>
  </si>
  <si>
    <t>sdayjl@sohu.com</t>
  </si>
  <si>
    <t>jhendersono6@uiuc.edu</t>
  </si>
  <si>
    <t>kramirezms@archive.org</t>
  </si>
  <si>
    <t>Cedar Rapids</t>
  </si>
  <si>
    <t>chunterk0@dyndns.org</t>
  </si>
  <si>
    <t>Saint Cloud</t>
  </si>
  <si>
    <t>bryanam@ibm.com</t>
  </si>
  <si>
    <t>lwatsonn4@zdnet.com</t>
  </si>
  <si>
    <t>Joseph</t>
  </si>
  <si>
    <t>jrobertsio@reuters.com</t>
  </si>
  <si>
    <t>acarterjp@freewebs.com</t>
  </si>
  <si>
    <t>mwatkins70@quantcast.com</t>
  </si>
  <si>
    <t>tnguyenra@opensource.org</t>
  </si>
  <si>
    <t>jrodriguez4p@addthis.com</t>
  </si>
  <si>
    <t>jwoodii@ibm.com</t>
  </si>
  <si>
    <t>ljenkins54@intel.com</t>
  </si>
  <si>
    <t>Amarillo</t>
  </si>
  <si>
    <t>Roy</t>
  </si>
  <si>
    <t>ralvarez40@ted.com</t>
  </si>
  <si>
    <t>Fort Lauderdale</t>
  </si>
  <si>
    <t>scarterl5@bravesites.com</t>
  </si>
  <si>
    <t>agutierrezn5@biglobe.ne.jp</t>
  </si>
  <si>
    <t>tfowlerne@drupal.org</t>
  </si>
  <si>
    <t>dcunninghamq3@paypal.com</t>
  </si>
  <si>
    <t>aolsonqi@comsenz.com</t>
  </si>
  <si>
    <t>awardk3@twitpic.com</t>
  </si>
  <si>
    <t>atuckeref@macromedia.com</t>
  </si>
  <si>
    <t>Lynchburg</t>
  </si>
  <si>
    <t>bhenryr@irs.gov</t>
  </si>
  <si>
    <t>Campbell</t>
  </si>
  <si>
    <t>lcampbellkx@parallels.com</t>
  </si>
  <si>
    <t>aromero5m@wikia.com</t>
  </si>
  <si>
    <t>Crawfordsville</t>
  </si>
  <si>
    <t>Woods</t>
  </si>
  <si>
    <t>lwoodsf2@economist.com</t>
  </si>
  <si>
    <t>crichardsni@ted.com</t>
  </si>
  <si>
    <t>Santa Fe</t>
  </si>
  <si>
    <t>lrossj8@amazonaws.com</t>
  </si>
  <si>
    <t>bperkinshz@vkontakte.ru</t>
  </si>
  <si>
    <t>Petaluma</t>
  </si>
  <si>
    <t>rpetersle@ocn.ne.jp</t>
  </si>
  <si>
    <t>jwagner38@flavors.me</t>
  </si>
  <si>
    <t>hrobinson15@ifeng.com</t>
  </si>
  <si>
    <t>wnichols44@a8.net</t>
  </si>
  <si>
    <t>Ruiz</t>
  </si>
  <si>
    <t>jruizqc@studiopress.com</t>
  </si>
  <si>
    <t>Lane</t>
  </si>
  <si>
    <t>rlaneqv@booking.com</t>
  </si>
  <si>
    <t>irichardsq5@wiley.com</t>
  </si>
  <si>
    <t>rsimmons4d@squidoo.com</t>
  </si>
  <si>
    <t>Yonkers</t>
  </si>
  <si>
    <t>lsullivan4o@gmpg.org</t>
  </si>
  <si>
    <t>Jeremy</t>
  </si>
  <si>
    <t>jcampbell6b@blog.com</t>
  </si>
  <si>
    <t>Newport News</t>
  </si>
  <si>
    <t>stayloreg@sohu.com</t>
  </si>
  <si>
    <t>lcruzb5@sphinn.com</t>
  </si>
  <si>
    <t>Watertown</t>
  </si>
  <si>
    <t>pmendozadt@businessweek.com</t>
  </si>
  <si>
    <t>jcarpenterpu@nytimes.com</t>
  </si>
  <si>
    <t>Roanoke</t>
  </si>
  <si>
    <t>rallenp0@wunderground.com</t>
  </si>
  <si>
    <t>rhart46@ocn.ne.jp</t>
  </si>
  <si>
    <t>bdean13@home.pl</t>
  </si>
  <si>
    <t>Seminole</t>
  </si>
  <si>
    <t>dandersoncy@yandex.ru</t>
  </si>
  <si>
    <t>hbrownby@dmoz.org</t>
  </si>
  <si>
    <t>ebradleyj9@miibeian.gov.cn</t>
  </si>
  <si>
    <t>Irving</t>
  </si>
  <si>
    <t>swilliamsonp6@wired.com</t>
  </si>
  <si>
    <t>rdavisq@ycombinator.com</t>
  </si>
  <si>
    <t>mrogersoq@networksolutions.com</t>
  </si>
  <si>
    <t>cperrynq@adobe.com</t>
  </si>
  <si>
    <t>Hyattsville</t>
  </si>
  <si>
    <t>Stevens</t>
  </si>
  <si>
    <t>jstevensrd@hhs.gov</t>
  </si>
  <si>
    <t>tmorrist@acquirethisname.com</t>
  </si>
  <si>
    <t>Pueblo</t>
  </si>
  <si>
    <t>tmorriskk@nhs.uk</t>
  </si>
  <si>
    <t>Jonathan</t>
  </si>
  <si>
    <t>jmasonpe@yelp.com</t>
  </si>
  <si>
    <t>San Angelo</t>
  </si>
  <si>
    <t>aweaver5a@last.fm</t>
  </si>
  <si>
    <t>ahowardfk@imdb.com</t>
  </si>
  <si>
    <t>Inglewood</t>
  </si>
  <si>
    <t>Catherine</t>
  </si>
  <si>
    <t>cperryiu@uol.com.br</t>
  </si>
  <si>
    <t>San Luis Obispo</t>
  </si>
  <si>
    <t>blewisi0@nydailynews.com</t>
  </si>
  <si>
    <t>Barnes</t>
  </si>
  <si>
    <t>rbarneson@weather.com</t>
  </si>
  <si>
    <t>Lawrenceville</t>
  </si>
  <si>
    <t>jdunnj0@csmonitor.com</t>
  </si>
  <si>
    <t>abaileydx@alexa.com</t>
  </si>
  <si>
    <t>pbaileyrj@cocolog-nifty.com</t>
  </si>
  <si>
    <t>jwatsonjs@boston.com</t>
  </si>
  <si>
    <t>rhawkinsl4@nhs.uk</t>
  </si>
  <si>
    <t>bmcdonald1h@nationalgeographic.com</t>
  </si>
  <si>
    <t>dreyesji@bravesites.com</t>
  </si>
  <si>
    <t>cfrazierja@ted.com</t>
  </si>
  <si>
    <t>lchapmank7@paypal.com</t>
  </si>
  <si>
    <t>rreyes80@friendfeed.com</t>
  </si>
  <si>
    <t>Lafayette</t>
  </si>
  <si>
    <t>ecarr9o@msu.edu</t>
  </si>
  <si>
    <t>welliott2i@shop-pro.jp</t>
  </si>
  <si>
    <t>id</t>
  </si>
  <si>
    <t>UserName</t>
  </si>
  <si>
    <t>CompanyName</t>
  </si>
  <si>
    <t>JobTitle</t>
  </si>
  <si>
    <t>tspencerg</t>
  </si>
  <si>
    <t>Photolist</t>
  </si>
  <si>
    <t>Account Coordinator</t>
  </si>
  <si>
    <t>tmitchell2e</t>
  </si>
  <si>
    <t>Dynabox</t>
  </si>
  <si>
    <t>cjohnson2w</t>
  </si>
  <si>
    <t>Mybuzz</t>
  </si>
  <si>
    <t>rmedina5p</t>
  </si>
  <si>
    <t>Edgeblab</t>
  </si>
  <si>
    <t>gstephens67</t>
  </si>
  <si>
    <t>Gabtune</t>
  </si>
  <si>
    <t>cfoxcb</t>
  </si>
  <si>
    <t>Voomm</t>
  </si>
  <si>
    <t>bdeanff</t>
  </si>
  <si>
    <t>Kamba</t>
  </si>
  <si>
    <t>wdanielsg5</t>
  </si>
  <si>
    <t>Topicstorm</t>
  </si>
  <si>
    <t>afoxjb</t>
  </si>
  <si>
    <t>Skynoodle</t>
  </si>
  <si>
    <t>thawkinsjv</t>
  </si>
  <si>
    <t>Jabbersphere</t>
  </si>
  <si>
    <t>dmasonl8</t>
  </si>
  <si>
    <t>Thoughtbeat</t>
  </si>
  <si>
    <t>dharrispo</t>
  </si>
  <si>
    <t>Topiczoom</t>
  </si>
  <si>
    <t>hjacobs1s</t>
  </si>
  <si>
    <t>Trudoo</t>
  </si>
  <si>
    <t>Account Executive</t>
  </si>
  <si>
    <t>dreed7c</t>
  </si>
  <si>
    <t>Browsecat</t>
  </si>
  <si>
    <t>cmedinagl</t>
  </si>
  <si>
    <t>Twitterbeat</t>
  </si>
  <si>
    <t>ajamesjq</t>
  </si>
  <si>
    <t>jharveyn2</t>
  </si>
  <si>
    <t>Kayveo</t>
  </si>
  <si>
    <t>eknightjm</t>
  </si>
  <si>
    <t>Flipstorm</t>
  </si>
  <si>
    <t>Account Representative I</t>
  </si>
  <si>
    <t>hjacobs4k</t>
  </si>
  <si>
    <t>Cogidoo</t>
  </si>
  <si>
    <t>Account Representative II</t>
  </si>
  <si>
    <t>cellis9g</t>
  </si>
  <si>
    <t>hhicks47</t>
  </si>
  <si>
    <t>Skinder</t>
  </si>
  <si>
    <t>Account Representative III</t>
  </si>
  <si>
    <t>jaustind9</t>
  </si>
  <si>
    <t>Yotz</t>
  </si>
  <si>
    <t>nhowarddg</t>
  </si>
  <si>
    <t>Shufflester</t>
  </si>
  <si>
    <t>Account Representative IV</t>
  </si>
  <si>
    <t>astephenskn</t>
  </si>
  <si>
    <t>Skinte</t>
  </si>
  <si>
    <t>rknightn9</t>
  </si>
  <si>
    <t>Gabcube</t>
  </si>
  <si>
    <t>cbanksrl</t>
  </si>
  <si>
    <t>Fadeo</t>
  </si>
  <si>
    <t>aromerob1</t>
  </si>
  <si>
    <t>Vitz</t>
  </si>
  <si>
    <t>Accountant I</t>
  </si>
  <si>
    <t>dperrym4</t>
  </si>
  <si>
    <t>Pixonyx</t>
  </si>
  <si>
    <t>jedwards49</t>
  </si>
  <si>
    <t>Bubblebox</t>
  </si>
  <si>
    <t>Accountant II</t>
  </si>
  <si>
    <t>rfishergz</t>
  </si>
  <si>
    <t>Skiba</t>
  </si>
  <si>
    <t>ecollinsor</t>
  </si>
  <si>
    <t>Realcube</t>
  </si>
  <si>
    <t>rtuckerpy</t>
  </si>
  <si>
    <t>Miboo</t>
  </si>
  <si>
    <t>jwagner38</t>
  </si>
  <si>
    <t>Divavu</t>
  </si>
  <si>
    <t>Accountant III</t>
  </si>
  <si>
    <t>jburns5h</t>
  </si>
  <si>
    <t>Kimia</t>
  </si>
  <si>
    <t>kmasona6</t>
  </si>
  <si>
    <t>Wordtune</t>
  </si>
  <si>
    <t>jgonzalezcd</t>
  </si>
  <si>
    <t>Rhyloo</t>
  </si>
  <si>
    <t>dhanseneq</t>
  </si>
  <si>
    <t>Skimia</t>
  </si>
  <si>
    <t>acarterlp</t>
  </si>
  <si>
    <t>Yacero</t>
  </si>
  <si>
    <t>abrown8k</t>
  </si>
  <si>
    <t>DabZ</t>
  </si>
  <si>
    <t>Accountant IV</t>
  </si>
  <si>
    <t>padams42</t>
  </si>
  <si>
    <t>Flashspan</t>
  </si>
  <si>
    <t>Accounting Assistant I</t>
  </si>
  <si>
    <t>arobertson4i</t>
  </si>
  <si>
    <t>Oyoyo</t>
  </si>
  <si>
    <t>dmorenoq1</t>
  </si>
  <si>
    <t>Wikido</t>
  </si>
  <si>
    <t>rsimmons4d</t>
  </si>
  <si>
    <t>Photobug</t>
  </si>
  <si>
    <t>Accounting Assistant II</t>
  </si>
  <si>
    <t>vfernandez4s</t>
  </si>
  <si>
    <t>Jayo</t>
  </si>
  <si>
    <t>hpetersonf7</t>
  </si>
  <si>
    <t>Centizu</t>
  </si>
  <si>
    <t>pbrooksjg</t>
  </si>
  <si>
    <t>Rhynyx</t>
  </si>
  <si>
    <t>wortizke</t>
  </si>
  <si>
    <t>Riffpedia</t>
  </si>
  <si>
    <t>tcruz6q</t>
  </si>
  <si>
    <t>Tagchat</t>
  </si>
  <si>
    <t>Accounting Assistant III</t>
  </si>
  <si>
    <t>pknightat</t>
  </si>
  <si>
    <t>Einti</t>
  </si>
  <si>
    <t>jaustinhv</t>
  </si>
  <si>
    <t>Realfire</t>
  </si>
  <si>
    <t>lcruzb5</t>
  </si>
  <si>
    <t>Jetpulse</t>
  </si>
  <si>
    <t>Accounting Assistant IV</t>
  </si>
  <si>
    <t>jstanleygn</t>
  </si>
  <si>
    <t>Topicblab</t>
  </si>
  <si>
    <t>jharveygq</t>
  </si>
  <si>
    <t>Reallinks</t>
  </si>
  <si>
    <t>kburkela</t>
  </si>
  <si>
    <t>Zoonoodle</t>
  </si>
  <si>
    <t>djames1w</t>
  </si>
  <si>
    <t>Wordify</t>
  </si>
  <si>
    <t>Actuary</t>
  </si>
  <si>
    <t>hmedinadi</t>
  </si>
  <si>
    <t>lwoodsf2</t>
  </si>
  <si>
    <t>Zoovu</t>
  </si>
  <si>
    <t>bperkinshz</t>
  </si>
  <si>
    <t>Bubblemix</t>
  </si>
  <si>
    <t>wmoorek9</t>
  </si>
  <si>
    <t>Jamia</t>
  </si>
  <si>
    <t>vgibsonku</t>
  </si>
  <si>
    <t>Devcast</t>
  </si>
  <si>
    <t>kbryantlb</t>
  </si>
  <si>
    <t>Viva</t>
  </si>
  <si>
    <t>dwalkerr4</t>
  </si>
  <si>
    <t>Administrative Assistant I</t>
  </si>
  <si>
    <t>tnguyenra</t>
  </si>
  <si>
    <t>Skyba</t>
  </si>
  <si>
    <t>tgilberte6</t>
  </si>
  <si>
    <t>Jaxbean</t>
  </si>
  <si>
    <t>Administrative Assistant II</t>
  </si>
  <si>
    <t>chawkins2r</t>
  </si>
  <si>
    <t>Voonder</t>
  </si>
  <si>
    <t>Administrative Assistant III</t>
  </si>
  <si>
    <t>tfreeman6a</t>
  </si>
  <si>
    <t>Quimm</t>
  </si>
  <si>
    <t>mfordhi</t>
  </si>
  <si>
    <t>Meejo</t>
  </si>
  <si>
    <t>wfosteris</t>
  </si>
  <si>
    <t>kcooper6v</t>
  </si>
  <si>
    <t>Administrative Assistant IV</t>
  </si>
  <si>
    <t>ataylornx</t>
  </si>
  <si>
    <t>rdavisq</t>
  </si>
  <si>
    <t>Twimm</t>
  </si>
  <si>
    <t>Administrative Officer</t>
  </si>
  <si>
    <t>bwheeler2o</t>
  </si>
  <si>
    <t>Tazz</t>
  </si>
  <si>
    <t>emoreno95</t>
  </si>
  <si>
    <t>Thoughtsphere</t>
  </si>
  <si>
    <t>abaileydx</t>
  </si>
  <si>
    <t>Meeveo</t>
  </si>
  <si>
    <t>schapmanfs</t>
  </si>
  <si>
    <t>eturneri1</t>
  </si>
  <si>
    <t>Katz</t>
  </si>
  <si>
    <t>jstephensjo</t>
  </si>
  <si>
    <t>Fanoodle</t>
  </si>
  <si>
    <t>jmarshallmu</t>
  </si>
  <si>
    <t>Fiveclub</t>
  </si>
  <si>
    <t>nturnerof</t>
  </si>
  <si>
    <t>Quaxo</t>
  </si>
  <si>
    <t>dhudsonad</t>
  </si>
  <si>
    <t>Photofeed</t>
  </si>
  <si>
    <t>Analog Circuit Design manager</t>
  </si>
  <si>
    <t>lwallaceaw</t>
  </si>
  <si>
    <t>rwillisnu</t>
  </si>
  <si>
    <t>Centidel</t>
  </si>
  <si>
    <t>wgonzalez3k</t>
  </si>
  <si>
    <t>Vidoo</t>
  </si>
  <si>
    <t>Analyst Programmer</t>
  </si>
  <si>
    <t>psimsde</t>
  </si>
  <si>
    <t>Livefish</t>
  </si>
  <si>
    <t>pbrooksed</t>
  </si>
  <si>
    <t>jfishergp</t>
  </si>
  <si>
    <t>Yozio</t>
  </si>
  <si>
    <t>echavezig</t>
  </si>
  <si>
    <t>Brightdog</t>
  </si>
  <si>
    <t>bhartp2</t>
  </si>
  <si>
    <t>Fivechat</t>
  </si>
  <si>
    <t>ebishoppw</t>
  </si>
  <si>
    <t>Meetz</t>
  </si>
  <si>
    <t>ppayner7</t>
  </si>
  <si>
    <t>mwardk</t>
  </si>
  <si>
    <t>Skibox</t>
  </si>
  <si>
    <t>Assistant Manager</t>
  </si>
  <si>
    <t>mhayes1o</t>
  </si>
  <si>
    <t>Pixope</t>
  </si>
  <si>
    <t>rrice79</t>
  </si>
  <si>
    <t>Twitterwire</t>
  </si>
  <si>
    <t>jmillsfa</t>
  </si>
  <si>
    <t>Kwilith</t>
  </si>
  <si>
    <t>jelliottiy</t>
  </si>
  <si>
    <t>Youspan</t>
  </si>
  <si>
    <t>smartinjk</t>
  </si>
  <si>
    <t>jevanslt</t>
  </si>
  <si>
    <t>Dynava</t>
  </si>
  <si>
    <t>nramirezm1</t>
  </si>
  <si>
    <t>Skipfire</t>
  </si>
  <si>
    <t>jharveyn3</t>
  </si>
  <si>
    <t>Meembee</t>
  </si>
  <si>
    <t>rstephensnp</t>
  </si>
  <si>
    <t>jmurray8</t>
  </si>
  <si>
    <t>Assistant Media Planner</t>
  </si>
  <si>
    <t>bsnyder1x</t>
  </si>
  <si>
    <t>kfrazier3x</t>
  </si>
  <si>
    <t>Vipe</t>
  </si>
  <si>
    <t>mwatkins70</t>
  </si>
  <si>
    <t>Realbridge</t>
  </si>
  <si>
    <t>chernandez85</t>
  </si>
  <si>
    <t>Dabvine</t>
  </si>
  <si>
    <t>mrogersih</t>
  </si>
  <si>
    <t>Wordpedia</t>
  </si>
  <si>
    <t>kschmidtij</t>
  </si>
  <si>
    <t>Gigabox</t>
  </si>
  <si>
    <t>chansonm0</t>
  </si>
  <si>
    <t>Mudo</t>
  </si>
  <si>
    <t>jkelley2d</t>
  </si>
  <si>
    <t>Yombu</t>
  </si>
  <si>
    <t>Assistant Professor</t>
  </si>
  <si>
    <t>tdiazaz</t>
  </si>
  <si>
    <t>Devbug</t>
  </si>
  <si>
    <t>emorrisonbi</t>
  </si>
  <si>
    <t>jlittlebt</t>
  </si>
  <si>
    <t>Thoughtblab</t>
  </si>
  <si>
    <t>jdayen</t>
  </si>
  <si>
    <t>Minyx</t>
  </si>
  <si>
    <t>kmillerhq</t>
  </si>
  <si>
    <t>Shuffledrive</t>
  </si>
  <si>
    <t>blewisi0</t>
  </si>
  <si>
    <t>Kanoodle</t>
  </si>
  <si>
    <t>swardkp</t>
  </si>
  <si>
    <t>Thoughtstorm</t>
  </si>
  <si>
    <t>hdayo5</t>
  </si>
  <si>
    <t>Rhycero</t>
  </si>
  <si>
    <t>jpeterson3n</t>
  </si>
  <si>
    <t>Wikizz</t>
  </si>
  <si>
    <t>Associate Professor</t>
  </si>
  <si>
    <t>dpowell3s</t>
  </si>
  <si>
    <t>Podcat</t>
  </si>
  <si>
    <t>kbradley64</t>
  </si>
  <si>
    <t>Voonte</t>
  </si>
  <si>
    <t>dkim6c</t>
  </si>
  <si>
    <t>atuckeref</t>
  </si>
  <si>
    <t>swalkerei</t>
  </si>
  <si>
    <t>jhilley</t>
  </si>
  <si>
    <t>Babbleopia</t>
  </si>
  <si>
    <t>wpricef1</t>
  </si>
  <si>
    <t>Meemm</t>
  </si>
  <si>
    <t>sbowmangm</t>
  </si>
  <si>
    <t>Demimbu</t>
  </si>
  <si>
    <t>dhudsonh4</t>
  </si>
  <si>
    <t>wkennedyh6</t>
  </si>
  <si>
    <t>bpricehg</t>
  </si>
  <si>
    <t>Brainsphere</t>
  </si>
  <si>
    <t>thowardna</t>
  </si>
  <si>
    <t>Linkbuzz</t>
  </si>
  <si>
    <t>bjacobsop</t>
  </si>
  <si>
    <t>JumpXS</t>
  </si>
  <si>
    <t>jcarpenterpi</t>
  </si>
  <si>
    <t>Meedoo</t>
  </si>
  <si>
    <t>mlaneqo</t>
  </si>
  <si>
    <t>jortiz1a</t>
  </si>
  <si>
    <t>Tekfly</t>
  </si>
  <si>
    <t>Automation Specialist I</t>
  </si>
  <si>
    <t>shillpj</t>
  </si>
  <si>
    <t>Camimbo</t>
  </si>
  <si>
    <t>smatthewsq9</t>
  </si>
  <si>
    <t>Izio</t>
  </si>
  <si>
    <t>kwood5t</t>
  </si>
  <si>
    <t>Jaxworks</t>
  </si>
  <si>
    <t>Automation Specialist II</t>
  </si>
  <si>
    <t>tsimpsonht</t>
  </si>
  <si>
    <t>Edgeclub</t>
  </si>
  <si>
    <t>hrobinson15</t>
  </si>
  <si>
    <t>Voolith</t>
  </si>
  <si>
    <t>Automation Specialist IV</t>
  </si>
  <si>
    <t>jcarrb4</t>
  </si>
  <si>
    <t>BlogXS</t>
  </si>
  <si>
    <t>hramos32</t>
  </si>
  <si>
    <t>Rooxo</t>
  </si>
  <si>
    <t>Biostatistician I</t>
  </si>
  <si>
    <t>bfosterjt</t>
  </si>
  <si>
    <t>Skajo</t>
  </si>
  <si>
    <t>agraham43</t>
  </si>
  <si>
    <t>Browsezoom</t>
  </si>
  <si>
    <t>Biostatistician II</t>
  </si>
  <si>
    <t>bmeyerbd</t>
  </si>
  <si>
    <t>rowensjd</t>
  </si>
  <si>
    <t>Trudeo</t>
  </si>
  <si>
    <t>sbarnes55</t>
  </si>
  <si>
    <t>Biostatistician III</t>
  </si>
  <si>
    <t>sduncanou</t>
  </si>
  <si>
    <t>Topicshots</t>
  </si>
  <si>
    <t>Budget/Accounting Analyst I</t>
  </si>
  <si>
    <t>bevansnj</t>
  </si>
  <si>
    <t>Budget/Accounting Analyst II</t>
  </si>
  <si>
    <t>chuntercc</t>
  </si>
  <si>
    <t>Eidel</t>
  </si>
  <si>
    <t>Budget/Accounting Analyst III</t>
  </si>
  <si>
    <t>jowenso1</t>
  </si>
  <si>
    <t>Layo</t>
  </si>
  <si>
    <t>jandersonbb</t>
  </si>
  <si>
    <t>Voonyx</t>
  </si>
  <si>
    <t>Budget/Accounting Analyst IV</t>
  </si>
  <si>
    <t>crogerse7</t>
  </si>
  <si>
    <t>swardf4</t>
  </si>
  <si>
    <t>rkingf8</t>
  </si>
  <si>
    <t>Latz</t>
  </si>
  <si>
    <t>mryanhe</t>
  </si>
  <si>
    <t>tsmithho</t>
  </si>
  <si>
    <t>krichardsonal</t>
  </si>
  <si>
    <t>Linktype</t>
  </si>
  <si>
    <t>Business Systems Development Analyst</t>
  </si>
  <si>
    <t>rallenb7</t>
  </si>
  <si>
    <t>Jabbercube</t>
  </si>
  <si>
    <t>tedwardsll</t>
  </si>
  <si>
    <t>Fliptune</t>
  </si>
  <si>
    <t>areyesmp</t>
  </si>
  <si>
    <t>Ntag</t>
  </si>
  <si>
    <t>jhowardn7</t>
  </si>
  <si>
    <t>tandersonol</t>
  </si>
  <si>
    <t>cstoneow</t>
  </si>
  <si>
    <t>Dabshots</t>
  </si>
  <si>
    <t>pgarzaa7</t>
  </si>
  <si>
    <t>Dablist</t>
  </si>
  <si>
    <t>Chemical Engineer</t>
  </si>
  <si>
    <t>dbaileybj</t>
  </si>
  <si>
    <t>cmooregb</t>
  </si>
  <si>
    <t>Brainlounge</t>
  </si>
  <si>
    <t>ggilbert1m</t>
  </si>
  <si>
    <t>Mycat</t>
  </si>
  <si>
    <t>Chief Design Engineer</t>
  </si>
  <si>
    <t>pnichols7w</t>
  </si>
  <si>
    <t>Topicware</t>
  </si>
  <si>
    <t>bowens81</t>
  </si>
  <si>
    <t>hrichards8b</t>
  </si>
  <si>
    <t>Photospace</t>
  </si>
  <si>
    <t>hbrownby</t>
  </si>
  <si>
    <t>Thoughtbridge</t>
  </si>
  <si>
    <t>jhenryd7</t>
  </si>
  <si>
    <t>jforddm</t>
  </si>
  <si>
    <t>Devify</t>
  </si>
  <si>
    <t>sandersoni6</t>
  </si>
  <si>
    <t>Ooba</t>
  </si>
  <si>
    <t>jjamesjh</t>
  </si>
  <si>
    <t>Tanoodle</t>
  </si>
  <si>
    <t>wbutlerq2</t>
  </si>
  <si>
    <t>Zoozzy</t>
  </si>
  <si>
    <t>lcruz1f</t>
  </si>
  <si>
    <t>Realbuzz</t>
  </si>
  <si>
    <t>Civil Engineer</t>
  </si>
  <si>
    <t>rhart46</t>
  </si>
  <si>
    <t>Jabberstorm</t>
  </si>
  <si>
    <t>jtucker4t</t>
  </si>
  <si>
    <t>Livetube</t>
  </si>
  <si>
    <t>fmartina1</t>
  </si>
  <si>
    <t>Chatterbridge</t>
  </si>
  <si>
    <t>rhillbc</t>
  </si>
  <si>
    <t>Mynte</t>
  </si>
  <si>
    <t>pwelchbk</t>
  </si>
  <si>
    <t>Buzzshare</t>
  </si>
  <si>
    <t>amorenoci</t>
  </si>
  <si>
    <t>Feedfish</t>
  </si>
  <si>
    <t>rwebbh1</t>
  </si>
  <si>
    <t>Brightbean</t>
  </si>
  <si>
    <t>cmoralesmd</t>
  </si>
  <si>
    <t>Divanoodle</t>
  </si>
  <si>
    <t>wpalmermh</t>
  </si>
  <si>
    <t>jandrews1n</t>
  </si>
  <si>
    <t>Clinical Specialist</t>
  </si>
  <si>
    <t>srice3b</t>
  </si>
  <si>
    <t>dmiller5g</t>
  </si>
  <si>
    <t>Zoonder</t>
  </si>
  <si>
    <t>ksanders60</t>
  </si>
  <si>
    <t>apowell8r</t>
  </si>
  <si>
    <t>Oodoo</t>
  </si>
  <si>
    <t>mhunt8u</t>
  </si>
  <si>
    <t>Browsebug</t>
  </si>
  <si>
    <t>kvasqueza5</t>
  </si>
  <si>
    <t>hpowelld2</t>
  </si>
  <si>
    <t>Yamia</t>
  </si>
  <si>
    <t>jharrisdd</t>
  </si>
  <si>
    <t>Roodel</t>
  </si>
  <si>
    <t>smillere8</t>
  </si>
  <si>
    <t>Eayo</t>
  </si>
  <si>
    <t>gcarrk2</t>
  </si>
  <si>
    <t>Avavee</t>
  </si>
  <si>
    <t>jmyersno</t>
  </si>
  <si>
    <t>Twinder</t>
  </si>
  <si>
    <t>sclarkrb</t>
  </si>
  <si>
    <t>Teklist</t>
  </si>
  <si>
    <t>mgilbert5r</t>
  </si>
  <si>
    <t>Community Outreach Specialist</t>
  </si>
  <si>
    <t>abennett6l</t>
  </si>
  <si>
    <t>sreed7v</t>
  </si>
  <si>
    <t>rarmstrongg7</t>
  </si>
  <si>
    <t>Browseblab</t>
  </si>
  <si>
    <t>kdiazhx</t>
  </si>
  <si>
    <t>Meezzy</t>
  </si>
  <si>
    <t>erichardskv</t>
  </si>
  <si>
    <t>Omba</t>
  </si>
  <si>
    <t>pjamesoa</t>
  </si>
  <si>
    <t>Fivespan</t>
  </si>
  <si>
    <t>jkelleyrk</t>
  </si>
  <si>
    <t>shicks2s</t>
  </si>
  <si>
    <t>Lajo</t>
  </si>
  <si>
    <t>Compensation Analyst</t>
  </si>
  <si>
    <t>rreyes80</t>
  </si>
  <si>
    <t>Cogibox</t>
  </si>
  <si>
    <t>evasquez9z</t>
  </si>
  <si>
    <t>Rhybox</t>
  </si>
  <si>
    <t>hlopezh5</t>
  </si>
  <si>
    <t>Twitterworks</t>
  </si>
  <si>
    <t>afernandezik</t>
  </si>
  <si>
    <t>Zoombox</t>
  </si>
  <si>
    <t>mreidj5</t>
  </si>
  <si>
    <t>Aibox</t>
  </si>
  <si>
    <t>prosejy</t>
  </si>
  <si>
    <t>Dabtype</t>
  </si>
  <si>
    <t>lwillisnw</t>
  </si>
  <si>
    <t>Quire</t>
  </si>
  <si>
    <t>adayqg</t>
  </si>
  <si>
    <t>Ntags</t>
  </si>
  <si>
    <t>tdiaz12</t>
  </si>
  <si>
    <t>Yakitri</t>
  </si>
  <si>
    <t>Computer Systems Analyst I</t>
  </si>
  <si>
    <t>jfoster8p</t>
  </si>
  <si>
    <t>dfisher5i</t>
  </si>
  <si>
    <t>Mymm</t>
  </si>
  <si>
    <t>Computer Systems Analyst II</t>
  </si>
  <si>
    <t>jcunninghamg0</t>
  </si>
  <si>
    <t>Dazzlesphere</t>
  </si>
  <si>
    <t>aolsonqi</t>
  </si>
  <si>
    <t>Muxo</t>
  </si>
  <si>
    <t>avasquez5n</t>
  </si>
  <si>
    <t>Computer Systems Analyst III</t>
  </si>
  <si>
    <t>jramirezkm</t>
  </si>
  <si>
    <t>Kaymbo</t>
  </si>
  <si>
    <t>cmarshallot</t>
  </si>
  <si>
    <t>Yoveo</t>
  </si>
  <si>
    <t>ajohnstonkl</t>
  </si>
  <si>
    <t>Leexo</t>
  </si>
  <si>
    <t>Computer Systems Analyst IV</t>
  </si>
  <si>
    <t>lwilliamsm</t>
  </si>
  <si>
    <t>Cost Accountant</t>
  </si>
  <si>
    <t>hromero2l</t>
  </si>
  <si>
    <t>kmatthews4b</t>
  </si>
  <si>
    <t>Mita</t>
  </si>
  <si>
    <t>acollins5y</t>
  </si>
  <si>
    <t>gcooper7h</t>
  </si>
  <si>
    <t>ppayneep</t>
  </si>
  <si>
    <t>jfranklinf6</t>
  </si>
  <si>
    <t>Jabbertype</t>
  </si>
  <si>
    <t>afrazierg2</t>
  </si>
  <si>
    <t>aholmeska</t>
  </si>
  <si>
    <t>rfisherko</t>
  </si>
  <si>
    <t>djordano4</t>
  </si>
  <si>
    <t>Gigazoom</t>
  </si>
  <si>
    <t>kmurraypf</t>
  </si>
  <si>
    <t>rbakerqd</t>
  </si>
  <si>
    <t>hmorrisa2</t>
  </si>
  <si>
    <t>Vinte</t>
  </si>
  <si>
    <t>Data Coordiator</t>
  </si>
  <si>
    <t>mevansaf</t>
  </si>
  <si>
    <t>dbanksck</t>
  </si>
  <si>
    <t>Kwideo</t>
  </si>
  <si>
    <t>acooperd4</t>
  </si>
  <si>
    <t>dbishopit</t>
  </si>
  <si>
    <t>Geba</t>
  </si>
  <si>
    <t>gmyersk1</t>
  </si>
  <si>
    <t>pwrightli</t>
  </si>
  <si>
    <t>gparkeroz</t>
  </si>
  <si>
    <t>ddixonp8</t>
  </si>
  <si>
    <t>cgonzalezq6</t>
  </si>
  <si>
    <t>ahernandezqt</t>
  </si>
  <si>
    <t>pfoxgj</t>
  </si>
  <si>
    <t>Devshare</t>
  </si>
  <si>
    <t>Database Administrator I</t>
  </si>
  <si>
    <t>handrewshp</t>
  </si>
  <si>
    <t>Linklinks</t>
  </si>
  <si>
    <t>amontgomery2z</t>
  </si>
  <si>
    <t>Realpoint</t>
  </si>
  <si>
    <t>Database Administrator II</t>
  </si>
  <si>
    <t>jboydfl</t>
  </si>
  <si>
    <t>Riffpath</t>
  </si>
  <si>
    <t>jwoodii</t>
  </si>
  <si>
    <t>Oozz</t>
  </si>
  <si>
    <t>darmstrongim</t>
  </si>
  <si>
    <t>ffranklin28</t>
  </si>
  <si>
    <t>Database Administrator III</t>
  </si>
  <si>
    <t>dcoxbf</t>
  </si>
  <si>
    <t>Edgetag</t>
  </si>
  <si>
    <t>arayfr</t>
  </si>
  <si>
    <t>Innojam</t>
  </si>
  <si>
    <t>agutierrezn5</t>
  </si>
  <si>
    <t>ecoopercw</t>
  </si>
  <si>
    <t>Database Administrator IV</t>
  </si>
  <si>
    <t>eperkinsix</t>
  </si>
  <si>
    <t>swilliamsonp6</t>
  </si>
  <si>
    <t>rcarrollpp</t>
  </si>
  <si>
    <t>award53</t>
  </si>
  <si>
    <t>Blogtags</t>
  </si>
  <si>
    <t>Dental Hygienist</t>
  </si>
  <si>
    <t>egordon5d</t>
  </si>
  <si>
    <t>fnguyenb9</t>
  </si>
  <si>
    <t>paustind5</t>
  </si>
  <si>
    <t>InnoZ</t>
  </si>
  <si>
    <t>jgibsoni4</t>
  </si>
  <si>
    <t>gcunninghamlh</t>
  </si>
  <si>
    <t>gclark21</t>
  </si>
  <si>
    <t>Design Engineer</t>
  </si>
  <si>
    <t>rlewis30</t>
  </si>
  <si>
    <t>Photobean</t>
  </si>
  <si>
    <t>pbradley33</t>
  </si>
  <si>
    <t>mgrant3z</t>
  </si>
  <si>
    <t>Tagtune</t>
  </si>
  <si>
    <t>bchapman8f</t>
  </si>
  <si>
    <t>amedinaa8</t>
  </si>
  <si>
    <t>ncarpenterej</t>
  </si>
  <si>
    <t>Quinu</t>
  </si>
  <si>
    <t>amillshj</t>
  </si>
  <si>
    <t>bphillipshy</t>
  </si>
  <si>
    <t>ehanseni3</t>
  </si>
  <si>
    <t>sromerook</t>
  </si>
  <si>
    <t>tcunninghamql</t>
  </si>
  <si>
    <t>jperkinsre</t>
  </si>
  <si>
    <t>rwillis1y</t>
  </si>
  <si>
    <t>Yabox</t>
  </si>
  <si>
    <t>Desktop Support Technician</t>
  </si>
  <si>
    <t>prose66</t>
  </si>
  <si>
    <t>Leenti</t>
  </si>
  <si>
    <t>jrobinson9w</t>
  </si>
  <si>
    <t>cpetersa3</t>
  </si>
  <si>
    <t>ccrawforde3</t>
  </si>
  <si>
    <t>Yodo</t>
  </si>
  <si>
    <t>mdeankb</t>
  </si>
  <si>
    <t>trogersnl</t>
  </si>
  <si>
    <t>sgeorgeca</t>
  </si>
  <si>
    <t>Developer I</t>
  </si>
  <si>
    <t>cowens1j</t>
  </si>
  <si>
    <t>Developer II</t>
  </si>
  <si>
    <t>grogers8h</t>
  </si>
  <si>
    <t>bcoleqz</t>
  </si>
  <si>
    <t>Skilith</t>
  </si>
  <si>
    <t>jmartinez6m</t>
  </si>
  <si>
    <t>Developer III</t>
  </si>
  <si>
    <t>dcrawford6s</t>
  </si>
  <si>
    <t>Developer IV</t>
  </si>
  <si>
    <t>cfrazierja</t>
  </si>
  <si>
    <t>jgarcia4c</t>
  </si>
  <si>
    <t>Director of Sales</t>
  </si>
  <si>
    <t>jfieldsbl</t>
  </si>
  <si>
    <t>istoned0</t>
  </si>
  <si>
    <t>rlittlee5</t>
  </si>
  <si>
    <t>Skidoo</t>
  </si>
  <si>
    <t>hmurrayj2</t>
  </si>
  <si>
    <t>wowensmx</t>
  </si>
  <si>
    <t>Edgewire</t>
  </si>
  <si>
    <t>chudsono8</t>
  </si>
  <si>
    <t>Gabspot</t>
  </si>
  <si>
    <t>jcruz3j</t>
  </si>
  <si>
    <t>Editor</t>
  </si>
  <si>
    <t>dhall6r</t>
  </si>
  <si>
    <t>Yodoo</t>
  </si>
  <si>
    <t>jaustin7k</t>
  </si>
  <si>
    <t>jpatterson7r</t>
  </si>
  <si>
    <t>Quamba</t>
  </si>
  <si>
    <t>cthompsoncs</t>
  </si>
  <si>
    <t>shernandezel</t>
  </si>
  <si>
    <t>Skivee</t>
  </si>
  <si>
    <t>jbrooksfw</t>
  </si>
  <si>
    <t>Cogilith</t>
  </si>
  <si>
    <t>mwatsonkt</t>
  </si>
  <si>
    <t>sgonzalesm7</t>
  </si>
  <si>
    <t>jricemn</t>
  </si>
  <si>
    <t>pmoralespb</t>
  </si>
  <si>
    <t>Avaveo</t>
  </si>
  <si>
    <t>rfowlerr9</t>
  </si>
  <si>
    <t>lking2</t>
  </si>
  <si>
    <t>Electrical Engineer</t>
  </si>
  <si>
    <t>aross1z</t>
  </si>
  <si>
    <t>rcooper2n</t>
  </si>
  <si>
    <t>rhanson8c</t>
  </si>
  <si>
    <t>arussellml</t>
  </si>
  <si>
    <t>llong6u</t>
  </si>
  <si>
    <t>Jaxnation</t>
  </si>
  <si>
    <t>Engineer I</t>
  </si>
  <si>
    <t>jhayesfz</t>
  </si>
  <si>
    <t>anguyenns</t>
  </si>
  <si>
    <t>dsimmonscf</t>
  </si>
  <si>
    <t>Youbridge</t>
  </si>
  <si>
    <t>Engineer II</t>
  </si>
  <si>
    <t>sbutlerh2</t>
  </si>
  <si>
    <t>Twinte</t>
  </si>
  <si>
    <t>egeorge71</t>
  </si>
  <si>
    <t>Engineer III</t>
  </si>
  <si>
    <t>cwalkerao</t>
  </si>
  <si>
    <t>dpattersonfj</t>
  </si>
  <si>
    <t>Engineer IV</t>
  </si>
  <si>
    <t>bharveyhr</t>
  </si>
  <si>
    <t>jmeyer2g</t>
  </si>
  <si>
    <t>Yata</t>
  </si>
  <si>
    <t>Environmental Specialist</t>
  </si>
  <si>
    <t>psimpson9c</t>
  </si>
  <si>
    <t>Quatz</t>
  </si>
  <si>
    <t>wellisac</t>
  </si>
  <si>
    <t>Blogtag</t>
  </si>
  <si>
    <t>rmooredw</t>
  </si>
  <si>
    <t>ahowellhs</t>
  </si>
  <si>
    <t>jjameshu</t>
  </si>
  <si>
    <t>jhawkinsjx</t>
  </si>
  <si>
    <t>pcoxp5</t>
  </si>
  <si>
    <t>wfoxpa</t>
  </si>
  <si>
    <t>Abatz</t>
  </si>
  <si>
    <t>dporter1p</t>
  </si>
  <si>
    <t>Environmental Tech</t>
  </si>
  <si>
    <t>jmyerse2</t>
  </si>
  <si>
    <t>Plambee</t>
  </si>
  <si>
    <t>dreyesji</t>
  </si>
  <si>
    <t>Mydeo</t>
  </si>
  <si>
    <t>jelliskd</t>
  </si>
  <si>
    <t>Tavu</t>
  </si>
  <si>
    <t>kramirezms</t>
  </si>
  <si>
    <t>sowensob</t>
  </si>
  <si>
    <t>Innotype</t>
  </si>
  <si>
    <t>speterspd</t>
  </si>
  <si>
    <t>rkimrh</t>
  </si>
  <si>
    <t>Skalith</t>
  </si>
  <si>
    <t>bhenryr</t>
  </si>
  <si>
    <t>Executive Secretary</t>
  </si>
  <si>
    <t>pdaniels26</t>
  </si>
  <si>
    <t>ekennedy2h</t>
  </si>
  <si>
    <t>Digitube</t>
  </si>
  <si>
    <t>banderson73</t>
  </si>
  <si>
    <t>Avamm</t>
  </si>
  <si>
    <t>jhenry7m</t>
  </si>
  <si>
    <t>Skyble</t>
  </si>
  <si>
    <t>jmillsc1</t>
  </si>
  <si>
    <t>kboydcz</t>
  </si>
  <si>
    <t>jrichardsonlx</t>
  </si>
  <si>
    <t>ithompsonnk</t>
  </si>
  <si>
    <t>jmurphy10</t>
  </si>
  <si>
    <t>Financial Advisor</t>
  </si>
  <si>
    <t>mhicks3y</t>
  </si>
  <si>
    <t>Eabox</t>
  </si>
  <si>
    <t>mevans6f</t>
  </si>
  <si>
    <t>shayes83</t>
  </si>
  <si>
    <t>Feedmix</t>
  </si>
  <si>
    <t>hhenry9y</t>
  </si>
  <si>
    <t>mhallkc</t>
  </si>
  <si>
    <t>lfowlerf</t>
  </si>
  <si>
    <t>Roomm</t>
  </si>
  <si>
    <t>Financial Analyst</t>
  </si>
  <si>
    <t>ahawkinsi</t>
  </si>
  <si>
    <t>dharper1t</t>
  </si>
  <si>
    <t>Myworks</t>
  </si>
  <si>
    <t>tferguson8z</t>
  </si>
  <si>
    <t>Shuffletag</t>
  </si>
  <si>
    <t>scarrbw</t>
  </si>
  <si>
    <t>Zoomcast</t>
  </si>
  <si>
    <t>drosej3</t>
  </si>
  <si>
    <t>Yakidoo</t>
  </si>
  <si>
    <t>jalexanderks</t>
  </si>
  <si>
    <t>fevansmt</t>
  </si>
  <si>
    <t>dpalmernb</t>
  </si>
  <si>
    <t>tcookqu</t>
  </si>
  <si>
    <t>Dabjam</t>
  </si>
  <si>
    <t>jporter27</t>
  </si>
  <si>
    <t>Food Chemist</t>
  </si>
  <si>
    <t>agutierrez58</t>
  </si>
  <si>
    <t>Agimba</t>
  </si>
  <si>
    <t>dmoore78</t>
  </si>
  <si>
    <t>Trilia</t>
  </si>
  <si>
    <t>brileykw</t>
  </si>
  <si>
    <t>ghansenls</t>
  </si>
  <si>
    <t>pthompsono7</t>
  </si>
  <si>
    <t>hcooperoi</t>
  </si>
  <si>
    <t>Midel</t>
  </si>
  <si>
    <t>mpowellqa</t>
  </si>
  <si>
    <t>Camido</t>
  </si>
  <si>
    <t>jbryant19</t>
  </si>
  <si>
    <t>General Manager</t>
  </si>
  <si>
    <t>rwarren2v</t>
  </si>
  <si>
    <t>cmason35</t>
  </si>
  <si>
    <t>slewis88</t>
  </si>
  <si>
    <t>Buzzbean</t>
  </si>
  <si>
    <t>amurray99</t>
  </si>
  <si>
    <t>revansc0</t>
  </si>
  <si>
    <t>kjohnsondh</t>
  </si>
  <si>
    <t>pdixone4</t>
  </si>
  <si>
    <t>Skaboo</t>
  </si>
  <si>
    <t>lmendozaiw</t>
  </si>
  <si>
    <t>Kwinu</t>
  </si>
  <si>
    <t>nsandersl3</t>
  </si>
  <si>
    <t>Abata</t>
  </si>
  <si>
    <t>gperryoh</t>
  </si>
  <si>
    <t>cwardq4</t>
  </si>
  <si>
    <t>Linkbridge</t>
  </si>
  <si>
    <t>ckellyri</t>
  </si>
  <si>
    <t>Yadel</t>
  </si>
  <si>
    <t>wcooper3f</t>
  </si>
  <si>
    <t>Geological Engineer</t>
  </si>
  <si>
    <t>cday74</t>
  </si>
  <si>
    <t>Wikivu</t>
  </si>
  <si>
    <t>rsimmons7p</t>
  </si>
  <si>
    <t>tpeters9f</t>
  </si>
  <si>
    <t>egriffinid</t>
  </si>
  <si>
    <t>nmitchelllj</t>
  </si>
  <si>
    <t>tfowlerne</t>
  </si>
  <si>
    <t>Agivu</t>
  </si>
  <si>
    <t>dolsonqp</t>
  </si>
  <si>
    <t>bmorganea</t>
  </si>
  <si>
    <t>Geologist I</t>
  </si>
  <si>
    <t>ssandersqe</t>
  </si>
  <si>
    <t>Thoughtmix</t>
  </si>
  <si>
    <t>jreid5</t>
  </si>
  <si>
    <t>Geologist II</t>
  </si>
  <si>
    <t>jcox3u</t>
  </si>
  <si>
    <t>aperkins76</t>
  </si>
  <si>
    <t>Oyope</t>
  </si>
  <si>
    <t>jdunnj0</t>
  </si>
  <si>
    <t>hmedinam8</t>
  </si>
  <si>
    <t>mstanley4h</t>
  </si>
  <si>
    <t>Geologist III</t>
  </si>
  <si>
    <t>rbarneson</t>
  </si>
  <si>
    <t>pjamesl1</t>
  </si>
  <si>
    <t>Geologist IV</t>
  </si>
  <si>
    <t>ppetersonl6</t>
  </si>
  <si>
    <t>mbowmanmr</t>
  </si>
  <si>
    <t>Wordware</t>
  </si>
  <si>
    <t>mbrookspz</t>
  </si>
  <si>
    <t>astephenss</t>
  </si>
  <si>
    <t>GIS Technical Architect</t>
  </si>
  <si>
    <t>mgraham1b</t>
  </si>
  <si>
    <t>Flashset</t>
  </si>
  <si>
    <t>kpatterson3w</t>
  </si>
  <si>
    <t>jfernandez6z</t>
  </si>
  <si>
    <t>Feednation</t>
  </si>
  <si>
    <t>cwest7o</t>
  </si>
  <si>
    <t>kperry98</t>
  </si>
  <si>
    <t>Blognation</t>
  </si>
  <si>
    <t>efreemandc</t>
  </si>
  <si>
    <t>Kazu</t>
  </si>
  <si>
    <t>pknightdk</t>
  </si>
  <si>
    <t>lmccoygr</t>
  </si>
  <si>
    <t>dclark6x</t>
  </si>
  <si>
    <t>Tagcat</t>
  </si>
  <si>
    <t>Graphic Designer</t>
  </si>
  <si>
    <t>ajenkins8j</t>
  </si>
  <si>
    <t>Gabtype</t>
  </si>
  <si>
    <t>staylord3</t>
  </si>
  <si>
    <t>jboydl7</t>
  </si>
  <si>
    <t>Yambee</t>
  </si>
  <si>
    <t>iwilsonmo</t>
  </si>
  <si>
    <t>nsmithp9</t>
  </si>
  <si>
    <t>rfosterpm</t>
  </si>
  <si>
    <t>rarmstrong3o</t>
  </si>
  <si>
    <t>Health Coach I</t>
  </si>
  <si>
    <t>wmontgomery4l</t>
  </si>
  <si>
    <t>Health Coach III</t>
  </si>
  <si>
    <t>rwarrenmm</t>
  </si>
  <si>
    <t>rreid6j</t>
  </si>
  <si>
    <t>Health Coach IV</t>
  </si>
  <si>
    <t>apattersonda</t>
  </si>
  <si>
    <t>jstewartm6</t>
  </si>
  <si>
    <t>jcunninghamaa</t>
  </si>
  <si>
    <t>Help Desk Operator</t>
  </si>
  <si>
    <t>rsmithan</t>
  </si>
  <si>
    <t>lmoorecv</t>
  </si>
  <si>
    <t>Lazz</t>
  </si>
  <si>
    <t>gharperes</t>
  </si>
  <si>
    <t>mlewisi8</t>
  </si>
  <si>
    <t>earmstronglg</t>
  </si>
  <si>
    <t>ffullerm5</t>
  </si>
  <si>
    <t>Devpulse</t>
  </si>
  <si>
    <t>cwest2t</t>
  </si>
  <si>
    <t>Brainbox</t>
  </si>
  <si>
    <t>Help Desk Technician</t>
  </si>
  <si>
    <t>dwalker84</t>
  </si>
  <si>
    <t>Oba</t>
  </si>
  <si>
    <t>kknightay</t>
  </si>
  <si>
    <t>ahunterbo</t>
  </si>
  <si>
    <t>cwrightcr</t>
  </si>
  <si>
    <t>Youfeed</t>
  </si>
  <si>
    <t>cmasondb</t>
  </si>
  <si>
    <t>dlittleev</t>
  </si>
  <si>
    <t>gnguyengi</t>
  </si>
  <si>
    <t>mshawgu</t>
  </si>
  <si>
    <t>Edgeify</t>
  </si>
  <si>
    <t>rdanielsia</t>
  </si>
  <si>
    <t>Yodel</t>
  </si>
  <si>
    <t>jrobertsio</t>
  </si>
  <si>
    <t>jtuckerl0</t>
  </si>
  <si>
    <t>hgilbert6</t>
  </si>
  <si>
    <t>Human Resources Assistant I</t>
  </si>
  <si>
    <t>rjames87</t>
  </si>
  <si>
    <t>jbaileydj</t>
  </si>
  <si>
    <t>jlewisl2</t>
  </si>
  <si>
    <t>hknightom</t>
  </si>
  <si>
    <t>emedina57</t>
  </si>
  <si>
    <t>Aimbu</t>
  </si>
  <si>
    <t>Human Resources Assistant II</t>
  </si>
  <si>
    <t>cbishopnc</t>
  </si>
  <si>
    <t>lporteroy</t>
  </si>
  <si>
    <t>kgreenpv</t>
  </si>
  <si>
    <t>Rhynoodle</t>
  </si>
  <si>
    <t>mhartj</t>
  </si>
  <si>
    <t>Human Resources Assistant III</t>
  </si>
  <si>
    <t>jbradley2x</t>
  </si>
  <si>
    <t>Photojam</t>
  </si>
  <si>
    <t>rhawkins6d</t>
  </si>
  <si>
    <t>ejones9</t>
  </si>
  <si>
    <t>Skyvu</t>
  </si>
  <si>
    <t>Human Resources Assistant IV</t>
  </si>
  <si>
    <t>slawson2k</t>
  </si>
  <si>
    <t>lwright7b</t>
  </si>
  <si>
    <t>nmatthewspg</t>
  </si>
  <si>
    <t>fcooper14</t>
  </si>
  <si>
    <t>Human Resources Manager</t>
  </si>
  <si>
    <t>bmccoy59</t>
  </si>
  <si>
    <t>ghanson91</t>
  </si>
  <si>
    <t>jramoshb</t>
  </si>
  <si>
    <t>Topiclounge</t>
  </si>
  <si>
    <t>kwillisoj</t>
  </si>
  <si>
    <t>eknightqx</t>
  </si>
  <si>
    <t>hbailey11</t>
  </si>
  <si>
    <t>Information Systems Manager</t>
  </si>
  <si>
    <t>bhawkins23</t>
  </si>
  <si>
    <t>jboyd6t</t>
  </si>
  <si>
    <t>nphillips8g</t>
  </si>
  <si>
    <t>swelchae</t>
  </si>
  <si>
    <t>dhansonau</t>
  </si>
  <si>
    <t>dfowlerc5</t>
  </si>
  <si>
    <t>hmarshalleo</t>
  </si>
  <si>
    <t>pmooreg8</t>
  </si>
  <si>
    <t>Roombo</t>
  </si>
  <si>
    <t>cdaygc</t>
  </si>
  <si>
    <t>mphillipsjw</t>
  </si>
  <si>
    <t>scunninghamqy</t>
  </si>
  <si>
    <t>rsimpson1i</t>
  </si>
  <si>
    <t>Babbleblab</t>
  </si>
  <si>
    <t>Internal Auditor</t>
  </si>
  <si>
    <t>areid3g</t>
  </si>
  <si>
    <t>aturner5q</t>
  </si>
  <si>
    <t>adunn5w</t>
  </si>
  <si>
    <t>Oyondu</t>
  </si>
  <si>
    <t>ahansen75</t>
  </si>
  <si>
    <t>lgonzalesc3</t>
  </si>
  <si>
    <t>slanec9</t>
  </si>
  <si>
    <t>Eimbee</t>
  </si>
  <si>
    <t>nmitchellcm</t>
  </si>
  <si>
    <t>nbanksft</t>
  </si>
  <si>
    <t>rmendozai2</t>
  </si>
  <si>
    <t>abowmanq8</t>
  </si>
  <si>
    <t>kjenkinsqs</t>
  </si>
  <si>
    <t>hpiercerm</t>
  </si>
  <si>
    <t>Zava</t>
  </si>
  <si>
    <t>ksanders7j</t>
  </si>
  <si>
    <t>Junior Executive</t>
  </si>
  <si>
    <t>jlopezcx</t>
  </si>
  <si>
    <t>tfullerdy</t>
  </si>
  <si>
    <t>pmorrisld</t>
  </si>
  <si>
    <t>aboydov</t>
  </si>
  <si>
    <t>drichardson1v</t>
  </si>
  <si>
    <t>Legal Assistant</t>
  </si>
  <si>
    <t>dgarza4z</t>
  </si>
  <si>
    <t>amills5k</t>
  </si>
  <si>
    <t>aromero5m</t>
  </si>
  <si>
    <t>aday86</t>
  </si>
  <si>
    <t>dgilbertic</t>
  </si>
  <si>
    <t>rhawkinsl4</t>
  </si>
  <si>
    <t>Livepath</t>
  </si>
  <si>
    <t>gpiercemc</t>
  </si>
  <si>
    <t>daustinqq</t>
  </si>
  <si>
    <t>cnichols3c</t>
  </si>
  <si>
    <t>Librarian</t>
  </si>
  <si>
    <t>lcoleman3t</t>
  </si>
  <si>
    <t>Babbleset</t>
  </si>
  <si>
    <t>schavez6i</t>
  </si>
  <si>
    <t>lcastillo9i</t>
  </si>
  <si>
    <t>jthomas9u</t>
  </si>
  <si>
    <t>Flipopia</t>
  </si>
  <si>
    <t>hhawkinsc8</t>
  </si>
  <si>
    <t>eharveyha</t>
  </si>
  <si>
    <t>twilliamsqm</t>
  </si>
  <si>
    <t>rperezl</t>
  </si>
  <si>
    <t>Marketing Assistant</t>
  </si>
  <si>
    <t>jmorenox</t>
  </si>
  <si>
    <t>jcruz1l</t>
  </si>
  <si>
    <t>mhenderson1u</t>
  </si>
  <si>
    <t>Realmix</t>
  </si>
  <si>
    <t>jpierce31</t>
  </si>
  <si>
    <t>tmyersav</t>
  </si>
  <si>
    <t>Skipstorm</t>
  </si>
  <si>
    <t>rharrisoncg</t>
  </si>
  <si>
    <t>dreynoldsch</t>
  </si>
  <si>
    <t>rreynoldsfd</t>
  </si>
  <si>
    <t>pgreenefe</t>
  </si>
  <si>
    <t>jdeanlc</t>
  </si>
  <si>
    <t>lgomezmg</t>
  </si>
  <si>
    <t>lcoleo3</t>
  </si>
  <si>
    <t>kmartinoo</t>
  </si>
  <si>
    <t>lallenpq</t>
  </si>
  <si>
    <t>wfisher1q</t>
  </si>
  <si>
    <t>Marketing Manager</t>
  </si>
  <si>
    <t>jsims4u</t>
  </si>
  <si>
    <t>dmcdonald9d</t>
  </si>
  <si>
    <t>dwilsonc2</t>
  </si>
  <si>
    <t>Feedspan</t>
  </si>
  <si>
    <t>solsonhn</t>
  </si>
  <si>
    <t>bmorgankg</t>
  </si>
  <si>
    <t>dhughes2m</t>
  </si>
  <si>
    <t>Mechanical Systems Engineer</t>
  </si>
  <si>
    <t>smatthews3h</t>
  </si>
  <si>
    <t>trose61</t>
  </si>
  <si>
    <t>jvasquez90</t>
  </si>
  <si>
    <t>jschmidt93</t>
  </si>
  <si>
    <t>vpetersonai</t>
  </si>
  <si>
    <t>bbellaq</t>
  </si>
  <si>
    <t>mfernandezez</t>
  </si>
  <si>
    <t>llopezf5</t>
  </si>
  <si>
    <t>jnelsonin</t>
  </si>
  <si>
    <t>Rhyzio</t>
  </si>
  <si>
    <t>rowensoc</t>
  </si>
  <si>
    <t>jholmesp4</t>
  </si>
  <si>
    <t>acastillo7f</t>
  </si>
  <si>
    <t>Media Manager I</t>
  </si>
  <si>
    <t>jgordongd</t>
  </si>
  <si>
    <t>Jazzy</t>
  </si>
  <si>
    <t>calvarezjj</t>
  </si>
  <si>
    <t>jtuckerg6</t>
  </si>
  <si>
    <t>Media Manager III</t>
  </si>
  <si>
    <t>kcastilloc7</t>
  </si>
  <si>
    <t>Media Manager IV</t>
  </si>
  <si>
    <t>bdean13</t>
  </si>
  <si>
    <t>Nuclear Power Engineer</t>
  </si>
  <si>
    <t>bwashington4w</t>
  </si>
  <si>
    <t>Meevee</t>
  </si>
  <si>
    <t>aboyd97</t>
  </si>
  <si>
    <t>Kwimbee</t>
  </si>
  <si>
    <t>schapmanb2</t>
  </si>
  <si>
    <t>Jabberbean</t>
  </si>
  <si>
    <t>cmartinezce</t>
  </si>
  <si>
    <t>Fatz</t>
  </si>
  <si>
    <t>mburnseu</t>
  </si>
  <si>
    <t>iturnerhw</t>
  </si>
  <si>
    <t>ibradleylo</t>
  </si>
  <si>
    <t>dcunninghamq3</t>
  </si>
  <si>
    <t>acook18</t>
  </si>
  <si>
    <t>Oyonder</t>
  </si>
  <si>
    <t>Nurse</t>
  </si>
  <si>
    <t>cgeorge2b</t>
  </si>
  <si>
    <t>dsimmons4n</t>
  </si>
  <si>
    <t>lmcdonald9h</t>
  </si>
  <si>
    <t>pmarshall9p</t>
  </si>
  <si>
    <t>jcarterb0</t>
  </si>
  <si>
    <t>Oyoloo</t>
  </si>
  <si>
    <t>ghudsone9</t>
  </si>
  <si>
    <t>mgarrettfc</t>
  </si>
  <si>
    <t>jlawrenceir</t>
  </si>
  <si>
    <t>Twitterbridge</t>
  </si>
  <si>
    <t>selliottjz</t>
  </si>
  <si>
    <t>egreenkq</t>
  </si>
  <si>
    <t>Dabfeed</t>
  </si>
  <si>
    <t>bhuntmv</t>
  </si>
  <si>
    <t>Snaptags</t>
  </si>
  <si>
    <t>tmorrist</t>
  </si>
  <si>
    <t>Nurse Practicioner</t>
  </si>
  <si>
    <t>kward1r</t>
  </si>
  <si>
    <t>dwoods3p</t>
  </si>
  <si>
    <t>lturner69</t>
  </si>
  <si>
    <t>Zoomlounge</t>
  </si>
  <si>
    <t>ecarr9o</t>
  </si>
  <si>
    <t>dfranklinab</t>
  </si>
  <si>
    <t>mmorganas</t>
  </si>
  <si>
    <t>mryang9</t>
  </si>
  <si>
    <t>srileyk8</t>
  </si>
  <si>
    <t>cfisherkz</t>
  </si>
  <si>
    <t>Zoomzone</t>
  </si>
  <si>
    <t>rmeyerrq</t>
  </si>
  <si>
    <t>wnichols44</t>
  </si>
  <si>
    <t>Occupational Therapist</t>
  </si>
  <si>
    <t>wfowler5e</t>
  </si>
  <si>
    <t>bwalkerd1</t>
  </si>
  <si>
    <t>pmartinezif</t>
  </si>
  <si>
    <t>Eare</t>
  </si>
  <si>
    <t>kgarciaj1</t>
  </si>
  <si>
    <t>ssimmonskj</t>
  </si>
  <si>
    <t>njacksonn1</t>
  </si>
  <si>
    <t>rlaneqv</t>
  </si>
  <si>
    <t>mcastillo7n</t>
  </si>
  <si>
    <t>Office Assistant I</t>
  </si>
  <si>
    <t>jfieldsiz</t>
  </si>
  <si>
    <t>dlopez3</t>
  </si>
  <si>
    <t>Office Assistant II</t>
  </si>
  <si>
    <t>jrichards7l</t>
  </si>
  <si>
    <t>mhallhc</t>
  </si>
  <si>
    <t>Zooveo</t>
  </si>
  <si>
    <t>Office Assistant III</t>
  </si>
  <si>
    <t>jriveraog</t>
  </si>
  <si>
    <t>Office Assistant IV</t>
  </si>
  <si>
    <t>eflores24</t>
  </si>
  <si>
    <t>Operator</t>
  </si>
  <si>
    <t>dsnyder4r</t>
  </si>
  <si>
    <t>roliver7a</t>
  </si>
  <si>
    <t>Flipbug</t>
  </si>
  <si>
    <t>afranklin9r</t>
  </si>
  <si>
    <t>lfullerj7</t>
  </si>
  <si>
    <t>ebradleyj9</t>
  </si>
  <si>
    <t>khartnt</t>
  </si>
  <si>
    <t>awardos</t>
  </si>
  <si>
    <t>Feedbug</t>
  </si>
  <si>
    <t>djordanpr</t>
  </si>
  <si>
    <t>Feedfire</t>
  </si>
  <si>
    <t>wreidr8</t>
  </si>
  <si>
    <t>jstevensrd</t>
  </si>
  <si>
    <t>cmurrayd</t>
  </si>
  <si>
    <t>Paralegal</t>
  </si>
  <si>
    <t>lmiller4v</t>
  </si>
  <si>
    <t>aweaver5a</t>
  </si>
  <si>
    <t>frichardson5z</t>
  </si>
  <si>
    <t>jlarson94</t>
  </si>
  <si>
    <t>bmatthewsfg</t>
  </si>
  <si>
    <t>talvarezhk</t>
  </si>
  <si>
    <t>afosterp1</t>
  </si>
  <si>
    <t>jvasquez4g</t>
  </si>
  <si>
    <t>Payment Adjustment Coordinator</t>
  </si>
  <si>
    <t>eholmes5s</t>
  </si>
  <si>
    <t>hsimpson72</t>
  </si>
  <si>
    <t>jwagner7g</t>
  </si>
  <si>
    <t>sknight9b</t>
  </si>
  <si>
    <t>bmeyer9e</t>
  </si>
  <si>
    <t>dparker9k</t>
  </si>
  <si>
    <t>twestf0</t>
  </si>
  <si>
    <t>wmurrayjn</t>
  </si>
  <si>
    <t>Talane</t>
  </si>
  <si>
    <t>jhendersonki</t>
  </si>
  <si>
    <t>Quimba</t>
  </si>
  <si>
    <t>tmorriskk</t>
  </si>
  <si>
    <t>colsonm2</t>
  </si>
  <si>
    <t>dbennettp3</t>
  </si>
  <si>
    <t>chanson16</t>
  </si>
  <si>
    <t>Pharmacist</t>
  </si>
  <si>
    <t>krichardsoneh</t>
  </si>
  <si>
    <t>wcruzg3</t>
  </si>
  <si>
    <t>jgonzalesj4</t>
  </si>
  <si>
    <t>slewisn6</t>
  </si>
  <si>
    <t>hhartq7</t>
  </si>
  <si>
    <t>jholmesqr</t>
  </si>
  <si>
    <t>brussell39</t>
  </si>
  <si>
    <t>Physical Therapy Assistant</t>
  </si>
  <si>
    <t>jweaver7i</t>
  </si>
  <si>
    <t>Flashdog</t>
  </si>
  <si>
    <t>thawkins8i</t>
  </si>
  <si>
    <t>blonga0</t>
  </si>
  <si>
    <t>dbishopgv</t>
  </si>
  <si>
    <t>swalkerh0</t>
  </si>
  <si>
    <t>afordmf</t>
  </si>
  <si>
    <t>Eazzy</t>
  </si>
  <si>
    <t>lhartnf</t>
  </si>
  <si>
    <t>carnold3l</t>
  </si>
  <si>
    <t>Product Engineer</t>
  </si>
  <si>
    <t>aromero4j</t>
  </si>
  <si>
    <t>swilliamson6k</t>
  </si>
  <si>
    <t>rhicks7d</t>
  </si>
  <si>
    <t>briceds</t>
  </si>
  <si>
    <t>Zoombeat</t>
  </si>
  <si>
    <t>pfowlerdu</t>
  </si>
  <si>
    <t>dbarnesib</t>
  </si>
  <si>
    <t>jwardnm</t>
  </si>
  <si>
    <t>Browsetype</t>
  </si>
  <si>
    <t>mmitchell0</t>
  </si>
  <si>
    <t>Professor</t>
  </si>
  <si>
    <t>mharris1k</t>
  </si>
  <si>
    <t>cshaw3q</t>
  </si>
  <si>
    <t>jjohnston50</t>
  </si>
  <si>
    <t>awoodsa9</t>
  </si>
  <si>
    <t>dandersoncy</t>
  </si>
  <si>
    <t>awallacedq</t>
  </si>
  <si>
    <t>mramosh8</t>
  </si>
  <si>
    <t>ilarsonnv</t>
  </si>
  <si>
    <t>rallenp0</t>
  </si>
  <si>
    <t>ljenkins54</t>
  </si>
  <si>
    <t>Programmer Analyst I</t>
  </si>
  <si>
    <t>bryanam</t>
  </si>
  <si>
    <t>jgonzales22</t>
  </si>
  <si>
    <t>Programmer Analyst III</t>
  </si>
  <si>
    <t>ecarterr5</t>
  </si>
  <si>
    <t>Kazio</t>
  </si>
  <si>
    <t>randrewsbr</t>
  </si>
  <si>
    <t>Eadel</t>
  </si>
  <si>
    <t>Programmer Analyst IV</t>
  </si>
  <si>
    <t>drobinsondp</t>
  </si>
  <si>
    <t>Programmer II</t>
  </si>
  <si>
    <t>dgrantu</t>
  </si>
  <si>
    <t>Programmer IV</t>
  </si>
  <si>
    <t>cduncanfu</t>
  </si>
  <si>
    <t>ajohnstonpx</t>
  </si>
  <si>
    <t>rgonzalezrp</t>
  </si>
  <si>
    <t>creed4f</t>
  </si>
  <si>
    <t>Project Manager</t>
  </si>
  <si>
    <t>mwallace5c</t>
  </si>
  <si>
    <t>kreynolds5l</t>
  </si>
  <si>
    <t>dporter5u</t>
  </si>
  <si>
    <t>jarmstrong8d</t>
  </si>
  <si>
    <t>pmendozadt</t>
  </si>
  <si>
    <t>ahartgw</t>
  </si>
  <si>
    <t>cwelchk5</t>
  </si>
  <si>
    <t>lchapmank7</t>
  </si>
  <si>
    <t>emcdonaldmk</t>
  </si>
  <si>
    <t>jscottoe</t>
  </si>
  <si>
    <t>welliott2i</t>
  </si>
  <si>
    <t>Quality Control Specialist</t>
  </si>
  <si>
    <t>jfernandez8l</t>
  </si>
  <si>
    <t>fmatthewscj</t>
  </si>
  <si>
    <t>cperrynq</t>
  </si>
  <si>
    <t>jruizqc</t>
  </si>
  <si>
    <t>Jetwire</t>
  </si>
  <si>
    <t>lmoralesbm</t>
  </si>
  <si>
    <t>Quality Engineer</t>
  </si>
  <si>
    <t>hortizbs</t>
  </si>
  <si>
    <t>tschmidtiq</t>
  </si>
  <si>
    <t>barmstronglr</t>
  </si>
  <si>
    <t>agrahamlv</t>
  </si>
  <si>
    <t>jhoward36</t>
  </si>
  <si>
    <t>Recruiter</t>
  </si>
  <si>
    <t>ncooper48</t>
  </si>
  <si>
    <t>lross5f</t>
  </si>
  <si>
    <t>vwatkins9q</t>
  </si>
  <si>
    <t>pjohnstonpt</t>
  </si>
  <si>
    <t>sramirez4m</t>
  </si>
  <si>
    <t>Fivebridge</t>
  </si>
  <si>
    <t>Recruiting Manager</t>
  </si>
  <si>
    <t>mstanley8o</t>
  </si>
  <si>
    <t>vryan9m</t>
  </si>
  <si>
    <t>sdixon9n</t>
  </si>
  <si>
    <t>krichardsb8</t>
  </si>
  <si>
    <t>Trunyx</t>
  </si>
  <si>
    <t>acoopercp</t>
  </si>
  <si>
    <t>Tambee</t>
  </si>
  <si>
    <t>ahowardfk</t>
  </si>
  <si>
    <t>jgibsonhm</t>
  </si>
  <si>
    <t>dbrooksiv</t>
  </si>
  <si>
    <t>jgrayju</t>
  </si>
  <si>
    <t>lcampbellkx</t>
  </si>
  <si>
    <t>llynchmz</t>
  </si>
  <si>
    <t>Oyoba</t>
  </si>
  <si>
    <t>slittle4e</t>
  </si>
  <si>
    <t>Registered Nurse</t>
  </si>
  <si>
    <t>jmurphy52</t>
  </si>
  <si>
    <t>progers6h</t>
  </si>
  <si>
    <t>mcoleman6y</t>
  </si>
  <si>
    <t>LiveZ</t>
  </si>
  <si>
    <t>lchapman8t</t>
  </si>
  <si>
    <t>Gigashots</t>
  </si>
  <si>
    <t>dlawsonb6</t>
  </si>
  <si>
    <t>cwatkinsbv</t>
  </si>
  <si>
    <t>ldixong1</t>
  </si>
  <si>
    <t>wturnero9</t>
  </si>
  <si>
    <t>mlopezlm</t>
  </si>
  <si>
    <t>Research Assistant I</t>
  </si>
  <si>
    <t>tarmstrong4q</t>
  </si>
  <si>
    <t>Research Assistant II</t>
  </si>
  <si>
    <t>vdixon3r</t>
  </si>
  <si>
    <t>Research Assistant III</t>
  </si>
  <si>
    <t>scrawford8v</t>
  </si>
  <si>
    <t>jhendersono6</t>
  </si>
  <si>
    <t>rbaker6n</t>
  </si>
  <si>
    <t>Research Associate</t>
  </si>
  <si>
    <t>mschmidt6o</t>
  </si>
  <si>
    <t>sevans89</t>
  </si>
  <si>
    <t>clanear</t>
  </si>
  <si>
    <t>pfoxbh</t>
  </si>
  <si>
    <t>woliverdn</t>
  </si>
  <si>
    <t>kmoralesec</t>
  </si>
  <si>
    <t>ebailey6e</t>
  </si>
  <si>
    <t>Research Nurse</t>
  </si>
  <si>
    <t>crobertsfm</t>
  </si>
  <si>
    <t>Twiyo</t>
  </si>
  <si>
    <t>clewisgs</t>
  </si>
  <si>
    <t>cmurrayhf</t>
  </si>
  <si>
    <t>rgordonip</t>
  </si>
  <si>
    <t>tbutlermy</t>
  </si>
  <si>
    <t>pbaileyrj</t>
  </si>
  <si>
    <t>tdunn37</t>
  </si>
  <si>
    <t>Safety Technician I</t>
  </si>
  <si>
    <t>aandrewseb</t>
  </si>
  <si>
    <t>hmooreq0</t>
  </si>
  <si>
    <t>jwatsonrr</t>
  </si>
  <si>
    <t>ddanielsh</t>
  </si>
  <si>
    <t>Safety Technician II</t>
  </si>
  <si>
    <t>dsmith3i</t>
  </si>
  <si>
    <t>Yakijo</t>
  </si>
  <si>
    <t>klawsonap</t>
  </si>
  <si>
    <t>dmeyerct</t>
  </si>
  <si>
    <t>Gigaclub</t>
  </si>
  <si>
    <t>mmitchellil</t>
  </si>
  <si>
    <t>fpalmerpl</t>
  </si>
  <si>
    <t>Janyx</t>
  </si>
  <si>
    <t>ncastillorc</t>
  </si>
  <si>
    <t>smcdonald77</t>
  </si>
  <si>
    <t>Aivee</t>
  </si>
  <si>
    <t>Safety Technician III</t>
  </si>
  <si>
    <t>ghenry1</t>
  </si>
  <si>
    <t>Bubbletube</t>
  </si>
  <si>
    <t>Safety Technician IV</t>
  </si>
  <si>
    <t>dcarter3v</t>
  </si>
  <si>
    <t>swatkinsbe</t>
  </si>
  <si>
    <t>adayfv</t>
  </si>
  <si>
    <t>wfergusonr3</t>
  </si>
  <si>
    <t>slawsona</t>
  </si>
  <si>
    <t>Sales Associate</t>
  </si>
  <si>
    <t>pbowman2f</t>
  </si>
  <si>
    <t>Ainyx</t>
  </si>
  <si>
    <t>fedwards68</t>
  </si>
  <si>
    <t>klynchbp</t>
  </si>
  <si>
    <t>mwarrenbu</t>
  </si>
  <si>
    <t>athomasdr</t>
  </si>
  <si>
    <t>jportere0</t>
  </si>
  <si>
    <t>cgilberth3</t>
  </si>
  <si>
    <t>dnelsoni5</t>
  </si>
  <si>
    <t>Vinder</t>
  </si>
  <si>
    <t>lwatsonn4</t>
  </si>
  <si>
    <t>vfosterdf</t>
  </si>
  <si>
    <t>Sales Representative</t>
  </si>
  <si>
    <t>gsnyderex</t>
  </si>
  <si>
    <t>jrosejc</t>
  </si>
  <si>
    <t>ewatkinsmb</t>
  </si>
  <si>
    <t>jramirezo0</t>
  </si>
  <si>
    <t>mpattersonba</t>
  </si>
  <si>
    <t>Tagfeed</t>
  </si>
  <si>
    <t>Senior Cost Accountant</t>
  </si>
  <si>
    <t>tramosbn</t>
  </si>
  <si>
    <t>jmorrisdv</t>
  </si>
  <si>
    <t>crichardsfi</t>
  </si>
  <si>
    <t>aolsonlz</t>
  </si>
  <si>
    <t>dmeyerox</t>
  </si>
  <si>
    <t>amendozaph</t>
  </si>
  <si>
    <t>eperezpk</t>
  </si>
  <si>
    <t>rriveraqj</t>
  </si>
  <si>
    <t>pryany</t>
  </si>
  <si>
    <t>Senior Developer</t>
  </si>
  <si>
    <t>bowens1d</t>
  </si>
  <si>
    <t>jdean45</t>
  </si>
  <si>
    <t>showard4y</t>
  </si>
  <si>
    <t>rfisher7t</t>
  </si>
  <si>
    <t>dlongd6</t>
  </si>
  <si>
    <t>acarrollfh</t>
  </si>
  <si>
    <t>thall6w</t>
  </si>
  <si>
    <t>Senior Editor</t>
  </si>
  <si>
    <t>tmarshallcq</t>
  </si>
  <si>
    <t>ahalldo</t>
  </si>
  <si>
    <t>pwillisj6</t>
  </si>
  <si>
    <t>sdayjl</t>
  </si>
  <si>
    <t>wclarkrn</t>
  </si>
  <si>
    <t>phayes4</t>
  </si>
  <si>
    <t>Senior Financial Analyst</t>
  </si>
  <si>
    <t>scarterc</t>
  </si>
  <si>
    <t>hwarrenn</t>
  </si>
  <si>
    <t>sshawz</t>
  </si>
  <si>
    <t>lcoxnd</t>
  </si>
  <si>
    <t>ataylor3e</t>
  </si>
  <si>
    <t>Senior Quality Engineer</t>
  </si>
  <si>
    <t>wwarren56</t>
  </si>
  <si>
    <t>staylorfn</t>
  </si>
  <si>
    <t>mfernandezhd</t>
  </si>
  <si>
    <t>hrichardsonhh</t>
  </si>
  <si>
    <t>chunterk0</t>
  </si>
  <si>
    <t>Jaloo</t>
  </si>
  <si>
    <t>jrussell9j</t>
  </si>
  <si>
    <t>Senior Sales Associate</t>
  </si>
  <si>
    <t>eshawag</t>
  </si>
  <si>
    <t>rdanielse1</t>
  </si>
  <si>
    <t>bfisherpn</t>
  </si>
  <si>
    <t>lnicholsrf</t>
  </si>
  <si>
    <t>lpalmer7</t>
  </si>
  <si>
    <t>Social Worker</t>
  </si>
  <si>
    <t>lmarshall2u</t>
  </si>
  <si>
    <t>Browsedrive</t>
  </si>
  <si>
    <t>jbrooks9a</t>
  </si>
  <si>
    <t>stayloreg</t>
  </si>
  <si>
    <t>egordonfq</t>
  </si>
  <si>
    <t>awardk3</t>
  </si>
  <si>
    <t>alopezma</t>
  </si>
  <si>
    <t>rmartinezr0</t>
  </si>
  <si>
    <t>rgonzalezr2</t>
  </si>
  <si>
    <t>jgonzalezgg</t>
  </si>
  <si>
    <t>Software Consultant</t>
  </si>
  <si>
    <t>lrossj8</t>
  </si>
  <si>
    <t>acarterjp</t>
  </si>
  <si>
    <t>Twimbo</t>
  </si>
  <si>
    <t>fstanleylk</t>
  </si>
  <si>
    <t>sowens62</t>
  </si>
  <si>
    <t>Software Engineer I</t>
  </si>
  <si>
    <t>lolsonc4</t>
  </si>
  <si>
    <t>jpattersonie</t>
  </si>
  <si>
    <t>cgordon5j</t>
  </si>
  <si>
    <t>Software Engineer II</t>
  </si>
  <si>
    <t>iwilliams41</t>
  </si>
  <si>
    <t>Software Engineer III</t>
  </si>
  <si>
    <t>swilliamson6p</t>
  </si>
  <si>
    <t>rscotter</t>
  </si>
  <si>
    <t>crichardsni</t>
  </si>
  <si>
    <t>chansona4</t>
  </si>
  <si>
    <t>Demivee</t>
  </si>
  <si>
    <t>Software Engineer IV</t>
  </si>
  <si>
    <t>pstephensge</t>
  </si>
  <si>
    <t>irichardsq5</t>
  </si>
  <si>
    <t>hlarson6g</t>
  </si>
  <si>
    <t>Buzzster</t>
  </si>
  <si>
    <t>Software Test Engineer I</t>
  </si>
  <si>
    <t>nallenee</t>
  </si>
  <si>
    <t>dpattersonlu</t>
  </si>
  <si>
    <t>jhallm3</t>
  </si>
  <si>
    <t>cbrown5b</t>
  </si>
  <si>
    <t>Software Test Engineer II</t>
  </si>
  <si>
    <t>kgardnerp7</t>
  </si>
  <si>
    <t>wlong2y</t>
  </si>
  <si>
    <t>Software Test Engineer III</t>
  </si>
  <si>
    <t>bjenkins2q</t>
  </si>
  <si>
    <t>Software Test Engineer IV</t>
  </si>
  <si>
    <t>rhansenb</t>
  </si>
  <si>
    <t>Speech Pathologist</t>
  </si>
  <si>
    <t>bwatkins17</t>
  </si>
  <si>
    <t>Gabvine</t>
  </si>
  <si>
    <t>rbanks34</t>
  </si>
  <si>
    <t>hriley65</t>
  </si>
  <si>
    <t>ehunter8a</t>
  </si>
  <si>
    <t>Twitternation</t>
  </si>
  <si>
    <t>pbishopew</t>
  </si>
  <si>
    <t>nfoxfb</t>
  </si>
  <si>
    <t>sbarnesgf</t>
  </si>
  <si>
    <t>arodriguezg4</t>
  </si>
  <si>
    <t>Staff Accountant II</t>
  </si>
  <si>
    <t>dhamiltonbz</t>
  </si>
  <si>
    <t>Staff Accountant III</t>
  </si>
  <si>
    <t>mweaverk4</t>
  </si>
  <si>
    <t>ehoward8e</t>
  </si>
  <si>
    <t>Staff Accountant IV</t>
  </si>
  <si>
    <t>rfieldsjf</t>
  </si>
  <si>
    <t>Kare</t>
  </si>
  <si>
    <t>jsimpsonm9</t>
  </si>
  <si>
    <t>jwilliamson20</t>
  </si>
  <si>
    <t>Staff Scientist</t>
  </si>
  <si>
    <t>dwillis2j</t>
  </si>
  <si>
    <t>mhamilton3m</t>
  </si>
  <si>
    <t>dsullivan51</t>
  </si>
  <si>
    <t>astanley7y</t>
  </si>
  <si>
    <t>chenderson8y</t>
  </si>
  <si>
    <t>dcoleah</t>
  </si>
  <si>
    <t>bevansaj</t>
  </si>
  <si>
    <t>Edgepulse</t>
  </si>
  <si>
    <t>phuntercl</t>
  </si>
  <si>
    <t>eaustindz</t>
  </si>
  <si>
    <t>mmorrisonf9</t>
  </si>
  <si>
    <t>bhicksgy</t>
  </si>
  <si>
    <t>lsullivan4o</t>
  </si>
  <si>
    <t>Pixoboo</t>
  </si>
  <si>
    <t>Statistician I</t>
  </si>
  <si>
    <t>pmarshallax</t>
  </si>
  <si>
    <t>rpetersle</t>
  </si>
  <si>
    <t>cmartinezn0</t>
  </si>
  <si>
    <t>jfoxny</t>
  </si>
  <si>
    <t>wsnyder4a</t>
  </si>
  <si>
    <t>Statistician II</t>
  </si>
  <si>
    <t>nbakergx</t>
  </si>
  <si>
    <t>jfieldsw</t>
  </si>
  <si>
    <t>Statistician III</t>
  </si>
  <si>
    <t>jarnoldga</t>
  </si>
  <si>
    <t>jowensln</t>
  </si>
  <si>
    <t>ltorreslq</t>
  </si>
  <si>
    <t>Statistician IV</t>
  </si>
  <si>
    <t>ldean3d</t>
  </si>
  <si>
    <t>Structural Analysis Engineer</t>
  </si>
  <si>
    <t>jaustin82</t>
  </si>
  <si>
    <t>mromerogo</t>
  </si>
  <si>
    <t>sdeanhl</t>
  </si>
  <si>
    <t>kgarrettkr</t>
  </si>
  <si>
    <t>cfergusonn8</t>
  </si>
  <si>
    <t>rwellse</t>
  </si>
  <si>
    <t>Structural Engineer</t>
  </si>
  <si>
    <t>skennedy1c</t>
  </si>
  <si>
    <t>sgriffin1g</t>
  </si>
  <si>
    <t>kgordon29</t>
  </si>
  <si>
    <t>rgarcia4x</t>
  </si>
  <si>
    <t>jpierce7u</t>
  </si>
  <si>
    <t>ekennedyfo</t>
  </si>
  <si>
    <t>scoxfp</t>
  </si>
  <si>
    <t>rgordonps</t>
  </si>
  <si>
    <t>emillsp</t>
  </si>
  <si>
    <t>Systems Administrator I</t>
  </si>
  <si>
    <t>tmccoyd8</t>
  </si>
  <si>
    <t>mrileyng</t>
  </si>
  <si>
    <t>rfernandezv</t>
  </si>
  <si>
    <t>Systems Administrator II</t>
  </si>
  <si>
    <t>bgonzalescu</t>
  </si>
  <si>
    <t>fbrooks25</t>
  </si>
  <si>
    <t>Systems Administrator III</t>
  </si>
  <si>
    <t>lmiller5o</t>
  </si>
  <si>
    <t>ereynoldskf</t>
  </si>
  <si>
    <t>glarsonr6</t>
  </si>
  <si>
    <t>Systems Administrator IV</t>
  </si>
  <si>
    <t>wwallace8n</t>
  </si>
  <si>
    <t>Tax Accountant</t>
  </si>
  <si>
    <t>mstewart8w</t>
  </si>
  <si>
    <t>Tagpad</t>
  </si>
  <si>
    <t>smitchellbq</t>
  </si>
  <si>
    <t>ppalmergk</t>
  </si>
  <si>
    <t>cperryiu</t>
  </si>
  <si>
    <t>dhansenlf</t>
  </si>
  <si>
    <t>srichardsnh</t>
  </si>
  <si>
    <t>mrogersoq</t>
  </si>
  <si>
    <t>kbryant5v</t>
  </si>
  <si>
    <t>Teacher</t>
  </si>
  <si>
    <t>mwagner63</t>
  </si>
  <si>
    <t>dfreeman9l</t>
  </si>
  <si>
    <t>ayoungh7</t>
  </si>
  <si>
    <t>jwatsonjs</t>
  </si>
  <si>
    <t>tharriskh</t>
  </si>
  <si>
    <t>scarterl5</t>
  </si>
  <si>
    <t>vjamesmi</t>
  </si>
  <si>
    <t>ffowlermw</t>
  </si>
  <si>
    <t>bcarrollo2</t>
  </si>
  <si>
    <t>ewatkinsqn</t>
  </si>
  <si>
    <t>mford1e</t>
  </si>
  <si>
    <t>Technical Writer</t>
  </si>
  <si>
    <t>klee8q</t>
  </si>
  <si>
    <t>jwelch9s</t>
  </si>
  <si>
    <t>fellis9x</t>
  </si>
  <si>
    <t>Aimbo</t>
  </si>
  <si>
    <t>nharrisak</t>
  </si>
  <si>
    <t>acruzc6</t>
  </si>
  <si>
    <t>aperkinsem</t>
  </si>
  <si>
    <t>bharveyf3</t>
  </si>
  <si>
    <t>mkennedyje</t>
  </si>
  <si>
    <t>bperrynn</t>
  </si>
  <si>
    <t>srussellpc</t>
  </si>
  <si>
    <t>jcarpenterpu</t>
  </si>
  <si>
    <t>swarrenrg</t>
  </si>
  <si>
    <t>dlawsonro</t>
  </si>
  <si>
    <t>jray9t</t>
  </si>
  <si>
    <t>VP Accounting</t>
  </si>
  <si>
    <t>rboydbg</t>
  </si>
  <si>
    <t>jbennettfx</t>
  </si>
  <si>
    <t>wcolemanky</t>
  </si>
  <si>
    <t>lramirezod</t>
  </si>
  <si>
    <t>gpetersqb</t>
  </si>
  <si>
    <t>astanleyqk</t>
  </si>
  <si>
    <t>ngardnerqw</t>
  </si>
  <si>
    <t>mmontgomeryr1</t>
  </si>
  <si>
    <t>jbradleyo</t>
  </si>
  <si>
    <t>VP Marketing</t>
  </si>
  <si>
    <t>wpatterson2a</t>
  </si>
  <si>
    <t>jcampbell6b</t>
  </si>
  <si>
    <t>cortiz7x</t>
  </si>
  <si>
    <t>tramirez7z</t>
  </si>
  <si>
    <t>jwagner96</t>
  </si>
  <si>
    <t>jmontgomeryco</t>
  </si>
  <si>
    <t>edavisdl</t>
  </si>
  <si>
    <t>bmoorejr</t>
  </si>
  <si>
    <t>rweaverme</t>
  </si>
  <si>
    <t>slewisnr</t>
  </si>
  <si>
    <t>rmasonqf</t>
  </si>
  <si>
    <t>Dynazzy</t>
  </si>
  <si>
    <t>jwilsoni9</t>
  </si>
  <si>
    <t>VP Product Management</t>
  </si>
  <si>
    <t>bgriffinqh</t>
  </si>
  <si>
    <t>dbarnes2p</t>
  </si>
  <si>
    <t>VP Quality Control</t>
  </si>
  <si>
    <t>ahenderson3a</t>
  </si>
  <si>
    <t>colson5x</t>
  </si>
  <si>
    <t>ghoward8x</t>
  </si>
  <si>
    <t>mricebx</t>
  </si>
  <si>
    <t>talvarezet</t>
  </si>
  <si>
    <t>rtorresh9</t>
  </si>
  <si>
    <t>mchapmank6</t>
  </si>
  <si>
    <t>scastillomq</t>
  </si>
  <si>
    <t>jrodriguez4p</t>
  </si>
  <si>
    <t>Eire</t>
  </si>
  <si>
    <t>VP Sales</t>
  </si>
  <si>
    <t>nfowler7s</t>
  </si>
  <si>
    <t>jmurray8s</t>
  </si>
  <si>
    <t>dday9v</t>
  </si>
  <si>
    <t>shansonb3</t>
  </si>
  <si>
    <t>pbanksmj</t>
  </si>
  <si>
    <t>jmasonpe</t>
  </si>
  <si>
    <t>bmcdonald1h</t>
  </si>
  <si>
    <t>Skippad</t>
  </si>
  <si>
    <t>Web Designer I</t>
  </si>
  <si>
    <t>tcarpentergt</t>
  </si>
  <si>
    <t>pelliottl9</t>
  </si>
  <si>
    <t>efullercn</t>
  </si>
  <si>
    <t>Web Designer II</t>
  </si>
  <si>
    <t>bwarrenfy</t>
  </si>
  <si>
    <t>lbaker7q</t>
  </si>
  <si>
    <t>Web Designer III</t>
  </si>
  <si>
    <t>jmills8m</t>
  </si>
  <si>
    <t>kturner2c</t>
  </si>
  <si>
    <t>Web Designer IV</t>
  </si>
  <si>
    <t>jreynolds92</t>
  </si>
  <si>
    <t>swheelergh</t>
  </si>
  <si>
    <t>jpowell7e</t>
  </si>
  <si>
    <t>Web Developer I</t>
  </si>
  <si>
    <t>sedwardsek</t>
  </si>
  <si>
    <t>kmorgani7</t>
  </si>
  <si>
    <t>ralvarez40</t>
  </si>
  <si>
    <t>Web Developer III</t>
  </si>
  <si>
    <t>fthompsonlw</t>
  </si>
  <si>
    <t>rbanksnz</t>
  </si>
  <si>
    <t>jjacksonly</t>
  </si>
  <si>
    <t>Web Developer IV</t>
  </si>
  <si>
    <t>ajordank@ed.gov</t>
  </si>
  <si>
    <t>ajordank</t>
  </si>
  <si>
    <t>Flint</t>
  </si>
  <si>
    <t>hmorrislf@is.gd</t>
  </si>
  <si>
    <t>hmorrislf</t>
  </si>
  <si>
    <t>prodriguezej@businessweek.com</t>
  </si>
  <si>
    <t>prodriguezej</t>
  </si>
  <si>
    <t>Skiptube</t>
  </si>
  <si>
    <t>Wheeler</t>
  </si>
  <si>
    <t>cwheeler37@ovh.net</t>
  </si>
  <si>
    <t>cwheeler37</t>
  </si>
  <si>
    <t>Adam</t>
  </si>
  <si>
    <t>ajenkins6h@comcast.net</t>
  </si>
  <si>
    <t>ajenkins6h</t>
  </si>
  <si>
    <t>Bonnie</t>
  </si>
  <si>
    <t>breyesen@merriam-webster.com</t>
  </si>
  <si>
    <t>breyesen</t>
  </si>
  <si>
    <t>Jaxspan</t>
  </si>
  <si>
    <t>Korean</t>
  </si>
  <si>
    <t>jellisp@imageshack.us</t>
  </si>
  <si>
    <t>jellisp</t>
  </si>
  <si>
    <t>Zoomdog</t>
  </si>
  <si>
    <t>rmatthewsdk@nature.com</t>
  </si>
  <si>
    <t>rmatthewsdk</t>
  </si>
  <si>
    <t>ebrooksb0@tuttocitta.it</t>
  </si>
  <si>
    <t>ebrooksb0</t>
  </si>
  <si>
    <t>Alaska Native</t>
  </si>
  <si>
    <t>Johnson</t>
  </si>
  <si>
    <t>wjohnsonps@columbia.edu</t>
  </si>
  <si>
    <t>wjohnsonps</t>
  </si>
  <si>
    <t>Lake Charles</t>
  </si>
  <si>
    <t>cstephensrp@myspace.com</t>
  </si>
  <si>
    <t>cstephensrp</t>
  </si>
  <si>
    <t>pweaver5v@merriam-webster.com</t>
  </si>
  <si>
    <t>pweaver5v</t>
  </si>
  <si>
    <t>Staff Accountant I</t>
  </si>
  <si>
    <t>rlawsonof@nsw.gov.au</t>
  </si>
  <si>
    <t>rlawsonof</t>
  </si>
  <si>
    <t>scarrqh@fema.gov</t>
  </si>
  <si>
    <t>scarrqh</t>
  </si>
  <si>
    <t>sgriffind@stanford.edu</t>
  </si>
  <si>
    <t>sgriffind</t>
  </si>
  <si>
    <t>aroberts4p@ezinearticles.com</t>
  </si>
  <si>
    <t>aroberts4p</t>
  </si>
  <si>
    <t>dscottri@ask.com</t>
  </si>
  <si>
    <t>dscottri</t>
  </si>
  <si>
    <t>Garrett</t>
  </si>
  <si>
    <t>dgarrettrn@soup.io</t>
  </si>
  <si>
    <t>dgarrettrn</t>
  </si>
  <si>
    <t>lferguson2b@theguardian.com</t>
  </si>
  <si>
    <t>lferguson2b</t>
  </si>
  <si>
    <t>Waltham</t>
  </si>
  <si>
    <t>pellisel@yelp.com</t>
  </si>
  <si>
    <t>pellisel</t>
  </si>
  <si>
    <t>Voonix</t>
  </si>
  <si>
    <t>Biostatistician IV</t>
  </si>
  <si>
    <t>jbrownc2@who.int</t>
  </si>
  <si>
    <t>jbrownc2</t>
  </si>
  <si>
    <t>Johnston</t>
  </si>
  <si>
    <t>rjohnstont@domainmarket.com</t>
  </si>
  <si>
    <t>rjohnstont</t>
  </si>
  <si>
    <t>Fairfax</t>
  </si>
  <si>
    <t>kfreemanla@rambler.ru</t>
  </si>
  <si>
    <t>kfreemanla</t>
  </si>
  <si>
    <t>jmartinez26@samsung.com</t>
  </si>
  <si>
    <t>jmartinez26</t>
  </si>
  <si>
    <t>bspencer7o@si.edu</t>
  </si>
  <si>
    <t>bspencer7o</t>
  </si>
  <si>
    <t>rharrismj@omniture.com</t>
  </si>
  <si>
    <t>rharrismj</t>
  </si>
  <si>
    <t>jporter27@opensource.org</t>
  </si>
  <si>
    <t>mwoodet@soup.io</t>
  </si>
  <si>
    <t>mwoodet</t>
  </si>
  <si>
    <t>Anaheim</t>
  </si>
  <si>
    <t>Dennis</t>
  </si>
  <si>
    <t>ddean2c@tripod.com</t>
  </si>
  <si>
    <t>ddean2c</t>
  </si>
  <si>
    <t>pmillerkz@flickr.com</t>
  </si>
  <si>
    <t>pmillerkz</t>
  </si>
  <si>
    <t>gdunn0@yellowpages.com</t>
  </si>
  <si>
    <t>gdunn0</t>
  </si>
  <si>
    <t>arobertsi0@blogger.com</t>
  </si>
  <si>
    <t>arobertsi0</t>
  </si>
  <si>
    <t>slongqy@forbes.com</t>
  </si>
  <si>
    <t>slongqy</t>
  </si>
  <si>
    <t>gryanfq@japanpost.jp</t>
  </si>
  <si>
    <t>gryanfq</t>
  </si>
  <si>
    <t>awoodc3@nytimes.com</t>
  </si>
  <si>
    <t>awoodc3</t>
  </si>
  <si>
    <t>Jones</t>
  </si>
  <si>
    <t>jjoneslq@vistaprint.com</t>
  </si>
  <si>
    <t>jjoneslq</t>
  </si>
  <si>
    <t>Programmer III</t>
  </si>
  <si>
    <t>amasonj@yelp.com</t>
  </si>
  <si>
    <t>amasonj</t>
  </si>
  <si>
    <t>acox6i@tripod.com</t>
  </si>
  <si>
    <t>acox6i</t>
  </si>
  <si>
    <t>Port Washington</t>
  </si>
  <si>
    <t>rstevensb7@fotki.com</t>
  </si>
  <si>
    <t>rstevensb7</t>
  </si>
  <si>
    <t>Oloo</t>
  </si>
  <si>
    <t>jbakerek@latimes.com</t>
  </si>
  <si>
    <t>jbakerek</t>
  </si>
  <si>
    <t>cturnerid@ycombinator.com</t>
  </si>
  <si>
    <t>cturnerid</t>
  </si>
  <si>
    <t>athomas89@usa.gov</t>
  </si>
  <si>
    <t>athomas89</t>
  </si>
  <si>
    <t>bkellyq2@google.com.hk</t>
  </si>
  <si>
    <t>bkellyq2</t>
  </si>
  <si>
    <t>King</t>
  </si>
  <si>
    <t>wking77@apache.org</t>
  </si>
  <si>
    <t>wking77</t>
  </si>
  <si>
    <t>Spokane</t>
  </si>
  <si>
    <t>kbowmanki@usda.gov</t>
  </si>
  <si>
    <t>kbowmanki</t>
  </si>
  <si>
    <t>Npath</t>
  </si>
  <si>
    <t>dnicholsj2@army.mil</t>
  </si>
  <si>
    <t>dnicholsj2</t>
  </si>
  <si>
    <t>afuller7m@tiny.cc</t>
  </si>
  <si>
    <t>afuller7m</t>
  </si>
  <si>
    <t>Cynthia</t>
  </si>
  <si>
    <t>clopezcz@reverbnation.com</t>
  </si>
  <si>
    <t>clopezcz</t>
  </si>
  <si>
    <t>Wikibox</t>
  </si>
  <si>
    <t>dmartinezk4@mashable.com</t>
  </si>
  <si>
    <t>dmartinezk4</t>
  </si>
  <si>
    <t>Abilene</t>
  </si>
  <si>
    <t>valvarezmh@pen.io</t>
  </si>
  <si>
    <t>valvarezmh</t>
  </si>
  <si>
    <t>Salem</t>
  </si>
  <si>
    <t>Frances</t>
  </si>
  <si>
    <t>fmendozajz@washington.edu</t>
  </si>
  <si>
    <t>fmendozajz</t>
  </si>
  <si>
    <t>bmooreb3@over-blog.com</t>
  </si>
  <si>
    <t>bmooreb3</t>
  </si>
  <si>
    <t>Gerald</t>
  </si>
  <si>
    <t>gjordanrq@weibo.com</t>
  </si>
  <si>
    <t>gjordanrq</t>
  </si>
  <si>
    <t>ccarroll4i@51.la</t>
  </si>
  <si>
    <t>ccarroll4i</t>
  </si>
  <si>
    <t>mkennedyfl@google.com.br</t>
  </si>
  <si>
    <t>mkennedyfl</t>
  </si>
  <si>
    <t>Corpus Christi</t>
  </si>
  <si>
    <t>Justin</t>
  </si>
  <si>
    <t>jfordgo@infoseek.co.jp</t>
  </si>
  <si>
    <t>jfordgo</t>
  </si>
  <si>
    <t>Native Hawaiian and Other Pacific Islander (NHPI)</t>
  </si>
  <si>
    <t>dfullerdj@etsy.com</t>
  </si>
  <si>
    <t>dfullerdj</t>
  </si>
  <si>
    <t>Tallahassee</t>
  </si>
  <si>
    <t>rcolemangp@hubpages.com</t>
  </si>
  <si>
    <t>rcolemangp</t>
  </si>
  <si>
    <t>cmeyerc1@usgs.gov</t>
  </si>
  <si>
    <t>cmeyerc1</t>
  </si>
  <si>
    <t>Burns</t>
  </si>
  <si>
    <t>pburnsn9@ca.gov</t>
  </si>
  <si>
    <t>pburnsn9</t>
  </si>
  <si>
    <t>aowensqe@rediff.com</t>
  </si>
  <si>
    <t>aowensqe</t>
  </si>
  <si>
    <t>Everett</t>
  </si>
  <si>
    <t>hfernandezc0@redcross.org</t>
  </si>
  <si>
    <t>hfernandezc0</t>
  </si>
  <si>
    <t>rsnydera4@whitehouse.gov</t>
  </si>
  <si>
    <t>rsnydera4</t>
  </si>
  <si>
    <t>kcookh6@cocolog-nifty.com</t>
  </si>
  <si>
    <t>kcookh6</t>
  </si>
  <si>
    <t>Garland</t>
  </si>
  <si>
    <t>bkellyi9@comsenz.com</t>
  </si>
  <si>
    <t>bkellyi9</t>
  </si>
  <si>
    <t>soliverhe@youtube.com</t>
  </si>
  <si>
    <t>soliverhe</t>
  </si>
  <si>
    <t>psandersim@uol.com.br</t>
  </si>
  <si>
    <t>psandersim</t>
  </si>
  <si>
    <t>Durham</t>
  </si>
  <si>
    <t>rjenkinsi5@yale.edu</t>
  </si>
  <si>
    <t>rjenkinsi5</t>
  </si>
  <si>
    <t>shenderson4j@oakley.com</t>
  </si>
  <si>
    <t>shenderson4j</t>
  </si>
  <si>
    <t>jhamiltonct@chron.com</t>
  </si>
  <si>
    <t>jhamiltonct</t>
  </si>
  <si>
    <t>Schaumburg</t>
  </si>
  <si>
    <t>dhanson2j@salon.com</t>
  </si>
  <si>
    <t>dhanson2j</t>
  </si>
  <si>
    <t>vhamiltoncm@technorati.com</t>
  </si>
  <si>
    <t>vhamiltoncm</t>
  </si>
  <si>
    <t>tlewis28@mozilla.org</t>
  </si>
  <si>
    <t>tlewis28</t>
  </si>
  <si>
    <t>hwalkeref@deviantart.com</t>
  </si>
  <si>
    <t>hwalkeref</t>
  </si>
  <si>
    <t>awardi1@oaic.gov.au</t>
  </si>
  <si>
    <t>awardi1</t>
  </si>
  <si>
    <t>Trilith</t>
  </si>
  <si>
    <t>wroberts16@tiny.cc</t>
  </si>
  <si>
    <t>wroberts16</t>
  </si>
  <si>
    <t>efranklin2m@google.co.jp</t>
  </si>
  <si>
    <t>efranklin2m</t>
  </si>
  <si>
    <t>Adams</t>
  </si>
  <si>
    <t>cadamsrg@amazon.com</t>
  </si>
  <si>
    <t>cadamsrg</t>
  </si>
  <si>
    <t>Humble</t>
  </si>
  <si>
    <t>tmcdonaldrm@elegantthemes.com</t>
  </si>
  <si>
    <t>tmcdonaldrm</t>
  </si>
  <si>
    <t>aclarkiy@alibaba.com</t>
  </si>
  <si>
    <t>aclarkiy</t>
  </si>
  <si>
    <t>apetersonnf@cdbaby.com</t>
  </si>
  <si>
    <t>apetersonnf</t>
  </si>
  <si>
    <t>aowensm@indiatimes.com</t>
  </si>
  <si>
    <t>aowensm</t>
  </si>
  <si>
    <t>sreyesf2@statcounter.com</t>
  </si>
  <si>
    <t>sreyesf2</t>
  </si>
  <si>
    <t>csmith9x@trellian.com</t>
  </si>
  <si>
    <t>csmith9x</t>
  </si>
  <si>
    <t>Eamia</t>
  </si>
  <si>
    <t>tpetersl@dot.gov</t>
  </si>
  <si>
    <t>tpetersl</t>
  </si>
  <si>
    <t>gowensv@biglobe.ne.jp</t>
  </si>
  <si>
    <t>gowensv</t>
  </si>
  <si>
    <t>Fred</t>
  </si>
  <si>
    <t>fgonzalezlo@alibaba.com</t>
  </si>
  <si>
    <t>fgonzalezlo</t>
  </si>
  <si>
    <t>lwashingtonnm@jalbum.net</t>
  </si>
  <si>
    <t>lwashingtonnm</t>
  </si>
  <si>
    <t>Tazzy</t>
  </si>
  <si>
    <t>cmartinf6@yahoo.co.jp</t>
  </si>
  <si>
    <t>cmartinf6</t>
  </si>
  <si>
    <t>fharrisonb@sfgate.com</t>
  </si>
  <si>
    <t>fharrisonb</t>
  </si>
  <si>
    <t>lsmithra@thetimes.co.uk</t>
  </si>
  <si>
    <t>lsmithra</t>
  </si>
  <si>
    <t>bhudsonga@nydailynews.com</t>
  </si>
  <si>
    <t>bhudsonga</t>
  </si>
  <si>
    <t>sarmstrongk1@tinyurl.com</t>
  </si>
  <si>
    <t>sarmstrongk1</t>
  </si>
  <si>
    <t>Arvada</t>
  </si>
  <si>
    <t>solivercr@accuweather.com</t>
  </si>
  <si>
    <t>solivercr</t>
  </si>
  <si>
    <t>rhamilton3e@loc.gov</t>
  </si>
  <si>
    <t>rhamilton3e</t>
  </si>
  <si>
    <t>smatthewsh2@gizmodo.com</t>
  </si>
  <si>
    <t>smatthewsh2</t>
  </si>
  <si>
    <t>tlawsonkl@paypal.com</t>
  </si>
  <si>
    <t>tlawsonkl</t>
  </si>
  <si>
    <t>awatkinsnc@mail.ru</t>
  </si>
  <si>
    <t>awatkinsnc</t>
  </si>
  <si>
    <t>wwillisc4@phoca.cz</t>
  </si>
  <si>
    <t>wwillisc4</t>
  </si>
  <si>
    <t>Burke</t>
  </si>
  <si>
    <t>dburker@amazon.co.uk</t>
  </si>
  <si>
    <t>dburker</t>
  </si>
  <si>
    <t>aramosqd@sun.com</t>
  </si>
  <si>
    <t>aramosqd</t>
  </si>
  <si>
    <t>bmontgomeryna@vistaprint.com</t>
  </si>
  <si>
    <t>bmontgomeryna</t>
  </si>
  <si>
    <t>Wells</t>
  </si>
  <si>
    <t>dwellsg@vimeo.com</t>
  </si>
  <si>
    <t>dwellsg</t>
  </si>
  <si>
    <t>Webb</t>
  </si>
  <si>
    <t>dwebbjp@walmart.com</t>
  </si>
  <si>
    <t>dwebbjp</t>
  </si>
  <si>
    <t>mshawn@netscape.com</t>
  </si>
  <si>
    <t>mshawn</t>
  </si>
  <si>
    <t>Voolia</t>
  </si>
  <si>
    <t>hmoore21@bizjournals.com</t>
  </si>
  <si>
    <t>hmoore21</t>
  </si>
  <si>
    <t>paustinrr@huffingtonpost.com</t>
  </si>
  <si>
    <t>paustinrr</t>
  </si>
  <si>
    <t>amorenomd@bloomberg.com</t>
  </si>
  <si>
    <t>amorenomd</t>
  </si>
  <si>
    <t>nmurraypq@bravesites.com</t>
  </si>
  <si>
    <t>nmurraypq</t>
  </si>
  <si>
    <t>Howell</t>
  </si>
  <si>
    <t>dhowellb6@com.com</t>
  </si>
  <si>
    <t>dhowellb6</t>
  </si>
  <si>
    <t>Hunt</t>
  </si>
  <si>
    <t>khuntrj@harvard.edu</t>
  </si>
  <si>
    <t>khuntrj</t>
  </si>
  <si>
    <t>Muncie</t>
  </si>
  <si>
    <t>Bruce</t>
  </si>
  <si>
    <t>Flores</t>
  </si>
  <si>
    <t>bfloreso@icio.us</t>
  </si>
  <si>
    <t>bfloreso</t>
  </si>
  <si>
    <t>Skyndu</t>
  </si>
  <si>
    <t>mnguyenmg@craigslist.org</t>
  </si>
  <si>
    <t>mnguyenmg</t>
  </si>
  <si>
    <t>phansonjo@imageshack.us</t>
  </si>
  <si>
    <t>phansonjo</t>
  </si>
  <si>
    <t>rfernandezrl@dell.com</t>
  </si>
  <si>
    <t>rfernandezrl</t>
  </si>
  <si>
    <t>Jerry</t>
  </si>
  <si>
    <t>jharvey3a@yahoo.com</t>
  </si>
  <si>
    <t>jharvey3a</t>
  </si>
  <si>
    <t>hnguyen3b@samsung.com</t>
  </si>
  <si>
    <t>hnguyen3b</t>
  </si>
  <si>
    <t>slopezlk@sciencedaily.com</t>
  </si>
  <si>
    <t>slopezlk</t>
  </si>
  <si>
    <t>Baton Rouge</t>
  </si>
  <si>
    <t>amartinezk9@twitter.com</t>
  </si>
  <si>
    <t>amartinezk9</t>
  </si>
  <si>
    <t>lfulleri@miitbeian.gov.cn</t>
  </si>
  <si>
    <t>lfulleri</t>
  </si>
  <si>
    <t>Berry</t>
  </si>
  <si>
    <t>hberryg8@google.co.jp</t>
  </si>
  <si>
    <t>hberryg8</t>
  </si>
  <si>
    <t>hhowellq0@freewebs.com</t>
  </si>
  <si>
    <t>hhowellq0</t>
  </si>
  <si>
    <t>lthompsonhx@earthlink.net</t>
  </si>
  <si>
    <t>lthompsonhx</t>
  </si>
  <si>
    <t>cfisherey@netlog.com</t>
  </si>
  <si>
    <t>cfisherey</t>
  </si>
  <si>
    <t>asnyderpr@technorati.com</t>
  </si>
  <si>
    <t>asnyderpr</t>
  </si>
  <si>
    <t>jlongis@state.gov</t>
  </si>
  <si>
    <t>jlongis</t>
  </si>
  <si>
    <t>psimmons1v@moonfruit.com</t>
  </si>
  <si>
    <t>psimmons1v</t>
  </si>
  <si>
    <t>lclarkfa@shareasale.com</t>
  </si>
  <si>
    <t>lclarkfa</t>
  </si>
  <si>
    <t>mgarciale@usa.gov</t>
  </si>
  <si>
    <t>mgarciale</t>
  </si>
  <si>
    <t>lharvey3z@ibm.com</t>
  </si>
  <si>
    <t>lharvey3z</t>
  </si>
  <si>
    <t>Flushing</t>
  </si>
  <si>
    <t>agreenqz@businessweek.com</t>
  </si>
  <si>
    <t>agreenqz</t>
  </si>
  <si>
    <t>dmeyerem@delicious.com</t>
  </si>
  <si>
    <t>dmeyerem</t>
  </si>
  <si>
    <t>Chesapeake</t>
  </si>
  <si>
    <t>mnguyenfn@constantcontact.com</t>
  </si>
  <si>
    <t>mnguyenfn</t>
  </si>
  <si>
    <t>Fort Smith</t>
  </si>
  <si>
    <t>wmasonre@amazon.co.jp</t>
  </si>
  <si>
    <t>wmasonre</t>
  </si>
  <si>
    <t>Fayetteville</t>
  </si>
  <si>
    <t>jroberts12@nih.gov</t>
  </si>
  <si>
    <t>jroberts12</t>
  </si>
  <si>
    <t>Black</t>
  </si>
  <si>
    <t>jblack1z@epa.gov</t>
  </si>
  <si>
    <t>jblack1z</t>
  </si>
  <si>
    <t>bjonesln@ameblo.jp</t>
  </si>
  <si>
    <t>bjonesln</t>
  </si>
  <si>
    <t>Tagopia</t>
  </si>
  <si>
    <t>ddanielsgb@harvard.edu</t>
  </si>
  <si>
    <t>ddanielsgb</t>
  </si>
  <si>
    <t>dhowardjt@jimdo.com</t>
  </si>
  <si>
    <t>dhowardjt</t>
  </si>
  <si>
    <t>awellsa1@usnews.com</t>
  </si>
  <si>
    <t>awellsa1</t>
  </si>
  <si>
    <t>aharrisjv@t.co</t>
  </si>
  <si>
    <t>aharrisjv</t>
  </si>
  <si>
    <t>Laurel</t>
  </si>
  <si>
    <t>skimpy@deviantart.com</t>
  </si>
  <si>
    <t>skimpy</t>
  </si>
  <si>
    <t>lgonzalezhu@merriam-webster.com</t>
  </si>
  <si>
    <t>lgonzalezhu</t>
  </si>
  <si>
    <t>colsonnk@guardian.co.uk</t>
  </si>
  <si>
    <t>colsonnk</t>
  </si>
  <si>
    <t>High Point</t>
  </si>
  <si>
    <t>rgeorgeqf@paginegialle.it</t>
  </si>
  <si>
    <t>rgeorgeqf</t>
  </si>
  <si>
    <t>Lansing</t>
  </si>
  <si>
    <t>bwagnerx@unesco.org</t>
  </si>
  <si>
    <t>bwagnerx</t>
  </si>
  <si>
    <t>Tulsa</t>
  </si>
  <si>
    <t>tmurraylp@time.com</t>
  </si>
  <si>
    <t>tmurraylp</t>
  </si>
  <si>
    <t>Hill</t>
  </si>
  <si>
    <t>chillrb@loc.gov</t>
  </si>
  <si>
    <t>chillrb</t>
  </si>
  <si>
    <t>pcastillofb@google.fr</t>
  </si>
  <si>
    <t>pcastillofb</t>
  </si>
  <si>
    <t>fharveyr7@nyu.edu</t>
  </si>
  <si>
    <t>fharveyr7</t>
  </si>
  <si>
    <t>preedgh@nsw.gov.au</t>
  </si>
  <si>
    <t>preedgh</t>
  </si>
  <si>
    <t>wlawsonf@auda.org.au</t>
  </si>
  <si>
    <t>wlawsonf</t>
  </si>
  <si>
    <t>phenry23@constantcontact.com</t>
  </si>
  <si>
    <t>phenry23</t>
  </si>
  <si>
    <t>Gastonia</t>
  </si>
  <si>
    <t>acarpenter7n@linkedin.com</t>
  </si>
  <si>
    <t>acarpenter7n</t>
  </si>
  <si>
    <t>Bluezoom</t>
  </si>
  <si>
    <t>croseq7@google.pl</t>
  </si>
  <si>
    <t>croseq7</t>
  </si>
  <si>
    <t>Topdrive</t>
  </si>
  <si>
    <t>Cincinnati</t>
  </si>
  <si>
    <t>wfieldscv@census.gov</t>
  </si>
  <si>
    <t>wfieldscv</t>
  </si>
  <si>
    <t>Health Coach II</t>
  </si>
  <si>
    <t>jcastillobb@i2i.jp</t>
  </si>
  <si>
    <t>jcastillobb</t>
  </si>
  <si>
    <t>amarshallba@yahoo.com</t>
  </si>
  <si>
    <t>amarshallba</t>
  </si>
  <si>
    <t>egrayk3@amazonaws.com</t>
  </si>
  <si>
    <t>egrayk3</t>
  </si>
  <si>
    <t>awardld@webs.com</t>
  </si>
  <si>
    <t>awardld</t>
  </si>
  <si>
    <t>jwheelergz@studiopress.com</t>
  </si>
  <si>
    <t>jwheelergz</t>
  </si>
  <si>
    <t>Spartanburg</t>
  </si>
  <si>
    <t>lramosjm@comsenz.com</t>
  </si>
  <si>
    <t>lramosjm</t>
  </si>
  <si>
    <t>pduncangg@cdbaby.com</t>
  </si>
  <si>
    <t>pduncangg</t>
  </si>
  <si>
    <t>Youtags</t>
  </si>
  <si>
    <t>jcoleman9y@economist.com</t>
  </si>
  <si>
    <t>jcoleman9y</t>
  </si>
  <si>
    <t>Chatterpoint</t>
  </si>
  <si>
    <t>sstonefc@google.it</t>
  </si>
  <si>
    <t>sstonefc</t>
  </si>
  <si>
    <t>rtorresko@feedburner.com</t>
  </si>
  <si>
    <t>rtorresko</t>
  </si>
  <si>
    <t>msnyderr4@networkadvertising.org</t>
  </si>
  <si>
    <t>msnyderr4</t>
  </si>
  <si>
    <t>Nlounge</t>
  </si>
  <si>
    <t>jbarnesju@newsvine.com</t>
  </si>
  <si>
    <t>jbarnesju</t>
  </si>
  <si>
    <t>ilanef9@webnode.com</t>
  </si>
  <si>
    <t>ilanef9</t>
  </si>
  <si>
    <t>jbankscl@angelfire.com</t>
  </si>
  <si>
    <t>jbankscl</t>
  </si>
  <si>
    <t>Farmington</t>
  </si>
  <si>
    <t>fwillisck@home.pl</t>
  </si>
  <si>
    <t>fwillisck</t>
  </si>
  <si>
    <t>fcarrkg@narod.ru</t>
  </si>
  <si>
    <t>fcarrkg</t>
  </si>
  <si>
    <t>btorresjd@pbs.org</t>
  </si>
  <si>
    <t>btorresjd</t>
  </si>
  <si>
    <t>hpetersk0@edublogs.org</t>
  </si>
  <si>
    <t>hpetersk0</t>
  </si>
  <si>
    <t>Plajo</t>
  </si>
  <si>
    <t>rellisgq@tiny.cc</t>
  </si>
  <si>
    <t>rellisgq</t>
  </si>
  <si>
    <t>swrightje@businessinsider.com</t>
  </si>
  <si>
    <t>swrightje</t>
  </si>
  <si>
    <t>ssandersl0@hatena.ne.jp</t>
  </si>
  <si>
    <t>ssandersl0</t>
  </si>
  <si>
    <t>dstanleye@vk.com</t>
  </si>
  <si>
    <t>dstanleye</t>
  </si>
  <si>
    <t>ewilliamsro@google.ca</t>
  </si>
  <si>
    <t>ewilliamsro</t>
  </si>
  <si>
    <t>Shufflebeat</t>
  </si>
  <si>
    <t>lhowellbc@webnode.com</t>
  </si>
  <si>
    <t>lhowellbc</t>
  </si>
  <si>
    <t>amoore2h@who.int</t>
  </si>
  <si>
    <t>amoore2h</t>
  </si>
  <si>
    <t>bmooreg7@oakley.com</t>
  </si>
  <si>
    <t>bmooreg7</t>
  </si>
  <si>
    <t>jfloreslh@alibaba.com</t>
  </si>
  <si>
    <t>jfloreslh</t>
  </si>
  <si>
    <t>fthompsonb5@trellian.com</t>
  </si>
  <si>
    <t>fthompsonb5</t>
  </si>
  <si>
    <t>mshawgx@sogou.com</t>
  </si>
  <si>
    <t>mshawgx</t>
  </si>
  <si>
    <t>jweaver39@hhs.gov</t>
  </si>
  <si>
    <t>jweaver39</t>
  </si>
  <si>
    <t>kjohnstonpt@telegraph.co.uk</t>
  </si>
  <si>
    <t>kjohnstonpt</t>
  </si>
  <si>
    <t>revanshz@tripadvisor.com</t>
  </si>
  <si>
    <t>revanshz</t>
  </si>
  <si>
    <t>Hot Springs National Park</t>
  </si>
  <si>
    <t>swilliamsonij@whitehouse.gov</t>
  </si>
  <si>
    <t>swilliamsonij</t>
  </si>
  <si>
    <t>spattersonqx@wix.com</t>
  </si>
  <si>
    <t>spattersonqx</t>
  </si>
  <si>
    <t>mmartinfi@abc.net.au</t>
  </si>
  <si>
    <t>mmartinfi</t>
  </si>
  <si>
    <t>ewilliamsonj4@patch.com</t>
  </si>
  <si>
    <t>ewilliamsonj4</t>
  </si>
  <si>
    <t>jjenkinspj@sakura.ne.jp</t>
  </si>
  <si>
    <t>jjenkinspj</t>
  </si>
  <si>
    <t>jrobertsei@weather.com</t>
  </si>
  <si>
    <t>jrobertsei</t>
  </si>
  <si>
    <t>cevansgk@arstechnica.com</t>
  </si>
  <si>
    <t>cevansgk</t>
  </si>
  <si>
    <t>Programmer I</t>
  </si>
  <si>
    <t>bwallacegu@t-online.de</t>
  </si>
  <si>
    <t>bwallacegu</t>
  </si>
  <si>
    <t>Demizz</t>
  </si>
  <si>
    <t>pmasoniz@diigo.com</t>
  </si>
  <si>
    <t>pmasoniz</t>
  </si>
  <si>
    <t>mwilliamsonkq@elpais.com</t>
  </si>
  <si>
    <t>mwilliamsonkq</t>
  </si>
  <si>
    <t>Craig</t>
  </si>
  <si>
    <t>Welch</t>
  </si>
  <si>
    <t>cwelch24@geocities.com</t>
  </si>
  <si>
    <t>cwelch24</t>
  </si>
  <si>
    <t>nstevenslg@sbwire.com</t>
  </si>
  <si>
    <t>nstevenslg</t>
  </si>
  <si>
    <t>lmasonql@salon.com</t>
  </si>
  <si>
    <t>lmasonql</t>
  </si>
  <si>
    <t>fwallacecg@geocities.jp</t>
  </si>
  <si>
    <t>fwallacecg</t>
  </si>
  <si>
    <t>chernandez76@sogou.com</t>
  </si>
  <si>
    <t>chernandez76</t>
  </si>
  <si>
    <t>Lakeland</t>
  </si>
  <si>
    <t>jfowlerqt@macromedia.com</t>
  </si>
  <si>
    <t>jfowlerqt</t>
  </si>
  <si>
    <t>eallenrf@csmonitor.com</t>
  </si>
  <si>
    <t>eallenrf</t>
  </si>
  <si>
    <t>rrichardsonpw@google.nl</t>
  </si>
  <si>
    <t>rrichardsonpw</t>
  </si>
  <si>
    <t>Woburn</t>
  </si>
  <si>
    <t>tperezcx@senate.gov</t>
  </si>
  <si>
    <t>tperezcx</t>
  </si>
  <si>
    <t>mpayneq5@i2i.jp</t>
  </si>
  <si>
    <t>mpayneq5</t>
  </si>
  <si>
    <t>cedwardsfj@blinklist.com</t>
  </si>
  <si>
    <t>cedwardsfj</t>
  </si>
  <si>
    <t>kjacksonfp@digg.com</t>
  </si>
  <si>
    <t>kjacksonfp</t>
  </si>
  <si>
    <t>dgarretthk@comsenz.com</t>
  </si>
  <si>
    <t>dgarretthk</t>
  </si>
  <si>
    <t>Redwood City</t>
  </si>
  <si>
    <t>kgonzalespu@tripadvisor.com</t>
  </si>
  <si>
    <t>kgonzalespu</t>
  </si>
  <si>
    <t>jortizf3@craigslist.org</t>
  </si>
  <si>
    <t>jortizf3</t>
  </si>
  <si>
    <t>bmitchellb2@amazon.co.jp</t>
  </si>
  <si>
    <t>bmitchellb2</t>
  </si>
  <si>
    <t>jwellsfh@wunderground.com</t>
  </si>
  <si>
    <t>jwellsfh</t>
  </si>
  <si>
    <t>jsimmonsh7@smh.com.au</t>
  </si>
  <si>
    <t>jsimmonsh7</t>
  </si>
  <si>
    <t>wramirezhp@webmd.com</t>
  </si>
  <si>
    <t>wramirezhp</t>
  </si>
  <si>
    <t>cjonesng@bandcamp.com</t>
  </si>
  <si>
    <t>cjonesng</t>
  </si>
  <si>
    <t>rausting2@alibaba.com</t>
  </si>
  <si>
    <t>rausting2</t>
  </si>
  <si>
    <t>mmorganq@github.io</t>
  </si>
  <si>
    <t>mmorganq</t>
  </si>
  <si>
    <t>Lees Summit</t>
  </si>
  <si>
    <t>cwardbd@pen.io</t>
  </si>
  <si>
    <t>cwardbd</t>
  </si>
  <si>
    <t>candersonl8@latimes.com</t>
  </si>
  <si>
    <t>candersonl8</t>
  </si>
  <si>
    <t>arivera2g@nationalgeographic.com</t>
  </si>
  <si>
    <t>arivera2g</t>
  </si>
  <si>
    <t>grobertskp@java.com</t>
  </si>
  <si>
    <t>grobertskp</t>
  </si>
  <si>
    <t>Young</t>
  </si>
  <si>
    <t>jyoungkx@imdb.com</t>
  </si>
  <si>
    <t>jyoungkx</t>
  </si>
  <si>
    <t>Cambridge</t>
  </si>
  <si>
    <t>rfordr2@va.gov</t>
  </si>
  <si>
    <t>rfordr2</t>
  </si>
  <si>
    <t>Grand Forks</t>
  </si>
  <si>
    <t>jfisherb9@alibaba.com</t>
  </si>
  <si>
    <t>jfisherb9</t>
  </si>
  <si>
    <t>ngordonhc@vistaprint.com</t>
  </si>
  <si>
    <t>ngordonhc</t>
  </si>
  <si>
    <t>Automation Specialist III</t>
  </si>
  <si>
    <t>jwilliams4m@printfriendly.com</t>
  </si>
  <si>
    <t>jwilliams4m</t>
  </si>
  <si>
    <t>whernandezj3@tinypic.com</t>
  </si>
  <si>
    <t>whernandezj3</t>
  </si>
  <si>
    <t>rwatkinsex@harvard.edu</t>
  </si>
  <si>
    <t>rwatkinsex</t>
  </si>
  <si>
    <t>Chavez</t>
  </si>
  <si>
    <t>bchavezq8@t-online.de</t>
  </si>
  <si>
    <t>bchavezq8</t>
  </si>
  <si>
    <t>Riffwire</t>
  </si>
  <si>
    <t>dwatsonbi@blinklist.com</t>
  </si>
  <si>
    <t>dwatsonbi</t>
  </si>
  <si>
    <t>dgrantch@washingtonpost.com</t>
  </si>
  <si>
    <t>dgrantch</t>
  </si>
  <si>
    <t>lriverapl@nydailynews.com</t>
  </si>
  <si>
    <t>lriverapl</t>
  </si>
  <si>
    <t>wwhite20@tripadvisor.com</t>
  </si>
  <si>
    <t>wwhite20</t>
  </si>
  <si>
    <t>jwheelercf@shareasale.com</t>
  </si>
  <si>
    <t>jwheelercf</t>
  </si>
  <si>
    <t>Youopia</t>
  </si>
  <si>
    <t>dhernandezjc@friendfeed.com</t>
  </si>
  <si>
    <t>dhernandezjc</t>
  </si>
  <si>
    <t>bfowlerqq@webmd.com</t>
  </si>
  <si>
    <t>bfowlerqq</t>
  </si>
  <si>
    <t>Greene</t>
  </si>
  <si>
    <t>dgreenecy@pinterest.com</t>
  </si>
  <si>
    <t>dgreenecy</t>
  </si>
  <si>
    <t>nwashingtone9@ed.gov</t>
  </si>
  <si>
    <t>nwashingtone9</t>
  </si>
  <si>
    <t>skelleyhq@icq.com</t>
  </si>
  <si>
    <t>skelleyhq</t>
  </si>
  <si>
    <t>rmitchelljr@tinypic.com</t>
  </si>
  <si>
    <t>rmitchelljr</t>
  </si>
  <si>
    <t>bwatkinsr8@list-manage.com</t>
  </si>
  <si>
    <t>bwatkinsr8</t>
  </si>
  <si>
    <t>amedinahv@deliciousdays.com</t>
  </si>
  <si>
    <t>amedinahv</t>
  </si>
  <si>
    <t>lwashingtonh1@vimeo.com</t>
  </si>
  <si>
    <t>lwashingtonh1</t>
  </si>
  <si>
    <t>crogersk7@loc.gov</t>
  </si>
  <si>
    <t>crogersk7</t>
  </si>
  <si>
    <t>dturnerq9@artisteer.com</t>
  </si>
  <si>
    <t>dturnerq9</t>
  </si>
  <si>
    <t>sturnerkm@bandcamp.com</t>
  </si>
  <si>
    <t>sturnerkm</t>
  </si>
  <si>
    <t>Elmira</t>
  </si>
  <si>
    <t>swrightfz@nps.gov</t>
  </si>
  <si>
    <t>swrightfz</t>
  </si>
  <si>
    <t>Round Rock</t>
  </si>
  <si>
    <t>afosterlb@imgur.com</t>
  </si>
  <si>
    <t>afosterlb</t>
  </si>
  <si>
    <t>Greenville</t>
  </si>
  <si>
    <t>dbishopf0@fc2.com</t>
  </si>
  <si>
    <t>dbishopf0</t>
  </si>
  <si>
    <t>Raymond</t>
  </si>
  <si>
    <t>rmorrisoniu@yahoo.co.jp</t>
  </si>
  <si>
    <t>rmorrisoniu</t>
  </si>
  <si>
    <t>Fairbanks</t>
  </si>
  <si>
    <t>Burton</t>
  </si>
  <si>
    <t>mburtonnl@icq.com</t>
  </si>
  <si>
    <t>mburtonnl</t>
  </si>
  <si>
    <t>Lancaster</t>
  </si>
  <si>
    <t>dbanksg0@hostgator.com</t>
  </si>
  <si>
    <t>dbanksg0</t>
  </si>
  <si>
    <t>djackson4l@booking.com</t>
  </si>
  <si>
    <t>djackson4l</t>
  </si>
  <si>
    <t>sschmidta2@deviantart.com</t>
  </si>
  <si>
    <t>sschmidta2</t>
  </si>
  <si>
    <t>kthomasl7@list-manage.com</t>
  </si>
  <si>
    <t>kthomasl7</t>
  </si>
  <si>
    <t>lmedinahg@creativecommons.org</t>
  </si>
  <si>
    <t>lmedinahg</t>
  </si>
  <si>
    <t>Ozu</t>
  </si>
  <si>
    <t>lsimpsoneg@dropbox.com</t>
  </si>
  <si>
    <t>lsimpsoneg</t>
  </si>
  <si>
    <t>Skinix</t>
  </si>
  <si>
    <t>cpowelle8@digg.com</t>
  </si>
  <si>
    <t>cpowelle8</t>
  </si>
  <si>
    <t>spattersonf1@hibu.com</t>
  </si>
  <si>
    <t>spattersonf1</t>
  </si>
  <si>
    <t>rshawgs@topsy.com</t>
  </si>
  <si>
    <t>rshawgs</t>
  </si>
  <si>
    <t>elongrd@bing.com</t>
  </si>
  <si>
    <t>elongrd</t>
  </si>
  <si>
    <t>lmasona0@google.com</t>
  </si>
  <si>
    <t>lmasona0</t>
  </si>
  <si>
    <t>Muskegon</t>
  </si>
  <si>
    <t>klynchh9@meetup.com</t>
  </si>
  <si>
    <t>klynchh9</t>
  </si>
  <si>
    <t>Buzzdog</t>
  </si>
  <si>
    <t>mwelchi4@dailymotion.com</t>
  </si>
  <si>
    <t>mwelchi4</t>
  </si>
  <si>
    <t>rlittlerk@omniture.com</t>
  </si>
  <si>
    <t>rlittlerk</t>
  </si>
  <si>
    <t>jriveragi@sina.com.cn</t>
  </si>
  <si>
    <t>jriveragi</t>
  </si>
  <si>
    <t>Winter Haven</t>
  </si>
  <si>
    <t>kmeyerf4@senate.gov</t>
  </si>
  <si>
    <t>kmeyerf4</t>
  </si>
  <si>
    <t>bhenryfd@1688.com</t>
  </si>
  <si>
    <t>bhenryfd</t>
  </si>
  <si>
    <t>jwoodhn@ftc.gov</t>
  </si>
  <si>
    <t>jwoodhn</t>
  </si>
  <si>
    <t>Brea</t>
  </si>
  <si>
    <t>ckingip@godaddy.com</t>
  </si>
  <si>
    <t>ckingip</t>
  </si>
  <si>
    <t>Flashpoint</t>
  </si>
  <si>
    <t>Robertson</t>
  </si>
  <si>
    <t>jrobertsonne@skype.com</t>
  </si>
  <si>
    <t>jrobertsonne</t>
  </si>
  <si>
    <t>bbutlerj1@unesco.org</t>
  </si>
  <si>
    <t>bbutlerj1</t>
  </si>
  <si>
    <t>Research Assistant IV</t>
  </si>
  <si>
    <t>Lima</t>
  </si>
  <si>
    <t>kpattersongm@amazon.de</t>
  </si>
  <si>
    <t>kpattersongm</t>
  </si>
  <si>
    <t>cmasoncq@google.com.hk</t>
  </si>
  <si>
    <t>cmasoncq</t>
  </si>
  <si>
    <t>Hicksville</t>
  </si>
  <si>
    <t>gcoxjg@sun.com</t>
  </si>
  <si>
    <t>gcoxjg</t>
  </si>
  <si>
    <t>Whittier</t>
  </si>
  <si>
    <t>bduncangd@cdbaby.com</t>
  </si>
  <si>
    <t>bduncangd</t>
  </si>
  <si>
    <t>lburkeik@reverbnation.com</t>
  </si>
  <si>
    <t>lburkeik</t>
  </si>
  <si>
    <t>pcoopercp@mediafire.com</t>
  </si>
  <si>
    <t>pcoopercp</t>
  </si>
  <si>
    <t>sbakerkf@sphinn.com</t>
  </si>
  <si>
    <t>sbakerkf</t>
  </si>
  <si>
    <t>selliottfg@toplist.cz</t>
  </si>
  <si>
    <t>selliottfg</t>
  </si>
  <si>
    <t>bwillish3@walmart.com</t>
  </si>
  <si>
    <t>bwillish3</t>
  </si>
  <si>
    <t>Avamba</t>
  </si>
  <si>
    <t>jgreeneci@live.com</t>
  </si>
  <si>
    <t>jgreeneci</t>
  </si>
  <si>
    <t>Hughes</t>
  </si>
  <si>
    <t>mhughesic@huffingtonpost.com</t>
  </si>
  <si>
    <t>mhughesic</t>
  </si>
  <si>
    <t>jmorrisf7@diigo.com</t>
  </si>
  <si>
    <t>jmorrisf7</t>
  </si>
  <si>
    <t>Beaverton</t>
  </si>
  <si>
    <t>ematthewsco@scribd.com</t>
  </si>
  <si>
    <t>ematthewsco</t>
  </si>
  <si>
    <t>Nelson</t>
  </si>
  <si>
    <t>lnelson2d@moonfruit.com</t>
  </si>
  <si>
    <t>lnelson2d</t>
  </si>
  <si>
    <t>Danbury</t>
  </si>
  <si>
    <t>hfoxez@jigsy.com</t>
  </si>
  <si>
    <t>hfoxez</t>
  </si>
  <si>
    <t>egriffinhf@mayoclinic.com</t>
  </si>
  <si>
    <t>egriffinhf</t>
  </si>
  <si>
    <t>mgrayqc@yahoo.com</t>
  </si>
  <si>
    <t>mgrayqc</t>
  </si>
  <si>
    <t>cmillsil@miibeian.gov.cn</t>
  </si>
  <si>
    <t>cmillsil</t>
  </si>
  <si>
    <t>Brainverse</t>
  </si>
  <si>
    <t>lhillhd@squidoo.com</t>
  </si>
  <si>
    <t>lhillhd</t>
  </si>
  <si>
    <t>ngriffinjw@cocolog-nifty.com</t>
  </si>
  <si>
    <t>ngriffinjw</t>
  </si>
  <si>
    <t>bharrisav@etsy.com</t>
  </si>
  <si>
    <t>bharrisav</t>
  </si>
  <si>
    <t>Mydo</t>
  </si>
  <si>
    <t>jkennedyqa@flavors.me</t>
  </si>
  <si>
    <t>jkennedyqa</t>
  </si>
  <si>
    <t>cwelch3v@washingtonpost.com</t>
  </si>
  <si>
    <t>cwelch3v</t>
  </si>
  <si>
    <t>vmarshallqi@cyberchimps.com</t>
  </si>
  <si>
    <t>vmarshallqi</t>
  </si>
  <si>
    <t>Vimbo</t>
  </si>
  <si>
    <t>dcarrfr@salon.com</t>
  </si>
  <si>
    <t>dcarrfr</t>
  </si>
  <si>
    <t>mwillisk2@fc2.com</t>
  </si>
  <si>
    <t>mwillisk2</t>
  </si>
  <si>
    <t>Harper</t>
  </si>
  <si>
    <t>rharper3c@usgs.gov</t>
  </si>
  <si>
    <t>rharper3c</t>
  </si>
  <si>
    <t>ahowardee@noaa.gov</t>
  </si>
  <si>
    <t>ahowardee</t>
  </si>
  <si>
    <t>rmccoyi7@joomla.org</t>
  </si>
  <si>
    <t>rmccoyi7</t>
  </si>
  <si>
    <t>awilsonrc@sun.com</t>
  </si>
  <si>
    <t>awilsonrc</t>
  </si>
  <si>
    <t>jkimrh@yandex.ru</t>
  </si>
  <si>
    <t>jkimrh</t>
  </si>
  <si>
    <t>asmiths@soundcloud.com</t>
  </si>
  <si>
    <t>asmiths</t>
  </si>
  <si>
    <t>Blogpad</t>
  </si>
  <si>
    <t>Prescott</t>
  </si>
  <si>
    <t>bbradleygj@hp.com</t>
  </si>
  <si>
    <t>bbradleygj</t>
  </si>
  <si>
    <t>hspencerkj@mozilla.org</t>
  </si>
  <si>
    <t>hspencerkj</t>
  </si>
  <si>
    <t>jfoxft@wired.com</t>
  </si>
  <si>
    <t>jfoxft</t>
  </si>
  <si>
    <t>dmartinezpv@skyrock.com</t>
  </si>
  <si>
    <t>dmartinezpv</t>
  </si>
  <si>
    <t>Blogspan</t>
  </si>
  <si>
    <t>garnoldr9@merriam-webster.com</t>
  </si>
  <si>
    <t>garnoldr9</t>
  </si>
  <si>
    <t>ddiazh4@e-recht24.de</t>
  </si>
  <si>
    <t>ddiazh4</t>
  </si>
  <si>
    <t>Wyoming</t>
  </si>
  <si>
    <t>Cheyenne</t>
  </si>
  <si>
    <t>mgreenl5@ocn.ne.jp</t>
  </si>
  <si>
    <t>mgreenl5</t>
  </si>
  <si>
    <t>rmasonew@liveinternet.ru</t>
  </si>
  <si>
    <t>rmasonew</t>
  </si>
  <si>
    <t>chudsonqv@arizona.edu</t>
  </si>
  <si>
    <t>chudsonqv</t>
  </si>
  <si>
    <t>vmccoyi8@acquirethisname.com</t>
  </si>
  <si>
    <t>vmccoyi8</t>
  </si>
  <si>
    <t>mryaneq@prnewswire.com</t>
  </si>
  <si>
    <t>mryaneq</t>
  </si>
  <si>
    <t>Tuscaloosa</t>
  </si>
  <si>
    <t>rboydaw@google.com</t>
  </si>
  <si>
    <t>rboydaw</t>
  </si>
  <si>
    <t>agutierrezpi@usgs.gov</t>
  </si>
  <si>
    <t>agutierrezpi</t>
  </si>
  <si>
    <t>bdiazbg@trellian.com</t>
  </si>
  <si>
    <t>bdiazbg</t>
  </si>
  <si>
    <t>bgarrett3d@cocolog-nifty.com</t>
  </si>
  <si>
    <t>bgarrett3d</t>
  </si>
  <si>
    <t>Rockford</t>
  </si>
  <si>
    <t>ledwardseo@163.com</t>
  </si>
  <si>
    <t>ledwardseo</t>
  </si>
  <si>
    <t>Biloxi</t>
  </si>
  <si>
    <t>mstevensfu@etsy.com</t>
  </si>
  <si>
    <t>mstevensfu</t>
  </si>
  <si>
    <t>sriceih@simplemachines.org</t>
  </si>
  <si>
    <t>sriceih</t>
  </si>
  <si>
    <t>vedwardsq3@about.com</t>
  </si>
  <si>
    <t>vedwardsq3</t>
  </si>
  <si>
    <t>mromeroio@uol.com.br</t>
  </si>
  <si>
    <t>mromeroio</t>
  </si>
  <si>
    <t>College Station</t>
  </si>
  <si>
    <t>hday22@acquirethisname.com</t>
  </si>
  <si>
    <t>hday22</t>
  </si>
  <si>
    <t>mpowell4k@lulu.com</t>
  </si>
  <si>
    <t>mpowell4k</t>
  </si>
  <si>
    <t>blopezj8@howstuffworks.com</t>
  </si>
  <si>
    <t>blopezj8</t>
  </si>
  <si>
    <t>bmurraybh@state.tx.us</t>
  </si>
  <si>
    <t>bmurraybh</t>
  </si>
  <si>
    <t>Largo</t>
  </si>
  <si>
    <t>sgrantaz@blinklist.com</t>
  </si>
  <si>
    <t>sgrantaz</t>
  </si>
  <si>
    <t>awatsonjj@plala.or.jp</t>
  </si>
  <si>
    <t>awatsonjj</t>
  </si>
  <si>
    <t>dwilliamsb1@hibu.com</t>
  </si>
  <si>
    <t>dwilliamsb1</t>
  </si>
  <si>
    <t>nking25@fda.gov</t>
  </si>
  <si>
    <t>nking25</t>
  </si>
  <si>
    <t>jrobinsong6@cisco.com</t>
  </si>
  <si>
    <t>jrobinsong6</t>
  </si>
  <si>
    <t>cdiazkc@over-blog.com</t>
  </si>
  <si>
    <t>cdiazkc</t>
  </si>
  <si>
    <t>pcookqu@webmd.com</t>
  </si>
  <si>
    <t>pcookqu</t>
  </si>
  <si>
    <t>New Hampshire</t>
  </si>
  <si>
    <t>Manchester</t>
  </si>
  <si>
    <t>lturner38@dion.ne.jp</t>
  </si>
  <si>
    <t>lturner38</t>
  </si>
  <si>
    <t>Virginia Beach</t>
  </si>
  <si>
    <t>rjacobsin@youtu.be</t>
  </si>
  <si>
    <t>rjacobsin</t>
  </si>
  <si>
    <t>pyoungll@zimbio.com</t>
  </si>
  <si>
    <t>pyoungll</t>
  </si>
  <si>
    <t>Montana</t>
  </si>
  <si>
    <t>Helena</t>
  </si>
  <si>
    <t>jdayn7@google.co.jp</t>
  </si>
  <si>
    <t>jdayn7</t>
  </si>
  <si>
    <t>jbryantl1@whitehouse.gov</t>
  </si>
  <si>
    <t>jbryantl1</t>
  </si>
  <si>
    <t>dgrahamq1@hubpages.com</t>
  </si>
  <si>
    <t>dgrahamq1</t>
  </si>
  <si>
    <t>ahudsonht@ox.ac.uk</t>
  </si>
  <si>
    <t>ahudsonht</t>
  </si>
  <si>
    <t>wmatthews3u@reverbnation.com</t>
  </si>
  <si>
    <t>wmatthews3u</t>
  </si>
  <si>
    <t>shamiltonhb@symantec.com</t>
  </si>
  <si>
    <t>shamiltonhb</t>
  </si>
  <si>
    <t>jcunninghamz@forbes.com</t>
  </si>
  <si>
    <t>jcunninghamz</t>
  </si>
  <si>
    <t>Torrance</t>
  </si>
  <si>
    <t>pevanscj@blinklist.com</t>
  </si>
  <si>
    <t>pevanscj</t>
  </si>
  <si>
    <t>jbradleybf@woothemes.com</t>
  </si>
  <si>
    <t>jbradleybf</t>
  </si>
  <si>
    <t>jpiercegc@mashable.com</t>
  </si>
  <si>
    <t>jpiercegc</t>
  </si>
  <si>
    <t>lfordw@cocolog-nifty.com</t>
  </si>
  <si>
    <t>lfordw</t>
  </si>
  <si>
    <t>jfergusonmi@bbb.org</t>
  </si>
  <si>
    <t>jfergusonmi</t>
  </si>
  <si>
    <t>mbutlerig@storify.com</t>
  </si>
  <si>
    <t>mbutlerig</t>
  </si>
  <si>
    <t>sjohnsonh8@cafepress.com</t>
  </si>
  <si>
    <t>sjohnsonh8</t>
  </si>
  <si>
    <t>gbanksi6@nsw.gov.au</t>
  </si>
  <si>
    <t>gbanksi6</t>
  </si>
  <si>
    <t>Orange</t>
  </si>
  <si>
    <t>jwarrenn8@last.fm</t>
  </si>
  <si>
    <t>jwarrenn8</t>
  </si>
  <si>
    <t>tgilbertgy@ucoz.ru</t>
  </si>
  <si>
    <t>tgilbertgy</t>
  </si>
  <si>
    <t>bcarterqs@prlog.org</t>
  </si>
  <si>
    <t>bcarterqs</t>
  </si>
  <si>
    <t>Trupe</t>
  </si>
  <si>
    <t>mmorganfy@umn.edu</t>
  </si>
  <si>
    <t>mmorganfy</t>
  </si>
  <si>
    <t>awalkerj0@mapquest.com</t>
  </si>
  <si>
    <t>awalkerj0</t>
  </si>
  <si>
    <t>agrayjx@squidoo.com</t>
  </si>
  <si>
    <t>agrayjx</t>
  </si>
  <si>
    <t>rwalkerqb@telegraph.co.uk</t>
  </si>
  <si>
    <t>rwalkerqb</t>
  </si>
  <si>
    <t>ihayesu@miitbeian.gov.cn</t>
  </si>
  <si>
    <t>ihayesu</t>
  </si>
  <si>
    <t>dkennedyj7@sakura.ne.jp</t>
  </si>
  <si>
    <t>dkennedyj7</t>
  </si>
  <si>
    <t>mreynoldsqm@rambler.ru</t>
  </si>
  <si>
    <t>mreynoldsqm</t>
  </si>
  <si>
    <t>jmcdonaldji@alexa.com</t>
  </si>
  <si>
    <t>jmcdonaldji</t>
  </si>
  <si>
    <t>dfuller1y@google.co.jp</t>
  </si>
  <si>
    <t>dfuller1y</t>
  </si>
  <si>
    <t>agarrettpm@reuters.com</t>
  </si>
  <si>
    <t>agarrettpm</t>
  </si>
  <si>
    <t>roliverfo@livejournal.com</t>
  </si>
  <si>
    <t>roliverfo</t>
  </si>
  <si>
    <t>cfieldsge@hubpages.com</t>
  </si>
  <si>
    <t>cfieldsge</t>
  </si>
  <si>
    <t>rdanielshm@admin.ch</t>
  </si>
  <si>
    <t>rdanielshm</t>
  </si>
  <si>
    <t>kfordcn@bing.com</t>
  </si>
  <si>
    <t>kfordcn</t>
  </si>
  <si>
    <t>plarsonks@infoseek.co.jp</t>
  </si>
  <si>
    <t>plarsonks</t>
  </si>
  <si>
    <t>kpricejh@go.com</t>
  </si>
  <si>
    <t>kpricejh</t>
  </si>
  <si>
    <t>Garza</t>
  </si>
  <si>
    <t>mgarzal2@hhs.gov</t>
  </si>
  <si>
    <t>mgarzal2</t>
  </si>
  <si>
    <t>ismithk6@blogtalkradio.com</t>
  </si>
  <si>
    <t>ismithk6</t>
  </si>
  <si>
    <t>erodriguezpn@51.la</t>
  </si>
  <si>
    <t>erodriguezpn</t>
  </si>
  <si>
    <t>madams1u@over-blog.com</t>
  </si>
  <si>
    <t>madams1u</t>
  </si>
  <si>
    <t>Thoughtworks</t>
  </si>
  <si>
    <t>abellqj@rakuten.co.jp</t>
  </si>
  <si>
    <t>abellqj</t>
  </si>
  <si>
    <t>rking3w@typepad.com</t>
  </si>
  <si>
    <t>rking3w</t>
  </si>
  <si>
    <t>rkelleyfv@macromedia.com</t>
  </si>
  <si>
    <t>rkelleyfv</t>
  </si>
  <si>
    <t>lreidjf@loc.gov</t>
  </si>
  <si>
    <t>lreidjf</t>
  </si>
  <si>
    <t>mgonzalez5u@epa.gov</t>
  </si>
  <si>
    <t>mgonzalez5u</t>
  </si>
  <si>
    <t>Crawford</t>
  </si>
  <si>
    <t>jcrawfordbe@newsvine.com</t>
  </si>
  <si>
    <t>jcrawfordbe</t>
  </si>
  <si>
    <t>jcook9z@blogger.com</t>
  </si>
  <si>
    <t>jcook9z</t>
  </si>
  <si>
    <t>jadamshr@typepad.com</t>
  </si>
  <si>
    <t>jadamshr</t>
  </si>
  <si>
    <t>sgray1w@wikispaces.com</t>
  </si>
  <si>
    <t>sgray1w</t>
  </si>
  <si>
    <t>jcarpenter29@amazon.de</t>
  </si>
  <si>
    <t>jcarpenter29</t>
  </si>
  <si>
    <t>Johnstown</t>
  </si>
  <si>
    <t>mkellyl6@mashable.com</t>
  </si>
  <si>
    <t>mkellyl6</t>
  </si>
  <si>
    <t>llonggv@redcross.org</t>
  </si>
  <si>
    <t>llonggv</t>
  </si>
  <si>
    <t>egeorge2l@tamu.edu</t>
  </si>
  <si>
    <t>egeorge2l</t>
  </si>
  <si>
    <t>llopeznd@cnbc.com</t>
  </si>
  <si>
    <t>llopeznd</t>
  </si>
  <si>
    <t>jjohnstonr6@noaa.gov</t>
  </si>
  <si>
    <t>jjohnstonr6</t>
  </si>
  <si>
    <t>Schenectady</t>
  </si>
  <si>
    <t>ccollinskt@pcworld.com</t>
  </si>
  <si>
    <t>ccollinskt</t>
  </si>
  <si>
    <t>Palmer</t>
  </si>
  <si>
    <t>dpalmerg9@instagram.com</t>
  </si>
  <si>
    <t>dpalmerg9</t>
  </si>
  <si>
    <t>awillisjk@google.es</t>
  </si>
  <si>
    <t>awillisjk</t>
  </si>
  <si>
    <t>khansenia@desdev.cn</t>
  </si>
  <si>
    <t>khansenia</t>
  </si>
  <si>
    <t>lpalmerfx@seattletimes.com</t>
  </si>
  <si>
    <t>lpalmerfx</t>
  </si>
  <si>
    <t>wstephenscs@usatoday.com</t>
  </si>
  <si>
    <t>wstephenscs</t>
  </si>
  <si>
    <t>Spring</t>
  </si>
  <si>
    <t>aandrewsjb@hatena.ne.jp</t>
  </si>
  <si>
    <t>aandrewsjb</t>
  </si>
  <si>
    <t>lhendersonli@gravatar.com</t>
  </si>
  <si>
    <t>lhendersonli</t>
  </si>
  <si>
    <t>ktaylorhi@mlb.com</t>
  </si>
  <si>
    <t>ktaylorhi</t>
  </si>
  <si>
    <t>Scottsdale</t>
  </si>
  <si>
    <t>tpricek5@tinyurl.com</t>
  </si>
  <si>
    <t>tpricek5</t>
  </si>
  <si>
    <t>Fort Myers</t>
  </si>
  <si>
    <t>jhowardmc@networksolutions.com</t>
  </si>
  <si>
    <t>jhowardmc</t>
  </si>
  <si>
    <t>Zooxo</t>
  </si>
  <si>
    <t>jdixonkn@bizjournals.com</t>
  </si>
  <si>
    <t>jdixonkn</t>
  </si>
  <si>
    <t>mdunnpz@usda.gov</t>
  </si>
  <si>
    <t>mdunnpz</t>
  </si>
  <si>
    <t>Philip</t>
  </si>
  <si>
    <t>pjohnsoniv@ftc.gov</t>
  </si>
  <si>
    <t>pjohnsoniv</t>
  </si>
  <si>
    <t>Sioux City</t>
  </si>
  <si>
    <t>caustinl9@w3.org</t>
  </si>
  <si>
    <t>caustinl9</t>
  </si>
  <si>
    <t>Chula Vista</t>
  </si>
  <si>
    <t>jsimpsonie@mozilla.org</t>
  </si>
  <si>
    <t>jsimpsonie</t>
  </si>
  <si>
    <t>jmarshalle6@google.es</t>
  </si>
  <si>
    <t>jmarshalle6</t>
  </si>
  <si>
    <t>Simi Valley</t>
  </si>
  <si>
    <t>scooperha@webnode.com</t>
  </si>
  <si>
    <t>scooperha</t>
  </si>
  <si>
    <t>Sunnyvale</t>
  </si>
  <si>
    <t>cgibsonq6@prlog.org</t>
  </si>
  <si>
    <t>cgibsonq6</t>
  </si>
  <si>
    <t>jtaylorfe@wikipedia.org</t>
  </si>
  <si>
    <t>jtaylorfe</t>
  </si>
  <si>
    <t>fdanielsjy@themeforest.net</t>
  </si>
  <si>
    <t>fdanielsjy</t>
  </si>
  <si>
    <t>njameskv@meetup.com</t>
  </si>
  <si>
    <t>njameskv</t>
  </si>
  <si>
    <t>abakerkh@lycos.com</t>
  </si>
  <si>
    <t>abakerkh</t>
  </si>
  <si>
    <t>jtaylores@usnews.com</t>
  </si>
  <si>
    <t>jtaylores</t>
  </si>
  <si>
    <t>jhayese7@redcross.org</t>
  </si>
  <si>
    <t>jhayese7</t>
  </si>
  <si>
    <t>fjenkinsg4@newyorker.com</t>
  </si>
  <si>
    <t>fjenkinsg4</t>
  </si>
  <si>
    <t>ablackff@shutterfly.com</t>
  </si>
  <si>
    <t>ablackff</t>
  </si>
  <si>
    <t>ahendersonme@unblog.fr</t>
  </si>
  <si>
    <t>ahendersonme</t>
  </si>
  <si>
    <t>rjames88@tamu.edu</t>
  </si>
  <si>
    <t>rjames88</t>
  </si>
  <si>
    <t>hhuntb8@sfgate.com</t>
  </si>
  <si>
    <t>hhuntb8</t>
  </si>
  <si>
    <t>dlynchpo@skype.com</t>
  </si>
  <si>
    <t>dlynchpo</t>
  </si>
  <si>
    <t>tfreemanpp@people.com.cn</t>
  </si>
  <si>
    <t>tfreemanpp</t>
  </si>
  <si>
    <t>pcrawfordgw@discovery.com</t>
  </si>
  <si>
    <t>pcrawfordgw</t>
  </si>
  <si>
    <t>atuckerh0@bloglovin.com</t>
  </si>
  <si>
    <t>atuckerh0</t>
  </si>
  <si>
    <t>barnoldpx@npr.org</t>
  </si>
  <si>
    <t>barnoldpx</t>
  </si>
  <si>
    <t>eburnsja@blogs.com</t>
  </si>
  <si>
    <t>eburnsja</t>
  </si>
  <si>
    <t>kharteu@skyrock.com</t>
  </si>
  <si>
    <t>kharteu</t>
  </si>
  <si>
    <t>lgranthl@wunderground.com</t>
  </si>
  <si>
    <t>lgranthl</t>
  </si>
  <si>
    <t>dmyersib@youtu.be</t>
  </si>
  <si>
    <t>dmyersib</t>
  </si>
  <si>
    <t>lwatsonjs@shutterfly.com</t>
  </si>
  <si>
    <t>lwatsonjs</t>
  </si>
  <si>
    <t>blarson3x@smugmug.com</t>
  </si>
  <si>
    <t>blarson3x</t>
  </si>
  <si>
    <t>calexandergl@weebly.com</t>
  </si>
  <si>
    <t>calexandergl</t>
  </si>
  <si>
    <t>jwoodh5@amazon.co.uk</t>
  </si>
  <si>
    <t>jwoodh5</t>
  </si>
  <si>
    <t>cmarshallfs@studiopress.com</t>
  </si>
  <si>
    <t>cmarshallfs</t>
  </si>
  <si>
    <t>mwilsonf8@google.co.jp</t>
  </si>
  <si>
    <t>mwilsonf8</t>
  </si>
  <si>
    <t>ltorres3y@harvard.edu</t>
  </si>
  <si>
    <t>ltorres3y</t>
  </si>
  <si>
    <t>pjohnstone5@fema.gov</t>
  </si>
  <si>
    <t>pjohnstone5</t>
  </si>
  <si>
    <t>lcookj6@ehow.com</t>
  </si>
  <si>
    <t>lcookj6</t>
  </si>
  <si>
    <t>scrawfordhh@360.cn</t>
  </si>
  <si>
    <t>scrawfordhh</t>
  </si>
  <si>
    <t>Ogden</t>
  </si>
  <si>
    <t>bmcdonaldkr@exblog.jp</t>
  </si>
  <si>
    <t>bmcdonaldkr</t>
  </si>
  <si>
    <t>mandersoniw@list-manage.com</t>
  </si>
  <si>
    <t>mandersoniw</t>
  </si>
  <si>
    <t>rbennettix@icq.com</t>
  </si>
  <si>
    <t>rbennettix</t>
  </si>
  <si>
    <t>lpriceke@about.me</t>
  </si>
  <si>
    <t>lpriceke</t>
  </si>
  <si>
    <t>tcruzb4@so-net.ne.jp</t>
  </si>
  <si>
    <t>tcruzb4</t>
  </si>
  <si>
    <t>mgonzalezi3@mapy.cz</t>
  </si>
  <si>
    <t>mgonzalezi3</t>
  </si>
  <si>
    <t>jreedit@sun.com</t>
  </si>
  <si>
    <t>jreedit</t>
  </si>
  <si>
    <t>Myrtle Beach</t>
  </si>
  <si>
    <t>jmorrisa3@mlb.com</t>
  </si>
  <si>
    <t>jmorrisa3</t>
  </si>
  <si>
    <t>acunningham4n@blogs.com</t>
  </si>
  <si>
    <t>acunningham4n</t>
  </si>
  <si>
    <t>jturnerlj@ucsd.edu</t>
  </si>
  <si>
    <t>jturnerlj</t>
  </si>
  <si>
    <t>hmedinaev@pagesperso-orange.fr</t>
  </si>
  <si>
    <t>hmedinaev</t>
  </si>
  <si>
    <t>cperkinskb@arizona.edu</t>
  </si>
  <si>
    <t>cperkinskb</t>
  </si>
  <si>
    <t>mspencerku@jalbum.net</t>
  </si>
  <si>
    <t>mspencerku</t>
  </si>
  <si>
    <t>pjamesgt@flickr.com</t>
  </si>
  <si>
    <t>pjamesgt</t>
  </si>
  <si>
    <t>gwrightay@ovh.net</t>
  </si>
  <si>
    <t>gwrightay</t>
  </si>
  <si>
    <t>tparkerhw@technorati.com</t>
  </si>
  <si>
    <t>tparkerhw</t>
  </si>
  <si>
    <t>mmarshallhy@tripadvisor.com</t>
  </si>
  <si>
    <t>mmarshallhy</t>
  </si>
  <si>
    <t>khart75@51.la</t>
  </si>
  <si>
    <t>khart75</t>
  </si>
  <si>
    <t>progersqo@360.cn</t>
  </si>
  <si>
    <t>progersqo</t>
  </si>
  <si>
    <t>kstephens86@youku.com</t>
  </si>
  <si>
    <t>kstephens86</t>
  </si>
  <si>
    <t>fhicksjq@java.com</t>
  </si>
  <si>
    <t>fhicksjq</t>
  </si>
  <si>
    <t>chamilton10@army.mil</t>
  </si>
  <si>
    <t>chamilton10</t>
  </si>
  <si>
    <t>San Mateo</t>
  </si>
  <si>
    <t>jriveralm@auda.org.au</t>
  </si>
  <si>
    <t>jriveralm</t>
  </si>
  <si>
    <t>rfieldsho@time.com</t>
  </si>
  <si>
    <t>rfieldsho</t>
  </si>
  <si>
    <t>jhansenfm@eventbrite.com</t>
  </si>
  <si>
    <t>jhansenfm</t>
  </si>
  <si>
    <t>hfloresqg@homestead.com</t>
  </si>
  <si>
    <t>hfloresqg</t>
  </si>
  <si>
    <t>ahudsonqr@yolasite.com</t>
  </si>
  <si>
    <t>ahudsonqr</t>
  </si>
  <si>
    <t>vstephensqw@bluehost.com</t>
  </si>
  <si>
    <t>vstephensqw</t>
  </si>
  <si>
    <t>rgonzalezeh@amazon.com</t>
  </si>
  <si>
    <t>rgonzalezeh</t>
  </si>
  <si>
    <t>jwatkinsk8@digg.com</t>
  </si>
  <si>
    <t>jwatkinsk8</t>
  </si>
  <si>
    <t>rbennett2k@opera.com</t>
  </si>
  <si>
    <t>rbennett2k</t>
  </si>
  <si>
    <t>rruizh@pen.io</t>
  </si>
  <si>
    <t>rruizh</t>
  </si>
  <si>
    <t>ktuckerni@vistaprint.com</t>
  </si>
  <si>
    <t>ktuckerni</t>
  </si>
  <si>
    <t>mjacobsep@cocolog-nifty.com</t>
  </si>
  <si>
    <t>mjacobsep</t>
  </si>
  <si>
    <t>bfullerqn@mtv.com</t>
  </si>
  <si>
    <t>bfullerqn</t>
  </si>
  <si>
    <t>jcoxka@storify.com</t>
  </si>
  <si>
    <t>jcoxka</t>
  </si>
  <si>
    <t>dlarson2f@usa.gov</t>
  </si>
  <si>
    <t>dlarson2f</t>
  </si>
  <si>
    <t>Earl</t>
  </si>
  <si>
    <t>elewisi2@bloomberg.com</t>
  </si>
  <si>
    <t>elewisi2</t>
  </si>
  <si>
    <t>rbishopg1@answers.com</t>
  </si>
  <si>
    <t>rbishopg1</t>
  </si>
  <si>
    <t>lgray11@yahoo.com</t>
  </si>
  <si>
    <t>lgray11</t>
  </si>
  <si>
    <t>jjordanqk@prweb.com</t>
  </si>
  <si>
    <t>jjordanqk</t>
  </si>
  <si>
    <t>jryanq4@telegraph.co.uk</t>
  </si>
  <si>
    <t>jryanq4</t>
  </si>
  <si>
    <t>rgreeny@cnn.com</t>
  </si>
  <si>
    <t>rgreeny</t>
  </si>
  <si>
    <t>cnicholsgf@huffingtonpost.com</t>
  </si>
  <si>
    <t>cnicholsgf</t>
  </si>
  <si>
    <t>cryanky@purevolume.com</t>
  </si>
  <si>
    <t>cryanky</t>
  </si>
  <si>
    <t>tbaileyr1@netvibes.com</t>
  </si>
  <si>
    <t>tbaileyr1</t>
  </si>
  <si>
    <t>rhuntl4@free.fr</t>
  </si>
  <si>
    <t>rhuntl4</t>
  </si>
  <si>
    <t>lmillsax@sourceforge.net</t>
  </si>
  <si>
    <t>lmillsax</t>
  </si>
  <si>
    <t>laustin57@infoseek.co.jp</t>
  </si>
  <si>
    <t>laustin57</t>
  </si>
  <si>
    <t>hreidiq@soup.io</t>
  </si>
  <si>
    <t>hreidiq</t>
  </si>
  <si>
    <t>hsimpsonj9@japanpost.jp</t>
  </si>
  <si>
    <t>hsimpsonj9</t>
  </si>
  <si>
    <t>jgordonnj@google.fr</t>
  </si>
  <si>
    <t>jgordonnj</t>
  </si>
  <si>
    <t>rwilliamsonkk@about.me</t>
  </si>
  <si>
    <t>rwilliamsonkk</t>
  </si>
  <si>
    <t>mhenryr0@soundcloud.com</t>
  </si>
  <si>
    <t>mhenryr0</t>
  </si>
  <si>
    <t>wwardhj@ft.com</t>
  </si>
  <si>
    <t>wwardhj</t>
  </si>
  <si>
    <t>achapmanr3@pagesperso-orange.fr</t>
  </si>
  <si>
    <t>achapmanr3</t>
  </si>
  <si>
    <t>mwright2e@umich.edu</t>
  </si>
  <si>
    <t>mwright2e</t>
  </si>
  <si>
    <t>Santa Ana</t>
  </si>
  <si>
    <t>efordjn@vimeo.com</t>
  </si>
  <si>
    <t>efordjn</t>
  </si>
  <si>
    <t>Ann Arbor</t>
  </si>
  <si>
    <t>jgarrettif@youtube.com</t>
  </si>
  <si>
    <t>jgarrettif</t>
  </si>
  <si>
    <t>adeangn@weebly.com</t>
  </si>
  <si>
    <t>adeangn</t>
  </si>
  <si>
    <t>jblackg3@who.int</t>
  </si>
  <si>
    <t>jblackg3</t>
  </si>
  <si>
    <t>abell7l@plala.or.jp</t>
  </si>
  <si>
    <t>abell7l</t>
  </si>
  <si>
    <t>smartinez2a@go.com</t>
  </si>
  <si>
    <t>smartinez2a</t>
  </si>
  <si>
    <t>arosecw@ycombinator.com</t>
  </si>
  <si>
    <t>arosecw</t>
  </si>
  <si>
    <t>cowens2i@wikispaces.com</t>
  </si>
  <si>
    <t>cowens2i</t>
  </si>
  <si>
    <t>Lakewood</t>
  </si>
  <si>
    <t>pkingpk@japanpost.jp</t>
  </si>
  <si>
    <t>pkingpk</t>
  </si>
  <si>
    <t>mwelchkw@amazon.co.jp</t>
  </si>
  <si>
    <t>mwelchkw</t>
  </si>
  <si>
    <t>bmccoymf@sun.com</t>
  </si>
  <si>
    <t>bmccoymf</t>
  </si>
  <si>
    <t>ffreemanii@nbcnews.com</t>
  </si>
  <si>
    <t>ffreemanii</t>
  </si>
  <si>
    <t>dshawlc@taobao.com</t>
  </si>
  <si>
    <t>dshawlc</t>
  </si>
  <si>
    <t>agonzalesl3@webmd.com</t>
  </si>
  <si>
    <t>agonzalesl3</t>
  </si>
  <si>
    <t>hjonesfk@google.com.au</t>
  </si>
  <si>
    <t>hjonesfk</t>
  </si>
  <si>
    <t>ewilliamsgr@constantcontact.com</t>
  </si>
  <si>
    <t>ewilliamsgr</t>
  </si>
  <si>
    <t>kcastilloc@mashable.com</t>
  </si>
  <si>
    <t>kcastilloc</t>
  </si>
  <si>
    <t>jmurrayir@discuz.net</t>
  </si>
  <si>
    <t>jmurrayir</t>
  </si>
  <si>
    <t>njameser@gizmodo.com</t>
  </si>
  <si>
    <t>njameser</t>
  </si>
  <si>
    <t>rwarrenkd@homestead.com</t>
  </si>
  <si>
    <t>rwarrenkd</t>
  </si>
  <si>
    <t>jmatthewsg5@elegantthemes.com</t>
  </si>
  <si>
    <t>jmatthewsg5</t>
  </si>
  <si>
    <t>apetersqp@europa.eu</t>
  </si>
  <si>
    <t>apetersqp</t>
  </si>
  <si>
    <t>hturnerj5@flavors.me</t>
  </si>
  <si>
    <t>hturnerj5</t>
  </si>
  <si>
    <t>Lee</t>
  </si>
  <si>
    <t>clee1x@prlog.org</t>
  </si>
  <si>
    <t>clee1x</t>
  </si>
  <si>
    <t>jmurrayfw@bigcartel.com</t>
  </si>
  <si>
    <t>jmurrayfw</t>
  </si>
  <si>
    <t>jholmeshs@wufoo.com</t>
  </si>
  <si>
    <t>jholmeshs</t>
  </si>
  <si>
    <t>jmurrayjl@amazonaws.com</t>
  </si>
  <si>
    <t>jmurrayjl</t>
  </si>
  <si>
    <t>jjohnsoncu@cbsnews.com</t>
  </si>
  <si>
    <t>jjohnsoncu</t>
  </si>
  <si>
    <t>pmeyerr5@fda.gov</t>
  </si>
  <si>
    <t>pmeyerr5</t>
  </si>
  <si>
    <t>Silver Spring</t>
  </si>
  <si>
    <t>kstanleyf5@booking.com</t>
  </si>
  <si>
    <t>kstanleyf5</t>
  </si>
  <si>
    <t>Kingsport</t>
  </si>
  <si>
    <t>smillernh@chronoengine.com</t>
  </si>
  <si>
    <t>smillernh</t>
  </si>
  <si>
    <t>jjames4o@gov.uk</t>
  </si>
  <si>
    <t>jjames4o</t>
  </si>
  <si>
    <t>wmendozanb@constantcontact.com</t>
  </si>
  <si>
    <t>wmendozanb</t>
  </si>
  <si>
    <t>FullName</t>
  </si>
  <si>
    <t>diners club carte blanche</t>
  </si>
  <si>
    <t>diners club enroute</t>
  </si>
  <si>
    <t>visa electron</t>
  </si>
  <si>
    <t>china unionpay</t>
  </si>
  <si>
    <t>diners club us ca</t>
  </si>
  <si>
    <t>diners club international</t>
  </si>
  <si>
    <t>Christopher Owens</t>
  </si>
  <si>
    <t>Linda Dean</t>
  </si>
  <si>
    <t>Matthew Grant</t>
  </si>
  <si>
    <t>Frank Edwards</t>
  </si>
  <si>
    <t>Donald Kim</t>
  </si>
  <si>
    <t>Ralph Oliver</t>
  </si>
  <si>
    <t>Dorothy Reed</t>
  </si>
  <si>
    <t>Ruby Hicks</t>
  </si>
  <si>
    <t>Julie Brooks</t>
  </si>
  <si>
    <t>Frank Ellis</t>
  </si>
  <si>
    <t>Julie Cunningham</t>
  </si>
  <si>
    <t>Susan Chapman</t>
  </si>
  <si>
    <t>David Long</t>
  </si>
  <si>
    <t>Jose Ford</t>
  </si>
  <si>
    <t>Alice Bailey</t>
  </si>
  <si>
    <t>Carl Lewis</t>
  </si>
  <si>
    <t>Thomas Simpson</t>
  </si>
  <si>
    <t>Clarence Hunter</t>
  </si>
  <si>
    <t>Kelly Bryant</t>
  </si>
  <si>
    <t>Lori Torres</t>
  </si>
  <si>
    <t>Shawn Richards</t>
  </si>
  <si>
    <t>Jose Rivera</t>
  </si>
  <si>
    <t>Steven Cunningham</t>
  </si>
  <si>
    <t>Rachel Fowler</t>
  </si>
  <si>
    <t>Shawn Warren</t>
  </si>
  <si>
    <t>Rose Kim</t>
  </si>
  <si>
    <t>Jean Kelley</t>
  </si>
  <si>
    <t>Part B #1</t>
  </si>
  <si>
    <t>Lois Fowler</t>
  </si>
  <si>
    <t>Tammy Spencer</t>
  </si>
  <si>
    <t>Douglas Daniels</t>
  </si>
  <si>
    <t>Maria Hart</t>
  </si>
  <si>
    <t>Mary Ward</t>
  </si>
  <si>
    <t>Rose Perez</t>
  </si>
  <si>
    <t>Henry Warren</t>
  </si>
  <si>
    <t>Janet Bradley</t>
  </si>
  <si>
    <t>Ernest Mills</t>
  </si>
  <si>
    <t>Rachel Davis</t>
  </si>
  <si>
    <t>Billy Henry</t>
  </si>
  <si>
    <t>Teresa Morris</t>
  </si>
  <si>
    <t>Ralph Fernandez</t>
  </si>
  <si>
    <t>Stephen Shaw</t>
  </si>
  <si>
    <t>Jessica Murphy</t>
  </si>
  <si>
    <t>Heather Bailey</t>
  </si>
  <si>
    <t>Tina Diaz</t>
  </si>
  <si>
    <t>Bobby Dean</t>
  </si>
  <si>
    <t>Frank Cooper</t>
  </si>
  <si>
    <t>Harold Robinson</t>
  </si>
  <si>
    <t>Billy Watkins</t>
  </si>
  <si>
    <t>Ann Cook</t>
  </si>
  <si>
    <t>Jesse Bryant</t>
  </si>
  <si>
    <t>Mildred Graham</t>
  </si>
  <si>
    <t>Sean Kennedy</t>
  </si>
  <si>
    <t>Benjamin Owens</t>
  </si>
  <si>
    <t>Marie Ford</t>
  </si>
  <si>
    <t>Lillian Cruz</t>
  </si>
  <si>
    <t>Shirley Griffin</t>
  </si>
  <si>
    <t>Barbara Mcdonald</t>
  </si>
  <si>
    <t>Ruth Simpson</t>
  </si>
  <si>
    <t>Michelle Harris</t>
  </si>
  <si>
    <t>Jennifer Cruz</t>
  </si>
  <si>
    <t>Jane Andrews</t>
  </si>
  <si>
    <t>Willie Fisher</t>
  </si>
  <si>
    <t>Kathleen Ward</t>
  </si>
  <si>
    <t>Margaret Henderson</t>
  </si>
  <si>
    <t>Donna Richardson</t>
  </si>
  <si>
    <t>Debra James</t>
  </si>
  <si>
    <t>Billy Snyder</t>
  </si>
  <si>
    <t>Robin Willis</t>
  </si>
  <si>
    <t>Amanda Ross</t>
  </si>
  <si>
    <t>Joshua Williamson</t>
  </si>
  <si>
    <t>Gloria Clark</t>
  </si>
  <si>
    <t>Jean Gonzales</t>
  </si>
  <si>
    <t>Brandon Hawkins</t>
  </si>
  <si>
    <t>Walter Patterson</t>
  </si>
  <si>
    <t>Christopher George</t>
  </si>
  <si>
    <t>Keith Turner</t>
  </si>
  <si>
    <t>Jacqueline Kelley</t>
  </si>
  <si>
    <t>Todd Mitchell</t>
  </si>
  <si>
    <t>Patrick Bowman</t>
  </si>
  <si>
    <t>Jose Meyer</t>
  </si>
  <si>
    <t>Eugene Kennedy</t>
  </si>
  <si>
    <t>Wanda Elliott</t>
  </si>
  <si>
    <t>Donald Willis</t>
  </si>
  <si>
    <t>Barbara Jenkins</t>
  </si>
  <si>
    <t>Carl West</t>
  </si>
  <si>
    <t>Linda Marshall</t>
  </si>
  <si>
    <t>Roger Warren</t>
  </si>
  <si>
    <t>Walter Long</t>
  </si>
  <si>
    <t>Howard Ramos</t>
  </si>
  <si>
    <t>Peter Bradley</t>
  </si>
  <si>
    <t>Robin Banks</t>
  </si>
  <si>
    <t>Terry Dunn</t>
  </si>
  <si>
    <t>John Wagner</t>
  </si>
  <si>
    <t>Bobby Russell</t>
  </si>
  <si>
    <t>Antonio Henderson</t>
  </si>
  <si>
    <t>Sarah Rice</t>
  </si>
  <si>
    <t>Charles Nichols</t>
  </si>
  <si>
    <t>Steven Matthews</t>
  </si>
  <si>
    <t>Diana Smith</t>
  </si>
  <si>
    <t>Willie Gonzalez</t>
  </si>
  <si>
    <t>Charles Arnold</t>
  </si>
  <si>
    <t>Carol Shaw</t>
  </si>
  <si>
    <t>Virginia Dixon</t>
  </si>
  <si>
    <t>Roy Alvarez</t>
  </si>
  <si>
    <t>Walter Nichols</t>
  </si>
  <si>
    <t>Jeffrey Dean</t>
  </si>
  <si>
    <t>Roy Hart</t>
  </si>
  <si>
    <t>Norma Cooper</t>
  </si>
  <si>
    <t>Janice Edwards</t>
  </si>
  <si>
    <t>Joan Garcia</t>
  </si>
  <si>
    <t>Ronald Simmons</t>
  </si>
  <si>
    <t>Shawn Little</t>
  </si>
  <si>
    <t>Cheryl Reed</t>
  </si>
  <si>
    <t>Janice Vasquez</t>
  </si>
  <si>
    <t>Matthew Stanley</t>
  </si>
  <si>
    <t>Aaron Romero</t>
  </si>
  <si>
    <t>Harold Jacobs</t>
  </si>
  <si>
    <t>Sandra Ramirez</t>
  </si>
  <si>
    <t>Dorothy Simmons</t>
  </si>
  <si>
    <t>Louise Sullivan</t>
  </si>
  <si>
    <t>Jack Rodriguez</t>
  </si>
  <si>
    <t>Tammy Armstrong</t>
  </si>
  <si>
    <t>Dorothy Snyder</t>
  </si>
  <si>
    <t>Virginia Fernandez</t>
  </si>
  <si>
    <t>Julia Tucker</t>
  </si>
  <si>
    <t>Donna Sullivan</t>
  </si>
  <si>
    <t>Andrea Ward</t>
  </si>
  <si>
    <t>Laura Jenkins</t>
  </si>
  <si>
    <t>Walter Warren</t>
  </si>
  <si>
    <t>Elizabeth Medina</t>
  </si>
  <si>
    <t>Andrew Gutierrez</t>
  </si>
  <si>
    <t>Anthony Weaver</t>
  </si>
  <si>
    <t>Cheryl Brown</t>
  </si>
  <si>
    <t>Elizabeth Gordon</t>
  </si>
  <si>
    <t>Willie Fowler</t>
  </si>
  <si>
    <t>Antonio Romero</t>
  </si>
  <si>
    <t>Alan Vasquez</t>
  </si>
  <si>
    <t>Larry Miller</t>
  </si>
  <si>
    <t>Ruth Medina</t>
  </si>
  <si>
    <t>Alice Turner</t>
  </si>
  <si>
    <t>Michael Gilbert</t>
  </si>
  <si>
    <t>Evelyn Holmes</t>
  </si>
  <si>
    <t>Kimberly Wood</t>
  </si>
  <si>
    <t>Diane Porter</t>
  </si>
  <si>
    <t>Teresa Freeman</t>
  </si>
  <si>
    <t>Jeremy Campbell</t>
  </si>
  <si>
    <t>Richard Hawkins</t>
  </si>
  <si>
    <t>Linda Long</t>
  </si>
  <si>
    <t>Kathy Cooper</t>
  </si>
  <si>
    <t>Donna Clark</t>
  </si>
  <si>
    <t>Marilyn Coleman</t>
  </si>
  <si>
    <t>John Fernandez</t>
  </si>
  <si>
    <t>Matthew Watkins</t>
  </si>
  <si>
    <t>Evelyn George</t>
  </si>
  <si>
    <t>Harold Simpson</t>
  </si>
  <si>
    <t>Bobby Anderson</t>
  </si>
  <si>
    <t>Carlos Day</t>
  </si>
  <si>
    <t>Anna Hansen</t>
  </si>
  <si>
    <t>Ann Perkins</t>
  </si>
  <si>
    <t>Steven Mcdonald</t>
  </si>
  <si>
    <t>Doris Moore</t>
  </si>
  <si>
    <t>Richard Rice</t>
  </si>
  <si>
    <t>Laura Wright</t>
  </si>
  <si>
    <t>Judith Powell</t>
  </si>
  <si>
    <t>Antonio Castillo</t>
  </si>
  <si>
    <t>Janet Wagner</t>
  </si>
  <si>
    <t>Antonio Stanley</t>
  </si>
  <si>
    <t>Ronald Reyes</t>
  </si>
  <si>
    <t>Tina Hawkins</t>
  </si>
  <si>
    <t>Amy Jenkins</t>
  </si>
  <si>
    <t>Joyce Vasquez</t>
  </si>
  <si>
    <t>Gloria Hanson</t>
  </si>
  <si>
    <t>Julia Reynolds</t>
  </si>
  <si>
    <t>Jeffrey Schmidt</t>
  </si>
  <si>
    <t>Judy Larson</t>
  </si>
  <si>
    <t>Edward Moreno</t>
  </si>
  <si>
    <t>Judith Wagner</t>
  </si>
  <si>
    <t>Alan Boyd</t>
  </si>
  <si>
    <t>Kenneth Perry</t>
  </si>
  <si>
    <t>Albert Murray</t>
  </si>
  <si>
    <t>Shawn Knight</t>
  </si>
  <si>
    <t>Phillip Simpson</t>
  </si>
  <si>
    <t>Denise Mcdonald</t>
  </si>
  <si>
    <t>Brenda Meyer</t>
  </si>
  <si>
    <t>Thomas Peters</t>
  </si>
  <si>
    <t>Elizabeth Carr</t>
  </si>
  <si>
    <t>Virginia Watkins</t>
  </si>
  <si>
    <t>Janice Ray</t>
  </si>
  <si>
    <t>Jennifer Thomas</t>
  </si>
  <si>
    <t>Diana Day</t>
  </si>
  <si>
    <t>Jennifer Robinson</t>
  </si>
  <si>
    <t>Edward Vasquez</t>
  </si>
  <si>
    <t>Brian Long</t>
  </si>
  <si>
    <t>Frank Martin</t>
  </si>
  <si>
    <t>Benjamin Evans</t>
  </si>
  <si>
    <t>Nancy Harris</t>
  </si>
  <si>
    <t>Katherine Richardson</t>
  </si>
  <si>
    <t>Billy Ryan</t>
  </si>
  <si>
    <t>Robert Smith</t>
  </si>
  <si>
    <t>Carolyn Walker</t>
  </si>
  <si>
    <t>Kathy Lawson</t>
  </si>
  <si>
    <t>Bobby Bell</t>
  </si>
  <si>
    <t>Thomas Diaz</t>
  </si>
  <si>
    <t>Julia Carter</t>
  </si>
  <si>
    <t>Alice Romero</t>
  </si>
  <si>
    <t>Sarah Hanson</t>
  </si>
  <si>
    <t>John Carr</t>
  </si>
  <si>
    <t>Lawrence Cruz</t>
  </si>
  <si>
    <t>Deborah Lawson</t>
  </si>
  <si>
    <t>Daniel Cox</t>
  </si>
  <si>
    <t>Robin Boyd</t>
  </si>
  <si>
    <t>Peter Fox</t>
  </si>
  <si>
    <t>Edward Morrison</t>
  </si>
  <si>
    <t>Doris Bailey</t>
  </si>
  <si>
    <t>Ryan Andrews</t>
  </si>
  <si>
    <t>Harold Ortiz</t>
  </si>
  <si>
    <t>Michael Warren</t>
  </si>
  <si>
    <t>Carolyn Watkins</t>
  </si>
  <si>
    <t>Steve Carr</t>
  </si>
  <si>
    <t>Margaret Rice</t>
  </si>
  <si>
    <t>Henry Brown</t>
  </si>
  <si>
    <t>David Hamilton</t>
  </si>
  <si>
    <t>Rebecca Evans</t>
  </si>
  <si>
    <t>Lois Gonzales</t>
  </si>
  <si>
    <t>Deborah Fowler</t>
  </si>
  <si>
    <t>Amy Cruz</t>
  </si>
  <si>
    <t>Kenneth Castillo</t>
  </si>
  <si>
    <t>Harry Hawkins</t>
  </si>
  <si>
    <t>Stephen George</t>
  </si>
  <si>
    <t>Christina Fox</t>
  </si>
  <si>
    <t>Christopher Hunter</t>
  </si>
  <si>
    <t>Jimmy Gonzalez</t>
  </si>
  <si>
    <t>Charles Martinez</t>
  </si>
  <si>
    <t>Debra Simmons</t>
  </si>
  <si>
    <t>Russell Harrison</t>
  </si>
  <si>
    <t>Nicole Mitchell</t>
  </si>
  <si>
    <t>Juan Lopez</t>
  </si>
  <si>
    <t>Douglas Anderson</t>
  </si>
  <si>
    <t>Karen Boyd</t>
  </si>
  <si>
    <t>Irene Stone</t>
  </si>
  <si>
    <t>Bobby Walker</t>
  </si>
  <si>
    <t>Shawn Taylor</t>
  </si>
  <si>
    <t>Arthur Cooper</t>
  </si>
  <si>
    <t>Patrick Austin</t>
  </si>
  <si>
    <t>Jane Henry</t>
  </si>
  <si>
    <t>Tina Mccoy</t>
  </si>
  <si>
    <t>Johnny Austin</t>
  </si>
  <si>
    <t>Aaron Patterson</t>
  </si>
  <si>
    <t>Clarence Mason</t>
  </si>
  <si>
    <t>Elizabeth Freeman</t>
  </si>
  <si>
    <t>Eric Davis</t>
  </si>
  <si>
    <t>Wayne Oliver</t>
  </si>
  <si>
    <t>Debra Robinson</t>
  </si>
  <si>
    <t>Ann Wallace</t>
  </si>
  <si>
    <t>Anthony Thomas</t>
  </si>
  <si>
    <t>Patrick Mendoza</t>
  </si>
  <si>
    <t>Paula Fowler</t>
  </si>
  <si>
    <t>Joan Morris</t>
  </si>
  <si>
    <t>Ronald Moore</t>
  </si>
  <si>
    <t>Teresa Fuller</t>
  </si>
  <si>
    <t>Patricia Brooks</t>
  </si>
  <si>
    <t>Nancy Allen</t>
  </si>
  <si>
    <t>Andrea Tucker</t>
  </si>
  <si>
    <t>Samuel Taylor</t>
  </si>
  <si>
    <t>Kelly Richardson</t>
  </si>
  <si>
    <t>Sarah Walker</t>
  </si>
  <si>
    <t>Norma Carpenter</t>
  </si>
  <si>
    <t>Shawn Edwards</t>
  </si>
  <si>
    <t>Shirley Hernandez</t>
  </si>
  <si>
    <t>Anthony Perkins</t>
  </si>
  <si>
    <t>Jessica Day</t>
  </si>
  <si>
    <t>Thomas Alvarez</t>
  </si>
  <si>
    <t>Thomas West</t>
  </si>
  <si>
    <t>Willie Price</t>
  </si>
  <si>
    <t>Lillian Woods</t>
  </si>
  <si>
    <t>Sarah Ward</t>
  </si>
  <si>
    <t>Louise Lopez</t>
  </si>
  <si>
    <t>James Franklin</t>
  </si>
  <si>
    <t>Howard Peterson</t>
  </si>
  <si>
    <t>Diane Patterson</t>
  </si>
  <si>
    <t>Anne Howard</t>
  </si>
  <si>
    <t>Joshua Boyd</t>
  </si>
  <si>
    <t>Clarence Roberts</t>
  </si>
  <si>
    <t>Evelyn Kennedy</t>
  </si>
  <si>
    <t>Sarah Cox</t>
  </si>
  <si>
    <t>Emily Gordon</t>
  </si>
  <si>
    <t>Albert Ray</t>
  </si>
  <si>
    <t>Jennifer Bennett</t>
  </si>
  <si>
    <t>Joe Hayes</t>
  </si>
  <si>
    <t>John Cunningham</t>
  </si>
  <si>
    <t>Anthony Frazier</t>
  </si>
  <si>
    <t>Wayne Cruz</t>
  </si>
  <si>
    <t>Ashley Rodriguez</t>
  </si>
  <si>
    <t>Wanda Daniels</t>
  </si>
  <si>
    <t>Jason Tucker</t>
  </si>
  <si>
    <t>Rachel Armstrong</t>
  </si>
  <si>
    <t>Patrick Moore</t>
  </si>
  <si>
    <t>Maria Ryan</t>
  </si>
  <si>
    <t>Juan Arnold</t>
  </si>
  <si>
    <t>Chris Moore</t>
  </si>
  <si>
    <t>Michael Romero</t>
  </si>
  <si>
    <t>Jason Fisher</t>
  </si>
  <si>
    <t>Louis Mccoy</t>
  </si>
  <si>
    <t>Tammy Carpenter</t>
  </si>
  <si>
    <t>Martin Shaw</t>
  </si>
  <si>
    <t>Donald Bishop</t>
  </si>
  <si>
    <t>Arthur Hart</t>
  </si>
  <si>
    <t>Barbara Hicks</t>
  </si>
  <si>
    <t>Robert Fisher</t>
  </si>
  <si>
    <t>Keith Miller</t>
  </si>
  <si>
    <t>Brenda Harvey</t>
  </si>
  <si>
    <t>Jeffrey James</t>
  </si>
  <si>
    <t>Joshua Austin</t>
  </si>
  <si>
    <t>Irene Turner</t>
  </si>
  <si>
    <t>Kathryn Diaz</t>
  </si>
  <si>
    <t>Betty Phillips</t>
  </si>
  <si>
    <t>Beverly Perkins</t>
  </si>
  <si>
    <t>Brenda Lewis</t>
  </si>
  <si>
    <t>Evelyn Turner</t>
  </si>
  <si>
    <t>Ruth Mendoza</t>
  </si>
  <si>
    <t>Evelyn Hansen</t>
  </si>
  <si>
    <t>Stephanie Anderson</t>
  </si>
  <si>
    <t>John Wood</t>
  </si>
  <si>
    <t>Anthony Fernandez</t>
  </si>
  <si>
    <t>Matthew Mitchell</t>
  </si>
  <si>
    <t>Joseph Roberts</t>
  </si>
  <si>
    <t>Rose Gordon</t>
  </si>
  <si>
    <t>Tina Schmidt</t>
  </si>
  <si>
    <t>Jason Lawrence</t>
  </si>
  <si>
    <t>Walter Foster</t>
  </si>
  <si>
    <t>Catherine Perry</t>
  </si>
  <si>
    <t>Douglas Brooks</t>
  </si>
  <si>
    <t>Lillian Mendoza</t>
  </si>
  <si>
    <t>Ernest Perkins</t>
  </si>
  <si>
    <t>Janice Fields</t>
  </si>
  <si>
    <t>Jimmy Dunn</t>
  </si>
  <si>
    <t>Kevin Garcia</t>
  </si>
  <si>
    <t>Phillip Willis</t>
  </si>
  <si>
    <t>Louise Fuller</t>
  </si>
  <si>
    <t>Lori Ross</t>
  </si>
  <si>
    <t>Eugene Bradley</t>
  </si>
  <si>
    <t>Clarence Frazier</t>
  </si>
  <si>
    <t>Andrew Fox</t>
  </si>
  <si>
    <t>Jose Rose</t>
  </si>
  <si>
    <t>Mildred Kennedy</t>
  </si>
  <si>
    <t>Ruth Fields</t>
  </si>
  <si>
    <t>Paul Brooks</t>
  </si>
  <si>
    <t>Joshua James</t>
  </si>
  <si>
    <t>Daniel Reyes</t>
  </si>
  <si>
    <t>Clarence Alvarez</t>
  </si>
  <si>
    <t>Sandra Martin</t>
  </si>
  <si>
    <t>Samuel Day</t>
  </si>
  <si>
    <t>Eugene Knight</t>
  </si>
  <si>
    <t>James Stephens</t>
  </si>
  <si>
    <t>Andrea Carter</t>
  </si>
  <si>
    <t>Amanda James</t>
  </si>
  <si>
    <t>Jason Watson</t>
  </si>
  <si>
    <t>Judy Gray</t>
  </si>
  <si>
    <t>Todd Hawkins</t>
  </si>
  <si>
    <t>Mark Phillips</t>
  </si>
  <si>
    <t>Joshua Hawkins</t>
  </si>
  <si>
    <t>Susan Elliott</t>
  </si>
  <si>
    <t>Gregory Myers</t>
  </si>
  <si>
    <t>Gloria Carr</t>
  </si>
  <si>
    <t>Anthony Ward</t>
  </si>
  <si>
    <t>Matthew Weaver</t>
  </si>
  <si>
    <t>Mark Chapman</t>
  </si>
  <si>
    <t>Linda Chapman</t>
  </si>
  <si>
    <t>Shirley Riley</t>
  </si>
  <si>
    <t>Wayne Moore</t>
  </si>
  <si>
    <t>Andrea Holmes</t>
  </si>
  <si>
    <t>Marilyn Dean</t>
  </si>
  <si>
    <t>Margaret Hall</t>
  </si>
  <si>
    <t>Janice Ellis</t>
  </si>
  <si>
    <t>William Ortiz</t>
  </si>
  <si>
    <t>Elizabeth Reynolds</t>
  </si>
  <si>
    <t>Benjamin Morgan</t>
  </si>
  <si>
    <t>Stephen Simmons</t>
  </si>
  <si>
    <t>Tina Morris</t>
  </si>
  <si>
    <t>Jason Ramirez</t>
  </si>
  <si>
    <t>Angela Stephens</t>
  </si>
  <si>
    <t>Rachel Fisher</t>
  </si>
  <si>
    <t>Stephanie Ward</t>
  </si>
  <si>
    <t>Eric Green</t>
  </si>
  <si>
    <t>Jason Alexander</t>
  </si>
  <si>
    <t>Victor Gibson</t>
  </si>
  <si>
    <t>Ernest Richards</t>
  </si>
  <si>
    <t>Bobby Riley</t>
  </si>
  <si>
    <t>Lillian Campbell</t>
  </si>
  <si>
    <t>Wanda Coleman</t>
  </si>
  <si>
    <t>Jessica Tucker</t>
  </si>
  <si>
    <t>Patrick James</t>
  </si>
  <si>
    <t>Johnny Lewis</t>
  </si>
  <si>
    <t>Nicholas Sanders</t>
  </si>
  <si>
    <t>Robert Hawkins</t>
  </si>
  <si>
    <t>Sandra Carter</t>
  </si>
  <si>
    <t>Phyllis Peterson</t>
  </si>
  <si>
    <t>Jimmy Boyd</t>
  </si>
  <si>
    <t>Peter Elliott</t>
  </si>
  <si>
    <t>Jack Dean</t>
  </si>
  <si>
    <t>Robert Peters</t>
  </si>
  <si>
    <t>Dorothy Hansen</t>
  </si>
  <si>
    <t>Evelyn Armstrong</t>
  </si>
  <si>
    <t>Gregory Cunningham</t>
  </si>
  <si>
    <t>Nicholas Mitchell</t>
  </si>
  <si>
    <t>Frank Stanley</t>
  </si>
  <si>
    <t>Timothy Edwards</t>
  </si>
  <si>
    <t>Melissa Lopez</t>
  </si>
  <si>
    <t>Janice Owens</t>
  </si>
  <si>
    <t>Irene Bradley</t>
  </si>
  <si>
    <t>Anna Carter</t>
  </si>
  <si>
    <t>Brenda Armstrong</t>
  </si>
  <si>
    <t>Joyce Evans</t>
  </si>
  <si>
    <t>Anna Graham</t>
  </si>
  <si>
    <t>Carlos Hanson</t>
  </si>
  <si>
    <t>Nicole Ramirez</t>
  </si>
  <si>
    <t>Christopher Olson</t>
  </si>
  <si>
    <t>Jimmy Hall</t>
  </si>
  <si>
    <t>Doris Perry</t>
  </si>
  <si>
    <t>Jesse Stewart</t>
  </si>
  <si>
    <t>Sharon Gonzales</t>
  </si>
  <si>
    <t>Jacqueline Simpson</t>
  </si>
  <si>
    <t>Anna Lopez</t>
  </si>
  <si>
    <t>Eugene Watkins</t>
  </si>
  <si>
    <t>Gloria Pierce</t>
  </si>
  <si>
    <t>Christine Morales</t>
  </si>
  <si>
    <t>Ronald Weaver</t>
  </si>
  <si>
    <t>Laura Gomez</t>
  </si>
  <si>
    <t>Victor James</t>
  </si>
  <si>
    <t>Emily Mcdonald</t>
  </si>
  <si>
    <t>Amy Russell</t>
  </si>
  <si>
    <t>Jessica Rice</t>
  </si>
  <si>
    <t>Irene Wilson</t>
  </si>
  <si>
    <t>Annie Reyes</t>
  </si>
  <si>
    <t>Stephanie Castillo</t>
  </si>
  <si>
    <t>Maria Bowman</t>
  </si>
  <si>
    <t>Keith Ramirez</t>
  </si>
  <si>
    <t>Frank Fowler</t>
  </si>
  <si>
    <t>Wayne Owens</t>
  </si>
  <si>
    <t>Thomas Butler</t>
  </si>
  <si>
    <t>Lillian Lynch</t>
  </si>
  <si>
    <t>Carolyn Martinez</t>
  </si>
  <si>
    <t>Nicole Jackson</t>
  </si>
  <si>
    <t>Lillian Watson</t>
  </si>
  <si>
    <t>Ashley Gutierrez</t>
  </si>
  <si>
    <t>Susan Lewis</t>
  </si>
  <si>
    <t>Carolyn Ferguson</t>
  </si>
  <si>
    <t>Ronald Knight</t>
  </si>
  <si>
    <t>Todd Howard</t>
  </si>
  <si>
    <t>Carol Bishop</t>
  </si>
  <si>
    <t>Laura Cox</t>
  </si>
  <si>
    <t>Tina Fowler</t>
  </si>
  <si>
    <t>Lisa Hart</t>
  </si>
  <si>
    <t>Melissa Riley</t>
  </si>
  <si>
    <t>Christine Richards</t>
  </si>
  <si>
    <t>Irene Thompson</t>
  </si>
  <si>
    <t>Theresa Rogers</t>
  </si>
  <si>
    <t>Jacqueline Ward</t>
  </si>
  <si>
    <t>Betty Perry</t>
  </si>
  <si>
    <t>Richard Stephens</t>
  </si>
  <si>
    <t>Chris Perry</t>
  </si>
  <si>
    <t>Andrew Nguyen</t>
  </si>
  <si>
    <t>Kathy Hart</t>
  </si>
  <si>
    <t>Louis Willis</t>
  </si>
  <si>
    <t>Ashley Taylor</t>
  </si>
  <si>
    <t>Jean Fox</t>
  </si>
  <si>
    <t>Robert Banks</t>
  </si>
  <si>
    <t>Beverly Carroll</t>
  </si>
  <si>
    <t>Lillian Cole</t>
  </si>
  <si>
    <t>David Jordan</t>
  </si>
  <si>
    <t>Heather Day</t>
  </si>
  <si>
    <t>Jane Henderson</t>
  </si>
  <si>
    <t>Pamela Thompson</t>
  </si>
  <si>
    <t>Chris Hudson</t>
  </si>
  <si>
    <t>Phyllis James</t>
  </si>
  <si>
    <t>Sara Owens</t>
  </si>
  <si>
    <t>Jose Scott</t>
  </si>
  <si>
    <t>Norma Turner</t>
  </si>
  <si>
    <t>Gregory Perry</t>
  </si>
  <si>
    <t>Henry Cooper</t>
  </si>
  <si>
    <t>Kathy Willis</t>
  </si>
  <si>
    <t>Stephen Romero</t>
  </si>
  <si>
    <t>Robert Barnes</t>
  </si>
  <si>
    <t>Brandon Jacobs</t>
  </si>
  <si>
    <t>Martin Rogers</t>
  </si>
  <si>
    <t>Eric Collins</t>
  </si>
  <si>
    <t>Alan Ward</t>
  </si>
  <si>
    <t>Christina Marshall</t>
  </si>
  <si>
    <t>Samuel Duncan</t>
  </si>
  <si>
    <t>Antonio Boyd</t>
  </si>
  <si>
    <t>Dorothy Meyer</t>
  </si>
  <si>
    <t>Linda Porter</t>
  </si>
  <si>
    <t>Gary Parker</t>
  </si>
  <si>
    <t>Ruth Allen</t>
  </si>
  <si>
    <t>Albert Foster</t>
  </si>
  <si>
    <t>Pamela Cox</t>
  </si>
  <si>
    <t>Scott Williamson</t>
  </si>
  <si>
    <t>Keith Gardner</t>
  </si>
  <si>
    <t>David Dixon</t>
  </si>
  <si>
    <t>Wayne Fox</t>
  </si>
  <si>
    <t>Peter Morales</t>
  </si>
  <si>
    <t>Stephanie Russell</t>
  </si>
  <si>
    <t>Sharon Peters</t>
  </si>
  <si>
    <t>Jonathan Mason</t>
  </si>
  <si>
    <t>Kathryn Murray</t>
  </si>
  <si>
    <t>Norma Matthews</t>
  </si>
  <si>
    <t>Judy Carpenter</t>
  </si>
  <si>
    <t>Evelyn Perez</t>
  </si>
  <si>
    <t>Richard Foster</t>
  </si>
  <si>
    <t>Diane Harris</t>
  </si>
  <si>
    <t>Rachel Carroll</t>
  </si>
  <si>
    <t>Deborah Jordan</t>
  </si>
  <si>
    <t>Rebecca Gordon</t>
  </si>
  <si>
    <t>Jacqueline Carpenter</t>
  </si>
  <si>
    <t>Ronald Tucker</t>
  </si>
  <si>
    <t>Marilyn Brooks</t>
  </si>
  <si>
    <t>Harry Moore</t>
  </si>
  <si>
    <t>Daniel Moreno</t>
  </si>
  <si>
    <t>William Butler</t>
  </si>
  <si>
    <t>Doris Cunningham</t>
  </si>
  <si>
    <t>Clarence Ward</t>
  </si>
  <si>
    <t>Irene Richards</t>
  </si>
  <si>
    <t>Helen Hart</t>
  </si>
  <si>
    <t>Andrea Bowman</t>
  </si>
  <si>
    <t>Susan Matthews</t>
  </si>
  <si>
    <t>Michael Powell</t>
  </si>
  <si>
    <t>Janet Ruiz</t>
  </si>
  <si>
    <t>Russell Baker</t>
  </si>
  <si>
    <t>Shirley Sanders</t>
  </si>
  <si>
    <t>Rebecca Mason</t>
  </si>
  <si>
    <t>Anne Day</t>
  </si>
  <si>
    <t>Anne Olson</t>
  </si>
  <si>
    <t>Albert Stanley</t>
  </si>
  <si>
    <t>Thomas Cunningham</t>
  </si>
  <si>
    <t>Theresa Williams</t>
  </si>
  <si>
    <t>Emily Watkins</t>
  </si>
  <si>
    <t>Dorothy Olson</t>
  </si>
  <si>
    <t>Jose Holmes</t>
  </si>
  <si>
    <t>Robert Lane</t>
  </si>
  <si>
    <t>Nancy Gardner</t>
  </si>
  <si>
    <t>Martha Montgomery</t>
  </si>
  <si>
    <t>Daniel Walker</t>
  </si>
  <si>
    <t>Emily Carter</t>
  </si>
  <si>
    <t>Gregory Larson</t>
  </si>
  <si>
    <t>Patrick Payne</t>
  </si>
  <si>
    <t>Willie Reid</t>
  </si>
  <si>
    <t>Theresa Nguyen</t>
  </si>
  <si>
    <t>Sarah Clark</t>
  </si>
  <si>
    <t>Nicholas Castillo</t>
  </si>
  <si>
    <t>Juan Stevens</t>
  </si>
  <si>
    <t>Louis Nichols</t>
  </si>
  <si>
    <t>Carlos Kelly</t>
  </si>
  <si>
    <t>Peter Bailey</t>
  </si>
  <si>
    <t>Henry Pierce</t>
  </si>
  <si>
    <t>Walter Clark</t>
  </si>
  <si>
    <t>Ralph Gonzalez</t>
  </si>
  <si>
    <t>Randy Meyer</t>
  </si>
  <si>
    <t>Jeffrey Watson</t>
  </si>
  <si>
    <t>Unique Race</t>
  </si>
  <si>
    <t>Gender</t>
  </si>
  <si>
    <t>Part B #2</t>
  </si>
  <si>
    <t>Part B #3</t>
  </si>
  <si>
    <t># of Purchases</t>
  </si>
  <si>
    <t>Equations are also on Worksheet tab</t>
  </si>
  <si>
    <t>Part C # 1</t>
  </si>
  <si>
    <t>Sales Total Per Person</t>
  </si>
  <si>
    <t>Part C # 2</t>
  </si>
  <si>
    <t>Part C # 3</t>
  </si>
  <si>
    <t>Credit Card Company</t>
  </si>
  <si>
    <t># of People Per Gender</t>
  </si>
  <si>
    <t># of People Per Race</t>
  </si>
  <si>
    <t>Top 5 Customers by # of Purchases</t>
  </si>
  <si>
    <t>Customer # of Purchases</t>
  </si>
  <si>
    <t>Top 5 Customers by Value of Purchases</t>
  </si>
  <si>
    <t>Customer Value of Purchases $</t>
  </si>
  <si>
    <t>Month</t>
  </si>
  <si>
    <t>Month #</t>
  </si>
  <si>
    <t>Year</t>
  </si>
  <si>
    <t>Part B # 4</t>
  </si>
  <si>
    <t>Grand Total</t>
  </si>
  <si>
    <t>Part E #1</t>
  </si>
  <si>
    <t>January</t>
  </si>
  <si>
    <t>February</t>
  </si>
  <si>
    <t>March</t>
  </si>
  <si>
    <t>April</t>
  </si>
  <si>
    <t>May</t>
  </si>
  <si>
    <t>June</t>
  </si>
  <si>
    <t>July</t>
  </si>
  <si>
    <t>August</t>
  </si>
  <si>
    <t>September</t>
  </si>
  <si>
    <t>October</t>
  </si>
  <si>
    <t>November</t>
  </si>
  <si>
    <t>December</t>
  </si>
  <si>
    <t>Total Sales</t>
  </si>
  <si>
    <t>Average Sales</t>
  </si>
  <si>
    <t>Part E # 2</t>
  </si>
  <si>
    <t>Part E #3</t>
  </si>
  <si>
    <t>Company</t>
  </si>
  <si>
    <t>Part E  #4</t>
  </si>
  <si>
    <t>Part E #5</t>
  </si>
  <si>
    <t>State</t>
  </si>
  <si>
    <t>Part E #6</t>
  </si>
  <si>
    <t>2018 had the least amount of sales while 2022 had the highest amount of sales</t>
  </si>
  <si>
    <t>May had the highest average of sales amount while March had the lowest</t>
  </si>
  <si>
    <t>jcb had the most amount of sales and solo had the least amount of sales</t>
  </si>
  <si>
    <t>Delaware had the highest average sales amount and New Hampshire had the least</t>
  </si>
  <si>
    <t>My analsis shows that 2022 was the strongest year for total sales, with 2020 being the weakest. I can also see seasonal patterns for the average sales price, which dipped to the lowest in March and rose to the highest in May. The total sales by company showed one company on top by a large margin, which was Linkbuzz. Our top performing credit card company was jcb by a large margin with solo being the worst performing by total sales. The bottom of total sales by credit card company was much closer in sales amount. Lastly, our top performing state by average sales amount was Delaware and the lowest was New Hampshire.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</si>
</sst>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4">
    <xf numFmtId="0" fontId="0" fillId="0" borderId="0" xfId="0"/>
    <xf numFmtId="8" fontId="0" fillId="0" borderId="0" xfId="0" applyNumberFormat="1"/>
    <xf numFmtId="14" fontId="0" fillId="0" borderId="0" xfId="0" applyNumberFormat="1"/>
    <xf numFmtId="0" fontId="0" fillId="33" borderId="0" xfId="0" applyFill="1"/>
    <xf numFmtId="164" fontId="0" fillId="0" borderId="0" xfId="0" applyNumberFormat="1"/>
    <xf numFmtId="164" fontId="0" fillId="0" borderId="0" xfId="42" applyNumberFormat="1" applyFont="1"/>
    <xf numFmtId="0" fontId="0" fillId="0" borderId="0" xfId="0" pivotButton="1"/>
    <xf numFmtId="0" fontId="0" fillId="0" borderId="0" xfId="0" applyAlignment="1">
      <alignment horizontal="left"/>
    </xf>
    <xf numFmtId="44" fontId="0" fillId="0" borderId="0" xfId="0" applyNumberFormat="1"/>
    <xf numFmtId="0" fontId="0" fillId="33" borderId="0" xfId="0" applyFill="1" applyAlignment="1">
      <alignment horizontal="left"/>
    </xf>
    <xf numFmtId="0" fontId="0" fillId="34" borderId="0" xfId="0" applyFill="1"/>
    <xf numFmtId="0" fontId="0" fillId="34" borderId="0" xfId="0" applyFill="1" applyAlignment="1">
      <alignment horizontal="left"/>
    </xf>
    <xf numFmtId="0" fontId="0" fillId="0" borderId="0" xfId="0" applyFill="1"/>
    <xf numFmtId="0" fontId="0" fillId="0" borderId="0" xfId="0" applyFill="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numFmt numFmtId="0" formatCode="General"/>
    </dxf>
    <dxf>
      <numFmt numFmtId="0" formatCode="General"/>
    </dxf>
    <dxf>
      <numFmt numFmtId="0" formatCode="General"/>
    </dxf>
    <dxf>
      <numFmt numFmtId="34" formatCode="_(&quot;$&quot;* #,##0.00_);_(&quot;$&quot;* \(#,##0.00\);_(&quot;$&quot;* &quot;-&quot;??_);_(@_)"/>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19" formatCode="m/d/yyyy"/>
    </dxf>
    <dxf>
      <numFmt numFmtId="12"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Gender and Race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'Part B'!$H$2:$H$14</c:f>
              <c:strCache>
                <c:ptCount val="13"/>
                <c:pt idx="0">
                  <c:v>White</c:v>
                </c:pt>
                <c:pt idx="1">
                  <c:v>Black or African American</c:v>
                </c:pt>
                <c:pt idx="2">
                  <c:v>South American</c:v>
                </c:pt>
                <c:pt idx="3">
                  <c:v>Asian</c:v>
                </c:pt>
                <c:pt idx="4">
                  <c:v>Mexican</c:v>
                </c:pt>
                <c:pt idx="5">
                  <c:v>Hispanic</c:v>
                </c:pt>
                <c:pt idx="6">
                  <c:v>American Indian</c:v>
                </c:pt>
                <c:pt idx="7">
                  <c:v>Taiwanese</c:v>
                </c:pt>
                <c:pt idx="8">
                  <c:v>Thai</c:v>
                </c:pt>
                <c:pt idx="9">
                  <c:v>Argentinian</c:v>
                </c:pt>
                <c:pt idx="10">
                  <c:v>Costa Rican</c:v>
                </c:pt>
                <c:pt idx="11">
                  <c:v>Japanese</c:v>
                </c:pt>
                <c:pt idx="12">
                  <c:v>Eskimo</c:v>
                </c:pt>
              </c:strCache>
            </c:strRef>
          </c:cat>
          <c:val>
            <c:numRef>
              <c:f>'Part B'!$I$2:$I$14</c:f>
              <c:numCache>
                <c:formatCode>"$"#,##0.00</c:formatCode>
                <c:ptCount val="13"/>
                <c:pt idx="0">
                  <c:v>185388</c:v>
                </c:pt>
                <c:pt idx="1">
                  <c:v>88376</c:v>
                </c:pt>
                <c:pt idx="2">
                  <c:v>197</c:v>
                </c:pt>
                <c:pt idx="3">
                  <c:v>71354</c:v>
                </c:pt>
                <c:pt idx="4">
                  <c:v>45235</c:v>
                </c:pt>
                <c:pt idx="5">
                  <c:v>909</c:v>
                </c:pt>
                <c:pt idx="6">
                  <c:v>3831</c:v>
                </c:pt>
                <c:pt idx="7">
                  <c:v>2574</c:v>
                </c:pt>
                <c:pt idx="8">
                  <c:v>3145</c:v>
                </c:pt>
                <c:pt idx="9">
                  <c:v>614</c:v>
                </c:pt>
                <c:pt idx="10">
                  <c:v>0</c:v>
                </c:pt>
                <c:pt idx="11">
                  <c:v>0</c:v>
                </c:pt>
                <c:pt idx="12">
                  <c:v>0</c:v>
                </c:pt>
              </c:numCache>
            </c:numRef>
          </c:val>
          <c:extLst>
            <c:ext xmlns:c16="http://schemas.microsoft.com/office/drawing/2014/chart" uri="{C3380CC4-5D6E-409C-BE32-E72D297353CC}">
              <c16:uniqueId val="{00000000-7EF5-4702-9059-A536361AAD3D}"/>
            </c:ext>
          </c:extLst>
        </c:ser>
        <c:ser>
          <c:idx val="1"/>
          <c:order val="1"/>
          <c:spPr>
            <a:solidFill>
              <a:schemeClr val="accent2"/>
            </a:solidFill>
            <a:ln>
              <a:noFill/>
            </a:ln>
            <a:effectLst/>
          </c:spPr>
          <c:invertIfNegative val="0"/>
          <c:cat>
            <c:strRef>
              <c:f>'Part B'!$H$2:$H$14</c:f>
              <c:strCache>
                <c:ptCount val="13"/>
                <c:pt idx="0">
                  <c:v>White</c:v>
                </c:pt>
                <c:pt idx="1">
                  <c:v>Black or African American</c:v>
                </c:pt>
                <c:pt idx="2">
                  <c:v>South American</c:v>
                </c:pt>
                <c:pt idx="3">
                  <c:v>Asian</c:v>
                </c:pt>
                <c:pt idx="4">
                  <c:v>Mexican</c:v>
                </c:pt>
                <c:pt idx="5">
                  <c:v>Hispanic</c:v>
                </c:pt>
                <c:pt idx="6">
                  <c:v>American Indian</c:v>
                </c:pt>
                <c:pt idx="7">
                  <c:v>Taiwanese</c:v>
                </c:pt>
                <c:pt idx="8">
                  <c:v>Thai</c:v>
                </c:pt>
                <c:pt idx="9">
                  <c:v>Argentinian</c:v>
                </c:pt>
                <c:pt idx="10">
                  <c:v>Costa Rican</c:v>
                </c:pt>
                <c:pt idx="11">
                  <c:v>Japanese</c:v>
                </c:pt>
                <c:pt idx="12">
                  <c:v>Eskimo</c:v>
                </c:pt>
              </c:strCache>
            </c:strRef>
          </c:cat>
          <c:val>
            <c:numRef>
              <c:f>'Part B'!$J$2:$J$14</c:f>
              <c:numCache>
                <c:formatCode>"$"#,##0.00</c:formatCode>
                <c:ptCount val="13"/>
                <c:pt idx="0">
                  <c:v>110592</c:v>
                </c:pt>
                <c:pt idx="1">
                  <c:v>97666</c:v>
                </c:pt>
                <c:pt idx="2">
                  <c:v>2544</c:v>
                </c:pt>
                <c:pt idx="3">
                  <c:v>45119</c:v>
                </c:pt>
                <c:pt idx="4">
                  <c:v>34993</c:v>
                </c:pt>
                <c:pt idx="5">
                  <c:v>8503</c:v>
                </c:pt>
                <c:pt idx="6">
                  <c:v>0</c:v>
                </c:pt>
                <c:pt idx="7">
                  <c:v>1503</c:v>
                </c:pt>
                <c:pt idx="8">
                  <c:v>1633</c:v>
                </c:pt>
                <c:pt idx="9">
                  <c:v>1338</c:v>
                </c:pt>
                <c:pt idx="10">
                  <c:v>1407</c:v>
                </c:pt>
                <c:pt idx="11">
                  <c:v>3263</c:v>
                </c:pt>
                <c:pt idx="12">
                  <c:v>5614</c:v>
                </c:pt>
              </c:numCache>
            </c:numRef>
          </c:val>
          <c:extLst>
            <c:ext xmlns:c16="http://schemas.microsoft.com/office/drawing/2014/chart" uri="{C3380CC4-5D6E-409C-BE32-E72D297353CC}">
              <c16:uniqueId val="{00000001-7EF5-4702-9059-A536361AAD3D}"/>
            </c:ext>
          </c:extLst>
        </c:ser>
        <c:dLbls>
          <c:showLegendKey val="0"/>
          <c:showVal val="0"/>
          <c:showCatName val="0"/>
          <c:showSerName val="0"/>
          <c:showPercent val="0"/>
          <c:showBubbleSize val="0"/>
        </c:dLbls>
        <c:gapWidth val="219"/>
        <c:overlap val="-27"/>
        <c:axId val="1490942144"/>
        <c:axId val="1490941184"/>
      </c:barChart>
      <c:catAx>
        <c:axId val="149094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941184"/>
        <c:crosses val="autoZero"/>
        <c:auto val="1"/>
        <c:lblAlgn val="ctr"/>
        <c:lblOffset val="100"/>
        <c:noMultiLvlLbl val="0"/>
      </c:catAx>
      <c:valAx>
        <c:axId val="14909411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942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[Project1_Dotson.xlsx]Part 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'Part E'!$B$2</c:f>
              <c:strCache>
                <c:ptCount val="1"/>
                <c:pt idx="0">
                  <c:v>Total</c:v>
                </c:pt>
              </c:strCache>
            </c:strRef>
          </c:tx>
          <c:spPr>
            <a:solidFill>
              <a:schemeClr val="accent1"/>
            </a:solidFill>
            <a:ln>
              <a:noFill/>
            </a:ln>
            <a:effectLst/>
          </c:spPr>
          <c:invertIfNegative val="0"/>
          <c:cat>
            <c:strRef>
              <c:f>'Part E'!$A$3:$A$8</c:f>
              <c:strCache>
                <c:ptCount val="5"/>
                <c:pt idx="0">
                  <c:v>2018</c:v>
                </c:pt>
                <c:pt idx="1">
                  <c:v>2019</c:v>
                </c:pt>
                <c:pt idx="2">
                  <c:v>2020</c:v>
                </c:pt>
                <c:pt idx="3">
                  <c:v>2021</c:v>
                </c:pt>
                <c:pt idx="4">
                  <c:v>2022</c:v>
                </c:pt>
              </c:strCache>
            </c:strRef>
          </c:cat>
          <c:val>
            <c:numRef>
              <c:f>'Part E'!$B$3:$B$8</c:f>
              <c:numCache>
                <c:formatCode>"$"#,##0.00</c:formatCode>
                <c:ptCount val="5"/>
                <c:pt idx="0">
                  <c:v>130379</c:v>
                </c:pt>
                <c:pt idx="1">
                  <c:v>122950</c:v>
                </c:pt>
                <c:pt idx="2">
                  <c:v>106520</c:v>
                </c:pt>
                <c:pt idx="3">
                  <c:v>141307</c:v>
                </c:pt>
                <c:pt idx="4">
                  <c:v>146698</c:v>
                </c:pt>
              </c:numCache>
            </c:numRef>
          </c:val>
          <c:extLst>
            <c:ext xmlns:c16="http://schemas.microsoft.com/office/drawing/2014/chart" uri="{C3380CC4-5D6E-409C-BE32-E72D297353CC}">
              <c16:uniqueId val="{00000000-6A7F-4877-9768-069B3FD85427}"/>
            </c:ext>
          </c:extLst>
        </c:ser>
        <c:dLbls>
          <c:showLegendKey val="0"/>
          <c:showVal val="0"/>
          <c:showCatName val="0"/>
          <c:showSerName val="0"/>
          <c:showPercent val="0"/>
          <c:showBubbleSize val="0"/>
        </c:dLbls>
        <c:gapWidth val="219"/>
        <c:overlap val="-27"/>
        <c:axId val="2004492256"/>
        <c:axId val="2004492736"/>
      </c:barChart>
      <c:catAx>
        <c:axId val="200449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492736"/>
        <c:crosses val="autoZero"/>
        <c:auto val="1"/>
        <c:lblAlgn val="ctr"/>
        <c:lblOffset val="100"/>
        <c:noMultiLvlLbl val="0"/>
      </c:catAx>
      <c:valAx>
        <c:axId val="2004492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49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[Project1_Dotson.xlsx]Part 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Sales By</a:t>
            </a:r>
            <a:r>
              <a:rPr lang="en-US" baseline="0"/>
              <a:t>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'Part E'!$B$14</c:f>
              <c:strCache>
                <c:ptCount val="1"/>
                <c:pt idx="0">
                  <c:v>Total</c:v>
                </c:pt>
              </c:strCache>
            </c:strRef>
          </c:tx>
          <c:spPr>
            <a:ln w="28575" cap="rnd">
              <a:solidFill>
                <a:schemeClr val="accent1"/>
              </a:solidFill>
              <a:round/>
            </a:ln>
            <a:effectLst/>
          </c:spPr>
          <c:marker>
            <c:symbol val="none"/>
          </c:marker>
          <c:cat>
            <c:strRef>
              <c:f>'Part E'!$A$15:$A$27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'Part E'!$B$15:$B$27</c:f>
              <c:numCache>
                <c:formatCode>"$"#,##0.00</c:formatCode>
                <c:ptCount val="12"/>
                <c:pt idx="0">
                  <c:v>483.11111111111109</c:v>
                </c:pt>
                <c:pt idx="1">
                  <c:v>523.16999999999996</c:v>
                </c:pt>
                <c:pt idx="2">
                  <c:v>464.91509433962267</c:v>
                </c:pt>
                <c:pt idx="3">
                  <c:v>482.94545454545454</c:v>
                </c:pt>
                <c:pt idx="4">
                  <c:v>571.96610169491521</c:v>
                </c:pt>
                <c:pt idx="5">
                  <c:v>497.13592233009706</c:v>
                </c:pt>
                <c:pt idx="6">
                  <c:v>478.47</c:v>
                </c:pt>
                <c:pt idx="7">
                  <c:v>491.62295081967216</c:v>
                </c:pt>
                <c:pt idx="8">
                  <c:v>528.59090909090912</c:v>
                </c:pt>
                <c:pt idx="9">
                  <c:v>510.37755102040819</c:v>
                </c:pt>
                <c:pt idx="10">
                  <c:v>518.67961165048541</c:v>
                </c:pt>
                <c:pt idx="11">
                  <c:v>503.31428571428569</c:v>
                </c:pt>
              </c:numCache>
            </c:numRef>
          </c:val>
          <c:smooth val="0"/>
          <c:extLst>
            <c:ext xmlns:c16="http://schemas.microsoft.com/office/drawing/2014/chart" uri="{C3380CC4-5D6E-409C-BE32-E72D297353CC}">
              <c16:uniqueId val="{00000000-67B2-449A-9446-2C081BBFABDC}"/>
            </c:ext>
          </c:extLst>
        </c:ser>
        <c:dLbls>
          <c:showLegendKey val="0"/>
          <c:showVal val="0"/>
          <c:showCatName val="0"/>
          <c:showSerName val="0"/>
          <c:showPercent val="0"/>
          <c:showBubbleSize val="0"/>
        </c:dLbls>
        <c:smooth val="0"/>
        <c:axId val="2006967376"/>
        <c:axId val="2006968336"/>
      </c:lineChart>
      <c:catAx>
        <c:axId val="200696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968336"/>
        <c:crosses val="autoZero"/>
        <c:auto val="1"/>
        <c:lblAlgn val="ctr"/>
        <c:lblOffset val="100"/>
        <c:noMultiLvlLbl val="0"/>
      </c:catAx>
      <c:valAx>
        <c:axId val="2006968336"/>
        <c:scaling>
          <c:orientation val="minMax"/>
          <c:min val="4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96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190500</xdr:colOff>
      <xdr:row>18</xdr:row>
      <xdr:rowOff>87630</xdr:rowOff>
    </xdr:from>
    <xdr:to>
      <xdr:col>14</xdr:col>
      <xdr:colOff>68580</xdr:colOff>
      <xdr:row>38</xdr:row>
      <xdr:rowOff>129540</xdr:rowOff>
    </xdr:to>
    <xdr:graphicFrame macro="">
      <xdr:nvGraphicFramePr>
        <xdr:cNvPr id="2" name="Chart 1">
          <a:extLst>
            <a:ext uri="{FF2B5EF4-FFF2-40B4-BE49-F238E27FC236}">
              <a16:creationId xmlns:a16="http://schemas.microsoft.com/office/drawing/2014/main" id="{42EF1693-BAE1-150B-638A-742A17433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0</xdr:row>
      <xdr:rowOff>41910</xdr:rowOff>
    </xdr:from>
    <xdr:to>
      <xdr:col>9</xdr:col>
      <xdr:colOff>525780</xdr:colOff>
      <xdr:row>10</xdr:row>
      <xdr:rowOff>167640</xdr:rowOff>
    </xdr:to>
    <xdr:graphicFrame macro="">
      <xdr:nvGraphicFramePr>
        <xdr:cNvPr id="2" name="Chart 1">
          <a:extLst>
            <a:ext uri="{FF2B5EF4-FFF2-40B4-BE49-F238E27FC236}">
              <a16:creationId xmlns:a16="http://schemas.microsoft.com/office/drawing/2014/main" id="{B0BF34E8-749E-F3EC-5E04-62E6105E2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152400</xdr:colOff>
      <xdr:row>13</xdr:row>
      <xdr:rowOff>137160</xdr:rowOff>
    </xdr:from>
    <xdr:to>
      <xdr:col>9</xdr:col>
      <xdr:colOff>533400</xdr:colOff>
      <xdr:row>26</xdr:row>
      <xdr:rowOff>38100</xdr:rowOff>
    </xdr:to>
    <xdr:graphicFrame macro="">
      <xdr:nvGraphicFramePr>
        <xdr:cNvPr id="3" name="Chart 2">
          <a:extLst>
            <a:ext uri="{FF2B5EF4-FFF2-40B4-BE49-F238E27FC236}">
              <a16:creationId xmlns:a16="http://schemas.microsoft.com/office/drawing/2014/main" id="{46805022-492D-2BB0-9A52-B978DF2C8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an Dotson" refreshedDate="45909.84608009259" createdVersion="8" refreshedVersion="8" minRefreshableVersion="3" recordCount="1284" xr:uid="{8EBC40E9-9B12-4581-AA6E-B5A755FFCEE0}">
  <cacheSource type="worksheet">
    <worksheetSource ref="A1:S1048576" sheet="Part D"/>
  </cacheSource>
  <cacheFields count="19">
    <cacheField name="id" numFmtId="0">
      <sharedItems containsString="0" containsBlank="1" containsNumber="1" containsInteger="1" minValue="1001" maxValue="2000"/>
    </cacheField>
    <cacheField name="first_name" numFmtId="0">
      <sharedItems containsBlank="1"/>
    </cacheField>
    <cacheField name="last_name" numFmtId="0">
      <sharedItems containsBlank="1"/>
    </cacheField>
    <cacheField name="email" numFmtId="0">
      <sharedItems containsBlank="1"/>
    </cacheField>
    <cacheField name="UserName" numFmtId="0">
      <sharedItems containsBlank="1"/>
    </cacheField>
    <cacheField name="CompanyName" numFmtId="0">
      <sharedItems containsBlank="1" count="280">
        <s v="Fadeo"/>
        <s v="Thoughtstorm"/>
        <s v="Skiptube"/>
        <s v="Oozz"/>
        <s v="Brightdog"/>
        <s v="Jaxspan"/>
        <s v="Zoomdog"/>
        <s v="Dabshots"/>
        <s v="BlogXS"/>
        <s v="Demivee"/>
        <s v="Meevee"/>
        <s v="Dablist"/>
        <s v="Rhynyx"/>
        <s v="Dynabox"/>
        <s v="Oyoba"/>
        <s v="Zoomlounge"/>
        <s v="Twitterworks"/>
        <s v="Babbleblab"/>
        <s v="Voonix"/>
        <s v="Skivee"/>
        <s v="Camido"/>
        <s v="Meedoo"/>
        <s v="Quamba"/>
        <s v="Pixoboo"/>
        <s v="Shuffledrive"/>
        <s v="Fiveclub"/>
        <s v="Oodoo"/>
        <s v="Trudeo"/>
        <s v="Snaptags"/>
        <s v="Realfire"/>
        <s v="Zoomzone"/>
        <s v="Trilia"/>
        <s v="DabZ"/>
        <s v="Linkbuzz"/>
        <s v="Thoughtmix"/>
        <s v="Mynte"/>
        <s v="Oloo"/>
        <s v="Teklist"/>
        <s v="Talane"/>
        <s v="Innojam"/>
        <s v="Npath"/>
        <s v="Jayo"/>
        <s v="Voomm"/>
        <s v="Wikibox"/>
        <s v="Riffpath"/>
        <s v="Topicware"/>
        <s v="Dazzlesphere"/>
        <s v="Babbleopia"/>
        <s v="Vinder"/>
        <s v="Chatterbridge"/>
        <s v="Skiba"/>
        <s v="Dabjam"/>
        <s v="Realpoint"/>
        <s v="Yamia"/>
        <s v="Realbridge"/>
        <s v="Yadel"/>
        <s v="Buzzshare"/>
        <s v="Oyoloo"/>
        <s v="InnoZ"/>
        <s v="Rhycero"/>
        <s v="Pixonyx"/>
        <s v="Avavee"/>
        <s v="Linklinks"/>
        <s v="Eazzy"/>
        <s v="Dabfeed"/>
        <s v="Trilith"/>
        <s v="Rhyloo"/>
        <s v="Shufflester"/>
        <s v="Livefish"/>
        <s v="Linktype"/>
        <s v="Bubblemix"/>
        <s v="Feednation"/>
        <s v="Mymm"/>
        <s v="Eamia"/>
        <s v="Quatz"/>
        <s v="Brightbean"/>
        <s v="Tazzy"/>
        <s v="Mycat"/>
        <s v="Twitterbridge"/>
        <s v="Quimm"/>
        <s v="Kare"/>
        <s v="Fliptune"/>
        <s v="Centidel"/>
        <s v="Lajo"/>
        <s v="Skyble"/>
        <s v="Ntag"/>
        <s v="Skinte"/>
        <s v="Tambee"/>
        <s v="Eayo"/>
        <s v="Twitterbeat"/>
        <s v="Voolia"/>
        <s v="Ainyx"/>
        <s v="Youspan"/>
        <s v="Avaveo"/>
        <s v="Flashspan"/>
        <s v="Agivu"/>
        <s v="Skyndu"/>
        <s v="Tekfly"/>
        <s v="Skidoo"/>
        <s v="Skyba"/>
        <s v="Oyondu"/>
        <s v="Zoombox"/>
        <s v="Skilith"/>
        <s v="Meembee"/>
        <s v="Blogtags"/>
        <s v="Riffpedia"/>
        <s v="Yodoo"/>
        <s v="Twiyo"/>
        <s v="Blognation"/>
        <s v="Plambee"/>
        <s v="Trunyx"/>
        <s v="Tagopia"/>
        <s v="Jaloo"/>
        <s v="Photobean"/>
        <s v="Kwilith"/>
        <s v="Topicstorm"/>
        <s v="Photolist"/>
        <s v="Topiczoom"/>
        <s v="Tagfeed"/>
        <s v="Abata"/>
        <s v="Voolith"/>
        <s v="Edgepulse"/>
        <s v="Mybuzz"/>
        <s v="Browsetype"/>
        <s v="Bluezoom"/>
        <s v="Topdrive"/>
        <s v="Linkbridge"/>
        <s v="Vitz"/>
        <s v="Jabbercube"/>
        <s v="Browseblab"/>
        <s v="Youtags"/>
        <s v="Chatterpoint"/>
        <s v="Youbridge"/>
        <s v="Demimbu"/>
        <s v="Nlounge"/>
        <s v="Gabcube"/>
        <s v="Gigaclub"/>
        <s v="Twitternation"/>
        <s v="Devbug"/>
        <s v="Plajo"/>
        <s v="Photobug"/>
        <s v="Brainbox"/>
        <s v="Shufflebeat"/>
        <s v="Oba"/>
        <s v="Oyoyo"/>
        <s v="Browsezoom"/>
        <s v="Yotz"/>
        <s v="Yodo"/>
        <s v="Kanoodle"/>
        <s v="Wikizz"/>
        <s v="Rooxo"/>
        <s v="Skipfire"/>
        <s v="Layo"/>
        <s v="Demizz"/>
        <s v="Wikido"/>
        <s v="Janyx"/>
        <s v="Feedfire"/>
        <s v="Wordtune"/>
        <s v="Devcast"/>
        <s v="Digitube"/>
        <s v="Voonte"/>
        <s v="Voonder"/>
        <s v="Yata"/>
        <s v="Browsedrive"/>
        <s v="Katz"/>
        <s v="Realcube"/>
        <s v="Skajo"/>
        <s v="Wikivu"/>
        <s v="Jabberbean"/>
        <s v="Zoonoodle"/>
        <s v="Riffwire"/>
        <s v="Meezzy"/>
        <s v="Divavu"/>
        <s v="Fivespan"/>
        <s v="Youopia"/>
        <s v="Myworks"/>
        <s v="Meeveo"/>
        <s v="Aivee"/>
        <s v="Thoughtbridge"/>
        <s v="Rhybox"/>
        <s v="Minyx"/>
        <s v="Edgeblab"/>
        <s v="Yakitri"/>
        <s v="Ozu"/>
        <s v="Skinix"/>
        <s v="Eadel"/>
        <s v="Buzzdog"/>
        <s v="Yabox"/>
        <s v="Gabvine"/>
        <s v="Flashpoint"/>
        <s v="Skipstorm"/>
        <s v="Feedspan"/>
        <s v="Avamba"/>
        <s v="Brainlounge"/>
        <s v="Jamia"/>
        <s v="Yodel"/>
        <s v="Topicblab"/>
        <s v="Yakidoo"/>
        <s v="Brainverse"/>
        <s v="Youfeed"/>
        <s v="Browsecat"/>
        <s v="Mydo"/>
        <s v="Lazz"/>
        <s v="Vimbo"/>
        <s v="Twimm"/>
        <s v="Trudoo"/>
        <s v="Livetube"/>
        <s v="Skynoodle"/>
        <s v="Blogpad"/>
        <s v="Blogspan"/>
        <s v="Kwinu"/>
        <s v="Yacero"/>
        <s v="Vinte"/>
        <s v="Brainsphere"/>
        <s v="Yambee"/>
        <s v="Cogibox"/>
        <s v="Devpulse"/>
        <s v="Edgeify"/>
        <s v="Yakijo"/>
        <s v="Twinte"/>
        <s v="Tagchat"/>
        <s v="Latz"/>
        <s v="Wordware"/>
        <s v="Realbuzz"/>
        <s v="Divanoodle"/>
        <s v="Buzzbean"/>
        <s v="Edgeclub"/>
        <s v="Trupe"/>
        <s v="Vipe"/>
        <s v="Zooveo"/>
        <s v="Reallinks"/>
        <s v="Browsebug"/>
        <s v="Skyvu"/>
        <s v="Topicshots"/>
        <s v="Thoughtworks"/>
        <s v="Pixope"/>
        <s v="Meetz"/>
        <s v="Avamm"/>
        <s v="Flipbug"/>
        <s v="Centizu"/>
        <s v="Roomm"/>
        <s v="Skinder"/>
        <s v="Vidoo"/>
        <s v="Zooxo"/>
        <s v="Roombo"/>
        <s v="Dabtype"/>
        <s v="Blogtag"/>
        <s v="Tagcat"/>
        <s v="Midel"/>
        <s v="Cogidoo"/>
        <s v="Jaxnation"/>
        <s v="Aibox"/>
        <s v="Oyonder"/>
        <s v="Gigazoom"/>
        <s v="Izio"/>
        <s v="Leexo"/>
        <s v="Jazzy"/>
        <s v="Shuffletag"/>
        <s v="Voonyx"/>
        <s v="Tavu"/>
        <s v="Zava"/>
        <s v="Twitterwire"/>
        <s v="Jabbersphere"/>
        <s v="Oyope"/>
        <s v="LiveZ"/>
        <s v="Rhynoodle"/>
        <s v="Zoozzy"/>
        <s v="Zoombeat"/>
        <s v="Twinder"/>
        <s v="Kwimbee"/>
        <s v="Dabvine"/>
        <s v="Gabspot"/>
        <s v="Livepath"/>
        <s v="Jetpulse"/>
        <s v="Tanoodle"/>
        <s v="Roodel"/>
        <s v="Skippad"/>
        <s v="Mydeo"/>
        <s v="Feedmix"/>
        <m/>
      </sharedItems>
    </cacheField>
    <cacheField name="JobTitle" numFmtId="0">
      <sharedItems containsBlank="1"/>
    </cacheField>
    <cacheField name="gender" numFmtId="0">
      <sharedItems containsBlank="1"/>
    </cacheField>
    <cacheField name="Race" numFmtId="0">
      <sharedItems containsBlank="1"/>
    </cacheField>
    <cacheField name="purchase" numFmtId="0">
      <sharedItems containsString="0" containsBlank="1" containsNumber="1" containsInteger="1" minValue="11" maxValue="1000"/>
    </cacheField>
    <cacheField name="credit_card_type" numFmtId="0">
      <sharedItems containsBlank="1" count="17">
        <s v="china-unionpay"/>
        <s v="jcb"/>
        <s v="diners-club-international"/>
        <s v="americanexpress"/>
        <s v="maestro"/>
        <s v="visa"/>
        <s v="mastercard"/>
        <s v="visa-electron"/>
        <s v="instapayment"/>
        <s v="laser"/>
        <s v="solo"/>
        <s v="diners-club-carte-blanche"/>
        <s v="bankcard"/>
        <s v="diners-club-enroute"/>
        <s v="switch"/>
        <s v="diners-club-us-ca"/>
        <m/>
      </sharedItems>
    </cacheField>
    <cacheField name="date" numFmtId="0">
      <sharedItems containsNonDate="0" containsDate="1" containsString="0" containsBlank="1" minDate="2018-01-01T00:00:00" maxDate="2022-12-29T00:00:00"/>
    </cacheField>
    <cacheField name="State/Province" numFmtId="0">
      <sharedItems containsBlank="1" count="49">
        <s v="Michigan"/>
        <s v="California"/>
        <s v="Virginia"/>
        <s v="Georgia"/>
        <s v="Texas"/>
        <s v="New York"/>
        <s v="Iowa"/>
        <s v="Louisiana"/>
        <s v="Minnesota"/>
        <s v="Connecticut"/>
        <s v="Illinois"/>
        <s v="Colorado"/>
        <s v="New Mexico"/>
        <s v="Missouri"/>
        <s v="Massachusetts"/>
        <s v="North Carolina"/>
        <s v="Pennsylvania"/>
        <s v="Nebraska"/>
        <s v="Indiana"/>
        <s v="Ohio"/>
        <s v="Alabama"/>
        <s v="Oklahoma"/>
        <s v="Florida"/>
        <s v="Wisconsin"/>
        <s v="Nevada"/>
        <s v="Arizona"/>
        <s v="Washington"/>
        <s v="Oregon"/>
        <s v="District of Columbia"/>
        <s v="Kentucky"/>
        <s v="Tennessee"/>
        <s v="Kansas"/>
        <s v="Alaska"/>
        <s v="Idaho"/>
        <s v="Arkansas"/>
        <s v="Maryland"/>
        <s v="South Dakota"/>
        <s v="New Jersey"/>
        <s v="South Carolina"/>
        <s v="Hawaii"/>
        <s v="West Virginia"/>
        <s v="Delaware"/>
        <s v="North Dakota"/>
        <s v="Wyoming"/>
        <s v="Mississippi"/>
        <s v="New Hampshire"/>
        <s v="Montana"/>
        <s v="Utah"/>
        <m/>
      </sharedItems>
    </cacheField>
    <cacheField name="City" numFmtId="0">
      <sharedItems containsBlank="1"/>
    </cacheField>
    <cacheField name="PostalCode" numFmtId="0">
      <sharedItems containsString="0" containsBlank="1" containsNumber="1" containsInteger="1" minValue="1152" maxValue="99812"/>
    </cacheField>
    <cacheField name="Country" numFmtId="0">
      <sharedItems containsBlank="1"/>
    </cacheField>
    <cacheField name="Month" numFmtId="0">
      <sharedItems containsBlank="1" count="13">
        <s v="January"/>
        <s v="February"/>
        <s v="March"/>
        <s v="April"/>
        <s v="May"/>
        <s v="June"/>
        <s v="July"/>
        <s v="August"/>
        <s v="September"/>
        <s v="October"/>
        <s v="November"/>
        <s v="December"/>
        <m/>
      </sharedItems>
    </cacheField>
    <cacheField name="Month #" numFmtId="0">
      <sharedItems containsString="0" containsBlank="1" containsNumber="1" containsInteger="1" minValue="1" maxValue="12"/>
    </cacheField>
    <cacheField name="Year" numFmtId="0">
      <sharedItems containsString="0" containsBlank="1" containsNumber="1" containsInteger="1" minValue="2018" maxValue="2022" count="6">
        <n v="2018"/>
        <n v="2019"/>
        <n v="2020"/>
        <n v="2021"/>
        <n v="2022"/>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4">
  <r>
    <n v="1021"/>
    <s v="Amy"/>
    <s v="Jordan"/>
    <s v="ajordank@ed.gov"/>
    <s v="ajordank"/>
    <x v="0"/>
    <s v="Electrical Engineer"/>
    <s v="Female"/>
    <s v="Black or African American"/>
    <n v="755"/>
    <x v="0"/>
    <d v="2018-01-01T00:00:00"/>
    <x v="0"/>
    <s v="Flint"/>
    <n v="48555"/>
    <s v="United States"/>
    <x v="0"/>
    <n v="1"/>
    <x v="0"/>
  </r>
  <r>
    <n v="1772"/>
    <s v="Harold"/>
    <s v="Morris"/>
    <s v="hmorrislf@is.gd"/>
    <s v="hmorrislf"/>
    <x v="1"/>
    <s v="Human Resources Assistant I"/>
    <s v="Male"/>
    <s v="Asian"/>
    <n v="390"/>
    <x v="1"/>
    <d v="2018-01-01T00:00:00"/>
    <x v="1"/>
    <s v="San Luis Obispo"/>
    <n v="93407"/>
    <s v="United States"/>
    <x v="0"/>
    <n v="1"/>
    <x v="0"/>
  </r>
  <r>
    <n v="1524"/>
    <s v="Paul"/>
    <s v="Rodriguez"/>
    <s v="prodriguezej@businessweek.com"/>
    <s v="prodriguezej"/>
    <x v="2"/>
    <s v="Librarian"/>
    <s v="Male"/>
    <s v="Thai"/>
    <n v="323"/>
    <x v="2"/>
    <d v="2018-01-02T00:00:00"/>
    <x v="2"/>
    <s v="Richmond"/>
    <n v="23293"/>
    <s v="United States"/>
    <x v="0"/>
    <n v="1"/>
    <x v="0"/>
  </r>
  <r>
    <n v="1116"/>
    <s v="Christina"/>
    <s v="Wheeler"/>
    <s v="cwheeler37@ovh.net"/>
    <s v="cwheeler37"/>
    <x v="3"/>
    <s v="Information Systems Manager"/>
    <s v="Female"/>
    <s v="Mexican"/>
    <n v="347"/>
    <x v="3"/>
    <d v="2018-01-06T00:00:00"/>
    <x v="3"/>
    <s v="Duluth"/>
    <n v="30096"/>
    <s v="United States"/>
    <x v="0"/>
    <n v="1"/>
    <x v="0"/>
  </r>
  <r>
    <n v="1234"/>
    <s v="Adam"/>
    <s v="Jenkins"/>
    <s v="ajenkins6h@comcast.net"/>
    <s v="ajenkins6h"/>
    <x v="4"/>
    <s v="Internal Auditor"/>
    <s v="Male"/>
    <s v="White"/>
    <n v="917"/>
    <x v="4"/>
    <d v="2018-01-06T00:00:00"/>
    <x v="4"/>
    <s v="Austin"/>
    <n v="78710"/>
    <s v="United States"/>
    <x v="0"/>
    <n v="1"/>
    <x v="0"/>
  </r>
  <r>
    <n v="1528"/>
    <s v="Bonnie"/>
    <s v="Reyes"/>
    <s v="breyesen@merriam-webster.com"/>
    <s v="breyesen"/>
    <x v="5"/>
    <s v="Clinical Specialist"/>
    <s v="Female"/>
    <s v="Korean"/>
    <n v="824"/>
    <x v="3"/>
    <d v="2018-01-08T00:00:00"/>
    <x v="1"/>
    <s v="Van Nuys"/>
    <n v="91406"/>
    <s v="United States"/>
    <x v="0"/>
    <n v="1"/>
    <x v="0"/>
  </r>
  <r>
    <n v="1026"/>
    <s v="Jacqueline"/>
    <s v="Ellis"/>
    <s v="jellisp@imageshack.us"/>
    <s v="jellisp"/>
    <x v="6"/>
    <s v="Senior Sales Associate"/>
    <s v="Female"/>
    <s v="Black or African American"/>
    <n v="98"/>
    <x v="1"/>
    <d v="2018-01-10T00:00:00"/>
    <x v="5"/>
    <s v="Bronx"/>
    <n v="10469"/>
    <s v="United States"/>
    <x v="0"/>
    <n v="1"/>
    <x v="0"/>
  </r>
  <r>
    <n v="1489"/>
    <s v="Roger"/>
    <s v="Matthews"/>
    <s v="rmatthewsdk@nature.com"/>
    <s v="rmatthewsdk"/>
    <x v="7"/>
    <s v="Environmental Tech"/>
    <s v="Male"/>
    <s v="Black or African American"/>
    <n v="224"/>
    <x v="4"/>
    <d v="2018-01-10T00:00:00"/>
    <x v="2"/>
    <s v="Hampton"/>
    <n v="23668"/>
    <s v="United States"/>
    <x v="0"/>
    <n v="1"/>
    <x v="0"/>
  </r>
  <r>
    <n v="1397"/>
    <s v="Evelyn"/>
    <s v="Brooks"/>
    <s v="ebrooksb0@tuttocitta.it"/>
    <s v="ebrooksb0"/>
    <x v="8"/>
    <s v="Web Designer IV"/>
    <s v="Female"/>
    <s v="Alaska Native"/>
    <n v="229"/>
    <x v="5"/>
    <d v="2018-01-11T00:00:00"/>
    <x v="6"/>
    <s v="Cedar Rapids"/>
    <n v="52410"/>
    <s v="United States"/>
    <x v="0"/>
    <n v="1"/>
    <x v="0"/>
  </r>
  <r>
    <n v="1929"/>
    <s v="Walter"/>
    <s v="Johnson"/>
    <s v="wjohnsonps@columbia.edu"/>
    <s v="wjohnsonps"/>
    <x v="9"/>
    <s v="Payment Adjustment Coordinator"/>
    <s v="Male"/>
    <s v="American Indian"/>
    <n v="619"/>
    <x v="3"/>
    <d v="2018-01-11T00:00:00"/>
    <x v="7"/>
    <s v="Lake Charles"/>
    <n v="70607"/>
    <s v="United States"/>
    <x v="0"/>
    <n v="1"/>
    <x v="0"/>
  </r>
  <r>
    <n v="1998"/>
    <s v="Christopher"/>
    <s v="Stephens"/>
    <s v="cstephensrp@myspace.com"/>
    <s v="cstephensrp"/>
    <x v="10"/>
    <s v="Marketing Assistant"/>
    <s v="Male"/>
    <s v="Hispanic"/>
    <n v="271"/>
    <x v="1"/>
    <d v="2018-01-13T00:00:00"/>
    <x v="8"/>
    <s v="Saint Paul"/>
    <n v="55146"/>
    <s v="United States"/>
    <x v="0"/>
    <n v="1"/>
    <x v="0"/>
  </r>
  <r>
    <n v="1212"/>
    <s v="Patricia"/>
    <s v="Weaver"/>
    <s v="pweaver5v@merriam-webster.com"/>
    <s v="pweaver5v"/>
    <x v="11"/>
    <s v="Staff Accountant I"/>
    <s v="Female"/>
    <s v="White"/>
    <n v="208"/>
    <x v="6"/>
    <d v="2018-01-16T00:00:00"/>
    <x v="9"/>
    <s v="Hartford"/>
    <n v="6183"/>
    <s v="United States"/>
    <x v="0"/>
    <n v="1"/>
    <x v="0"/>
  </r>
  <r>
    <n v="1489"/>
    <s v="Roger"/>
    <s v="Matthews"/>
    <s v="rmatthewsdk@nature.com"/>
    <s v="rmatthewsdk"/>
    <x v="7"/>
    <s v="Environmental Tech"/>
    <s v="Male"/>
    <s v="Black or African American"/>
    <n v="326"/>
    <x v="4"/>
    <d v="2018-01-19T00:00:00"/>
    <x v="2"/>
    <s v="Hampton"/>
    <n v="23668"/>
    <s v="United States"/>
    <x v="0"/>
    <n v="1"/>
    <x v="0"/>
  </r>
  <r>
    <n v="1880"/>
    <s v="Rebecca"/>
    <s v="Lawson"/>
    <s v="rlawsonof@nsw.gov.au"/>
    <s v="rlawsonof"/>
    <x v="12"/>
    <s v="Software Engineer I"/>
    <s v="Female"/>
    <s v="Taiwanese"/>
    <n v="699"/>
    <x v="1"/>
    <d v="2018-01-19T00:00:00"/>
    <x v="10"/>
    <s v="Chicago"/>
    <n v="60614"/>
    <s v="United States"/>
    <x v="0"/>
    <n v="1"/>
    <x v="0"/>
  </r>
  <r>
    <n v="1954"/>
    <s v="Stephen"/>
    <s v="Carr"/>
    <s v="scarrqh@fema.gov"/>
    <s v="scarrqh"/>
    <x v="9"/>
    <s v="VP Marketing"/>
    <s v="Male"/>
    <s v="Thai"/>
    <n v="143"/>
    <x v="7"/>
    <d v="2018-01-22T00:00:00"/>
    <x v="11"/>
    <s v="Denver"/>
    <n v="80255"/>
    <s v="United States"/>
    <x v="0"/>
    <n v="1"/>
    <x v="0"/>
  </r>
  <r>
    <n v="1014"/>
    <s v="Samuel"/>
    <s v="Griffin"/>
    <s v="sgriffind@stanford.edu"/>
    <s v="sgriffind"/>
    <x v="13"/>
    <s v="Occupational Therapist"/>
    <s v="Male"/>
    <s v="Black or African American"/>
    <n v="724"/>
    <x v="1"/>
    <d v="2018-01-27T00:00:00"/>
    <x v="5"/>
    <s v="Buffalo"/>
    <n v="14276"/>
    <s v="United States"/>
    <x v="0"/>
    <n v="1"/>
    <x v="0"/>
  </r>
  <r>
    <n v="1170"/>
    <s v="Albert"/>
    <s v="Roberts"/>
    <s v="aroberts4p@ezinearticles.com"/>
    <s v="aroberts4p"/>
    <x v="14"/>
    <s v="Accountant I"/>
    <s v="Male"/>
    <s v="White"/>
    <n v="425"/>
    <x v="0"/>
    <d v="2018-01-27T00:00:00"/>
    <x v="4"/>
    <s v="El Paso"/>
    <n v="88574"/>
    <s v="United States"/>
    <x v="0"/>
    <n v="1"/>
    <x v="0"/>
  </r>
  <r>
    <n v="1880"/>
    <s v="Rebecca"/>
    <s v="Lawson"/>
    <s v="rlawsonof@nsw.gov.au"/>
    <s v="rlawsonof"/>
    <x v="12"/>
    <s v="Software Engineer I"/>
    <s v="Female"/>
    <s v="Taiwanese"/>
    <n v="292"/>
    <x v="1"/>
    <d v="2018-01-28T00:00:00"/>
    <x v="10"/>
    <s v="Chicago"/>
    <n v="60614"/>
    <s v="United States"/>
    <x v="0"/>
    <n v="1"/>
    <x v="0"/>
  </r>
  <r>
    <n v="1991"/>
    <s v="Diane"/>
    <s v="Scott"/>
    <s v="dscottri@ask.com"/>
    <s v="dscottri"/>
    <x v="15"/>
    <s v="Librarian"/>
    <s v="Female"/>
    <s v="White"/>
    <n v="794"/>
    <x v="1"/>
    <d v="2018-01-31T00:00:00"/>
    <x v="12"/>
    <s v="Albuquerque"/>
    <n v="87180"/>
    <s v="United States"/>
    <x v="0"/>
    <n v="1"/>
    <x v="0"/>
  </r>
  <r>
    <n v="1996"/>
    <s v="Deborah"/>
    <s v="Garrett"/>
    <s v="dgarrettrn@soup.io"/>
    <s v="dgarrettrn"/>
    <x v="16"/>
    <s v="Speech Pathologist"/>
    <s v="Female"/>
    <s v="White"/>
    <n v="100"/>
    <x v="0"/>
    <d v="2018-02-01T00:00:00"/>
    <x v="13"/>
    <s v="Kansas City"/>
    <n v="64160"/>
    <s v="United States"/>
    <x v="1"/>
    <n v="2"/>
    <x v="0"/>
  </r>
  <r>
    <n v="1084"/>
    <s v="Larry"/>
    <s v="Ferguson"/>
    <s v="lferguson2b@theguardian.com"/>
    <s v="lferguson2b"/>
    <x v="17"/>
    <s v="Food Chemist"/>
    <s v="Male"/>
    <s v="Mexican"/>
    <n v="256"/>
    <x v="1"/>
    <d v="2018-02-03T00:00:00"/>
    <x v="14"/>
    <s v="Waltham"/>
    <n v="2453"/>
    <s v="United States"/>
    <x v="1"/>
    <n v="2"/>
    <x v="0"/>
  </r>
  <r>
    <n v="1526"/>
    <s v="Paul"/>
    <s v="Ellis"/>
    <s v="pellisel@yelp.com"/>
    <s v="pellisel"/>
    <x v="18"/>
    <s v="Biostatistician IV"/>
    <s v="Male"/>
    <s v="Taiwanese"/>
    <n v="760"/>
    <x v="4"/>
    <d v="2018-02-06T00:00:00"/>
    <x v="15"/>
    <s v="Charlotte"/>
    <n v="28230"/>
    <s v="United States"/>
    <x v="1"/>
    <n v="2"/>
    <x v="0"/>
  </r>
  <r>
    <n v="1435"/>
    <s v="Jesse"/>
    <s v="Brown"/>
    <s v="jbrownc2@who.int"/>
    <s v="jbrownc2"/>
    <x v="19"/>
    <s v="Teacher"/>
    <s v="Male"/>
    <s v="Asian"/>
    <n v="846"/>
    <x v="8"/>
    <d v="2018-02-12T00:00:00"/>
    <x v="16"/>
    <s v="Reading"/>
    <n v="19605"/>
    <s v="United States"/>
    <x v="1"/>
    <n v="2"/>
    <x v="0"/>
  </r>
  <r>
    <n v="1030"/>
    <s v="Rose"/>
    <s v="Johnston"/>
    <s v="rjohnstont@domainmarket.com"/>
    <s v="rjohnstont"/>
    <x v="17"/>
    <s v="Structural Analysis Engineer"/>
    <s v="Female"/>
    <s v="Black or African American"/>
    <n v="359"/>
    <x v="9"/>
    <d v="2018-02-13T00:00:00"/>
    <x v="2"/>
    <s v="Fairfax"/>
    <n v="22036"/>
    <s v="United States"/>
    <x v="1"/>
    <n v="2"/>
    <x v="0"/>
  </r>
  <r>
    <n v="1767"/>
    <s v="Kevin"/>
    <s v="Freeman"/>
    <s v="kfreemanla@rambler.ru"/>
    <s v="kfreemanla"/>
    <x v="20"/>
    <s v="Health Coach IV"/>
    <s v="Male"/>
    <s v="Asian"/>
    <n v="708"/>
    <x v="4"/>
    <d v="2018-02-14T00:00:00"/>
    <x v="17"/>
    <s v="Lincoln"/>
    <n v="68505"/>
    <s v="United States"/>
    <x v="1"/>
    <n v="2"/>
    <x v="0"/>
  </r>
  <r>
    <n v="1079"/>
    <s v="Judith"/>
    <s v="Martinez"/>
    <s v="jmartinez26@samsung.com"/>
    <s v="jmartinez26"/>
    <x v="21"/>
    <s v="Social Worker"/>
    <s v="Female"/>
    <s v="Mexican"/>
    <n v="473"/>
    <x v="10"/>
    <d v="2018-02-15T00:00:00"/>
    <x v="18"/>
    <s v="Gary"/>
    <n v="46406"/>
    <s v="United States"/>
    <x v="1"/>
    <n v="2"/>
    <x v="0"/>
  </r>
  <r>
    <n v="1277"/>
    <s v="Brandon"/>
    <s v="Spencer"/>
    <s v="bspencer7o@si.edu"/>
    <s v="bspencer7o"/>
    <x v="22"/>
    <s v="Nuclear Power Engineer"/>
    <s v="Male"/>
    <s v="South American"/>
    <n v="29"/>
    <x v="9"/>
    <d v="2018-02-15T00:00:00"/>
    <x v="19"/>
    <s v="Akron"/>
    <n v="44310"/>
    <s v="United States"/>
    <x v="1"/>
    <n v="2"/>
    <x v="0"/>
  </r>
  <r>
    <n v="1812"/>
    <s v="Randy"/>
    <s v="Harris"/>
    <s v="rharrismj@omniture.com"/>
    <s v="rharrismj"/>
    <x v="23"/>
    <s v="Clinical Specialist"/>
    <s v="Male"/>
    <s v="Japanese"/>
    <n v="510"/>
    <x v="6"/>
    <d v="2018-02-15T00:00:00"/>
    <x v="20"/>
    <s v="Birmingham"/>
    <n v="35220"/>
    <s v="United States"/>
    <x v="1"/>
    <n v="2"/>
    <x v="0"/>
  </r>
  <r>
    <n v="1080"/>
    <s v="Joan"/>
    <s v="Porter"/>
    <s v="jporter27@opensource.org"/>
    <s v="jporter27"/>
    <x v="24"/>
    <s v="Information Systems Manager"/>
    <s v="Female"/>
    <s v="Mexican"/>
    <n v="54"/>
    <x v="11"/>
    <d v="2018-02-18T00:00:00"/>
    <x v="21"/>
    <s v="Oklahoma City"/>
    <n v="73114"/>
    <s v="United States"/>
    <x v="1"/>
    <n v="2"/>
    <x v="0"/>
  </r>
  <r>
    <n v="1534"/>
    <s v="Maria"/>
    <s v="Wood"/>
    <s v="mwoodet@soup.io"/>
    <s v="mwoodet"/>
    <x v="25"/>
    <s v="Social Worker"/>
    <s v="Female"/>
    <s v="Black or African American"/>
    <n v="994"/>
    <x v="7"/>
    <d v="2018-02-18T00:00:00"/>
    <x v="1"/>
    <s v="Anaheim"/>
    <n v="92812"/>
    <s v="United States"/>
    <x v="1"/>
    <n v="2"/>
    <x v="0"/>
  </r>
  <r>
    <n v="1812"/>
    <s v="Randy"/>
    <s v="Harris"/>
    <s v="rharrismj@omniture.com"/>
    <s v="rharrismj"/>
    <x v="23"/>
    <s v="Clinical Specialist"/>
    <s v="Male"/>
    <s v="Japanese"/>
    <n v="553"/>
    <x v="6"/>
    <d v="2018-02-19T00:00:00"/>
    <x v="20"/>
    <s v="Birmingham"/>
    <n v="35220"/>
    <s v="United States"/>
    <x v="1"/>
    <n v="2"/>
    <x v="0"/>
  </r>
  <r>
    <n v="1085"/>
    <s v="Dennis"/>
    <s v="Dean"/>
    <s v="ddean2c@tripod.com"/>
    <s v="ddean2c"/>
    <x v="26"/>
    <s v="Cost Accountant"/>
    <s v="Male"/>
    <s v="Mexican"/>
    <n v="751"/>
    <x v="1"/>
    <d v="2018-02-20T00:00:00"/>
    <x v="3"/>
    <s v="Athens"/>
    <n v="30605"/>
    <s v="United States"/>
    <x v="1"/>
    <n v="2"/>
    <x v="0"/>
  </r>
  <r>
    <n v="1756"/>
    <s v="Pamela"/>
    <s v="Miller"/>
    <s v="pmillerkz@flickr.com"/>
    <s v="pmillerkz"/>
    <x v="27"/>
    <s v="Project Manager"/>
    <s v="Female"/>
    <s v="Costa Rican"/>
    <n v="766"/>
    <x v="0"/>
    <d v="2018-02-20T00:00:00"/>
    <x v="22"/>
    <s v="Boca Raton"/>
    <n v="33499"/>
    <s v="United States"/>
    <x v="1"/>
    <n v="2"/>
    <x v="0"/>
  </r>
  <r>
    <n v="1001"/>
    <s v="George"/>
    <s v="Dunn"/>
    <s v="gdunn0@yellowpages.com"/>
    <s v="gdunn0"/>
    <x v="28"/>
    <s v="Database Administrator II"/>
    <s v="Male"/>
    <s v="Black or African American"/>
    <n v="669"/>
    <x v="6"/>
    <d v="2018-02-21T00:00:00"/>
    <x v="4"/>
    <s v="El Paso"/>
    <n v="88563"/>
    <s v="United States"/>
    <x v="1"/>
    <n v="2"/>
    <x v="0"/>
  </r>
  <r>
    <n v="1649"/>
    <s v="Anna"/>
    <s v="Roberts"/>
    <s v="arobertsi0@blogger.com"/>
    <s v="arobertsi0"/>
    <x v="29"/>
    <s v="Design Engineer"/>
    <s v="Female"/>
    <s v="Black or African American"/>
    <n v="706"/>
    <x v="6"/>
    <d v="2018-02-21T00:00:00"/>
    <x v="4"/>
    <s v="San Antonio"/>
    <n v="78260"/>
    <s v="United States"/>
    <x v="1"/>
    <n v="2"/>
    <x v="0"/>
  </r>
  <r>
    <n v="1971"/>
    <s v="Stephen"/>
    <s v="Long"/>
    <s v="slongqy@forbes.com"/>
    <s v="slongqy"/>
    <x v="30"/>
    <s v="Registered Nurse"/>
    <s v="Male"/>
    <s v="Costa Rican"/>
    <n v="224"/>
    <x v="0"/>
    <d v="2018-02-24T00:00:00"/>
    <x v="22"/>
    <s v="Pompano Beach"/>
    <n v="33075"/>
    <s v="United States"/>
    <x v="1"/>
    <n v="2"/>
    <x v="0"/>
  </r>
  <r>
    <n v="1567"/>
    <s v="George"/>
    <s v="Ryan"/>
    <s v="gryanfq@japanpost.jp"/>
    <s v="gryanfq"/>
    <x v="31"/>
    <s v="Senior Developer"/>
    <s v="Male"/>
    <s v="Taiwanese"/>
    <n v="896"/>
    <x v="1"/>
    <d v="2018-02-26T00:00:00"/>
    <x v="23"/>
    <s v="Milwaukee"/>
    <n v="53205"/>
    <s v="United States"/>
    <x v="1"/>
    <n v="2"/>
    <x v="0"/>
  </r>
  <r>
    <n v="1170"/>
    <s v="Albert"/>
    <s v="Roberts"/>
    <s v="aroberts4p@ezinearticles.com"/>
    <s v="aroberts4p"/>
    <x v="14"/>
    <s v="Accountant I"/>
    <s v="Male"/>
    <s v="White"/>
    <n v="79"/>
    <x v="0"/>
    <d v="2018-02-27T00:00:00"/>
    <x v="4"/>
    <s v="El Paso"/>
    <n v="88574"/>
    <s v="United States"/>
    <x v="1"/>
    <n v="2"/>
    <x v="0"/>
  </r>
  <r>
    <n v="1436"/>
    <s v="Ashley"/>
    <s v="Wood"/>
    <s v="awoodc3@nytimes.com"/>
    <s v="awoodc3"/>
    <x v="32"/>
    <s v="Sales Associate"/>
    <s v="Female"/>
    <s v="Argentinian"/>
    <n v="91"/>
    <x v="1"/>
    <d v="2018-02-28T00:00:00"/>
    <x v="24"/>
    <s v="Las Vegas"/>
    <n v="89145"/>
    <s v="United States"/>
    <x v="1"/>
    <n v="2"/>
    <x v="0"/>
  </r>
  <r>
    <n v="1783"/>
    <s v="Juan"/>
    <s v="Jones"/>
    <s v="jjoneslq@vistaprint.com"/>
    <s v="jjoneslq"/>
    <x v="33"/>
    <s v="Programmer III"/>
    <s v="Male"/>
    <s v="Asian"/>
    <n v="621"/>
    <x v="11"/>
    <d v="2018-03-02T00:00:00"/>
    <x v="25"/>
    <s v="Tucson"/>
    <n v="85715"/>
    <s v="United States"/>
    <x v="2"/>
    <n v="3"/>
    <x v="0"/>
  </r>
  <r>
    <n v="1001"/>
    <s v="George"/>
    <s v="Dunn"/>
    <s v="gdunn0@yellowpages.com"/>
    <s v="gdunn0"/>
    <x v="28"/>
    <s v="Database Administrator II"/>
    <s v="Male"/>
    <s v="Black or African American"/>
    <n v="266"/>
    <x v="6"/>
    <d v="2018-03-03T00:00:00"/>
    <x v="4"/>
    <s v="El Paso"/>
    <n v="88563"/>
    <s v="United States"/>
    <x v="2"/>
    <n v="3"/>
    <x v="0"/>
  </r>
  <r>
    <n v="1020"/>
    <s v="Andrea"/>
    <s v="Mason"/>
    <s v="amasonj@yelp.com"/>
    <s v="amasonj"/>
    <x v="34"/>
    <s v="Financial Advisor"/>
    <s v="Female"/>
    <s v="Black or African American"/>
    <n v="783"/>
    <x v="1"/>
    <d v="2018-03-03T00:00:00"/>
    <x v="1"/>
    <s v="San Francisco"/>
    <n v="94105"/>
    <s v="United States"/>
    <x v="2"/>
    <n v="3"/>
    <x v="0"/>
  </r>
  <r>
    <n v="1235"/>
    <s v="Anna"/>
    <s v="Cox"/>
    <s v="acox6i@tripod.com"/>
    <s v="acox6i"/>
    <x v="35"/>
    <s v="Nuclear Power Engineer"/>
    <s v="Female"/>
    <s v="White"/>
    <n v="843"/>
    <x v="5"/>
    <d v="2018-03-04T00:00:00"/>
    <x v="5"/>
    <s v="Port Washington"/>
    <n v="11054"/>
    <s v="United States"/>
    <x v="2"/>
    <n v="3"/>
    <x v="0"/>
  </r>
  <r>
    <n v="1404"/>
    <s v="Ruby"/>
    <s v="Stevens"/>
    <s v="rstevensb7@fotki.com"/>
    <s v="rstevensb7"/>
    <x v="36"/>
    <s v="Structural Engineer"/>
    <s v="Female"/>
    <s v="Taiwanese"/>
    <n v="396"/>
    <x v="1"/>
    <d v="2018-03-04T00:00:00"/>
    <x v="18"/>
    <s v="Evansville"/>
    <n v="47725"/>
    <s v="United States"/>
    <x v="2"/>
    <n v="3"/>
    <x v="0"/>
  </r>
  <r>
    <n v="1525"/>
    <s v="Juan"/>
    <s v="Baker"/>
    <s v="jbakerek@latimes.com"/>
    <s v="jbakerek"/>
    <x v="37"/>
    <s v="GIS Technical Architect"/>
    <s v="Male"/>
    <s v="Taiwanese"/>
    <n v="637"/>
    <x v="6"/>
    <d v="2018-03-05T00:00:00"/>
    <x v="4"/>
    <s v="Houston"/>
    <n v="77276"/>
    <s v="United States"/>
    <x v="2"/>
    <n v="3"/>
    <x v="0"/>
  </r>
  <r>
    <n v="1662"/>
    <s v="Catherine"/>
    <s v="Turner"/>
    <s v="cturnerid@ycombinator.com"/>
    <s v="cturnerid"/>
    <x v="14"/>
    <s v="Biostatistician I"/>
    <s v="Female"/>
    <s v="Black or African American"/>
    <n v="622"/>
    <x v="4"/>
    <d v="2018-03-10T00:00:00"/>
    <x v="17"/>
    <s v="Lincoln"/>
    <n v="68517"/>
    <s v="United States"/>
    <x v="2"/>
    <n v="3"/>
    <x v="0"/>
  </r>
  <r>
    <n v="1298"/>
    <s v="Anna"/>
    <s v="Thomas"/>
    <s v="athomas89@usa.gov"/>
    <s v="athomas89"/>
    <x v="33"/>
    <s v="Food Chemist"/>
    <s v="Female"/>
    <s v="Japanese"/>
    <n v="466"/>
    <x v="12"/>
    <d v="2018-03-11T00:00:00"/>
    <x v="22"/>
    <s v="Orlando"/>
    <n v="32891"/>
    <s v="United States"/>
    <x v="2"/>
    <n v="3"/>
    <x v="0"/>
  </r>
  <r>
    <n v="1939"/>
    <s v="Brian"/>
    <s v="Kelly"/>
    <s v="bkellyq2@google.com.hk"/>
    <s v="bkellyq2"/>
    <x v="38"/>
    <s v="Tax Accountant"/>
    <s v="Male"/>
    <s v="Hispanic"/>
    <n v="15"/>
    <x v="1"/>
    <d v="2018-03-13T00:00:00"/>
    <x v="5"/>
    <s v="Brooklyn"/>
    <n v="11241"/>
    <s v="United States"/>
    <x v="2"/>
    <n v="3"/>
    <x v="0"/>
  </r>
  <r>
    <n v="1020"/>
    <s v="Andrea"/>
    <s v="Mason"/>
    <s v="amasonj@yelp.com"/>
    <s v="amasonj"/>
    <x v="34"/>
    <s v="Financial Advisor"/>
    <s v="Female"/>
    <s v="Black or African American"/>
    <n v="574"/>
    <x v="1"/>
    <d v="2018-03-22T00:00:00"/>
    <x v="1"/>
    <s v="San Francisco"/>
    <n v="94105"/>
    <s v="United States"/>
    <x v="2"/>
    <n v="3"/>
    <x v="0"/>
  </r>
  <r>
    <n v="1260"/>
    <s v="Willie"/>
    <s v="King"/>
    <s v="wking77@apache.org"/>
    <s v="wking77"/>
    <x v="39"/>
    <s v="Software Consultant"/>
    <s v="Male"/>
    <s v="Japanese"/>
    <n v="778"/>
    <x v="1"/>
    <d v="2018-03-22T00:00:00"/>
    <x v="26"/>
    <s v="Spokane"/>
    <n v="99215"/>
    <s v="United States"/>
    <x v="2"/>
    <n v="3"/>
    <x v="0"/>
  </r>
  <r>
    <n v="1739"/>
    <s v="Karen"/>
    <s v="Bowman"/>
    <s v="kbowmanki@usda.gov"/>
    <s v="kbowmanki"/>
    <x v="40"/>
    <s v="Nurse"/>
    <s v="Female"/>
    <s v="Eskimo"/>
    <n v="953"/>
    <x v="7"/>
    <d v="2018-03-25T00:00:00"/>
    <x v="8"/>
    <s v="Saint Paul"/>
    <n v="55146"/>
    <s v="United States"/>
    <x v="2"/>
    <n v="3"/>
    <x v="0"/>
  </r>
  <r>
    <n v="1298"/>
    <s v="Anna"/>
    <s v="Thomas"/>
    <s v="athomas89@usa.gov"/>
    <s v="athomas89"/>
    <x v="33"/>
    <s v="Food Chemist"/>
    <s v="Female"/>
    <s v="Japanese"/>
    <n v="511"/>
    <x v="12"/>
    <d v="2018-03-30T00:00:00"/>
    <x v="22"/>
    <s v="Orlando"/>
    <n v="32891"/>
    <s v="United States"/>
    <x v="2"/>
    <n v="3"/>
    <x v="0"/>
  </r>
  <r>
    <n v="1687"/>
    <s v="Dennis"/>
    <s v="Nichols"/>
    <s v="dnicholsj2@army.mil"/>
    <s v="dnicholsj2"/>
    <x v="41"/>
    <s v="Account Executive"/>
    <s v="Male"/>
    <s v="Black or African American"/>
    <n v="591"/>
    <x v="1"/>
    <d v="2018-03-30T00:00:00"/>
    <x v="1"/>
    <s v="Los Angeles"/>
    <n v="90101"/>
    <s v="United States"/>
    <x v="2"/>
    <n v="3"/>
    <x v="0"/>
  </r>
  <r>
    <n v="1489"/>
    <s v="Roger"/>
    <s v="Matthews"/>
    <s v="rmatthewsdk@nature.com"/>
    <s v="rmatthewsdk"/>
    <x v="7"/>
    <s v="Environmental Tech"/>
    <s v="Male"/>
    <s v="Black or African American"/>
    <n v="314"/>
    <x v="4"/>
    <d v="2018-04-02T00:00:00"/>
    <x v="2"/>
    <s v="Hampton"/>
    <n v="23668"/>
    <s v="United States"/>
    <x v="3"/>
    <n v="4"/>
    <x v="0"/>
  </r>
  <r>
    <n v="1275"/>
    <s v="Anne"/>
    <s v="Fuller"/>
    <s v="afuller7m@tiny.cc"/>
    <s v="afuller7m"/>
    <x v="42"/>
    <s v="Chief Design Engineer"/>
    <s v="Female"/>
    <s v="South American"/>
    <n v="575"/>
    <x v="11"/>
    <d v="2018-04-05T00:00:00"/>
    <x v="1"/>
    <s v="Oakland"/>
    <n v="94622"/>
    <s v="United States"/>
    <x v="3"/>
    <n v="4"/>
    <x v="0"/>
  </r>
  <r>
    <n v="1468"/>
    <s v="Cynthia"/>
    <s v="Lopez"/>
    <s v="clopezcz@reverbnation.com"/>
    <s v="clopezcz"/>
    <x v="43"/>
    <s v="Automation Specialist IV"/>
    <s v="Female"/>
    <s v="White"/>
    <n v="77"/>
    <x v="2"/>
    <d v="2018-04-05T00:00:00"/>
    <x v="7"/>
    <s v="New Orleans"/>
    <n v="70116"/>
    <s v="United States"/>
    <x v="3"/>
    <n v="4"/>
    <x v="0"/>
  </r>
  <r>
    <n v="1725"/>
    <s v="Douglas"/>
    <s v="Martinez"/>
    <s v="dmartinezk4@mashable.com"/>
    <s v="dmartinezk4"/>
    <x v="41"/>
    <s v="Registered Nurse"/>
    <s v="Male"/>
    <s v="Asian"/>
    <n v="805"/>
    <x v="3"/>
    <d v="2018-04-07T00:00:00"/>
    <x v="4"/>
    <s v="Abilene"/>
    <n v="79605"/>
    <s v="United States"/>
    <x v="3"/>
    <n v="4"/>
    <x v="0"/>
  </r>
  <r>
    <n v="1810"/>
    <s v="Virginia"/>
    <s v="Alvarez"/>
    <s v="valvarezmh@pen.io"/>
    <s v="valvarezmh"/>
    <x v="44"/>
    <s v="Professor"/>
    <s v="Female"/>
    <s v="Hispanic"/>
    <n v="207"/>
    <x v="1"/>
    <d v="2018-04-09T00:00:00"/>
    <x v="27"/>
    <s v="Salem"/>
    <n v="97312"/>
    <s v="United States"/>
    <x v="3"/>
    <n v="4"/>
    <x v="0"/>
  </r>
  <r>
    <n v="1880"/>
    <s v="Rebecca"/>
    <s v="Lawson"/>
    <s v="rlawsonof@nsw.gov.au"/>
    <s v="rlawsonof"/>
    <x v="12"/>
    <s v="Software Engineer I"/>
    <s v="Female"/>
    <s v="Taiwanese"/>
    <n v="693"/>
    <x v="1"/>
    <d v="2018-04-09T00:00:00"/>
    <x v="10"/>
    <s v="Chicago"/>
    <n v="60614"/>
    <s v="United States"/>
    <x v="3"/>
    <n v="4"/>
    <x v="0"/>
  </r>
  <r>
    <n v="1720"/>
    <s v="Frances"/>
    <s v="Mendoza"/>
    <s v="fmendozajz@washington.edu"/>
    <s v="fmendozajz"/>
    <x v="45"/>
    <s v="Administrative Assistant IV"/>
    <s v="Female"/>
    <s v="Black or African American"/>
    <n v="591"/>
    <x v="13"/>
    <d v="2018-04-11T00:00:00"/>
    <x v="4"/>
    <s v="El Paso"/>
    <n v="79923"/>
    <s v="United States"/>
    <x v="3"/>
    <n v="4"/>
    <x v="0"/>
  </r>
  <r>
    <n v="1234"/>
    <s v="Adam"/>
    <s v="Jenkins"/>
    <s v="ajenkins6h@comcast.net"/>
    <s v="ajenkins6h"/>
    <x v="4"/>
    <s v="Internal Auditor"/>
    <s v="Male"/>
    <s v="White"/>
    <n v="641"/>
    <x v="4"/>
    <d v="2018-04-14T00:00:00"/>
    <x v="4"/>
    <s v="Austin"/>
    <n v="78710"/>
    <s v="United States"/>
    <x v="3"/>
    <n v="4"/>
    <x v="0"/>
  </r>
  <r>
    <n v="1400"/>
    <s v="Benjamin"/>
    <s v="Moore"/>
    <s v="bmooreb3@over-blog.com"/>
    <s v="bmooreb3"/>
    <x v="46"/>
    <s v="Geological Engineer"/>
    <s v="Male"/>
    <s v="Asian"/>
    <n v="328"/>
    <x v="1"/>
    <d v="2018-04-15T00:00:00"/>
    <x v="16"/>
    <s v="Pittsburgh"/>
    <n v="15274"/>
    <s v="United States"/>
    <x v="3"/>
    <n v="4"/>
    <x v="0"/>
  </r>
  <r>
    <n v="1116"/>
    <s v="Christina"/>
    <s v="Wheeler"/>
    <s v="cwheeler37@ovh.net"/>
    <s v="cwheeler37"/>
    <x v="3"/>
    <s v="Information Systems Manager"/>
    <s v="Female"/>
    <s v="Mexican"/>
    <n v="402"/>
    <x v="3"/>
    <d v="2018-04-18T00:00:00"/>
    <x v="3"/>
    <s v="Duluth"/>
    <n v="30096"/>
    <s v="United States"/>
    <x v="3"/>
    <n v="4"/>
    <x v="0"/>
  </r>
  <r>
    <n v="1999"/>
    <s v="Gerald"/>
    <s v="Jordan"/>
    <s v="gjordanrq@weibo.com"/>
    <s v="gjordanrq"/>
    <x v="47"/>
    <s v="Tax Accountant"/>
    <s v="Male"/>
    <s v="Costa Rican"/>
    <n v="381"/>
    <x v="1"/>
    <d v="2018-04-22T00:00:00"/>
    <x v="3"/>
    <s v="Columbus"/>
    <n v="31914"/>
    <s v="United States"/>
    <x v="3"/>
    <n v="4"/>
    <x v="0"/>
  </r>
  <r>
    <n v="1163"/>
    <s v="Carl"/>
    <s v="Carroll"/>
    <s v="ccarroll4i@51.la"/>
    <s v="ccarroll4i"/>
    <x v="48"/>
    <s v="Accounting Assistant I"/>
    <s v="Male"/>
    <s v="Asian"/>
    <n v="67"/>
    <x v="1"/>
    <d v="2018-04-23T00:00:00"/>
    <x v="4"/>
    <s v="El Paso"/>
    <n v="88584"/>
    <s v="United States"/>
    <x v="3"/>
    <n v="4"/>
    <x v="0"/>
  </r>
  <r>
    <n v="1562"/>
    <s v="Mary"/>
    <s v="Kennedy"/>
    <s v="mkennedyfl@google.com.br"/>
    <s v="mkennedyfl"/>
    <x v="49"/>
    <s v="Civil Engineer"/>
    <s v="Female"/>
    <s v="Eskimo"/>
    <n v="648"/>
    <x v="8"/>
    <d v="2018-04-23T00:00:00"/>
    <x v="4"/>
    <s v="Corpus Christi"/>
    <n v="78475"/>
    <s v="United States"/>
    <x v="3"/>
    <n v="4"/>
    <x v="0"/>
  </r>
  <r>
    <n v="1298"/>
    <s v="Anna"/>
    <s v="Thomas"/>
    <s v="athomas89@usa.gov"/>
    <s v="athomas89"/>
    <x v="33"/>
    <s v="Food Chemist"/>
    <s v="Female"/>
    <s v="Japanese"/>
    <n v="290"/>
    <x v="12"/>
    <d v="2018-04-24T00:00:00"/>
    <x v="22"/>
    <s v="Orlando"/>
    <n v="32891"/>
    <s v="United States"/>
    <x v="3"/>
    <n v="4"/>
    <x v="0"/>
  </r>
  <r>
    <n v="1880"/>
    <s v="Rebecca"/>
    <s v="Lawson"/>
    <s v="rlawsonof@nsw.gov.au"/>
    <s v="rlawsonof"/>
    <x v="12"/>
    <s v="Software Engineer I"/>
    <s v="Female"/>
    <s v="Taiwanese"/>
    <n v="288"/>
    <x v="1"/>
    <d v="2018-04-24T00:00:00"/>
    <x v="10"/>
    <s v="Chicago"/>
    <n v="60614"/>
    <s v="United States"/>
    <x v="3"/>
    <n v="4"/>
    <x v="0"/>
  </r>
  <r>
    <n v="1277"/>
    <s v="Brandon"/>
    <s v="Spencer"/>
    <s v="bspencer7o@si.edu"/>
    <s v="bspencer7o"/>
    <x v="22"/>
    <s v="Nuclear Power Engineer"/>
    <s v="Male"/>
    <s v="South American"/>
    <n v="889"/>
    <x v="9"/>
    <d v="2018-04-26T00:00:00"/>
    <x v="19"/>
    <s v="Akron"/>
    <n v="44310"/>
    <s v="United States"/>
    <x v="3"/>
    <n v="4"/>
    <x v="0"/>
  </r>
  <r>
    <n v="1601"/>
    <s v="Justin"/>
    <s v="Ford"/>
    <s v="jfordgo@infoseek.co.jp"/>
    <s v="jfordgo"/>
    <x v="50"/>
    <s v="Electrical Engineer"/>
    <s v="Male"/>
    <s v="Native Hawaiian and Other Pacific Islander (NHPI)"/>
    <n v="540"/>
    <x v="6"/>
    <d v="2018-04-27T00:00:00"/>
    <x v="1"/>
    <s v="San Francisco"/>
    <n v="94110"/>
    <s v="United States"/>
    <x v="3"/>
    <n v="4"/>
    <x v="0"/>
  </r>
  <r>
    <n v="1298"/>
    <s v="Anna"/>
    <s v="Thomas"/>
    <s v="athomas89@usa.gov"/>
    <s v="athomas89"/>
    <x v="33"/>
    <s v="Food Chemist"/>
    <s v="Female"/>
    <s v="Japanese"/>
    <n v="311"/>
    <x v="12"/>
    <d v="2018-05-01T00:00:00"/>
    <x v="22"/>
    <s v="Orlando"/>
    <n v="32891"/>
    <s v="United States"/>
    <x v="4"/>
    <n v="5"/>
    <x v="0"/>
  </r>
  <r>
    <n v="1488"/>
    <s v="Doris"/>
    <s v="Fuller"/>
    <s v="dfullerdj@etsy.com"/>
    <s v="dfullerdj"/>
    <x v="51"/>
    <s v="Account Coordinator"/>
    <s v="Female"/>
    <s v="South American"/>
    <n v="960"/>
    <x v="1"/>
    <d v="2018-05-03T00:00:00"/>
    <x v="22"/>
    <s v="Tallahassee"/>
    <n v="32314"/>
    <s v="United States"/>
    <x v="4"/>
    <n v="5"/>
    <x v="0"/>
  </r>
  <r>
    <n v="1020"/>
    <s v="Andrea"/>
    <s v="Mason"/>
    <s v="amasonj@yelp.com"/>
    <s v="amasonj"/>
    <x v="34"/>
    <s v="Financial Advisor"/>
    <s v="Female"/>
    <s v="Black or African American"/>
    <n v="425"/>
    <x v="1"/>
    <d v="2018-05-05T00:00:00"/>
    <x v="1"/>
    <s v="San Francisco"/>
    <n v="94105"/>
    <s v="United States"/>
    <x v="4"/>
    <n v="5"/>
    <x v="0"/>
  </r>
  <r>
    <n v="1602"/>
    <s v="Rebecca"/>
    <s v="Coleman"/>
    <s v="rcolemangp@hubpages.com"/>
    <s v="rcolemangp"/>
    <x v="52"/>
    <s v="Editor"/>
    <s v="Female"/>
    <s v="Argentinian"/>
    <n v="998"/>
    <x v="14"/>
    <d v="2018-05-06T00:00:00"/>
    <x v="1"/>
    <s v="Sacramento"/>
    <n v="95894"/>
    <s v="United States"/>
    <x v="4"/>
    <n v="5"/>
    <x v="0"/>
  </r>
  <r>
    <n v="1812"/>
    <s v="Randy"/>
    <s v="Harris"/>
    <s v="rharrismj@omniture.com"/>
    <s v="rharrismj"/>
    <x v="23"/>
    <s v="Clinical Specialist"/>
    <s v="Male"/>
    <s v="Japanese"/>
    <n v="477"/>
    <x v="6"/>
    <d v="2018-05-06T00:00:00"/>
    <x v="20"/>
    <s v="Birmingham"/>
    <n v="35220"/>
    <s v="United States"/>
    <x v="4"/>
    <n v="5"/>
    <x v="0"/>
  </r>
  <r>
    <n v="1434"/>
    <s v="Cynthia"/>
    <s v="Meyer"/>
    <s v="cmeyerc1@usgs.gov"/>
    <s v="cmeyerc1"/>
    <x v="53"/>
    <s v="Senior Quality Engineer"/>
    <s v="Female"/>
    <s v="Asian"/>
    <n v="127"/>
    <x v="1"/>
    <d v="2018-05-08T00:00:00"/>
    <x v="8"/>
    <s v="Minneapolis"/>
    <n v="55436"/>
    <s v="United States"/>
    <x v="4"/>
    <n v="5"/>
    <x v="0"/>
  </r>
  <r>
    <n v="1838"/>
    <s v="Paula"/>
    <s v="Burns"/>
    <s v="pburnsn9@ca.gov"/>
    <s v="pburnsn9"/>
    <x v="48"/>
    <s v="Director of Sales"/>
    <s v="Female"/>
    <s v="Black or African American"/>
    <n v="104"/>
    <x v="1"/>
    <d v="2018-05-08T00:00:00"/>
    <x v="24"/>
    <s v="Las Vegas"/>
    <n v="89130"/>
    <s v="United States"/>
    <x v="4"/>
    <n v="5"/>
    <x v="0"/>
  </r>
  <r>
    <n v="1951"/>
    <s v="Anna"/>
    <s v="Owens"/>
    <s v="aowensqe@rediff.com"/>
    <s v="aowensqe"/>
    <x v="54"/>
    <s v="Editor"/>
    <s v="Female"/>
    <s v="Argentinian"/>
    <n v="43"/>
    <x v="14"/>
    <d v="2018-05-08T00:00:00"/>
    <x v="26"/>
    <s v="Everett"/>
    <n v="98206"/>
    <s v="United States"/>
    <x v="4"/>
    <n v="5"/>
    <x v="0"/>
  </r>
  <r>
    <n v="1433"/>
    <s v="Harry"/>
    <s v="Fernandez"/>
    <s v="hfernandezc0@redcross.org"/>
    <s v="hfernandezc0"/>
    <x v="55"/>
    <s v="Director of Sales"/>
    <s v="Male"/>
    <s v="Taiwanese"/>
    <n v="698"/>
    <x v="3"/>
    <d v="2018-05-13T00:00:00"/>
    <x v="28"/>
    <s v="Washington"/>
    <n v="20420"/>
    <s v="United States"/>
    <x v="4"/>
    <n v="5"/>
    <x v="0"/>
  </r>
  <r>
    <n v="1880"/>
    <s v="Rebecca"/>
    <s v="Lawson"/>
    <s v="rlawsonof@nsw.gov.au"/>
    <s v="rlawsonof"/>
    <x v="12"/>
    <s v="Software Engineer I"/>
    <s v="Female"/>
    <s v="Taiwanese"/>
    <n v="292"/>
    <x v="1"/>
    <d v="2018-05-13T00:00:00"/>
    <x v="10"/>
    <s v="Chicago"/>
    <n v="60614"/>
    <s v="United States"/>
    <x v="4"/>
    <n v="5"/>
    <x v="0"/>
  </r>
  <r>
    <n v="1365"/>
    <s v="Roy"/>
    <s v="Snyder"/>
    <s v="rsnydera4@whitehouse.gov"/>
    <s v="rsnydera4"/>
    <x v="56"/>
    <s v="Help Desk Technician"/>
    <s v="Male"/>
    <s v="Mexican"/>
    <n v="625"/>
    <x v="4"/>
    <d v="2018-05-14T00:00:00"/>
    <x v="22"/>
    <s v="Miami"/>
    <n v="33261"/>
    <s v="United States"/>
    <x v="4"/>
    <n v="5"/>
    <x v="0"/>
  </r>
  <r>
    <n v="1619"/>
    <s v="Kenneth"/>
    <s v="Cook"/>
    <s v="kcookh6@cocolog-nifty.com"/>
    <s v="kcookh6"/>
    <x v="57"/>
    <s v="Financial Analyst"/>
    <s v="Male"/>
    <s v="Black or African American"/>
    <n v="558"/>
    <x v="6"/>
    <d v="2018-05-15T00:00:00"/>
    <x v="4"/>
    <s v="Garland"/>
    <n v="75044"/>
    <s v="United States"/>
    <x v="4"/>
    <n v="5"/>
    <x v="0"/>
  </r>
  <r>
    <n v="1658"/>
    <s v="Bobby"/>
    <s v="Kelly"/>
    <s v="bkellyi9@comsenz.com"/>
    <s v="bkellyi9"/>
    <x v="58"/>
    <s v="Marketing Manager"/>
    <s v="Male"/>
    <s v="Black or African American"/>
    <n v="764"/>
    <x v="7"/>
    <d v="2018-05-15T00:00:00"/>
    <x v="28"/>
    <s v="Washington"/>
    <n v="20425"/>
    <s v="United States"/>
    <x v="4"/>
    <n v="5"/>
    <x v="0"/>
  </r>
  <r>
    <n v="1433"/>
    <s v="Harry"/>
    <s v="Fernandez"/>
    <s v="hfernandezc0@redcross.org"/>
    <s v="hfernandezc0"/>
    <x v="55"/>
    <s v="Director of Sales"/>
    <s v="Male"/>
    <s v="Taiwanese"/>
    <n v="50"/>
    <x v="3"/>
    <d v="2018-05-19T00:00:00"/>
    <x v="28"/>
    <s v="Washington"/>
    <n v="20420"/>
    <s v="United States"/>
    <x v="4"/>
    <n v="5"/>
    <x v="0"/>
  </r>
  <r>
    <n v="1298"/>
    <s v="Anna"/>
    <s v="Thomas"/>
    <s v="athomas89@usa.gov"/>
    <s v="athomas89"/>
    <x v="33"/>
    <s v="Food Chemist"/>
    <s v="Female"/>
    <s v="Japanese"/>
    <n v="931"/>
    <x v="12"/>
    <d v="2018-05-20T00:00:00"/>
    <x v="22"/>
    <s v="Orlando"/>
    <n v="32891"/>
    <s v="United States"/>
    <x v="4"/>
    <n v="5"/>
    <x v="0"/>
  </r>
  <r>
    <n v="1627"/>
    <s v="Shawn"/>
    <s v="Oliver"/>
    <s v="soliverhe@youtube.com"/>
    <s v="soliverhe"/>
    <x v="59"/>
    <s v="Operator"/>
    <s v="Male"/>
    <s v="Black or African American"/>
    <n v="380"/>
    <x v="6"/>
    <d v="2018-05-20T00:00:00"/>
    <x v="29"/>
    <s v="Lexington"/>
    <n v="40524"/>
    <s v="United States"/>
    <x v="4"/>
    <n v="5"/>
    <x v="0"/>
  </r>
  <r>
    <n v="1671"/>
    <s v="Peter"/>
    <s v="Sanders"/>
    <s v="psandersim@uol.com.br"/>
    <s v="psandersim"/>
    <x v="31"/>
    <s v="Social Worker"/>
    <s v="Male"/>
    <s v="Black or African American"/>
    <n v="995"/>
    <x v="4"/>
    <d v="2018-05-21T00:00:00"/>
    <x v="15"/>
    <s v="Durham"/>
    <n v="27710"/>
    <s v="United States"/>
    <x v="4"/>
    <n v="5"/>
    <x v="0"/>
  </r>
  <r>
    <n v="1812"/>
    <s v="Randy"/>
    <s v="Harris"/>
    <s v="rharrismj@omniture.com"/>
    <s v="rharrismj"/>
    <x v="23"/>
    <s v="Clinical Specialist"/>
    <s v="Male"/>
    <s v="Japanese"/>
    <n v="887"/>
    <x v="6"/>
    <d v="2018-05-24T00:00:00"/>
    <x v="20"/>
    <s v="Birmingham"/>
    <n v="35220"/>
    <s v="United States"/>
    <x v="4"/>
    <n v="5"/>
    <x v="0"/>
  </r>
  <r>
    <n v="1654"/>
    <s v="Roy"/>
    <s v="Jenkins"/>
    <s v="rjenkinsi5@yale.edu"/>
    <s v="rjenkinsi5"/>
    <x v="60"/>
    <s v="Assistant Manager"/>
    <s v="Male"/>
    <s v="Black or African American"/>
    <n v="565"/>
    <x v="12"/>
    <d v="2018-05-25T00:00:00"/>
    <x v="4"/>
    <s v="San Antonio"/>
    <n v="78230"/>
    <s v="United States"/>
    <x v="4"/>
    <n v="5"/>
    <x v="0"/>
  </r>
  <r>
    <n v="1164"/>
    <s v="Steve"/>
    <s v="Henderson"/>
    <s v="shenderson4j@oakley.com"/>
    <s v="shenderson4j"/>
    <x v="40"/>
    <s v="Clinical Specialist"/>
    <s v="Male"/>
    <s v="Asian"/>
    <n v="396"/>
    <x v="1"/>
    <d v="2018-05-29T00:00:00"/>
    <x v="5"/>
    <s v="New York City"/>
    <n v="10203"/>
    <s v="United States"/>
    <x v="4"/>
    <n v="5"/>
    <x v="0"/>
  </r>
  <r>
    <n v="1462"/>
    <s v="Justin"/>
    <s v="Hamilton"/>
    <s v="jhamiltonct@chron.com"/>
    <s v="jhamiltonct"/>
    <x v="61"/>
    <s v="Mechanical Systems Engineer"/>
    <s v="Male"/>
    <s v="South American"/>
    <n v="458"/>
    <x v="1"/>
    <d v="2018-05-30T00:00:00"/>
    <x v="10"/>
    <s v="Schaumburg"/>
    <n v="60193"/>
    <s v="United States"/>
    <x v="4"/>
    <n v="5"/>
    <x v="0"/>
  </r>
  <r>
    <n v="1880"/>
    <s v="Rebecca"/>
    <s v="Lawson"/>
    <s v="rlawsonof@nsw.gov.au"/>
    <s v="rlawsonof"/>
    <x v="12"/>
    <s v="Software Engineer I"/>
    <s v="Female"/>
    <s v="Taiwanese"/>
    <n v="605"/>
    <x v="1"/>
    <d v="2018-05-30T00:00:00"/>
    <x v="10"/>
    <s v="Chicago"/>
    <n v="60614"/>
    <s v="United States"/>
    <x v="4"/>
    <n v="5"/>
    <x v="0"/>
  </r>
  <r>
    <n v="1092"/>
    <s v="Donna"/>
    <s v="Hanson"/>
    <s v="dhanson2j@salon.com"/>
    <s v="dhanson2j"/>
    <x v="62"/>
    <s v="Assistant Media Planner"/>
    <s v="Female"/>
    <s v="Mexican"/>
    <n v="568"/>
    <x v="12"/>
    <d v="2018-05-31T00:00:00"/>
    <x v="22"/>
    <s v="Sarasota"/>
    <n v="34233"/>
    <s v="United States"/>
    <x v="4"/>
    <n v="5"/>
    <x v="0"/>
  </r>
  <r>
    <n v="1455"/>
    <s v="Virginia"/>
    <s v="Hamilton"/>
    <s v="vhamiltoncm@technorati.com"/>
    <s v="vhamiltoncm"/>
    <x v="3"/>
    <s v="Physical Therapy Assistant"/>
    <s v="Female"/>
    <s v="Argentinian"/>
    <n v="433"/>
    <x v="6"/>
    <d v="2018-05-31T00:00:00"/>
    <x v="16"/>
    <s v="Philadelphia"/>
    <n v="19141"/>
    <s v="United States"/>
    <x v="4"/>
    <n v="5"/>
    <x v="0"/>
  </r>
  <r>
    <n v="1081"/>
    <s v="Tina"/>
    <s v="Lewis"/>
    <s v="tlewis28@mozilla.org"/>
    <s v="tlewis28"/>
    <x v="63"/>
    <s v="Operator"/>
    <s v="Female"/>
    <s v="Mexican"/>
    <n v="767"/>
    <x v="14"/>
    <d v="2018-06-02T00:00:00"/>
    <x v="19"/>
    <s v="Dayton"/>
    <n v="45426"/>
    <s v="United States"/>
    <x v="5"/>
    <n v="6"/>
    <x v="0"/>
  </r>
  <r>
    <n v="1520"/>
    <s v="Heather"/>
    <s v="Walker"/>
    <s v="hwalkeref@deviantart.com"/>
    <s v="hwalkeref"/>
    <x v="64"/>
    <s v="Marketing Manager"/>
    <s v="Female"/>
    <s v="Thai"/>
    <n v="456"/>
    <x v="1"/>
    <d v="2018-06-03T00:00:00"/>
    <x v="1"/>
    <s v="San Francisco"/>
    <n v="94110"/>
    <s v="United States"/>
    <x v="5"/>
    <n v="6"/>
    <x v="0"/>
  </r>
  <r>
    <n v="1650"/>
    <s v="Ann"/>
    <s v="Ward"/>
    <s v="awardi1@oaic.gov.au"/>
    <s v="awardi1"/>
    <x v="65"/>
    <s v="Recruiter"/>
    <s v="Female"/>
    <s v="Black or African American"/>
    <n v="280"/>
    <x v="14"/>
    <d v="2018-06-05T00:00:00"/>
    <x v="27"/>
    <s v="Portland"/>
    <n v="97221"/>
    <s v="United States"/>
    <x v="5"/>
    <n v="6"/>
    <x v="0"/>
  </r>
  <r>
    <n v="1043"/>
    <s v="Walter"/>
    <s v="Roberts"/>
    <s v="wroberts16@tiny.cc"/>
    <s v="wroberts16"/>
    <x v="66"/>
    <s v="Senior Quality Engineer"/>
    <s v="Male"/>
    <s v="Black or African American"/>
    <n v="442"/>
    <x v="0"/>
    <d v="2018-06-08T00:00:00"/>
    <x v="24"/>
    <s v="Las Vegas"/>
    <n v="89140"/>
    <s v="United States"/>
    <x v="5"/>
    <n v="6"/>
    <x v="0"/>
  </r>
  <r>
    <n v="1095"/>
    <s v="Emily"/>
    <s v="Franklin"/>
    <s v="efranklin2m@google.co.jp"/>
    <s v="efranklin2m"/>
    <x v="67"/>
    <s v="Analyst Programmer"/>
    <s v="Female"/>
    <s v="Mexican"/>
    <n v="701"/>
    <x v="6"/>
    <d v="2018-06-09T00:00:00"/>
    <x v="4"/>
    <s v="Houston"/>
    <n v="77040"/>
    <s v="United States"/>
    <x v="5"/>
    <n v="6"/>
    <x v="0"/>
  </r>
  <r>
    <n v="1116"/>
    <s v="Christina"/>
    <s v="Wheeler"/>
    <s v="cwheeler37@ovh.net"/>
    <s v="cwheeler37"/>
    <x v="3"/>
    <s v="Information Systems Manager"/>
    <s v="Female"/>
    <s v="Mexican"/>
    <n v="388"/>
    <x v="3"/>
    <d v="2018-06-10T00:00:00"/>
    <x v="3"/>
    <s v="Duluth"/>
    <n v="30096"/>
    <s v="United States"/>
    <x v="5"/>
    <n v="6"/>
    <x v="0"/>
  </r>
  <r>
    <n v="1298"/>
    <s v="Anna"/>
    <s v="Thomas"/>
    <s v="athomas89@usa.gov"/>
    <s v="athomas89"/>
    <x v="33"/>
    <s v="Food Chemist"/>
    <s v="Female"/>
    <s v="Japanese"/>
    <n v="91"/>
    <x v="12"/>
    <d v="2018-06-10T00:00:00"/>
    <x v="22"/>
    <s v="Orlando"/>
    <n v="32891"/>
    <s v="United States"/>
    <x v="5"/>
    <n v="6"/>
    <x v="0"/>
  </r>
  <r>
    <n v="1989"/>
    <s v="Chris"/>
    <s v="Adams"/>
    <s v="cadamsrg@amazon.com"/>
    <s v="cadamsrg"/>
    <x v="68"/>
    <s v="Analyst Programmer"/>
    <s v="Male"/>
    <s v="White"/>
    <n v="452"/>
    <x v="1"/>
    <d v="2018-06-11T00:00:00"/>
    <x v="4"/>
    <s v="Humble"/>
    <n v="77346"/>
    <s v="United States"/>
    <x v="5"/>
    <n v="6"/>
    <x v="0"/>
  </r>
  <r>
    <n v="1995"/>
    <s v="Teresa"/>
    <s v="Mcdonald"/>
    <s v="tmcdonaldrm@elegantthemes.com"/>
    <s v="tmcdonaldrm"/>
    <x v="69"/>
    <s v="Accounting Assistant IV"/>
    <s v="Female"/>
    <s v="White"/>
    <n v="719"/>
    <x v="6"/>
    <d v="2018-06-11T00:00:00"/>
    <x v="30"/>
    <s v="Knoxville"/>
    <n v="37939"/>
    <s v="United States"/>
    <x v="5"/>
    <n v="6"/>
    <x v="0"/>
  </r>
  <r>
    <n v="1212"/>
    <s v="Patricia"/>
    <s v="Weaver"/>
    <s v="pweaver5v@merriam-webster.com"/>
    <s v="pweaver5v"/>
    <x v="11"/>
    <s v="Staff Accountant I"/>
    <s v="Female"/>
    <s v="White"/>
    <n v="110"/>
    <x v="6"/>
    <d v="2018-06-12T00:00:00"/>
    <x v="9"/>
    <s v="Hartford"/>
    <n v="6183"/>
    <s v="United States"/>
    <x v="5"/>
    <n v="6"/>
    <x v="0"/>
  </r>
  <r>
    <n v="1683"/>
    <s v="Anthony"/>
    <s v="Clark"/>
    <s v="aclarkiy@alibaba.com"/>
    <s v="aclarkiy"/>
    <x v="70"/>
    <s v="Staff Accountant I"/>
    <s v="Male"/>
    <s v="Black or African American"/>
    <n v="621"/>
    <x v="11"/>
    <d v="2018-06-12T00:00:00"/>
    <x v="7"/>
    <s v="New Orleans"/>
    <n v="70124"/>
    <s v="United States"/>
    <x v="5"/>
    <n v="6"/>
    <x v="0"/>
  </r>
  <r>
    <n v="1260"/>
    <s v="Willie"/>
    <s v="King"/>
    <s v="wking77@apache.org"/>
    <s v="wking77"/>
    <x v="39"/>
    <s v="Software Consultant"/>
    <s v="Male"/>
    <s v="Japanese"/>
    <n v="511"/>
    <x v="1"/>
    <d v="2018-06-13T00:00:00"/>
    <x v="26"/>
    <s v="Spokane"/>
    <n v="99215"/>
    <s v="United States"/>
    <x v="5"/>
    <n v="6"/>
    <x v="0"/>
  </r>
  <r>
    <n v="1844"/>
    <s v="Amy"/>
    <s v="Peterson"/>
    <s v="apetersonnf@cdbaby.com"/>
    <s v="apetersonnf"/>
    <x v="71"/>
    <s v="Senior Sales Associate"/>
    <s v="Female"/>
    <s v="Taiwanese"/>
    <n v="437"/>
    <x v="0"/>
    <d v="2018-06-14T00:00:00"/>
    <x v="10"/>
    <s v="Springfield"/>
    <n v="62723"/>
    <s v="United States"/>
    <x v="5"/>
    <n v="6"/>
    <x v="0"/>
  </r>
  <r>
    <n v="1095"/>
    <s v="Emily"/>
    <s v="Franklin"/>
    <s v="efranklin2m@google.co.jp"/>
    <s v="efranklin2m"/>
    <x v="67"/>
    <s v="Analyst Programmer"/>
    <s v="Female"/>
    <s v="Mexican"/>
    <n v="324"/>
    <x v="6"/>
    <d v="2018-06-17T00:00:00"/>
    <x v="4"/>
    <s v="Houston"/>
    <n v="77040"/>
    <s v="United States"/>
    <x v="5"/>
    <n v="6"/>
    <x v="0"/>
  </r>
  <r>
    <n v="1023"/>
    <s v="Antonio"/>
    <s v="Owens"/>
    <s v="aowensm@indiatimes.com"/>
    <s v="aowensm"/>
    <x v="40"/>
    <s v="Design Engineer"/>
    <s v="Male"/>
    <s v="Black or African American"/>
    <n v="344"/>
    <x v="1"/>
    <d v="2018-06-19T00:00:00"/>
    <x v="19"/>
    <s v="Columbus"/>
    <n v="43210"/>
    <s v="United States"/>
    <x v="5"/>
    <n v="6"/>
    <x v="0"/>
  </r>
  <r>
    <n v="1170"/>
    <s v="Albert"/>
    <s v="Roberts"/>
    <s v="aroberts4p@ezinearticles.com"/>
    <s v="aroberts4p"/>
    <x v="14"/>
    <s v="Accountant I"/>
    <s v="Male"/>
    <s v="White"/>
    <n v="712"/>
    <x v="0"/>
    <d v="2018-06-19T00:00:00"/>
    <x v="4"/>
    <s v="El Paso"/>
    <n v="88574"/>
    <s v="United States"/>
    <x v="5"/>
    <n v="6"/>
    <x v="0"/>
  </r>
  <r>
    <n v="1543"/>
    <s v="Scott"/>
    <s v="Reyes"/>
    <s v="sreyesf2@statcounter.com"/>
    <s v="sreyesf2"/>
    <x v="72"/>
    <s v="Administrative Assistant IV"/>
    <s v="Male"/>
    <s v="Thai"/>
    <n v="916"/>
    <x v="0"/>
    <d v="2018-06-19T00:00:00"/>
    <x v="12"/>
    <s v="Albuquerque"/>
    <n v="87180"/>
    <s v="United States"/>
    <x v="5"/>
    <n v="6"/>
    <x v="0"/>
  </r>
  <r>
    <n v="1020"/>
    <s v="Andrea"/>
    <s v="Mason"/>
    <s v="amasonj@yelp.com"/>
    <s v="amasonj"/>
    <x v="34"/>
    <s v="Financial Advisor"/>
    <s v="Female"/>
    <s v="Black or African American"/>
    <n v="757"/>
    <x v="1"/>
    <d v="2018-06-21T00:00:00"/>
    <x v="1"/>
    <s v="San Francisco"/>
    <n v="94105"/>
    <s v="United States"/>
    <x v="5"/>
    <n v="6"/>
    <x v="0"/>
  </r>
  <r>
    <n v="1277"/>
    <s v="Brandon"/>
    <s v="Spencer"/>
    <s v="bspencer7o@si.edu"/>
    <s v="bspencer7o"/>
    <x v="22"/>
    <s v="Nuclear Power Engineer"/>
    <s v="Male"/>
    <s v="South American"/>
    <n v="632"/>
    <x v="9"/>
    <d v="2018-06-23T00:00:00"/>
    <x v="19"/>
    <s v="Akron"/>
    <n v="44310"/>
    <s v="United States"/>
    <x v="5"/>
    <n v="6"/>
    <x v="0"/>
  </r>
  <r>
    <n v="1358"/>
    <s v="Charles"/>
    <s v="Smith"/>
    <s v="csmith9x@trellian.com"/>
    <s v="csmith9x"/>
    <x v="73"/>
    <s v="Payment Adjustment Coordinator"/>
    <s v="Male"/>
    <s v="Asian"/>
    <n v="825"/>
    <x v="1"/>
    <d v="2018-06-23T00:00:00"/>
    <x v="28"/>
    <s v="Washington"/>
    <n v="20310"/>
    <s v="United States"/>
    <x v="5"/>
    <n v="6"/>
    <x v="0"/>
  </r>
  <r>
    <n v="1022"/>
    <s v="Todd"/>
    <s v="Peters"/>
    <s v="tpetersl@dot.gov"/>
    <s v="tpetersl"/>
    <x v="74"/>
    <s v="Design Engineer"/>
    <s v="Male"/>
    <s v="Black or African American"/>
    <n v="820"/>
    <x v="1"/>
    <d v="2018-06-28T00:00:00"/>
    <x v="28"/>
    <s v="Washington"/>
    <n v="20430"/>
    <s v="United States"/>
    <x v="5"/>
    <n v="6"/>
    <x v="0"/>
  </r>
  <r>
    <n v="1092"/>
    <s v="Donna"/>
    <s v="Hanson"/>
    <s v="dhanson2j@salon.com"/>
    <s v="dhanson2j"/>
    <x v="62"/>
    <s v="Assistant Media Planner"/>
    <s v="Female"/>
    <s v="Mexican"/>
    <n v="451"/>
    <x v="12"/>
    <d v="2018-06-30T00:00:00"/>
    <x v="22"/>
    <s v="Sarasota"/>
    <n v="34233"/>
    <s v="United States"/>
    <x v="5"/>
    <n v="6"/>
    <x v="0"/>
  </r>
  <r>
    <n v="1032"/>
    <s v="Gerald"/>
    <s v="Owens"/>
    <s v="gowensv@biglobe.ne.jp"/>
    <s v="gowensv"/>
    <x v="65"/>
    <s v="Environmental Tech"/>
    <s v="Male"/>
    <s v="Black or African American"/>
    <n v="140"/>
    <x v="3"/>
    <d v="2018-07-01T00:00:00"/>
    <x v="16"/>
    <s v="Philadelphia"/>
    <n v="19104"/>
    <s v="United States"/>
    <x v="6"/>
    <n v="7"/>
    <x v="0"/>
  </r>
  <r>
    <n v="1880"/>
    <s v="Rebecca"/>
    <s v="Lawson"/>
    <s v="rlawsonof@nsw.gov.au"/>
    <s v="rlawsonof"/>
    <x v="12"/>
    <s v="Software Engineer I"/>
    <s v="Female"/>
    <s v="Taiwanese"/>
    <n v="725"/>
    <x v="1"/>
    <d v="2018-07-03T00:00:00"/>
    <x v="10"/>
    <s v="Chicago"/>
    <n v="60614"/>
    <s v="United States"/>
    <x v="6"/>
    <n v="7"/>
    <x v="0"/>
  </r>
  <r>
    <n v="1468"/>
    <s v="Cynthia"/>
    <s v="Lopez"/>
    <s v="clopezcz@reverbnation.com"/>
    <s v="clopezcz"/>
    <x v="43"/>
    <s v="Automation Specialist IV"/>
    <s v="Female"/>
    <s v="White"/>
    <n v="952"/>
    <x v="2"/>
    <d v="2018-07-04T00:00:00"/>
    <x v="7"/>
    <s v="New Orleans"/>
    <n v="70116"/>
    <s v="United States"/>
    <x v="6"/>
    <n v="7"/>
    <x v="0"/>
  </r>
  <r>
    <n v="1781"/>
    <s v="Fred"/>
    <s v="Gonzalez"/>
    <s v="fgonzalezlo@alibaba.com"/>
    <s v="fgonzalezlo"/>
    <x v="75"/>
    <s v="Senior Financial Analyst"/>
    <s v="Male"/>
    <s v="Asian"/>
    <n v="665"/>
    <x v="1"/>
    <d v="2018-07-05T00:00:00"/>
    <x v="28"/>
    <s v="Washington"/>
    <n v="20238"/>
    <s v="United States"/>
    <x v="6"/>
    <n v="7"/>
    <x v="0"/>
  </r>
  <r>
    <n v="1851"/>
    <s v="Linda"/>
    <s v="Washington"/>
    <s v="lwashingtonnm@jalbum.net"/>
    <s v="lwashingtonnm"/>
    <x v="76"/>
    <s v="Teacher"/>
    <s v="Female"/>
    <s v="White"/>
    <n v="71"/>
    <x v="12"/>
    <d v="2018-07-05T00:00:00"/>
    <x v="5"/>
    <s v="Brooklyn"/>
    <n v="11210"/>
    <s v="United States"/>
    <x v="6"/>
    <n v="7"/>
    <x v="0"/>
  </r>
  <r>
    <n v="1547"/>
    <s v="Chris"/>
    <s v="Martin"/>
    <s v="cmartinf6@yahoo.co.jp"/>
    <s v="cmartinf6"/>
    <x v="77"/>
    <s v="Accountant I"/>
    <s v="Male"/>
    <s v="Black or African American"/>
    <n v="685"/>
    <x v="6"/>
    <d v="2018-07-07T00:00:00"/>
    <x v="0"/>
    <s v="Detroit"/>
    <n v="48275"/>
    <s v="United States"/>
    <x v="6"/>
    <n v="7"/>
    <x v="0"/>
  </r>
  <r>
    <n v="1012"/>
    <s v="Fred"/>
    <s v="Harrison"/>
    <s v="fharrisonb@sfgate.com"/>
    <s v="fharrisonb"/>
    <x v="78"/>
    <s v="Staff Scientist"/>
    <s v="Male"/>
    <s v="Black or African American"/>
    <n v="463"/>
    <x v="6"/>
    <d v="2018-07-11T00:00:00"/>
    <x v="4"/>
    <s v="Irving"/>
    <n v="75037"/>
    <s v="United States"/>
    <x v="6"/>
    <n v="7"/>
    <x v="0"/>
  </r>
  <r>
    <n v="1298"/>
    <s v="Anna"/>
    <s v="Thomas"/>
    <s v="athomas89@usa.gov"/>
    <s v="athomas89"/>
    <x v="33"/>
    <s v="Food Chemist"/>
    <s v="Female"/>
    <s v="Japanese"/>
    <n v="394"/>
    <x v="12"/>
    <d v="2018-07-12T00:00:00"/>
    <x v="22"/>
    <s v="Orlando"/>
    <n v="32891"/>
    <s v="United States"/>
    <x v="6"/>
    <n v="7"/>
    <x v="0"/>
  </r>
  <r>
    <n v="1983"/>
    <s v="Laura"/>
    <s v="Smith"/>
    <s v="lsmithra@thetimes.co.uk"/>
    <s v="lsmithra"/>
    <x v="79"/>
    <s v="Electrical Engineer"/>
    <s v="Female"/>
    <s v="White"/>
    <n v="322"/>
    <x v="1"/>
    <d v="2018-07-13T00:00:00"/>
    <x v="31"/>
    <s v="Kansas City"/>
    <n v="66112"/>
    <s v="United States"/>
    <x v="6"/>
    <n v="7"/>
    <x v="0"/>
  </r>
  <r>
    <n v="1587"/>
    <s v="Bobby"/>
    <s v="Hudson"/>
    <s v="bhudsonga@nydailynews.com"/>
    <s v="bhudsonga"/>
    <x v="80"/>
    <s v="Marketing Assistant"/>
    <s v="Male"/>
    <s v="Eskimo"/>
    <n v="114"/>
    <x v="1"/>
    <d v="2018-07-14T00:00:00"/>
    <x v="1"/>
    <s v="Los Angeles"/>
    <n v="90025"/>
    <s v="United States"/>
    <x v="6"/>
    <n v="7"/>
    <x v="0"/>
  </r>
  <r>
    <n v="1991"/>
    <s v="Diane"/>
    <s v="Scott"/>
    <s v="dscottri@ask.com"/>
    <s v="dscottri"/>
    <x v="15"/>
    <s v="Librarian"/>
    <s v="Female"/>
    <s v="White"/>
    <n v="655"/>
    <x v="1"/>
    <d v="2018-07-14T00:00:00"/>
    <x v="12"/>
    <s v="Albuquerque"/>
    <n v="87180"/>
    <s v="United States"/>
    <x v="6"/>
    <n v="7"/>
    <x v="0"/>
  </r>
  <r>
    <n v="1043"/>
    <s v="Walter"/>
    <s v="Roberts"/>
    <s v="wroberts16@tiny.cc"/>
    <s v="wroberts16"/>
    <x v="66"/>
    <s v="Senior Quality Engineer"/>
    <s v="Male"/>
    <s v="Black or African American"/>
    <n v="550"/>
    <x v="0"/>
    <d v="2018-07-16T00:00:00"/>
    <x v="24"/>
    <s v="Las Vegas"/>
    <n v="89140"/>
    <s v="United States"/>
    <x v="6"/>
    <n v="7"/>
    <x v="0"/>
  </r>
  <r>
    <n v="1722"/>
    <s v="Sean"/>
    <s v="Armstrong"/>
    <s v="sarmstrongk1@tinyurl.com"/>
    <s v="sarmstrongk1"/>
    <x v="81"/>
    <s v="Web Developer I"/>
    <s v="Male"/>
    <s v="Black or African American"/>
    <n v="646"/>
    <x v="14"/>
    <d v="2018-07-16T00:00:00"/>
    <x v="11"/>
    <s v="Arvada"/>
    <n v="80005"/>
    <s v="United States"/>
    <x v="6"/>
    <n v="7"/>
    <x v="0"/>
  </r>
  <r>
    <n v="1020"/>
    <s v="Andrea"/>
    <s v="Mason"/>
    <s v="amasonj@yelp.com"/>
    <s v="amasonj"/>
    <x v="34"/>
    <s v="Financial Advisor"/>
    <s v="Female"/>
    <s v="Black or African American"/>
    <n v="345"/>
    <x v="1"/>
    <d v="2018-07-18T00:00:00"/>
    <x v="1"/>
    <s v="San Francisco"/>
    <n v="94105"/>
    <s v="United States"/>
    <x v="6"/>
    <n v="7"/>
    <x v="0"/>
  </r>
  <r>
    <n v="1081"/>
    <s v="Tina"/>
    <s v="Lewis"/>
    <s v="tlewis28@mozilla.org"/>
    <s v="tlewis28"/>
    <x v="63"/>
    <s v="Operator"/>
    <s v="Female"/>
    <s v="Mexican"/>
    <n v="969"/>
    <x v="14"/>
    <d v="2018-07-18T00:00:00"/>
    <x v="19"/>
    <s v="Dayton"/>
    <n v="45426"/>
    <s v="United States"/>
    <x v="6"/>
    <n v="7"/>
    <x v="0"/>
  </r>
  <r>
    <n v="1092"/>
    <s v="Donna"/>
    <s v="Hanson"/>
    <s v="dhanson2j@salon.com"/>
    <s v="dhanson2j"/>
    <x v="62"/>
    <s v="Assistant Media Planner"/>
    <s v="Female"/>
    <s v="Mexican"/>
    <n v="639"/>
    <x v="12"/>
    <d v="2018-07-19T00:00:00"/>
    <x v="22"/>
    <s v="Sarasota"/>
    <n v="34233"/>
    <s v="United States"/>
    <x v="6"/>
    <n v="7"/>
    <x v="0"/>
  </r>
  <r>
    <n v="1460"/>
    <s v="Sara"/>
    <s v="Oliver"/>
    <s v="solivercr@accuweather.com"/>
    <s v="solivercr"/>
    <x v="82"/>
    <s v="Payment Adjustment Coordinator"/>
    <s v="Female"/>
    <s v="Hispanic"/>
    <n v="505"/>
    <x v="14"/>
    <d v="2018-07-19T00:00:00"/>
    <x v="10"/>
    <s v="Springfield"/>
    <n v="62723"/>
    <s v="United States"/>
    <x v="6"/>
    <n v="7"/>
    <x v="0"/>
  </r>
  <r>
    <n v="1123"/>
    <s v="Randy"/>
    <s v="Hamilton"/>
    <s v="rhamilton3e@loc.gov"/>
    <s v="rhamilton3e"/>
    <x v="82"/>
    <s v="Geological Engineer"/>
    <s v="Male"/>
    <s v="Mexican"/>
    <n v="180"/>
    <x v="0"/>
    <d v="2018-07-20T00:00:00"/>
    <x v="22"/>
    <s v="Tampa"/>
    <n v="33673"/>
    <s v="United States"/>
    <x v="6"/>
    <n v="7"/>
    <x v="0"/>
  </r>
  <r>
    <n v="1615"/>
    <s v="Shirley"/>
    <s v="Matthews"/>
    <s v="smatthewsh2@gizmodo.com"/>
    <s v="smatthewsh2"/>
    <x v="83"/>
    <s v="Human Resources Assistant III"/>
    <s v="Female"/>
    <s v="South American"/>
    <n v="217"/>
    <x v="3"/>
    <d v="2018-07-20T00:00:00"/>
    <x v="24"/>
    <s v="Las Vegas"/>
    <n v="89160"/>
    <s v="United States"/>
    <x v="6"/>
    <n v="7"/>
    <x v="0"/>
  </r>
  <r>
    <n v="1742"/>
    <s v="Tina"/>
    <s v="Lawson"/>
    <s v="tlawsonkl@paypal.com"/>
    <s v="tlawsonkl"/>
    <x v="84"/>
    <s v="Product Engineer"/>
    <s v="Female"/>
    <s v="Japanese"/>
    <n v="926"/>
    <x v="12"/>
    <d v="2018-07-24T00:00:00"/>
    <x v="4"/>
    <s v="San Antonio"/>
    <n v="78215"/>
    <s v="United States"/>
    <x v="6"/>
    <n v="7"/>
    <x v="0"/>
  </r>
  <r>
    <n v="1841"/>
    <s v="Ann"/>
    <s v="Watkins"/>
    <s v="awatkinsnc@mail.ru"/>
    <s v="awatkinsnc"/>
    <x v="46"/>
    <s v="Financial Analyst"/>
    <s v="Female"/>
    <s v="Alaska Native"/>
    <n v="800"/>
    <x v="1"/>
    <d v="2018-07-24T00:00:00"/>
    <x v="11"/>
    <s v="Denver"/>
    <n v="80228"/>
    <s v="United States"/>
    <x v="6"/>
    <n v="7"/>
    <x v="0"/>
  </r>
  <r>
    <n v="1437"/>
    <s v="Wayne"/>
    <s v="Willis"/>
    <s v="wwillisc4@phoca.cz"/>
    <s v="wwillisc4"/>
    <x v="85"/>
    <s v="Software Consultant"/>
    <s v="Male"/>
    <s v="Argentinian"/>
    <n v="33"/>
    <x v="1"/>
    <d v="2018-07-25T00:00:00"/>
    <x v="24"/>
    <s v="Reno"/>
    <n v="89505"/>
    <s v="United States"/>
    <x v="6"/>
    <n v="7"/>
    <x v="0"/>
  </r>
  <r>
    <n v="1277"/>
    <s v="Brandon"/>
    <s v="Spencer"/>
    <s v="bspencer7o@si.edu"/>
    <s v="bspencer7o"/>
    <x v="22"/>
    <s v="Nuclear Power Engineer"/>
    <s v="Male"/>
    <s v="South American"/>
    <n v="93"/>
    <x v="9"/>
    <d v="2018-07-26T00:00:00"/>
    <x v="19"/>
    <s v="Akron"/>
    <n v="44310"/>
    <s v="United States"/>
    <x v="6"/>
    <n v="7"/>
    <x v="0"/>
  </r>
  <r>
    <n v="1028"/>
    <s v="Diana"/>
    <s v="Burke"/>
    <s v="dburker@amazon.co.uk"/>
    <s v="dburker"/>
    <x v="86"/>
    <s v="Nuclear Power Engineer"/>
    <s v="Female"/>
    <s v="Black or African American"/>
    <n v="598"/>
    <x v="11"/>
    <d v="2018-07-27T00:00:00"/>
    <x v="4"/>
    <s v="Midland"/>
    <n v="79705"/>
    <s v="United States"/>
    <x v="6"/>
    <n v="7"/>
    <x v="0"/>
  </r>
  <r>
    <n v="1116"/>
    <s v="Christina"/>
    <s v="Wheeler"/>
    <s v="cwheeler37@ovh.net"/>
    <s v="cwheeler37"/>
    <x v="3"/>
    <s v="Information Systems Manager"/>
    <s v="Female"/>
    <s v="Mexican"/>
    <n v="966"/>
    <x v="3"/>
    <d v="2018-07-29T00:00:00"/>
    <x v="3"/>
    <s v="Duluth"/>
    <n v="30096"/>
    <s v="United States"/>
    <x v="6"/>
    <n v="7"/>
    <x v="0"/>
  </r>
  <r>
    <n v="1851"/>
    <s v="Linda"/>
    <s v="Washington"/>
    <s v="lwashingtonnm@jalbum.net"/>
    <s v="lwashingtonnm"/>
    <x v="76"/>
    <s v="Teacher"/>
    <s v="Female"/>
    <s v="White"/>
    <n v="912"/>
    <x v="12"/>
    <d v="2018-07-29T00:00:00"/>
    <x v="5"/>
    <s v="Brooklyn"/>
    <n v="11210"/>
    <s v="United States"/>
    <x v="6"/>
    <n v="7"/>
    <x v="0"/>
  </r>
  <r>
    <n v="1950"/>
    <s v="Ashley"/>
    <s v="Ramos"/>
    <s v="aramosqd@sun.com"/>
    <s v="aramosqd"/>
    <x v="87"/>
    <s v="Media Manager IV"/>
    <s v="Female"/>
    <s v="Costa Rican"/>
    <n v="271"/>
    <x v="9"/>
    <d v="2018-07-31T00:00:00"/>
    <x v="22"/>
    <s v="Clearwater"/>
    <n v="33763"/>
    <s v="United States"/>
    <x v="6"/>
    <n v="7"/>
    <x v="0"/>
  </r>
  <r>
    <n v="1839"/>
    <s v="Brenda"/>
    <s v="Montgomery"/>
    <s v="bmontgomeryna@vistaprint.com"/>
    <s v="bmontgomeryna"/>
    <x v="88"/>
    <s v="Technical Writer"/>
    <s v="Female"/>
    <s v="Black or African American"/>
    <n v="936"/>
    <x v="1"/>
    <d v="2018-08-01T00:00:00"/>
    <x v="16"/>
    <s v="Erie"/>
    <n v="16510"/>
    <s v="United States"/>
    <x v="7"/>
    <n v="8"/>
    <x v="0"/>
  </r>
  <r>
    <n v="1017"/>
    <s v="Diana"/>
    <s v="Wells"/>
    <s v="dwellsg@vimeo.com"/>
    <s v="dwellsg"/>
    <x v="89"/>
    <s v="Editor"/>
    <s v="Female"/>
    <s v="Black or African American"/>
    <n v="776"/>
    <x v="1"/>
    <d v="2018-08-02T00:00:00"/>
    <x v="10"/>
    <s v="Chicago"/>
    <n v="60663"/>
    <s v="United States"/>
    <x v="7"/>
    <n v="8"/>
    <x v="0"/>
  </r>
  <r>
    <n v="1298"/>
    <s v="Anna"/>
    <s v="Thomas"/>
    <s v="athomas89@usa.gov"/>
    <s v="athomas89"/>
    <x v="33"/>
    <s v="Food Chemist"/>
    <s v="Female"/>
    <s v="Japanese"/>
    <n v="303"/>
    <x v="12"/>
    <d v="2018-08-04T00:00:00"/>
    <x v="22"/>
    <s v="Orlando"/>
    <n v="32891"/>
    <s v="United States"/>
    <x v="7"/>
    <n v="8"/>
    <x v="0"/>
  </r>
  <r>
    <n v="1234"/>
    <s v="Adam"/>
    <s v="Jenkins"/>
    <s v="ajenkins6h@comcast.net"/>
    <s v="ajenkins6h"/>
    <x v="4"/>
    <s v="Internal Auditor"/>
    <s v="Male"/>
    <s v="White"/>
    <n v="185"/>
    <x v="4"/>
    <d v="2018-08-05T00:00:00"/>
    <x v="4"/>
    <s v="Austin"/>
    <n v="78710"/>
    <s v="United States"/>
    <x v="7"/>
    <n v="8"/>
    <x v="0"/>
  </r>
  <r>
    <n v="1710"/>
    <s v="Deborah"/>
    <s v="Webb"/>
    <s v="dwebbjp@walmart.com"/>
    <s v="dwebbjp"/>
    <x v="44"/>
    <s v="Business Systems Development Analyst"/>
    <s v="Female"/>
    <s v="Black or African American"/>
    <n v="865"/>
    <x v="14"/>
    <d v="2018-08-06T00:00:00"/>
    <x v="29"/>
    <s v="Louisville"/>
    <n v="40293"/>
    <s v="United States"/>
    <x v="7"/>
    <n v="8"/>
    <x v="0"/>
  </r>
  <r>
    <n v="1489"/>
    <s v="Roger"/>
    <s v="Matthews"/>
    <s v="rmatthewsdk@nature.com"/>
    <s v="rmatthewsdk"/>
    <x v="7"/>
    <s v="Environmental Tech"/>
    <s v="Male"/>
    <s v="Black or African American"/>
    <n v="934"/>
    <x v="4"/>
    <d v="2018-08-07T00:00:00"/>
    <x v="2"/>
    <s v="Hampton"/>
    <n v="23668"/>
    <s v="United States"/>
    <x v="7"/>
    <n v="8"/>
    <x v="0"/>
  </r>
  <r>
    <n v="1851"/>
    <s v="Linda"/>
    <s v="Washington"/>
    <s v="lwashingtonnm@jalbum.net"/>
    <s v="lwashingtonnm"/>
    <x v="76"/>
    <s v="Teacher"/>
    <s v="Female"/>
    <s v="White"/>
    <n v="367"/>
    <x v="12"/>
    <d v="2018-08-09T00:00:00"/>
    <x v="5"/>
    <s v="Brooklyn"/>
    <n v="11210"/>
    <s v="United States"/>
    <x v="7"/>
    <n v="8"/>
    <x v="0"/>
  </r>
  <r>
    <n v="1851"/>
    <s v="Linda"/>
    <s v="Washington"/>
    <s v="lwashingtonnm@jalbum.net"/>
    <s v="lwashingtonnm"/>
    <x v="76"/>
    <s v="Teacher"/>
    <s v="Female"/>
    <s v="White"/>
    <n v="262"/>
    <x v="12"/>
    <d v="2018-08-15T00:00:00"/>
    <x v="5"/>
    <s v="Brooklyn"/>
    <n v="11210"/>
    <s v="United States"/>
    <x v="7"/>
    <n v="8"/>
    <x v="0"/>
  </r>
  <r>
    <n v="1024"/>
    <s v="Martha"/>
    <s v="Shaw"/>
    <s v="mshawn@netscape.com"/>
    <s v="mshawn"/>
    <x v="90"/>
    <s v="Research Assistant I"/>
    <s v="Female"/>
    <s v="Black or African American"/>
    <n v="533"/>
    <x v="15"/>
    <d v="2018-08-16T00:00:00"/>
    <x v="9"/>
    <s v="Hartford"/>
    <n v="6145"/>
    <s v="United States"/>
    <x v="7"/>
    <n v="8"/>
    <x v="0"/>
  </r>
  <r>
    <n v="1170"/>
    <s v="Albert"/>
    <s v="Roberts"/>
    <s v="aroberts4p@ezinearticles.com"/>
    <s v="aroberts4p"/>
    <x v="14"/>
    <s v="Accountant I"/>
    <s v="Male"/>
    <s v="White"/>
    <n v="281"/>
    <x v="0"/>
    <d v="2018-08-16T00:00:00"/>
    <x v="4"/>
    <s v="El Paso"/>
    <n v="88574"/>
    <s v="United States"/>
    <x v="7"/>
    <n v="8"/>
    <x v="0"/>
  </r>
  <r>
    <n v="1074"/>
    <s v="Howard"/>
    <s v="Moore"/>
    <s v="hmoore21@bizjournals.com"/>
    <s v="hmoore21"/>
    <x v="91"/>
    <s v="Senior Developer"/>
    <s v="Male"/>
    <s v="Mexican"/>
    <n v="202"/>
    <x v="6"/>
    <d v="2018-08-17T00:00:00"/>
    <x v="22"/>
    <s v="Orlando"/>
    <n v="32803"/>
    <s v="United States"/>
    <x v="7"/>
    <n v="8"/>
    <x v="0"/>
  </r>
  <r>
    <n v="1234"/>
    <s v="Adam"/>
    <s v="Jenkins"/>
    <s v="ajenkins6h@comcast.net"/>
    <s v="ajenkins6h"/>
    <x v="4"/>
    <s v="Internal Auditor"/>
    <s v="Male"/>
    <s v="White"/>
    <n v="818"/>
    <x v="4"/>
    <d v="2018-08-17T00:00:00"/>
    <x v="4"/>
    <s v="Austin"/>
    <n v="78710"/>
    <s v="United States"/>
    <x v="7"/>
    <n v="8"/>
    <x v="0"/>
  </r>
  <r>
    <n v="2000"/>
    <s v="Patricia"/>
    <s v="Austin"/>
    <s v="paustinrr@huffingtonpost.com"/>
    <s v="paustinrr"/>
    <x v="89"/>
    <s v="Assistant Professor"/>
    <s v="Female"/>
    <s v="Eskimo"/>
    <n v="590"/>
    <x v="4"/>
    <d v="2018-08-18T00:00:00"/>
    <x v="1"/>
    <s v="Sacramento"/>
    <n v="94230"/>
    <s v="United States"/>
    <x v="7"/>
    <n v="8"/>
    <x v="0"/>
  </r>
  <r>
    <n v="1806"/>
    <s v="Angela"/>
    <s v="Moreno"/>
    <s v="amorenomd@bloomberg.com"/>
    <s v="amorenomd"/>
    <x v="92"/>
    <s v="Environmental Tech"/>
    <s v="Female"/>
    <s v="Alaska Native"/>
    <n v="312"/>
    <x v="13"/>
    <d v="2018-08-19T00:00:00"/>
    <x v="4"/>
    <s v="San Antonio"/>
    <n v="78265"/>
    <s v="United States"/>
    <x v="7"/>
    <n v="8"/>
    <x v="0"/>
  </r>
  <r>
    <n v="1927"/>
    <s v="Nicole"/>
    <s v="Murray"/>
    <s v="nmurraypq@bravesites.com"/>
    <s v="nmurraypq"/>
    <x v="93"/>
    <s v="Systems Administrator IV"/>
    <s v="Female"/>
    <s v="Costa Rican"/>
    <n v="446"/>
    <x v="1"/>
    <d v="2018-08-19T00:00:00"/>
    <x v="1"/>
    <s v="Sacramento"/>
    <n v="94207"/>
    <s v="United States"/>
    <x v="7"/>
    <n v="8"/>
    <x v="0"/>
  </r>
  <r>
    <n v="1022"/>
    <s v="Todd"/>
    <s v="Peters"/>
    <s v="tpetersl@dot.gov"/>
    <s v="tpetersl"/>
    <x v="74"/>
    <s v="Design Engineer"/>
    <s v="Male"/>
    <s v="Black or African American"/>
    <n v="390"/>
    <x v="1"/>
    <d v="2018-08-20T00:00:00"/>
    <x v="28"/>
    <s v="Washington"/>
    <n v="20430"/>
    <s v="United States"/>
    <x v="7"/>
    <n v="8"/>
    <x v="0"/>
  </r>
  <r>
    <n v="1020"/>
    <s v="Andrea"/>
    <s v="Mason"/>
    <s v="amasonj@yelp.com"/>
    <s v="amasonj"/>
    <x v="34"/>
    <s v="Financial Advisor"/>
    <s v="Female"/>
    <s v="Black or African American"/>
    <n v="368"/>
    <x v="1"/>
    <d v="2018-08-21T00:00:00"/>
    <x v="1"/>
    <s v="San Francisco"/>
    <n v="94105"/>
    <s v="United States"/>
    <x v="7"/>
    <n v="8"/>
    <x v="0"/>
  </r>
  <r>
    <n v="1298"/>
    <s v="Anna"/>
    <s v="Thomas"/>
    <s v="athomas89@usa.gov"/>
    <s v="athomas89"/>
    <x v="33"/>
    <s v="Food Chemist"/>
    <s v="Female"/>
    <s v="Japanese"/>
    <n v="146"/>
    <x v="12"/>
    <d v="2018-08-21T00:00:00"/>
    <x v="22"/>
    <s v="Orlando"/>
    <n v="32891"/>
    <s v="United States"/>
    <x v="7"/>
    <n v="8"/>
    <x v="0"/>
  </r>
  <r>
    <n v="1017"/>
    <s v="Diana"/>
    <s v="Wells"/>
    <s v="dwellsg@vimeo.com"/>
    <s v="dwellsg"/>
    <x v="89"/>
    <s v="Editor"/>
    <s v="Female"/>
    <s v="Black or African American"/>
    <n v="338"/>
    <x v="1"/>
    <d v="2018-08-22T00:00:00"/>
    <x v="10"/>
    <s v="Chicago"/>
    <n v="60663"/>
    <s v="United States"/>
    <x v="7"/>
    <n v="8"/>
    <x v="0"/>
  </r>
  <r>
    <n v="1020"/>
    <s v="Andrea"/>
    <s v="Mason"/>
    <s v="amasonj@yelp.com"/>
    <s v="amasonj"/>
    <x v="34"/>
    <s v="Financial Advisor"/>
    <s v="Female"/>
    <s v="Black or African American"/>
    <n v="246"/>
    <x v="1"/>
    <d v="2018-08-26T00:00:00"/>
    <x v="1"/>
    <s v="San Francisco"/>
    <n v="94105"/>
    <s v="United States"/>
    <x v="7"/>
    <n v="8"/>
    <x v="0"/>
  </r>
  <r>
    <n v="1403"/>
    <s v="Donald"/>
    <s v="Howell"/>
    <s v="dhowellb6@com.com"/>
    <s v="dhowellb6"/>
    <x v="94"/>
    <s v="Account Executive"/>
    <s v="Male"/>
    <s v="Korean"/>
    <n v="209"/>
    <x v="6"/>
    <d v="2018-08-28T00:00:00"/>
    <x v="5"/>
    <s v="Jamaica"/>
    <n v="11499"/>
    <s v="United States"/>
    <x v="7"/>
    <n v="8"/>
    <x v="0"/>
  </r>
  <r>
    <n v="1992"/>
    <s v="Karen"/>
    <s v="Hunt"/>
    <s v="khuntrj@harvard.edu"/>
    <s v="khuntrj"/>
    <x v="95"/>
    <s v="VP Marketing"/>
    <s v="Female"/>
    <s v="White"/>
    <n v="368"/>
    <x v="1"/>
    <d v="2018-08-29T00:00:00"/>
    <x v="18"/>
    <s v="Muncie"/>
    <n v="47306"/>
    <s v="United States"/>
    <x v="7"/>
    <n v="8"/>
    <x v="0"/>
  </r>
  <r>
    <n v="1365"/>
    <s v="Roy"/>
    <s v="Snyder"/>
    <s v="rsnydera4@whitehouse.gov"/>
    <s v="rsnydera4"/>
    <x v="56"/>
    <s v="Help Desk Technician"/>
    <s v="Male"/>
    <s v="Mexican"/>
    <n v="773"/>
    <x v="4"/>
    <d v="2018-08-30T00:00:00"/>
    <x v="22"/>
    <s v="Miami"/>
    <n v="33261"/>
    <s v="United States"/>
    <x v="7"/>
    <n v="8"/>
    <x v="0"/>
  </r>
  <r>
    <n v="1025"/>
    <s v="Bruce"/>
    <s v="Flores"/>
    <s v="bfloreso@icio.us"/>
    <s v="bfloreso"/>
    <x v="96"/>
    <s v="Programmer III"/>
    <s v="Male"/>
    <s v="Black or African American"/>
    <n v="549"/>
    <x v="8"/>
    <d v="2018-08-31T00:00:00"/>
    <x v="1"/>
    <s v="San Francisco"/>
    <n v="94126"/>
    <s v="United States"/>
    <x v="7"/>
    <n v="8"/>
    <x v="0"/>
  </r>
  <r>
    <n v="1116"/>
    <s v="Christina"/>
    <s v="Wheeler"/>
    <s v="cwheeler37@ovh.net"/>
    <s v="cwheeler37"/>
    <x v="3"/>
    <s v="Information Systems Manager"/>
    <s v="Female"/>
    <s v="Mexican"/>
    <n v="772"/>
    <x v="3"/>
    <d v="2018-08-31T00:00:00"/>
    <x v="3"/>
    <s v="Duluth"/>
    <n v="30096"/>
    <s v="United States"/>
    <x v="7"/>
    <n v="8"/>
    <x v="0"/>
  </r>
  <r>
    <n v="1809"/>
    <s v="Melissa"/>
    <s v="Nguyen"/>
    <s v="mnguyenmg@craigslist.org"/>
    <s v="mnguyenmg"/>
    <x v="97"/>
    <s v="Mechanical Systems Engineer"/>
    <s v="Female"/>
    <s v="Black or African American"/>
    <n v="281"/>
    <x v="7"/>
    <d v="2018-08-31T00:00:00"/>
    <x v="6"/>
    <s v="Des Moines"/>
    <n v="50335"/>
    <s v="United States"/>
    <x v="7"/>
    <n v="8"/>
    <x v="0"/>
  </r>
  <r>
    <n v="1234"/>
    <s v="Adam"/>
    <s v="Jenkins"/>
    <s v="ajenkins6h@comcast.net"/>
    <s v="ajenkins6h"/>
    <x v="4"/>
    <s v="Internal Auditor"/>
    <s v="Male"/>
    <s v="White"/>
    <n v="274"/>
    <x v="4"/>
    <d v="2018-09-03T00:00:00"/>
    <x v="4"/>
    <s v="Austin"/>
    <n v="78710"/>
    <s v="United States"/>
    <x v="8"/>
    <n v="9"/>
    <x v="0"/>
  </r>
  <r>
    <n v="1433"/>
    <s v="Harry"/>
    <s v="Fernandez"/>
    <s v="hfernandezc0@redcross.org"/>
    <s v="hfernandezc0"/>
    <x v="55"/>
    <s v="Director of Sales"/>
    <s v="Male"/>
    <s v="Taiwanese"/>
    <n v="147"/>
    <x v="3"/>
    <d v="2018-09-04T00:00:00"/>
    <x v="28"/>
    <s v="Washington"/>
    <n v="20420"/>
    <s v="United States"/>
    <x v="8"/>
    <n v="9"/>
    <x v="0"/>
  </r>
  <r>
    <n v="1298"/>
    <s v="Anna"/>
    <s v="Thomas"/>
    <s v="athomas89@usa.gov"/>
    <s v="athomas89"/>
    <x v="33"/>
    <s v="Food Chemist"/>
    <s v="Female"/>
    <s v="Japanese"/>
    <n v="329"/>
    <x v="12"/>
    <d v="2018-09-05T00:00:00"/>
    <x v="22"/>
    <s v="Orlando"/>
    <n v="32891"/>
    <s v="United States"/>
    <x v="8"/>
    <n v="9"/>
    <x v="0"/>
  </r>
  <r>
    <n v="1709"/>
    <s v="Patrick"/>
    <s v="Hanson"/>
    <s v="phansonjo@imageshack.us"/>
    <s v="phansonjo"/>
    <x v="98"/>
    <s v="VP Quality Control"/>
    <s v="Male"/>
    <s v="Black or African American"/>
    <n v="719"/>
    <x v="1"/>
    <d v="2018-09-06T00:00:00"/>
    <x v="16"/>
    <s v="Pittsburgh"/>
    <n v="15266"/>
    <s v="United States"/>
    <x v="8"/>
    <n v="9"/>
    <x v="0"/>
  </r>
  <r>
    <n v="1170"/>
    <s v="Albert"/>
    <s v="Roberts"/>
    <s v="aroberts4p@ezinearticles.com"/>
    <s v="aroberts4p"/>
    <x v="14"/>
    <s v="Accountant I"/>
    <s v="Male"/>
    <s v="White"/>
    <n v="111"/>
    <x v="0"/>
    <d v="2018-09-07T00:00:00"/>
    <x v="4"/>
    <s v="El Paso"/>
    <n v="88574"/>
    <s v="United States"/>
    <x v="8"/>
    <n v="9"/>
    <x v="0"/>
  </r>
  <r>
    <n v="1277"/>
    <s v="Brandon"/>
    <s v="Spencer"/>
    <s v="bspencer7o@si.edu"/>
    <s v="bspencer7o"/>
    <x v="22"/>
    <s v="Nuclear Power Engineer"/>
    <s v="Male"/>
    <s v="South American"/>
    <n v="536"/>
    <x v="9"/>
    <d v="2018-09-08T00:00:00"/>
    <x v="19"/>
    <s v="Akron"/>
    <n v="44310"/>
    <s v="United States"/>
    <x v="8"/>
    <n v="9"/>
    <x v="0"/>
  </r>
  <r>
    <n v="1880"/>
    <s v="Rebecca"/>
    <s v="Lawson"/>
    <s v="rlawsonof@nsw.gov.au"/>
    <s v="rlawsonof"/>
    <x v="12"/>
    <s v="Software Engineer I"/>
    <s v="Female"/>
    <s v="Taiwanese"/>
    <n v="814"/>
    <x v="1"/>
    <d v="2018-09-08T00:00:00"/>
    <x v="10"/>
    <s v="Chicago"/>
    <n v="60614"/>
    <s v="United States"/>
    <x v="8"/>
    <n v="9"/>
    <x v="0"/>
  </r>
  <r>
    <n v="1880"/>
    <s v="Rebecca"/>
    <s v="Lawson"/>
    <s v="rlawsonof@nsw.gov.au"/>
    <s v="rlawsonof"/>
    <x v="12"/>
    <s v="Software Engineer I"/>
    <s v="Female"/>
    <s v="Taiwanese"/>
    <n v="527"/>
    <x v="1"/>
    <d v="2018-09-08T00:00:00"/>
    <x v="10"/>
    <s v="Chicago"/>
    <n v="60614"/>
    <s v="United States"/>
    <x v="8"/>
    <n v="9"/>
    <x v="0"/>
  </r>
  <r>
    <n v="1880"/>
    <s v="Rebecca"/>
    <s v="Lawson"/>
    <s v="rlawsonof@nsw.gov.au"/>
    <s v="rlawsonof"/>
    <x v="12"/>
    <s v="Software Engineer I"/>
    <s v="Female"/>
    <s v="Taiwanese"/>
    <n v="288"/>
    <x v="1"/>
    <d v="2018-09-09T00:00:00"/>
    <x v="10"/>
    <s v="Chicago"/>
    <n v="60614"/>
    <s v="United States"/>
    <x v="8"/>
    <n v="9"/>
    <x v="0"/>
  </r>
  <r>
    <n v="1020"/>
    <s v="Andrea"/>
    <s v="Mason"/>
    <s v="amasonj@yelp.com"/>
    <s v="amasonj"/>
    <x v="34"/>
    <s v="Financial Advisor"/>
    <s v="Female"/>
    <s v="Black or African American"/>
    <n v="206"/>
    <x v="1"/>
    <d v="2018-09-10T00:00:00"/>
    <x v="1"/>
    <s v="San Francisco"/>
    <n v="94105"/>
    <s v="United States"/>
    <x v="8"/>
    <n v="9"/>
    <x v="0"/>
  </r>
  <r>
    <n v="1994"/>
    <s v="Ronald"/>
    <s v="Fernandez"/>
    <s v="rfernandezrl@dell.com"/>
    <s v="rfernandezrl"/>
    <x v="99"/>
    <s v="Senior Editor"/>
    <s v="Male"/>
    <s v="White"/>
    <n v="657"/>
    <x v="1"/>
    <d v="2018-09-10T00:00:00"/>
    <x v="10"/>
    <s v="Peoria"/>
    <n v="61651"/>
    <s v="United States"/>
    <x v="8"/>
    <n v="9"/>
    <x v="0"/>
  </r>
  <r>
    <n v="1119"/>
    <s v="Jerry"/>
    <s v="Harvey"/>
    <s v="jharvey3a@yahoo.com"/>
    <s v="jharvey3a"/>
    <x v="100"/>
    <s v="Staff Scientist"/>
    <s v="Male"/>
    <s v="Mexican"/>
    <n v="918"/>
    <x v="1"/>
    <d v="2018-09-11T00:00:00"/>
    <x v="4"/>
    <s v="Arlington"/>
    <n v="76004"/>
    <s v="United States"/>
    <x v="8"/>
    <n v="9"/>
    <x v="0"/>
  </r>
  <r>
    <n v="1120"/>
    <s v="Helen"/>
    <s v="Nguyen"/>
    <s v="hnguyen3b@samsung.com"/>
    <s v="hnguyen3b"/>
    <x v="101"/>
    <s v="Pharmacist"/>
    <s v="Female"/>
    <s v="Mexican"/>
    <n v="1000"/>
    <x v="3"/>
    <d v="2018-09-15T00:00:00"/>
    <x v="5"/>
    <s v="New York City"/>
    <n v="10125"/>
    <s v="United States"/>
    <x v="8"/>
    <n v="9"/>
    <x v="0"/>
  </r>
  <r>
    <n v="1234"/>
    <s v="Adam"/>
    <s v="Jenkins"/>
    <s v="ajenkins6h@comcast.net"/>
    <s v="ajenkins6h"/>
    <x v="4"/>
    <s v="Internal Auditor"/>
    <s v="Male"/>
    <s v="White"/>
    <n v="892"/>
    <x v="4"/>
    <d v="2018-09-16T00:00:00"/>
    <x v="4"/>
    <s v="Austin"/>
    <n v="78710"/>
    <s v="United States"/>
    <x v="8"/>
    <n v="9"/>
    <x v="0"/>
  </r>
  <r>
    <n v="1777"/>
    <s v="Shirley"/>
    <s v="Lopez"/>
    <s v="slopezlk@sciencedaily.com"/>
    <s v="slopezlk"/>
    <x v="94"/>
    <s v="Project Manager"/>
    <s v="Female"/>
    <s v="Asian"/>
    <n v="840"/>
    <x v="1"/>
    <d v="2018-09-16T00:00:00"/>
    <x v="7"/>
    <s v="Baton Rouge"/>
    <n v="70883"/>
    <s v="United States"/>
    <x v="8"/>
    <n v="9"/>
    <x v="0"/>
  </r>
  <r>
    <n v="1081"/>
    <s v="Tina"/>
    <s v="Lewis"/>
    <s v="tlewis28@mozilla.org"/>
    <s v="tlewis28"/>
    <x v="63"/>
    <s v="Operator"/>
    <s v="Female"/>
    <s v="Mexican"/>
    <n v="198"/>
    <x v="14"/>
    <d v="2018-09-18T00:00:00"/>
    <x v="19"/>
    <s v="Dayton"/>
    <n v="45426"/>
    <s v="United States"/>
    <x v="8"/>
    <n v="9"/>
    <x v="0"/>
  </r>
  <r>
    <n v="1730"/>
    <s v="Anna"/>
    <s v="Martinez"/>
    <s v="amartinezk9@twitter.com"/>
    <s v="amartinezk9"/>
    <x v="75"/>
    <s v="GIS Technical Architect"/>
    <s v="Female"/>
    <s v="Eskimo"/>
    <n v="699"/>
    <x v="1"/>
    <d v="2018-09-19T00:00:00"/>
    <x v="32"/>
    <s v="Anchorage"/>
    <n v="99517"/>
    <s v="United States"/>
    <x v="8"/>
    <n v="9"/>
    <x v="0"/>
  </r>
  <r>
    <n v="1043"/>
    <s v="Walter"/>
    <s v="Roberts"/>
    <s v="wroberts16@tiny.cc"/>
    <s v="wroberts16"/>
    <x v="66"/>
    <s v="Senior Quality Engineer"/>
    <s v="Male"/>
    <s v="Black or African American"/>
    <n v="649"/>
    <x v="0"/>
    <d v="2018-09-24T00:00:00"/>
    <x v="24"/>
    <s v="Las Vegas"/>
    <n v="89140"/>
    <s v="United States"/>
    <x v="8"/>
    <n v="9"/>
    <x v="0"/>
  </r>
  <r>
    <n v="1234"/>
    <s v="Adam"/>
    <s v="Jenkins"/>
    <s v="ajenkins6h@comcast.net"/>
    <s v="ajenkins6h"/>
    <x v="4"/>
    <s v="Internal Auditor"/>
    <s v="Male"/>
    <s v="White"/>
    <n v="38"/>
    <x v="4"/>
    <d v="2018-09-24T00:00:00"/>
    <x v="4"/>
    <s v="Austin"/>
    <n v="78710"/>
    <s v="United States"/>
    <x v="8"/>
    <n v="9"/>
    <x v="0"/>
  </r>
  <r>
    <n v="1019"/>
    <s v="Lillian"/>
    <s v="Fuller"/>
    <s v="lfulleri@miitbeian.gov.cn"/>
    <s v="lfulleri"/>
    <x v="67"/>
    <s v="Sales Associate"/>
    <s v="Female"/>
    <s v="Black or African American"/>
    <n v="841"/>
    <x v="4"/>
    <d v="2018-09-25T00:00:00"/>
    <x v="33"/>
    <s v="Boise"/>
    <n v="83705"/>
    <s v="United States"/>
    <x v="8"/>
    <n v="9"/>
    <x v="0"/>
  </r>
  <r>
    <n v="1436"/>
    <s v="Ashley"/>
    <s v="Wood"/>
    <s v="awoodc3@nytimes.com"/>
    <s v="awoodc3"/>
    <x v="32"/>
    <s v="Sales Associate"/>
    <s v="Female"/>
    <s v="Argentinian"/>
    <n v="952"/>
    <x v="1"/>
    <d v="2018-09-26T00:00:00"/>
    <x v="24"/>
    <s v="Las Vegas"/>
    <n v="89145"/>
    <s v="United States"/>
    <x v="8"/>
    <n v="9"/>
    <x v="0"/>
  </r>
  <r>
    <n v="1880"/>
    <s v="Rebecca"/>
    <s v="Lawson"/>
    <s v="rlawsonof@nsw.gov.au"/>
    <s v="rlawsonof"/>
    <x v="12"/>
    <s v="Software Engineer I"/>
    <s v="Female"/>
    <s v="Taiwanese"/>
    <n v="618"/>
    <x v="1"/>
    <d v="2018-09-26T00:00:00"/>
    <x v="10"/>
    <s v="Chicago"/>
    <n v="60614"/>
    <s v="United States"/>
    <x v="8"/>
    <n v="9"/>
    <x v="0"/>
  </r>
  <r>
    <n v="1585"/>
    <s v="Heather"/>
    <s v="Berry"/>
    <s v="hberryg8@google.co.jp"/>
    <s v="hberryg8"/>
    <x v="102"/>
    <s v="Automation Specialist IV"/>
    <s v="Female"/>
    <s v="Argentinian"/>
    <n v="345"/>
    <x v="1"/>
    <d v="2018-09-27T00:00:00"/>
    <x v="24"/>
    <s v="Carson City"/>
    <n v="89714"/>
    <s v="United States"/>
    <x v="8"/>
    <n v="9"/>
    <x v="0"/>
  </r>
  <r>
    <n v="1999"/>
    <s v="Gerald"/>
    <s v="Jordan"/>
    <s v="gjordanrq@weibo.com"/>
    <s v="gjordanrq"/>
    <x v="47"/>
    <s v="Tax Accountant"/>
    <s v="Male"/>
    <s v="Costa Rican"/>
    <n v="488"/>
    <x v="1"/>
    <d v="2018-09-27T00:00:00"/>
    <x v="3"/>
    <s v="Columbus"/>
    <n v="31914"/>
    <s v="United States"/>
    <x v="8"/>
    <n v="9"/>
    <x v="0"/>
  </r>
  <r>
    <n v="1234"/>
    <s v="Adam"/>
    <s v="Jenkins"/>
    <s v="ajenkins6h@comcast.net"/>
    <s v="ajenkins6h"/>
    <x v="4"/>
    <s v="Internal Auditor"/>
    <s v="Male"/>
    <s v="White"/>
    <n v="49"/>
    <x v="4"/>
    <d v="2018-09-28T00:00:00"/>
    <x v="4"/>
    <s v="Austin"/>
    <n v="78710"/>
    <s v="United States"/>
    <x v="8"/>
    <n v="9"/>
    <x v="0"/>
  </r>
  <r>
    <n v="1937"/>
    <s v="Harold"/>
    <s v="Howell"/>
    <s v="hhowellq0@freewebs.com"/>
    <s v="hhowellq0"/>
    <x v="67"/>
    <s v="VP Quality Control"/>
    <s v="Male"/>
    <s v="Alaska Native"/>
    <n v="435"/>
    <x v="3"/>
    <d v="2018-09-28T00:00:00"/>
    <x v="28"/>
    <s v="Washington"/>
    <n v="20231"/>
    <s v="United States"/>
    <x v="8"/>
    <n v="9"/>
    <x v="0"/>
  </r>
  <r>
    <n v="1365"/>
    <s v="Roy"/>
    <s v="Snyder"/>
    <s v="rsnydera4@whitehouse.gov"/>
    <s v="rsnydera4"/>
    <x v="56"/>
    <s v="Help Desk Technician"/>
    <s v="Male"/>
    <s v="Mexican"/>
    <n v="63"/>
    <x v="4"/>
    <d v="2018-09-29T00:00:00"/>
    <x v="22"/>
    <s v="Miami"/>
    <n v="33261"/>
    <s v="United States"/>
    <x v="8"/>
    <n v="9"/>
    <x v="0"/>
  </r>
  <r>
    <n v="1646"/>
    <s v="Lori"/>
    <s v="Thompson"/>
    <s v="lthompsonhx@earthlink.net"/>
    <s v="lthompsonhx"/>
    <x v="103"/>
    <s v="Accountant III"/>
    <s v="Female"/>
    <s v="Black or African American"/>
    <n v="537"/>
    <x v="1"/>
    <d v="2018-10-02T00:00:00"/>
    <x v="4"/>
    <s v="Odessa"/>
    <n v="79769"/>
    <s v="United States"/>
    <x v="9"/>
    <n v="10"/>
    <x v="0"/>
  </r>
  <r>
    <n v="1783"/>
    <s v="Juan"/>
    <s v="Jones"/>
    <s v="jjoneslq@vistaprint.com"/>
    <s v="jjoneslq"/>
    <x v="33"/>
    <s v="Programmer III"/>
    <s v="Male"/>
    <s v="Asian"/>
    <n v="953"/>
    <x v="11"/>
    <d v="2018-10-03T00:00:00"/>
    <x v="25"/>
    <s v="Tucson"/>
    <n v="85715"/>
    <s v="United States"/>
    <x v="9"/>
    <n v="10"/>
    <x v="0"/>
  </r>
  <r>
    <n v="1020"/>
    <s v="Andrea"/>
    <s v="Mason"/>
    <s v="amasonj@yelp.com"/>
    <s v="amasonj"/>
    <x v="34"/>
    <s v="Financial Advisor"/>
    <s v="Female"/>
    <s v="Black or African American"/>
    <n v="679"/>
    <x v="1"/>
    <d v="2018-10-06T00:00:00"/>
    <x v="1"/>
    <s v="San Francisco"/>
    <n v="94105"/>
    <s v="United States"/>
    <x v="9"/>
    <n v="10"/>
    <x v="0"/>
  </r>
  <r>
    <n v="1539"/>
    <s v="Chris"/>
    <s v="Fisher"/>
    <s v="cfisherey@netlog.com"/>
    <s v="cfisherey"/>
    <x v="18"/>
    <s v="VP Quality Control"/>
    <s v="Male"/>
    <s v="South American"/>
    <n v="140"/>
    <x v="3"/>
    <d v="2018-10-08T00:00:00"/>
    <x v="4"/>
    <s v="Huntsville"/>
    <n v="77343"/>
    <s v="United States"/>
    <x v="9"/>
    <n v="10"/>
    <x v="0"/>
  </r>
  <r>
    <n v="1017"/>
    <s v="Diana"/>
    <s v="Wells"/>
    <s v="dwellsg@vimeo.com"/>
    <s v="dwellsg"/>
    <x v="89"/>
    <s v="Editor"/>
    <s v="Female"/>
    <s v="Black or African American"/>
    <n v="23"/>
    <x v="1"/>
    <d v="2018-10-10T00:00:00"/>
    <x v="10"/>
    <s v="Chicago"/>
    <n v="60663"/>
    <s v="United States"/>
    <x v="9"/>
    <n v="10"/>
    <x v="0"/>
  </r>
  <r>
    <n v="1928"/>
    <s v="Adam"/>
    <s v="Snyder"/>
    <s v="asnyderpr@technorati.com"/>
    <s v="asnyderpr"/>
    <x v="104"/>
    <s v="VP Accounting"/>
    <s v="Male"/>
    <s v="Costa Rican"/>
    <n v="778"/>
    <x v="14"/>
    <d v="2018-10-10T00:00:00"/>
    <x v="3"/>
    <s v="Atlanta"/>
    <n v="30336"/>
    <s v="United States"/>
    <x v="9"/>
    <n v="10"/>
    <x v="0"/>
  </r>
  <r>
    <n v="1677"/>
    <s v="Juan"/>
    <s v="Long"/>
    <s v="jlongis@state.gov"/>
    <s v="jlongis"/>
    <x v="35"/>
    <s v="Marketing Assistant"/>
    <s v="Male"/>
    <s v="Black or African American"/>
    <n v="685"/>
    <x v="12"/>
    <d v="2018-10-12T00:00:00"/>
    <x v="22"/>
    <s v="Tampa"/>
    <n v="33605"/>
    <s v="United States"/>
    <x v="9"/>
    <n v="10"/>
    <x v="0"/>
  </r>
  <r>
    <n v="1068"/>
    <s v="Phyllis"/>
    <s v="Simmons"/>
    <s v="psimmons1v@moonfruit.com"/>
    <s v="psimmons1v"/>
    <x v="68"/>
    <s v="Assistant Professor"/>
    <s v="Female"/>
    <s v="Mexican"/>
    <n v="147"/>
    <x v="1"/>
    <d v="2018-10-16T00:00:00"/>
    <x v="31"/>
    <s v="Topeka"/>
    <n v="66606"/>
    <s v="United States"/>
    <x v="9"/>
    <n v="10"/>
    <x v="0"/>
  </r>
  <r>
    <n v="1468"/>
    <s v="Cynthia"/>
    <s v="Lopez"/>
    <s v="clopezcz@reverbnation.com"/>
    <s v="clopezcz"/>
    <x v="43"/>
    <s v="Automation Specialist IV"/>
    <s v="Female"/>
    <s v="White"/>
    <n v="580"/>
    <x v="2"/>
    <d v="2018-10-17T00:00:00"/>
    <x v="7"/>
    <s v="New Orleans"/>
    <n v="70116"/>
    <s v="United States"/>
    <x v="9"/>
    <n v="10"/>
    <x v="0"/>
  </r>
  <r>
    <n v="1551"/>
    <s v="Lori"/>
    <s v="Clark"/>
    <s v="lclarkfa@shareasale.com"/>
    <s v="lclarkfa"/>
    <x v="105"/>
    <s v="Internal Auditor"/>
    <s v="Female"/>
    <s v="Taiwanese"/>
    <n v="635"/>
    <x v="0"/>
    <d v="2018-10-19T00:00:00"/>
    <x v="18"/>
    <s v="Evansville"/>
    <n v="47747"/>
    <s v="United States"/>
    <x v="9"/>
    <n v="10"/>
    <x v="0"/>
  </r>
  <r>
    <n v="1020"/>
    <s v="Andrea"/>
    <s v="Mason"/>
    <s v="amasonj@yelp.com"/>
    <s v="amasonj"/>
    <x v="34"/>
    <s v="Financial Advisor"/>
    <s v="Female"/>
    <s v="Black or African American"/>
    <n v="835"/>
    <x v="1"/>
    <d v="2018-10-20T00:00:00"/>
    <x v="1"/>
    <s v="San Francisco"/>
    <n v="94105"/>
    <s v="United States"/>
    <x v="9"/>
    <n v="10"/>
    <x v="0"/>
  </r>
  <r>
    <n v="1771"/>
    <s v="Matthew"/>
    <s v="Garcia"/>
    <s v="mgarciale@usa.gov"/>
    <s v="mgarciale"/>
    <x v="27"/>
    <s v="Recruiting Manager"/>
    <s v="Male"/>
    <s v="Asian"/>
    <n v="56"/>
    <x v="1"/>
    <d v="2018-10-20T00:00:00"/>
    <x v="4"/>
    <s v="Austin"/>
    <n v="78764"/>
    <s v="United States"/>
    <x v="9"/>
    <n v="10"/>
    <x v="0"/>
  </r>
  <r>
    <n v="1092"/>
    <s v="Donna"/>
    <s v="Hanson"/>
    <s v="dhanson2j@salon.com"/>
    <s v="dhanson2j"/>
    <x v="62"/>
    <s v="Assistant Media Planner"/>
    <s v="Female"/>
    <s v="Mexican"/>
    <n v="214"/>
    <x v="12"/>
    <d v="2018-10-21T00:00:00"/>
    <x v="22"/>
    <s v="Sarasota"/>
    <n v="34233"/>
    <s v="United States"/>
    <x v="9"/>
    <n v="10"/>
    <x v="0"/>
  </r>
  <r>
    <n v="1144"/>
    <s v="Lori"/>
    <s v="Harvey"/>
    <s v="lharvey3z@ibm.com"/>
    <s v="lharvey3z"/>
    <x v="23"/>
    <s v="Technical Writer"/>
    <s v="Female"/>
    <s v="Asian"/>
    <n v="673"/>
    <x v="4"/>
    <d v="2018-10-22T00:00:00"/>
    <x v="5"/>
    <s v="Flushing"/>
    <n v="11355"/>
    <s v="United States"/>
    <x v="9"/>
    <n v="10"/>
    <x v="0"/>
  </r>
  <r>
    <n v="1170"/>
    <s v="Albert"/>
    <s v="Roberts"/>
    <s v="aroberts4p@ezinearticles.com"/>
    <s v="aroberts4p"/>
    <x v="14"/>
    <s v="Accountant I"/>
    <s v="Male"/>
    <s v="White"/>
    <n v="1000"/>
    <x v="0"/>
    <d v="2018-10-22T00:00:00"/>
    <x v="4"/>
    <s v="El Paso"/>
    <n v="88574"/>
    <s v="United States"/>
    <x v="9"/>
    <n v="10"/>
    <x v="0"/>
  </r>
  <r>
    <n v="1851"/>
    <s v="Linda"/>
    <s v="Washington"/>
    <s v="lwashingtonnm@jalbum.net"/>
    <s v="lwashingtonnm"/>
    <x v="76"/>
    <s v="Teacher"/>
    <s v="Female"/>
    <s v="White"/>
    <n v="183"/>
    <x v="12"/>
    <d v="2018-10-22T00:00:00"/>
    <x v="5"/>
    <s v="Brooklyn"/>
    <n v="11210"/>
    <s v="United States"/>
    <x v="9"/>
    <n v="10"/>
    <x v="0"/>
  </r>
  <r>
    <n v="1020"/>
    <s v="Andrea"/>
    <s v="Mason"/>
    <s v="amasonj@yelp.com"/>
    <s v="amasonj"/>
    <x v="34"/>
    <s v="Financial Advisor"/>
    <s v="Female"/>
    <s v="Black or African American"/>
    <n v="253"/>
    <x v="1"/>
    <d v="2018-10-24T00:00:00"/>
    <x v="1"/>
    <s v="San Francisco"/>
    <n v="94105"/>
    <s v="United States"/>
    <x v="9"/>
    <n v="10"/>
    <x v="0"/>
  </r>
  <r>
    <n v="1434"/>
    <s v="Cynthia"/>
    <s v="Meyer"/>
    <s v="cmeyerc1@usgs.gov"/>
    <s v="cmeyerc1"/>
    <x v="53"/>
    <s v="Senior Quality Engineer"/>
    <s v="Female"/>
    <s v="Asian"/>
    <n v="957"/>
    <x v="1"/>
    <d v="2018-10-24T00:00:00"/>
    <x v="8"/>
    <s v="Minneapolis"/>
    <n v="55436"/>
    <s v="United States"/>
    <x v="9"/>
    <n v="10"/>
    <x v="0"/>
  </r>
  <r>
    <n v="1851"/>
    <s v="Linda"/>
    <s v="Washington"/>
    <s v="lwashingtonnm@jalbum.net"/>
    <s v="lwashingtonnm"/>
    <x v="76"/>
    <s v="Teacher"/>
    <s v="Female"/>
    <s v="White"/>
    <n v="330"/>
    <x v="12"/>
    <d v="2018-10-24T00:00:00"/>
    <x v="5"/>
    <s v="Brooklyn"/>
    <n v="11210"/>
    <s v="United States"/>
    <x v="9"/>
    <n v="10"/>
    <x v="0"/>
  </r>
  <r>
    <n v="1972"/>
    <s v="Andrew"/>
    <s v="Green"/>
    <s v="agreenqz@businessweek.com"/>
    <s v="agreenqz"/>
    <x v="106"/>
    <s v="Chief Design Engineer"/>
    <s v="Male"/>
    <s v="South American"/>
    <n v="224"/>
    <x v="4"/>
    <d v="2018-10-24T00:00:00"/>
    <x v="17"/>
    <s v="Lincoln"/>
    <n v="68524"/>
    <s v="United States"/>
    <x v="9"/>
    <n v="10"/>
    <x v="0"/>
  </r>
  <r>
    <n v="1365"/>
    <s v="Roy"/>
    <s v="Snyder"/>
    <s v="rsnydera4@whitehouse.gov"/>
    <s v="rsnydera4"/>
    <x v="56"/>
    <s v="Help Desk Technician"/>
    <s v="Male"/>
    <s v="Mexican"/>
    <n v="742"/>
    <x v="4"/>
    <d v="2018-10-30T00:00:00"/>
    <x v="22"/>
    <s v="Miami"/>
    <n v="33261"/>
    <s v="United States"/>
    <x v="9"/>
    <n v="10"/>
    <x v="0"/>
  </r>
  <r>
    <n v="1434"/>
    <s v="Cynthia"/>
    <s v="Meyer"/>
    <s v="cmeyerc1@usgs.gov"/>
    <s v="cmeyerc1"/>
    <x v="53"/>
    <s v="Senior Quality Engineer"/>
    <s v="Female"/>
    <s v="Asian"/>
    <n v="708"/>
    <x v="1"/>
    <d v="2018-10-31T00:00:00"/>
    <x v="8"/>
    <s v="Minneapolis"/>
    <n v="55436"/>
    <s v="United States"/>
    <x v="9"/>
    <n v="10"/>
    <x v="0"/>
  </r>
  <r>
    <n v="1020"/>
    <s v="Andrea"/>
    <s v="Mason"/>
    <s v="amasonj@yelp.com"/>
    <s v="amasonj"/>
    <x v="34"/>
    <s v="Financial Advisor"/>
    <s v="Female"/>
    <s v="Black or African American"/>
    <n v="253"/>
    <x v="1"/>
    <d v="2018-11-01T00:00:00"/>
    <x v="1"/>
    <s v="San Francisco"/>
    <n v="94105"/>
    <s v="United States"/>
    <x v="10"/>
    <n v="11"/>
    <x v="0"/>
  </r>
  <r>
    <n v="1123"/>
    <s v="Randy"/>
    <s v="Hamilton"/>
    <s v="rhamilton3e@loc.gov"/>
    <s v="rhamilton3e"/>
    <x v="82"/>
    <s v="Geological Engineer"/>
    <s v="Male"/>
    <s v="Mexican"/>
    <n v="548"/>
    <x v="0"/>
    <d v="2018-11-05T00:00:00"/>
    <x v="22"/>
    <s v="Tampa"/>
    <n v="33673"/>
    <s v="United States"/>
    <x v="10"/>
    <n v="11"/>
    <x v="0"/>
  </r>
  <r>
    <n v="1851"/>
    <s v="Linda"/>
    <s v="Washington"/>
    <s v="lwashingtonnm@jalbum.net"/>
    <s v="lwashingtonnm"/>
    <x v="76"/>
    <s v="Teacher"/>
    <s v="Female"/>
    <s v="White"/>
    <n v="412"/>
    <x v="12"/>
    <d v="2018-11-07T00:00:00"/>
    <x v="5"/>
    <s v="Brooklyn"/>
    <n v="11210"/>
    <s v="United States"/>
    <x v="10"/>
    <n v="11"/>
    <x v="0"/>
  </r>
  <r>
    <n v="1994"/>
    <s v="Ronald"/>
    <s v="Fernandez"/>
    <s v="rfernandezrl@dell.com"/>
    <s v="rfernandezrl"/>
    <x v="99"/>
    <s v="Senior Editor"/>
    <s v="Male"/>
    <s v="White"/>
    <n v="808"/>
    <x v="1"/>
    <d v="2018-11-07T00:00:00"/>
    <x v="10"/>
    <s v="Peoria"/>
    <n v="61651"/>
    <s v="United States"/>
    <x v="10"/>
    <n v="11"/>
    <x v="0"/>
  </r>
  <r>
    <n v="1234"/>
    <s v="Adam"/>
    <s v="Jenkins"/>
    <s v="ajenkins6h@comcast.net"/>
    <s v="ajenkins6h"/>
    <x v="4"/>
    <s v="Internal Auditor"/>
    <s v="Male"/>
    <s v="White"/>
    <n v="332"/>
    <x v="4"/>
    <d v="2018-11-08T00:00:00"/>
    <x v="4"/>
    <s v="Austin"/>
    <n v="78710"/>
    <s v="United States"/>
    <x v="10"/>
    <n v="11"/>
    <x v="0"/>
  </r>
  <r>
    <n v="1527"/>
    <s v="Diane"/>
    <s v="Meyer"/>
    <s v="dmeyerem@delicious.com"/>
    <s v="dmeyerem"/>
    <x v="107"/>
    <s v="Marketing Assistant"/>
    <s v="Female"/>
    <s v="Eskimo"/>
    <n v="421"/>
    <x v="14"/>
    <d v="2018-11-08T00:00:00"/>
    <x v="2"/>
    <s v="Chesapeake"/>
    <n v="23324"/>
    <s v="United States"/>
    <x v="10"/>
    <n v="11"/>
    <x v="0"/>
  </r>
  <r>
    <n v="1564"/>
    <s v="Marie"/>
    <s v="Nguyen"/>
    <s v="mnguyenfn@constantcontact.com"/>
    <s v="mnguyenfn"/>
    <x v="82"/>
    <s v="Marketing Assistant"/>
    <s v="Female"/>
    <s v="Thai"/>
    <n v="468"/>
    <x v="6"/>
    <d v="2018-11-08T00:00:00"/>
    <x v="34"/>
    <s v="Fort Smith"/>
    <n v="72916"/>
    <s v="United States"/>
    <x v="10"/>
    <n v="11"/>
    <x v="0"/>
  </r>
  <r>
    <n v="1987"/>
    <s v="Willie"/>
    <s v="Mason"/>
    <s v="wmasonre@amazon.co.jp"/>
    <s v="wmasonre"/>
    <x v="108"/>
    <s v="Social Worker"/>
    <s v="Male"/>
    <s v="White"/>
    <n v="546"/>
    <x v="1"/>
    <d v="2018-11-08T00:00:00"/>
    <x v="15"/>
    <s v="Fayetteville"/>
    <n v="28305"/>
    <s v="United States"/>
    <x v="10"/>
    <n v="11"/>
    <x v="0"/>
  </r>
  <r>
    <n v="1039"/>
    <s v="Jonathan"/>
    <s v="Roberts"/>
    <s v="jroberts12@nih.gov"/>
    <s v="jroberts12"/>
    <x v="109"/>
    <s v="Sales Representative"/>
    <s v="Male"/>
    <s v="Black or African American"/>
    <n v="528"/>
    <x v="11"/>
    <d v="2018-11-14T00:00:00"/>
    <x v="29"/>
    <s v="Louisville"/>
    <n v="40298"/>
    <s v="United States"/>
    <x v="10"/>
    <n v="11"/>
    <x v="0"/>
  </r>
  <r>
    <n v="1017"/>
    <s v="Diana"/>
    <s v="Wells"/>
    <s v="dwellsg@vimeo.com"/>
    <s v="dwellsg"/>
    <x v="89"/>
    <s v="Editor"/>
    <s v="Female"/>
    <s v="Black or African American"/>
    <n v="961"/>
    <x v="1"/>
    <d v="2018-11-18T00:00:00"/>
    <x v="10"/>
    <s v="Chicago"/>
    <n v="60663"/>
    <s v="United States"/>
    <x v="10"/>
    <n v="11"/>
    <x v="0"/>
  </r>
  <r>
    <n v="1812"/>
    <s v="Randy"/>
    <s v="Harris"/>
    <s v="rharrismj@omniture.com"/>
    <s v="rharrismj"/>
    <x v="23"/>
    <s v="Clinical Specialist"/>
    <s v="Male"/>
    <s v="Japanese"/>
    <n v="516"/>
    <x v="6"/>
    <d v="2018-11-19T00:00:00"/>
    <x v="20"/>
    <s v="Birmingham"/>
    <n v="35220"/>
    <s v="United States"/>
    <x v="10"/>
    <n v="11"/>
    <x v="0"/>
  </r>
  <r>
    <n v="1072"/>
    <s v="Jacqueline"/>
    <s v="Black"/>
    <s v="jblack1z@epa.gov"/>
    <s v="jblack1z"/>
    <x v="110"/>
    <s v="Occupational Therapist"/>
    <s v="Female"/>
    <s v="Mexican"/>
    <n v="922"/>
    <x v="1"/>
    <d v="2018-11-20T00:00:00"/>
    <x v="3"/>
    <s v="Lawrenceville"/>
    <n v="30245"/>
    <s v="United States"/>
    <x v="10"/>
    <n v="11"/>
    <x v="0"/>
  </r>
  <r>
    <n v="1780"/>
    <s v="Brandon"/>
    <s v="Jones"/>
    <s v="bjonesln@ameblo.jp"/>
    <s v="bjonesln"/>
    <x v="111"/>
    <s v="Mechanical Systems Engineer"/>
    <s v="Male"/>
    <s v="Asian"/>
    <n v="173"/>
    <x v="0"/>
    <d v="2018-11-20T00:00:00"/>
    <x v="4"/>
    <s v="Dallas"/>
    <n v="75367"/>
    <s v="United States"/>
    <x v="10"/>
    <n v="11"/>
    <x v="0"/>
  </r>
  <r>
    <n v="1298"/>
    <s v="Anna"/>
    <s v="Thomas"/>
    <s v="athomas89@usa.gov"/>
    <s v="athomas89"/>
    <x v="33"/>
    <s v="Food Chemist"/>
    <s v="Female"/>
    <s v="Japanese"/>
    <n v="251"/>
    <x v="12"/>
    <d v="2018-11-21T00:00:00"/>
    <x v="22"/>
    <s v="Orlando"/>
    <n v="32891"/>
    <s v="United States"/>
    <x v="10"/>
    <n v="11"/>
    <x v="0"/>
  </r>
  <r>
    <n v="1588"/>
    <s v="David"/>
    <s v="Daniels"/>
    <s v="ddanielsgb@harvard.edu"/>
    <s v="ddanielsgb"/>
    <x v="112"/>
    <s v="Assistant Manager"/>
    <s v="Male"/>
    <s v="Native Hawaiian and Other Pacific Islander (NHPI)"/>
    <n v="997"/>
    <x v="1"/>
    <d v="2018-11-21T00:00:00"/>
    <x v="5"/>
    <s v="Brooklyn"/>
    <n v="11205"/>
    <s v="United States"/>
    <x v="10"/>
    <n v="11"/>
    <x v="0"/>
  </r>
  <r>
    <n v="1298"/>
    <s v="Anna"/>
    <s v="Thomas"/>
    <s v="athomas89@usa.gov"/>
    <s v="athomas89"/>
    <x v="33"/>
    <s v="Food Chemist"/>
    <s v="Female"/>
    <s v="Japanese"/>
    <n v="70"/>
    <x v="12"/>
    <d v="2018-11-22T00:00:00"/>
    <x v="22"/>
    <s v="Orlando"/>
    <n v="32891"/>
    <s v="United States"/>
    <x v="10"/>
    <n v="11"/>
    <x v="0"/>
  </r>
  <r>
    <n v="1714"/>
    <s v="David"/>
    <s v="Howard"/>
    <s v="dhowardjt@jimdo.com"/>
    <s v="dhowardjt"/>
    <x v="113"/>
    <s v="Recruiting Manager"/>
    <s v="Male"/>
    <s v="Black or African American"/>
    <n v="933"/>
    <x v="1"/>
    <d v="2018-11-22T00:00:00"/>
    <x v="5"/>
    <s v="Yonkers"/>
    <n v="10705"/>
    <s v="United States"/>
    <x v="10"/>
    <n v="11"/>
    <x v="0"/>
  </r>
  <r>
    <n v="1362"/>
    <s v="Ashley"/>
    <s v="Wells"/>
    <s v="awellsa1@usnews.com"/>
    <s v="awellsa1"/>
    <x v="114"/>
    <s v="Human Resources Manager"/>
    <s v="Female"/>
    <s v="Mexican"/>
    <n v="860"/>
    <x v="0"/>
    <d v="2018-11-25T00:00:00"/>
    <x v="16"/>
    <s v="Harrisburg"/>
    <n v="17105"/>
    <s v="United States"/>
    <x v="10"/>
    <n v="11"/>
    <x v="0"/>
  </r>
  <r>
    <n v="1365"/>
    <s v="Roy"/>
    <s v="Snyder"/>
    <s v="rsnydera4@whitehouse.gov"/>
    <s v="rsnydera4"/>
    <x v="56"/>
    <s v="Help Desk Technician"/>
    <s v="Male"/>
    <s v="Mexican"/>
    <n v="333"/>
    <x v="4"/>
    <d v="2018-11-27T00:00:00"/>
    <x v="22"/>
    <s v="Miami"/>
    <n v="33261"/>
    <s v="United States"/>
    <x v="10"/>
    <n v="11"/>
    <x v="0"/>
  </r>
  <r>
    <n v="1716"/>
    <s v="Amy"/>
    <s v="Harris"/>
    <s v="aharrisjv@t.co"/>
    <s v="aharrisjv"/>
    <x v="115"/>
    <s v="Systems Administrator IV"/>
    <s v="Female"/>
    <s v="Black or African American"/>
    <n v="864"/>
    <x v="7"/>
    <d v="2018-11-29T00:00:00"/>
    <x v="35"/>
    <s v="Laurel"/>
    <n v="20709"/>
    <s v="United States"/>
    <x v="10"/>
    <n v="11"/>
    <x v="0"/>
  </r>
  <r>
    <n v="1935"/>
    <s v="Steve"/>
    <s v="Kim"/>
    <s v="skimpy@deviantart.com"/>
    <s v="skimpy"/>
    <x v="116"/>
    <s v="Environmental Specialist"/>
    <s v="Male"/>
    <s v="Taiwanese"/>
    <n v="705"/>
    <x v="1"/>
    <d v="2018-12-01T00:00:00"/>
    <x v="36"/>
    <s v="Sioux Falls"/>
    <n v="57198"/>
    <s v="United States"/>
    <x v="11"/>
    <n v="12"/>
    <x v="0"/>
  </r>
  <r>
    <n v="1019"/>
    <s v="Lillian"/>
    <s v="Fuller"/>
    <s v="lfulleri@miitbeian.gov.cn"/>
    <s v="lfulleri"/>
    <x v="67"/>
    <s v="Sales Associate"/>
    <s v="Female"/>
    <s v="Black or African American"/>
    <n v="346"/>
    <x v="4"/>
    <d v="2018-12-03T00:00:00"/>
    <x v="33"/>
    <s v="Boise"/>
    <n v="83705"/>
    <s v="United States"/>
    <x v="11"/>
    <n v="12"/>
    <x v="0"/>
  </r>
  <r>
    <n v="1298"/>
    <s v="Anna"/>
    <s v="Thomas"/>
    <s v="athomas89@usa.gov"/>
    <s v="athomas89"/>
    <x v="33"/>
    <s v="Food Chemist"/>
    <s v="Female"/>
    <s v="Japanese"/>
    <n v="568"/>
    <x v="12"/>
    <d v="2018-12-03T00:00:00"/>
    <x v="22"/>
    <s v="Orlando"/>
    <n v="32891"/>
    <s v="United States"/>
    <x v="11"/>
    <n v="12"/>
    <x v="0"/>
  </r>
  <r>
    <n v="1643"/>
    <s v="Laura"/>
    <s v="Gonzalez"/>
    <s v="lgonzalezhu@merriam-webster.com"/>
    <s v="lgonzalezhu"/>
    <x v="2"/>
    <s v="Civil Engineer"/>
    <s v="Female"/>
    <s v="Black or African American"/>
    <n v="337"/>
    <x v="1"/>
    <d v="2018-12-03T00:00:00"/>
    <x v="1"/>
    <s v="San Diego"/>
    <n v="92153"/>
    <s v="United States"/>
    <x v="11"/>
    <n v="12"/>
    <x v="0"/>
  </r>
  <r>
    <n v="1849"/>
    <s v="Carolyn"/>
    <s v="Olson"/>
    <s v="colsonnk@guardian.co.uk"/>
    <s v="colsonnk"/>
    <x v="102"/>
    <s v="Help Desk Technician"/>
    <s v="Female"/>
    <s v="Mexican"/>
    <n v="626"/>
    <x v="1"/>
    <d v="2018-12-03T00:00:00"/>
    <x v="15"/>
    <s v="High Point"/>
    <n v="27264"/>
    <s v="United States"/>
    <x v="11"/>
    <n v="12"/>
    <x v="0"/>
  </r>
  <r>
    <n v="1998"/>
    <s v="Christopher"/>
    <s v="Stephens"/>
    <s v="cstephensrp@myspace.com"/>
    <s v="cstephensrp"/>
    <x v="10"/>
    <s v="Marketing Assistant"/>
    <s v="Male"/>
    <s v="Hispanic"/>
    <n v="235"/>
    <x v="1"/>
    <d v="2018-12-03T00:00:00"/>
    <x v="8"/>
    <s v="Saint Paul"/>
    <n v="55146"/>
    <s v="United States"/>
    <x v="11"/>
    <n v="12"/>
    <x v="0"/>
  </r>
  <r>
    <n v="1365"/>
    <s v="Roy"/>
    <s v="Snyder"/>
    <s v="rsnydera4@whitehouse.gov"/>
    <s v="rsnydera4"/>
    <x v="56"/>
    <s v="Help Desk Technician"/>
    <s v="Male"/>
    <s v="Mexican"/>
    <n v="121"/>
    <x v="4"/>
    <d v="2018-12-05T00:00:00"/>
    <x v="22"/>
    <s v="Miami"/>
    <n v="33261"/>
    <s v="United States"/>
    <x v="11"/>
    <n v="12"/>
    <x v="0"/>
  </r>
  <r>
    <n v="1952"/>
    <s v="Rachel"/>
    <s v="George"/>
    <s v="rgeorgeqf@paginegialle.it"/>
    <s v="rgeorgeqf"/>
    <x v="117"/>
    <s v="Occupational Therapist"/>
    <s v="Female"/>
    <s v="Black or African American"/>
    <n v="414"/>
    <x v="6"/>
    <d v="2018-12-05T00:00:00"/>
    <x v="0"/>
    <s v="Lansing"/>
    <n v="48930"/>
    <s v="United States"/>
    <x v="11"/>
    <n v="12"/>
    <x v="0"/>
  </r>
  <r>
    <n v="1987"/>
    <s v="Willie"/>
    <s v="Mason"/>
    <s v="wmasonre@amazon.co.jp"/>
    <s v="wmasonre"/>
    <x v="108"/>
    <s v="Social Worker"/>
    <s v="Male"/>
    <s v="White"/>
    <n v="733"/>
    <x v="1"/>
    <d v="2018-12-07T00:00:00"/>
    <x v="15"/>
    <s v="Fayetteville"/>
    <n v="28305"/>
    <s v="United States"/>
    <x v="11"/>
    <n v="12"/>
    <x v="0"/>
  </r>
  <r>
    <n v="1170"/>
    <s v="Albert"/>
    <s v="Roberts"/>
    <s v="aroberts4p@ezinearticles.com"/>
    <s v="aroberts4p"/>
    <x v="14"/>
    <s v="Accountant I"/>
    <s v="Male"/>
    <s v="White"/>
    <n v="773"/>
    <x v="0"/>
    <d v="2018-12-09T00:00:00"/>
    <x v="4"/>
    <s v="El Paso"/>
    <n v="88574"/>
    <s v="United States"/>
    <x v="11"/>
    <n v="12"/>
    <x v="0"/>
  </r>
  <r>
    <n v="1433"/>
    <s v="Harry"/>
    <s v="Fernandez"/>
    <s v="hfernandezc0@redcross.org"/>
    <s v="hfernandezc0"/>
    <x v="55"/>
    <s v="Director of Sales"/>
    <s v="Male"/>
    <s v="Taiwanese"/>
    <n v="411"/>
    <x v="3"/>
    <d v="2018-12-10T00:00:00"/>
    <x v="28"/>
    <s v="Washington"/>
    <n v="20420"/>
    <s v="United States"/>
    <x v="11"/>
    <n v="12"/>
    <x v="0"/>
  </r>
  <r>
    <n v="1298"/>
    <s v="Anna"/>
    <s v="Thomas"/>
    <s v="athomas89@usa.gov"/>
    <s v="athomas89"/>
    <x v="33"/>
    <s v="Food Chemist"/>
    <s v="Female"/>
    <s v="Japanese"/>
    <n v="581"/>
    <x v="12"/>
    <d v="2018-12-13T00:00:00"/>
    <x v="22"/>
    <s v="Orlando"/>
    <n v="32891"/>
    <s v="United States"/>
    <x v="11"/>
    <n v="12"/>
    <x v="0"/>
  </r>
  <r>
    <n v="1019"/>
    <s v="Lillian"/>
    <s v="Fuller"/>
    <s v="lfulleri@miitbeian.gov.cn"/>
    <s v="lfulleri"/>
    <x v="67"/>
    <s v="Sales Associate"/>
    <s v="Female"/>
    <s v="Black or African American"/>
    <n v="231"/>
    <x v="4"/>
    <d v="2018-12-18T00:00:00"/>
    <x v="33"/>
    <s v="Boise"/>
    <n v="83705"/>
    <s v="United States"/>
    <x v="11"/>
    <n v="12"/>
    <x v="0"/>
  </r>
  <r>
    <n v="1034"/>
    <s v="Bruce"/>
    <s v="Wagner"/>
    <s v="bwagnerx@unesco.org"/>
    <s v="bwagnerx"/>
    <x v="118"/>
    <s v="Administrative Officer"/>
    <s v="Male"/>
    <s v="Black or African American"/>
    <n v="968"/>
    <x v="0"/>
    <d v="2018-12-21T00:00:00"/>
    <x v="21"/>
    <s v="Tulsa"/>
    <n v="74108"/>
    <s v="United States"/>
    <x v="11"/>
    <n v="12"/>
    <x v="0"/>
  </r>
  <r>
    <n v="1782"/>
    <s v="Tammy"/>
    <s v="Murray"/>
    <s v="tmurraylp@time.com"/>
    <s v="tmurraylp"/>
    <x v="119"/>
    <s v="Project Manager"/>
    <s v="Female"/>
    <s v="Asian"/>
    <n v="44"/>
    <x v="7"/>
    <d v="2018-12-22T00:00:00"/>
    <x v="31"/>
    <s v="Shawnee Mission"/>
    <n v="66210"/>
    <s v="United States"/>
    <x v="11"/>
    <n v="12"/>
    <x v="0"/>
  </r>
  <r>
    <n v="1984"/>
    <s v="Carol"/>
    <s v="Hill"/>
    <s v="chillrb@loc.gov"/>
    <s v="chillrb"/>
    <x v="120"/>
    <s v="Systems Administrator IV"/>
    <s v="Female"/>
    <s v="White"/>
    <n v="314"/>
    <x v="4"/>
    <d v="2018-12-23T00:00:00"/>
    <x v="13"/>
    <s v="Springfield"/>
    <n v="65810"/>
    <s v="United States"/>
    <x v="11"/>
    <n v="12"/>
    <x v="0"/>
  </r>
  <r>
    <n v="1552"/>
    <s v="Phyllis"/>
    <s v="Castillo"/>
    <s v="pcastillofb@google.fr"/>
    <s v="pcastillofb"/>
    <x v="121"/>
    <s v="Senior Sales Associate"/>
    <s v="Female"/>
    <s v="Mexican"/>
    <n v="928"/>
    <x v="1"/>
    <d v="2018-12-26T00:00:00"/>
    <x v="1"/>
    <s v="San Diego"/>
    <n v="92145"/>
    <s v="United States"/>
    <x v="11"/>
    <n v="12"/>
    <x v="0"/>
  </r>
  <r>
    <n v="1980"/>
    <s v="Frank"/>
    <s v="Harvey"/>
    <s v="fharveyr7@nyu.edu"/>
    <s v="fharveyr7"/>
    <x v="122"/>
    <s v="Accountant III"/>
    <s v="Male"/>
    <s v="White"/>
    <n v="320"/>
    <x v="1"/>
    <d v="2018-12-27T00:00:00"/>
    <x v="1"/>
    <s v="San Jose"/>
    <n v="95138"/>
    <s v="United States"/>
    <x v="11"/>
    <n v="12"/>
    <x v="0"/>
  </r>
  <r>
    <n v="1594"/>
    <s v="Phyllis"/>
    <s v="Reed"/>
    <s v="preedgh@nsw.gov.au"/>
    <s v="preedgh"/>
    <x v="42"/>
    <s v="Research Associate"/>
    <s v="Female"/>
    <s v="Hispanic"/>
    <n v="847"/>
    <x v="1"/>
    <d v="2018-12-31T00:00:00"/>
    <x v="13"/>
    <s v="Kansas City"/>
    <n v="64125"/>
    <s v="United States"/>
    <x v="11"/>
    <n v="12"/>
    <x v="0"/>
  </r>
  <r>
    <n v="1016"/>
    <s v="William"/>
    <s v="Lawson"/>
    <s v="wlawsonf@auda.org.au"/>
    <s v="wlawsonf"/>
    <x v="95"/>
    <s v="Compensation Analyst"/>
    <s v="Male"/>
    <s v="Black or African American"/>
    <n v="610"/>
    <x v="1"/>
    <d v="2019-01-02T00:00:00"/>
    <x v="27"/>
    <s v="Portland"/>
    <n v="97296"/>
    <s v="United States"/>
    <x v="0"/>
    <n v="1"/>
    <x v="1"/>
  </r>
  <r>
    <n v="1365"/>
    <s v="Roy"/>
    <s v="Snyder"/>
    <s v="rsnydera4@whitehouse.gov"/>
    <s v="rsnydera4"/>
    <x v="56"/>
    <s v="Help Desk Technician"/>
    <s v="Male"/>
    <s v="Mexican"/>
    <n v="508"/>
    <x v="4"/>
    <d v="2019-01-04T00:00:00"/>
    <x v="22"/>
    <s v="Miami"/>
    <n v="33261"/>
    <s v="United States"/>
    <x v="0"/>
    <n v="1"/>
    <x v="1"/>
  </r>
  <r>
    <n v="1365"/>
    <s v="Roy"/>
    <s v="Snyder"/>
    <s v="rsnydera4@whitehouse.gov"/>
    <s v="rsnydera4"/>
    <x v="56"/>
    <s v="Help Desk Technician"/>
    <s v="Male"/>
    <s v="Mexican"/>
    <n v="400"/>
    <x v="4"/>
    <d v="2019-01-07T00:00:00"/>
    <x v="22"/>
    <s v="Miami"/>
    <n v="33261"/>
    <s v="United States"/>
    <x v="0"/>
    <n v="1"/>
    <x v="1"/>
  </r>
  <r>
    <n v="1783"/>
    <s v="Juan"/>
    <s v="Jones"/>
    <s v="jjoneslq@vistaprint.com"/>
    <s v="jjoneslq"/>
    <x v="33"/>
    <s v="Programmer III"/>
    <s v="Male"/>
    <s v="Asian"/>
    <n v="66"/>
    <x v="11"/>
    <d v="2019-01-07T00:00:00"/>
    <x v="25"/>
    <s v="Tucson"/>
    <n v="85715"/>
    <s v="United States"/>
    <x v="0"/>
    <n v="1"/>
    <x v="1"/>
  </r>
  <r>
    <n v="1076"/>
    <s v="Paula"/>
    <s v="Henry"/>
    <s v="phenry23@constantcontact.com"/>
    <s v="phenry23"/>
    <x v="123"/>
    <s v="Quality Control Specialist"/>
    <s v="Female"/>
    <s v="Mexican"/>
    <n v="401"/>
    <x v="1"/>
    <d v="2019-01-08T00:00:00"/>
    <x v="15"/>
    <s v="Gastonia"/>
    <n v="28055"/>
    <s v="United States"/>
    <x v="0"/>
    <n v="1"/>
    <x v="1"/>
  </r>
  <r>
    <n v="1020"/>
    <s v="Andrea"/>
    <s v="Mason"/>
    <s v="amasonj@yelp.com"/>
    <s v="amasonj"/>
    <x v="34"/>
    <s v="Financial Advisor"/>
    <s v="Female"/>
    <s v="Black or African American"/>
    <n v="255"/>
    <x v="1"/>
    <d v="2019-01-10T00:00:00"/>
    <x v="1"/>
    <s v="San Francisco"/>
    <n v="94105"/>
    <s v="United States"/>
    <x v="0"/>
    <n v="1"/>
    <x v="1"/>
  </r>
  <r>
    <n v="1170"/>
    <s v="Albert"/>
    <s v="Roberts"/>
    <s v="aroberts4p@ezinearticles.com"/>
    <s v="aroberts4p"/>
    <x v="14"/>
    <s v="Accountant I"/>
    <s v="Male"/>
    <s v="White"/>
    <n v="81"/>
    <x v="0"/>
    <d v="2019-01-10T00:00:00"/>
    <x v="4"/>
    <s v="El Paso"/>
    <n v="88574"/>
    <s v="United States"/>
    <x v="0"/>
    <n v="1"/>
    <x v="1"/>
  </r>
  <r>
    <n v="1998"/>
    <s v="Christopher"/>
    <s v="Stephens"/>
    <s v="cstephensrp@myspace.com"/>
    <s v="cstephensrp"/>
    <x v="10"/>
    <s v="Marketing Assistant"/>
    <s v="Male"/>
    <s v="Hispanic"/>
    <n v="785"/>
    <x v="1"/>
    <d v="2019-01-10T00:00:00"/>
    <x v="8"/>
    <s v="Saint Paul"/>
    <n v="55146"/>
    <s v="United States"/>
    <x v="0"/>
    <n v="1"/>
    <x v="1"/>
  </r>
  <r>
    <n v="1276"/>
    <s v="Andrea"/>
    <s v="Carpenter"/>
    <s v="acarpenter7n@linkedin.com"/>
    <s v="acarpenter7n"/>
    <x v="124"/>
    <s v="Assistant Manager"/>
    <s v="Female"/>
    <s v="Mexican"/>
    <n v="63"/>
    <x v="12"/>
    <d v="2019-01-12T00:00:00"/>
    <x v="5"/>
    <s v="New York City"/>
    <n v="10079"/>
    <s v="United States"/>
    <x v="0"/>
    <n v="1"/>
    <x v="1"/>
  </r>
  <r>
    <n v="1021"/>
    <s v="Amy"/>
    <s v="Jordan"/>
    <s v="ajordank@ed.gov"/>
    <s v="ajordank"/>
    <x v="0"/>
    <s v="Electrical Engineer"/>
    <s v="Female"/>
    <s v="Black or African American"/>
    <n v="626"/>
    <x v="0"/>
    <d v="2019-01-14T00:00:00"/>
    <x v="0"/>
    <s v="Flint"/>
    <n v="48555"/>
    <s v="United States"/>
    <x v="0"/>
    <n v="1"/>
    <x v="1"/>
  </r>
  <r>
    <n v="1944"/>
    <s v="Cynthia"/>
    <s v="Rose"/>
    <s v="croseq7@google.pl"/>
    <s v="croseq7"/>
    <x v="125"/>
    <s v="Assistant Manager"/>
    <s v="Female"/>
    <s v="Taiwanese"/>
    <n v="345"/>
    <x v="11"/>
    <d v="2019-01-14T00:00:00"/>
    <x v="19"/>
    <s v="Cincinnati"/>
    <n v="45238"/>
    <s v="United States"/>
    <x v="0"/>
    <n v="1"/>
    <x v="1"/>
  </r>
  <r>
    <n v="1092"/>
    <s v="Donna"/>
    <s v="Hanson"/>
    <s v="dhanson2j@salon.com"/>
    <s v="dhanson2j"/>
    <x v="62"/>
    <s v="Assistant Media Planner"/>
    <s v="Female"/>
    <s v="Mexican"/>
    <n v="29"/>
    <x v="12"/>
    <d v="2019-01-15T00:00:00"/>
    <x v="22"/>
    <s v="Sarasota"/>
    <n v="34233"/>
    <s v="United States"/>
    <x v="0"/>
    <n v="1"/>
    <x v="1"/>
  </r>
  <r>
    <n v="1022"/>
    <s v="Todd"/>
    <s v="Peters"/>
    <s v="tpetersl@dot.gov"/>
    <s v="tpetersl"/>
    <x v="74"/>
    <s v="Design Engineer"/>
    <s v="Male"/>
    <s v="Black or African American"/>
    <n v="267"/>
    <x v="1"/>
    <d v="2019-01-18T00:00:00"/>
    <x v="28"/>
    <s v="Washington"/>
    <n v="20430"/>
    <s v="United States"/>
    <x v="0"/>
    <n v="1"/>
    <x v="1"/>
  </r>
  <r>
    <n v="1464"/>
    <s v="Wanda"/>
    <s v="Fields"/>
    <s v="wfieldscv@census.gov"/>
    <s v="wfieldscv"/>
    <x v="122"/>
    <s v="Health Coach II"/>
    <s v="Female"/>
    <s v="Korean"/>
    <n v="310"/>
    <x v="1"/>
    <d v="2019-01-18T00:00:00"/>
    <x v="30"/>
    <s v="Nashville"/>
    <n v="37205"/>
    <s v="United States"/>
    <x v="0"/>
    <n v="1"/>
    <x v="1"/>
  </r>
  <r>
    <n v="1812"/>
    <s v="Randy"/>
    <s v="Harris"/>
    <s v="rharrismj@omniture.com"/>
    <s v="rharrismj"/>
    <x v="23"/>
    <s v="Clinical Specialist"/>
    <s v="Male"/>
    <s v="Japanese"/>
    <n v="755"/>
    <x v="6"/>
    <d v="2019-01-18T00:00:00"/>
    <x v="20"/>
    <s v="Birmingham"/>
    <n v="35220"/>
    <s v="United States"/>
    <x v="0"/>
    <n v="1"/>
    <x v="1"/>
  </r>
  <r>
    <n v="1408"/>
    <s v="Jonathan"/>
    <s v="Castillo"/>
    <s v="jcastillobb@i2i.jp"/>
    <s v="jcastillobb"/>
    <x v="126"/>
    <s v="Data Coordiator"/>
    <s v="Male"/>
    <s v="Japanese"/>
    <n v="787"/>
    <x v="1"/>
    <d v="2019-01-20T00:00:00"/>
    <x v="4"/>
    <s v="Gatesville"/>
    <n v="76598"/>
    <s v="United States"/>
    <x v="0"/>
    <n v="1"/>
    <x v="1"/>
  </r>
  <r>
    <n v="1407"/>
    <s v="Adam"/>
    <s v="Marshall"/>
    <s v="amarshallba@yahoo.com"/>
    <s v="amarshallba"/>
    <x v="127"/>
    <s v="Staff Accountant II"/>
    <s v="Male"/>
    <s v="Alaska Native"/>
    <n v="687"/>
    <x v="13"/>
    <d v="2019-01-22T00:00:00"/>
    <x v="1"/>
    <s v="San Diego"/>
    <n v="92153"/>
    <s v="United States"/>
    <x v="0"/>
    <n v="1"/>
    <x v="1"/>
  </r>
  <r>
    <n v="1724"/>
    <s v="Emily"/>
    <s v="Gray"/>
    <s v="egrayk3@amazonaws.com"/>
    <s v="egrayk3"/>
    <x v="128"/>
    <s v="Executive Secretary"/>
    <s v="Female"/>
    <s v="Asian"/>
    <n v="674"/>
    <x v="9"/>
    <d v="2019-01-23T00:00:00"/>
    <x v="4"/>
    <s v="Dallas"/>
    <n v="75221"/>
    <s v="United States"/>
    <x v="0"/>
    <n v="1"/>
    <x v="1"/>
  </r>
  <r>
    <n v="1170"/>
    <s v="Albert"/>
    <s v="Roberts"/>
    <s v="aroberts4p@ezinearticles.com"/>
    <s v="aroberts4p"/>
    <x v="14"/>
    <s v="Accountant I"/>
    <s v="Male"/>
    <s v="White"/>
    <n v="341"/>
    <x v="0"/>
    <d v="2019-02-01T00:00:00"/>
    <x v="4"/>
    <s v="El Paso"/>
    <n v="88574"/>
    <s v="United States"/>
    <x v="1"/>
    <n v="2"/>
    <x v="1"/>
  </r>
  <r>
    <n v="1770"/>
    <s v="Andrea"/>
    <s v="Ward"/>
    <s v="awardld@webs.com"/>
    <s v="awardld"/>
    <x v="19"/>
    <s v="VP Sales"/>
    <s v="Female"/>
    <s v="Asian"/>
    <n v="471"/>
    <x v="14"/>
    <d v="2019-02-02T00:00:00"/>
    <x v="37"/>
    <s v="Trenton"/>
    <n v="8608"/>
    <s v="United States"/>
    <x v="1"/>
    <n v="2"/>
    <x v="1"/>
  </r>
  <r>
    <n v="1298"/>
    <s v="Anna"/>
    <s v="Thomas"/>
    <s v="athomas89@usa.gov"/>
    <s v="athomas89"/>
    <x v="33"/>
    <s v="Food Chemist"/>
    <s v="Female"/>
    <s v="Japanese"/>
    <n v="465"/>
    <x v="12"/>
    <d v="2019-02-07T00:00:00"/>
    <x v="22"/>
    <s v="Orlando"/>
    <n v="32891"/>
    <s v="United States"/>
    <x v="1"/>
    <n v="2"/>
    <x v="1"/>
  </r>
  <r>
    <n v="1996"/>
    <s v="Deborah"/>
    <s v="Garrett"/>
    <s v="dgarrettrn@soup.io"/>
    <s v="dgarrettrn"/>
    <x v="16"/>
    <s v="Speech Pathologist"/>
    <s v="Female"/>
    <s v="White"/>
    <n v="514"/>
    <x v="0"/>
    <d v="2019-02-08T00:00:00"/>
    <x v="13"/>
    <s v="Kansas City"/>
    <n v="64160"/>
    <s v="United States"/>
    <x v="1"/>
    <n v="2"/>
    <x v="1"/>
  </r>
  <r>
    <n v="1092"/>
    <s v="Donna"/>
    <s v="Hanson"/>
    <s v="dhanson2j@salon.com"/>
    <s v="dhanson2j"/>
    <x v="62"/>
    <s v="Assistant Media Planner"/>
    <s v="Female"/>
    <s v="Mexican"/>
    <n v="513"/>
    <x v="12"/>
    <d v="2019-02-09T00:00:00"/>
    <x v="22"/>
    <s v="Sarasota"/>
    <n v="34233"/>
    <s v="United States"/>
    <x v="1"/>
    <n v="2"/>
    <x v="1"/>
  </r>
  <r>
    <n v="1612"/>
    <s v="Jerry"/>
    <s v="Wheeler"/>
    <s v="jwheelergz@studiopress.com"/>
    <s v="jwheelergz"/>
    <x v="129"/>
    <s v="Community Outreach Specialist"/>
    <s v="Male"/>
    <s v="Taiwanese"/>
    <n v="804"/>
    <x v="11"/>
    <d v="2019-02-09T00:00:00"/>
    <x v="38"/>
    <s v="Spartanburg"/>
    <n v="29319"/>
    <s v="United States"/>
    <x v="1"/>
    <n v="2"/>
    <x v="1"/>
  </r>
  <r>
    <n v="1092"/>
    <s v="Donna"/>
    <s v="Hanson"/>
    <s v="dhanson2j@salon.com"/>
    <s v="dhanson2j"/>
    <x v="62"/>
    <s v="Assistant Media Planner"/>
    <s v="Female"/>
    <s v="Mexican"/>
    <n v="958"/>
    <x v="12"/>
    <d v="2019-02-10T00:00:00"/>
    <x v="22"/>
    <s v="Sarasota"/>
    <n v="34233"/>
    <s v="United States"/>
    <x v="1"/>
    <n v="2"/>
    <x v="1"/>
  </r>
  <r>
    <n v="1707"/>
    <s v="Larry"/>
    <s v="Ramos"/>
    <s v="lramosjm@comsenz.com"/>
    <s v="lramosjm"/>
    <x v="45"/>
    <s v="Safety Technician II"/>
    <s v="Male"/>
    <s v="Black or African American"/>
    <n v="412"/>
    <x v="11"/>
    <d v="2019-02-10T00:00:00"/>
    <x v="11"/>
    <s v="Denver"/>
    <n v="80223"/>
    <s v="United States"/>
    <x v="1"/>
    <n v="2"/>
    <x v="1"/>
  </r>
  <r>
    <n v="1593"/>
    <s v="Phyllis"/>
    <s v="Duncan"/>
    <s v="pduncangg@cdbaby.com"/>
    <s v="pduncangg"/>
    <x v="130"/>
    <s v="Actuary"/>
    <s v="Female"/>
    <s v="Hispanic"/>
    <n v="546"/>
    <x v="1"/>
    <d v="2019-02-12T00:00:00"/>
    <x v="22"/>
    <s v="Saint Petersburg"/>
    <n v="33715"/>
    <s v="United States"/>
    <x v="1"/>
    <n v="2"/>
    <x v="1"/>
  </r>
  <r>
    <n v="1298"/>
    <s v="Anna"/>
    <s v="Thomas"/>
    <s v="athomas89@usa.gov"/>
    <s v="athomas89"/>
    <x v="33"/>
    <s v="Food Chemist"/>
    <s v="Female"/>
    <s v="Japanese"/>
    <n v="684"/>
    <x v="12"/>
    <d v="2019-02-14T00:00:00"/>
    <x v="22"/>
    <s v="Orlando"/>
    <n v="32891"/>
    <s v="United States"/>
    <x v="1"/>
    <n v="2"/>
    <x v="1"/>
  </r>
  <r>
    <n v="1277"/>
    <s v="Brandon"/>
    <s v="Spencer"/>
    <s v="bspencer7o@si.edu"/>
    <s v="bspencer7o"/>
    <x v="22"/>
    <s v="Nuclear Power Engineer"/>
    <s v="Male"/>
    <s v="South American"/>
    <n v="385"/>
    <x v="9"/>
    <d v="2019-02-15T00:00:00"/>
    <x v="19"/>
    <s v="Akron"/>
    <n v="44310"/>
    <s v="United States"/>
    <x v="1"/>
    <n v="2"/>
    <x v="1"/>
  </r>
  <r>
    <n v="1298"/>
    <s v="Anna"/>
    <s v="Thomas"/>
    <s v="athomas89@usa.gov"/>
    <s v="athomas89"/>
    <x v="33"/>
    <s v="Food Chemist"/>
    <s v="Female"/>
    <s v="Japanese"/>
    <n v="306"/>
    <x v="12"/>
    <d v="2019-02-15T00:00:00"/>
    <x v="22"/>
    <s v="Orlando"/>
    <n v="32891"/>
    <s v="United States"/>
    <x v="1"/>
    <n v="2"/>
    <x v="1"/>
  </r>
  <r>
    <n v="1021"/>
    <s v="Amy"/>
    <s v="Jordan"/>
    <s v="ajordank@ed.gov"/>
    <s v="ajordank"/>
    <x v="0"/>
    <s v="Electrical Engineer"/>
    <s v="Female"/>
    <s v="Black or African American"/>
    <n v="310"/>
    <x v="0"/>
    <d v="2019-02-16T00:00:00"/>
    <x v="0"/>
    <s v="Flint"/>
    <n v="48555"/>
    <s v="United States"/>
    <x v="1"/>
    <n v="2"/>
    <x v="1"/>
  </r>
  <r>
    <n v="1359"/>
    <s v="Jack"/>
    <s v="Coleman"/>
    <s v="jcoleman9y@economist.com"/>
    <s v="jcoleman9y"/>
    <x v="131"/>
    <s v="Biostatistician II"/>
    <s v="Male"/>
    <s v="South American"/>
    <n v="793"/>
    <x v="4"/>
    <d v="2019-02-16T00:00:00"/>
    <x v="4"/>
    <s v="Houston"/>
    <n v="77293"/>
    <s v="United States"/>
    <x v="1"/>
    <n v="2"/>
    <x v="1"/>
  </r>
  <r>
    <n v="1489"/>
    <s v="Roger"/>
    <s v="Matthews"/>
    <s v="rmatthewsdk@nature.com"/>
    <s v="rmatthewsdk"/>
    <x v="7"/>
    <s v="Environmental Tech"/>
    <s v="Male"/>
    <s v="Black or African American"/>
    <n v="140"/>
    <x v="4"/>
    <d v="2019-02-16T00:00:00"/>
    <x v="2"/>
    <s v="Hampton"/>
    <n v="23668"/>
    <s v="United States"/>
    <x v="1"/>
    <n v="2"/>
    <x v="1"/>
  </r>
  <r>
    <n v="1991"/>
    <s v="Diane"/>
    <s v="Scott"/>
    <s v="dscottri@ask.com"/>
    <s v="dscottri"/>
    <x v="15"/>
    <s v="Librarian"/>
    <s v="Female"/>
    <s v="White"/>
    <n v="850"/>
    <x v="1"/>
    <d v="2019-02-16T00:00:00"/>
    <x v="12"/>
    <s v="Albuquerque"/>
    <n v="87180"/>
    <s v="United States"/>
    <x v="1"/>
    <n v="2"/>
    <x v="1"/>
  </r>
  <r>
    <n v="1553"/>
    <s v="Steve"/>
    <s v="Stone"/>
    <s v="sstonefc@google.it"/>
    <s v="sstonefc"/>
    <x v="132"/>
    <s v="Human Resources Manager"/>
    <s v="Male"/>
    <s v="Japanese"/>
    <n v="236"/>
    <x v="0"/>
    <d v="2019-02-18T00:00:00"/>
    <x v="4"/>
    <s v="Corpus Christi"/>
    <n v="78470"/>
    <s v="United States"/>
    <x v="1"/>
    <n v="2"/>
    <x v="1"/>
  </r>
  <r>
    <n v="1745"/>
    <s v="Randy"/>
    <s v="Torres"/>
    <s v="rtorresko@feedburner.com"/>
    <s v="rtorresko"/>
    <x v="133"/>
    <s v="Professor"/>
    <s v="Male"/>
    <s v="White"/>
    <n v="663"/>
    <x v="3"/>
    <d v="2019-02-21T00:00:00"/>
    <x v="39"/>
    <s v="Honolulu"/>
    <n v="96820"/>
    <s v="United States"/>
    <x v="1"/>
    <n v="2"/>
    <x v="1"/>
  </r>
  <r>
    <n v="1977"/>
    <s v="Martin"/>
    <s v="Snyder"/>
    <s v="msnyderr4@networkadvertising.org"/>
    <s v="msnyderr4"/>
    <x v="134"/>
    <s v="Nurse Practicioner"/>
    <s v="Male"/>
    <s v="White"/>
    <n v="935"/>
    <x v="4"/>
    <d v="2019-02-21T00:00:00"/>
    <x v="1"/>
    <s v="Irvine"/>
    <n v="92717"/>
    <s v="United States"/>
    <x v="1"/>
    <n v="2"/>
    <x v="1"/>
  </r>
  <r>
    <n v="1116"/>
    <s v="Christina"/>
    <s v="Wheeler"/>
    <s v="cwheeler37@ovh.net"/>
    <s v="cwheeler37"/>
    <x v="3"/>
    <s v="Information Systems Manager"/>
    <s v="Female"/>
    <s v="Mexican"/>
    <n v="441"/>
    <x v="3"/>
    <d v="2019-02-22T00:00:00"/>
    <x v="3"/>
    <s v="Duluth"/>
    <n v="30096"/>
    <s v="United States"/>
    <x v="1"/>
    <n v="2"/>
    <x v="1"/>
  </r>
  <r>
    <n v="1715"/>
    <s v="Jesse"/>
    <s v="Barnes"/>
    <s v="jbarnesju@newsvine.com"/>
    <s v="jbarnesju"/>
    <x v="135"/>
    <s v="Assistant Professor"/>
    <s v="Male"/>
    <s v="Black or African American"/>
    <n v="444"/>
    <x v="5"/>
    <d v="2019-02-22T00:00:00"/>
    <x v="40"/>
    <s v="Charleston"/>
    <n v="25326"/>
    <s v="United States"/>
    <x v="1"/>
    <n v="2"/>
    <x v="1"/>
  </r>
  <r>
    <n v="1170"/>
    <s v="Albert"/>
    <s v="Roberts"/>
    <s v="aroberts4p@ezinearticles.com"/>
    <s v="aroberts4p"/>
    <x v="14"/>
    <s v="Accountant I"/>
    <s v="Male"/>
    <s v="White"/>
    <n v="301"/>
    <x v="0"/>
    <d v="2019-02-23T00:00:00"/>
    <x v="4"/>
    <s v="El Paso"/>
    <n v="88574"/>
    <s v="United States"/>
    <x v="1"/>
    <n v="2"/>
    <x v="1"/>
  </r>
  <r>
    <n v="1212"/>
    <s v="Patricia"/>
    <s v="Weaver"/>
    <s v="pweaver5v@merriam-webster.com"/>
    <s v="pweaver5v"/>
    <x v="11"/>
    <s v="Staff Accountant I"/>
    <s v="Female"/>
    <s v="White"/>
    <n v="227"/>
    <x v="6"/>
    <d v="2019-02-26T00:00:00"/>
    <x v="9"/>
    <s v="Hartford"/>
    <n v="6183"/>
    <s v="United States"/>
    <x v="1"/>
    <n v="2"/>
    <x v="1"/>
  </r>
  <r>
    <n v="1081"/>
    <s v="Tina"/>
    <s v="Lewis"/>
    <s v="tlewis28@mozilla.org"/>
    <s v="tlewis28"/>
    <x v="63"/>
    <s v="Operator"/>
    <s v="Female"/>
    <s v="Mexican"/>
    <n v="531"/>
    <x v="14"/>
    <d v="2019-02-28T00:00:00"/>
    <x v="19"/>
    <s v="Dayton"/>
    <n v="45426"/>
    <s v="United States"/>
    <x v="1"/>
    <n v="2"/>
    <x v="1"/>
  </r>
  <r>
    <n v="1550"/>
    <s v="Irene"/>
    <s v="Lane"/>
    <s v="ilanef9@webnode.com"/>
    <s v="ilanef9"/>
    <x v="58"/>
    <s v="VP Accounting"/>
    <s v="Female"/>
    <s v="Native Hawaiian and Other Pacific Islander (NHPI)"/>
    <n v="147"/>
    <x v="1"/>
    <d v="2019-03-01T00:00:00"/>
    <x v="22"/>
    <s v="Jacksonville"/>
    <n v="32225"/>
    <s v="United States"/>
    <x v="2"/>
    <n v="3"/>
    <x v="1"/>
  </r>
  <r>
    <n v="1260"/>
    <s v="Willie"/>
    <s v="King"/>
    <s v="wking77@apache.org"/>
    <s v="wking77"/>
    <x v="39"/>
    <s v="Software Consultant"/>
    <s v="Male"/>
    <s v="Japanese"/>
    <n v="459"/>
    <x v="1"/>
    <d v="2019-03-03T00:00:00"/>
    <x v="26"/>
    <s v="Spokane"/>
    <n v="99215"/>
    <s v="United States"/>
    <x v="2"/>
    <n v="3"/>
    <x v="1"/>
  </r>
  <r>
    <n v="1454"/>
    <s v="Judith"/>
    <s v="Banks"/>
    <s v="jbankscl@angelfire.com"/>
    <s v="jbankscl"/>
    <x v="74"/>
    <s v="Senior Financial Analyst"/>
    <s v="Female"/>
    <s v="Hispanic"/>
    <n v="19"/>
    <x v="1"/>
    <d v="2019-03-04T00:00:00"/>
    <x v="0"/>
    <s v="Farmington"/>
    <n v="48335"/>
    <s v="United States"/>
    <x v="2"/>
    <n v="3"/>
    <x v="1"/>
  </r>
  <r>
    <n v="1435"/>
    <s v="Jesse"/>
    <s v="Brown"/>
    <s v="jbrownc2@who.int"/>
    <s v="jbrownc2"/>
    <x v="19"/>
    <s v="Teacher"/>
    <s v="Male"/>
    <s v="Asian"/>
    <n v="674"/>
    <x v="8"/>
    <d v="2019-03-08T00:00:00"/>
    <x v="16"/>
    <s v="Reading"/>
    <n v="19605"/>
    <s v="United States"/>
    <x v="2"/>
    <n v="3"/>
    <x v="1"/>
  </r>
  <r>
    <n v="1453"/>
    <s v="Frances"/>
    <s v="Willis"/>
    <s v="fwillisck@home.pl"/>
    <s v="fwillisck"/>
    <x v="136"/>
    <s v="Programmer Analyst III"/>
    <s v="Female"/>
    <s v="Korean"/>
    <n v="294"/>
    <x v="1"/>
    <d v="2019-03-09T00:00:00"/>
    <x v="1"/>
    <s v="Sacramento"/>
    <n v="94263"/>
    <s v="United States"/>
    <x v="2"/>
    <n v="3"/>
    <x v="1"/>
  </r>
  <r>
    <n v="1783"/>
    <s v="Juan"/>
    <s v="Jones"/>
    <s v="jjoneslq@vistaprint.com"/>
    <s v="jjoneslq"/>
    <x v="33"/>
    <s v="Programmer III"/>
    <s v="Male"/>
    <s v="Asian"/>
    <n v="439"/>
    <x v="11"/>
    <d v="2019-03-15T00:00:00"/>
    <x v="25"/>
    <s v="Tucson"/>
    <n v="85715"/>
    <s v="United States"/>
    <x v="2"/>
    <n v="3"/>
    <x v="1"/>
  </r>
  <r>
    <n v="1017"/>
    <s v="Diana"/>
    <s v="Wells"/>
    <s v="dwellsg@vimeo.com"/>
    <s v="dwellsg"/>
    <x v="89"/>
    <s v="Editor"/>
    <s v="Female"/>
    <s v="Black or African American"/>
    <n v="311"/>
    <x v="1"/>
    <d v="2019-03-16T00:00:00"/>
    <x v="10"/>
    <s v="Chicago"/>
    <n v="60663"/>
    <s v="United States"/>
    <x v="2"/>
    <n v="3"/>
    <x v="1"/>
  </r>
  <r>
    <n v="1017"/>
    <s v="Diana"/>
    <s v="Wells"/>
    <s v="dwellsg@vimeo.com"/>
    <s v="dwellsg"/>
    <x v="89"/>
    <s v="Editor"/>
    <s v="Female"/>
    <s v="Black or African American"/>
    <n v="364"/>
    <x v="1"/>
    <d v="2019-03-17T00:00:00"/>
    <x v="10"/>
    <s v="Chicago"/>
    <n v="60663"/>
    <s v="United States"/>
    <x v="2"/>
    <n v="3"/>
    <x v="1"/>
  </r>
  <r>
    <n v="1298"/>
    <s v="Anna"/>
    <s v="Thomas"/>
    <s v="athomas89@usa.gov"/>
    <s v="athomas89"/>
    <x v="33"/>
    <s v="Food Chemist"/>
    <s v="Female"/>
    <s v="Japanese"/>
    <n v="459"/>
    <x v="12"/>
    <d v="2019-03-17T00:00:00"/>
    <x v="22"/>
    <s v="Orlando"/>
    <n v="32891"/>
    <s v="United States"/>
    <x v="2"/>
    <n v="3"/>
    <x v="1"/>
  </r>
  <r>
    <n v="1017"/>
    <s v="Diana"/>
    <s v="Wells"/>
    <s v="dwellsg@vimeo.com"/>
    <s v="dwellsg"/>
    <x v="89"/>
    <s v="Editor"/>
    <s v="Female"/>
    <s v="Black or African American"/>
    <n v="291"/>
    <x v="1"/>
    <d v="2019-03-19T00:00:00"/>
    <x v="10"/>
    <s v="Chicago"/>
    <n v="60663"/>
    <s v="United States"/>
    <x v="2"/>
    <n v="3"/>
    <x v="1"/>
  </r>
  <r>
    <n v="1737"/>
    <s v="Fred"/>
    <s v="Carr"/>
    <s v="fcarrkg@narod.ru"/>
    <s v="fcarrkg"/>
    <x v="137"/>
    <s v="Systems Administrator I"/>
    <s v="Male"/>
    <s v="Taiwanese"/>
    <n v="17"/>
    <x v="9"/>
    <d v="2019-03-19T00:00:00"/>
    <x v="1"/>
    <s v="Visalia"/>
    <n v="93291"/>
    <s v="United States"/>
    <x v="2"/>
    <n v="3"/>
    <x v="1"/>
  </r>
  <r>
    <n v="1084"/>
    <s v="Larry"/>
    <s v="Ferguson"/>
    <s v="lferguson2b@theguardian.com"/>
    <s v="lferguson2b"/>
    <x v="17"/>
    <s v="Food Chemist"/>
    <s v="Male"/>
    <s v="Mexican"/>
    <n v="145"/>
    <x v="1"/>
    <d v="2019-03-23T00:00:00"/>
    <x v="14"/>
    <s v="Waltham"/>
    <n v="2453"/>
    <s v="United States"/>
    <x v="2"/>
    <n v="3"/>
    <x v="1"/>
  </r>
  <r>
    <n v="1698"/>
    <s v="Brenda"/>
    <s v="Torres"/>
    <s v="btorresjd@pbs.org"/>
    <s v="btorresjd"/>
    <x v="138"/>
    <s v="Senior Cost Accountant"/>
    <s v="Female"/>
    <s v="Black or African American"/>
    <n v="55"/>
    <x v="4"/>
    <d v="2019-03-27T00:00:00"/>
    <x v="14"/>
    <s v="Worcester"/>
    <n v="1605"/>
    <s v="United States"/>
    <x v="2"/>
    <n v="3"/>
    <x v="1"/>
  </r>
  <r>
    <n v="1721"/>
    <s v="Henry"/>
    <s v="Peters"/>
    <s v="hpetersk0@edublogs.org"/>
    <s v="hpetersk0"/>
    <x v="139"/>
    <s v="Nuclear Power Engineer"/>
    <s v="Male"/>
    <s v="Black or African American"/>
    <n v="962"/>
    <x v="4"/>
    <d v="2019-03-29T00:00:00"/>
    <x v="28"/>
    <s v="Washington"/>
    <n v="20520"/>
    <s v="United States"/>
    <x v="2"/>
    <n v="3"/>
    <x v="1"/>
  </r>
  <r>
    <n v="1880"/>
    <s v="Rebecca"/>
    <s v="Lawson"/>
    <s v="rlawsonof@nsw.gov.au"/>
    <s v="rlawsonof"/>
    <x v="12"/>
    <s v="Software Engineer I"/>
    <s v="Female"/>
    <s v="Taiwanese"/>
    <n v="441"/>
    <x v="1"/>
    <d v="2019-03-31T00:00:00"/>
    <x v="10"/>
    <s v="Chicago"/>
    <n v="60614"/>
    <s v="United States"/>
    <x v="2"/>
    <n v="3"/>
    <x v="1"/>
  </r>
  <r>
    <n v="1436"/>
    <s v="Ashley"/>
    <s v="Wood"/>
    <s v="awoodc3@nytimes.com"/>
    <s v="awoodc3"/>
    <x v="32"/>
    <s v="Sales Associate"/>
    <s v="Female"/>
    <s v="Argentinian"/>
    <n v="601"/>
    <x v="1"/>
    <d v="2019-04-01T00:00:00"/>
    <x v="24"/>
    <s v="Las Vegas"/>
    <n v="89145"/>
    <s v="United States"/>
    <x v="3"/>
    <n v="4"/>
    <x v="1"/>
  </r>
  <r>
    <n v="1603"/>
    <s v="Roy"/>
    <s v="Ellis"/>
    <s v="rellisgq@tiny.cc"/>
    <s v="rellisgq"/>
    <x v="89"/>
    <s v="Help Desk Technician"/>
    <s v="Male"/>
    <s v="Native Hawaiian and Other Pacific Islander (NHPI)"/>
    <n v="987"/>
    <x v="11"/>
    <d v="2019-04-01T00:00:00"/>
    <x v="13"/>
    <s v="Kansas City"/>
    <n v="64187"/>
    <s v="United States"/>
    <x v="3"/>
    <n v="4"/>
    <x v="1"/>
  </r>
  <r>
    <n v="1699"/>
    <s v="Steve"/>
    <s v="Wright"/>
    <s v="swrightje@businessinsider.com"/>
    <s v="swrightje"/>
    <x v="140"/>
    <s v="Staff Scientist"/>
    <s v="Male"/>
    <s v="Black or African American"/>
    <n v="361"/>
    <x v="1"/>
    <d v="2019-04-01T00:00:00"/>
    <x v="40"/>
    <s v="Huntington"/>
    <n v="25716"/>
    <s v="United States"/>
    <x v="3"/>
    <n v="4"/>
    <x v="1"/>
  </r>
  <r>
    <n v="1812"/>
    <s v="Randy"/>
    <s v="Harris"/>
    <s v="rharrismj@omniture.com"/>
    <s v="rharrismj"/>
    <x v="23"/>
    <s v="Clinical Specialist"/>
    <s v="Male"/>
    <s v="Japanese"/>
    <n v="314"/>
    <x v="6"/>
    <d v="2019-04-03T00:00:00"/>
    <x v="20"/>
    <s v="Birmingham"/>
    <n v="35220"/>
    <s v="United States"/>
    <x v="3"/>
    <n v="4"/>
    <x v="1"/>
  </r>
  <r>
    <n v="1757"/>
    <s v="Sandra"/>
    <s v="Sanders"/>
    <s v="ssandersl0@hatena.ne.jp"/>
    <s v="ssandersl0"/>
    <x v="141"/>
    <s v="VP Product Management"/>
    <s v="Female"/>
    <s v="Hispanic"/>
    <n v="875"/>
    <x v="1"/>
    <d v="2019-04-07T00:00:00"/>
    <x v="13"/>
    <s v="Kansas City"/>
    <n v="64193"/>
    <s v="United States"/>
    <x v="3"/>
    <n v="4"/>
    <x v="1"/>
  </r>
  <r>
    <n v="1015"/>
    <s v="Daniel"/>
    <s v="Stanley"/>
    <s v="dstanleye@vk.com"/>
    <s v="dstanleye"/>
    <x v="115"/>
    <s v="Financial Advisor"/>
    <s v="Male"/>
    <s v="Black or African American"/>
    <n v="552"/>
    <x v="1"/>
    <d v="2019-04-08T00:00:00"/>
    <x v="14"/>
    <s v="Lynn"/>
    <n v="1905"/>
    <s v="United States"/>
    <x v="3"/>
    <n v="4"/>
    <x v="1"/>
  </r>
  <r>
    <n v="1084"/>
    <s v="Larry"/>
    <s v="Ferguson"/>
    <s v="lferguson2b@theguardian.com"/>
    <s v="lferguson2b"/>
    <x v="17"/>
    <s v="Food Chemist"/>
    <s v="Male"/>
    <s v="Mexican"/>
    <n v="164"/>
    <x v="1"/>
    <d v="2019-04-09T00:00:00"/>
    <x v="14"/>
    <s v="Waltham"/>
    <n v="2453"/>
    <s v="United States"/>
    <x v="3"/>
    <n v="4"/>
    <x v="1"/>
  </r>
  <r>
    <n v="1436"/>
    <s v="Ashley"/>
    <s v="Wood"/>
    <s v="awoodc3@nytimes.com"/>
    <s v="awoodc3"/>
    <x v="32"/>
    <s v="Sales Associate"/>
    <s v="Female"/>
    <s v="Argentinian"/>
    <n v="959"/>
    <x v="1"/>
    <d v="2019-04-10T00:00:00"/>
    <x v="24"/>
    <s v="Las Vegas"/>
    <n v="89145"/>
    <s v="United States"/>
    <x v="3"/>
    <n v="4"/>
    <x v="1"/>
  </r>
  <r>
    <n v="1436"/>
    <s v="Ashley"/>
    <s v="Wood"/>
    <s v="awoodc3@nytimes.com"/>
    <s v="awoodc3"/>
    <x v="32"/>
    <s v="Sales Associate"/>
    <s v="Female"/>
    <s v="Argentinian"/>
    <n v="662"/>
    <x v="1"/>
    <d v="2019-04-12T00:00:00"/>
    <x v="24"/>
    <s v="Las Vegas"/>
    <n v="89145"/>
    <s v="United States"/>
    <x v="3"/>
    <n v="4"/>
    <x v="1"/>
  </r>
  <r>
    <n v="1996"/>
    <s v="Deborah"/>
    <s v="Garrett"/>
    <s v="dgarrettrn@soup.io"/>
    <s v="dgarrettrn"/>
    <x v="16"/>
    <s v="Speech Pathologist"/>
    <s v="Female"/>
    <s v="White"/>
    <n v="366"/>
    <x v="0"/>
    <d v="2019-04-14T00:00:00"/>
    <x v="13"/>
    <s v="Kansas City"/>
    <n v="64160"/>
    <s v="United States"/>
    <x v="3"/>
    <n v="4"/>
    <x v="1"/>
  </r>
  <r>
    <n v="1997"/>
    <s v="Elizabeth"/>
    <s v="Williams"/>
    <s v="ewilliamsro@google.ca"/>
    <s v="ewilliamsro"/>
    <x v="142"/>
    <s v="Pharmacist"/>
    <s v="Female"/>
    <s v="Japanese"/>
    <n v="836"/>
    <x v="1"/>
    <d v="2019-04-15T00:00:00"/>
    <x v="5"/>
    <s v="New York City"/>
    <n v="10155"/>
    <s v="United States"/>
    <x v="3"/>
    <n v="4"/>
    <x v="1"/>
  </r>
  <r>
    <n v="1298"/>
    <s v="Anna"/>
    <s v="Thomas"/>
    <s v="athomas89@usa.gov"/>
    <s v="athomas89"/>
    <x v="33"/>
    <s v="Food Chemist"/>
    <s v="Female"/>
    <s v="Japanese"/>
    <n v="689"/>
    <x v="12"/>
    <d v="2019-04-16T00:00:00"/>
    <x v="22"/>
    <s v="Orlando"/>
    <n v="32891"/>
    <s v="United States"/>
    <x v="3"/>
    <n v="4"/>
    <x v="1"/>
  </r>
  <r>
    <n v="1298"/>
    <s v="Anna"/>
    <s v="Thomas"/>
    <s v="athomas89@usa.gov"/>
    <s v="athomas89"/>
    <x v="33"/>
    <s v="Food Chemist"/>
    <s v="Female"/>
    <s v="Japanese"/>
    <n v="413"/>
    <x v="12"/>
    <d v="2019-04-18T00:00:00"/>
    <x v="22"/>
    <s v="Orlando"/>
    <n v="32891"/>
    <s v="United States"/>
    <x v="3"/>
    <n v="4"/>
    <x v="1"/>
  </r>
  <r>
    <n v="1298"/>
    <s v="Anna"/>
    <s v="Thomas"/>
    <s v="athomas89@usa.gov"/>
    <s v="athomas89"/>
    <x v="33"/>
    <s v="Food Chemist"/>
    <s v="Female"/>
    <s v="Japanese"/>
    <n v="649"/>
    <x v="12"/>
    <d v="2019-04-18T00:00:00"/>
    <x v="22"/>
    <s v="Orlando"/>
    <n v="32891"/>
    <s v="United States"/>
    <x v="3"/>
    <n v="4"/>
    <x v="1"/>
  </r>
  <r>
    <n v="1409"/>
    <s v="Lawrence"/>
    <s v="Howell"/>
    <s v="lhowellbc@webnode.com"/>
    <s v="lhowellbc"/>
    <x v="1"/>
    <s v="Environmental Specialist"/>
    <s v="Male"/>
    <s v="Hispanic"/>
    <n v="835"/>
    <x v="12"/>
    <d v="2019-04-19T00:00:00"/>
    <x v="37"/>
    <s v="Elizabeth"/>
    <n v="7208"/>
    <s v="United States"/>
    <x v="3"/>
    <n v="4"/>
    <x v="1"/>
  </r>
  <r>
    <n v="1783"/>
    <s v="Juan"/>
    <s v="Jones"/>
    <s v="jjoneslq@vistaprint.com"/>
    <s v="jjoneslq"/>
    <x v="33"/>
    <s v="Programmer III"/>
    <s v="Male"/>
    <s v="Asian"/>
    <n v="415"/>
    <x v="11"/>
    <d v="2019-04-21T00:00:00"/>
    <x v="25"/>
    <s v="Tucson"/>
    <n v="85715"/>
    <s v="United States"/>
    <x v="3"/>
    <n v="4"/>
    <x v="1"/>
  </r>
  <r>
    <n v="1026"/>
    <s v="Jacqueline"/>
    <s v="Ellis"/>
    <s v="jellisp@imageshack.us"/>
    <s v="jellisp"/>
    <x v="6"/>
    <s v="Senior Sales Associate"/>
    <s v="Female"/>
    <s v="Black or African American"/>
    <n v="717"/>
    <x v="1"/>
    <d v="2019-04-24T00:00:00"/>
    <x v="5"/>
    <s v="Bronx"/>
    <n v="10469"/>
    <s v="United States"/>
    <x v="3"/>
    <n v="4"/>
    <x v="1"/>
  </r>
  <r>
    <n v="1090"/>
    <s v="Amanda"/>
    <s v="Moore"/>
    <s v="amoore2h@who.int"/>
    <s v="amoore2h"/>
    <x v="64"/>
    <s v="VP Sales"/>
    <s v="Female"/>
    <s v="Mexican"/>
    <n v="619"/>
    <x v="4"/>
    <d v="2019-04-25T00:00:00"/>
    <x v="16"/>
    <s v="Philadelphia"/>
    <n v="19136"/>
    <s v="United States"/>
    <x v="3"/>
    <n v="4"/>
    <x v="1"/>
  </r>
  <r>
    <n v="1584"/>
    <s v="Barbara"/>
    <s v="Moore"/>
    <s v="bmooreg7@oakley.com"/>
    <s v="bmooreg7"/>
    <x v="74"/>
    <s v="Media Manager IV"/>
    <s v="Female"/>
    <s v="Hispanic"/>
    <n v="546"/>
    <x v="3"/>
    <d v="2019-04-27T00:00:00"/>
    <x v="1"/>
    <s v="Los Angeles"/>
    <n v="90005"/>
    <s v="United States"/>
    <x v="3"/>
    <n v="4"/>
    <x v="1"/>
  </r>
  <r>
    <n v="1774"/>
    <s v="Jane"/>
    <s v="Flores"/>
    <s v="jfloreslh@alibaba.com"/>
    <s v="jfloreslh"/>
    <x v="143"/>
    <s v="Biostatistician III"/>
    <s v="Female"/>
    <s v="Asian"/>
    <n v="978"/>
    <x v="1"/>
    <d v="2019-04-27T00:00:00"/>
    <x v="5"/>
    <s v="New York City"/>
    <n v="10004"/>
    <s v="United States"/>
    <x v="3"/>
    <n v="4"/>
    <x v="1"/>
  </r>
  <r>
    <n v="1026"/>
    <s v="Jacqueline"/>
    <s v="Ellis"/>
    <s v="jellisp@imageshack.us"/>
    <s v="jellisp"/>
    <x v="6"/>
    <s v="Senior Sales Associate"/>
    <s v="Female"/>
    <s v="Black or African American"/>
    <n v="42"/>
    <x v="1"/>
    <d v="2019-04-29T00:00:00"/>
    <x v="5"/>
    <s v="Bronx"/>
    <n v="10469"/>
    <s v="United States"/>
    <x v="3"/>
    <n v="4"/>
    <x v="1"/>
  </r>
  <r>
    <n v="1402"/>
    <s v="Frank"/>
    <s v="Thompson"/>
    <s v="fthompsonb5@trellian.com"/>
    <s v="fthompsonb5"/>
    <x v="144"/>
    <s v="Nurse"/>
    <s v="Male"/>
    <s v="Native Hawaiian and Other Pacific Islander (NHPI)"/>
    <n v="229"/>
    <x v="6"/>
    <d v="2019-05-01T00:00:00"/>
    <x v="22"/>
    <s v="Saint Petersburg"/>
    <n v="33715"/>
    <s v="United States"/>
    <x v="4"/>
    <n v="5"/>
    <x v="1"/>
  </r>
  <r>
    <n v="1435"/>
    <s v="Jesse"/>
    <s v="Brown"/>
    <s v="jbrownc2@who.int"/>
    <s v="jbrownc2"/>
    <x v="19"/>
    <s v="Teacher"/>
    <s v="Male"/>
    <s v="Asian"/>
    <n v="722"/>
    <x v="8"/>
    <d v="2019-05-02T00:00:00"/>
    <x v="16"/>
    <s v="Reading"/>
    <n v="19605"/>
    <s v="United States"/>
    <x v="4"/>
    <n v="5"/>
    <x v="1"/>
  </r>
  <r>
    <n v="1170"/>
    <s v="Albert"/>
    <s v="Roberts"/>
    <s v="aroberts4p@ezinearticles.com"/>
    <s v="aroberts4p"/>
    <x v="14"/>
    <s v="Accountant I"/>
    <s v="Male"/>
    <s v="White"/>
    <n v="742"/>
    <x v="0"/>
    <d v="2019-05-04T00:00:00"/>
    <x v="4"/>
    <s v="El Paso"/>
    <n v="88574"/>
    <s v="United States"/>
    <x v="4"/>
    <n v="5"/>
    <x v="1"/>
  </r>
  <r>
    <n v="1880"/>
    <s v="Rebecca"/>
    <s v="Lawson"/>
    <s v="rlawsonof@nsw.gov.au"/>
    <s v="rlawsonof"/>
    <x v="12"/>
    <s v="Software Engineer I"/>
    <s v="Female"/>
    <s v="Taiwanese"/>
    <n v="530"/>
    <x v="1"/>
    <d v="2019-05-05T00:00:00"/>
    <x v="10"/>
    <s v="Chicago"/>
    <n v="60614"/>
    <s v="United States"/>
    <x v="4"/>
    <n v="5"/>
    <x v="1"/>
  </r>
  <r>
    <n v="1436"/>
    <s v="Ashley"/>
    <s v="Wood"/>
    <s v="awoodc3@nytimes.com"/>
    <s v="awoodc3"/>
    <x v="32"/>
    <s v="Sales Associate"/>
    <s v="Female"/>
    <s v="Argentinian"/>
    <n v="995"/>
    <x v="1"/>
    <d v="2019-05-06T00:00:00"/>
    <x v="24"/>
    <s v="Las Vegas"/>
    <n v="89145"/>
    <s v="United States"/>
    <x v="4"/>
    <n v="5"/>
    <x v="1"/>
  </r>
  <r>
    <n v="1996"/>
    <s v="Deborah"/>
    <s v="Garrett"/>
    <s v="dgarrettrn@soup.io"/>
    <s v="dgarrettrn"/>
    <x v="16"/>
    <s v="Speech Pathologist"/>
    <s v="Female"/>
    <s v="White"/>
    <n v="788"/>
    <x v="0"/>
    <d v="2019-05-09T00:00:00"/>
    <x v="13"/>
    <s v="Kansas City"/>
    <n v="64160"/>
    <s v="United States"/>
    <x v="4"/>
    <n v="5"/>
    <x v="1"/>
  </r>
  <r>
    <n v="1026"/>
    <s v="Jacqueline"/>
    <s v="Ellis"/>
    <s v="jellisp@imageshack.us"/>
    <s v="jellisp"/>
    <x v="6"/>
    <s v="Senior Sales Associate"/>
    <s v="Female"/>
    <s v="Black or African American"/>
    <n v="208"/>
    <x v="1"/>
    <d v="2019-05-10T00:00:00"/>
    <x v="5"/>
    <s v="Bronx"/>
    <n v="10469"/>
    <s v="United States"/>
    <x v="4"/>
    <n v="5"/>
    <x v="1"/>
  </r>
  <r>
    <n v="1022"/>
    <s v="Todd"/>
    <s v="Peters"/>
    <s v="tpetersl@dot.gov"/>
    <s v="tpetersl"/>
    <x v="74"/>
    <s v="Design Engineer"/>
    <s v="Male"/>
    <s v="Black or African American"/>
    <n v="501"/>
    <x v="1"/>
    <d v="2019-05-14T00:00:00"/>
    <x v="28"/>
    <s v="Washington"/>
    <n v="20430"/>
    <s v="United States"/>
    <x v="4"/>
    <n v="5"/>
    <x v="1"/>
  </r>
  <r>
    <n v="1468"/>
    <s v="Cynthia"/>
    <s v="Lopez"/>
    <s v="clopezcz@reverbnation.com"/>
    <s v="clopezcz"/>
    <x v="43"/>
    <s v="Automation Specialist IV"/>
    <s v="Female"/>
    <s v="White"/>
    <n v="296"/>
    <x v="2"/>
    <d v="2019-05-14T00:00:00"/>
    <x v="7"/>
    <s v="New Orleans"/>
    <n v="70116"/>
    <s v="United States"/>
    <x v="4"/>
    <n v="5"/>
    <x v="1"/>
  </r>
  <r>
    <n v="1984"/>
    <s v="Carol"/>
    <s v="Hill"/>
    <s v="chillrb@loc.gov"/>
    <s v="chillrb"/>
    <x v="120"/>
    <s v="Systems Administrator IV"/>
    <s v="Female"/>
    <s v="White"/>
    <n v="805"/>
    <x v="4"/>
    <d v="2019-05-14T00:00:00"/>
    <x v="13"/>
    <s v="Springfield"/>
    <n v="65810"/>
    <s v="United States"/>
    <x v="4"/>
    <n v="5"/>
    <x v="1"/>
  </r>
  <r>
    <n v="1017"/>
    <s v="Diana"/>
    <s v="Wells"/>
    <s v="dwellsg@vimeo.com"/>
    <s v="dwellsg"/>
    <x v="89"/>
    <s v="Editor"/>
    <s v="Female"/>
    <s v="Black or African American"/>
    <n v="881"/>
    <x v="1"/>
    <d v="2019-05-16T00:00:00"/>
    <x v="10"/>
    <s v="Chicago"/>
    <n v="60663"/>
    <s v="United States"/>
    <x v="4"/>
    <n v="5"/>
    <x v="1"/>
  </r>
  <r>
    <n v="1489"/>
    <s v="Roger"/>
    <s v="Matthews"/>
    <s v="rmatthewsdk@nature.com"/>
    <s v="rmatthewsdk"/>
    <x v="7"/>
    <s v="Environmental Tech"/>
    <s v="Male"/>
    <s v="Black or African American"/>
    <n v="455"/>
    <x v="4"/>
    <d v="2019-05-16T00:00:00"/>
    <x v="2"/>
    <s v="Hampton"/>
    <n v="23668"/>
    <s v="United States"/>
    <x v="4"/>
    <n v="5"/>
    <x v="1"/>
  </r>
  <r>
    <n v="1020"/>
    <s v="Andrea"/>
    <s v="Mason"/>
    <s v="amasonj@yelp.com"/>
    <s v="amasonj"/>
    <x v="34"/>
    <s v="Financial Advisor"/>
    <s v="Female"/>
    <s v="Black or African American"/>
    <n v="674"/>
    <x v="1"/>
    <d v="2019-05-17T00:00:00"/>
    <x v="1"/>
    <s v="San Francisco"/>
    <n v="94105"/>
    <s v="United States"/>
    <x v="4"/>
    <n v="5"/>
    <x v="1"/>
  </r>
  <r>
    <n v="1277"/>
    <s v="Brandon"/>
    <s v="Spencer"/>
    <s v="bspencer7o@si.edu"/>
    <s v="bspencer7o"/>
    <x v="22"/>
    <s v="Nuclear Power Engineer"/>
    <s v="Male"/>
    <s v="South American"/>
    <n v="310"/>
    <x v="9"/>
    <d v="2019-05-17T00:00:00"/>
    <x v="19"/>
    <s v="Akron"/>
    <n v="44310"/>
    <s v="United States"/>
    <x v="4"/>
    <n v="5"/>
    <x v="1"/>
  </r>
  <r>
    <n v="1610"/>
    <s v="Michael"/>
    <s v="Shaw"/>
    <s v="mshawgx@sogou.com"/>
    <s v="mshawgx"/>
    <x v="145"/>
    <s v="Biostatistician III"/>
    <s v="Male"/>
    <s v="Native Hawaiian and Other Pacific Islander (NHPI)"/>
    <n v="568"/>
    <x v="6"/>
    <d v="2019-05-17T00:00:00"/>
    <x v="11"/>
    <s v="Colorado Springs"/>
    <n v="80920"/>
    <s v="United States"/>
    <x v="4"/>
    <n v="5"/>
    <x v="1"/>
  </r>
  <r>
    <n v="1118"/>
    <s v="Jane"/>
    <s v="Weaver"/>
    <s v="jweaver39@hhs.gov"/>
    <s v="jweaver39"/>
    <x v="146"/>
    <s v="Senior Sales Associate"/>
    <s v="Female"/>
    <s v="Mexican"/>
    <n v="725"/>
    <x v="1"/>
    <d v="2019-05-22T00:00:00"/>
    <x v="19"/>
    <s v="Canton"/>
    <n v="44760"/>
    <s v="United States"/>
    <x v="4"/>
    <n v="5"/>
    <x v="1"/>
  </r>
  <r>
    <n v="1437"/>
    <s v="Wayne"/>
    <s v="Willis"/>
    <s v="wwillisc4@phoca.cz"/>
    <s v="wwillisc4"/>
    <x v="85"/>
    <s v="Software Consultant"/>
    <s v="Male"/>
    <s v="Argentinian"/>
    <n v="687"/>
    <x v="1"/>
    <d v="2019-05-26T00:00:00"/>
    <x v="24"/>
    <s v="Reno"/>
    <n v="89505"/>
    <s v="United States"/>
    <x v="4"/>
    <n v="5"/>
    <x v="1"/>
  </r>
  <r>
    <n v="1997"/>
    <s v="Elizabeth"/>
    <s v="Williams"/>
    <s v="ewilliamsro@google.ca"/>
    <s v="ewilliamsro"/>
    <x v="142"/>
    <s v="Pharmacist"/>
    <s v="Female"/>
    <s v="Japanese"/>
    <n v="551"/>
    <x v="1"/>
    <d v="2019-05-26T00:00:00"/>
    <x v="5"/>
    <s v="New York City"/>
    <n v="10155"/>
    <s v="United States"/>
    <x v="4"/>
    <n v="5"/>
    <x v="1"/>
  </r>
  <r>
    <n v="1298"/>
    <s v="Anna"/>
    <s v="Thomas"/>
    <s v="athomas89@usa.gov"/>
    <s v="athomas89"/>
    <x v="33"/>
    <s v="Food Chemist"/>
    <s v="Female"/>
    <s v="Japanese"/>
    <n v="133"/>
    <x v="12"/>
    <d v="2019-05-27T00:00:00"/>
    <x v="22"/>
    <s v="Orlando"/>
    <n v="32891"/>
    <s v="United States"/>
    <x v="4"/>
    <n v="5"/>
    <x v="1"/>
  </r>
  <r>
    <n v="1930"/>
    <s v="Kathleen"/>
    <s v="Johnston"/>
    <s v="kjohnstonpt@telegraph.co.uk"/>
    <s v="kjohnstonpt"/>
    <x v="147"/>
    <s v="Sales Associate"/>
    <s v="Female"/>
    <s v="Taiwanese"/>
    <n v="613"/>
    <x v="1"/>
    <d v="2019-06-03T00:00:00"/>
    <x v="40"/>
    <s v="Charleston"/>
    <n v="25362"/>
    <s v="United States"/>
    <x v="5"/>
    <n v="6"/>
    <x v="1"/>
  </r>
  <r>
    <n v="1019"/>
    <s v="Lillian"/>
    <s v="Fuller"/>
    <s v="lfulleri@miitbeian.gov.cn"/>
    <s v="lfulleri"/>
    <x v="67"/>
    <s v="Sales Associate"/>
    <s v="Female"/>
    <s v="Black or African American"/>
    <n v="936"/>
    <x v="4"/>
    <d v="2019-06-06T00:00:00"/>
    <x v="33"/>
    <s v="Boise"/>
    <n v="83705"/>
    <s v="United States"/>
    <x v="5"/>
    <n v="6"/>
    <x v="1"/>
  </r>
  <r>
    <n v="1994"/>
    <s v="Ronald"/>
    <s v="Fernandez"/>
    <s v="rfernandezrl@dell.com"/>
    <s v="rfernandezrl"/>
    <x v="99"/>
    <s v="Senior Editor"/>
    <s v="Male"/>
    <s v="White"/>
    <n v="249"/>
    <x v="1"/>
    <d v="2019-06-09T00:00:00"/>
    <x v="10"/>
    <s v="Peoria"/>
    <n v="61651"/>
    <s v="United States"/>
    <x v="5"/>
    <n v="6"/>
    <x v="1"/>
  </r>
  <r>
    <n v="1081"/>
    <s v="Tina"/>
    <s v="Lewis"/>
    <s v="tlewis28@mozilla.org"/>
    <s v="tlewis28"/>
    <x v="63"/>
    <s v="Operator"/>
    <s v="Female"/>
    <s v="Mexican"/>
    <n v="533"/>
    <x v="14"/>
    <d v="2019-06-16T00:00:00"/>
    <x v="19"/>
    <s v="Dayton"/>
    <n v="45426"/>
    <s v="United States"/>
    <x v="5"/>
    <n v="6"/>
    <x v="1"/>
  </r>
  <r>
    <n v="1648"/>
    <s v="Ruby"/>
    <s v="Evans"/>
    <s v="revanshz@tripadvisor.com"/>
    <s v="revanshz"/>
    <x v="148"/>
    <s v="Data Coordiator"/>
    <s v="Female"/>
    <s v="Black or African American"/>
    <n v="339"/>
    <x v="1"/>
    <d v="2019-06-16T00:00:00"/>
    <x v="34"/>
    <s v="Hot Springs National Park"/>
    <n v="71914"/>
    <s v="United States"/>
    <x v="5"/>
    <n v="6"/>
    <x v="1"/>
  </r>
  <r>
    <n v="1668"/>
    <s v="Stephanie"/>
    <s v="Williamson"/>
    <s v="swilliamsonij@whitehouse.gov"/>
    <s v="swilliamsonij"/>
    <x v="28"/>
    <s v="Media Manager I"/>
    <s v="Female"/>
    <s v="Black or African American"/>
    <n v="12"/>
    <x v="5"/>
    <d v="2019-06-16T00:00:00"/>
    <x v="4"/>
    <s v="El Paso"/>
    <n v="79977"/>
    <s v="United States"/>
    <x v="5"/>
    <n v="6"/>
    <x v="1"/>
  </r>
  <r>
    <n v="1095"/>
    <s v="Emily"/>
    <s v="Franklin"/>
    <s v="efranklin2m@google.co.jp"/>
    <s v="efranklin2m"/>
    <x v="67"/>
    <s v="Analyst Programmer"/>
    <s v="Female"/>
    <s v="Mexican"/>
    <n v="246"/>
    <x v="6"/>
    <d v="2019-06-17T00:00:00"/>
    <x v="4"/>
    <s v="Houston"/>
    <n v="77040"/>
    <s v="United States"/>
    <x v="5"/>
    <n v="6"/>
    <x v="1"/>
  </r>
  <r>
    <n v="1468"/>
    <s v="Cynthia"/>
    <s v="Lopez"/>
    <s v="clopezcz@reverbnation.com"/>
    <s v="clopezcz"/>
    <x v="43"/>
    <s v="Automation Specialist IV"/>
    <s v="Female"/>
    <s v="White"/>
    <n v="160"/>
    <x v="2"/>
    <d v="2019-06-17T00:00:00"/>
    <x v="7"/>
    <s v="New Orleans"/>
    <n v="70116"/>
    <s v="United States"/>
    <x v="5"/>
    <n v="6"/>
    <x v="1"/>
  </r>
  <r>
    <n v="1017"/>
    <s v="Diana"/>
    <s v="Wells"/>
    <s v="dwellsg@vimeo.com"/>
    <s v="dwellsg"/>
    <x v="89"/>
    <s v="Editor"/>
    <s v="Female"/>
    <s v="Black or African American"/>
    <n v="728"/>
    <x v="1"/>
    <d v="2019-06-20T00:00:00"/>
    <x v="10"/>
    <s v="Chicago"/>
    <n v="60663"/>
    <s v="United States"/>
    <x v="5"/>
    <n v="6"/>
    <x v="1"/>
  </r>
  <r>
    <n v="1212"/>
    <s v="Patricia"/>
    <s v="Weaver"/>
    <s v="pweaver5v@merriam-webster.com"/>
    <s v="pweaver5v"/>
    <x v="11"/>
    <s v="Staff Accountant I"/>
    <s v="Female"/>
    <s v="White"/>
    <n v="122"/>
    <x v="6"/>
    <d v="2019-06-25T00:00:00"/>
    <x v="9"/>
    <s v="Hartford"/>
    <n v="6183"/>
    <s v="United States"/>
    <x v="5"/>
    <n v="6"/>
    <x v="1"/>
  </r>
  <r>
    <n v="1365"/>
    <s v="Roy"/>
    <s v="Snyder"/>
    <s v="rsnydera4@whitehouse.gov"/>
    <s v="rsnydera4"/>
    <x v="56"/>
    <s v="Help Desk Technician"/>
    <s v="Male"/>
    <s v="Mexican"/>
    <n v="191"/>
    <x v="4"/>
    <d v="2019-06-26T00:00:00"/>
    <x v="22"/>
    <s v="Miami"/>
    <n v="33261"/>
    <s v="United States"/>
    <x v="5"/>
    <n v="6"/>
    <x v="1"/>
  </r>
  <r>
    <n v="1970"/>
    <s v="Shawn"/>
    <s v="Patterson"/>
    <s v="spattersonqx@wix.com"/>
    <s v="spattersonqx"/>
    <x v="149"/>
    <s v="Software Engineer I"/>
    <s v="Male"/>
    <s v="White"/>
    <n v="551"/>
    <x v="1"/>
    <d v="2019-06-28T00:00:00"/>
    <x v="28"/>
    <s v="Washington"/>
    <n v="20088"/>
    <s v="United States"/>
    <x v="5"/>
    <n v="6"/>
    <x v="1"/>
  </r>
  <r>
    <n v="1298"/>
    <s v="Anna"/>
    <s v="Thomas"/>
    <s v="athomas89@usa.gov"/>
    <s v="athomas89"/>
    <x v="33"/>
    <s v="Food Chemist"/>
    <s v="Female"/>
    <s v="Japanese"/>
    <n v="661"/>
    <x v="12"/>
    <d v="2019-06-29T00:00:00"/>
    <x v="22"/>
    <s v="Orlando"/>
    <n v="32891"/>
    <s v="United States"/>
    <x v="5"/>
    <n v="6"/>
    <x v="1"/>
  </r>
  <r>
    <n v="1559"/>
    <s v="Martin"/>
    <s v="Martin"/>
    <s v="mmartinfi@abc.net.au"/>
    <s v="mmartinfi"/>
    <x v="150"/>
    <s v="Quality Control Specialist"/>
    <s v="Male"/>
    <s v="Japanese"/>
    <n v="841"/>
    <x v="6"/>
    <d v="2019-07-01T00:00:00"/>
    <x v="5"/>
    <s v="Utica"/>
    <n v="13505"/>
    <s v="United States"/>
    <x v="6"/>
    <n v="7"/>
    <x v="1"/>
  </r>
  <r>
    <n v="1689"/>
    <s v="Eugene"/>
    <s v="Williamson"/>
    <s v="ewilliamsonj4@patch.com"/>
    <s v="ewilliamsonj4"/>
    <x v="34"/>
    <s v="Accounting Assistant I"/>
    <s v="Male"/>
    <s v="Black or African American"/>
    <n v="610"/>
    <x v="4"/>
    <d v="2019-07-01T00:00:00"/>
    <x v="24"/>
    <s v="Carson City"/>
    <n v="89714"/>
    <s v="United States"/>
    <x v="6"/>
    <n v="7"/>
    <x v="1"/>
  </r>
  <r>
    <n v="1277"/>
    <s v="Brandon"/>
    <s v="Spencer"/>
    <s v="bspencer7o@si.edu"/>
    <s v="bspencer7o"/>
    <x v="22"/>
    <s v="Nuclear Power Engineer"/>
    <s v="Male"/>
    <s v="South American"/>
    <n v="377"/>
    <x v="9"/>
    <d v="2019-07-02T00:00:00"/>
    <x v="19"/>
    <s v="Akron"/>
    <n v="44310"/>
    <s v="United States"/>
    <x v="6"/>
    <n v="7"/>
    <x v="1"/>
  </r>
  <r>
    <n v="1920"/>
    <s v="Julie"/>
    <s v="Jenkins"/>
    <s v="jjenkinspj@sakura.ne.jp"/>
    <s v="jjenkinspj"/>
    <x v="151"/>
    <s v="Administrative Officer"/>
    <s v="Female"/>
    <s v="South American"/>
    <n v="579"/>
    <x v="14"/>
    <d v="2019-07-04T00:00:00"/>
    <x v="5"/>
    <s v="New York City"/>
    <n v="10099"/>
    <s v="United States"/>
    <x v="6"/>
    <n v="7"/>
    <x v="1"/>
  </r>
  <r>
    <n v="1043"/>
    <s v="Walter"/>
    <s v="Roberts"/>
    <s v="wroberts16@tiny.cc"/>
    <s v="wroberts16"/>
    <x v="66"/>
    <s v="Senior Quality Engineer"/>
    <s v="Male"/>
    <s v="Black or African American"/>
    <n v="810"/>
    <x v="0"/>
    <d v="2019-07-07T00:00:00"/>
    <x v="24"/>
    <s v="Las Vegas"/>
    <n v="89140"/>
    <s v="United States"/>
    <x v="6"/>
    <n v="7"/>
    <x v="1"/>
  </r>
  <r>
    <n v="1001"/>
    <s v="George"/>
    <s v="Dunn"/>
    <s v="gdunn0@yellowpages.com"/>
    <s v="gdunn0"/>
    <x v="28"/>
    <s v="Database Administrator II"/>
    <s v="Male"/>
    <s v="Black or African American"/>
    <n v="80"/>
    <x v="6"/>
    <d v="2019-07-08T00:00:00"/>
    <x v="4"/>
    <s v="El Paso"/>
    <n v="88563"/>
    <s v="United States"/>
    <x v="6"/>
    <n v="7"/>
    <x v="1"/>
  </r>
  <r>
    <n v="1017"/>
    <s v="Diana"/>
    <s v="Wells"/>
    <s v="dwellsg@vimeo.com"/>
    <s v="dwellsg"/>
    <x v="89"/>
    <s v="Editor"/>
    <s v="Female"/>
    <s v="Black or African American"/>
    <n v="778"/>
    <x v="1"/>
    <d v="2019-07-08T00:00:00"/>
    <x v="10"/>
    <s v="Chicago"/>
    <n v="60663"/>
    <s v="United States"/>
    <x v="6"/>
    <n v="7"/>
    <x v="1"/>
  </r>
  <r>
    <n v="1468"/>
    <s v="Cynthia"/>
    <s v="Lopez"/>
    <s v="clopezcz@reverbnation.com"/>
    <s v="clopezcz"/>
    <x v="43"/>
    <s v="Automation Specialist IV"/>
    <s v="Female"/>
    <s v="White"/>
    <n v="178"/>
    <x v="2"/>
    <d v="2019-07-09T00:00:00"/>
    <x v="7"/>
    <s v="New Orleans"/>
    <n v="70116"/>
    <s v="United States"/>
    <x v="6"/>
    <n v="7"/>
    <x v="1"/>
  </r>
  <r>
    <n v="1992"/>
    <s v="Karen"/>
    <s v="Hunt"/>
    <s v="khuntrj@harvard.edu"/>
    <s v="khuntrj"/>
    <x v="95"/>
    <s v="VP Marketing"/>
    <s v="Female"/>
    <s v="White"/>
    <n v="819"/>
    <x v="1"/>
    <d v="2019-07-12T00:00:00"/>
    <x v="18"/>
    <s v="Muncie"/>
    <n v="47306"/>
    <s v="United States"/>
    <x v="6"/>
    <n v="7"/>
    <x v="1"/>
  </r>
  <r>
    <n v="1523"/>
    <s v="Johnny"/>
    <s v="Roberts"/>
    <s v="jrobertsei@weather.com"/>
    <s v="jrobertsei"/>
    <x v="54"/>
    <s v="Software Consultant"/>
    <s v="Male"/>
    <s v="Native Hawaiian and Other Pacific Islander (NHPI)"/>
    <n v="535"/>
    <x v="1"/>
    <d v="2019-07-14T00:00:00"/>
    <x v="4"/>
    <s v="Dallas"/>
    <n v="75387"/>
    <s v="United States"/>
    <x v="6"/>
    <n v="7"/>
    <x v="1"/>
  </r>
  <r>
    <n v="1039"/>
    <s v="Jonathan"/>
    <s v="Roberts"/>
    <s v="jroberts12@nih.gov"/>
    <s v="jroberts12"/>
    <x v="109"/>
    <s v="Sales Representative"/>
    <s v="Male"/>
    <s v="Black or African American"/>
    <n v="657"/>
    <x v="11"/>
    <d v="2019-07-15T00:00:00"/>
    <x v="29"/>
    <s v="Louisville"/>
    <n v="40298"/>
    <s v="United States"/>
    <x v="6"/>
    <n v="7"/>
    <x v="1"/>
  </r>
  <r>
    <n v="1597"/>
    <s v="Christopher"/>
    <s v="Evans"/>
    <s v="cevansgk@arstechnica.com"/>
    <s v="cevansgk"/>
    <x v="152"/>
    <s v="Programmer I"/>
    <s v="Male"/>
    <s v="Hispanic"/>
    <n v="330"/>
    <x v="1"/>
    <d v="2019-07-15T00:00:00"/>
    <x v="3"/>
    <s v="Marietta"/>
    <n v="30066"/>
    <s v="United States"/>
    <x v="6"/>
    <n v="7"/>
    <x v="1"/>
  </r>
  <r>
    <n v="1607"/>
    <s v="Bonnie"/>
    <s v="Wallace"/>
    <s v="bwallacegu@t-online.de"/>
    <s v="bwallacegu"/>
    <x v="153"/>
    <s v="Associate Professor"/>
    <s v="Female"/>
    <s v="Japanese"/>
    <n v="73"/>
    <x v="12"/>
    <d v="2019-07-18T00:00:00"/>
    <x v="4"/>
    <s v="Corpus Christi"/>
    <n v="78410"/>
    <s v="United States"/>
    <x v="6"/>
    <n v="7"/>
    <x v="1"/>
  </r>
  <r>
    <n v="1684"/>
    <s v="Peter"/>
    <s v="Mason"/>
    <s v="pmasoniz@diigo.com"/>
    <s v="pmasoniz"/>
    <x v="133"/>
    <s v="Environmental Specialist"/>
    <s v="Male"/>
    <s v="Black or African American"/>
    <n v="841"/>
    <x v="6"/>
    <d v="2019-07-18T00:00:00"/>
    <x v="13"/>
    <s v="Saint Louis"/>
    <n v="63116"/>
    <s v="United States"/>
    <x v="6"/>
    <n v="7"/>
    <x v="1"/>
  </r>
  <r>
    <n v="1747"/>
    <s v="Mary"/>
    <s v="Williamson"/>
    <s v="mwilliamsonkq@elpais.com"/>
    <s v="mwilliamsonkq"/>
    <x v="154"/>
    <s v="Account Representative IV"/>
    <s v="Female"/>
    <s v="Asian"/>
    <n v="641"/>
    <x v="1"/>
    <d v="2019-07-21T00:00:00"/>
    <x v="4"/>
    <s v="Houston"/>
    <n v="77250"/>
    <s v="United States"/>
    <x v="6"/>
    <n v="7"/>
    <x v="1"/>
  </r>
  <r>
    <n v="1077"/>
    <s v="Craig"/>
    <s v="Welch"/>
    <s v="cwelch24@geocities.com"/>
    <s v="cwelch24"/>
    <x v="155"/>
    <s v="Dental Hygienist"/>
    <s v="Male"/>
    <s v="Mexican"/>
    <n v="26"/>
    <x v="1"/>
    <d v="2019-07-23T00:00:00"/>
    <x v="15"/>
    <s v="Fayetteville"/>
    <n v="28305"/>
    <s v="United States"/>
    <x v="6"/>
    <n v="7"/>
    <x v="1"/>
  </r>
  <r>
    <n v="1298"/>
    <s v="Anna"/>
    <s v="Thomas"/>
    <s v="athomas89@usa.gov"/>
    <s v="athomas89"/>
    <x v="33"/>
    <s v="Food Chemist"/>
    <s v="Female"/>
    <s v="Japanese"/>
    <n v="507"/>
    <x v="12"/>
    <d v="2019-07-23T00:00:00"/>
    <x v="22"/>
    <s v="Orlando"/>
    <n v="32891"/>
    <s v="United States"/>
    <x v="6"/>
    <n v="7"/>
    <x v="1"/>
  </r>
  <r>
    <n v="1773"/>
    <s v="Nicholas"/>
    <s v="Stevens"/>
    <s v="nstevenslg@sbwire.com"/>
    <s v="nstevenslg"/>
    <x v="15"/>
    <s v="GIS Technical Architect"/>
    <s v="Male"/>
    <s v="Asian"/>
    <n v="195"/>
    <x v="1"/>
    <d v="2019-07-23T00:00:00"/>
    <x v="16"/>
    <s v="Philadelphia"/>
    <n v="19125"/>
    <s v="United States"/>
    <x v="6"/>
    <n v="7"/>
    <x v="1"/>
  </r>
  <r>
    <n v="1958"/>
    <s v="Lois"/>
    <s v="Mason"/>
    <s v="lmasonql@salon.com"/>
    <s v="lmasonql"/>
    <x v="156"/>
    <s v="Chief Design Engineer"/>
    <s v="Female"/>
    <s v="Costa Rican"/>
    <n v="146"/>
    <x v="14"/>
    <d v="2019-07-23T00:00:00"/>
    <x v="16"/>
    <s v="Philadelphia"/>
    <n v="19196"/>
    <s v="United States"/>
    <x v="6"/>
    <n v="7"/>
    <x v="1"/>
  </r>
  <r>
    <n v="1449"/>
    <s v="Frances"/>
    <s v="Wallace"/>
    <s v="fwallacecg@geocities.jp"/>
    <s v="fwallacecg"/>
    <x v="157"/>
    <s v="Nuclear Power Engineer"/>
    <s v="Female"/>
    <s v="Asian"/>
    <n v="96"/>
    <x v="1"/>
    <d v="2019-07-24T00:00:00"/>
    <x v="30"/>
    <s v="Nashville"/>
    <n v="37220"/>
    <s v="United States"/>
    <x v="6"/>
    <n v="7"/>
    <x v="1"/>
  </r>
  <r>
    <n v="1259"/>
    <s v="Christopher"/>
    <s v="Hernandez"/>
    <s v="chernandez76@sogou.com"/>
    <s v="chernandez76"/>
    <x v="25"/>
    <s v="Occupational Therapist"/>
    <s v="Male"/>
    <s v="Alaska Native"/>
    <n v="242"/>
    <x v="1"/>
    <d v="2019-07-26T00:00:00"/>
    <x v="22"/>
    <s v="Lakeland"/>
    <n v="33811"/>
    <s v="United States"/>
    <x v="6"/>
    <n v="7"/>
    <x v="1"/>
  </r>
  <r>
    <n v="1966"/>
    <s v="Julie"/>
    <s v="Fowler"/>
    <s v="jfowlerqt@macromedia.com"/>
    <s v="jfowlerqt"/>
    <x v="100"/>
    <s v="Design Engineer"/>
    <s v="Female"/>
    <s v="Taiwanese"/>
    <n v="59"/>
    <x v="3"/>
    <d v="2019-07-26T00:00:00"/>
    <x v="15"/>
    <s v="Charlotte"/>
    <n v="28247"/>
    <s v="United States"/>
    <x v="6"/>
    <n v="7"/>
    <x v="1"/>
  </r>
  <r>
    <n v="1988"/>
    <s v="Emily"/>
    <s v="Allen"/>
    <s v="eallenrf@csmonitor.com"/>
    <s v="eallenrf"/>
    <x v="158"/>
    <s v="Financial Analyst"/>
    <s v="Female"/>
    <s v="White"/>
    <n v="691"/>
    <x v="1"/>
    <d v="2019-07-26T00:00:00"/>
    <x v="9"/>
    <s v="Stamford"/>
    <n v="6912"/>
    <s v="United States"/>
    <x v="6"/>
    <n v="7"/>
    <x v="1"/>
  </r>
  <r>
    <n v="1095"/>
    <s v="Emily"/>
    <s v="Franklin"/>
    <s v="efranklin2m@google.co.jp"/>
    <s v="efranklin2m"/>
    <x v="67"/>
    <s v="Analyst Programmer"/>
    <s v="Female"/>
    <s v="Mexican"/>
    <n v="152"/>
    <x v="6"/>
    <d v="2019-07-27T00:00:00"/>
    <x v="4"/>
    <s v="Houston"/>
    <n v="77040"/>
    <s v="United States"/>
    <x v="6"/>
    <n v="7"/>
    <x v="1"/>
  </r>
  <r>
    <n v="1084"/>
    <s v="Larry"/>
    <s v="Ferguson"/>
    <s v="lferguson2b@theguardian.com"/>
    <s v="lferguson2b"/>
    <x v="17"/>
    <s v="Food Chemist"/>
    <s v="Male"/>
    <s v="Mexican"/>
    <n v="629"/>
    <x v="1"/>
    <d v="2019-07-28T00:00:00"/>
    <x v="14"/>
    <s v="Waltham"/>
    <n v="2453"/>
    <s v="United States"/>
    <x v="6"/>
    <n v="7"/>
    <x v="1"/>
  </r>
  <r>
    <n v="1298"/>
    <s v="Anna"/>
    <s v="Thomas"/>
    <s v="athomas89@usa.gov"/>
    <s v="athomas89"/>
    <x v="33"/>
    <s v="Food Chemist"/>
    <s v="Female"/>
    <s v="Japanese"/>
    <n v="879"/>
    <x v="12"/>
    <d v="2019-07-28T00:00:00"/>
    <x v="22"/>
    <s v="Orlando"/>
    <n v="32891"/>
    <s v="United States"/>
    <x v="6"/>
    <n v="7"/>
    <x v="1"/>
  </r>
  <r>
    <n v="1994"/>
    <s v="Ronald"/>
    <s v="Fernandez"/>
    <s v="rfernandezrl@dell.com"/>
    <s v="rfernandezrl"/>
    <x v="99"/>
    <s v="Senior Editor"/>
    <s v="Male"/>
    <s v="White"/>
    <n v="598"/>
    <x v="1"/>
    <d v="2019-07-28T00:00:00"/>
    <x v="10"/>
    <s v="Peoria"/>
    <n v="61651"/>
    <s v="United States"/>
    <x v="6"/>
    <n v="7"/>
    <x v="1"/>
  </r>
  <r>
    <n v="1298"/>
    <s v="Anna"/>
    <s v="Thomas"/>
    <s v="athomas89@usa.gov"/>
    <s v="athomas89"/>
    <x v="33"/>
    <s v="Food Chemist"/>
    <s v="Female"/>
    <s v="Japanese"/>
    <n v="616"/>
    <x v="12"/>
    <d v="2019-07-31T00:00:00"/>
    <x v="22"/>
    <s v="Orlando"/>
    <n v="32891"/>
    <s v="United States"/>
    <x v="6"/>
    <n v="7"/>
    <x v="1"/>
  </r>
  <r>
    <n v="1234"/>
    <s v="Adam"/>
    <s v="Jenkins"/>
    <s v="ajenkins6h@comcast.net"/>
    <s v="ajenkins6h"/>
    <x v="4"/>
    <s v="Internal Auditor"/>
    <s v="Male"/>
    <s v="White"/>
    <n v="545"/>
    <x v="4"/>
    <d v="2019-08-01T00:00:00"/>
    <x v="4"/>
    <s v="Austin"/>
    <n v="78710"/>
    <s v="United States"/>
    <x v="7"/>
    <n v="8"/>
    <x v="1"/>
  </r>
  <r>
    <n v="1933"/>
    <s v="Randy"/>
    <s v="Richardson"/>
    <s v="rrichardsonpw@google.nl"/>
    <s v="rrichardsonpw"/>
    <x v="159"/>
    <s v="Food Chemist"/>
    <s v="Male"/>
    <s v="White"/>
    <n v="890"/>
    <x v="1"/>
    <d v="2019-08-01T00:00:00"/>
    <x v="14"/>
    <s v="Woburn"/>
    <n v="1813"/>
    <s v="United States"/>
    <x v="7"/>
    <n v="8"/>
    <x v="1"/>
  </r>
  <r>
    <n v="1277"/>
    <s v="Brandon"/>
    <s v="Spencer"/>
    <s v="bspencer7o@si.edu"/>
    <s v="bspencer7o"/>
    <x v="22"/>
    <s v="Nuclear Power Engineer"/>
    <s v="Male"/>
    <s v="South American"/>
    <n v="685"/>
    <x v="9"/>
    <d v="2019-08-02T00:00:00"/>
    <x v="19"/>
    <s v="Akron"/>
    <n v="44310"/>
    <s v="United States"/>
    <x v="7"/>
    <n v="8"/>
    <x v="1"/>
  </r>
  <r>
    <n v="1020"/>
    <s v="Andrea"/>
    <s v="Mason"/>
    <s v="amasonj@yelp.com"/>
    <s v="amasonj"/>
    <x v="34"/>
    <s v="Financial Advisor"/>
    <s v="Female"/>
    <s v="Black or African American"/>
    <n v="582"/>
    <x v="1"/>
    <d v="2019-08-03T00:00:00"/>
    <x v="1"/>
    <s v="San Francisco"/>
    <n v="94105"/>
    <s v="United States"/>
    <x v="7"/>
    <n v="8"/>
    <x v="1"/>
  </r>
  <r>
    <n v="1880"/>
    <s v="Rebecca"/>
    <s v="Lawson"/>
    <s v="rlawsonof@nsw.gov.au"/>
    <s v="rlawsonof"/>
    <x v="12"/>
    <s v="Software Engineer I"/>
    <s v="Female"/>
    <s v="Taiwanese"/>
    <n v="692"/>
    <x v="1"/>
    <d v="2019-08-03T00:00:00"/>
    <x v="10"/>
    <s v="Chicago"/>
    <n v="60614"/>
    <s v="United States"/>
    <x v="7"/>
    <n v="8"/>
    <x v="1"/>
  </r>
  <r>
    <n v="1812"/>
    <s v="Randy"/>
    <s v="Harris"/>
    <s v="rharrismj@omniture.com"/>
    <s v="rharrismj"/>
    <x v="23"/>
    <s v="Clinical Specialist"/>
    <s v="Male"/>
    <s v="Japanese"/>
    <n v="523"/>
    <x v="6"/>
    <d v="2019-08-04T00:00:00"/>
    <x v="20"/>
    <s v="Birmingham"/>
    <n v="35220"/>
    <s v="United States"/>
    <x v="7"/>
    <n v="8"/>
    <x v="1"/>
  </r>
  <r>
    <n v="1095"/>
    <s v="Emily"/>
    <s v="Franklin"/>
    <s v="efranklin2m@google.co.jp"/>
    <s v="efranklin2m"/>
    <x v="67"/>
    <s v="Analyst Programmer"/>
    <s v="Female"/>
    <s v="Mexican"/>
    <n v="265"/>
    <x v="6"/>
    <d v="2019-08-06T00:00:00"/>
    <x v="4"/>
    <s v="Houston"/>
    <n v="77040"/>
    <s v="United States"/>
    <x v="7"/>
    <n v="8"/>
    <x v="1"/>
  </r>
  <r>
    <n v="1466"/>
    <s v="Tina"/>
    <s v="Perez"/>
    <s v="tperezcx@senate.gov"/>
    <s v="tperezcx"/>
    <x v="160"/>
    <s v="Electrical Engineer"/>
    <s v="Female"/>
    <s v="Eskimo"/>
    <n v="617"/>
    <x v="1"/>
    <d v="2019-08-07T00:00:00"/>
    <x v="30"/>
    <s v="Knoxville"/>
    <n v="37919"/>
    <s v="United States"/>
    <x v="7"/>
    <n v="8"/>
    <x v="1"/>
  </r>
  <r>
    <n v="1942"/>
    <s v="Maria"/>
    <s v="Payne"/>
    <s v="mpayneq5@i2i.jp"/>
    <s v="mpayneq5"/>
    <x v="120"/>
    <s v="Internal Auditor"/>
    <s v="Female"/>
    <s v="Asian"/>
    <n v="732"/>
    <x v="14"/>
    <d v="2019-08-07T00:00:00"/>
    <x v="19"/>
    <s v="Cleveland"/>
    <n v="44125"/>
    <s v="United States"/>
    <x v="7"/>
    <n v="8"/>
    <x v="1"/>
  </r>
  <r>
    <n v="1560"/>
    <s v="Carolyn"/>
    <s v="Edwards"/>
    <s v="cedwardsfj@blinklist.com"/>
    <s v="cedwardsfj"/>
    <x v="49"/>
    <s v="Environmental Specialist"/>
    <s v="Female"/>
    <s v="White"/>
    <n v="763"/>
    <x v="6"/>
    <d v="2019-08-09T00:00:00"/>
    <x v="4"/>
    <s v="Amarillo"/>
    <n v="79159"/>
    <s v="United States"/>
    <x v="7"/>
    <n v="8"/>
    <x v="1"/>
  </r>
  <r>
    <n v="1783"/>
    <s v="Juan"/>
    <s v="Jones"/>
    <s v="jjoneslq@vistaprint.com"/>
    <s v="jjoneslq"/>
    <x v="33"/>
    <s v="Programmer III"/>
    <s v="Male"/>
    <s v="Asian"/>
    <n v="680"/>
    <x v="11"/>
    <d v="2019-08-10T00:00:00"/>
    <x v="25"/>
    <s v="Tucson"/>
    <n v="85715"/>
    <s v="United States"/>
    <x v="7"/>
    <n v="8"/>
    <x v="1"/>
  </r>
  <r>
    <n v="1992"/>
    <s v="Karen"/>
    <s v="Hunt"/>
    <s v="khuntrj@harvard.edu"/>
    <s v="khuntrj"/>
    <x v="95"/>
    <s v="VP Marketing"/>
    <s v="Female"/>
    <s v="White"/>
    <n v="402"/>
    <x v="1"/>
    <d v="2019-08-10T00:00:00"/>
    <x v="18"/>
    <s v="Muncie"/>
    <n v="47306"/>
    <s v="United States"/>
    <x v="7"/>
    <n v="8"/>
    <x v="1"/>
  </r>
  <r>
    <n v="1566"/>
    <s v="Kathryn"/>
    <s v="Jackson"/>
    <s v="kjacksonfp@digg.com"/>
    <s v="kjacksonfp"/>
    <x v="10"/>
    <s v="Assistant Professor"/>
    <s v="Female"/>
    <s v="Asian"/>
    <n v="608"/>
    <x v="4"/>
    <d v="2019-08-13T00:00:00"/>
    <x v="33"/>
    <s v="Boise"/>
    <n v="83722"/>
    <s v="United States"/>
    <x v="7"/>
    <n v="8"/>
    <x v="1"/>
  </r>
  <r>
    <n v="1633"/>
    <s v="Diane"/>
    <s v="Garrett"/>
    <s v="dgarretthk@comsenz.com"/>
    <s v="dgarretthk"/>
    <x v="8"/>
    <s v="Software Consultant"/>
    <s v="Female"/>
    <s v="Black or African American"/>
    <n v="499"/>
    <x v="5"/>
    <d v="2019-08-13T00:00:00"/>
    <x v="1"/>
    <s v="Redwood City"/>
    <n v="94064"/>
    <s v="United States"/>
    <x v="7"/>
    <n v="8"/>
    <x v="1"/>
  </r>
  <r>
    <n v="1783"/>
    <s v="Juan"/>
    <s v="Jones"/>
    <s v="jjoneslq@vistaprint.com"/>
    <s v="jjoneslq"/>
    <x v="33"/>
    <s v="Programmer III"/>
    <s v="Male"/>
    <s v="Asian"/>
    <n v="695"/>
    <x v="11"/>
    <d v="2019-08-13T00:00:00"/>
    <x v="25"/>
    <s v="Tucson"/>
    <n v="85715"/>
    <s v="United States"/>
    <x v="7"/>
    <n v="8"/>
    <x v="1"/>
  </r>
  <r>
    <n v="1095"/>
    <s v="Emily"/>
    <s v="Franklin"/>
    <s v="efranklin2m@google.co.jp"/>
    <s v="efranklin2m"/>
    <x v="67"/>
    <s v="Analyst Programmer"/>
    <s v="Female"/>
    <s v="Mexican"/>
    <n v="622"/>
    <x v="6"/>
    <d v="2019-08-14T00:00:00"/>
    <x v="4"/>
    <s v="Houston"/>
    <n v="77040"/>
    <s v="United States"/>
    <x v="7"/>
    <n v="8"/>
    <x v="1"/>
  </r>
  <r>
    <n v="1931"/>
    <s v="Katherine"/>
    <s v="Gonzales"/>
    <s v="kgonzalespu@tripadvisor.com"/>
    <s v="kgonzalespu"/>
    <x v="90"/>
    <s v="Structural Engineer"/>
    <s v="Female"/>
    <s v="Korean"/>
    <n v="608"/>
    <x v="15"/>
    <d v="2019-08-14T00:00:00"/>
    <x v="0"/>
    <s v="Grand Rapids"/>
    <n v="49510"/>
    <s v="United States"/>
    <x v="7"/>
    <n v="8"/>
    <x v="1"/>
  </r>
  <r>
    <n v="1991"/>
    <s v="Diane"/>
    <s v="Scott"/>
    <s v="dscottri@ask.com"/>
    <s v="dscottri"/>
    <x v="15"/>
    <s v="Librarian"/>
    <s v="Female"/>
    <s v="White"/>
    <n v="302"/>
    <x v="1"/>
    <d v="2019-08-16T00:00:00"/>
    <x v="12"/>
    <s v="Albuquerque"/>
    <n v="87180"/>
    <s v="United States"/>
    <x v="7"/>
    <n v="8"/>
    <x v="1"/>
  </r>
  <r>
    <n v="1021"/>
    <s v="Amy"/>
    <s v="Jordan"/>
    <s v="ajordank@ed.gov"/>
    <s v="ajordank"/>
    <x v="0"/>
    <s v="Electrical Engineer"/>
    <s v="Female"/>
    <s v="Black or African American"/>
    <n v="164"/>
    <x v="0"/>
    <d v="2019-08-17T00:00:00"/>
    <x v="0"/>
    <s v="Flint"/>
    <n v="48555"/>
    <s v="United States"/>
    <x v="7"/>
    <n v="8"/>
    <x v="1"/>
  </r>
  <r>
    <n v="1544"/>
    <s v="Julia"/>
    <s v="Ortiz"/>
    <s v="jortizf3@craigslist.org"/>
    <s v="jortizf3"/>
    <x v="104"/>
    <s v="Web Designer IV"/>
    <s v="Female"/>
    <s v="Alaska Native"/>
    <n v="969"/>
    <x v="1"/>
    <d v="2019-08-17T00:00:00"/>
    <x v="41"/>
    <s v="Wilmington"/>
    <n v="19886"/>
    <s v="United States"/>
    <x v="7"/>
    <n v="8"/>
    <x v="1"/>
  </r>
  <r>
    <n v="1399"/>
    <s v="Barbara"/>
    <s v="Mitchell"/>
    <s v="bmitchellb2@amazon.co.jp"/>
    <s v="bmitchellb2"/>
    <x v="161"/>
    <s v="Nurse"/>
    <s v="Female"/>
    <s v="Native Hawaiian and Other Pacific Islander (NHPI)"/>
    <n v="212"/>
    <x v="1"/>
    <d v="2019-08-18T00:00:00"/>
    <x v="1"/>
    <s v="Stockton"/>
    <n v="95219"/>
    <s v="United States"/>
    <x v="7"/>
    <n v="8"/>
    <x v="1"/>
  </r>
  <r>
    <n v="1558"/>
    <s v="Jesse"/>
    <s v="Wells"/>
    <s v="jwellsfh@wunderground.com"/>
    <s v="jwellsfh"/>
    <x v="162"/>
    <s v="Chemical Engineer"/>
    <s v="Male"/>
    <s v="South American"/>
    <n v="464"/>
    <x v="9"/>
    <d v="2019-08-18T00:00:00"/>
    <x v="2"/>
    <s v="Arlington"/>
    <n v="22217"/>
    <s v="United States"/>
    <x v="7"/>
    <n v="8"/>
    <x v="1"/>
  </r>
  <r>
    <n v="1212"/>
    <s v="Patricia"/>
    <s v="Weaver"/>
    <s v="pweaver5v@merriam-webster.com"/>
    <s v="pweaver5v"/>
    <x v="11"/>
    <s v="Staff Accountant I"/>
    <s v="Female"/>
    <s v="White"/>
    <n v="600"/>
    <x v="6"/>
    <d v="2019-08-21T00:00:00"/>
    <x v="9"/>
    <s v="Hartford"/>
    <n v="6183"/>
    <s v="United States"/>
    <x v="7"/>
    <n v="8"/>
    <x v="1"/>
  </r>
  <r>
    <n v="1434"/>
    <s v="Cynthia"/>
    <s v="Meyer"/>
    <s v="cmeyerc1@usgs.gov"/>
    <s v="cmeyerc1"/>
    <x v="53"/>
    <s v="Senior Quality Engineer"/>
    <s v="Female"/>
    <s v="Asian"/>
    <n v="257"/>
    <x v="1"/>
    <d v="2019-08-21T00:00:00"/>
    <x v="8"/>
    <s v="Minneapolis"/>
    <n v="55436"/>
    <s v="United States"/>
    <x v="7"/>
    <n v="8"/>
    <x v="1"/>
  </r>
  <r>
    <n v="1620"/>
    <s v="Jacqueline"/>
    <s v="Simmons"/>
    <s v="jsimmonsh7@smh.com.au"/>
    <s v="jsimmonsh7"/>
    <x v="163"/>
    <s v="Biostatistician III"/>
    <s v="Female"/>
    <s v="Black or African American"/>
    <n v="451"/>
    <x v="6"/>
    <d v="2019-08-21T00:00:00"/>
    <x v="5"/>
    <s v="New York City"/>
    <n v="10270"/>
    <s v="United States"/>
    <x v="7"/>
    <n v="8"/>
    <x v="1"/>
  </r>
  <r>
    <n v="1638"/>
    <s v="William"/>
    <s v="Ramirez"/>
    <s v="wramirezhp@webmd.com"/>
    <s v="wramirezhp"/>
    <x v="164"/>
    <s v="Physical Therapy Assistant"/>
    <s v="Male"/>
    <s v="Black or African American"/>
    <n v="383"/>
    <x v="4"/>
    <d v="2019-08-21T00:00:00"/>
    <x v="8"/>
    <s v="Minneapolis"/>
    <n v="55470"/>
    <s v="United States"/>
    <x v="7"/>
    <n v="8"/>
    <x v="1"/>
  </r>
  <r>
    <n v="1017"/>
    <s v="Diana"/>
    <s v="Wells"/>
    <s v="dwellsg@vimeo.com"/>
    <s v="dwellsg"/>
    <x v="89"/>
    <s v="Editor"/>
    <s v="Female"/>
    <s v="Black or African American"/>
    <n v="341"/>
    <x v="1"/>
    <d v="2019-08-24T00:00:00"/>
    <x v="10"/>
    <s v="Chicago"/>
    <n v="60663"/>
    <s v="United States"/>
    <x v="7"/>
    <n v="8"/>
    <x v="1"/>
  </r>
  <r>
    <n v="1277"/>
    <s v="Brandon"/>
    <s v="Spencer"/>
    <s v="bspencer7o@si.edu"/>
    <s v="bspencer7o"/>
    <x v="22"/>
    <s v="Nuclear Power Engineer"/>
    <s v="Male"/>
    <s v="South American"/>
    <n v="582"/>
    <x v="9"/>
    <d v="2019-08-25T00:00:00"/>
    <x v="19"/>
    <s v="Akron"/>
    <n v="44310"/>
    <s v="United States"/>
    <x v="7"/>
    <n v="8"/>
    <x v="1"/>
  </r>
  <r>
    <n v="1845"/>
    <s v="Christine"/>
    <s v="Jones"/>
    <s v="cjonesng@bandcamp.com"/>
    <s v="cjonesng"/>
    <x v="163"/>
    <s v="Executive Secretary"/>
    <s v="Female"/>
    <s v="Korean"/>
    <n v="468"/>
    <x v="1"/>
    <d v="2019-08-25T00:00:00"/>
    <x v="4"/>
    <s v="Houston"/>
    <n v="77212"/>
    <s v="United States"/>
    <x v="7"/>
    <n v="8"/>
    <x v="1"/>
  </r>
  <r>
    <n v="1579"/>
    <s v="Ryan"/>
    <s v="Austin"/>
    <s v="rausting2@alibaba.com"/>
    <s v="rausting2"/>
    <x v="165"/>
    <s v="Structural Analysis Engineer"/>
    <s v="Male"/>
    <s v="Argentinian"/>
    <n v="43"/>
    <x v="6"/>
    <d v="2019-08-26T00:00:00"/>
    <x v="15"/>
    <s v="Charlotte"/>
    <n v="28225"/>
    <s v="United States"/>
    <x v="7"/>
    <n v="8"/>
    <x v="1"/>
  </r>
  <r>
    <n v="1027"/>
    <s v="Mark"/>
    <s v="Morgan"/>
    <s v="mmorganq@github.io"/>
    <s v="mmorganq"/>
    <x v="48"/>
    <s v="Senior Financial Analyst"/>
    <s v="Male"/>
    <s v="Black or African American"/>
    <n v="776"/>
    <x v="1"/>
    <d v="2019-08-27T00:00:00"/>
    <x v="13"/>
    <s v="Lees Summit"/>
    <n v="64082"/>
    <s v="United States"/>
    <x v="7"/>
    <n v="8"/>
    <x v="1"/>
  </r>
  <r>
    <n v="1402"/>
    <s v="Frank"/>
    <s v="Thompson"/>
    <s v="fthompsonb5@trellian.com"/>
    <s v="fthompsonb5"/>
    <x v="144"/>
    <s v="Nurse"/>
    <s v="Male"/>
    <s v="Native Hawaiian and Other Pacific Islander (NHPI)"/>
    <n v="66"/>
    <x v="6"/>
    <d v="2019-08-27T00:00:00"/>
    <x v="22"/>
    <s v="Saint Petersburg"/>
    <n v="33715"/>
    <s v="United States"/>
    <x v="7"/>
    <n v="8"/>
    <x v="1"/>
  </r>
  <r>
    <n v="1437"/>
    <s v="Wayne"/>
    <s v="Willis"/>
    <s v="wwillisc4@phoca.cz"/>
    <s v="wwillisc4"/>
    <x v="85"/>
    <s v="Software Consultant"/>
    <s v="Male"/>
    <s v="Argentinian"/>
    <n v="169"/>
    <x v="1"/>
    <d v="2019-08-28T00:00:00"/>
    <x v="24"/>
    <s v="Reno"/>
    <n v="89505"/>
    <s v="United States"/>
    <x v="7"/>
    <n v="8"/>
    <x v="1"/>
  </r>
  <r>
    <n v="1020"/>
    <s v="Andrea"/>
    <s v="Mason"/>
    <s v="amasonj@yelp.com"/>
    <s v="amasonj"/>
    <x v="34"/>
    <s v="Financial Advisor"/>
    <s v="Female"/>
    <s v="Black or African American"/>
    <n v="303"/>
    <x v="1"/>
    <d v="2019-08-29T00:00:00"/>
    <x v="1"/>
    <s v="San Francisco"/>
    <n v="94105"/>
    <s v="United States"/>
    <x v="7"/>
    <n v="8"/>
    <x v="1"/>
  </r>
  <r>
    <n v="1081"/>
    <s v="Tina"/>
    <s v="Lewis"/>
    <s v="tlewis28@mozilla.org"/>
    <s v="tlewis28"/>
    <x v="63"/>
    <s v="Operator"/>
    <s v="Female"/>
    <s v="Mexican"/>
    <n v="845"/>
    <x v="14"/>
    <d v="2019-09-02T00:00:00"/>
    <x v="19"/>
    <s v="Dayton"/>
    <n v="45426"/>
    <s v="United States"/>
    <x v="8"/>
    <n v="9"/>
    <x v="1"/>
  </r>
  <r>
    <n v="1298"/>
    <s v="Anna"/>
    <s v="Thomas"/>
    <s v="athomas89@usa.gov"/>
    <s v="athomas89"/>
    <x v="33"/>
    <s v="Food Chemist"/>
    <s v="Female"/>
    <s v="Japanese"/>
    <n v="696"/>
    <x v="12"/>
    <d v="2019-09-02T00:00:00"/>
    <x v="22"/>
    <s v="Orlando"/>
    <n v="32891"/>
    <s v="United States"/>
    <x v="8"/>
    <n v="9"/>
    <x v="1"/>
  </r>
  <r>
    <n v="1410"/>
    <s v="Carl"/>
    <s v="Ward"/>
    <s v="cwardbd@pen.io"/>
    <s v="cwardbd"/>
    <x v="166"/>
    <s v="Senior Financial Analyst"/>
    <s v="Male"/>
    <s v="Thai"/>
    <n v="815"/>
    <x v="15"/>
    <d v="2019-09-05T00:00:00"/>
    <x v="4"/>
    <s v="San Antonio"/>
    <n v="78230"/>
    <s v="United States"/>
    <x v="8"/>
    <n v="9"/>
    <x v="1"/>
  </r>
  <r>
    <n v="1765"/>
    <s v="Charles"/>
    <s v="Anderson"/>
    <s v="candersonl8@latimes.com"/>
    <s v="candersonl8"/>
    <x v="59"/>
    <s v="Senior Quality Engineer"/>
    <s v="Male"/>
    <s v="Hispanic"/>
    <n v="188"/>
    <x v="13"/>
    <d v="2019-09-06T00:00:00"/>
    <x v="17"/>
    <s v="Omaha"/>
    <n v="68179"/>
    <s v="United States"/>
    <x v="8"/>
    <n v="9"/>
    <x v="1"/>
  </r>
  <r>
    <n v="1026"/>
    <s v="Jacqueline"/>
    <s v="Ellis"/>
    <s v="jellisp@imageshack.us"/>
    <s v="jellisp"/>
    <x v="6"/>
    <s v="Senior Sales Associate"/>
    <s v="Female"/>
    <s v="Black or African American"/>
    <n v="817"/>
    <x v="1"/>
    <d v="2019-09-12T00:00:00"/>
    <x v="5"/>
    <s v="Bronx"/>
    <n v="10469"/>
    <s v="United States"/>
    <x v="8"/>
    <n v="9"/>
    <x v="1"/>
  </r>
  <r>
    <n v="1089"/>
    <s v="Aaron"/>
    <s v="Rivera"/>
    <s v="arivera2g@nationalgeographic.com"/>
    <s v="arivera2g"/>
    <x v="89"/>
    <s v="Financial Analyst"/>
    <s v="Male"/>
    <s v="Mexican"/>
    <n v="164"/>
    <x v="1"/>
    <d v="2019-09-12T00:00:00"/>
    <x v="4"/>
    <s v="Corpus Christi"/>
    <n v="78410"/>
    <s v="United States"/>
    <x v="8"/>
    <n v="9"/>
    <x v="1"/>
  </r>
  <r>
    <n v="1997"/>
    <s v="Elizabeth"/>
    <s v="Williams"/>
    <s v="ewilliamsro@google.ca"/>
    <s v="ewilliamsro"/>
    <x v="142"/>
    <s v="Pharmacist"/>
    <s v="Female"/>
    <s v="Japanese"/>
    <n v="404"/>
    <x v="1"/>
    <d v="2019-09-12T00:00:00"/>
    <x v="5"/>
    <s v="New York City"/>
    <n v="10155"/>
    <s v="United States"/>
    <x v="8"/>
    <n v="9"/>
    <x v="1"/>
  </r>
  <r>
    <n v="1001"/>
    <s v="George"/>
    <s v="Dunn"/>
    <s v="gdunn0@yellowpages.com"/>
    <s v="gdunn0"/>
    <x v="28"/>
    <s v="Database Administrator II"/>
    <s v="Male"/>
    <s v="Black or African American"/>
    <n v="798"/>
    <x v="6"/>
    <d v="2019-09-13T00:00:00"/>
    <x v="4"/>
    <s v="El Paso"/>
    <n v="88563"/>
    <s v="United States"/>
    <x v="8"/>
    <n v="9"/>
    <x v="1"/>
  </r>
  <r>
    <n v="1746"/>
    <s v="Gary"/>
    <s v="Roberts"/>
    <s v="grobertskp@java.com"/>
    <s v="grobertskp"/>
    <x v="167"/>
    <s v="Data Coordiator"/>
    <s v="Male"/>
    <s v="Mexican"/>
    <n v="495"/>
    <x v="5"/>
    <d v="2019-09-13T00:00:00"/>
    <x v="1"/>
    <s v="Los Angeles"/>
    <n v="90015"/>
    <s v="United States"/>
    <x v="8"/>
    <n v="9"/>
    <x v="1"/>
  </r>
  <r>
    <n v="1144"/>
    <s v="Lori"/>
    <s v="Harvey"/>
    <s v="lharvey3z@ibm.com"/>
    <s v="lharvey3z"/>
    <x v="23"/>
    <s v="Technical Writer"/>
    <s v="Female"/>
    <s v="Asian"/>
    <n v="946"/>
    <x v="4"/>
    <d v="2019-09-16T00:00:00"/>
    <x v="5"/>
    <s v="Flushing"/>
    <n v="11355"/>
    <s v="United States"/>
    <x v="8"/>
    <n v="9"/>
    <x v="1"/>
  </r>
  <r>
    <n v="1754"/>
    <s v="Jason"/>
    <s v="Young"/>
    <s v="jyoungkx@imdb.com"/>
    <s v="jyoungkx"/>
    <x v="55"/>
    <s v="Tax Accountant"/>
    <s v="Male"/>
    <s v="Costa Rican"/>
    <n v="606"/>
    <x v="1"/>
    <d v="2019-09-16T00:00:00"/>
    <x v="14"/>
    <s v="Cambridge"/>
    <n v="2142"/>
    <s v="United States"/>
    <x v="8"/>
    <n v="9"/>
    <x v="1"/>
  </r>
  <r>
    <n v="1812"/>
    <s v="Randy"/>
    <s v="Harris"/>
    <s v="rharrismj@omniture.com"/>
    <s v="rharrismj"/>
    <x v="23"/>
    <s v="Clinical Specialist"/>
    <s v="Male"/>
    <s v="Japanese"/>
    <n v="261"/>
    <x v="6"/>
    <d v="2019-09-19T00:00:00"/>
    <x v="20"/>
    <s v="Birmingham"/>
    <n v="35220"/>
    <s v="United States"/>
    <x v="8"/>
    <n v="9"/>
    <x v="1"/>
  </r>
  <r>
    <n v="1975"/>
    <s v="Ryan"/>
    <s v="Ford"/>
    <s v="rfordr2@va.gov"/>
    <s v="rfordr2"/>
    <x v="162"/>
    <s v="Research Nurse"/>
    <s v="Male"/>
    <s v="White"/>
    <n v="435"/>
    <x v="1"/>
    <d v="2019-09-20T00:00:00"/>
    <x v="42"/>
    <s v="Grand Forks"/>
    <n v="58207"/>
    <s v="United States"/>
    <x v="8"/>
    <n v="9"/>
    <x v="1"/>
  </r>
  <r>
    <n v="1123"/>
    <s v="Randy"/>
    <s v="Hamilton"/>
    <s v="rhamilton3e@loc.gov"/>
    <s v="rhamilton3e"/>
    <x v="82"/>
    <s v="Geological Engineer"/>
    <s v="Male"/>
    <s v="Mexican"/>
    <n v="962"/>
    <x v="0"/>
    <d v="2019-09-23T00:00:00"/>
    <x v="22"/>
    <s v="Tampa"/>
    <n v="33673"/>
    <s v="United States"/>
    <x v="8"/>
    <n v="9"/>
    <x v="1"/>
  </r>
  <r>
    <n v="1406"/>
    <s v="Jerry"/>
    <s v="Fisher"/>
    <s v="jfisherb9@alibaba.com"/>
    <s v="jfisherb9"/>
    <x v="29"/>
    <s v="Quality Control Specialist"/>
    <s v="Male"/>
    <s v="Thai"/>
    <n v="980"/>
    <x v="6"/>
    <d v="2019-09-26T00:00:00"/>
    <x v="2"/>
    <s v="Roanoke"/>
    <n v="24040"/>
    <s v="United States"/>
    <x v="8"/>
    <n v="9"/>
    <x v="1"/>
  </r>
  <r>
    <n v="1625"/>
    <s v="Nicholas"/>
    <s v="Gordon"/>
    <s v="ngordonhc@vistaprint.com"/>
    <s v="ngordonhc"/>
    <x v="124"/>
    <s v="Automation Specialist III"/>
    <s v="Male"/>
    <s v="Black or African American"/>
    <n v="495"/>
    <x v="10"/>
    <d v="2019-09-26T00:00:00"/>
    <x v="22"/>
    <s v="Ocala"/>
    <n v="34479"/>
    <s v="United States"/>
    <x v="8"/>
    <n v="9"/>
    <x v="1"/>
  </r>
  <r>
    <n v="1812"/>
    <s v="Randy"/>
    <s v="Harris"/>
    <s v="rharrismj@omniture.com"/>
    <s v="rharrismj"/>
    <x v="23"/>
    <s v="Clinical Specialist"/>
    <s v="Male"/>
    <s v="Japanese"/>
    <n v="670"/>
    <x v="6"/>
    <d v="2019-09-30T00:00:00"/>
    <x v="20"/>
    <s v="Birmingham"/>
    <n v="35220"/>
    <s v="United States"/>
    <x v="8"/>
    <n v="9"/>
    <x v="1"/>
  </r>
  <r>
    <n v="1212"/>
    <s v="Patricia"/>
    <s v="Weaver"/>
    <s v="pweaver5v@merriam-webster.com"/>
    <s v="pweaver5v"/>
    <x v="11"/>
    <s v="Staff Accountant I"/>
    <s v="Female"/>
    <s v="White"/>
    <n v="531"/>
    <x v="6"/>
    <d v="2019-10-03T00:00:00"/>
    <x v="9"/>
    <s v="Hartford"/>
    <n v="6183"/>
    <s v="United States"/>
    <x v="9"/>
    <n v="10"/>
    <x v="1"/>
  </r>
  <r>
    <n v="1170"/>
    <s v="Albert"/>
    <s v="Roberts"/>
    <s v="aroberts4p@ezinearticles.com"/>
    <s v="aroberts4p"/>
    <x v="14"/>
    <s v="Accountant I"/>
    <s v="Male"/>
    <s v="White"/>
    <n v="140"/>
    <x v="0"/>
    <d v="2019-10-09T00:00:00"/>
    <x v="4"/>
    <s v="El Paso"/>
    <n v="88574"/>
    <s v="United States"/>
    <x v="9"/>
    <n v="10"/>
    <x v="1"/>
  </r>
  <r>
    <n v="1468"/>
    <s v="Cynthia"/>
    <s v="Lopez"/>
    <s v="clopezcz@reverbnation.com"/>
    <s v="clopezcz"/>
    <x v="43"/>
    <s v="Automation Specialist IV"/>
    <s v="Female"/>
    <s v="White"/>
    <n v="413"/>
    <x v="2"/>
    <d v="2019-10-09T00:00:00"/>
    <x v="7"/>
    <s v="New Orleans"/>
    <n v="70116"/>
    <s v="United States"/>
    <x v="9"/>
    <n v="10"/>
    <x v="1"/>
  </r>
  <r>
    <n v="1167"/>
    <s v="Joshua"/>
    <s v="Williams"/>
    <s v="jwilliams4m@printfriendly.com"/>
    <s v="jwilliams4m"/>
    <x v="168"/>
    <s v="Administrative Officer"/>
    <s v="Male"/>
    <s v="Asian"/>
    <n v="203"/>
    <x v="14"/>
    <d v="2019-10-11T00:00:00"/>
    <x v="26"/>
    <s v="Tacoma"/>
    <n v="98417"/>
    <s v="United States"/>
    <x v="9"/>
    <n v="10"/>
    <x v="1"/>
  </r>
  <r>
    <n v="1688"/>
    <s v="Walter"/>
    <s v="Hernandez"/>
    <s v="whernandezj3@tinypic.com"/>
    <s v="whernandezj3"/>
    <x v="164"/>
    <s v="Staff Accountant I"/>
    <s v="Male"/>
    <s v="Black or African American"/>
    <n v="102"/>
    <x v="0"/>
    <d v="2019-10-11T00:00:00"/>
    <x v="1"/>
    <s v="Santa Barbara"/>
    <n v="93150"/>
    <s v="United States"/>
    <x v="9"/>
    <n v="10"/>
    <x v="1"/>
  </r>
  <r>
    <n v="1019"/>
    <s v="Lillian"/>
    <s v="Fuller"/>
    <s v="lfulleri@miitbeian.gov.cn"/>
    <s v="lfulleri"/>
    <x v="67"/>
    <s v="Sales Associate"/>
    <s v="Female"/>
    <s v="Black or African American"/>
    <n v="117"/>
    <x v="4"/>
    <d v="2019-10-12T00:00:00"/>
    <x v="33"/>
    <s v="Boise"/>
    <n v="83705"/>
    <s v="United States"/>
    <x v="9"/>
    <n v="10"/>
    <x v="1"/>
  </r>
  <r>
    <n v="1538"/>
    <s v="Richard"/>
    <s v="Watkins"/>
    <s v="rwatkinsex@harvard.edu"/>
    <s v="rwatkinsex"/>
    <x v="169"/>
    <s v="Quality Engineer"/>
    <s v="Male"/>
    <s v="Argentinian"/>
    <n v="292"/>
    <x v="6"/>
    <d v="2019-10-13T00:00:00"/>
    <x v="22"/>
    <s v="Tallahassee"/>
    <n v="32314"/>
    <s v="United States"/>
    <x v="9"/>
    <n v="10"/>
    <x v="1"/>
  </r>
  <r>
    <n v="1945"/>
    <s v="Bruce"/>
    <s v="Chavez"/>
    <s v="bchavezq8@t-online.de"/>
    <s v="bchavezq8"/>
    <x v="170"/>
    <s v="Mechanical Systems Engineer"/>
    <s v="Male"/>
    <s v="South American"/>
    <n v="633"/>
    <x v="3"/>
    <d v="2019-10-13T00:00:00"/>
    <x v="1"/>
    <s v="San Diego"/>
    <n v="92160"/>
    <s v="United States"/>
    <x v="9"/>
    <n v="10"/>
    <x v="1"/>
  </r>
  <r>
    <n v="1851"/>
    <s v="Linda"/>
    <s v="Washington"/>
    <s v="lwashingtonnm@jalbum.net"/>
    <s v="lwashingtonnm"/>
    <x v="76"/>
    <s v="Teacher"/>
    <s v="Female"/>
    <s v="White"/>
    <n v="42"/>
    <x v="12"/>
    <d v="2019-10-18T00:00:00"/>
    <x v="5"/>
    <s v="Brooklyn"/>
    <n v="11210"/>
    <s v="United States"/>
    <x v="9"/>
    <n v="10"/>
    <x v="1"/>
  </r>
  <r>
    <n v="1123"/>
    <s v="Randy"/>
    <s v="Hamilton"/>
    <s v="rhamilton3e@loc.gov"/>
    <s v="rhamilton3e"/>
    <x v="82"/>
    <s v="Geological Engineer"/>
    <s v="Male"/>
    <s v="Mexican"/>
    <n v="796"/>
    <x v="0"/>
    <d v="2019-10-20T00:00:00"/>
    <x v="22"/>
    <s v="Tampa"/>
    <n v="33673"/>
    <s v="United States"/>
    <x v="9"/>
    <n v="10"/>
    <x v="1"/>
  </r>
  <r>
    <n v="1039"/>
    <s v="Jonathan"/>
    <s v="Roberts"/>
    <s v="jroberts12@nih.gov"/>
    <s v="jroberts12"/>
    <x v="109"/>
    <s v="Sales Representative"/>
    <s v="Male"/>
    <s v="Black or African American"/>
    <n v="518"/>
    <x v="11"/>
    <d v="2019-10-26T00:00:00"/>
    <x v="29"/>
    <s v="Louisville"/>
    <n v="40298"/>
    <s v="United States"/>
    <x v="9"/>
    <n v="10"/>
    <x v="1"/>
  </r>
  <r>
    <n v="1260"/>
    <s v="Willie"/>
    <s v="King"/>
    <s v="wking77@apache.org"/>
    <s v="wking77"/>
    <x v="39"/>
    <s v="Software Consultant"/>
    <s v="Male"/>
    <s v="Japanese"/>
    <n v="91"/>
    <x v="1"/>
    <d v="2019-10-30T00:00:00"/>
    <x v="26"/>
    <s v="Spokane"/>
    <n v="99215"/>
    <s v="United States"/>
    <x v="9"/>
    <n v="10"/>
    <x v="1"/>
  </r>
  <r>
    <n v="1403"/>
    <s v="Donald"/>
    <s v="Howell"/>
    <s v="dhowellb6@com.com"/>
    <s v="dhowellb6"/>
    <x v="94"/>
    <s v="Account Executive"/>
    <s v="Male"/>
    <s v="Korean"/>
    <n v="614"/>
    <x v="6"/>
    <d v="2019-11-02T00:00:00"/>
    <x v="5"/>
    <s v="Jamaica"/>
    <n v="11499"/>
    <s v="United States"/>
    <x v="10"/>
    <n v="11"/>
    <x v="1"/>
  </r>
  <r>
    <n v="1880"/>
    <s v="Rebecca"/>
    <s v="Lawson"/>
    <s v="rlawsonof@nsw.gov.au"/>
    <s v="rlawsonof"/>
    <x v="12"/>
    <s v="Software Engineer I"/>
    <s v="Female"/>
    <s v="Taiwanese"/>
    <n v="944"/>
    <x v="1"/>
    <d v="2019-11-03T00:00:00"/>
    <x v="10"/>
    <s v="Chicago"/>
    <n v="60614"/>
    <s v="United States"/>
    <x v="10"/>
    <n v="11"/>
    <x v="1"/>
  </r>
  <r>
    <n v="1092"/>
    <s v="Donna"/>
    <s v="Hanson"/>
    <s v="dhanson2j@salon.com"/>
    <s v="dhanson2j"/>
    <x v="62"/>
    <s v="Assistant Media Planner"/>
    <s v="Female"/>
    <s v="Mexican"/>
    <n v="428"/>
    <x v="12"/>
    <d v="2019-11-04T00:00:00"/>
    <x v="22"/>
    <s v="Sarasota"/>
    <n v="34233"/>
    <s v="United States"/>
    <x v="10"/>
    <n v="11"/>
    <x v="1"/>
  </r>
  <r>
    <n v="1298"/>
    <s v="Anna"/>
    <s v="Thomas"/>
    <s v="athomas89@usa.gov"/>
    <s v="athomas89"/>
    <x v="33"/>
    <s v="Food Chemist"/>
    <s v="Female"/>
    <s v="Japanese"/>
    <n v="154"/>
    <x v="12"/>
    <d v="2019-11-05T00:00:00"/>
    <x v="22"/>
    <s v="Orlando"/>
    <n v="32891"/>
    <s v="United States"/>
    <x v="10"/>
    <n v="11"/>
    <x v="1"/>
  </r>
  <r>
    <n v="1365"/>
    <s v="Roy"/>
    <s v="Snyder"/>
    <s v="rsnydera4@whitehouse.gov"/>
    <s v="rsnydera4"/>
    <x v="56"/>
    <s v="Help Desk Technician"/>
    <s v="Male"/>
    <s v="Mexican"/>
    <n v="661"/>
    <x v="4"/>
    <d v="2019-11-05T00:00:00"/>
    <x v="22"/>
    <s v="Miami"/>
    <n v="33261"/>
    <s v="United States"/>
    <x v="10"/>
    <n v="11"/>
    <x v="1"/>
  </r>
  <r>
    <n v="1017"/>
    <s v="Diana"/>
    <s v="Wells"/>
    <s v="dwellsg@vimeo.com"/>
    <s v="dwellsg"/>
    <x v="89"/>
    <s v="Editor"/>
    <s v="Female"/>
    <s v="Black or African American"/>
    <n v="524"/>
    <x v="1"/>
    <d v="2019-11-08T00:00:00"/>
    <x v="10"/>
    <s v="Chicago"/>
    <n v="60663"/>
    <s v="United States"/>
    <x v="10"/>
    <n v="11"/>
    <x v="1"/>
  </r>
  <r>
    <n v="1415"/>
    <s v="Diana"/>
    <s v="Watson"/>
    <s v="dwatsonbi@blinklist.com"/>
    <s v="dwatsonbi"/>
    <x v="171"/>
    <s v="Junior Executive"/>
    <s v="Female"/>
    <s v="Costa Rican"/>
    <n v="235"/>
    <x v="6"/>
    <d v="2019-11-09T00:00:00"/>
    <x v="31"/>
    <s v="Shawnee Mission"/>
    <n v="66286"/>
    <s v="United States"/>
    <x v="10"/>
    <n v="11"/>
    <x v="1"/>
  </r>
  <r>
    <n v="1092"/>
    <s v="Donna"/>
    <s v="Hanson"/>
    <s v="dhanson2j@salon.com"/>
    <s v="dhanson2j"/>
    <x v="62"/>
    <s v="Assistant Media Planner"/>
    <s v="Female"/>
    <s v="Mexican"/>
    <n v="564"/>
    <x v="12"/>
    <d v="2019-11-11T00:00:00"/>
    <x v="22"/>
    <s v="Sarasota"/>
    <n v="34233"/>
    <s v="United States"/>
    <x v="10"/>
    <n v="11"/>
    <x v="1"/>
  </r>
  <r>
    <n v="1043"/>
    <s v="Walter"/>
    <s v="Roberts"/>
    <s v="wroberts16@tiny.cc"/>
    <s v="wroberts16"/>
    <x v="66"/>
    <s v="Senior Quality Engineer"/>
    <s v="Male"/>
    <s v="Black or African American"/>
    <n v="419"/>
    <x v="0"/>
    <d v="2019-11-14T00:00:00"/>
    <x v="24"/>
    <s v="Las Vegas"/>
    <n v="89140"/>
    <s v="United States"/>
    <x v="10"/>
    <n v="11"/>
    <x v="1"/>
  </r>
  <r>
    <n v="1092"/>
    <s v="Donna"/>
    <s v="Hanson"/>
    <s v="dhanson2j@salon.com"/>
    <s v="dhanson2j"/>
    <x v="62"/>
    <s v="Assistant Media Planner"/>
    <s v="Female"/>
    <s v="Mexican"/>
    <n v="22"/>
    <x v="12"/>
    <d v="2019-11-14T00:00:00"/>
    <x v="22"/>
    <s v="Sarasota"/>
    <n v="34233"/>
    <s v="United States"/>
    <x v="10"/>
    <n v="11"/>
    <x v="1"/>
  </r>
  <r>
    <n v="1019"/>
    <s v="Lillian"/>
    <s v="Fuller"/>
    <s v="lfulleri@miitbeian.gov.cn"/>
    <s v="lfulleri"/>
    <x v="67"/>
    <s v="Sales Associate"/>
    <s v="Female"/>
    <s v="Black or African American"/>
    <n v="997"/>
    <x v="4"/>
    <d v="2019-11-15T00:00:00"/>
    <x v="33"/>
    <s v="Boise"/>
    <n v="83705"/>
    <s v="United States"/>
    <x v="10"/>
    <n v="11"/>
    <x v="1"/>
  </r>
  <r>
    <n v="1450"/>
    <s v="Diane"/>
    <s v="Grant"/>
    <s v="dgrantch@washingtonpost.com"/>
    <s v="dgrantch"/>
    <x v="172"/>
    <s v="Sales Representative"/>
    <s v="Female"/>
    <s v="Costa Rican"/>
    <n v="885"/>
    <x v="3"/>
    <d v="2019-11-18T00:00:00"/>
    <x v="41"/>
    <s v="Newark"/>
    <n v="19725"/>
    <s v="United States"/>
    <x v="10"/>
    <n v="11"/>
    <x v="1"/>
  </r>
  <r>
    <n v="1922"/>
    <s v="Lisa"/>
    <s v="Rivera"/>
    <s v="lriverapl@nydailynews.com"/>
    <s v="lriverapl"/>
    <x v="38"/>
    <s v="Web Designer II"/>
    <s v="Female"/>
    <s v="Eskimo"/>
    <n v="758"/>
    <x v="7"/>
    <d v="2019-11-18T00:00:00"/>
    <x v="22"/>
    <s v="Pensacola"/>
    <n v="32511"/>
    <s v="United States"/>
    <x v="10"/>
    <n v="11"/>
    <x v="1"/>
  </r>
  <r>
    <n v="1144"/>
    <s v="Lori"/>
    <s v="Harvey"/>
    <s v="lharvey3z@ibm.com"/>
    <s v="lharvey3z"/>
    <x v="23"/>
    <s v="Technical Writer"/>
    <s v="Female"/>
    <s v="Asian"/>
    <n v="237"/>
    <x v="4"/>
    <d v="2019-11-19T00:00:00"/>
    <x v="5"/>
    <s v="Flushing"/>
    <n v="11355"/>
    <s v="United States"/>
    <x v="10"/>
    <n v="11"/>
    <x v="1"/>
  </r>
  <r>
    <n v="1021"/>
    <s v="Amy"/>
    <s v="Jordan"/>
    <s v="ajordank@ed.gov"/>
    <s v="ajordank"/>
    <x v="0"/>
    <s v="Electrical Engineer"/>
    <s v="Female"/>
    <s v="Black or African American"/>
    <n v="174"/>
    <x v="0"/>
    <d v="2019-11-20T00:00:00"/>
    <x v="0"/>
    <s v="Flint"/>
    <n v="48555"/>
    <s v="United States"/>
    <x v="10"/>
    <n v="11"/>
    <x v="1"/>
  </r>
  <r>
    <n v="1073"/>
    <s v="Willie"/>
    <s v="White"/>
    <s v="wwhite20@tripadvisor.com"/>
    <s v="wwhite20"/>
    <x v="173"/>
    <s v="Senior Quality Engineer"/>
    <s v="Male"/>
    <s v="Mexican"/>
    <n v="697"/>
    <x v="4"/>
    <d v="2019-11-22T00:00:00"/>
    <x v="1"/>
    <s v="Stockton"/>
    <n v="95210"/>
    <s v="United States"/>
    <x v="10"/>
    <n v="11"/>
    <x v="1"/>
  </r>
  <r>
    <n v="1448"/>
    <s v="Jerry"/>
    <s v="Wheeler"/>
    <s v="jwheelercf@shareasale.com"/>
    <s v="jwheelercf"/>
    <x v="174"/>
    <s v="Financial Advisor"/>
    <s v="Male"/>
    <s v="Hispanic"/>
    <n v="824"/>
    <x v="1"/>
    <d v="2019-11-26T00:00:00"/>
    <x v="4"/>
    <s v="Dallas"/>
    <n v="75372"/>
    <s v="United States"/>
    <x v="10"/>
    <n v="11"/>
    <x v="1"/>
  </r>
  <r>
    <n v="1697"/>
    <s v="Diane"/>
    <s v="Hernandez"/>
    <s v="dhernandezjc@friendfeed.com"/>
    <s v="dhernandezjc"/>
    <x v="175"/>
    <s v="Office Assistant IV"/>
    <s v="Female"/>
    <s v="Black or African American"/>
    <n v="650"/>
    <x v="0"/>
    <d v="2019-11-28T00:00:00"/>
    <x v="19"/>
    <s v="Toledo"/>
    <n v="43699"/>
    <s v="United States"/>
    <x v="10"/>
    <n v="11"/>
    <x v="1"/>
  </r>
  <r>
    <n v="1019"/>
    <s v="Lillian"/>
    <s v="Fuller"/>
    <s v="lfulleri@miitbeian.gov.cn"/>
    <s v="lfulleri"/>
    <x v="67"/>
    <s v="Sales Associate"/>
    <s v="Female"/>
    <s v="Black or African American"/>
    <n v="906"/>
    <x v="4"/>
    <d v="2019-12-01T00:00:00"/>
    <x v="33"/>
    <s v="Boise"/>
    <n v="83705"/>
    <s v="United States"/>
    <x v="11"/>
    <n v="12"/>
    <x v="1"/>
  </r>
  <r>
    <n v="1963"/>
    <s v="Brenda"/>
    <s v="Fowler"/>
    <s v="bfowlerqq@webmd.com"/>
    <s v="bfowlerqq"/>
    <x v="176"/>
    <s v="Staff Accountant III"/>
    <s v="Female"/>
    <s v="Asian"/>
    <n v="735"/>
    <x v="14"/>
    <d v="2019-12-01T00:00:00"/>
    <x v="40"/>
    <s v="Huntington"/>
    <n v="25709"/>
    <s v="United States"/>
    <x v="11"/>
    <n v="12"/>
    <x v="1"/>
  </r>
  <r>
    <n v="1020"/>
    <s v="Andrea"/>
    <s v="Mason"/>
    <s v="amasonj@yelp.com"/>
    <s v="amasonj"/>
    <x v="34"/>
    <s v="Financial Advisor"/>
    <s v="Female"/>
    <s v="Black or African American"/>
    <n v="175"/>
    <x v="1"/>
    <d v="2019-12-03T00:00:00"/>
    <x v="1"/>
    <s v="San Francisco"/>
    <n v="94105"/>
    <s v="United States"/>
    <x v="11"/>
    <n v="12"/>
    <x v="1"/>
  </r>
  <r>
    <n v="1467"/>
    <s v="Daniel"/>
    <s v="Greene"/>
    <s v="dgreenecy@pinterest.com"/>
    <s v="dgreenecy"/>
    <x v="97"/>
    <s v="Director of Sales"/>
    <s v="Male"/>
    <s v="American Indian"/>
    <n v="910"/>
    <x v="1"/>
    <d v="2019-12-04T00:00:00"/>
    <x v="1"/>
    <s v="Fresno"/>
    <n v="93778"/>
    <s v="United States"/>
    <x v="11"/>
    <n v="12"/>
    <x v="1"/>
  </r>
  <r>
    <n v="1514"/>
    <s v="Norma"/>
    <s v="Washington"/>
    <s v="nwashingtone9@ed.gov"/>
    <s v="nwashingtone9"/>
    <x v="154"/>
    <s v="Assistant Professor"/>
    <s v="Female"/>
    <s v="Korean"/>
    <n v="822"/>
    <x v="13"/>
    <d v="2019-12-05T00:00:00"/>
    <x v="1"/>
    <s v="San Rafael"/>
    <n v="94913"/>
    <s v="United States"/>
    <x v="11"/>
    <n v="12"/>
    <x v="1"/>
  </r>
  <r>
    <n v="1880"/>
    <s v="Rebecca"/>
    <s v="Lawson"/>
    <s v="rlawsonof@nsw.gov.au"/>
    <s v="rlawsonof"/>
    <x v="12"/>
    <s v="Software Engineer I"/>
    <s v="Female"/>
    <s v="Taiwanese"/>
    <n v="137"/>
    <x v="1"/>
    <d v="2019-12-05T00:00:00"/>
    <x v="10"/>
    <s v="Chicago"/>
    <n v="60614"/>
    <s v="United States"/>
    <x v="11"/>
    <n v="12"/>
    <x v="1"/>
  </r>
  <r>
    <n v="1170"/>
    <s v="Albert"/>
    <s v="Roberts"/>
    <s v="aroberts4p@ezinearticles.com"/>
    <s v="aroberts4p"/>
    <x v="14"/>
    <s v="Accountant I"/>
    <s v="Male"/>
    <s v="White"/>
    <n v="833"/>
    <x v="0"/>
    <d v="2019-12-06T00:00:00"/>
    <x v="4"/>
    <s v="El Paso"/>
    <n v="88574"/>
    <s v="United States"/>
    <x v="11"/>
    <n v="12"/>
    <x v="1"/>
  </r>
  <r>
    <n v="1639"/>
    <s v="Shirley"/>
    <s v="Kelley"/>
    <s v="skelleyhq@icq.com"/>
    <s v="skelleyhq"/>
    <x v="7"/>
    <s v="Recruiter"/>
    <s v="Female"/>
    <s v="Black or African American"/>
    <n v="791"/>
    <x v="13"/>
    <d v="2019-12-06T00:00:00"/>
    <x v="20"/>
    <s v="Mobile"/>
    <n v="36622"/>
    <s v="United States"/>
    <x v="11"/>
    <n v="12"/>
    <x v="1"/>
  </r>
  <r>
    <n v="1712"/>
    <s v="Rebecca"/>
    <s v="Mitchell"/>
    <s v="rmitchelljr@tinypic.com"/>
    <s v="rmitchelljr"/>
    <x v="113"/>
    <s v="VP Sales"/>
    <s v="Female"/>
    <s v="Black or African American"/>
    <n v="215"/>
    <x v="9"/>
    <d v="2019-12-07T00:00:00"/>
    <x v="1"/>
    <s v="Pasadena"/>
    <n v="91199"/>
    <s v="United States"/>
    <x v="11"/>
    <n v="12"/>
    <x v="1"/>
  </r>
  <r>
    <n v="1981"/>
    <s v="Brian"/>
    <s v="Watkins"/>
    <s v="bwatkinsr8@list-manage.com"/>
    <s v="bwatkinsr8"/>
    <x v="145"/>
    <s v="Programmer Analyst I"/>
    <s v="Male"/>
    <s v="White"/>
    <n v="198"/>
    <x v="3"/>
    <d v="2019-12-07T00:00:00"/>
    <x v="28"/>
    <s v="Washington"/>
    <n v="20409"/>
    <s v="United States"/>
    <x v="11"/>
    <n v="12"/>
    <x v="1"/>
  </r>
  <r>
    <n v="1212"/>
    <s v="Patricia"/>
    <s v="Weaver"/>
    <s v="pweaver5v@merriam-webster.com"/>
    <s v="pweaver5v"/>
    <x v="11"/>
    <s v="Staff Accountant I"/>
    <s v="Female"/>
    <s v="White"/>
    <n v="407"/>
    <x v="6"/>
    <d v="2019-12-08T00:00:00"/>
    <x v="9"/>
    <s v="Hartford"/>
    <n v="6183"/>
    <s v="United States"/>
    <x v="11"/>
    <n v="12"/>
    <x v="1"/>
  </r>
  <r>
    <n v="1489"/>
    <s v="Roger"/>
    <s v="Matthews"/>
    <s v="rmatthewsdk@nature.com"/>
    <s v="rmatthewsdk"/>
    <x v="7"/>
    <s v="Environmental Tech"/>
    <s v="Male"/>
    <s v="Black or African American"/>
    <n v="596"/>
    <x v="4"/>
    <d v="2019-12-08T00:00:00"/>
    <x v="2"/>
    <s v="Hampton"/>
    <n v="23668"/>
    <s v="United States"/>
    <x v="11"/>
    <n v="12"/>
    <x v="1"/>
  </r>
  <r>
    <n v="1234"/>
    <s v="Adam"/>
    <s v="Jenkins"/>
    <s v="ajenkins6h@comcast.net"/>
    <s v="ajenkins6h"/>
    <x v="4"/>
    <s v="Internal Auditor"/>
    <s v="Male"/>
    <s v="White"/>
    <n v="814"/>
    <x v="4"/>
    <d v="2019-12-10T00:00:00"/>
    <x v="4"/>
    <s v="Austin"/>
    <n v="78710"/>
    <s v="United States"/>
    <x v="11"/>
    <n v="12"/>
    <x v="1"/>
  </r>
  <r>
    <n v="1644"/>
    <s v="Angela"/>
    <s v="Medina"/>
    <s v="amedinahv@deliciousdays.com"/>
    <s v="amedinahv"/>
    <x v="53"/>
    <s v="VP Sales"/>
    <s v="Female"/>
    <s v="Black or African American"/>
    <n v="813"/>
    <x v="1"/>
    <d v="2019-12-10T00:00:00"/>
    <x v="3"/>
    <s v="Augusta"/>
    <n v="30905"/>
    <s v="United States"/>
    <x v="11"/>
    <n v="12"/>
    <x v="1"/>
  </r>
  <r>
    <n v="1851"/>
    <s v="Linda"/>
    <s v="Washington"/>
    <s v="lwashingtonnm@jalbum.net"/>
    <s v="lwashingtonnm"/>
    <x v="76"/>
    <s v="Teacher"/>
    <s v="Female"/>
    <s v="White"/>
    <n v="48"/>
    <x v="12"/>
    <d v="2019-12-15T00:00:00"/>
    <x v="5"/>
    <s v="Brooklyn"/>
    <n v="11210"/>
    <s v="United States"/>
    <x v="11"/>
    <n v="12"/>
    <x v="1"/>
  </r>
  <r>
    <n v="1783"/>
    <s v="Juan"/>
    <s v="Jones"/>
    <s v="jjoneslq@vistaprint.com"/>
    <s v="jjoneslq"/>
    <x v="33"/>
    <s v="Programmer III"/>
    <s v="Male"/>
    <s v="Asian"/>
    <n v="668"/>
    <x v="11"/>
    <d v="2019-12-18T00:00:00"/>
    <x v="25"/>
    <s v="Tucson"/>
    <n v="85715"/>
    <s v="United States"/>
    <x v="11"/>
    <n v="12"/>
    <x v="1"/>
  </r>
  <r>
    <n v="1298"/>
    <s v="Anna"/>
    <s v="Thomas"/>
    <s v="athomas89@usa.gov"/>
    <s v="athomas89"/>
    <x v="33"/>
    <s v="Food Chemist"/>
    <s v="Female"/>
    <s v="Japanese"/>
    <n v="987"/>
    <x v="12"/>
    <d v="2019-12-21T00:00:00"/>
    <x v="22"/>
    <s v="Orlando"/>
    <n v="32891"/>
    <s v="United States"/>
    <x v="11"/>
    <n v="12"/>
    <x v="1"/>
  </r>
  <r>
    <n v="1614"/>
    <s v="Lillian"/>
    <s v="Washington"/>
    <s v="lwashingtonh1@vimeo.com"/>
    <s v="lwashingtonh1"/>
    <x v="177"/>
    <s v="Developer II"/>
    <s v="Female"/>
    <s v="Alaska Native"/>
    <n v="615"/>
    <x v="13"/>
    <d v="2019-12-22T00:00:00"/>
    <x v="42"/>
    <s v="Bismarck"/>
    <n v="58505"/>
    <s v="United States"/>
    <x v="11"/>
    <n v="12"/>
    <x v="1"/>
  </r>
  <r>
    <n v="1728"/>
    <s v="Catherine"/>
    <s v="Rogers"/>
    <s v="crogersk7@loc.gov"/>
    <s v="crogersk7"/>
    <x v="178"/>
    <s v="Geologist III"/>
    <s v="Female"/>
    <s v="Japanese"/>
    <n v="864"/>
    <x v="14"/>
    <d v="2019-12-22T00:00:00"/>
    <x v="35"/>
    <s v="Baltimore"/>
    <n v="21211"/>
    <s v="United States"/>
    <x v="11"/>
    <n v="12"/>
    <x v="1"/>
  </r>
  <r>
    <n v="1946"/>
    <s v="Daniel"/>
    <s v="Turner"/>
    <s v="dturnerq9@artisteer.com"/>
    <s v="dturnerq9"/>
    <x v="107"/>
    <s v="Geological Engineer"/>
    <s v="Male"/>
    <s v="Korean"/>
    <n v="663"/>
    <x v="1"/>
    <d v="2019-12-22T00:00:00"/>
    <x v="4"/>
    <s v="Houston"/>
    <n v="77234"/>
    <s v="United States"/>
    <x v="11"/>
    <n v="12"/>
    <x v="1"/>
  </r>
  <r>
    <n v="1743"/>
    <s v="Stephen"/>
    <s v="Turner"/>
    <s v="sturnerkm@bandcamp.com"/>
    <s v="sturnerkm"/>
    <x v="179"/>
    <s v="Graphic Designer"/>
    <s v="Male"/>
    <s v="Asian"/>
    <n v="248"/>
    <x v="13"/>
    <d v="2019-12-23T00:00:00"/>
    <x v="5"/>
    <s v="Elmira"/>
    <n v="14905"/>
    <s v="United States"/>
    <x v="11"/>
    <n v="12"/>
    <x v="1"/>
  </r>
  <r>
    <n v="1043"/>
    <s v="Walter"/>
    <s v="Roberts"/>
    <s v="wroberts16@tiny.cc"/>
    <s v="wroberts16"/>
    <x v="66"/>
    <s v="Senior Quality Engineer"/>
    <s v="Male"/>
    <s v="Black or African American"/>
    <n v="787"/>
    <x v="0"/>
    <d v="2019-12-24T00:00:00"/>
    <x v="24"/>
    <s v="Las Vegas"/>
    <n v="89140"/>
    <s v="United States"/>
    <x v="11"/>
    <n v="12"/>
    <x v="1"/>
  </r>
  <r>
    <n v="1022"/>
    <s v="Todd"/>
    <s v="Peters"/>
    <s v="tpetersl@dot.gov"/>
    <s v="tpetersl"/>
    <x v="74"/>
    <s v="Design Engineer"/>
    <s v="Male"/>
    <s v="Black or African American"/>
    <n v="766"/>
    <x v="1"/>
    <d v="2019-12-27T00:00:00"/>
    <x v="28"/>
    <s v="Washington"/>
    <n v="20430"/>
    <s v="United States"/>
    <x v="11"/>
    <n v="12"/>
    <x v="1"/>
  </r>
  <r>
    <n v="1020"/>
    <s v="Andrea"/>
    <s v="Mason"/>
    <s v="amasonj@yelp.com"/>
    <s v="amasonj"/>
    <x v="34"/>
    <s v="Financial Advisor"/>
    <s v="Female"/>
    <s v="Black or African American"/>
    <n v="279"/>
    <x v="1"/>
    <d v="2019-12-29T00:00:00"/>
    <x v="1"/>
    <s v="San Francisco"/>
    <n v="94105"/>
    <s v="United States"/>
    <x v="11"/>
    <n v="12"/>
    <x v="1"/>
  </r>
  <r>
    <n v="1576"/>
    <s v="Sean"/>
    <s v="Wright"/>
    <s v="swrightfz@nps.gov"/>
    <s v="swrightfz"/>
    <x v="180"/>
    <s v="Geologist I"/>
    <s v="Male"/>
    <s v="Hispanic"/>
    <n v="366"/>
    <x v="4"/>
    <d v="2019-12-30T00:00:00"/>
    <x v="4"/>
    <s v="Round Rock"/>
    <n v="78682"/>
    <s v="United States"/>
    <x v="11"/>
    <n v="12"/>
    <x v="1"/>
  </r>
  <r>
    <n v="1768"/>
    <s v="Arthur"/>
    <s v="Foster"/>
    <s v="afosterlb@imgur.com"/>
    <s v="afosterlb"/>
    <x v="13"/>
    <s v="Recruiter"/>
    <s v="Male"/>
    <s v="Asian"/>
    <n v="405"/>
    <x v="1"/>
    <d v="2019-12-31T00:00:00"/>
    <x v="38"/>
    <s v="Greenville"/>
    <n v="29615"/>
    <s v="United States"/>
    <x v="11"/>
    <n v="12"/>
    <x v="1"/>
  </r>
  <r>
    <n v="1298"/>
    <s v="Anna"/>
    <s v="Thomas"/>
    <s v="athomas89@usa.gov"/>
    <s v="athomas89"/>
    <x v="33"/>
    <s v="Food Chemist"/>
    <s v="Female"/>
    <s v="Japanese"/>
    <n v="442"/>
    <x v="12"/>
    <d v="2020-01-01T00:00:00"/>
    <x v="22"/>
    <s v="Orlando"/>
    <n v="32891"/>
    <s v="United States"/>
    <x v="0"/>
    <n v="1"/>
    <x v="2"/>
  </r>
  <r>
    <n v="1541"/>
    <s v="Douglas"/>
    <s v="Bishop"/>
    <s v="dbishopf0@fc2.com"/>
    <s v="dbishopf0"/>
    <x v="17"/>
    <s v="Financial Advisor"/>
    <s v="Male"/>
    <s v="Thai"/>
    <n v="272"/>
    <x v="1"/>
    <d v="2020-01-03T00:00:00"/>
    <x v="19"/>
    <s v="Columbus"/>
    <n v="43268"/>
    <s v="United States"/>
    <x v="0"/>
    <n v="1"/>
    <x v="2"/>
  </r>
  <r>
    <n v="1043"/>
    <s v="Walter"/>
    <s v="Roberts"/>
    <s v="wroberts16@tiny.cc"/>
    <s v="wroberts16"/>
    <x v="66"/>
    <s v="Senior Quality Engineer"/>
    <s v="Male"/>
    <s v="Black or African American"/>
    <n v="85"/>
    <x v="0"/>
    <d v="2020-01-05T00:00:00"/>
    <x v="24"/>
    <s v="Las Vegas"/>
    <n v="89140"/>
    <s v="United States"/>
    <x v="0"/>
    <n v="1"/>
    <x v="2"/>
  </r>
  <r>
    <n v="1783"/>
    <s v="Juan"/>
    <s v="Jones"/>
    <s v="jjoneslq@vistaprint.com"/>
    <s v="jjoneslq"/>
    <x v="33"/>
    <s v="Programmer III"/>
    <s v="Male"/>
    <s v="Asian"/>
    <n v="393"/>
    <x v="11"/>
    <d v="2020-01-05T00:00:00"/>
    <x v="25"/>
    <s v="Tucson"/>
    <n v="85715"/>
    <s v="United States"/>
    <x v="0"/>
    <n v="1"/>
    <x v="2"/>
  </r>
  <r>
    <n v="1298"/>
    <s v="Anna"/>
    <s v="Thomas"/>
    <s v="athomas89@usa.gov"/>
    <s v="athomas89"/>
    <x v="33"/>
    <s v="Food Chemist"/>
    <s v="Female"/>
    <s v="Japanese"/>
    <n v="478"/>
    <x v="12"/>
    <d v="2020-01-06T00:00:00"/>
    <x v="22"/>
    <s v="Orlando"/>
    <n v="32891"/>
    <s v="United States"/>
    <x v="0"/>
    <n v="1"/>
    <x v="2"/>
  </r>
  <r>
    <n v="1489"/>
    <s v="Roger"/>
    <s v="Matthews"/>
    <s v="rmatthewsdk@nature.com"/>
    <s v="rmatthewsdk"/>
    <x v="7"/>
    <s v="Environmental Tech"/>
    <s v="Male"/>
    <s v="Black or African American"/>
    <n v="955"/>
    <x v="4"/>
    <d v="2020-01-06T00:00:00"/>
    <x v="2"/>
    <s v="Hampton"/>
    <n v="23668"/>
    <s v="United States"/>
    <x v="0"/>
    <n v="1"/>
    <x v="2"/>
  </r>
  <r>
    <n v="1679"/>
    <s v="Raymond"/>
    <s v="Morrison"/>
    <s v="rmorrisoniu@yahoo.co.jp"/>
    <s v="rmorrisoniu"/>
    <x v="133"/>
    <s v="Compensation Analyst"/>
    <s v="Male"/>
    <s v="Black or African American"/>
    <n v="397"/>
    <x v="1"/>
    <d v="2020-01-09T00:00:00"/>
    <x v="32"/>
    <s v="Fairbanks"/>
    <n v="99709"/>
    <s v="United States"/>
    <x v="0"/>
    <n v="1"/>
    <x v="2"/>
  </r>
  <r>
    <n v="1850"/>
    <s v="Matthew"/>
    <s v="Burton"/>
    <s v="mburtonnl@icq.com"/>
    <s v="mburtonnl"/>
    <x v="181"/>
    <s v="Software Consultant"/>
    <s v="Male"/>
    <s v="Costa Rican"/>
    <n v="328"/>
    <x v="1"/>
    <d v="2020-01-10T00:00:00"/>
    <x v="16"/>
    <s v="Lancaster"/>
    <n v="17605"/>
    <s v="United States"/>
    <x v="0"/>
    <n v="1"/>
    <x v="2"/>
  </r>
  <r>
    <n v="2000"/>
    <s v="Patricia"/>
    <s v="Austin"/>
    <s v="paustinrr@huffingtonpost.com"/>
    <s v="paustinrr"/>
    <x v="89"/>
    <s v="Assistant Professor"/>
    <s v="Female"/>
    <s v="Eskimo"/>
    <n v="116"/>
    <x v="4"/>
    <d v="2020-01-11T00:00:00"/>
    <x v="1"/>
    <s v="Sacramento"/>
    <n v="94230"/>
    <s v="United States"/>
    <x v="0"/>
    <n v="1"/>
    <x v="2"/>
  </r>
  <r>
    <n v="1577"/>
    <s v="Diana"/>
    <s v="Banks"/>
    <s v="dbanksg0@hostgator.com"/>
    <s v="dbanksg0"/>
    <x v="111"/>
    <s v="Actuary"/>
    <s v="Female"/>
    <s v="Argentinian"/>
    <n v="579"/>
    <x v="14"/>
    <d v="2020-01-14T00:00:00"/>
    <x v="11"/>
    <s v="Denver"/>
    <n v="80217"/>
    <s v="United States"/>
    <x v="0"/>
    <n v="1"/>
    <x v="2"/>
  </r>
  <r>
    <n v="1166"/>
    <s v="Donna"/>
    <s v="Jackson"/>
    <s v="djackson4l@booking.com"/>
    <s v="djackson4l"/>
    <x v="9"/>
    <s v="Electrical Engineer"/>
    <s v="Female"/>
    <s v="Asian"/>
    <n v="228"/>
    <x v="6"/>
    <d v="2020-01-17T00:00:00"/>
    <x v="22"/>
    <s v="Gainesville"/>
    <n v="32605"/>
    <s v="United States"/>
    <x v="0"/>
    <n v="1"/>
    <x v="2"/>
  </r>
  <r>
    <n v="1851"/>
    <s v="Linda"/>
    <s v="Washington"/>
    <s v="lwashingtonnm@jalbum.net"/>
    <s v="lwashingtonnm"/>
    <x v="76"/>
    <s v="Teacher"/>
    <s v="Female"/>
    <s v="White"/>
    <n v="341"/>
    <x v="12"/>
    <d v="2020-01-20T00:00:00"/>
    <x v="5"/>
    <s v="Brooklyn"/>
    <n v="11210"/>
    <s v="United States"/>
    <x v="0"/>
    <n v="1"/>
    <x v="2"/>
  </r>
  <r>
    <n v="1880"/>
    <s v="Rebecca"/>
    <s v="Lawson"/>
    <s v="rlawsonof@nsw.gov.au"/>
    <s v="rlawsonof"/>
    <x v="12"/>
    <s v="Software Engineer I"/>
    <s v="Female"/>
    <s v="Taiwanese"/>
    <n v="547"/>
    <x v="1"/>
    <d v="2020-01-22T00:00:00"/>
    <x v="10"/>
    <s v="Chicago"/>
    <n v="60614"/>
    <s v="United States"/>
    <x v="0"/>
    <n v="1"/>
    <x v="2"/>
  </r>
  <r>
    <n v="1116"/>
    <s v="Christina"/>
    <s v="Wheeler"/>
    <s v="cwheeler37@ovh.net"/>
    <s v="cwheeler37"/>
    <x v="3"/>
    <s v="Information Systems Manager"/>
    <s v="Female"/>
    <s v="Mexican"/>
    <n v="451"/>
    <x v="3"/>
    <d v="2020-01-24T00:00:00"/>
    <x v="3"/>
    <s v="Duluth"/>
    <n v="30096"/>
    <s v="United States"/>
    <x v="0"/>
    <n v="1"/>
    <x v="2"/>
  </r>
  <r>
    <n v="1363"/>
    <s v="Steve"/>
    <s v="Schmidt"/>
    <s v="sschmidta2@deviantart.com"/>
    <s v="sschmidta2"/>
    <x v="182"/>
    <s v="Software Test Engineer IV"/>
    <s v="Male"/>
    <s v="Mexican"/>
    <n v="987"/>
    <x v="6"/>
    <d v="2020-01-25T00:00:00"/>
    <x v="40"/>
    <s v="Charleston"/>
    <n v="25313"/>
    <s v="United States"/>
    <x v="0"/>
    <n v="1"/>
    <x v="2"/>
  </r>
  <r>
    <n v="1436"/>
    <s v="Ashley"/>
    <s v="Wood"/>
    <s v="awoodc3@nytimes.com"/>
    <s v="awoodc3"/>
    <x v="32"/>
    <s v="Sales Associate"/>
    <s v="Female"/>
    <s v="Argentinian"/>
    <n v="616"/>
    <x v="1"/>
    <d v="2020-01-26T00:00:00"/>
    <x v="24"/>
    <s v="Las Vegas"/>
    <n v="89145"/>
    <s v="United States"/>
    <x v="0"/>
    <n v="1"/>
    <x v="2"/>
  </r>
  <r>
    <n v="1764"/>
    <s v="Kenneth"/>
    <s v="Thomas"/>
    <s v="kthomasl7@list-manage.com"/>
    <s v="kthomasl7"/>
    <x v="33"/>
    <s v="Desktop Support Technician"/>
    <s v="Male"/>
    <s v="Asian"/>
    <n v="95"/>
    <x v="1"/>
    <d v="2020-01-26T00:00:00"/>
    <x v="5"/>
    <s v="Brooklyn"/>
    <n v="11215"/>
    <s v="United States"/>
    <x v="0"/>
    <n v="1"/>
    <x v="2"/>
  </r>
  <r>
    <n v="1629"/>
    <s v="Larry"/>
    <s v="Medina"/>
    <s v="lmedinahg@creativecommons.org"/>
    <s v="lmedinahg"/>
    <x v="183"/>
    <s v="Speech Pathologist"/>
    <s v="Male"/>
    <s v="Black or African American"/>
    <n v="203"/>
    <x v="4"/>
    <d v="2020-01-29T00:00:00"/>
    <x v="21"/>
    <s v="Tulsa"/>
    <n v="74116"/>
    <s v="United States"/>
    <x v="0"/>
    <n v="1"/>
    <x v="2"/>
  </r>
  <r>
    <n v="1144"/>
    <s v="Lori"/>
    <s v="Harvey"/>
    <s v="lharvey3z@ibm.com"/>
    <s v="lharvey3z"/>
    <x v="23"/>
    <s v="Technical Writer"/>
    <s v="Female"/>
    <s v="Asian"/>
    <n v="128"/>
    <x v="4"/>
    <d v="2020-01-30T00:00:00"/>
    <x v="5"/>
    <s v="Flushing"/>
    <n v="11355"/>
    <s v="United States"/>
    <x v="0"/>
    <n v="1"/>
    <x v="2"/>
  </r>
  <r>
    <n v="1170"/>
    <s v="Albert"/>
    <s v="Roberts"/>
    <s v="aroberts4p@ezinearticles.com"/>
    <s v="aroberts4p"/>
    <x v="14"/>
    <s v="Accountant I"/>
    <s v="Male"/>
    <s v="White"/>
    <n v="213"/>
    <x v="0"/>
    <d v="2020-01-30T00:00:00"/>
    <x v="4"/>
    <s v="El Paso"/>
    <n v="88574"/>
    <s v="United States"/>
    <x v="0"/>
    <n v="1"/>
    <x v="2"/>
  </r>
  <r>
    <n v="1521"/>
    <s v="Linda"/>
    <s v="Simpson"/>
    <s v="lsimpsoneg@dropbox.com"/>
    <s v="lsimpsoneg"/>
    <x v="184"/>
    <s v="VP Accounting"/>
    <s v="Female"/>
    <s v="Japanese"/>
    <n v="58"/>
    <x v="1"/>
    <d v="2020-02-01T00:00:00"/>
    <x v="3"/>
    <s v="Atlanta"/>
    <n v="30311"/>
    <s v="United States"/>
    <x v="1"/>
    <n v="2"/>
    <x v="2"/>
  </r>
  <r>
    <n v="1234"/>
    <s v="Adam"/>
    <s v="Jenkins"/>
    <s v="ajenkins6h@comcast.net"/>
    <s v="ajenkins6h"/>
    <x v="4"/>
    <s v="Internal Auditor"/>
    <s v="Male"/>
    <s v="White"/>
    <n v="424"/>
    <x v="4"/>
    <d v="2020-02-03T00:00:00"/>
    <x v="4"/>
    <s v="Austin"/>
    <n v="78710"/>
    <s v="United States"/>
    <x v="1"/>
    <n v="2"/>
    <x v="2"/>
  </r>
  <r>
    <n v="1489"/>
    <s v="Roger"/>
    <s v="Matthews"/>
    <s v="rmatthewsdk@nature.com"/>
    <s v="rmatthewsdk"/>
    <x v="7"/>
    <s v="Environmental Tech"/>
    <s v="Male"/>
    <s v="Black or African American"/>
    <n v="516"/>
    <x v="4"/>
    <d v="2020-02-07T00:00:00"/>
    <x v="2"/>
    <s v="Hampton"/>
    <n v="23668"/>
    <s v="United States"/>
    <x v="1"/>
    <n v="2"/>
    <x v="2"/>
  </r>
  <r>
    <n v="1116"/>
    <s v="Christina"/>
    <s v="Wheeler"/>
    <s v="cwheeler37@ovh.net"/>
    <s v="cwheeler37"/>
    <x v="3"/>
    <s v="Information Systems Manager"/>
    <s v="Female"/>
    <s v="Mexican"/>
    <n v="73"/>
    <x v="3"/>
    <d v="2020-02-09T00:00:00"/>
    <x v="3"/>
    <s v="Duluth"/>
    <n v="30096"/>
    <s v="United States"/>
    <x v="1"/>
    <n v="2"/>
    <x v="2"/>
  </r>
  <r>
    <n v="1170"/>
    <s v="Albert"/>
    <s v="Roberts"/>
    <s v="aroberts4p@ezinearticles.com"/>
    <s v="aroberts4p"/>
    <x v="14"/>
    <s v="Accountant I"/>
    <s v="Male"/>
    <s v="White"/>
    <n v="146"/>
    <x v="0"/>
    <d v="2020-02-09T00:00:00"/>
    <x v="4"/>
    <s v="El Paso"/>
    <n v="88574"/>
    <s v="United States"/>
    <x v="1"/>
    <n v="2"/>
    <x v="2"/>
  </r>
  <r>
    <n v="1513"/>
    <s v="Chris"/>
    <s v="Powell"/>
    <s v="cpowelle8@digg.com"/>
    <s v="cpowelle8"/>
    <x v="151"/>
    <s v="Automation Specialist III"/>
    <s v="Male"/>
    <s v="Eskimo"/>
    <n v="59"/>
    <x v="2"/>
    <d v="2020-02-10T00:00:00"/>
    <x v="2"/>
    <s v="Richmond"/>
    <n v="23289"/>
    <s v="United States"/>
    <x v="1"/>
    <n v="2"/>
    <x v="2"/>
  </r>
  <r>
    <n v="1994"/>
    <s v="Ronald"/>
    <s v="Fernandez"/>
    <s v="rfernandezrl@dell.com"/>
    <s v="rfernandezrl"/>
    <x v="99"/>
    <s v="Senior Editor"/>
    <s v="Male"/>
    <s v="White"/>
    <n v="197"/>
    <x v="1"/>
    <d v="2020-02-13T00:00:00"/>
    <x v="10"/>
    <s v="Peoria"/>
    <n v="61651"/>
    <s v="United States"/>
    <x v="1"/>
    <n v="2"/>
    <x v="2"/>
  </r>
  <r>
    <n v="1095"/>
    <s v="Emily"/>
    <s v="Franklin"/>
    <s v="efranklin2m@google.co.jp"/>
    <s v="efranklin2m"/>
    <x v="67"/>
    <s v="Analyst Programmer"/>
    <s v="Female"/>
    <s v="Mexican"/>
    <n v="538"/>
    <x v="6"/>
    <d v="2020-02-15T00:00:00"/>
    <x v="4"/>
    <s v="Houston"/>
    <n v="77040"/>
    <s v="United States"/>
    <x v="1"/>
    <n v="2"/>
    <x v="2"/>
  </r>
  <r>
    <n v="1017"/>
    <s v="Diana"/>
    <s v="Wells"/>
    <s v="dwellsg@vimeo.com"/>
    <s v="dwellsg"/>
    <x v="89"/>
    <s v="Editor"/>
    <s v="Female"/>
    <s v="Black or African American"/>
    <n v="650"/>
    <x v="1"/>
    <d v="2020-02-17T00:00:00"/>
    <x v="10"/>
    <s v="Chicago"/>
    <n v="60663"/>
    <s v="United States"/>
    <x v="1"/>
    <n v="2"/>
    <x v="2"/>
  </r>
  <r>
    <n v="1851"/>
    <s v="Linda"/>
    <s v="Washington"/>
    <s v="lwashingtonnm@jalbum.net"/>
    <s v="lwashingtonnm"/>
    <x v="76"/>
    <s v="Teacher"/>
    <s v="Female"/>
    <s v="White"/>
    <n v="709"/>
    <x v="12"/>
    <d v="2020-02-20T00:00:00"/>
    <x v="5"/>
    <s v="Brooklyn"/>
    <n v="11210"/>
    <s v="United States"/>
    <x v="1"/>
    <n v="2"/>
    <x v="2"/>
  </r>
  <r>
    <n v="1542"/>
    <s v="Scott"/>
    <s v="Patterson"/>
    <s v="spattersonf1@hibu.com"/>
    <s v="spattersonf1"/>
    <x v="177"/>
    <s v="Research Associate"/>
    <s v="Male"/>
    <s v="Thai"/>
    <n v="831"/>
    <x v="10"/>
    <d v="2020-02-22T00:00:00"/>
    <x v="22"/>
    <s v="Orlando"/>
    <n v="32885"/>
    <s v="United States"/>
    <x v="1"/>
    <n v="2"/>
    <x v="2"/>
  </r>
  <r>
    <n v="1433"/>
    <s v="Harry"/>
    <s v="Fernandez"/>
    <s v="hfernandezc0@redcross.org"/>
    <s v="hfernandezc0"/>
    <x v="55"/>
    <s v="Director of Sales"/>
    <s v="Male"/>
    <s v="Taiwanese"/>
    <n v="679"/>
    <x v="3"/>
    <d v="2020-02-24T00:00:00"/>
    <x v="28"/>
    <s v="Washington"/>
    <n v="20420"/>
    <s v="United States"/>
    <x v="1"/>
    <n v="2"/>
    <x v="2"/>
  </r>
  <r>
    <n v="1880"/>
    <s v="Rebecca"/>
    <s v="Lawson"/>
    <s v="rlawsonof@nsw.gov.au"/>
    <s v="rlawsonof"/>
    <x v="12"/>
    <s v="Software Engineer I"/>
    <s v="Female"/>
    <s v="Taiwanese"/>
    <n v="557"/>
    <x v="1"/>
    <d v="2020-02-28T00:00:00"/>
    <x v="10"/>
    <s v="Chicago"/>
    <n v="60614"/>
    <s v="United States"/>
    <x v="1"/>
    <n v="2"/>
    <x v="2"/>
  </r>
  <r>
    <n v="1017"/>
    <s v="Diana"/>
    <s v="Wells"/>
    <s v="dwellsg@vimeo.com"/>
    <s v="dwellsg"/>
    <x v="89"/>
    <s v="Editor"/>
    <s v="Female"/>
    <s v="Black or African American"/>
    <n v="846"/>
    <x v="1"/>
    <d v="2020-03-04T00:00:00"/>
    <x v="10"/>
    <s v="Chicago"/>
    <n v="60663"/>
    <s v="United States"/>
    <x v="2"/>
    <n v="3"/>
    <x v="2"/>
  </r>
  <r>
    <n v="1605"/>
    <s v="Ronald"/>
    <s v="Shaw"/>
    <s v="rshawgs@topsy.com"/>
    <s v="rshawgs"/>
    <x v="185"/>
    <s v="Product Engineer"/>
    <s v="Male"/>
    <s v="Taiwanese"/>
    <n v="751"/>
    <x v="13"/>
    <d v="2020-03-04T00:00:00"/>
    <x v="18"/>
    <s v="Indianapolis"/>
    <n v="46247"/>
    <s v="United States"/>
    <x v="2"/>
    <n v="3"/>
    <x v="2"/>
  </r>
  <r>
    <n v="1986"/>
    <s v="Edward"/>
    <s v="Long"/>
    <s v="elongrd@bing.com"/>
    <s v="elongrd"/>
    <x v="13"/>
    <s v="Quality Control Specialist"/>
    <s v="Male"/>
    <s v="White"/>
    <n v="165"/>
    <x v="7"/>
    <d v="2020-03-04T00:00:00"/>
    <x v="4"/>
    <s v="Houston"/>
    <n v="77010"/>
    <s v="United States"/>
    <x v="2"/>
    <n v="3"/>
    <x v="2"/>
  </r>
  <r>
    <n v="1361"/>
    <s v="Larry"/>
    <s v="Mason"/>
    <s v="lmasona0@google.com"/>
    <s v="lmasona0"/>
    <x v="149"/>
    <s v="Associate Professor"/>
    <s v="Male"/>
    <s v="Costa Rican"/>
    <n v="421"/>
    <x v="1"/>
    <d v="2020-03-07T00:00:00"/>
    <x v="0"/>
    <s v="Muskegon"/>
    <n v="49444"/>
    <s v="United States"/>
    <x v="2"/>
    <n v="3"/>
    <x v="2"/>
  </r>
  <r>
    <n v="1622"/>
    <s v="Kimberly"/>
    <s v="Lynch"/>
    <s v="klynchh9@meetup.com"/>
    <s v="klynchh9"/>
    <x v="186"/>
    <s v="Food Chemist"/>
    <s v="Female"/>
    <s v="Black or African American"/>
    <n v="180"/>
    <x v="14"/>
    <d v="2020-03-07T00:00:00"/>
    <x v="13"/>
    <s v="Kansas City"/>
    <n v="64190"/>
    <s v="United States"/>
    <x v="2"/>
    <n v="3"/>
    <x v="2"/>
  </r>
  <r>
    <n v="1434"/>
    <s v="Cynthia"/>
    <s v="Meyer"/>
    <s v="cmeyerc1@usgs.gov"/>
    <s v="cmeyerc1"/>
    <x v="53"/>
    <s v="Senior Quality Engineer"/>
    <s v="Female"/>
    <s v="Asian"/>
    <n v="543"/>
    <x v="1"/>
    <d v="2020-03-09T00:00:00"/>
    <x v="8"/>
    <s v="Minneapolis"/>
    <n v="55436"/>
    <s v="United States"/>
    <x v="2"/>
    <n v="3"/>
    <x v="2"/>
  </r>
  <r>
    <n v="1298"/>
    <s v="Anna"/>
    <s v="Thomas"/>
    <s v="athomas89@usa.gov"/>
    <s v="athomas89"/>
    <x v="33"/>
    <s v="Food Chemist"/>
    <s v="Female"/>
    <s v="Japanese"/>
    <n v="542"/>
    <x v="12"/>
    <d v="2020-03-10T00:00:00"/>
    <x v="22"/>
    <s v="Orlando"/>
    <n v="32891"/>
    <s v="United States"/>
    <x v="2"/>
    <n v="3"/>
    <x v="2"/>
  </r>
  <r>
    <n v="1653"/>
    <s v="Martha"/>
    <s v="Welch"/>
    <s v="mwelchi4@dailymotion.com"/>
    <s v="mwelchi4"/>
    <x v="6"/>
    <s v="Accountant I"/>
    <s v="Female"/>
    <s v="Black or African American"/>
    <n v="922"/>
    <x v="1"/>
    <d v="2020-03-12T00:00:00"/>
    <x v="24"/>
    <s v="Sparks"/>
    <n v="89436"/>
    <s v="United States"/>
    <x v="2"/>
    <n v="3"/>
    <x v="2"/>
  </r>
  <r>
    <n v="1365"/>
    <s v="Roy"/>
    <s v="Snyder"/>
    <s v="rsnydera4@whitehouse.gov"/>
    <s v="rsnydera4"/>
    <x v="56"/>
    <s v="Help Desk Technician"/>
    <s v="Male"/>
    <s v="Mexican"/>
    <n v="824"/>
    <x v="4"/>
    <d v="2020-03-14T00:00:00"/>
    <x v="22"/>
    <s v="Miami"/>
    <n v="33261"/>
    <s v="United States"/>
    <x v="2"/>
    <n v="3"/>
    <x v="2"/>
  </r>
  <r>
    <n v="1851"/>
    <s v="Linda"/>
    <s v="Washington"/>
    <s v="lwashingtonnm@jalbum.net"/>
    <s v="lwashingtonnm"/>
    <x v="76"/>
    <s v="Teacher"/>
    <s v="Female"/>
    <s v="White"/>
    <n v="551"/>
    <x v="12"/>
    <d v="2020-03-14T00:00:00"/>
    <x v="5"/>
    <s v="Brooklyn"/>
    <n v="11210"/>
    <s v="United States"/>
    <x v="2"/>
    <n v="3"/>
    <x v="2"/>
  </r>
  <r>
    <n v="1993"/>
    <s v="Rose"/>
    <s v="Little"/>
    <s v="rlittlerk@omniture.com"/>
    <s v="rlittlerk"/>
    <x v="187"/>
    <s v="Registered Nurse"/>
    <s v="Female"/>
    <s v="White"/>
    <n v="52"/>
    <x v="7"/>
    <d v="2020-03-15T00:00:00"/>
    <x v="6"/>
    <s v="Des Moines"/>
    <n v="50369"/>
    <s v="United States"/>
    <x v="2"/>
    <n v="3"/>
    <x v="2"/>
  </r>
  <r>
    <n v="1406"/>
    <s v="Jerry"/>
    <s v="Fisher"/>
    <s v="jfisherb9@alibaba.com"/>
    <s v="jfisherb9"/>
    <x v="29"/>
    <s v="Quality Control Specialist"/>
    <s v="Male"/>
    <s v="Thai"/>
    <n v="815"/>
    <x v="6"/>
    <d v="2020-03-16T00:00:00"/>
    <x v="2"/>
    <s v="Roanoke"/>
    <n v="24040"/>
    <s v="United States"/>
    <x v="2"/>
    <n v="3"/>
    <x v="2"/>
  </r>
  <r>
    <n v="1212"/>
    <s v="Patricia"/>
    <s v="Weaver"/>
    <s v="pweaver5v@merriam-webster.com"/>
    <s v="pweaver5v"/>
    <x v="11"/>
    <s v="Staff Accountant I"/>
    <s v="Female"/>
    <s v="White"/>
    <n v="194"/>
    <x v="6"/>
    <d v="2020-03-18T00:00:00"/>
    <x v="9"/>
    <s v="Hartford"/>
    <n v="6183"/>
    <s v="United States"/>
    <x v="2"/>
    <n v="3"/>
    <x v="2"/>
  </r>
  <r>
    <n v="1595"/>
    <s v="Janet"/>
    <s v="Rivera"/>
    <s v="jriveragi@sina.com.cn"/>
    <s v="jriveragi"/>
    <x v="134"/>
    <s v="Librarian"/>
    <s v="Female"/>
    <s v="Alaska Native"/>
    <n v="190"/>
    <x v="1"/>
    <d v="2020-03-19T00:00:00"/>
    <x v="22"/>
    <s v="Winter Haven"/>
    <n v="33884"/>
    <s v="United States"/>
    <x v="2"/>
    <n v="3"/>
    <x v="2"/>
  </r>
  <r>
    <n v="1851"/>
    <s v="Linda"/>
    <s v="Washington"/>
    <s v="lwashingtonnm@jalbum.net"/>
    <s v="lwashingtonnm"/>
    <x v="76"/>
    <s v="Teacher"/>
    <s v="Female"/>
    <s v="White"/>
    <n v="994"/>
    <x v="12"/>
    <d v="2020-03-19T00:00:00"/>
    <x v="5"/>
    <s v="Brooklyn"/>
    <n v="11210"/>
    <s v="United States"/>
    <x v="2"/>
    <n v="3"/>
    <x v="2"/>
  </r>
  <r>
    <n v="1545"/>
    <s v="Kathryn"/>
    <s v="Meyer"/>
    <s v="kmeyerf4@senate.gov"/>
    <s v="kmeyerf4"/>
    <x v="36"/>
    <s v="Sales Representative"/>
    <s v="Female"/>
    <s v="White"/>
    <n v="570"/>
    <x v="4"/>
    <d v="2020-03-21T00:00:00"/>
    <x v="4"/>
    <s v="San Antonio"/>
    <n v="78265"/>
    <s v="United States"/>
    <x v="2"/>
    <n v="3"/>
    <x v="2"/>
  </r>
  <r>
    <n v="1435"/>
    <s v="Jesse"/>
    <s v="Brown"/>
    <s v="jbrownc2@who.int"/>
    <s v="jbrownc2"/>
    <x v="19"/>
    <s v="Teacher"/>
    <s v="Male"/>
    <s v="Asian"/>
    <n v="219"/>
    <x v="8"/>
    <d v="2020-03-22T00:00:00"/>
    <x v="16"/>
    <s v="Reading"/>
    <n v="19605"/>
    <s v="United States"/>
    <x v="2"/>
    <n v="3"/>
    <x v="2"/>
  </r>
  <r>
    <n v="1039"/>
    <s v="Jonathan"/>
    <s v="Roberts"/>
    <s v="jroberts12@nih.gov"/>
    <s v="jroberts12"/>
    <x v="109"/>
    <s v="Sales Representative"/>
    <s v="Male"/>
    <s v="Black or African American"/>
    <n v="273"/>
    <x v="11"/>
    <d v="2020-03-23T00:00:00"/>
    <x v="29"/>
    <s v="Louisville"/>
    <n v="40298"/>
    <s v="United States"/>
    <x v="2"/>
    <n v="3"/>
    <x v="2"/>
  </r>
  <r>
    <n v="1554"/>
    <s v="Betty"/>
    <s v="Henry"/>
    <s v="bhenryfd@1688.com"/>
    <s v="bhenryfd"/>
    <x v="188"/>
    <s v="Business Systems Development Analyst"/>
    <s v="Female"/>
    <s v="Argentinian"/>
    <n v="251"/>
    <x v="1"/>
    <d v="2020-03-27T00:00:00"/>
    <x v="1"/>
    <s v="Sacramento"/>
    <n v="95813"/>
    <s v="United States"/>
    <x v="2"/>
    <n v="3"/>
    <x v="2"/>
  </r>
  <r>
    <n v="1988"/>
    <s v="Emily"/>
    <s v="Allen"/>
    <s v="eallenrf@csmonitor.com"/>
    <s v="eallenrf"/>
    <x v="158"/>
    <s v="Financial Analyst"/>
    <s v="Female"/>
    <s v="White"/>
    <n v="412"/>
    <x v="1"/>
    <d v="2020-03-28T00:00:00"/>
    <x v="9"/>
    <s v="Stamford"/>
    <n v="6912"/>
    <s v="United States"/>
    <x v="2"/>
    <n v="3"/>
    <x v="2"/>
  </r>
  <r>
    <n v="1020"/>
    <s v="Andrea"/>
    <s v="Mason"/>
    <s v="amasonj@yelp.com"/>
    <s v="amasonj"/>
    <x v="34"/>
    <s v="Financial Advisor"/>
    <s v="Female"/>
    <s v="Black or African American"/>
    <n v="218"/>
    <x v="1"/>
    <d v="2020-03-29T00:00:00"/>
    <x v="1"/>
    <s v="San Francisco"/>
    <n v="94105"/>
    <s v="United States"/>
    <x v="2"/>
    <n v="3"/>
    <x v="2"/>
  </r>
  <r>
    <n v="1170"/>
    <s v="Albert"/>
    <s v="Roberts"/>
    <s v="aroberts4p@ezinearticles.com"/>
    <s v="aroberts4p"/>
    <x v="14"/>
    <s v="Accountant I"/>
    <s v="Male"/>
    <s v="White"/>
    <n v="677"/>
    <x v="0"/>
    <d v="2020-03-29T00:00:00"/>
    <x v="4"/>
    <s v="El Paso"/>
    <n v="88574"/>
    <s v="United States"/>
    <x v="2"/>
    <n v="3"/>
    <x v="2"/>
  </r>
  <r>
    <n v="1636"/>
    <s v="Joshua"/>
    <s v="Wood"/>
    <s v="jwoodhn@ftc.gov"/>
    <s v="jwoodhn"/>
    <x v="2"/>
    <s v="Media Manager III"/>
    <s v="Male"/>
    <s v="Black or African American"/>
    <n v="367"/>
    <x v="4"/>
    <d v="2020-03-29T00:00:00"/>
    <x v="1"/>
    <s v="Brea"/>
    <n v="92822"/>
    <s v="United States"/>
    <x v="2"/>
    <n v="3"/>
    <x v="2"/>
  </r>
  <r>
    <n v="1674"/>
    <s v="Christina"/>
    <s v="King"/>
    <s v="ckingip@godaddy.com"/>
    <s v="ckingip"/>
    <x v="189"/>
    <s v="Human Resources Manager"/>
    <s v="Female"/>
    <s v="Black or African American"/>
    <n v="546"/>
    <x v="1"/>
    <d v="2020-03-30T00:00:00"/>
    <x v="30"/>
    <s v="Memphis"/>
    <n v="38161"/>
    <s v="United States"/>
    <x v="2"/>
    <n v="3"/>
    <x v="2"/>
  </r>
  <r>
    <n v="1843"/>
    <s v="Judith"/>
    <s v="Robertson"/>
    <s v="jrobertsonne@skype.com"/>
    <s v="jrobertsonne"/>
    <x v="43"/>
    <s v="VP Quality Control"/>
    <s v="Female"/>
    <s v="Costa Rican"/>
    <n v="726"/>
    <x v="1"/>
    <d v="2020-03-31T00:00:00"/>
    <x v="18"/>
    <s v="Indianapolis"/>
    <n v="46247"/>
    <s v="United States"/>
    <x v="2"/>
    <n v="3"/>
    <x v="2"/>
  </r>
  <r>
    <n v="1020"/>
    <s v="Andrea"/>
    <s v="Mason"/>
    <s v="amasonj@yelp.com"/>
    <s v="amasonj"/>
    <x v="34"/>
    <s v="Financial Advisor"/>
    <s v="Female"/>
    <s v="Black or African American"/>
    <n v="424"/>
    <x v="1"/>
    <d v="2020-04-01T00:00:00"/>
    <x v="1"/>
    <s v="San Francisco"/>
    <n v="94105"/>
    <s v="United States"/>
    <x v="3"/>
    <n v="4"/>
    <x v="2"/>
  </r>
  <r>
    <n v="1081"/>
    <s v="Tina"/>
    <s v="Lewis"/>
    <s v="tlewis28@mozilla.org"/>
    <s v="tlewis28"/>
    <x v="63"/>
    <s v="Operator"/>
    <s v="Female"/>
    <s v="Mexican"/>
    <n v="243"/>
    <x v="14"/>
    <d v="2020-04-02T00:00:00"/>
    <x v="19"/>
    <s v="Dayton"/>
    <n v="45426"/>
    <s v="United States"/>
    <x v="3"/>
    <n v="4"/>
    <x v="2"/>
  </r>
  <r>
    <n v="1144"/>
    <s v="Lori"/>
    <s v="Harvey"/>
    <s v="lharvey3z@ibm.com"/>
    <s v="lharvey3z"/>
    <x v="23"/>
    <s v="Technical Writer"/>
    <s v="Female"/>
    <s v="Asian"/>
    <n v="266"/>
    <x v="4"/>
    <d v="2020-04-07T00:00:00"/>
    <x v="5"/>
    <s v="Flushing"/>
    <n v="11355"/>
    <s v="United States"/>
    <x v="3"/>
    <n v="4"/>
    <x v="2"/>
  </r>
  <r>
    <n v="1686"/>
    <s v="Betty"/>
    <s v="Butler"/>
    <s v="bbutlerj1@unesco.org"/>
    <s v="bbutlerj1"/>
    <x v="190"/>
    <s v="Research Assistant IV"/>
    <s v="Female"/>
    <s v="Black or African American"/>
    <n v="445"/>
    <x v="15"/>
    <d v="2020-04-10T00:00:00"/>
    <x v="19"/>
    <s v="Lima"/>
    <n v="45807"/>
    <s v="United States"/>
    <x v="3"/>
    <n v="4"/>
    <x v="2"/>
  </r>
  <r>
    <n v="1812"/>
    <s v="Randy"/>
    <s v="Harris"/>
    <s v="rharrismj@omniture.com"/>
    <s v="rharrismj"/>
    <x v="23"/>
    <s v="Clinical Specialist"/>
    <s v="Male"/>
    <s v="Japanese"/>
    <n v="651"/>
    <x v="6"/>
    <d v="2020-04-11T00:00:00"/>
    <x v="20"/>
    <s v="Birmingham"/>
    <n v="35220"/>
    <s v="United States"/>
    <x v="3"/>
    <n v="4"/>
    <x v="2"/>
  </r>
  <r>
    <n v="1017"/>
    <s v="Diana"/>
    <s v="Wells"/>
    <s v="dwellsg@vimeo.com"/>
    <s v="dwellsg"/>
    <x v="89"/>
    <s v="Editor"/>
    <s v="Female"/>
    <s v="Black or African American"/>
    <n v="562"/>
    <x v="1"/>
    <d v="2020-04-12T00:00:00"/>
    <x v="10"/>
    <s v="Chicago"/>
    <n v="60663"/>
    <s v="United States"/>
    <x v="3"/>
    <n v="4"/>
    <x v="2"/>
  </r>
  <r>
    <n v="1599"/>
    <s v="Kelly"/>
    <s v="Patterson"/>
    <s v="kpattersongm@amazon.de"/>
    <s v="kpattersongm"/>
    <x v="54"/>
    <s v="Chemical Engineer"/>
    <s v="Female"/>
    <s v="Eskimo"/>
    <n v="703"/>
    <x v="5"/>
    <d v="2020-04-12T00:00:00"/>
    <x v="4"/>
    <s v="Houston"/>
    <n v="77075"/>
    <s v="United States"/>
    <x v="3"/>
    <n v="4"/>
    <x v="2"/>
  </r>
  <r>
    <n v="1365"/>
    <s v="Roy"/>
    <s v="Snyder"/>
    <s v="rsnydera4@whitehouse.gov"/>
    <s v="rsnydera4"/>
    <x v="56"/>
    <s v="Help Desk Technician"/>
    <s v="Male"/>
    <s v="Mexican"/>
    <n v="442"/>
    <x v="4"/>
    <d v="2020-04-13T00:00:00"/>
    <x v="22"/>
    <s v="Miami"/>
    <n v="33261"/>
    <s v="United States"/>
    <x v="3"/>
    <n v="4"/>
    <x v="2"/>
  </r>
  <r>
    <n v="1459"/>
    <s v="Cynthia"/>
    <s v="Mason"/>
    <s v="cmasoncq@google.com.hk"/>
    <s v="cmasoncq"/>
    <x v="57"/>
    <s v="Design Engineer"/>
    <s v="Female"/>
    <s v="Korean"/>
    <n v="27"/>
    <x v="11"/>
    <d v="2020-04-14T00:00:00"/>
    <x v="5"/>
    <s v="Hicksville"/>
    <n v="11854"/>
    <s v="United States"/>
    <x v="3"/>
    <n v="4"/>
    <x v="2"/>
  </r>
  <r>
    <n v="1026"/>
    <s v="Jacqueline"/>
    <s v="Ellis"/>
    <s v="jellisp@imageshack.us"/>
    <s v="jellisp"/>
    <x v="6"/>
    <s v="Senior Sales Associate"/>
    <s v="Female"/>
    <s v="Black or African American"/>
    <n v="95"/>
    <x v="1"/>
    <d v="2020-04-15T00:00:00"/>
    <x v="5"/>
    <s v="Bronx"/>
    <n v="10469"/>
    <s v="United States"/>
    <x v="3"/>
    <n v="4"/>
    <x v="2"/>
  </r>
  <r>
    <n v="1084"/>
    <s v="Larry"/>
    <s v="Ferguson"/>
    <s v="lferguson2b@theguardian.com"/>
    <s v="lferguson2b"/>
    <x v="17"/>
    <s v="Food Chemist"/>
    <s v="Male"/>
    <s v="Mexican"/>
    <n v="308"/>
    <x v="1"/>
    <d v="2020-04-15T00:00:00"/>
    <x v="14"/>
    <s v="Waltham"/>
    <n v="2453"/>
    <s v="United States"/>
    <x v="3"/>
    <n v="4"/>
    <x v="2"/>
  </r>
  <r>
    <n v="1701"/>
    <s v="George"/>
    <s v="Cox"/>
    <s v="gcoxjg@sun.com"/>
    <s v="gcoxjg"/>
    <x v="134"/>
    <s v="Speech Pathologist"/>
    <s v="Male"/>
    <s v="Black or African American"/>
    <n v="126"/>
    <x v="14"/>
    <d v="2020-04-15T00:00:00"/>
    <x v="1"/>
    <s v="Whittier"/>
    <n v="90610"/>
    <s v="United States"/>
    <x v="3"/>
    <n v="4"/>
    <x v="2"/>
  </r>
  <r>
    <n v="1590"/>
    <s v="Betty"/>
    <s v="Duncan"/>
    <s v="bduncangd@cdbaby.com"/>
    <s v="bduncangd"/>
    <x v="117"/>
    <s v="Budget/Accounting Analyst IV"/>
    <s v="Female"/>
    <s v="Eskimo"/>
    <n v="560"/>
    <x v="2"/>
    <d v="2020-04-16T00:00:00"/>
    <x v="28"/>
    <s v="Washington"/>
    <n v="20215"/>
    <s v="United States"/>
    <x v="3"/>
    <n v="4"/>
    <x v="2"/>
  </r>
  <r>
    <n v="1170"/>
    <s v="Albert"/>
    <s v="Roberts"/>
    <s v="aroberts4p@ezinearticles.com"/>
    <s v="aroberts4p"/>
    <x v="14"/>
    <s v="Accountant I"/>
    <s v="Male"/>
    <s v="White"/>
    <n v="676"/>
    <x v="0"/>
    <d v="2020-04-17T00:00:00"/>
    <x v="4"/>
    <s v="El Paso"/>
    <n v="88574"/>
    <s v="United States"/>
    <x v="3"/>
    <n v="4"/>
    <x v="2"/>
  </r>
  <r>
    <n v="1170"/>
    <s v="Albert"/>
    <s v="Roberts"/>
    <s v="aroberts4p@ezinearticles.com"/>
    <s v="aroberts4p"/>
    <x v="14"/>
    <s v="Accountant I"/>
    <s v="Male"/>
    <s v="White"/>
    <n v="240"/>
    <x v="0"/>
    <d v="2020-04-18T00:00:00"/>
    <x v="4"/>
    <s v="El Paso"/>
    <n v="88574"/>
    <s v="United States"/>
    <x v="3"/>
    <n v="4"/>
    <x v="2"/>
  </r>
  <r>
    <n v="1669"/>
    <s v="Laura"/>
    <s v="Burke"/>
    <s v="lburkeik@reverbnation.com"/>
    <s v="lburkeik"/>
    <x v="191"/>
    <s v="Nurse"/>
    <s v="Female"/>
    <s v="Black or African American"/>
    <n v="155"/>
    <x v="14"/>
    <d v="2020-04-18T00:00:00"/>
    <x v="1"/>
    <s v="Oxnard"/>
    <n v="93034"/>
    <s v="United States"/>
    <x v="3"/>
    <n v="4"/>
    <x v="2"/>
  </r>
  <r>
    <n v="1021"/>
    <s v="Amy"/>
    <s v="Jordan"/>
    <s v="ajordank@ed.gov"/>
    <s v="ajordank"/>
    <x v="0"/>
    <s v="Electrical Engineer"/>
    <s v="Female"/>
    <s v="Black or African American"/>
    <n v="157"/>
    <x v="0"/>
    <d v="2020-04-20T00:00:00"/>
    <x v="0"/>
    <s v="Flint"/>
    <n v="48555"/>
    <s v="United States"/>
    <x v="3"/>
    <n v="4"/>
    <x v="2"/>
  </r>
  <r>
    <n v="1399"/>
    <s v="Barbara"/>
    <s v="Mitchell"/>
    <s v="bmitchellb2@amazon.co.jp"/>
    <s v="bmitchellb2"/>
    <x v="161"/>
    <s v="Nurse"/>
    <s v="Female"/>
    <s v="Native Hawaiian and Other Pacific Islander (NHPI)"/>
    <n v="732"/>
    <x v="1"/>
    <d v="2020-04-21T00:00:00"/>
    <x v="1"/>
    <s v="Stockton"/>
    <n v="95219"/>
    <s v="United States"/>
    <x v="3"/>
    <n v="4"/>
    <x v="2"/>
  </r>
  <r>
    <n v="1020"/>
    <s v="Andrea"/>
    <s v="Mason"/>
    <s v="amasonj@yelp.com"/>
    <s v="amasonj"/>
    <x v="34"/>
    <s v="Financial Advisor"/>
    <s v="Female"/>
    <s v="Black or African American"/>
    <n v="412"/>
    <x v="1"/>
    <d v="2020-04-22T00:00:00"/>
    <x v="1"/>
    <s v="San Francisco"/>
    <n v="94105"/>
    <s v="United States"/>
    <x v="3"/>
    <n v="4"/>
    <x v="2"/>
  </r>
  <r>
    <n v="1468"/>
    <s v="Cynthia"/>
    <s v="Lopez"/>
    <s v="clopezcz@reverbnation.com"/>
    <s v="clopezcz"/>
    <x v="43"/>
    <s v="Automation Specialist IV"/>
    <s v="Female"/>
    <s v="White"/>
    <n v="353"/>
    <x v="2"/>
    <d v="2020-04-23T00:00:00"/>
    <x v="7"/>
    <s v="New Orleans"/>
    <n v="70116"/>
    <s v="United States"/>
    <x v="3"/>
    <n v="4"/>
    <x v="2"/>
  </r>
  <r>
    <n v="1983"/>
    <s v="Laura"/>
    <s v="Smith"/>
    <s v="lsmithra@thetimes.co.uk"/>
    <s v="lsmithra"/>
    <x v="79"/>
    <s v="Electrical Engineer"/>
    <s v="Female"/>
    <s v="White"/>
    <n v="321"/>
    <x v="1"/>
    <d v="2020-04-24T00:00:00"/>
    <x v="31"/>
    <s v="Kansas City"/>
    <n v="66112"/>
    <s v="United States"/>
    <x v="3"/>
    <n v="4"/>
    <x v="2"/>
  </r>
  <r>
    <n v="1468"/>
    <s v="Cynthia"/>
    <s v="Lopez"/>
    <s v="clopezcz@reverbnation.com"/>
    <s v="clopezcz"/>
    <x v="43"/>
    <s v="Automation Specialist IV"/>
    <s v="Female"/>
    <s v="White"/>
    <n v="622"/>
    <x v="2"/>
    <d v="2020-04-25T00:00:00"/>
    <x v="7"/>
    <s v="New Orleans"/>
    <n v="70116"/>
    <s v="United States"/>
    <x v="3"/>
    <n v="4"/>
    <x v="2"/>
  </r>
  <r>
    <n v="1277"/>
    <s v="Brandon"/>
    <s v="Spencer"/>
    <s v="bspencer7o@si.edu"/>
    <s v="bspencer7o"/>
    <x v="22"/>
    <s v="Nuclear Power Engineer"/>
    <s v="Male"/>
    <s v="South American"/>
    <n v="801"/>
    <x v="9"/>
    <d v="2020-04-29T00:00:00"/>
    <x v="19"/>
    <s v="Akron"/>
    <n v="44310"/>
    <s v="United States"/>
    <x v="3"/>
    <n v="4"/>
    <x v="2"/>
  </r>
  <r>
    <n v="1812"/>
    <s v="Randy"/>
    <s v="Harris"/>
    <s v="rharrismj@omniture.com"/>
    <s v="rharrismj"/>
    <x v="23"/>
    <s v="Clinical Specialist"/>
    <s v="Male"/>
    <s v="Japanese"/>
    <n v="954"/>
    <x v="6"/>
    <d v="2020-04-30T00:00:00"/>
    <x v="20"/>
    <s v="Birmingham"/>
    <n v="35220"/>
    <s v="United States"/>
    <x v="3"/>
    <n v="4"/>
    <x v="2"/>
  </r>
  <r>
    <n v="1458"/>
    <s v="Patrick"/>
    <s v="Cooper"/>
    <s v="pcoopercp@mediafire.com"/>
    <s v="pcoopercp"/>
    <x v="162"/>
    <s v="Quality Control Specialist"/>
    <s v="Male"/>
    <s v="Mexican"/>
    <n v="554"/>
    <x v="4"/>
    <d v="2020-05-02T00:00:00"/>
    <x v="1"/>
    <s v="Los Angeles"/>
    <n v="90076"/>
    <s v="United States"/>
    <x v="4"/>
    <n v="5"/>
    <x v="2"/>
  </r>
  <r>
    <n v="1017"/>
    <s v="Diana"/>
    <s v="Wells"/>
    <s v="dwellsg@vimeo.com"/>
    <s v="dwellsg"/>
    <x v="89"/>
    <s v="Editor"/>
    <s v="Female"/>
    <s v="Black or African American"/>
    <n v="889"/>
    <x v="1"/>
    <d v="2020-05-05T00:00:00"/>
    <x v="10"/>
    <s v="Chicago"/>
    <n v="60663"/>
    <s v="United States"/>
    <x v="4"/>
    <n v="5"/>
    <x v="2"/>
  </r>
  <r>
    <n v="1736"/>
    <s v="Sharon"/>
    <s v="Baker"/>
    <s v="sbakerkf@sphinn.com"/>
    <s v="sbakerkf"/>
    <x v="8"/>
    <s v="Administrative Officer"/>
    <s v="Female"/>
    <s v="Eskimo"/>
    <n v="745"/>
    <x v="1"/>
    <d v="2020-05-07T00:00:00"/>
    <x v="22"/>
    <s v="Clearwater"/>
    <n v="34620"/>
    <s v="United States"/>
    <x v="4"/>
    <n v="5"/>
    <x v="2"/>
  </r>
  <r>
    <n v="1557"/>
    <s v="Samuel"/>
    <s v="Elliott"/>
    <s v="selliottfg@toplist.cz"/>
    <s v="selliottfg"/>
    <x v="113"/>
    <s v="Assistant Manager"/>
    <s v="Male"/>
    <s v="Korean"/>
    <n v="202"/>
    <x v="11"/>
    <d v="2020-05-08T00:00:00"/>
    <x v="5"/>
    <s v="New York City"/>
    <n v="10260"/>
    <s v="United States"/>
    <x v="4"/>
    <n v="5"/>
    <x v="2"/>
  </r>
  <r>
    <n v="1616"/>
    <s v="Brandon"/>
    <s v="Willis"/>
    <s v="bwillish3@walmart.com"/>
    <s v="bwillish3"/>
    <x v="192"/>
    <s v="Assistant Media Planner"/>
    <s v="Male"/>
    <s v="Taiwanese"/>
    <n v="368"/>
    <x v="1"/>
    <d v="2020-05-09T00:00:00"/>
    <x v="11"/>
    <s v="Colorado Springs"/>
    <n v="80935"/>
    <s v="United States"/>
    <x v="4"/>
    <n v="5"/>
    <x v="2"/>
  </r>
  <r>
    <n v="1986"/>
    <s v="Edward"/>
    <s v="Long"/>
    <s v="elongrd@bing.com"/>
    <s v="elongrd"/>
    <x v="13"/>
    <s v="Quality Control Specialist"/>
    <s v="Male"/>
    <s v="White"/>
    <n v="777"/>
    <x v="7"/>
    <d v="2020-05-11T00:00:00"/>
    <x v="4"/>
    <s v="Houston"/>
    <n v="77010"/>
    <s v="United States"/>
    <x v="4"/>
    <n v="5"/>
    <x v="2"/>
  </r>
  <r>
    <n v="1451"/>
    <s v="Jeremy"/>
    <s v="Greene"/>
    <s v="jgreeneci@live.com"/>
    <s v="jgreeneci"/>
    <x v="193"/>
    <s v="Database Administrator I"/>
    <s v="Male"/>
    <s v="Native Hawaiian and Other Pacific Islander (NHPI)"/>
    <n v="458"/>
    <x v="1"/>
    <d v="2020-05-13T00:00:00"/>
    <x v="1"/>
    <s v="Los Angeles"/>
    <n v="90045"/>
    <s v="United States"/>
    <x v="4"/>
    <n v="5"/>
    <x v="2"/>
  </r>
  <r>
    <n v="1084"/>
    <s v="Larry"/>
    <s v="Ferguson"/>
    <s v="lferguson2b@theguardian.com"/>
    <s v="lferguson2b"/>
    <x v="17"/>
    <s v="Food Chemist"/>
    <s v="Male"/>
    <s v="Mexican"/>
    <n v="638"/>
    <x v="1"/>
    <d v="2020-05-14T00:00:00"/>
    <x v="14"/>
    <s v="Waltham"/>
    <n v="2453"/>
    <s v="United States"/>
    <x v="4"/>
    <n v="5"/>
    <x v="2"/>
  </r>
  <r>
    <n v="1365"/>
    <s v="Roy"/>
    <s v="Snyder"/>
    <s v="rsnydera4@whitehouse.gov"/>
    <s v="rsnydera4"/>
    <x v="56"/>
    <s v="Help Desk Technician"/>
    <s v="Male"/>
    <s v="Mexican"/>
    <n v="583"/>
    <x v="4"/>
    <d v="2020-05-14T00:00:00"/>
    <x v="22"/>
    <s v="Miami"/>
    <n v="33261"/>
    <s v="United States"/>
    <x v="4"/>
    <n v="5"/>
    <x v="2"/>
  </r>
  <r>
    <n v="1365"/>
    <s v="Roy"/>
    <s v="Snyder"/>
    <s v="rsnydera4@whitehouse.gov"/>
    <s v="rsnydera4"/>
    <x v="56"/>
    <s v="Help Desk Technician"/>
    <s v="Male"/>
    <s v="Mexican"/>
    <n v="956"/>
    <x v="4"/>
    <d v="2020-05-16T00:00:00"/>
    <x v="22"/>
    <s v="Miami"/>
    <n v="33261"/>
    <s v="United States"/>
    <x v="4"/>
    <n v="5"/>
    <x v="2"/>
  </r>
  <r>
    <n v="1020"/>
    <s v="Andrea"/>
    <s v="Mason"/>
    <s v="amasonj@yelp.com"/>
    <s v="amasonj"/>
    <x v="34"/>
    <s v="Financial Advisor"/>
    <s v="Female"/>
    <s v="Black or African American"/>
    <n v="459"/>
    <x v="1"/>
    <d v="2020-05-20T00:00:00"/>
    <x v="1"/>
    <s v="San Francisco"/>
    <n v="94105"/>
    <s v="United States"/>
    <x v="4"/>
    <n v="5"/>
    <x v="2"/>
  </r>
  <r>
    <n v="1026"/>
    <s v="Jacqueline"/>
    <s v="Ellis"/>
    <s v="jellisp@imageshack.us"/>
    <s v="jellisp"/>
    <x v="6"/>
    <s v="Senior Sales Associate"/>
    <s v="Female"/>
    <s v="Black or African American"/>
    <n v="745"/>
    <x v="1"/>
    <d v="2020-05-20T00:00:00"/>
    <x v="5"/>
    <s v="Bronx"/>
    <n v="10469"/>
    <s v="United States"/>
    <x v="4"/>
    <n v="5"/>
    <x v="2"/>
  </r>
  <r>
    <n v="1661"/>
    <s v="Martin"/>
    <s v="Hughes"/>
    <s v="mhughesic@huffingtonpost.com"/>
    <s v="mhughesic"/>
    <x v="19"/>
    <s v="Human Resources Manager"/>
    <s v="Male"/>
    <s v="Black or African American"/>
    <n v="57"/>
    <x v="15"/>
    <d v="2020-05-21T00:00:00"/>
    <x v="7"/>
    <s v="Baton Rouge"/>
    <n v="70815"/>
    <s v="United States"/>
    <x v="4"/>
    <n v="5"/>
    <x v="2"/>
  </r>
  <r>
    <n v="1170"/>
    <s v="Albert"/>
    <s v="Roberts"/>
    <s v="aroberts4p@ezinearticles.com"/>
    <s v="aroberts4p"/>
    <x v="14"/>
    <s v="Accountant I"/>
    <s v="Male"/>
    <s v="White"/>
    <n v="984"/>
    <x v="0"/>
    <d v="2020-05-25T00:00:00"/>
    <x v="4"/>
    <s v="El Paso"/>
    <n v="88574"/>
    <s v="United States"/>
    <x v="4"/>
    <n v="5"/>
    <x v="2"/>
  </r>
  <r>
    <n v="1170"/>
    <s v="Albert"/>
    <s v="Roberts"/>
    <s v="aroberts4p@ezinearticles.com"/>
    <s v="aroberts4p"/>
    <x v="14"/>
    <s v="Accountant I"/>
    <s v="Male"/>
    <s v="White"/>
    <n v="391"/>
    <x v="0"/>
    <d v="2020-05-26T00:00:00"/>
    <x v="4"/>
    <s v="El Paso"/>
    <n v="88574"/>
    <s v="United States"/>
    <x v="4"/>
    <n v="5"/>
    <x v="2"/>
  </r>
  <r>
    <n v="1548"/>
    <s v="Jeremy"/>
    <s v="Morris"/>
    <s v="jmorrisf7@diigo.com"/>
    <s v="jmorrisf7"/>
    <x v="194"/>
    <s v="Paralegal"/>
    <s v="Male"/>
    <s v="Alaska Native"/>
    <n v="294"/>
    <x v="1"/>
    <d v="2020-05-26T00:00:00"/>
    <x v="27"/>
    <s v="Beaverton"/>
    <n v="97075"/>
    <s v="United States"/>
    <x v="4"/>
    <n v="5"/>
    <x v="2"/>
  </r>
  <r>
    <n v="1409"/>
    <s v="Lawrence"/>
    <s v="Howell"/>
    <s v="lhowellbc@webnode.com"/>
    <s v="lhowellbc"/>
    <x v="1"/>
    <s v="Environmental Specialist"/>
    <s v="Male"/>
    <s v="Hispanic"/>
    <n v="935"/>
    <x v="12"/>
    <d v="2020-05-27T00:00:00"/>
    <x v="37"/>
    <s v="Elizabeth"/>
    <n v="7208"/>
    <s v="United States"/>
    <x v="4"/>
    <n v="5"/>
    <x v="2"/>
  </r>
  <r>
    <n v="1123"/>
    <s v="Randy"/>
    <s v="Hamilton"/>
    <s v="rhamilton3e@loc.gov"/>
    <s v="rhamilton3e"/>
    <x v="82"/>
    <s v="Geological Engineer"/>
    <s v="Male"/>
    <s v="Mexican"/>
    <n v="457"/>
    <x v="0"/>
    <d v="2020-05-31T00:00:00"/>
    <x v="22"/>
    <s v="Tampa"/>
    <n v="33673"/>
    <s v="United States"/>
    <x v="4"/>
    <n v="5"/>
    <x v="2"/>
  </r>
  <r>
    <n v="1116"/>
    <s v="Christina"/>
    <s v="Wheeler"/>
    <s v="cwheeler37@ovh.net"/>
    <s v="cwheeler37"/>
    <x v="3"/>
    <s v="Information Systems Manager"/>
    <s v="Female"/>
    <s v="Mexican"/>
    <n v="675"/>
    <x v="3"/>
    <d v="2020-06-01T00:00:00"/>
    <x v="3"/>
    <s v="Duluth"/>
    <n v="30096"/>
    <s v="United States"/>
    <x v="5"/>
    <n v="6"/>
    <x v="2"/>
  </r>
  <r>
    <n v="1993"/>
    <s v="Rose"/>
    <s v="Little"/>
    <s v="rlittlerk@omniture.com"/>
    <s v="rlittlerk"/>
    <x v="187"/>
    <s v="Registered Nurse"/>
    <s v="Female"/>
    <s v="White"/>
    <n v="192"/>
    <x v="7"/>
    <d v="2020-06-02T00:00:00"/>
    <x v="6"/>
    <s v="Des Moines"/>
    <n v="50369"/>
    <s v="United States"/>
    <x v="5"/>
    <n v="6"/>
    <x v="2"/>
  </r>
  <r>
    <n v="1457"/>
    <s v="Ernest"/>
    <s v="Matthews"/>
    <s v="ematthewsco@scribd.com"/>
    <s v="ematthewsco"/>
    <x v="8"/>
    <s v="Professor"/>
    <s v="Male"/>
    <s v="Korean"/>
    <n v="33"/>
    <x v="4"/>
    <d v="2020-06-03T00:00:00"/>
    <x v="19"/>
    <s v="Akron"/>
    <n v="44321"/>
    <s v="United States"/>
    <x v="5"/>
    <n v="6"/>
    <x v="2"/>
  </r>
  <r>
    <n v="1086"/>
    <s v="Lawrence"/>
    <s v="Nelson"/>
    <s v="lnelson2d@moonfruit.com"/>
    <s v="lnelson2d"/>
    <x v="195"/>
    <s v="Senior Cost Accountant"/>
    <s v="Male"/>
    <s v="Mexican"/>
    <n v="124"/>
    <x v="1"/>
    <d v="2020-06-06T00:00:00"/>
    <x v="9"/>
    <s v="Danbury"/>
    <n v="6816"/>
    <s v="United States"/>
    <x v="5"/>
    <n v="6"/>
    <x v="2"/>
  </r>
  <r>
    <n v="1540"/>
    <s v="Howard"/>
    <s v="Fox"/>
    <s v="hfoxez@jigsy.com"/>
    <s v="hfoxez"/>
    <x v="106"/>
    <s v="Office Assistant IV"/>
    <s v="Male"/>
    <s v="Native Hawaiian and Other Pacific Islander (NHPI)"/>
    <n v="296"/>
    <x v="1"/>
    <d v="2020-06-10T00:00:00"/>
    <x v="1"/>
    <s v="Irvine"/>
    <n v="92612"/>
    <s v="United States"/>
    <x v="5"/>
    <n v="6"/>
    <x v="2"/>
  </r>
  <r>
    <n v="1095"/>
    <s v="Emily"/>
    <s v="Franklin"/>
    <s v="efranklin2m@google.co.jp"/>
    <s v="efranklin2m"/>
    <x v="67"/>
    <s v="Analyst Programmer"/>
    <s v="Female"/>
    <s v="Mexican"/>
    <n v="985"/>
    <x v="6"/>
    <d v="2020-06-11T00:00:00"/>
    <x v="4"/>
    <s v="Houston"/>
    <n v="77040"/>
    <s v="United States"/>
    <x v="5"/>
    <n v="6"/>
    <x v="2"/>
  </r>
  <r>
    <n v="1851"/>
    <s v="Linda"/>
    <s v="Washington"/>
    <s v="lwashingtonnm@jalbum.net"/>
    <s v="lwashingtonnm"/>
    <x v="76"/>
    <s v="Teacher"/>
    <s v="Female"/>
    <s v="White"/>
    <n v="623"/>
    <x v="12"/>
    <d v="2020-06-11T00:00:00"/>
    <x v="5"/>
    <s v="Brooklyn"/>
    <n v="11210"/>
    <s v="United States"/>
    <x v="5"/>
    <n v="6"/>
    <x v="2"/>
  </r>
  <r>
    <n v="1081"/>
    <s v="Tina"/>
    <s v="Lewis"/>
    <s v="tlewis28@mozilla.org"/>
    <s v="tlewis28"/>
    <x v="63"/>
    <s v="Operator"/>
    <s v="Female"/>
    <s v="Mexican"/>
    <n v="297"/>
    <x v="14"/>
    <d v="2020-06-13T00:00:00"/>
    <x v="19"/>
    <s v="Dayton"/>
    <n v="45426"/>
    <s v="United States"/>
    <x v="5"/>
    <n v="6"/>
    <x v="2"/>
  </r>
  <r>
    <n v="1628"/>
    <s v="Evelyn"/>
    <s v="Griffin"/>
    <s v="egriffinhf@mayoclinic.com"/>
    <s v="egriffinhf"/>
    <x v="196"/>
    <s v="Geological Engineer"/>
    <s v="Female"/>
    <s v="Black or African American"/>
    <n v="727"/>
    <x v="3"/>
    <d v="2020-06-14T00:00:00"/>
    <x v="14"/>
    <s v="Boston"/>
    <n v="2109"/>
    <s v="United States"/>
    <x v="5"/>
    <n v="6"/>
    <x v="2"/>
  </r>
  <r>
    <n v="1949"/>
    <s v="Michelle"/>
    <s v="Gray"/>
    <s v="mgrayqc@yahoo.com"/>
    <s v="mgrayqc"/>
    <x v="197"/>
    <s v="Chief Design Engineer"/>
    <s v="Female"/>
    <s v="Japanese"/>
    <n v="76"/>
    <x v="13"/>
    <d v="2020-06-17T00:00:00"/>
    <x v="26"/>
    <s v="Tacoma"/>
    <n v="98405"/>
    <s v="United States"/>
    <x v="5"/>
    <n v="6"/>
    <x v="2"/>
  </r>
  <r>
    <n v="1095"/>
    <s v="Emily"/>
    <s v="Franklin"/>
    <s v="efranklin2m@google.co.jp"/>
    <s v="efranklin2m"/>
    <x v="67"/>
    <s v="Analyst Programmer"/>
    <s v="Female"/>
    <s v="Mexican"/>
    <n v="457"/>
    <x v="6"/>
    <d v="2020-06-19T00:00:00"/>
    <x v="4"/>
    <s v="Houston"/>
    <n v="77040"/>
    <s v="United States"/>
    <x v="5"/>
    <n v="6"/>
    <x v="2"/>
  </r>
  <r>
    <n v="1670"/>
    <s v="Carol"/>
    <s v="Mills"/>
    <s v="cmillsil@miibeian.gov.cn"/>
    <s v="cmillsil"/>
    <x v="198"/>
    <s v="Community Outreach Specialist"/>
    <s v="Female"/>
    <s v="Black or African American"/>
    <n v="757"/>
    <x v="0"/>
    <d v="2020-06-19T00:00:00"/>
    <x v="4"/>
    <s v="Houston"/>
    <n v="77070"/>
    <s v="United States"/>
    <x v="5"/>
    <n v="6"/>
    <x v="2"/>
  </r>
  <r>
    <n v="1626"/>
    <s v="Larry"/>
    <s v="Hill"/>
    <s v="lhillhd@squidoo.com"/>
    <s v="lhillhd"/>
    <x v="199"/>
    <s v="Structural Engineer"/>
    <s v="Male"/>
    <s v="Black or African American"/>
    <n v="323"/>
    <x v="1"/>
    <d v="2020-06-21T00:00:00"/>
    <x v="22"/>
    <s v="Pensacola"/>
    <n v="32526"/>
    <s v="United States"/>
    <x v="5"/>
    <n v="6"/>
    <x v="2"/>
  </r>
  <r>
    <n v="1717"/>
    <s v="Norma"/>
    <s v="Griffin"/>
    <s v="ngriffinjw@cocolog-nifty.com"/>
    <s v="ngriffinjw"/>
    <x v="200"/>
    <s v="Nurse Practicioner"/>
    <s v="Female"/>
    <s v="Black or African American"/>
    <n v="437"/>
    <x v="5"/>
    <d v="2020-06-22T00:00:00"/>
    <x v="8"/>
    <s v="Minneapolis"/>
    <n v="55436"/>
    <s v="United States"/>
    <x v="5"/>
    <n v="6"/>
    <x v="2"/>
  </r>
  <r>
    <n v="1392"/>
    <s v="Brandon"/>
    <s v="Harris"/>
    <s v="bharrisav@etsy.com"/>
    <s v="bharrisav"/>
    <x v="201"/>
    <s v="Senior Cost Accountant"/>
    <s v="Male"/>
    <s v="Mexican"/>
    <n v="596"/>
    <x v="1"/>
    <d v="2020-06-23T00:00:00"/>
    <x v="5"/>
    <s v="Jamaica"/>
    <n v="11480"/>
    <s v="United States"/>
    <x v="5"/>
    <n v="6"/>
    <x v="2"/>
  </r>
  <r>
    <n v="1277"/>
    <s v="Brandon"/>
    <s v="Spencer"/>
    <s v="bspencer7o@si.edu"/>
    <s v="bspencer7o"/>
    <x v="22"/>
    <s v="Nuclear Power Engineer"/>
    <s v="Male"/>
    <s v="South American"/>
    <n v="905"/>
    <x v="9"/>
    <d v="2020-06-24T00:00:00"/>
    <x v="19"/>
    <s v="Akron"/>
    <n v="44310"/>
    <s v="United States"/>
    <x v="5"/>
    <n v="6"/>
    <x v="2"/>
  </r>
  <r>
    <n v="1947"/>
    <s v="Julie"/>
    <s v="Kennedy"/>
    <s v="jkennedyqa@flavors.me"/>
    <s v="jkennedyqa"/>
    <x v="196"/>
    <s v="Tax Accountant"/>
    <s v="Female"/>
    <s v="Argentinian"/>
    <n v="413"/>
    <x v="4"/>
    <d v="2020-06-29T00:00:00"/>
    <x v="13"/>
    <s v="Springfield"/>
    <n v="65810"/>
    <s v="United States"/>
    <x v="5"/>
    <n v="6"/>
    <x v="2"/>
  </r>
  <r>
    <n v="1880"/>
    <s v="Rebecca"/>
    <s v="Lawson"/>
    <s v="rlawsonof@nsw.gov.au"/>
    <s v="rlawsonof"/>
    <x v="12"/>
    <s v="Software Engineer I"/>
    <s v="Female"/>
    <s v="Taiwanese"/>
    <n v="866"/>
    <x v="1"/>
    <d v="2020-07-03T00:00:00"/>
    <x v="10"/>
    <s v="Chicago"/>
    <n v="60614"/>
    <s v="United States"/>
    <x v="6"/>
    <n v="7"/>
    <x v="2"/>
  </r>
  <r>
    <n v="1140"/>
    <s v="Carolyn"/>
    <s v="Welch"/>
    <s v="cwelch3v@washingtonpost.com"/>
    <s v="cwelch3v"/>
    <x v="202"/>
    <s v="Structural Analysis Engineer"/>
    <s v="Female"/>
    <s v="Asian"/>
    <n v="513"/>
    <x v="1"/>
    <d v="2020-07-05T00:00:00"/>
    <x v="19"/>
    <s v="Cleveland"/>
    <n v="44111"/>
    <s v="United States"/>
    <x v="6"/>
    <n v="7"/>
    <x v="2"/>
  </r>
  <r>
    <n v="1468"/>
    <s v="Cynthia"/>
    <s v="Lopez"/>
    <s v="clopezcz@reverbnation.com"/>
    <s v="clopezcz"/>
    <x v="43"/>
    <s v="Automation Specialist IV"/>
    <s v="Female"/>
    <s v="White"/>
    <n v="978"/>
    <x v="2"/>
    <d v="2020-07-08T00:00:00"/>
    <x v="7"/>
    <s v="New Orleans"/>
    <n v="70116"/>
    <s v="United States"/>
    <x v="6"/>
    <n v="7"/>
    <x v="2"/>
  </r>
  <r>
    <n v="1144"/>
    <s v="Lori"/>
    <s v="Harvey"/>
    <s v="lharvey3z@ibm.com"/>
    <s v="lharvey3z"/>
    <x v="23"/>
    <s v="Technical Writer"/>
    <s v="Female"/>
    <s v="Asian"/>
    <n v="32"/>
    <x v="4"/>
    <d v="2020-07-09T00:00:00"/>
    <x v="5"/>
    <s v="Flushing"/>
    <n v="11355"/>
    <s v="United States"/>
    <x v="6"/>
    <n v="7"/>
    <x v="2"/>
  </r>
  <r>
    <n v="1123"/>
    <s v="Randy"/>
    <s v="Hamilton"/>
    <s v="rhamilton3e@loc.gov"/>
    <s v="rhamilton3e"/>
    <x v="82"/>
    <s v="Geological Engineer"/>
    <s v="Male"/>
    <s v="Mexican"/>
    <n v="269"/>
    <x v="0"/>
    <d v="2020-07-15T00:00:00"/>
    <x v="22"/>
    <s v="Tampa"/>
    <n v="33673"/>
    <s v="United States"/>
    <x v="6"/>
    <n v="7"/>
    <x v="2"/>
  </r>
  <r>
    <n v="1955"/>
    <s v="Virginia"/>
    <s v="Marshall"/>
    <s v="vmarshallqi@cyberchimps.com"/>
    <s v="vmarshallqi"/>
    <x v="203"/>
    <s v="Structural Engineer"/>
    <s v="Female"/>
    <s v="Hispanic"/>
    <n v="822"/>
    <x v="1"/>
    <d v="2020-07-15T00:00:00"/>
    <x v="0"/>
    <s v="Grand Rapids"/>
    <n v="49544"/>
    <s v="United States"/>
    <x v="6"/>
    <n v="7"/>
    <x v="2"/>
  </r>
  <r>
    <n v="1568"/>
    <s v="Daniel"/>
    <s v="Carr"/>
    <s v="dcarrfr@salon.com"/>
    <s v="dcarrfr"/>
    <x v="204"/>
    <s v="Dental Hygienist"/>
    <s v="Male"/>
    <s v="Asian"/>
    <n v="485"/>
    <x v="10"/>
    <d v="2020-07-16T00:00:00"/>
    <x v="5"/>
    <s v="Flushing"/>
    <n v="11355"/>
    <s v="United States"/>
    <x v="6"/>
    <n v="7"/>
    <x v="2"/>
  </r>
  <r>
    <n v="1723"/>
    <s v="Melissa"/>
    <s v="Willis"/>
    <s v="mwillisk2@fc2.com"/>
    <s v="mwillisk2"/>
    <x v="137"/>
    <s v="Design Engineer"/>
    <s v="Female"/>
    <s v="Black or African American"/>
    <n v="89"/>
    <x v="1"/>
    <d v="2020-07-18T00:00:00"/>
    <x v="20"/>
    <s v="Mobile"/>
    <n v="36670"/>
    <s v="United States"/>
    <x v="6"/>
    <n v="7"/>
    <x v="2"/>
  </r>
  <r>
    <n v="1095"/>
    <s v="Emily"/>
    <s v="Franklin"/>
    <s v="efranklin2m@google.co.jp"/>
    <s v="efranklin2m"/>
    <x v="67"/>
    <s v="Analyst Programmer"/>
    <s v="Female"/>
    <s v="Mexican"/>
    <n v="883"/>
    <x v="6"/>
    <d v="2020-07-22T00:00:00"/>
    <x v="4"/>
    <s v="Houston"/>
    <n v="77040"/>
    <s v="United States"/>
    <x v="6"/>
    <n v="7"/>
    <x v="2"/>
  </r>
  <r>
    <n v="1170"/>
    <s v="Albert"/>
    <s v="Roberts"/>
    <s v="aroberts4p@ezinearticles.com"/>
    <s v="aroberts4p"/>
    <x v="14"/>
    <s v="Accountant I"/>
    <s v="Male"/>
    <s v="White"/>
    <n v="382"/>
    <x v="0"/>
    <d v="2020-07-22T00:00:00"/>
    <x v="4"/>
    <s v="El Paso"/>
    <n v="88574"/>
    <s v="United States"/>
    <x v="6"/>
    <n v="7"/>
    <x v="2"/>
  </r>
  <r>
    <n v="1017"/>
    <s v="Diana"/>
    <s v="Wells"/>
    <s v="dwellsg@vimeo.com"/>
    <s v="dwellsg"/>
    <x v="89"/>
    <s v="Editor"/>
    <s v="Female"/>
    <s v="Black or African American"/>
    <n v="231"/>
    <x v="1"/>
    <d v="2020-07-23T00:00:00"/>
    <x v="10"/>
    <s v="Chicago"/>
    <n v="60663"/>
    <s v="United States"/>
    <x v="6"/>
    <n v="7"/>
    <x v="2"/>
  </r>
  <r>
    <n v="1121"/>
    <s v="Richard"/>
    <s v="Harper"/>
    <s v="rharper3c@usgs.gov"/>
    <s v="rharper3c"/>
    <x v="205"/>
    <s v="Account Representative I"/>
    <s v="Male"/>
    <s v="Mexican"/>
    <n v="173"/>
    <x v="0"/>
    <d v="2020-07-23T00:00:00"/>
    <x v="23"/>
    <s v="Madison"/>
    <n v="53710"/>
    <s v="United States"/>
    <x v="6"/>
    <n v="7"/>
    <x v="2"/>
  </r>
  <r>
    <n v="1365"/>
    <s v="Roy"/>
    <s v="Snyder"/>
    <s v="rsnydera4@whitehouse.gov"/>
    <s v="rsnydera4"/>
    <x v="56"/>
    <s v="Help Desk Technician"/>
    <s v="Male"/>
    <s v="Mexican"/>
    <n v="627"/>
    <x v="4"/>
    <d v="2020-07-26T00:00:00"/>
    <x v="22"/>
    <s v="Miami"/>
    <n v="33261"/>
    <s v="United States"/>
    <x v="6"/>
    <n v="7"/>
    <x v="2"/>
  </r>
  <r>
    <n v="1123"/>
    <s v="Randy"/>
    <s v="Hamilton"/>
    <s v="rhamilton3e@loc.gov"/>
    <s v="rhamilton3e"/>
    <x v="82"/>
    <s v="Geological Engineer"/>
    <s v="Male"/>
    <s v="Mexican"/>
    <n v="889"/>
    <x v="0"/>
    <d v="2020-07-31T00:00:00"/>
    <x v="22"/>
    <s v="Tampa"/>
    <n v="33673"/>
    <s v="United States"/>
    <x v="6"/>
    <n v="7"/>
    <x v="2"/>
  </r>
  <r>
    <n v="1812"/>
    <s v="Randy"/>
    <s v="Harris"/>
    <s v="rharrismj@omniture.com"/>
    <s v="rharrismj"/>
    <x v="23"/>
    <s v="Clinical Specialist"/>
    <s v="Male"/>
    <s v="Japanese"/>
    <n v="408"/>
    <x v="6"/>
    <d v="2020-07-31T00:00:00"/>
    <x v="20"/>
    <s v="Birmingham"/>
    <n v="35220"/>
    <s v="United States"/>
    <x v="6"/>
    <n v="7"/>
    <x v="2"/>
  </r>
  <r>
    <n v="1404"/>
    <s v="Ruby"/>
    <s v="Stevens"/>
    <s v="rstevensb7@fotki.com"/>
    <s v="rstevensb7"/>
    <x v="36"/>
    <s v="Structural Engineer"/>
    <s v="Female"/>
    <s v="Taiwanese"/>
    <n v="907"/>
    <x v="1"/>
    <d v="2020-08-02T00:00:00"/>
    <x v="18"/>
    <s v="Evansville"/>
    <n v="47725"/>
    <s v="United States"/>
    <x v="7"/>
    <n v="8"/>
    <x v="2"/>
  </r>
  <r>
    <n v="1260"/>
    <s v="Willie"/>
    <s v="King"/>
    <s v="wking77@apache.org"/>
    <s v="wking77"/>
    <x v="39"/>
    <s v="Software Consultant"/>
    <s v="Male"/>
    <s v="Japanese"/>
    <n v="190"/>
    <x v="1"/>
    <d v="2020-08-05T00:00:00"/>
    <x v="26"/>
    <s v="Spokane"/>
    <n v="99215"/>
    <s v="United States"/>
    <x v="7"/>
    <n v="8"/>
    <x v="2"/>
  </r>
  <r>
    <n v="1144"/>
    <s v="Lori"/>
    <s v="Harvey"/>
    <s v="lharvey3z@ibm.com"/>
    <s v="lharvey3z"/>
    <x v="23"/>
    <s v="Technical Writer"/>
    <s v="Female"/>
    <s v="Asian"/>
    <n v="917"/>
    <x v="4"/>
    <d v="2020-08-07T00:00:00"/>
    <x v="5"/>
    <s v="Flushing"/>
    <n v="11355"/>
    <s v="United States"/>
    <x v="7"/>
    <n v="8"/>
    <x v="2"/>
  </r>
  <r>
    <n v="1519"/>
    <s v="Andrew"/>
    <s v="Howard"/>
    <s v="ahowardee@noaa.gov"/>
    <s v="ahowardee"/>
    <x v="206"/>
    <s v="Accountant I"/>
    <s v="Male"/>
    <s v="White"/>
    <n v="787"/>
    <x v="4"/>
    <d v="2020-08-11T00:00:00"/>
    <x v="19"/>
    <s v="Lima"/>
    <n v="45807"/>
    <s v="United States"/>
    <x v="7"/>
    <n v="8"/>
    <x v="2"/>
  </r>
  <r>
    <n v="1656"/>
    <s v="Robert"/>
    <s v="Mccoy"/>
    <s v="rmccoyi7@joomla.org"/>
    <s v="rmccoyi7"/>
    <x v="207"/>
    <s v="Clinical Specialist"/>
    <s v="Male"/>
    <s v="Black or African American"/>
    <n v="319"/>
    <x v="10"/>
    <d v="2020-08-11T00:00:00"/>
    <x v="42"/>
    <s v="Bismarck"/>
    <n v="58505"/>
    <s v="United States"/>
    <x v="7"/>
    <n v="8"/>
    <x v="2"/>
  </r>
  <r>
    <n v="1993"/>
    <s v="Rose"/>
    <s v="Little"/>
    <s v="rlittlerk@omniture.com"/>
    <s v="rlittlerk"/>
    <x v="187"/>
    <s v="Registered Nurse"/>
    <s v="Female"/>
    <s v="White"/>
    <n v="682"/>
    <x v="7"/>
    <d v="2020-08-14T00:00:00"/>
    <x v="6"/>
    <s v="Des Moines"/>
    <n v="50369"/>
    <s v="United States"/>
    <x v="7"/>
    <n v="8"/>
    <x v="2"/>
  </r>
  <r>
    <n v="1092"/>
    <s v="Donna"/>
    <s v="Hanson"/>
    <s v="dhanson2j@salon.com"/>
    <s v="dhanson2j"/>
    <x v="62"/>
    <s v="Assistant Media Planner"/>
    <s v="Female"/>
    <s v="Mexican"/>
    <n v="20"/>
    <x v="12"/>
    <d v="2020-08-16T00:00:00"/>
    <x v="22"/>
    <s v="Sarasota"/>
    <n v="34233"/>
    <s v="United States"/>
    <x v="7"/>
    <n v="8"/>
    <x v="2"/>
  </r>
  <r>
    <n v="1880"/>
    <s v="Rebecca"/>
    <s v="Lawson"/>
    <s v="rlawsonof@nsw.gov.au"/>
    <s v="rlawsonof"/>
    <x v="12"/>
    <s v="Software Engineer I"/>
    <s v="Female"/>
    <s v="Taiwanese"/>
    <n v="841"/>
    <x v="1"/>
    <d v="2020-08-16T00:00:00"/>
    <x v="10"/>
    <s v="Chicago"/>
    <n v="60614"/>
    <s v="United States"/>
    <x v="7"/>
    <n v="8"/>
    <x v="2"/>
  </r>
  <r>
    <n v="1020"/>
    <s v="Andrea"/>
    <s v="Mason"/>
    <s v="amasonj@yelp.com"/>
    <s v="amasonj"/>
    <x v="34"/>
    <s v="Financial Advisor"/>
    <s v="Female"/>
    <s v="Black or African American"/>
    <n v="198"/>
    <x v="1"/>
    <d v="2020-08-19T00:00:00"/>
    <x v="1"/>
    <s v="San Francisco"/>
    <n v="94105"/>
    <s v="United States"/>
    <x v="7"/>
    <n v="8"/>
    <x v="2"/>
  </r>
  <r>
    <n v="1983"/>
    <s v="Laura"/>
    <s v="Smith"/>
    <s v="lsmithra@thetimes.co.uk"/>
    <s v="lsmithra"/>
    <x v="79"/>
    <s v="Electrical Engineer"/>
    <s v="Female"/>
    <s v="White"/>
    <n v="333"/>
    <x v="1"/>
    <d v="2020-08-19T00:00:00"/>
    <x v="31"/>
    <s v="Kansas City"/>
    <n v="66112"/>
    <s v="United States"/>
    <x v="7"/>
    <n v="8"/>
    <x v="2"/>
  </r>
  <r>
    <n v="1984"/>
    <s v="Carol"/>
    <s v="Hill"/>
    <s v="chillrb@loc.gov"/>
    <s v="chillrb"/>
    <x v="120"/>
    <s v="Systems Administrator IV"/>
    <s v="Female"/>
    <s v="White"/>
    <n v="771"/>
    <x v="4"/>
    <d v="2020-08-21T00:00:00"/>
    <x v="13"/>
    <s v="Springfield"/>
    <n v="65810"/>
    <s v="United States"/>
    <x v="7"/>
    <n v="8"/>
    <x v="2"/>
  </r>
  <r>
    <n v="1081"/>
    <s v="Tina"/>
    <s v="Lewis"/>
    <s v="tlewis28@mozilla.org"/>
    <s v="tlewis28"/>
    <x v="63"/>
    <s v="Operator"/>
    <s v="Female"/>
    <s v="Mexican"/>
    <n v="143"/>
    <x v="14"/>
    <d v="2020-08-23T00:00:00"/>
    <x v="19"/>
    <s v="Dayton"/>
    <n v="45426"/>
    <s v="United States"/>
    <x v="7"/>
    <n v="8"/>
    <x v="2"/>
  </r>
  <r>
    <n v="1019"/>
    <s v="Lillian"/>
    <s v="Fuller"/>
    <s v="lfulleri@miitbeian.gov.cn"/>
    <s v="lfulleri"/>
    <x v="67"/>
    <s v="Sales Associate"/>
    <s v="Female"/>
    <s v="Black or African American"/>
    <n v="107"/>
    <x v="4"/>
    <d v="2020-08-26T00:00:00"/>
    <x v="33"/>
    <s v="Boise"/>
    <n v="83705"/>
    <s v="United States"/>
    <x v="7"/>
    <n v="8"/>
    <x v="2"/>
  </r>
  <r>
    <n v="1277"/>
    <s v="Brandon"/>
    <s v="Spencer"/>
    <s v="bspencer7o@si.edu"/>
    <s v="bspencer7o"/>
    <x v="22"/>
    <s v="Nuclear Power Engineer"/>
    <s v="Male"/>
    <s v="South American"/>
    <n v="911"/>
    <x v="9"/>
    <d v="2020-08-26T00:00:00"/>
    <x v="19"/>
    <s v="Akron"/>
    <n v="44310"/>
    <s v="United States"/>
    <x v="7"/>
    <n v="8"/>
    <x v="2"/>
  </r>
  <r>
    <n v="1020"/>
    <s v="Andrea"/>
    <s v="Mason"/>
    <s v="amasonj@yelp.com"/>
    <s v="amasonj"/>
    <x v="34"/>
    <s v="Financial Advisor"/>
    <s v="Female"/>
    <s v="Black or African American"/>
    <n v="44"/>
    <x v="1"/>
    <d v="2020-08-28T00:00:00"/>
    <x v="1"/>
    <s v="San Francisco"/>
    <n v="94105"/>
    <s v="United States"/>
    <x v="7"/>
    <n v="8"/>
    <x v="2"/>
  </r>
  <r>
    <n v="1020"/>
    <s v="Andrea"/>
    <s v="Mason"/>
    <s v="amasonj@yelp.com"/>
    <s v="amasonj"/>
    <x v="34"/>
    <s v="Financial Advisor"/>
    <s v="Female"/>
    <s v="Black or African American"/>
    <n v="905"/>
    <x v="1"/>
    <d v="2020-08-29T00:00:00"/>
    <x v="1"/>
    <s v="San Francisco"/>
    <n v="94105"/>
    <s v="United States"/>
    <x v="7"/>
    <n v="8"/>
    <x v="2"/>
  </r>
  <r>
    <n v="1985"/>
    <s v="Anna"/>
    <s v="Wilson"/>
    <s v="awilsonrc@sun.com"/>
    <s v="awilsonrc"/>
    <x v="3"/>
    <s v="Junior Executive"/>
    <s v="Female"/>
    <s v="White"/>
    <n v="267"/>
    <x v="14"/>
    <d v="2020-09-05T00:00:00"/>
    <x v="10"/>
    <s v="Chicago"/>
    <n v="60646"/>
    <s v="United States"/>
    <x v="8"/>
    <n v="9"/>
    <x v="2"/>
  </r>
  <r>
    <n v="1990"/>
    <s v="Judy"/>
    <s v="Kim"/>
    <s v="jkimrh@yandex.ru"/>
    <s v="jkimrh"/>
    <x v="191"/>
    <s v="Chemical Engineer"/>
    <s v="Female"/>
    <s v="White"/>
    <n v="266"/>
    <x v="1"/>
    <d v="2020-09-05T00:00:00"/>
    <x v="20"/>
    <s v="Mobile"/>
    <n v="36622"/>
    <s v="United States"/>
    <x v="8"/>
    <n v="9"/>
    <x v="2"/>
  </r>
  <r>
    <n v="1029"/>
    <s v="Albert"/>
    <s v="Smith"/>
    <s v="asmiths@soundcloud.com"/>
    <s v="asmiths"/>
    <x v="208"/>
    <s v="Project Manager"/>
    <s v="Male"/>
    <s v="Black or African American"/>
    <n v="242"/>
    <x v="1"/>
    <d v="2020-09-07T00:00:00"/>
    <x v="25"/>
    <s v="Prescott"/>
    <n v="86305"/>
    <s v="United States"/>
    <x v="8"/>
    <n v="9"/>
    <x v="2"/>
  </r>
  <r>
    <n v="1596"/>
    <s v="Bruce"/>
    <s v="Bradley"/>
    <s v="bbradleygj@hp.com"/>
    <s v="bbradleygj"/>
    <x v="106"/>
    <s v="Internal Auditor"/>
    <s v="Male"/>
    <s v="Thai"/>
    <n v="658"/>
    <x v="5"/>
    <d v="2020-09-08T00:00:00"/>
    <x v="2"/>
    <s v="Roanoke"/>
    <n v="24009"/>
    <s v="United States"/>
    <x v="8"/>
    <n v="9"/>
    <x v="2"/>
  </r>
  <r>
    <n v="1740"/>
    <s v="Harry"/>
    <s v="Spencer"/>
    <s v="hspencerkj@mozilla.org"/>
    <s v="hspencerkj"/>
    <x v="149"/>
    <s v="Web Designer IV"/>
    <s v="Male"/>
    <s v="White"/>
    <n v="846"/>
    <x v="0"/>
    <d v="2020-09-08T00:00:00"/>
    <x v="14"/>
    <s v="Springfield"/>
    <n v="1152"/>
    <s v="United States"/>
    <x v="8"/>
    <n v="9"/>
    <x v="2"/>
  </r>
  <r>
    <n v="1570"/>
    <s v="Jimmy"/>
    <s v="Fox"/>
    <s v="jfoxft@wired.com"/>
    <s v="jfoxft"/>
    <x v="44"/>
    <s v="Physical Therapy Assistant"/>
    <s v="Male"/>
    <s v="Argentinian"/>
    <n v="493"/>
    <x v="12"/>
    <d v="2020-09-13T00:00:00"/>
    <x v="1"/>
    <s v="San Jose"/>
    <n v="95138"/>
    <s v="United States"/>
    <x v="8"/>
    <n v="9"/>
    <x v="2"/>
  </r>
  <r>
    <n v="1298"/>
    <s v="Anna"/>
    <s v="Thomas"/>
    <s v="athomas89@usa.gov"/>
    <s v="athomas89"/>
    <x v="33"/>
    <s v="Food Chemist"/>
    <s v="Female"/>
    <s v="Japanese"/>
    <n v="300"/>
    <x v="12"/>
    <d v="2020-09-14T00:00:00"/>
    <x v="22"/>
    <s v="Orlando"/>
    <n v="32891"/>
    <s v="United States"/>
    <x v="8"/>
    <n v="9"/>
    <x v="2"/>
  </r>
  <r>
    <n v="1932"/>
    <s v="Doris"/>
    <s v="Martinez"/>
    <s v="dmartinezpv@skyrock.com"/>
    <s v="dmartinezpv"/>
    <x v="209"/>
    <s v="Civil Engineer"/>
    <s v="Female"/>
    <s v="Mexican"/>
    <n v="785"/>
    <x v="1"/>
    <d v="2020-09-14T00:00:00"/>
    <x v="3"/>
    <s v="Augusta"/>
    <n v="30905"/>
    <s v="United States"/>
    <x v="8"/>
    <n v="9"/>
    <x v="2"/>
  </r>
  <r>
    <n v="1039"/>
    <s v="Jonathan"/>
    <s v="Roberts"/>
    <s v="jroberts12@nih.gov"/>
    <s v="jroberts12"/>
    <x v="109"/>
    <s v="Sales Representative"/>
    <s v="Male"/>
    <s v="Black or African American"/>
    <n v="87"/>
    <x v="11"/>
    <d v="2020-09-15T00:00:00"/>
    <x v="29"/>
    <s v="Louisville"/>
    <n v="40298"/>
    <s v="United States"/>
    <x v="8"/>
    <n v="9"/>
    <x v="2"/>
  </r>
  <r>
    <n v="1982"/>
    <s v="Gregory"/>
    <s v="Arnold"/>
    <s v="garnoldr9@merriam-webster.com"/>
    <s v="garnoldr9"/>
    <x v="210"/>
    <s v="Senior Quality Engineer"/>
    <s v="Male"/>
    <s v="White"/>
    <n v="354"/>
    <x v="7"/>
    <d v="2020-09-16T00:00:00"/>
    <x v="1"/>
    <s v="San Jose"/>
    <n v="95155"/>
    <s v="United States"/>
    <x v="8"/>
    <n v="9"/>
    <x v="2"/>
  </r>
  <r>
    <n v="1617"/>
    <s v="Debra"/>
    <s v="Diaz"/>
    <s v="ddiazh4@e-recht24.de"/>
    <s v="ddiazh4"/>
    <x v="209"/>
    <s v="Environmental Tech"/>
    <s v="Female"/>
    <s v="Asian"/>
    <n v="457"/>
    <x v="6"/>
    <d v="2020-09-17T00:00:00"/>
    <x v="43"/>
    <s v="Cheyenne"/>
    <n v="82007"/>
    <s v="United States"/>
    <x v="8"/>
    <n v="9"/>
    <x v="2"/>
  </r>
  <r>
    <n v="1433"/>
    <s v="Harry"/>
    <s v="Fernandez"/>
    <s v="hfernandezc0@redcross.org"/>
    <s v="hfernandezc0"/>
    <x v="55"/>
    <s v="Director of Sales"/>
    <s v="Male"/>
    <s v="Taiwanese"/>
    <n v="398"/>
    <x v="3"/>
    <d v="2020-09-22T00:00:00"/>
    <x v="28"/>
    <s v="Washington"/>
    <n v="20420"/>
    <s v="United States"/>
    <x v="8"/>
    <n v="9"/>
    <x v="2"/>
  </r>
  <r>
    <n v="1298"/>
    <s v="Anna"/>
    <s v="Thomas"/>
    <s v="athomas89@usa.gov"/>
    <s v="athomas89"/>
    <x v="33"/>
    <s v="Food Chemist"/>
    <s v="Female"/>
    <s v="Japanese"/>
    <n v="930"/>
    <x v="12"/>
    <d v="2020-09-23T00:00:00"/>
    <x v="22"/>
    <s v="Orlando"/>
    <n v="32891"/>
    <s v="United States"/>
    <x v="8"/>
    <n v="9"/>
    <x v="2"/>
  </r>
  <r>
    <n v="1095"/>
    <s v="Emily"/>
    <s v="Franklin"/>
    <s v="efranklin2m@google.co.jp"/>
    <s v="efranklin2m"/>
    <x v="67"/>
    <s v="Analyst Programmer"/>
    <s v="Female"/>
    <s v="Mexican"/>
    <n v="993"/>
    <x v="6"/>
    <d v="2020-09-24T00:00:00"/>
    <x v="4"/>
    <s v="Houston"/>
    <n v="77040"/>
    <s v="United States"/>
    <x v="8"/>
    <n v="9"/>
    <x v="2"/>
  </r>
  <r>
    <n v="1123"/>
    <s v="Randy"/>
    <s v="Hamilton"/>
    <s v="rhamilton3e@loc.gov"/>
    <s v="rhamilton3e"/>
    <x v="82"/>
    <s v="Geological Engineer"/>
    <s v="Male"/>
    <s v="Mexican"/>
    <n v="69"/>
    <x v="0"/>
    <d v="2020-09-30T00:00:00"/>
    <x v="22"/>
    <s v="Tampa"/>
    <n v="33673"/>
    <s v="United States"/>
    <x v="8"/>
    <n v="9"/>
    <x v="2"/>
  </r>
  <r>
    <n v="1762"/>
    <s v="Martha"/>
    <s v="Green"/>
    <s v="mgreenl5@ocn.ne.jp"/>
    <s v="mgreenl5"/>
    <x v="211"/>
    <s v="Budget/Accounting Analyst III"/>
    <s v="Female"/>
    <s v="American Indian"/>
    <n v="337"/>
    <x v="1"/>
    <d v="2020-09-30T00:00:00"/>
    <x v="22"/>
    <s v="Delray Beach"/>
    <n v="33448"/>
    <s v="United States"/>
    <x v="8"/>
    <n v="9"/>
    <x v="2"/>
  </r>
  <r>
    <n v="1212"/>
    <s v="Patricia"/>
    <s v="Weaver"/>
    <s v="pweaver5v@merriam-webster.com"/>
    <s v="pweaver5v"/>
    <x v="11"/>
    <s v="Staff Accountant I"/>
    <s v="Female"/>
    <s v="White"/>
    <n v="885"/>
    <x v="6"/>
    <d v="2020-10-06T00:00:00"/>
    <x v="9"/>
    <s v="Hartford"/>
    <n v="6183"/>
    <s v="United States"/>
    <x v="9"/>
    <n v="10"/>
    <x v="2"/>
  </r>
  <r>
    <n v="1537"/>
    <s v="Ronald"/>
    <s v="Mason"/>
    <s v="rmasonew@liveinternet.ru"/>
    <s v="rmasonew"/>
    <x v="212"/>
    <s v="Compensation Analyst"/>
    <s v="Male"/>
    <s v="Asian"/>
    <n v="691"/>
    <x v="5"/>
    <d v="2020-10-06T00:00:00"/>
    <x v="38"/>
    <s v="Charleston"/>
    <n v="29411"/>
    <s v="United States"/>
    <x v="9"/>
    <n v="10"/>
    <x v="2"/>
  </r>
  <r>
    <n v="1084"/>
    <s v="Larry"/>
    <s v="Ferguson"/>
    <s v="lferguson2b@theguardian.com"/>
    <s v="lferguson2b"/>
    <x v="17"/>
    <s v="Food Chemist"/>
    <s v="Male"/>
    <s v="Mexican"/>
    <n v="879"/>
    <x v="1"/>
    <d v="2020-10-09T00:00:00"/>
    <x v="14"/>
    <s v="Waltham"/>
    <n v="2453"/>
    <s v="United States"/>
    <x v="9"/>
    <n v="10"/>
    <x v="2"/>
  </r>
  <r>
    <n v="1968"/>
    <s v="Carol"/>
    <s v="Hudson"/>
    <s v="chudsonqv@arizona.edu"/>
    <s v="chudsonqv"/>
    <x v="56"/>
    <s v="Accountant IV"/>
    <s v="Female"/>
    <s v="Mexican"/>
    <n v="199"/>
    <x v="9"/>
    <d v="2020-10-10T00:00:00"/>
    <x v="22"/>
    <s v="Jacksonville"/>
    <n v="32230"/>
    <s v="United States"/>
    <x v="9"/>
    <n v="10"/>
    <x v="2"/>
  </r>
  <r>
    <n v="1851"/>
    <s v="Linda"/>
    <s v="Washington"/>
    <s v="lwashingtonnm@jalbum.net"/>
    <s v="lwashingtonnm"/>
    <x v="76"/>
    <s v="Teacher"/>
    <s v="Female"/>
    <s v="White"/>
    <n v="961"/>
    <x v="12"/>
    <d v="2020-10-12T00:00:00"/>
    <x v="5"/>
    <s v="Brooklyn"/>
    <n v="11210"/>
    <s v="United States"/>
    <x v="9"/>
    <n v="10"/>
    <x v="2"/>
  </r>
  <r>
    <n v="1026"/>
    <s v="Jacqueline"/>
    <s v="Ellis"/>
    <s v="jellisp@imageshack.us"/>
    <s v="jellisp"/>
    <x v="6"/>
    <s v="Senior Sales Associate"/>
    <s v="Female"/>
    <s v="Black or African American"/>
    <n v="546"/>
    <x v="1"/>
    <d v="2020-10-14T00:00:00"/>
    <x v="5"/>
    <s v="Bronx"/>
    <n v="10469"/>
    <s v="United States"/>
    <x v="9"/>
    <n v="10"/>
    <x v="2"/>
  </r>
  <r>
    <n v="1095"/>
    <s v="Emily"/>
    <s v="Franklin"/>
    <s v="efranklin2m@google.co.jp"/>
    <s v="efranklin2m"/>
    <x v="67"/>
    <s v="Analyst Programmer"/>
    <s v="Female"/>
    <s v="Mexican"/>
    <n v="582"/>
    <x v="6"/>
    <d v="2020-10-16T00:00:00"/>
    <x v="4"/>
    <s v="Houston"/>
    <n v="77040"/>
    <s v="United States"/>
    <x v="9"/>
    <n v="10"/>
    <x v="2"/>
  </r>
  <r>
    <n v="1365"/>
    <s v="Roy"/>
    <s v="Snyder"/>
    <s v="rsnydera4@whitehouse.gov"/>
    <s v="rsnydera4"/>
    <x v="56"/>
    <s v="Help Desk Technician"/>
    <s v="Male"/>
    <s v="Mexican"/>
    <n v="929"/>
    <x v="4"/>
    <d v="2020-10-16T00:00:00"/>
    <x v="22"/>
    <s v="Miami"/>
    <n v="33261"/>
    <s v="United States"/>
    <x v="9"/>
    <n v="10"/>
    <x v="2"/>
  </r>
  <r>
    <n v="1657"/>
    <s v="Virginia"/>
    <s v="Mccoy"/>
    <s v="vmccoyi8@acquirethisname.com"/>
    <s v="vmccoyi8"/>
    <x v="3"/>
    <s v="Clinical Specialist"/>
    <s v="Female"/>
    <s v="Black or African American"/>
    <n v="618"/>
    <x v="0"/>
    <d v="2020-10-17T00:00:00"/>
    <x v="4"/>
    <s v="Arlington"/>
    <n v="76004"/>
    <s v="United States"/>
    <x v="9"/>
    <n v="10"/>
    <x v="2"/>
  </r>
  <r>
    <n v="1092"/>
    <s v="Donna"/>
    <s v="Hanson"/>
    <s v="dhanson2j@salon.com"/>
    <s v="dhanson2j"/>
    <x v="62"/>
    <s v="Assistant Media Planner"/>
    <s v="Female"/>
    <s v="Mexican"/>
    <n v="958"/>
    <x v="12"/>
    <d v="2020-10-20T00:00:00"/>
    <x v="22"/>
    <s v="Sarasota"/>
    <n v="34233"/>
    <s v="United States"/>
    <x v="9"/>
    <n v="10"/>
    <x v="2"/>
  </r>
  <r>
    <n v="1468"/>
    <s v="Cynthia"/>
    <s v="Lopez"/>
    <s v="clopezcz@reverbnation.com"/>
    <s v="clopezcz"/>
    <x v="43"/>
    <s v="Automation Specialist IV"/>
    <s v="Female"/>
    <s v="White"/>
    <n v="597"/>
    <x v="2"/>
    <d v="2020-10-21T00:00:00"/>
    <x v="7"/>
    <s v="New Orleans"/>
    <n v="70116"/>
    <s v="United States"/>
    <x v="9"/>
    <n v="10"/>
    <x v="2"/>
  </r>
  <r>
    <n v="1092"/>
    <s v="Donna"/>
    <s v="Hanson"/>
    <s v="dhanson2j@salon.com"/>
    <s v="dhanson2j"/>
    <x v="62"/>
    <s v="Assistant Media Planner"/>
    <s v="Female"/>
    <s v="Mexican"/>
    <n v="599"/>
    <x v="12"/>
    <d v="2020-10-22T00:00:00"/>
    <x v="22"/>
    <s v="Sarasota"/>
    <n v="34233"/>
    <s v="United States"/>
    <x v="9"/>
    <n v="10"/>
    <x v="2"/>
  </r>
  <r>
    <n v="1531"/>
    <s v="Marie"/>
    <s v="Ryan"/>
    <s v="mryaneq@prnewswire.com"/>
    <s v="mryaneq"/>
    <x v="213"/>
    <s v="Staff Scientist"/>
    <s v="Female"/>
    <s v="Argentinian"/>
    <n v="247"/>
    <x v="14"/>
    <d v="2020-10-23T00:00:00"/>
    <x v="20"/>
    <s v="Tuscaloosa"/>
    <n v="35405"/>
    <s v="United States"/>
    <x v="9"/>
    <n v="10"/>
    <x v="2"/>
  </r>
  <r>
    <n v="1434"/>
    <s v="Cynthia"/>
    <s v="Meyer"/>
    <s v="cmeyerc1@usgs.gov"/>
    <s v="cmeyerc1"/>
    <x v="53"/>
    <s v="Senior Quality Engineer"/>
    <s v="Female"/>
    <s v="Asian"/>
    <n v="575"/>
    <x v="1"/>
    <d v="2020-10-24T00:00:00"/>
    <x v="8"/>
    <s v="Minneapolis"/>
    <n v="55436"/>
    <s v="United States"/>
    <x v="9"/>
    <n v="10"/>
    <x v="2"/>
  </r>
  <r>
    <n v="1234"/>
    <s v="Adam"/>
    <s v="Jenkins"/>
    <s v="ajenkins6h@comcast.net"/>
    <s v="ajenkins6h"/>
    <x v="4"/>
    <s v="Internal Auditor"/>
    <s v="Male"/>
    <s v="White"/>
    <n v="343"/>
    <x v="4"/>
    <d v="2020-10-25T00:00:00"/>
    <x v="4"/>
    <s v="Austin"/>
    <n v="78710"/>
    <s v="United States"/>
    <x v="9"/>
    <n v="10"/>
    <x v="2"/>
  </r>
  <r>
    <n v="1393"/>
    <s v="Rebecca"/>
    <s v="Boyd"/>
    <s v="rboydaw@google.com"/>
    <s v="rboydaw"/>
    <x v="172"/>
    <s v="Senior Quality Engineer"/>
    <s v="Female"/>
    <s v="Japanese"/>
    <n v="30"/>
    <x v="10"/>
    <d v="2020-10-25T00:00:00"/>
    <x v="28"/>
    <s v="Washington"/>
    <n v="20073"/>
    <s v="United States"/>
    <x v="9"/>
    <n v="10"/>
    <x v="2"/>
  </r>
  <r>
    <n v="1919"/>
    <s v="Ashley"/>
    <s v="Gutierrez"/>
    <s v="agutierrezpi@usgs.gov"/>
    <s v="agutierrezpi"/>
    <x v="214"/>
    <s v="VP Accounting"/>
    <s v="Female"/>
    <s v="Japanese"/>
    <n v="551"/>
    <x v="15"/>
    <d v="2020-10-25T00:00:00"/>
    <x v="26"/>
    <s v="Seattle"/>
    <n v="98133"/>
    <s v="United States"/>
    <x v="9"/>
    <n v="10"/>
    <x v="2"/>
  </r>
  <r>
    <n v="1001"/>
    <s v="George"/>
    <s v="Dunn"/>
    <s v="gdunn0@yellowpages.com"/>
    <s v="gdunn0"/>
    <x v="28"/>
    <s v="Database Administrator II"/>
    <s v="Male"/>
    <s v="Black or African American"/>
    <n v="231"/>
    <x v="6"/>
    <d v="2020-10-26T00:00:00"/>
    <x v="4"/>
    <s v="El Paso"/>
    <n v="88563"/>
    <s v="United States"/>
    <x v="9"/>
    <n v="10"/>
    <x v="2"/>
  </r>
  <r>
    <n v="1413"/>
    <s v="Brenda"/>
    <s v="Diaz"/>
    <s v="bdiazbg@trellian.com"/>
    <s v="bdiazbg"/>
    <x v="12"/>
    <s v="Nuclear Power Engineer"/>
    <s v="Female"/>
    <s v="Argentinian"/>
    <n v="445"/>
    <x v="3"/>
    <d v="2020-10-27T00:00:00"/>
    <x v="18"/>
    <s v="Evansville"/>
    <n v="47737"/>
    <s v="United States"/>
    <x v="9"/>
    <n v="10"/>
    <x v="2"/>
  </r>
  <r>
    <n v="1019"/>
    <s v="Lillian"/>
    <s v="Fuller"/>
    <s v="lfulleri@miitbeian.gov.cn"/>
    <s v="lfulleri"/>
    <x v="67"/>
    <s v="Sales Associate"/>
    <s v="Female"/>
    <s v="Black or African American"/>
    <n v="46"/>
    <x v="4"/>
    <d v="2020-10-29T00:00:00"/>
    <x v="33"/>
    <s v="Boise"/>
    <n v="83705"/>
    <s v="United States"/>
    <x v="9"/>
    <n v="10"/>
    <x v="2"/>
  </r>
  <r>
    <n v="1212"/>
    <s v="Patricia"/>
    <s v="Weaver"/>
    <s v="pweaver5v@merriam-webster.com"/>
    <s v="pweaver5v"/>
    <x v="11"/>
    <s v="Staff Accountant I"/>
    <s v="Female"/>
    <s v="White"/>
    <n v="666"/>
    <x v="6"/>
    <d v="2020-10-29T00:00:00"/>
    <x v="9"/>
    <s v="Hartford"/>
    <n v="6183"/>
    <s v="United States"/>
    <x v="9"/>
    <n v="10"/>
    <x v="2"/>
  </r>
  <r>
    <n v="1144"/>
    <s v="Lori"/>
    <s v="Harvey"/>
    <s v="lharvey3z@ibm.com"/>
    <s v="lharvey3z"/>
    <x v="23"/>
    <s v="Technical Writer"/>
    <s v="Female"/>
    <s v="Asian"/>
    <n v="258"/>
    <x v="4"/>
    <d v="2020-11-02T00:00:00"/>
    <x v="5"/>
    <s v="Flushing"/>
    <n v="11355"/>
    <s v="United States"/>
    <x v="10"/>
    <n v="11"/>
    <x v="2"/>
  </r>
  <r>
    <n v="1851"/>
    <s v="Linda"/>
    <s v="Washington"/>
    <s v="lwashingtonnm@jalbum.net"/>
    <s v="lwashingtonnm"/>
    <x v="76"/>
    <s v="Teacher"/>
    <s v="Female"/>
    <s v="White"/>
    <n v="398"/>
    <x v="12"/>
    <d v="2020-11-07T00:00:00"/>
    <x v="5"/>
    <s v="Brooklyn"/>
    <n v="11210"/>
    <s v="United States"/>
    <x v="10"/>
    <n v="11"/>
    <x v="2"/>
  </r>
  <r>
    <n v="1122"/>
    <s v="Bobby"/>
    <s v="Garrett"/>
    <s v="bgarrett3d@cocolog-nifty.com"/>
    <s v="bgarrett3d"/>
    <x v="157"/>
    <s v="Web Developer III"/>
    <s v="Male"/>
    <s v="Mexican"/>
    <n v="690"/>
    <x v="6"/>
    <d v="2020-11-12T00:00:00"/>
    <x v="10"/>
    <s v="Rockford"/>
    <n v="61105"/>
    <s v="United States"/>
    <x v="10"/>
    <n v="11"/>
    <x v="2"/>
  </r>
  <r>
    <n v="1298"/>
    <s v="Anna"/>
    <s v="Thomas"/>
    <s v="athomas89@usa.gov"/>
    <s v="athomas89"/>
    <x v="33"/>
    <s v="Food Chemist"/>
    <s v="Female"/>
    <s v="Japanese"/>
    <n v="561"/>
    <x v="12"/>
    <d v="2020-11-13T00:00:00"/>
    <x v="22"/>
    <s v="Orlando"/>
    <n v="32891"/>
    <s v="United States"/>
    <x v="10"/>
    <n v="11"/>
    <x v="2"/>
  </r>
  <r>
    <n v="1529"/>
    <s v="Louis"/>
    <s v="Edwards"/>
    <s v="ledwardseo@163.com"/>
    <s v="ledwardseo"/>
    <x v="85"/>
    <s v="Engineer III"/>
    <s v="Male"/>
    <s v="Native Hawaiian and Other Pacific Islander (NHPI)"/>
    <n v="589"/>
    <x v="1"/>
    <d v="2020-11-13T00:00:00"/>
    <x v="44"/>
    <s v="Biloxi"/>
    <n v="39534"/>
    <s v="United States"/>
    <x v="10"/>
    <n v="11"/>
    <x v="2"/>
  </r>
  <r>
    <n v="1571"/>
    <s v="Mark"/>
    <s v="Stevens"/>
    <s v="mstevensfu@etsy.com"/>
    <s v="mstevensfu"/>
    <x v="99"/>
    <s v="Database Administrator III"/>
    <s v="Male"/>
    <s v="Thai"/>
    <n v="82"/>
    <x v="5"/>
    <d v="2020-11-15T00:00:00"/>
    <x v="4"/>
    <s v="Austin"/>
    <n v="78726"/>
    <s v="United States"/>
    <x v="10"/>
    <n v="11"/>
    <x v="2"/>
  </r>
  <r>
    <n v="1666"/>
    <s v="Stephanie"/>
    <s v="Rice"/>
    <s v="sriceih@simplemachines.org"/>
    <s v="sriceih"/>
    <x v="215"/>
    <s v="Information Systems Manager"/>
    <s v="Female"/>
    <s v="Black or African American"/>
    <n v="28"/>
    <x v="10"/>
    <d v="2020-11-15T00:00:00"/>
    <x v="16"/>
    <s v="Philadelphia"/>
    <n v="19104"/>
    <s v="United States"/>
    <x v="10"/>
    <n v="11"/>
    <x v="2"/>
  </r>
  <r>
    <n v="1783"/>
    <s v="Juan"/>
    <s v="Jones"/>
    <s v="jjoneslq@vistaprint.com"/>
    <s v="jjoneslq"/>
    <x v="33"/>
    <s v="Programmer III"/>
    <s v="Male"/>
    <s v="Asian"/>
    <n v="744"/>
    <x v="11"/>
    <d v="2020-11-16T00:00:00"/>
    <x v="25"/>
    <s v="Tucson"/>
    <n v="85715"/>
    <s v="United States"/>
    <x v="10"/>
    <n v="11"/>
    <x v="2"/>
  </r>
  <r>
    <n v="1144"/>
    <s v="Lori"/>
    <s v="Harvey"/>
    <s v="lharvey3z@ibm.com"/>
    <s v="lharvey3z"/>
    <x v="23"/>
    <s v="Technical Writer"/>
    <s v="Female"/>
    <s v="Asian"/>
    <n v="184"/>
    <x v="4"/>
    <d v="2020-11-18T00:00:00"/>
    <x v="5"/>
    <s v="Flushing"/>
    <n v="11355"/>
    <s v="United States"/>
    <x v="10"/>
    <n v="11"/>
    <x v="2"/>
  </r>
  <r>
    <n v="1170"/>
    <s v="Albert"/>
    <s v="Roberts"/>
    <s v="aroberts4p@ezinearticles.com"/>
    <s v="aroberts4p"/>
    <x v="14"/>
    <s v="Accountant I"/>
    <s v="Male"/>
    <s v="White"/>
    <n v="337"/>
    <x v="0"/>
    <d v="2020-11-18T00:00:00"/>
    <x v="4"/>
    <s v="El Paso"/>
    <n v="88574"/>
    <s v="United States"/>
    <x v="10"/>
    <n v="11"/>
    <x v="2"/>
  </r>
  <r>
    <n v="1940"/>
    <s v="Victor"/>
    <s v="Edwards"/>
    <s v="vedwardsq3@about.com"/>
    <s v="vedwardsq3"/>
    <x v="80"/>
    <s v="Software Engineer III"/>
    <s v="Male"/>
    <s v="American Indian"/>
    <n v="370"/>
    <x v="5"/>
    <d v="2020-11-21T00:00:00"/>
    <x v="11"/>
    <s v="Littleton"/>
    <n v="80127"/>
    <s v="United States"/>
    <x v="10"/>
    <n v="11"/>
    <x v="2"/>
  </r>
  <r>
    <n v="1673"/>
    <s v="Michelle"/>
    <s v="Romero"/>
    <s v="mromeroio@uol.com.br"/>
    <s v="mromeroio"/>
    <x v="216"/>
    <s v="Business Systems Development Analyst"/>
    <s v="Female"/>
    <s v="Black or African American"/>
    <n v="923"/>
    <x v="8"/>
    <d v="2020-11-22T00:00:00"/>
    <x v="4"/>
    <s v="College Station"/>
    <n v="77844"/>
    <s v="United States"/>
    <x v="10"/>
    <n v="11"/>
    <x v="2"/>
  </r>
  <r>
    <n v="1020"/>
    <s v="Andrea"/>
    <s v="Mason"/>
    <s v="amasonj@yelp.com"/>
    <s v="amasonj"/>
    <x v="34"/>
    <s v="Financial Advisor"/>
    <s v="Female"/>
    <s v="Black or African American"/>
    <n v="630"/>
    <x v="1"/>
    <d v="2020-11-23T00:00:00"/>
    <x v="1"/>
    <s v="San Francisco"/>
    <n v="94105"/>
    <s v="United States"/>
    <x v="10"/>
    <n v="11"/>
    <x v="2"/>
  </r>
  <r>
    <n v="1075"/>
    <s v="Helen"/>
    <s v="Day"/>
    <s v="hday22@acquirethisname.com"/>
    <s v="hday22"/>
    <x v="129"/>
    <s v="Geologist III"/>
    <s v="Female"/>
    <s v="Mexican"/>
    <n v="211"/>
    <x v="7"/>
    <d v="2020-11-23T00:00:00"/>
    <x v="28"/>
    <s v="Washington"/>
    <n v="20337"/>
    <s v="United States"/>
    <x v="10"/>
    <n v="11"/>
    <x v="2"/>
  </r>
  <r>
    <n v="1020"/>
    <s v="Andrea"/>
    <s v="Mason"/>
    <s v="amasonj@yelp.com"/>
    <s v="amasonj"/>
    <x v="34"/>
    <s v="Financial Advisor"/>
    <s v="Female"/>
    <s v="Black or African American"/>
    <n v="729"/>
    <x v="1"/>
    <d v="2020-11-24T00:00:00"/>
    <x v="1"/>
    <s v="San Francisco"/>
    <n v="94105"/>
    <s v="United States"/>
    <x v="10"/>
    <n v="11"/>
    <x v="2"/>
  </r>
  <r>
    <n v="1020"/>
    <s v="Andrea"/>
    <s v="Mason"/>
    <s v="amasonj@yelp.com"/>
    <s v="amasonj"/>
    <x v="34"/>
    <s v="Financial Advisor"/>
    <s v="Female"/>
    <s v="Black or African American"/>
    <n v="75"/>
    <x v="1"/>
    <d v="2020-11-24T00:00:00"/>
    <x v="1"/>
    <s v="San Francisco"/>
    <n v="94105"/>
    <s v="United States"/>
    <x v="10"/>
    <n v="11"/>
    <x v="2"/>
  </r>
  <r>
    <n v="1298"/>
    <s v="Anna"/>
    <s v="Thomas"/>
    <s v="athomas89@usa.gov"/>
    <s v="athomas89"/>
    <x v="33"/>
    <s v="Food Chemist"/>
    <s v="Female"/>
    <s v="Japanese"/>
    <n v="500"/>
    <x v="12"/>
    <d v="2020-11-24T00:00:00"/>
    <x v="22"/>
    <s v="Orlando"/>
    <n v="32891"/>
    <s v="United States"/>
    <x v="10"/>
    <n v="11"/>
    <x v="2"/>
  </r>
  <r>
    <n v="1365"/>
    <s v="Roy"/>
    <s v="Snyder"/>
    <s v="rsnydera4@whitehouse.gov"/>
    <s v="rsnydera4"/>
    <x v="56"/>
    <s v="Help Desk Technician"/>
    <s v="Male"/>
    <s v="Mexican"/>
    <n v="366"/>
    <x v="4"/>
    <d v="2020-11-29T00:00:00"/>
    <x v="22"/>
    <s v="Miami"/>
    <n v="33261"/>
    <s v="United States"/>
    <x v="10"/>
    <n v="11"/>
    <x v="2"/>
  </r>
  <r>
    <n v="1165"/>
    <s v="Marie"/>
    <s v="Powell"/>
    <s v="mpowell4k@lulu.com"/>
    <s v="mpowell4k"/>
    <x v="217"/>
    <s v="Account Coordinator"/>
    <s v="Female"/>
    <s v="Asian"/>
    <n v="999"/>
    <x v="3"/>
    <d v="2020-11-30T00:00:00"/>
    <x v="8"/>
    <s v="Duluth"/>
    <n v="55805"/>
    <s v="United States"/>
    <x v="10"/>
    <n v="11"/>
    <x v="2"/>
  </r>
  <r>
    <n v="1437"/>
    <s v="Wayne"/>
    <s v="Willis"/>
    <s v="wwillisc4@phoca.cz"/>
    <s v="wwillisc4"/>
    <x v="85"/>
    <s v="Software Consultant"/>
    <s v="Male"/>
    <s v="Argentinian"/>
    <n v="713"/>
    <x v="1"/>
    <d v="2020-11-30T00:00:00"/>
    <x v="24"/>
    <s v="Reno"/>
    <n v="89505"/>
    <s v="United States"/>
    <x v="10"/>
    <n v="11"/>
    <x v="2"/>
  </r>
  <r>
    <n v="1489"/>
    <s v="Roger"/>
    <s v="Matthews"/>
    <s v="rmatthewsdk@nature.com"/>
    <s v="rmatthewsdk"/>
    <x v="7"/>
    <s v="Environmental Tech"/>
    <s v="Male"/>
    <s v="Black or African American"/>
    <n v="743"/>
    <x v="4"/>
    <d v="2020-11-30T00:00:00"/>
    <x v="2"/>
    <s v="Hampton"/>
    <n v="23668"/>
    <s v="United States"/>
    <x v="10"/>
    <n v="11"/>
    <x v="2"/>
  </r>
  <r>
    <n v="1365"/>
    <s v="Roy"/>
    <s v="Snyder"/>
    <s v="rsnydera4@whitehouse.gov"/>
    <s v="rsnydera4"/>
    <x v="56"/>
    <s v="Help Desk Technician"/>
    <s v="Male"/>
    <s v="Mexican"/>
    <n v="464"/>
    <x v="4"/>
    <d v="2020-12-10T00:00:00"/>
    <x v="22"/>
    <s v="Miami"/>
    <n v="33261"/>
    <s v="United States"/>
    <x v="11"/>
    <n v="12"/>
    <x v="2"/>
  </r>
  <r>
    <n v="1693"/>
    <s v="Billy"/>
    <s v="Lopez"/>
    <s v="blopezj8@howstuffworks.com"/>
    <s v="blopezj8"/>
    <x v="218"/>
    <s v="Senior Cost Accountant"/>
    <s v="Male"/>
    <s v="Black or African American"/>
    <n v="631"/>
    <x v="14"/>
    <d v="2020-12-11T00:00:00"/>
    <x v="27"/>
    <s v="Salem"/>
    <n v="97312"/>
    <s v="United States"/>
    <x v="11"/>
    <n v="12"/>
    <x v="2"/>
  </r>
  <r>
    <n v="1414"/>
    <s v="Benjamin"/>
    <s v="Murray"/>
    <s v="bmurraybh@state.tx.us"/>
    <s v="bmurraybh"/>
    <x v="83"/>
    <s v="Food Chemist"/>
    <s v="Male"/>
    <s v="Thai"/>
    <n v="376"/>
    <x v="7"/>
    <d v="2020-12-12T00:00:00"/>
    <x v="22"/>
    <s v="Largo"/>
    <n v="34643"/>
    <s v="United States"/>
    <x v="11"/>
    <n v="12"/>
    <x v="2"/>
  </r>
  <r>
    <n v="1396"/>
    <s v="Scott"/>
    <s v="Grant"/>
    <s v="sgrantaz@blinklist.com"/>
    <s v="sgrantaz"/>
    <x v="33"/>
    <s v="Paralegal"/>
    <s v="Male"/>
    <s v="Eskimo"/>
    <n v="662"/>
    <x v="1"/>
    <d v="2020-12-13T00:00:00"/>
    <x v="22"/>
    <s v="Largo"/>
    <n v="34643"/>
    <s v="United States"/>
    <x v="11"/>
    <n v="12"/>
    <x v="2"/>
  </r>
  <r>
    <n v="1986"/>
    <s v="Edward"/>
    <s v="Long"/>
    <s v="elongrd@bing.com"/>
    <s v="elongrd"/>
    <x v="13"/>
    <s v="Quality Control Specialist"/>
    <s v="Male"/>
    <s v="White"/>
    <n v="633"/>
    <x v="7"/>
    <d v="2020-12-16T00:00:00"/>
    <x v="4"/>
    <s v="Houston"/>
    <n v="77010"/>
    <s v="United States"/>
    <x v="11"/>
    <n v="12"/>
    <x v="2"/>
  </r>
  <r>
    <n v="1704"/>
    <s v="Adam"/>
    <s v="Watson"/>
    <s v="awatsonjj@plala.or.jp"/>
    <s v="awatsonjj"/>
    <x v="35"/>
    <s v="Associate Professor"/>
    <s v="Male"/>
    <s v="Black or African American"/>
    <n v="102"/>
    <x v="1"/>
    <d v="2020-12-17T00:00:00"/>
    <x v="22"/>
    <s v="Pensacola"/>
    <n v="32575"/>
    <s v="United States"/>
    <x v="11"/>
    <n v="12"/>
    <x v="2"/>
  </r>
  <r>
    <n v="1783"/>
    <s v="Juan"/>
    <s v="Jones"/>
    <s v="jjoneslq@vistaprint.com"/>
    <s v="jjoneslq"/>
    <x v="33"/>
    <s v="Programmer III"/>
    <s v="Male"/>
    <s v="Asian"/>
    <n v="799"/>
    <x v="11"/>
    <d v="2020-12-20T00:00:00"/>
    <x v="25"/>
    <s v="Tucson"/>
    <n v="85715"/>
    <s v="United States"/>
    <x v="11"/>
    <n v="12"/>
    <x v="2"/>
  </r>
  <r>
    <n v="1398"/>
    <s v="Debra"/>
    <s v="Williams"/>
    <s v="dwilliamsb1@hibu.com"/>
    <s v="dwilliamsb1"/>
    <x v="178"/>
    <s v="Professor"/>
    <s v="Female"/>
    <s v="Asian"/>
    <n v="812"/>
    <x v="12"/>
    <d v="2020-12-21T00:00:00"/>
    <x v="23"/>
    <s v="Madison"/>
    <n v="53785"/>
    <s v="United States"/>
    <x v="11"/>
    <n v="12"/>
    <x v="2"/>
  </r>
  <r>
    <n v="1078"/>
    <s v="Nicole"/>
    <s v="King"/>
    <s v="nking25@fda.gov"/>
    <s v="nking25"/>
    <x v="146"/>
    <s v="Mechanical Systems Engineer"/>
    <s v="Female"/>
    <s v="Mexican"/>
    <n v="50"/>
    <x v="1"/>
    <d v="2020-12-22T00:00:00"/>
    <x v="34"/>
    <s v="Little Rock"/>
    <n v="72222"/>
    <s v="United States"/>
    <x v="11"/>
    <n v="12"/>
    <x v="2"/>
  </r>
  <r>
    <n v="1365"/>
    <s v="Roy"/>
    <s v="Snyder"/>
    <s v="rsnydera4@whitehouse.gov"/>
    <s v="rsnydera4"/>
    <x v="56"/>
    <s v="Help Desk Technician"/>
    <s v="Male"/>
    <s v="Mexican"/>
    <n v="197"/>
    <x v="4"/>
    <d v="2020-12-22T00:00:00"/>
    <x v="22"/>
    <s v="Miami"/>
    <n v="33261"/>
    <s v="United States"/>
    <x v="11"/>
    <n v="12"/>
    <x v="2"/>
  </r>
  <r>
    <n v="1985"/>
    <s v="Anna"/>
    <s v="Wilson"/>
    <s v="awilsonrc@sun.com"/>
    <s v="awilsonrc"/>
    <x v="3"/>
    <s v="Junior Executive"/>
    <s v="Female"/>
    <s v="White"/>
    <n v="835"/>
    <x v="14"/>
    <d v="2020-12-22T00:00:00"/>
    <x v="10"/>
    <s v="Chicago"/>
    <n v="60646"/>
    <s v="United States"/>
    <x v="11"/>
    <n v="12"/>
    <x v="2"/>
  </r>
  <r>
    <n v="1583"/>
    <s v="Jeremy"/>
    <s v="Robinson"/>
    <s v="jrobinsong6@cisco.com"/>
    <s v="jrobinsong6"/>
    <x v="116"/>
    <s v="VP Sales"/>
    <s v="Male"/>
    <s v="Hispanic"/>
    <n v="411"/>
    <x v="1"/>
    <d v="2020-12-23T00:00:00"/>
    <x v="2"/>
    <s v="Richmond"/>
    <n v="23225"/>
    <s v="United States"/>
    <x v="11"/>
    <n v="12"/>
    <x v="2"/>
  </r>
  <r>
    <n v="1489"/>
    <s v="Roger"/>
    <s v="Matthews"/>
    <s v="rmatthewsdk@nature.com"/>
    <s v="rmatthewsdk"/>
    <x v="7"/>
    <s v="Environmental Tech"/>
    <s v="Male"/>
    <s v="Black or African American"/>
    <n v="822"/>
    <x v="4"/>
    <d v="2020-12-24T00:00:00"/>
    <x v="2"/>
    <s v="Hampton"/>
    <n v="23668"/>
    <s v="United States"/>
    <x v="11"/>
    <n v="12"/>
    <x v="2"/>
  </r>
  <r>
    <n v="1144"/>
    <s v="Lori"/>
    <s v="Harvey"/>
    <s v="lharvey3z@ibm.com"/>
    <s v="lharvey3z"/>
    <x v="23"/>
    <s v="Technical Writer"/>
    <s v="Female"/>
    <s v="Asian"/>
    <n v="16"/>
    <x v="4"/>
    <d v="2020-12-25T00:00:00"/>
    <x v="5"/>
    <s v="Flushing"/>
    <n v="11355"/>
    <s v="United States"/>
    <x v="11"/>
    <n v="12"/>
    <x v="2"/>
  </r>
  <r>
    <n v="1733"/>
    <s v="Carol"/>
    <s v="Diaz"/>
    <s v="cdiazkc@over-blog.com"/>
    <s v="cdiazkc"/>
    <x v="219"/>
    <s v="Financial Advisor"/>
    <s v="Female"/>
    <s v="Costa Rican"/>
    <n v="110"/>
    <x v="6"/>
    <d v="2020-12-28T00:00:00"/>
    <x v="9"/>
    <s v="Bridgeport"/>
    <n v="6606"/>
    <s v="United States"/>
    <x v="11"/>
    <n v="12"/>
    <x v="2"/>
  </r>
  <r>
    <n v="1489"/>
    <s v="Roger"/>
    <s v="Matthews"/>
    <s v="rmatthewsdk@nature.com"/>
    <s v="rmatthewsdk"/>
    <x v="7"/>
    <s v="Environmental Tech"/>
    <s v="Male"/>
    <s v="Black or African American"/>
    <n v="366"/>
    <x v="4"/>
    <d v="2020-12-29T00:00:00"/>
    <x v="2"/>
    <s v="Hampton"/>
    <n v="23668"/>
    <s v="United States"/>
    <x v="11"/>
    <n v="12"/>
    <x v="2"/>
  </r>
  <r>
    <n v="1967"/>
    <s v="Paul"/>
    <s v="Cook"/>
    <s v="pcookqu@webmd.com"/>
    <s v="pcookqu"/>
    <x v="220"/>
    <s v="Physical Therapy Assistant"/>
    <s v="Male"/>
    <s v="American Indian"/>
    <n v="99"/>
    <x v="6"/>
    <d v="2020-12-30T00:00:00"/>
    <x v="45"/>
    <s v="Manchester"/>
    <n v="3105"/>
    <s v="United States"/>
    <x v="11"/>
    <n v="12"/>
    <x v="2"/>
  </r>
  <r>
    <n v="1117"/>
    <s v="Lori"/>
    <s v="Turner"/>
    <s v="lturner38@dion.ne.jp"/>
    <s v="lturner38"/>
    <x v="177"/>
    <s v="Senior Cost Accountant"/>
    <s v="Female"/>
    <s v="Mexican"/>
    <n v="563"/>
    <x v="4"/>
    <d v="2021-01-02T00:00:00"/>
    <x v="2"/>
    <s v="Virginia Beach"/>
    <n v="23464"/>
    <s v="United States"/>
    <x v="0"/>
    <n v="1"/>
    <x v="3"/>
  </r>
  <r>
    <n v="1298"/>
    <s v="Anna"/>
    <s v="Thomas"/>
    <s v="athomas89@usa.gov"/>
    <s v="athomas89"/>
    <x v="33"/>
    <s v="Food Chemist"/>
    <s v="Female"/>
    <s v="Japanese"/>
    <n v="522"/>
    <x v="12"/>
    <d v="2021-01-02T00:00:00"/>
    <x v="22"/>
    <s v="Orlando"/>
    <n v="32891"/>
    <s v="United States"/>
    <x v="0"/>
    <n v="1"/>
    <x v="3"/>
  </r>
  <r>
    <n v="1672"/>
    <s v="Rebecca"/>
    <s v="Jacobs"/>
    <s v="rjacobsin@youtu.be"/>
    <s v="rjacobsin"/>
    <x v="221"/>
    <s v="Food Chemist"/>
    <s v="Female"/>
    <s v="Black or African American"/>
    <n v="438"/>
    <x v="14"/>
    <d v="2021-01-03T00:00:00"/>
    <x v="17"/>
    <s v="Omaha"/>
    <n v="68179"/>
    <s v="United States"/>
    <x v="0"/>
    <n v="1"/>
    <x v="3"/>
  </r>
  <r>
    <n v="1365"/>
    <s v="Roy"/>
    <s v="Snyder"/>
    <s v="rsnydera4@whitehouse.gov"/>
    <s v="rsnydera4"/>
    <x v="56"/>
    <s v="Help Desk Technician"/>
    <s v="Male"/>
    <s v="Mexican"/>
    <n v="835"/>
    <x v="4"/>
    <d v="2021-01-04T00:00:00"/>
    <x v="22"/>
    <s v="Miami"/>
    <n v="33261"/>
    <s v="United States"/>
    <x v="0"/>
    <n v="1"/>
    <x v="3"/>
  </r>
  <r>
    <n v="1092"/>
    <s v="Donna"/>
    <s v="Hanson"/>
    <s v="dhanson2j@salon.com"/>
    <s v="dhanson2j"/>
    <x v="62"/>
    <s v="Assistant Media Planner"/>
    <s v="Female"/>
    <s v="Mexican"/>
    <n v="419"/>
    <x v="12"/>
    <d v="2021-01-05T00:00:00"/>
    <x v="22"/>
    <s v="Sarasota"/>
    <n v="34233"/>
    <s v="United States"/>
    <x v="0"/>
    <n v="1"/>
    <x v="3"/>
  </r>
  <r>
    <n v="1778"/>
    <s v="Peter"/>
    <s v="Young"/>
    <s v="pyoungll@zimbio.com"/>
    <s v="pyoungll"/>
    <x v="4"/>
    <s v="Help Desk Technician"/>
    <s v="Male"/>
    <s v="Asian"/>
    <n v="364"/>
    <x v="4"/>
    <d v="2021-01-10T00:00:00"/>
    <x v="46"/>
    <s v="Helena"/>
    <n v="59623"/>
    <s v="United States"/>
    <x v="0"/>
    <n v="1"/>
    <x v="3"/>
  </r>
  <r>
    <n v="1020"/>
    <s v="Andrea"/>
    <s v="Mason"/>
    <s v="amasonj@yelp.com"/>
    <s v="amasonj"/>
    <x v="34"/>
    <s v="Financial Advisor"/>
    <s v="Female"/>
    <s v="Black or African American"/>
    <n v="53"/>
    <x v="1"/>
    <d v="2021-01-11T00:00:00"/>
    <x v="1"/>
    <s v="San Francisco"/>
    <n v="94105"/>
    <s v="United States"/>
    <x v="0"/>
    <n v="1"/>
    <x v="3"/>
  </r>
  <r>
    <n v="1836"/>
    <s v="Joshua"/>
    <s v="Day"/>
    <s v="jdayn7@google.co.jp"/>
    <s v="jdayn7"/>
    <x v="103"/>
    <s v="Social Worker"/>
    <s v="Male"/>
    <s v="Alaska Native"/>
    <n v="36"/>
    <x v="1"/>
    <d v="2021-01-12T00:00:00"/>
    <x v="13"/>
    <s v="Kansas City"/>
    <n v="64109"/>
    <s v="United States"/>
    <x v="0"/>
    <n v="1"/>
    <x v="3"/>
  </r>
  <r>
    <n v="1081"/>
    <s v="Tina"/>
    <s v="Lewis"/>
    <s v="tlewis28@mozilla.org"/>
    <s v="tlewis28"/>
    <x v="63"/>
    <s v="Operator"/>
    <s v="Female"/>
    <s v="Mexican"/>
    <n v="775"/>
    <x v="14"/>
    <d v="2021-01-15T00:00:00"/>
    <x v="19"/>
    <s v="Dayton"/>
    <n v="45426"/>
    <s v="United States"/>
    <x v="0"/>
    <n v="1"/>
    <x v="3"/>
  </r>
  <r>
    <n v="1001"/>
    <s v="George"/>
    <s v="Dunn"/>
    <s v="gdunn0@yellowpages.com"/>
    <s v="gdunn0"/>
    <x v="28"/>
    <s v="Database Administrator II"/>
    <s v="Male"/>
    <s v="Black or African American"/>
    <n v="600"/>
    <x v="6"/>
    <d v="2021-01-17T00:00:00"/>
    <x v="4"/>
    <s v="El Paso"/>
    <n v="88563"/>
    <s v="United States"/>
    <x v="0"/>
    <n v="1"/>
    <x v="3"/>
  </r>
  <r>
    <n v="1116"/>
    <s v="Christina"/>
    <s v="Wheeler"/>
    <s v="cwheeler37@ovh.net"/>
    <s v="cwheeler37"/>
    <x v="3"/>
    <s v="Information Systems Manager"/>
    <s v="Female"/>
    <s v="Mexican"/>
    <n v="713"/>
    <x v="3"/>
    <d v="2021-01-17T00:00:00"/>
    <x v="3"/>
    <s v="Duluth"/>
    <n v="30096"/>
    <s v="United States"/>
    <x v="0"/>
    <n v="1"/>
    <x v="3"/>
  </r>
  <r>
    <n v="1758"/>
    <s v="Jose"/>
    <s v="Bryant"/>
    <s v="jbryantl1@whitehouse.gov"/>
    <s v="jbryantl1"/>
    <x v="188"/>
    <s v="Marketing Assistant"/>
    <s v="Male"/>
    <s v="Mexican"/>
    <n v="914"/>
    <x v="9"/>
    <d v="2021-01-19T00:00:00"/>
    <x v="10"/>
    <s v="Springfield"/>
    <n v="62764"/>
    <s v="United States"/>
    <x v="0"/>
    <n v="1"/>
    <x v="3"/>
  </r>
  <r>
    <n v="1880"/>
    <s v="Rebecca"/>
    <s v="Lawson"/>
    <s v="rlawsonof@nsw.gov.au"/>
    <s v="rlawsonof"/>
    <x v="12"/>
    <s v="Software Engineer I"/>
    <s v="Female"/>
    <s v="Taiwanese"/>
    <n v="1000"/>
    <x v="1"/>
    <d v="2021-01-19T00:00:00"/>
    <x v="10"/>
    <s v="Chicago"/>
    <n v="60614"/>
    <s v="United States"/>
    <x v="0"/>
    <n v="1"/>
    <x v="3"/>
  </r>
  <r>
    <n v="1938"/>
    <s v="Denise"/>
    <s v="Graham"/>
    <s v="dgrahamq1@hubpages.com"/>
    <s v="dgrahamq1"/>
    <x v="222"/>
    <s v="Sales Associate"/>
    <s v="Female"/>
    <s v="Hispanic"/>
    <n v="135"/>
    <x v="7"/>
    <d v="2021-01-19T00:00:00"/>
    <x v="1"/>
    <s v="San Diego"/>
    <n v="92105"/>
    <s v="United States"/>
    <x v="0"/>
    <n v="1"/>
    <x v="3"/>
  </r>
  <r>
    <n v="1039"/>
    <s v="Jonathan"/>
    <s v="Roberts"/>
    <s v="jroberts12@nih.gov"/>
    <s v="jroberts12"/>
    <x v="109"/>
    <s v="Sales Representative"/>
    <s v="Male"/>
    <s v="Black or African American"/>
    <n v="540"/>
    <x v="11"/>
    <d v="2021-01-20T00:00:00"/>
    <x v="29"/>
    <s v="Louisville"/>
    <n v="40298"/>
    <s v="United States"/>
    <x v="0"/>
    <n v="1"/>
    <x v="3"/>
  </r>
  <r>
    <n v="1043"/>
    <s v="Walter"/>
    <s v="Roberts"/>
    <s v="wroberts16@tiny.cc"/>
    <s v="wroberts16"/>
    <x v="66"/>
    <s v="Senior Quality Engineer"/>
    <s v="Male"/>
    <s v="Black or African American"/>
    <n v="118"/>
    <x v="0"/>
    <d v="2021-01-21T00:00:00"/>
    <x v="24"/>
    <s v="Las Vegas"/>
    <n v="89140"/>
    <s v="United States"/>
    <x v="0"/>
    <n v="1"/>
    <x v="3"/>
  </r>
  <r>
    <n v="1095"/>
    <s v="Emily"/>
    <s v="Franklin"/>
    <s v="efranklin2m@google.co.jp"/>
    <s v="efranklin2m"/>
    <x v="67"/>
    <s v="Analyst Programmer"/>
    <s v="Female"/>
    <s v="Mexican"/>
    <n v="253"/>
    <x v="6"/>
    <d v="2021-01-21T00:00:00"/>
    <x v="4"/>
    <s v="Houston"/>
    <n v="77040"/>
    <s v="United States"/>
    <x v="0"/>
    <n v="1"/>
    <x v="3"/>
  </r>
  <r>
    <n v="1783"/>
    <s v="Juan"/>
    <s v="Jones"/>
    <s v="jjoneslq@vistaprint.com"/>
    <s v="jjoneslq"/>
    <x v="33"/>
    <s v="Programmer III"/>
    <s v="Male"/>
    <s v="Asian"/>
    <n v="901"/>
    <x v="11"/>
    <d v="2021-01-24T00:00:00"/>
    <x v="25"/>
    <s v="Tucson"/>
    <n v="85715"/>
    <s v="United States"/>
    <x v="0"/>
    <n v="1"/>
    <x v="3"/>
  </r>
  <r>
    <n v="1123"/>
    <s v="Randy"/>
    <s v="Hamilton"/>
    <s v="rhamilton3e@loc.gov"/>
    <s v="rhamilton3e"/>
    <x v="82"/>
    <s v="Geological Engineer"/>
    <s v="Male"/>
    <s v="Mexican"/>
    <n v="845"/>
    <x v="0"/>
    <d v="2021-01-28T00:00:00"/>
    <x v="22"/>
    <s v="Tampa"/>
    <n v="33673"/>
    <s v="United States"/>
    <x v="0"/>
    <n v="1"/>
    <x v="3"/>
  </r>
  <r>
    <n v="1642"/>
    <s v="Amanda"/>
    <s v="Hudson"/>
    <s v="ahudsonht@ox.ac.uk"/>
    <s v="ahudsonht"/>
    <x v="44"/>
    <s v="Software Consultant"/>
    <s v="Female"/>
    <s v="Black or African American"/>
    <n v="340"/>
    <x v="1"/>
    <d v="2021-01-30T00:00:00"/>
    <x v="4"/>
    <s v="Odessa"/>
    <n v="79764"/>
    <s v="United States"/>
    <x v="0"/>
    <n v="1"/>
    <x v="3"/>
  </r>
  <r>
    <n v="1999"/>
    <s v="Gerald"/>
    <s v="Jordan"/>
    <s v="gjordanrq@weibo.com"/>
    <s v="gjordanrq"/>
    <x v="47"/>
    <s v="Tax Accountant"/>
    <s v="Male"/>
    <s v="Costa Rican"/>
    <n v="613"/>
    <x v="1"/>
    <d v="2021-01-30T00:00:00"/>
    <x v="3"/>
    <s v="Columbus"/>
    <n v="31914"/>
    <s v="United States"/>
    <x v="0"/>
    <n v="1"/>
    <x v="3"/>
  </r>
  <r>
    <n v="1468"/>
    <s v="Cynthia"/>
    <s v="Lopez"/>
    <s v="clopezcz@reverbnation.com"/>
    <s v="clopezcz"/>
    <x v="43"/>
    <s v="Automation Specialist IV"/>
    <s v="Female"/>
    <s v="White"/>
    <n v="746"/>
    <x v="2"/>
    <d v="2021-01-31T00:00:00"/>
    <x v="7"/>
    <s v="New Orleans"/>
    <n v="70116"/>
    <s v="United States"/>
    <x v="0"/>
    <n v="1"/>
    <x v="3"/>
  </r>
  <r>
    <n v="1139"/>
    <s v="Wanda"/>
    <s v="Matthews"/>
    <s v="wmatthews3u@reverbnation.com"/>
    <s v="wmatthews3u"/>
    <x v="223"/>
    <s v="Marketing Assistant"/>
    <s v="Female"/>
    <s v="Asian"/>
    <n v="939"/>
    <x v="1"/>
    <d v="2021-02-01T00:00:00"/>
    <x v="19"/>
    <s v="Toledo"/>
    <n v="43699"/>
    <s v="United States"/>
    <x v="1"/>
    <n v="2"/>
    <x v="3"/>
  </r>
  <r>
    <n v="1001"/>
    <s v="George"/>
    <s v="Dunn"/>
    <s v="gdunn0@yellowpages.com"/>
    <s v="gdunn0"/>
    <x v="28"/>
    <s v="Database Administrator II"/>
    <s v="Male"/>
    <s v="Black or African American"/>
    <n v="876"/>
    <x v="6"/>
    <d v="2021-02-03T00:00:00"/>
    <x v="4"/>
    <s v="El Paso"/>
    <n v="88563"/>
    <s v="United States"/>
    <x v="1"/>
    <n v="2"/>
    <x v="3"/>
  </r>
  <r>
    <n v="1624"/>
    <s v="Sara"/>
    <s v="Hamilton"/>
    <s v="shamiltonhb@symantec.com"/>
    <s v="shamiltonhb"/>
    <x v="99"/>
    <s v="Senior Editor"/>
    <s v="Female"/>
    <s v="Black or African American"/>
    <n v="485"/>
    <x v="1"/>
    <d v="2021-02-05T00:00:00"/>
    <x v="5"/>
    <s v="Albany"/>
    <n v="12255"/>
    <s v="United States"/>
    <x v="1"/>
    <n v="2"/>
    <x v="3"/>
  </r>
  <r>
    <n v="1036"/>
    <s v="Jason"/>
    <s v="Cunningham"/>
    <s v="jcunninghamz@forbes.com"/>
    <s v="jcunninghamz"/>
    <x v="169"/>
    <s v="Engineer III"/>
    <s v="Male"/>
    <s v="Black or African American"/>
    <n v="594"/>
    <x v="1"/>
    <d v="2021-02-07T00:00:00"/>
    <x v="1"/>
    <s v="Torrance"/>
    <n v="90505"/>
    <s v="United States"/>
    <x v="1"/>
    <n v="2"/>
    <x v="3"/>
  </r>
  <r>
    <n v="1452"/>
    <s v="Paula"/>
    <s v="Evans"/>
    <s v="pevanscj@blinklist.com"/>
    <s v="pevanscj"/>
    <x v="90"/>
    <s v="Recruiter"/>
    <s v="Female"/>
    <s v="Costa Rican"/>
    <n v="471"/>
    <x v="1"/>
    <d v="2021-02-07T00:00:00"/>
    <x v="28"/>
    <s v="Washington"/>
    <n v="20016"/>
    <s v="United States"/>
    <x v="1"/>
    <n v="2"/>
    <x v="3"/>
  </r>
  <r>
    <n v="1116"/>
    <s v="Christina"/>
    <s v="Wheeler"/>
    <s v="cwheeler37@ovh.net"/>
    <s v="cwheeler37"/>
    <x v="3"/>
    <s v="Information Systems Manager"/>
    <s v="Female"/>
    <s v="Mexican"/>
    <n v="915"/>
    <x v="3"/>
    <d v="2021-02-10T00:00:00"/>
    <x v="3"/>
    <s v="Duluth"/>
    <n v="30096"/>
    <s v="United States"/>
    <x v="1"/>
    <n v="2"/>
    <x v="3"/>
  </r>
  <r>
    <n v="1412"/>
    <s v="Joe"/>
    <s v="Bradley"/>
    <s v="jbradleybf@woothemes.com"/>
    <s v="jbradleybf"/>
    <x v="181"/>
    <s v="Tax Accountant"/>
    <s v="Male"/>
    <s v="American Indian"/>
    <n v="647"/>
    <x v="1"/>
    <d v="2021-02-10T00:00:00"/>
    <x v="31"/>
    <s v="Shawnee Mission"/>
    <n v="66286"/>
    <s v="United States"/>
    <x v="1"/>
    <n v="2"/>
    <x v="3"/>
  </r>
  <r>
    <n v="1589"/>
    <s v="Juan"/>
    <s v="Pierce"/>
    <s v="jpiercegc@mashable.com"/>
    <s v="jpiercegc"/>
    <x v="52"/>
    <s v="VP Marketing"/>
    <s v="Male"/>
    <s v="Native Hawaiian and Other Pacific Islander (NHPI)"/>
    <n v="383"/>
    <x v="3"/>
    <d v="2021-02-11T00:00:00"/>
    <x v="4"/>
    <s v="El Paso"/>
    <n v="79984"/>
    <s v="United States"/>
    <x v="1"/>
    <n v="2"/>
    <x v="3"/>
  </r>
  <r>
    <n v="1021"/>
    <s v="Amy"/>
    <s v="Jordan"/>
    <s v="ajordank@ed.gov"/>
    <s v="ajordank"/>
    <x v="0"/>
    <s v="Electrical Engineer"/>
    <s v="Female"/>
    <s v="Black or African American"/>
    <n v="901"/>
    <x v="0"/>
    <d v="2021-02-12T00:00:00"/>
    <x v="0"/>
    <s v="Flint"/>
    <n v="48555"/>
    <s v="United States"/>
    <x v="1"/>
    <n v="2"/>
    <x v="3"/>
  </r>
  <r>
    <n v="1043"/>
    <s v="Walter"/>
    <s v="Roberts"/>
    <s v="wroberts16@tiny.cc"/>
    <s v="wroberts16"/>
    <x v="66"/>
    <s v="Senior Quality Engineer"/>
    <s v="Male"/>
    <s v="Black or African American"/>
    <n v="714"/>
    <x v="0"/>
    <d v="2021-02-13T00:00:00"/>
    <x v="24"/>
    <s v="Las Vegas"/>
    <n v="89140"/>
    <s v="United States"/>
    <x v="1"/>
    <n v="2"/>
    <x v="3"/>
  </r>
  <r>
    <n v="1260"/>
    <s v="Willie"/>
    <s v="King"/>
    <s v="wking77@apache.org"/>
    <s v="wking77"/>
    <x v="39"/>
    <s v="Software Consultant"/>
    <s v="Male"/>
    <s v="Japanese"/>
    <n v="649"/>
    <x v="1"/>
    <d v="2021-02-13T00:00:00"/>
    <x v="26"/>
    <s v="Spokane"/>
    <n v="99215"/>
    <s v="United States"/>
    <x v="1"/>
    <n v="2"/>
    <x v="3"/>
  </r>
  <r>
    <n v="1995"/>
    <s v="Teresa"/>
    <s v="Mcdonald"/>
    <s v="tmcdonaldrm@elegantthemes.com"/>
    <s v="tmcdonaldrm"/>
    <x v="69"/>
    <s v="Accounting Assistant IV"/>
    <s v="Female"/>
    <s v="White"/>
    <n v="932"/>
    <x v="6"/>
    <d v="2021-02-13T00:00:00"/>
    <x v="30"/>
    <s v="Knoxville"/>
    <n v="37939"/>
    <s v="United States"/>
    <x v="1"/>
    <n v="2"/>
    <x v="3"/>
  </r>
  <r>
    <n v="1033"/>
    <s v="Lisa"/>
    <s v="Ford"/>
    <s v="lfordw@cocolog-nifty.com"/>
    <s v="lfordw"/>
    <x v="129"/>
    <s v="Recruiter"/>
    <s v="Female"/>
    <s v="Black or African American"/>
    <n v="470"/>
    <x v="1"/>
    <d v="2021-02-14T00:00:00"/>
    <x v="5"/>
    <s v="Brooklyn"/>
    <n v="11231"/>
    <s v="United States"/>
    <x v="1"/>
    <n v="2"/>
    <x v="3"/>
  </r>
  <r>
    <n v="1433"/>
    <s v="Harry"/>
    <s v="Fernandez"/>
    <s v="hfernandezc0@redcross.org"/>
    <s v="hfernandezc0"/>
    <x v="55"/>
    <s v="Director of Sales"/>
    <s v="Male"/>
    <s v="Taiwanese"/>
    <n v="840"/>
    <x v="3"/>
    <d v="2021-02-14T00:00:00"/>
    <x v="28"/>
    <s v="Washington"/>
    <n v="20420"/>
    <s v="United States"/>
    <x v="1"/>
    <n v="2"/>
    <x v="3"/>
  </r>
  <r>
    <n v="1783"/>
    <s v="Juan"/>
    <s v="Jones"/>
    <s v="jjoneslq@vistaprint.com"/>
    <s v="jjoneslq"/>
    <x v="33"/>
    <s v="Programmer III"/>
    <s v="Male"/>
    <s v="Asian"/>
    <n v="407"/>
    <x v="11"/>
    <d v="2021-02-14T00:00:00"/>
    <x v="25"/>
    <s v="Tucson"/>
    <n v="85715"/>
    <s v="United States"/>
    <x v="1"/>
    <n v="2"/>
    <x v="3"/>
  </r>
  <r>
    <n v="1081"/>
    <s v="Tina"/>
    <s v="Lewis"/>
    <s v="tlewis28@mozilla.org"/>
    <s v="tlewis28"/>
    <x v="63"/>
    <s v="Operator"/>
    <s v="Female"/>
    <s v="Mexican"/>
    <n v="583"/>
    <x v="14"/>
    <d v="2021-02-19T00:00:00"/>
    <x v="19"/>
    <s v="Dayton"/>
    <n v="45426"/>
    <s v="United States"/>
    <x v="1"/>
    <n v="2"/>
    <x v="3"/>
  </r>
  <r>
    <n v="1851"/>
    <s v="Linda"/>
    <s v="Washington"/>
    <s v="lwashingtonnm@jalbum.net"/>
    <s v="lwashingtonnm"/>
    <x v="76"/>
    <s v="Teacher"/>
    <s v="Female"/>
    <s v="White"/>
    <n v="796"/>
    <x v="12"/>
    <d v="2021-02-20T00:00:00"/>
    <x v="5"/>
    <s v="Brooklyn"/>
    <n v="11210"/>
    <s v="United States"/>
    <x v="1"/>
    <n v="2"/>
    <x v="3"/>
  </r>
  <r>
    <n v="1851"/>
    <s v="Linda"/>
    <s v="Washington"/>
    <s v="lwashingtonnm@jalbum.net"/>
    <s v="lwashingtonnm"/>
    <x v="76"/>
    <s v="Teacher"/>
    <s v="Female"/>
    <s v="White"/>
    <n v="17"/>
    <x v="12"/>
    <d v="2021-02-22T00:00:00"/>
    <x v="5"/>
    <s v="Brooklyn"/>
    <n v="11210"/>
    <s v="United States"/>
    <x v="1"/>
    <n v="2"/>
    <x v="3"/>
  </r>
  <r>
    <n v="1811"/>
    <s v="Justin"/>
    <s v="Ferguson"/>
    <s v="jfergusonmi@bbb.org"/>
    <s v="jfergusonmi"/>
    <x v="224"/>
    <s v="Internal Auditor"/>
    <s v="Male"/>
    <s v="Hispanic"/>
    <n v="809"/>
    <x v="6"/>
    <d v="2021-02-23T00:00:00"/>
    <x v="18"/>
    <s v="South Bend"/>
    <n v="46620"/>
    <s v="United States"/>
    <x v="1"/>
    <n v="2"/>
    <x v="3"/>
  </r>
  <r>
    <n v="1489"/>
    <s v="Roger"/>
    <s v="Matthews"/>
    <s v="rmatthewsdk@nature.com"/>
    <s v="rmatthewsdk"/>
    <x v="7"/>
    <s v="Environmental Tech"/>
    <s v="Male"/>
    <s v="Black or African American"/>
    <n v="365"/>
    <x v="4"/>
    <d v="2021-02-24T00:00:00"/>
    <x v="2"/>
    <s v="Hampton"/>
    <n v="23668"/>
    <s v="United States"/>
    <x v="1"/>
    <n v="2"/>
    <x v="3"/>
  </r>
  <r>
    <n v="1020"/>
    <s v="Andrea"/>
    <s v="Mason"/>
    <s v="amasonj@yelp.com"/>
    <s v="amasonj"/>
    <x v="34"/>
    <s v="Financial Advisor"/>
    <s v="Female"/>
    <s v="Black or African American"/>
    <n v="357"/>
    <x v="1"/>
    <d v="2021-02-27T00:00:00"/>
    <x v="1"/>
    <s v="San Francisco"/>
    <n v="94105"/>
    <s v="United States"/>
    <x v="1"/>
    <n v="2"/>
    <x v="3"/>
  </r>
  <r>
    <n v="1665"/>
    <s v="Matthew"/>
    <s v="Butler"/>
    <s v="mbutlerig@storify.com"/>
    <s v="mbutlerig"/>
    <x v="83"/>
    <s v="Business Systems Development Analyst"/>
    <s v="Male"/>
    <s v="Black or African American"/>
    <n v="776"/>
    <x v="1"/>
    <d v="2021-02-27T00:00:00"/>
    <x v="1"/>
    <s v="San Jose"/>
    <n v="95118"/>
    <s v="United States"/>
    <x v="1"/>
    <n v="2"/>
    <x v="3"/>
  </r>
  <r>
    <n v="1988"/>
    <s v="Emily"/>
    <s v="Allen"/>
    <s v="eallenrf@csmonitor.com"/>
    <s v="eallenrf"/>
    <x v="158"/>
    <s v="Financial Analyst"/>
    <s v="Female"/>
    <s v="White"/>
    <n v="355"/>
    <x v="1"/>
    <d v="2021-03-04T00:00:00"/>
    <x v="9"/>
    <s v="Stamford"/>
    <n v="6912"/>
    <s v="United States"/>
    <x v="2"/>
    <n v="3"/>
    <x v="3"/>
  </r>
  <r>
    <n v="1022"/>
    <s v="Todd"/>
    <s v="Peters"/>
    <s v="tpetersl@dot.gov"/>
    <s v="tpetersl"/>
    <x v="74"/>
    <s v="Design Engineer"/>
    <s v="Male"/>
    <s v="Black or African American"/>
    <n v="774"/>
    <x v="1"/>
    <d v="2021-03-06T00:00:00"/>
    <x v="28"/>
    <s v="Washington"/>
    <n v="20430"/>
    <s v="United States"/>
    <x v="2"/>
    <n v="3"/>
    <x v="3"/>
  </r>
  <r>
    <n v="1621"/>
    <s v="Sara"/>
    <s v="Johnson"/>
    <s v="sjohnsonh8@cafepress.com"/>
    <s v="sjohnsonh8"/>
    <x v="225"/>
    <s v="Project Manager"/>
    <s v="Female"/>
    <s v="Black or African American"/>
    <n v="354"/>
    <x v="15"/>
    <d v="2021-03-07T00:00:00"/>
    <x v="33"/>
    <s v="Boise"/>
    <n v="83757"/>
    <s v="United States"/>
    <x v="2"/>
    <n v="3"/>
    <x v="3"/>
  </r>
  <r>
    <n v="1989"/>
    <s v="Chris"/>
    <s v="Adams"/>
    <s v="cadamsrg@amazon.com"/>
    <s v="cadamsrg"/>
    <x v="68"/>
    <s v="Analyst Programmer"/>
    <s v="Male"/>
    <s v="White"/>
    <n v="23"/>
    <x v="1"/>
    <d v="2021-03-10T00:00:00"/>
    <x v="4"/>
    <s v="Humble"/>
    <n v="77346"/>
    <s v="United States"/>
    <x v="2"/>
    <n v="3"/>
    <x v="3"/>
  </r>
  <r>
    <n v="1020"/>
    <s v="Andrea"/>
    <s v="Mason"/>
    <s v="amasonj@yelp.com"/>
    <s v="amasonj"/>
    <x v="34"/>
    <s v="Financial Advisor"/>
    <s v="Female"/>
    <s v="Black or African American"/>
    <n v="778"/>
    <x v="1"/>
    <d v="2021-03-13T00:00:00"/>
    <x v="1"/>
    <s v="San Francisco"/>
    <n v="94105"/>
    <s v="United States"/>
    <x v="2"/>
    <n v="3"/>
    <x v="3"/>
  </r>
  <r>
    <n v="1298"/>
    <s v="Anna"/>
    <s v="Thomas"/>
    <s v="athomas89@usa.gov"/>
    <s v="athomas89"/>
    <x v="33"/>
    <s v="Food Chemist"/>
    <s v="Female"/>
    <s v="Japanese"/>
    <n v="474"/>
    <x v="12"/>
    <d v="2021-03-13T00:00:00"/>
    <x v="22"/>
    <s v="Orlando"/>
    <n v="32891"/>
    <s v="United States"/>
    <x v="2"/>
    <n v="3"/>
    <x v="3"/>
  </r>
  <r>
    <n v="1468"/>
    <s v="Cynthia"/>
    <s v="Lopez"/>
    <s v="clopezcz@reverbnation.com"/>
    <s v="clopezcz"/>
    <x v="43"/>
    <s v="Automation Specialist IV"/>
    <s v="Female"/>
    <s v="White"/>
    <n v="950"/>
    <x v="2"/>
    <d v="2021-03-13T00:00:00"/>
    <x v="7"/>
    <s v="New Orleans"/>
    <n v="70116"/>
    <s v="United States"/>
    <x v="2"/>
    <n v="3"/>
    <x v="3"/>
  </r>
  <r>
    <n v="1410"/>
    <s v="Carl"/>
    <s v="Ward"/>
    <s v="cwardbd@pen.io"/>
    <s v="cwardbd"/>
    <x v="166"/>
    <s v="Senior Financial Analyst"/>
    <s v="Male"/>
    <s v="Thai"/>
    <n v="330"/>
    <x v="15"/>
    <d v="2021-03-14T00:00:00"/>
    <x v="4"/>
    <s v="San Antonio"/>
    <n v="78230"/>
    <s v="United States"/>
    <x v="2"/>
    <n v="3"/>
    <x v="3"/>
  </r>
  <r>
    <n v="1655"/>
    <s v="Gerald"/>
    <s v="Banks"/>
    <s v="gbanksi6@nsw.gov.au"/>
    <s v="gbanksi6"/>
    <x v="165"/>
    <s v="Budget/Accounting Analyst I"/>
    <s v="Male"/>
    <s v="Black or African American"/>
    <n v="983"/>
    <x v="1"/>
    <d v="2021-03-14T00:00:00"/>
    <x v="1"/>
    <s v="Orange"/>
    <n v="92867"/>
    <s v="United States"/>
    <x v="2"/>
    <n v="3"/>
    <x v="3"/>
  </r>
  <r>
    <n v="2000"/>
    <s v="Patricia"/>
    <s v="Austin"/>
    <s v="paustinrr@huffingtonpost.com"/>
    <s v="paustinrr"/>
    <x v="89"/>
    <s v="Assistant Professor"/>
    <s v="Female"/>
    <s v="Eskimo"/>
    <n v="984"/>
    <x v="4"/>
    <d v="2021-03-16T00:00:00"/>
    <x v="1"/>
    <s v="Sacramento"/>
    <n v="94230"/>
    <s v="United States"/>
    <x v="2"/>
    <n v="3"/>
    <x v="3"/>
  </r>
  <r>
    <n v="1365"/>
    <s v="Roy"/>
    <s v="Snyder"/>
    <s v="rsnydera4@whitehouse.gov"/>
    <s v="rsnydera4"/>
    <x v="56"/>
    <s v="Help Desk Technician"/>
    <s v="Male"/>
    <s v="Mexican"/>
    <n v="570"/>
    <x v="4"/>
    <d v="2021-03-17T00:00:00"/>
    <x v="22"/>
    <s v="Miami"/>
    <n v="33261"/>
    <s v="United States"/>
    <x v="2"/>
    <n v="3"/>
    <x v="3"/>
  </r>
  <r>
    <n v="1837"/>
    <s v="James"/>
    <s v="Warren"/>
    <s v="jwarrenn8@last.fm"/>
    <s v="jwarrenn8"/>
    <x v="126"/>
    <s v="Payment Adjustment Coordinator"/>
    <s v="Male"/>
    <s v="Taiwanese"/>
    <n v="437"/>
    <x v="9"/>
    <d v="2021-03-19T00:00:00"/>
    <x v="4"/>
    <s v="Houston"/>
    <n v="77025"/>
    <s v="United States"/>
    <x v="2"/>
    <n v="3"/>
    <x v="3"/>
  </r>
  <r>
    <n v="1144"/>
    <s v="Lori"/>
    <s v="Harvey"/>
    <s v="lharvey3z@ibm.com"/>
    <s v="lharvey3z"/>
    <x v="23"/>
    <s v="Technical Writer"/>
    <s v="Female"/>
    <s v="Asian"/>
    <n v="39"/>
    <x v="4"/>
    <d v="2021-03-20T00:00:00"/>
    <x v="5"/>
    <s v="Flushing"/>
    <n v="11355"/>
    <s v="United States"/>
    <x v="2"/>
    <n v="3"/>
    <x v="3"/>
  </r>
  <r>
    <n v="1851"/>
    <s v="Linda"/>
    <s v="Washington"/>
    <s v="lwashingtonnm@jalbum.net"/>
    <s v="lwashingtonnm"/>
    <x v="76"/>
    <s v="Teacher"/>
    <s v="Female"/>
    <s v="White"/>
    <n v="395"/>
    <x v="12"/>
    <d v="2021-03-20T00:00:00"/>
    <x v="5"/>
    <s v="Brooklyn"/>
    <n v="11210"/>
    <s v="United States"/>
    <x v="2"/>
    <n v="3"/>
    <x v="3"/>
  </r>
  <r>
    <n v="1017"/>
    <s v="Diana"/>
    <s v="Wells"/>
    <s v="dwellsg@vimeo.com"/>
    <s v="dwellsg"/>
    <x v="89"/>
    <s v="Editor"/>
    <s v="Female"/>
    <s v="Black or African American"/>
    <n v="959"/>
    <x v="1"/>
    <d v="2021-03-25T00:00:00"/>
    <x v="10"/>
    <s v="Chicago"/>
    <n v="60663"/>
    <s v="United States"/>
    <x v="2"/>
    <n v="3"/>
    <x v="3"/>
  </r>
  <r>
    <n v="1021"/>
    <s v="Amy"/>
    <s v="Jordan"/>
    <s v="ajordank@ed.gov"/>
    <s v="ajordank"/>
    <x v="0"/>
    <s v="Electrical Engineer"/>
    <s v="Female"/>
    <s v="Black or African American"/>
    <n v="649"/>
    <x v="0"/>
    <d v="2021-03-25T00:00:00"/>
    <x v="0"/>
    <s v="Flint"/>
    <n v="48555"/>
    <s v="United States"/>
    <x v="2"/>
    <n v="3"/>
    <x v="3"/>
  </r>
  <r>
    <n v="1020"/>
    <s v="Andrea"/>
    <s v="Mason"/>
    <s v="amasonj@yelp.com"/>
    <s v="amasonj"/>
    <x v="34"/>
    <s v="Financial Advisor"/>
    <s v="Female"/>
    <s v="Black or African American"/>
    <n v="970"/>
    <x v="1"/>
    <d v="2021-03-26T00:00:00"/>
    <x v="1"/>
    <s v="San Francisco"/>
    <n v="94105"/>
    <s v="United States"/>
    <x v="2"/>
    <n v="3"/>
    <x v="3"/>
  </r>
  <r>
    <n v="1611"/>
    <s v="Thomas"/>
    <s v="Gilbert"/>
    <s v="tgilbertgy@ucoz.ru"/>
    <s v="tgilbertgy"/>
    <x v="226"/>
    <s v="Legal Assistant"/>
    <s v="Male"/>
    <s v="Mexican"/>
    <n v="215"/>
    <x v="8"/>
    <d v="2021-03-27T00:00:00"/>
    <x v="2"/>
    <s v="Hampton"/>
    <n v="23663"/>
    <s v="United States"/>
    <x v="2"/>
    <n v="3"/>
    <x v="3"/>
  </r>
  <r>
    <n v="1965"/>
    <s v="Bonnie"/>
    <s v="Carter"/>
    <s v="bcarterqs@prlog.org"/>
    <s v="bcarterqs"/>
    <x v="227"/>
    <s v="Information Systems Manager"/>
    <s v="Female"/>
    <s v="Japanese"/>
    <n v="533"/>
    <x v="1"/>
    <d v="2021-03-29T00:00:00"/>
    <x v="35"/>
    <s v="Laurel"/>
    <n v="20709"/>
    <s v="United States"/>
    <x v="2"/>
    <n v="3"/>
    <x v="3"/>
  </r>
  <r>
    <n v="1575"/>
    <s v="Margaret"/>
    <s v="Morgan"/>
    <s v="mmorganfy@umn.edu"/>
    <s v="mmorganfy"/>
    <x v="164"/>
    <s v="Assistant Media Planner"/>
    <s v="Female"/>
    <s v="Japanese"/>
    <n v="836"/>
    <x v="14"/>
    <d v="2021-03-30T00:00:00"/>
    <x v="28"/>
    <s v="Washington"/>
    <n v="20036"/>
    <s v="United States"/>
    <x v="2"/>
    <n v="3"/>
    <x v="3"/>
  </r>
  <r>
    <n v="1851"/>
    <s v="Linda"/>
    <s v="Washington"/>
    <s v="lwashingtonnm@jalbum.net"/>
    <s v="lwashingtonnm"/>
    <x v="76"/>
    <s v="Teacher"/>
    <s v="Female"/>
    <s v="White"/>
    <n v="131"/>
    <x v="12"/>
    <d v="2021-03-31T00:00:00"/>
    <x v="5"/>
    <s v="Brooklyn"/>
    <n v="11210"/>
    <s v="United States"/>
    <x v="2"/>
    <n v="3"/>
    <x v="3"/>
  </r>
  <r>
    <n v="1001"/>
    <s v="George"/>
    <s v="Dunn"/>
    <s v="gdunn0@yellowpages.com"/>
    <s v="gdunn0"/>
    <x v="28"/>
    <s v="Database Administrator II"/>
    <s v="Male"/>
    <s v="Black or African American"/>
    <n v="641"/>
    <x v="6"/>
    <d v="2021-04-03T00:00:00"/>
    <x v="4"/>
    <s v="El Paso"/>
    <n v="88563"/>
    <s v="United States"/>
    <x v="3"/>
    <n v="4"/>
    <x v="3"/>
  </r>
  <r>
    <n v="1170"/>
    <s v="Albert"/>
    <s v="Roberts"/>
    <s v="aroberts4p@ezinearticles.com"/>
    <s v="aroberts4p"/>
    <x v="14"/>
    <s v="Accountant I"/>
    <s v="Male"/>
    <s v="White"/>
    <n v="139"/>
    <x v="0"/>
    <d v="2021-04-04T00:00:00"/>
    <x v="4"/>
    <s v="El Paso"/>
    <n v="88574"/>
    <s v="United States"/>
    <x v="3"/>
    <n v="4"/>
    <x v="3"/>
  </r>
  <r>
    <n v="1685"/>
    <s v="Anna"/>
    <s v="Walker"/>
    <s v="awalkerj0@mapquest.com"/>
    <s v="awalkerj0"/>
    <x v="228"/>
    <s v="Associate Professor"/>
    <s v="Female"/>
    <s v="Black or African American"/>
    <n v="905"/>
    <x v="1"/>
    <d v="2021-04-05T00:00:00"/>
    <x v="1"/>
    <s v="Oakland"/>
    <n v="94611"/>
    <s v="United States"/>
    <x v="3"/>
    <n v="4"/>
    <x v="3"/>
  </r>
  <r>
    <n v="1851"/>
    <s v="Linda"/>
    <s v="Washington"/>
    <s v="lwashingtonnm@jalbum.net"/>
    <s v="lwashingtonnm"/>
    <x v="76"/>
    <s v="Teacher"/>
    <s v="Female"/>
    <s v="White"/>
    <n v="746"/>
    <x v="12"/>
    <d v="2021-04-05T00:00:00"/>
    <x v="5"/>
    <s v="Brooklyn"/>
    <n v="11210"/>
    <s v="United States"/>
    <x v="3"/>
    <n v="4"/>
    <x v="3"/>
  </r>
  <r>
    <n v="1039"/>
    <s v="Jonathan"/>
    <s v="Roberts"/>
    <s v="jroberts12@nih.gov"/>
    <s v="jroberts12"/>
    <x v="109"/>
    <s v="Sales Representative"/>
    <s v="Male"/>
    <s v="Black or African American"/>
    <n v="223"/>
    <x v="11"/>
    <d v="2021-04-06T00:00:00"/>
    <x v="29"/>
    <s v="Louisville"/>
    <n v="40298"/>
    <s v="United States"/>
    <x v="3"/>
    <n v="4"/>
    <x v="3"/>
  </r>
  <r>
    <n v="1718"/>
    <s v="Anne"/>
    <s v="Gray"/>
    <s v="agrayjx@squidoo.com"/>
    <s v="agrayjx"/>
    <x v="229"/>
    <s v="Environmental Specialist"/>
    <s v="Female"/>
    <s v="Black or African American"/>
    <n v="342"/>
    <x v="1"/>
    <d v="2021-04-07T00:00:00"/>
    <x v="1"/>
    <s v="Santa Barbara"/>
    <n v="93111"/>
    <s v="United States"/>
    <x v="3"/>
    <n v="4"/>
    <x v="3"/>
  </r>
  <r>
    <n v="1948"/>
    <s v="Ralph"/>
    <s v="Walker"/>
    <s v="rwalkerqb@telegraph.co.uk"/>
    <s v="rwalkerqb"/>
    <x v="67"/>
    <s v="Health Coach II"/>
    <s v="Male"/>
    <s v="Argentinian"/>
    <n v="431"/>
    <x v="0"/>
    <d v="2021-04-10T00:00:00"/>
    <x v="16"/>
    <s v="Philadelphia"/>
    <n v="19196"/>
    <s v="United States"/>
    <x v="3"/>
    <n v="4"/>
    <x v="3"/>
  </r>
  <r>
    <n v="1031"/>
    <s v="Irene"/>
    <s v="Hayes"/>
    <s v="ihayesu@miitbeian.gov.cn"/>
    <s v="ihayesu"/>
    <x v="230"/>
    <s v="Nurse Practicioner"/>
    <s v="Female"/>
    <s v="Black or African American"/>
    <n v="225"/>
    <x v="7"/>
    <d v="2021-04-11T00:00:00"/>
    <x v="2"/>
    <s v="Alexandria"/>
    <n v="22313"/>
    <s v="United States"/>
    <x v="3"/>
    <n v="4"/>
    <x v="3"/>
  </r>
  <r>
    <n v="1144"/>
    <s v="Lori"/>
    <s v="Harvey"/>
    <s v="lharvey3z@ibm.com"/>
    <s v="lharvey3z"/>
    <x v="23"/>
    <s v="Technical Writer"/>
    <s v="Female"/>
    <s v="Asian"/>
    <n v="884"/>
    <x v="4"/>
    <d v="2021-04-11T00:00:00"/>
    <x v="5"/>
    <s v="Flushing"/>
    <n v="11355"/>
    <s v="United States"/>
    <x v="3"/>
    <n v="4"/>
    <x v="3"/>
  </r>
  <r>
    <n v="1116"/>
    <s v="Christina"/>
    <s v="Wheeler"/>
    <s v="cwheeler37@ovh.net"/>
    <s v="cwheeler37"/>
    <x v="3"/>
    <s v="Information Systems Manager"/>
    <s v="Female"/>
    <s v="Mexican"/>
    <n v="590"/>
    <x v="3"/>
    <d v="2021-04-15T00:00:00"/>
    <x v="3"/>
    <s v="Duluth"/>
    <n v="30096"/>
    <s v="United States"/>
    <x v="3"/>
    <n v="4"/>
    <x v="3"/>
  </r>
  <r>
    <n v="1692"/>
    <s v="Deborah"/>
    <s v="Kennedy"/>
    <s v="dkennedyj7@sakura.ne.jp"/>
    <s v="dkennedyj7"/>
    <x v="111"/>
    <s v="Structural Analysis Engineer"/>
    <s v="Female"/>
    <s v="Black or African American"/>
    <n v="919"/>
    <x v="6"/>
    <d v="2021-04-15T00:00:00"/>
    <x v="22"/>
    <s v="Naples"/>
    <n v="34108"/>
    <s v="United States"/>
    <x v="3"/>
    <n v="4"/>
    <x v="3"/>
  </r>
  <r>
    <n v="1851"/>
    <s v="Linda"/>
    <s v="Washington"/>
    <s v="lwashingtonnm@jalbum.net"/>
    <s v="lwashingtonnm"/>
    <x v="76"/>
    <s v="Teacher"/>
    <s v="Female"/>
    <s v="White"/>
    <n v="67"/>
    <x v="12"/>
    <d v="2021-04-15T00:00:00"/>
    <x v="5"/>
    <s v="Brooklyn"/>
    <n v="11210"/>
    <s v="United States"/>
    <x v="3"/>
    <n v="4"/>
    <x v="3"/>
  </r>
  <r>
    <n v="1019"/>
    <s v="Lillian"/>
    <s v="Fuller"/>
    <s v="lfulleri@miitbeian.gov.cn"/>
    <s v="lfulleri"/>
    <x v="67"/>
    <s v="Sales Associate"/>
    <s v="Female"/>
    <s v="Black or African American"/>
    <n v="265"/>
    <x v="4"/>
    <d v="2021-04-18T00:00:00"/>
    <x v="33"/>
    <s v="Boise"/>
    <n v="83705"/>
    <s v="United States"/>
    <x v="3"/>
    <n v="4"/>
    <x v="3"/>
  </r>
  <r>
    <n v="1959"/>
    <s v="Mildred"/>
    <s v="Reynolds"/>
    <s v="mreynoldsqm@rambler.ru"/>
    <s v="mreynoldsqm"/>
    <x v="70"/>
    <s v="Accountant II"/>
    <s v="Female"/>
    <s v="Native Hawaiian and Other Pacific Islander (NHPI)"/>
    <n v="417"/>
    <x v="1"/>
    <d v="2021-04-20T00:00:00"/>
    <x v="14"/>
    <s v="Waltham"/>
    <n v="2453"/>
    <s v="United States"/>
    <x v="3"/>
    <n v="4"/>
    <x v="3"/>
  </r>
  <r>
    <n v="1703"/>
    <s v="Jean"/>
    <s v="Mcdonald"/>
    <s v="jmcdonaldji@alexa.com"/>
    <s v="jmcdonaldji"/>
    <x v="226"/>
    <s v="Environmental Specialist"/>
    <s v="Female"/>
    <s v="Black or African American"/>
    <n v="743"/>
    <x v="1"/>
    <d v="2021-04-24T00:00:00"/>
    <x v="1"/>
    <s v="Bakersfield"/>
    <n v="93399"/>
    <s v="United States"/>
    <x v="3"/>
    <n v="4"/>
    <x v="3"/>
  </r>
  <r>
    <n v="1017"/>
    <s v="Diana"/>
    <s v="Wells"/>
    <s v="dwellsg@vimeo.com"/>
    <s v="dwellsg"/>
    <x v="89"/>
    <s v="Editor"/>
    <s v="Female"/>
    <s v="Black or African American"/>
    <n v="186"/>
    <x v="1"/>
    <d v="2021-04-25T00:00:00"/>
    <x v="10"/>
    <s v="Chicago"/>
    <n v="60663"/>
    <s v="United States"/>
    <x v="3"/>
    <n v="4"/>
    <x v="3"/>
  </r>
  <r>
    <n v="1277"/>
    <s v="Brandon"/>
    <s v="Spencer"/>
    <s v="bspencer7o@si.edu"/>
    <s v="bspencer7o"/>
    <x v="22"/>
    <s v="Nuclear Power Engineer"/>
    <s v="Male"/>
    <s v="South American"/>
    <n v="533"/>
    <x v="9"/>
    <d v="2021-04-26T00:00:00"/>
    <x v="19"/>
    <s v="Akron"/>
    <n v="44310"/>
    <s v="United States"/>
    <x v="3"/>
    <n v="4"/>
    <x v="3"/>
  </r>
  <r>
    <n v="1996"/>
    <s v="Deborah"/>
    <s v="Garrett"/>
    <s v="dgarrettrn@soup.io"/>
    <s v="dgarrettrn"/>
    <x v="16"/>
    <s v="Speech Pathologist"/>
    <s v="Female"/>
    <s v="White"/>
    <n v="724"/>
    <x v="0"/>
    <d v="2021-04-26T00:00:00"/>
    <x v="13"/>
    <s v="Kansas City"/>
    <n v="64160"/>
    <s v="United States"/>
    <x v="3"/>
    <n v="4"/>
    <x v="3"/>
  </r>
  <r>
    <n v="1071"/>
    <s v="David"/>
    <s v="Fuller"/>
    <s v="dfuller1y@google.co.jp"/>
    <s v="dfuller1y"/>
    <x v="231"/>
    <s v="General Manager"/>
    <s v="Male"/>
    <s v="Mexican"/>
    <n v="223"/>
    <x v="0"/>
    <d v="2021-04-27T00:00:00"/>
    <x v="11"/>
    <s v="Denver"/>
    <n v="80209"/>
    <s v="United States"/>
    <x v="3"/>
    <n v="4"/>
    <x v="3"/>
  </r>
  <r>
    <n v="1170"/>
    <s v="Albert"/>
    <s v="Roberts"/>
    <s v="aroberts4p@ezinearticles.com"/>
    <s v="aroberts4p"/>
    <x v="14"/>
    <s v="Accountant I"/>
    <s v="Male"/>
    <s v="White"/>
    <n v="995"/>
    <x v="0"/>
    <d v="2021-04-27T00:00:00"/>
    <x v="4"/>
    <s v="El Paso"/>
    <n v="88574"/>
    <s v="United States"/>
    <x v="3"/>
    <n v="4"/>
    <x v="3"/>
  </r>
  <r>
    <n v="1092"/>
    <s v="Donna"/>
    <s v="Hanson"/>
    <s v="dhanson2j@salon.com"/>
    <s v="dhanson2j"/>
    <x v="62"/>
    <s v="Assistant Media Planner"/>
    <s v="Female"/>
    <s v="Mexican"/>
    <n v="631"/>
    <x v="12"/>
    <d v="2021-04-29T00:00:00"/>
    <x v="22"/>
    <s v="Sarasota"/>
    <n v="34233"/>
    <s v="United States"/>
    <x v="3"/>
    <n v="4"/>
    <x v="3"/>
  </r>
  <r>
    <n v="1234"/>
    <s v="Adam"/>
    <s v="Jenkins"/>
    <s v="ajenkins6h@comcast.net"/>
    <s v="ajenkins6h"/>
    <x v="4"/>
    <s v="Internal Auditor"/>
    <s v="Male"/>
    <s v="White"/>
    <n v="735"/>
    <x v="4"/>
    <d v="2021-04-29T00:00:00"/>
    <x v="4"/>
    <s v="Austin"/>
    <n v="78710"/>
    <s v="United States"/>
    <x v="3"/>
    <n v="4"/>
    <x v="3"/>
  </r>
  <r>
    <n v="1043"/>
    <s v="Walter"/>
    <s v="Roberts"/>
    <s v="wroberts16@tiny.cc"/>
    <s v="wroberts16"/>
    <x v="66"/>
    <s v="Senior Quality Engineer"/>
    <s v="Male"/>
    <s v="Black or African American"/>
    <n v="185"/>
    <x v="0"/>
    <d v="2021-04-30T00:00:00"/>
    <x v="24"/>
    <s v="Las Vegas"/>
    <n v="89140"/>
    <s v="United States"/>
    <x v="3"/>
    <n v="4"/>
    <x v="3"/>
  </r>
  <r>
    <n v="1212"/>
    <s v="Patricia"/>
    <s v="Weaver"/>
    <s v="pweaver5v@merriam-webster.com"/>
    <s v="pweaver5v"/>
    <x v="11"/>
    <s v="Staff Accountant I"/>
    <s v="Female"/>
    <s v="White"/>
    <n v="153"/>
    <x v="6"/>
    <d v="2021-05-01T00:00:00"/>
    <x v="9"/>
    <s v="Hartford"/>
    <n v="6183"/>
    <s v="United States"/>
    <x v="4"/>
    <n v="5"/>
    <x v="3"/>
  </r>
  <r>
    <n v="1923"/>
    <s v="Arthur"/>
    <s v="Garrett"/>
    <s v="agarrettpm@reuters.com"/>
    <s v="agarrettpm"/>
    <x v="232"/>
    <s v="Director of Sales"/>
    <s v="Male"/>
    <s v="Asian"/>
    <n v="322"/>
    <x v="1"/>
    <d v="2021-05-01T00:00:00"/>
    <x v="1"/>
    <s v="San Francisco"/>
    <n v="94164"/>
    <s v="United States"/>
    <x v="4"/>
    <n v="5"/>
    <x v="3"/>
  </r>
  <r>
    <n v="1081"/>
    <s v="Tina"/>
    <s v="Lewis"/>
    <s v="tlewis28@mozilla.org"/>
    <s v="tlewis28"/>
    <x v="63"/>
    <s v="Operator"/>
    <s v="Female"/>
    <s v="Mexican"/>
    <n v="911"/>
    <x v="14"/>
    <d v="2021-05-03T00:00:00"/>
    <x v="19"/>
    <s v="Dayton"/>
    <n v="45426"/>
    <s v="United States"/>
    <x v="4"/>
    <n v="5"/>
    <x v="3"/>
  </r>
  <r>
    <n v="1095"/>
    <s v="Emily"/>
    <s v="Franklin"/>
    <s v="efranklin2m@google.co.jp"/>
    <s v="efranklin2m"/>
    <x v="67"/>
    <s v="Analyst Programmer"/>
    <s v="Female"/>
    <s v="Mexican"/>
    <n v="549"/>
    <x v="6"/>
    <d v="2021-05-04T00:00:00"/>
    <x v="4"/>
    <s v="Houston"/>
    <n v="77040"/>
    <s v="United States"/>
    <x v="4"/>
    <n v="5"/>
    <x v="3"/>
  </r>
  <r>
    <n v="1489"/>
    <s v="Roger"/>
    <s v="Matthews"/>
    <s v="rmatthewsdk@nature.com"/>
    <s v="rmatthewsdk"/>
    <x v="7"/>
    <s v="Environmental Tech"/>
    <s v="Male"/>
    <s v="Black or African American"/>
    <n v="426"/>
    <x v="4"/>
    <d v="2021-05-04T00:00:00"/>
    <x v="2"/>
    <s v="Hampton"/>
    <n v="23668"/>
    <s v="United States"/>
    <x v="4"/>
    <n v="5"/>
    <x v="3"/>
  </r>
  <r>
    <n v="1990"/>
    <s v="Judy"/>
    <s v="Kim"/>
    <s v="jkimrh@yandex.ru"/>
    <s v="jkimrh"/>
    <x v="191"/>
    <s v="Chemical Engineer"/>
    <s v="Female"/>
    <s v="White"/>
    <n v="952"/>
    <x v="1"/>
    <d v="2021-05-05T00:00:00"/>
    <x v="20"/>
    <s v="Mobile"/>
    <n v="36622"/>
    <s v="United States"/>
    <x v="4"/>
    <n v="5"/>
    <x v="3"/>
  </r>
  <r>
    <n v="1081"/>
    <s v="Tina"/>
    <s v="Lewis"/>
    <s v="tlewis28@mozilla.org"/>
    <s v="tlewis28"/>
    <x v="63"/>
    <s v="Operator"/>
    <s v="Female"/>
    <s v="Mexican"/>
    <n v="766"/>
    <x v="14"/>
    <d v="2021-05-06T00:00:00"/>
    <x v="19"/>
    <s v="Dayton"/>
    <n v="45426"/>
    <s v="United States"/>
    <x v="4"/>
    <n v="5"/>
    <x v="3"/>
  </r>
  <r>
    <n v="1565"/>
    <s v="Robert"/>
    <s v="Oliver"/>
    <s v="roliverfo@livejournal.com"/>
    <s v="roliverfo"/>
    <x v="56"/>
    <s v="Food Chemist"/>
    <s v="Male"/>
    <s v="Costa Rican"/>
    <n v="944"/>
    <x v="12"/>
    <d v="2021-05-07T00:00:00"/>
    <x v="1"/>
    <s v="San Diego"/>
    <n v="92127"/>
    <s v="United States"/>
    <x v="4"/>
    <n v="5"/>
    <x v="3"/>
  </r>
  <r>
    <n v="1812"/>
    <s v="Randy"/>
    <s v="Harris"/>
    <s v="rharrismj@omniture.com"/>
    <s v="rharrismj"/>
    <x v="23"/>
    <s v="Clinical Specialist"/>
    <s v="Male"/>
    <s v="Japanese"/>
    <n v="531"/>
    <x v="6"/>
    <d v="2021-05-07T00:00:00"/>
    <x v="20"/>
    <s v="Birmingham"/>
    <n v="35220"/>
    <s v="United States"/>
    <x v="4"/>
    <n v="5"/>
    <x v="3"/>
  </r>
  <r>
    <n v="1880"/>
    <s v="Rebecca"/>
    <s v="Lawson"/>
    <s v="rlawsonof@nsw.gov.au"/>
    <s v="rlawsonof"/>
    <x v="12"/>
    <s v="Software Engineer I"/>
    <s v="Female"/>
    <s v="Taiwanese"/>
    <n v="382"/>
    <x v="1"/>
    <d v="2021-05-07T00:00:00"/>
    <x v="10"/>
    <s v="Chicago"/>
    <n v="60614"/>
    <s v="United States"/>
    <x v="4"/>
    <n v="5"/>
    <x v="3"/>
  </r>
  <r>
    <n v="1993"/>
    <s v="Rose"/>
    <s v="Little"/>
    <s v="rlittlerk@omniture.com"/>
    <s v="rlittlerk"/>
    <x v="187"/>
    <s v="Registered Nurse"/>
    <s v="Female"/>
    <s v="White"/>
    <n v="783"/>
    <x v="7"/>
    <d v="2021-05-07T00:00:00"/>
    <x v="6"/>
    <s v="Des Moines"/>
    <n v="50369"/>
    <s v="United States"/>
    <x v="4"/>
    <n v="5"/>
    <x v="3"/>
  </r>
  <r>
    <n v="1591"/>
    <s v="Christina"/>
    <s v="Fields"/>
    <s v="cfieldsge@hubpages.com"/>
    <s v="cfieldsge"/>
    <x v="54"/>
    <s v="Environmental Specialist"/>
    <s v="Female"/>
    <s v="Hispanic"/>
    <n v="156"/>
    <x v="1"/>
    <d v="2021-05-08T00:00:00"/>
    <x v="1"/>
    <s v="San Francisco"/>
    <n v="94164"/>
    <s v="United States"/>
    <x v="4"/>
    <n v="5"/>
    <x v="3"/>
  </r>
  <r>
    <n v="1170"/>
    <s v="Albert"/>
    <s v="Roberts"/>
    <s v="aroberts4p@ezinearticles.com"/>
    <s v="aroberts4p"/>
    <x v="14"/>
    <s v="Accountant I"/>
    <s v="Male"/>
    <s v="White"/>
    <n v="685"/>
    <x v="0"/>
    <d v="2021-05-10T00:00:00"/>
    <x v="4"/>
    <s v="El Paso"/>
    <n v="88574"/>
    <s v="United States"/>
    <x v="4"/>
    <n v="5"/>
    <x v="3"/>
  </r>
  <r>
    <n v="1212"/>
    <s v="Patricia"/>
    <s v="Weaver"/>
    <s v="pweaver5v@merriam-webster.com"/>
    <s v="pweaver5v"/>
    <x v="11"/>
    <s v="Staff Accountant I"/>
    <s v="Female"/>
    <s v="White"/>
    <n v="375"/>
    <x v="6"/>
    <d v="2021-05-10T00:00:00"/>
    <x v="9"/>
    <s v="Hartford"/>
    <n v="6183"/>
    <s v="United States"/>
    <x v="4"/>
    <n v="5"/>
    <x v="3"/>
  </r>
  <r>
    <n v="1212"/>
    <s v="Patricia"/>
    <s v="Weaver"/>
    <s v="pweaver5v@merriam-webster.com"/>
    <s v="pweaver5v"/>
    <x v="11"/>
    <s v="Staff Accountant I"/>
    <s v="Female"/>
    <s v="White"/>
    <n v="170"/>
    <x v="6"/>
    <d v="2021-05-10T00:00:00"/>
    <x v="9"/>
    <s v="Hartford"/>
    <n v="6183"/>
    <s v="United States"/>
    <x v="4"/>
    <n v="5"/>
    <x v="3"/>
  </r>
  <r>
    <n v="1989"/>
    <s v="Chris"/>
    <s v="Adams"/>
    <s v="cadamsrg@amazon.com"/>
    <s v="cadamsrg"/>
    <x v="68"/>
    <s v="Analyst Programmer"/>
    <s v="Male"/>
    <s v="White"/>
    <n v="562"/>
    <x v="1"/>
    <d v="2021-05-10T00:00:00"/>
    <x v="4"/>
    <s v="Humble"/>
    <n v="77346"/>
    <s v="United States"/>
    <x v="4"/>
    <n v="5"/>
    <x v="3"/>
  </r>
  <r>
    <n v="1026"/>
    <s v="Jacqueline"/>
    <s v="Ellis"/>
    <s v="jellisp@imageshack.us"/>
    <s v="jellisp"/>
    <x v="6"/>
    <s v="Senior Sales Associate"/>
    <s v="Female"/>
    <s v="Black or African American"/>
    <n v="276"/>
    <x v="1"/>
    <d v="2021-05-11T00:00:00"/>
    <x v="5"/>
    <s v="Bronx"/>
    <n v="10469"/>
    <s v="United States"/>
    <x v="4"/>
    <n v="5"/>
    <x v="3"/>
  </r>
  <r>
    <n v="1635"/>
    <s v="Rose"/>
    <s v="Daniels"/>
    <s v="rdanielshm@admin.ch"/>
    <s v="rdanielshm"/>
    <x v="123"/>
    <s v="Civil Engineer"/>
    <s v="Female"/>
    <s v="Black or African American"/>
    <n v="846"/>
    <x v="5"/>
    <d v="2021-05-12T00:00:00"/>
    <x v="10"/>
    <s v="Springfield"/>
    <n v="62718"/>
    <s v="United States"/>
    <x v="4"/>
    <n v="5"/>
    <x v="3"/>
  </r>
  <r>
    <n v="1456"/>
    <s v="Kelly"/>
    <s v="Ford"/>
    <s v="kfordcn@bing.com"/>
    <s v="kfordcn"/>
    <x v="233"/>
    <s v="VP Marketing"/>
    <s v="Female"/>
    <s v="South American"/>
    <n v="657"/>
    <x v="1"/>
    <d v="2021-05-14T00:00:00"/>
    <x v="1"/>
    <s v="San Francisco"/>
    <n v="94116"/>
    <s v="United States"/>
    <x v="4"/>
    <n v="5"/>
    <x v="3"/>
  </r>
  <r>
    <n v="1260"/>
    <s v="Willie"/>
    <s v="King"/>
    <s v="wking77@apache.org"/>
    <s v="wking77"/>
    <x v="39"/>
    <s v="Software Consultant"/>
    <s v="Male"/>
    <s v="Japanese"/>
    <n v="854"/>
    <x v="1"/>
    <d v="2021-05-16T00:00:00"/>
    <x v="26"/>
    <s v="Spokane"/>
    <n v="99215"/>
    <s v="United States"/>
    <x v="4"/>
    <n v="5"/>
    <x v="3"/>
  </r>
  <r>
    <n v="1749"/>
    <s v="Patricia"/>
    <s v="Larson"/>
    <s v="plarsonks@infoseek.co.jp"/>
    <s v="plarsonks"/>
    <x v="28"/>
    <s v="Staff Accountant II"/>
    <s v="Female"/>
    <s v="Native Hawaiian and Other Pacific Islander (NHPI)"/>
    <n v="826"/>
    <x v="4"/>
    <d v="2021-05-16T00:00:00"/>
    <x v="4"/>
    <s v="Houston"/>
    <n v="77234"/>
    <s v="United States"/>
    <x v="4"/>
    <n v="5"/>
    <x v="3"/>
  </r>
  <r>
    <n v="1298"/>
    <s v="Anna"/>
    <s v="Thomas"/>
    <s v="athomas89@usa.gov"/>
    <s v="athomas89"/>
    <x v="33"/>
    <s v="Food Chemist"/>
    <s v="Female"/>
    <s v="Japanese"/>
    <n v="439"/>
    <x v="12"/>
    <d v="2021-05-17T00:00:00"/>
    <x v="22"/>
    <s v="Orlando"/>
    <n v="32891"/>
    <s v="United States"/>
    <x v="4"/>
    <n v="5"/>
    <x v="3"/>
  </r>
  <r>
    <n v="1489"/>
    <s v="Roger"/>
    <s v="Matthews"/>
    <s v="rmatthewsdk@nature.com"/>
    <s v="rmatthewsdk"/>
    <x v="7"/>
    <s v="Environmental Tech"/>
    <s v="Male"/>
    <s v="Black or African American"/>
    <n v="989"/>
    <x v="4"/>
    <d v="2021-05-22T00:00:00"/>
    <x v="2"/>
    <s v="Hampton"/>
    <n v="23668"/>
    <s v="United States"/>
    <x v="4"/>
    <n v="5"/>
    <x v="3"/>
  </r>
  <r>
    <n v="1212"/>
    <s v="Patricia"/>
    <s v="Weaver"/>
    <s v="pweaver5v@merriam-webster.com"/>
    <s v="pweaver5v"/>
    <x v="11"/>
    <s v="Staff Accountant I"/>
    <s v="Female"/>
    <s v="White"/>
    <n v="398"/>
    <x v="6"/>
    <d v="2021-05-24T00:00:00"/>
    <x v="9"/>
    <s v="Hartford"/>
    <n v="6183"/>
    <s v="United States"/>
    <x v="4"/>
    <n v="5"/>
    <x v="3"/>
  </r>
  <r>
    <n v="1092"/>
    <s v="Donna"/>
    <s v="Hanson"/>
    <s v="dhanson2j@salon.com"/>
    <s v="dhanson2j"/>
    <x v="62"/>
    <s v="Assistant Media Planner"/>
    <s v="Female"/>
    <s v="Mexican"/>
    <n v="215"/>
    <x v="12"/>
    <d v="2021-05-25T00:00:00"/>
    <x v="22"/>
    <s v="Sarasota"/>
    <n v="34233"/>
    <s v="United States"/>
    <x v="4"/>
    <n v="5"/>
    <x v="3"/>
  </r>
  <r>
    <n v="1880"/>
    <s v="Rebecca"/>
    <s v="Lawson"/>
    <s v="rlawsonof@nsw.gov.au"/>
    <s v="rlawsonof"/>
    <x v="12"/>
    <s v="Software Engineer I"/>
    <s v="Female"/>
    <s v="Taiwanese"/>
    <n v="848"/>
    <x v="1"/>
    <d v="2021-05-28T00:00:00"/>
    <x v="10"/>
    <s v="Chicago"/>
    <n v="60614"/>
    <s v="United States"/>
    <x v="4"/>
    <n v="5"/>
    <x v="3"/>
  </r>
  <r>
    <n v="1468"/>
    <s v="Cynthia"/>
    <s v="Lopez"/>
    <s v="clopezcz@reverbnation.com"/>
    <s v="clopezcz"/>
    <x v="43"/>
    <s v="Automation Specialist IV"/>
    <s v="Female"/>
    <s v="White"/>
    <n v="812"/>
    <x v="2"/>
    <d v="2021-05-29T00:00:00"/>
    <x v="7"/>
    <s v="New Orleans"/>
    <n v="70116"/>
    <s v="United States"/>
    <x v="4"/>
    <n v="5"/>
    <x v="3"/>
  </r>
  <r>
    <n v="1702"/>
    <s v="Katherine"/>
    <s v="Price"/>
    <s v="kpricejh@go.com"/>
    <s v="kpricejh"/>
    <x v="186"/>
    <s v="Human Resources Manager"/>
    <s v="Female"/>
    <s v="Black or African American"/>
    <n v="701"/>
    <x v="1"/>
    <d v="2021-05-29T00:00:00"/>
    <x v="15"/>
    <s v="Charlotte"/>
    <n v="28215"/>
    <s v="United States"/>
    <x v="4"/>
    <n v="5"/>
    <x v="3"/>
  </r>
  <r>
    <n v="1759"/>
    <s v="Mark"/>
    <s v="Garza"/>
    <s v="mgarzal2@hhs.gov"/>
    <s v="mgarzal2"/>
    <x v="209"/>
    <s v="Environmental Tech"/>
    <s v="Male"/>
    <s v="Alaska Native"/>
    <n v="702"/>
    <x v="1"/>
    <d v="2021-05-29T00:00:00"/>
    <x v="13"/>
    <s v="Independence"/>
    <n v="64054"/>
    <s v="United States"/>
    <x v="4"/>
    <n v="5"/>
    <x v="3"/>
  </r>
  <r>
    <n v="1020"/>
    <s v="Andrea"/>
    <s v="Mason"/>
    <s v="amasonj@yelp.com"/>
    <s v="amasonj"/>
    <x v="34"/>
    <s v="Financial Advisor"/>
    <s v="Female"/>
    <s v="Black or African American"/>
    <n v="738"/>
    <x v="1"/>
    <d v="2021-05-31T00:00:00"/>
    <x v="1"/>
    <s v="San Francisco"/>
    <n v="94105"/>
    <s v="United States"/>
    <x v="4"/>
    <n v="5"/>
    <x v="3"/>
  </r>
  <r>
    <n v="1144"/>
    <s v="Lori"/>
    <s v="Harvey"/>
    <s v="lharvey3z@ibm.com"/>
    <s v="lharvey3z"/>
    <x v="23"/>
    <s v="Technical Writer"/>
    <s v="Female"/>
    <s v="Asian"/>
    <n v="40"/>
    <x v="4"/>
    <d v="2021-05-31T00:00:00"/>
    <x v="5"/>
    <s v="Flushing"/>
    <n v="11355"/>
    <s v="United States"/>
    <x v="4"/>
    <n v="5"/>
    <x v="3"/>
  </r>
  <r>
    <n v="1727"/>
    <s v="Irene"/>
    <s v="Smith"/>
    <s v="ismithk6@blogtalkradio.com"/>
    <s v="ismithk6"/>
    <x v="124"/>
    <s v="Speech Pathologist"/>
    <s v="Female"/>
    <s v="Mexican"/>
    <n v="329"/>
    <x v="0"/>
    <d v="2021-05-31T00:00:00"/>
    <x v="2"/>
    <s v="Roanoke"/>
    <n v="24024"/>
    <s v="United States"/>
    <x v="4"/>
    <n v="5"/>
    <x v="3"/>
  </r>
  <r>
    <n v="1983"/>
    <s v="Laura"/>
    <s v="Smith"/>
    <s v="lsmithra@thetimes.co.uk"/>
    <s v="lsmithra"/>
    <x v="79"/>
    <s v="Electrical Engineer"/>
    <s v="Female"/>
    <s v="White"/>
    <n v="450"/>
    <x v="1"/>
    <d v="2021-05-31T00:00:00"/>
    <x v="31"/>
    <s v="Kansas City"/>
    <n v="66112"/>
    <s v="United States"/>
    <x v="4"/>
    <n v="5"/>
    <x v="3"/>
  </r>
  <r>
    <n v="1234"/>
    <s v="Adam"/>
    <s v="Jenkins"/>
    <s v="ajenkins6h@comcast.net"/>
    <s v="ajenkins6h"/>
    <x v="4"/>
    <s v="Internal Auditor"/>
    <s v="Male"/>
    <s v="White"/>
    <n v="610"/>
    <x v="4"/>
    <d v="2021-06-01T00:00:00"/>
    <x v="4"/>
    <s v="Austin"/>
    <n v="78710"/>
    <s v="United States"/>
    <x v="5"/>
    <n v="6"/>
    <x v="3"/>
  </r>
  <r>
    <n v="1995"/>
    <s v="Teresa"/>
    <s v="Mcdonald"/>
    <s v="tmcdonaldrm@elegantthemes.com"/>
    <s v="tmcdonaldrm"/>
    <x v="69"/>
    <s v="Accounting Assistant IV"/>
    <s v="Female"/>
    <s v="White"/>
    <n v="589"/>
    <x v="6"/>
    <d v="2021-06-01T00:00:00"/>
    <x v="30"/>
    <s v="Knoxville"/>
    <n v="37939"/>
    <s v="United States"/>
    <x v="5"/>
    <n v="6"/>
    <x v="3"/>
  </r>
  <r>
    <n v="1989"/>
    <s v="Chris"/>
    <s v="Adams"/>
    <s v="cadamsrg@amazon.com"/>
    <s v="cadamsrg"/>
    <x v="68"/>
    <s v="Analyst Programmer"/>
    <s v="Male"/>
    <s v="White"/>
    <n v="556"/>
    <x v="1"/>
    <d v="2021-06-09T00:00:00"/>
    <x v="4"/>
    <s v="Humble"/>
    <n v="77346"/>
    <s v="United States"/>
    <x v="5"/>
    <n v="6"/>
    <x v="3"/>
  </r>
  <r>
    <n v="1924"/>
    <s v="Eugene"/>
    <s v="Rodriguez"/>
    <s v="erodriguezpn@51.la"/>
    <s v="erodriguezpn"/>
    <x v="42"/>
    <s v="Quality Engineer"/>
    <s v="Male"/>
    <s v="Asian"/>
    <n v="504"/>
    <x v="1"/>
    <d v="2021-06-10T00:00:00"/>
    <x v="4"/>
    <s v="Lubbock"/>
    <n v="79410"/>
    <s v="United States"/>
    <x v="5"/>
    <n v="6"/>
    <x v="3"/>
  </r>
  <r>
    <n v="1880"/>
    <s v="Rebecca"/>
    <s v="Lawson"/>
    <s v="rlawsonof@nsw.gov.au"/>
    <s v="rlawsonof"/>
    <x v="12"/>
    <s v="Software Engineer I"/>
    <s v="Female"/>
    <s v="Taiwanese"/>
    <n v="586"/>
    <x v="1"/>
    <d v="2021-06-11T00:00:00"/>
    <x v="10"/>
    <s v="Chicago"/>
    <n v="60614"/>
    <s v="United States"/>
    <x v="5"/>
    <n v="6"/>
    <x v="3"/>
  </r>
  <r>
    <n v="1783"/>
    <s v="Juan"/>
    <s v="Jones"/>
    <s v="jjoneslq@vistaprint.com"/>
    <s v="jjoneslq"/>
    <x v="33"/>
    <s v="Programmer III"/>
    <s v="Male"/>
    <s v="Asian"/>
    <n v="567"/>
    <x v="11"/>
    <d v="2021-06-12T00:00:00"/>
    <x v="25"/>
    <s v="Tucson"/>
    <n v="85715"/>
    <s v="United States"/>
    <x v="5"/>
    <n v="6"/>
    <x v="3"/>
  </r>
  <r>
    <n v="1067"/>
    <s v="Marie"/>
    <s v="Adams"/>
    <s v="madams1u@over-blog.com"/>
    <s v="madams1u"/>
    <x v="234"/>
    <s v="Office Assistant III"/>
    <s v="Female"/>
    <s v="Mexican"/>
    <n v="560"/>
    <x v="11"/>
    <d v="2021-06-13T00:00:00"/>
    <x v="19"/>
    <s v="Cincinnati"/>
    <n v="45233"/>
    <s v="United States"/>
    <x v="5"/>
    <n v="6"/>
    <x v="3"/>
  </r>
  <r>
    <n v="1956"/>
    <s v="Amanda"/>
    <s v="Bell"/>
    <s v="abellqj@rakuten.co.jp"/>
    <s v="abellqj"/>
    <x v="131"/>
    <s v="Occupational Therapist"/>
    <s v="Female"/>
    <s v="Taiwanese"/>
    <n v="420"/>
    <x v="15"/>
    <d v="2021-06-14T00:00:00"/>
    <x v="19"/>
    <s v="Cleveland"/>
    <n v="44105"/>
    <s v="United States"/>
    <x v="5"/>
    <n v="6"/>
    <x v="3"/>
  </r>
  <r>
    <n v="1141"/>
    <s v="Robert"/>
    <s v="King"/>
    <s v="rking3w@typepad.com"/>
    <s v="rking3w"/>
    <x v="235"/>
    <s v="Speech Pathologist"/>
    <s v="Male"/>
    <s v="Asian"/>
    <n v="997"/>
    <x v="1"/>
    <d v="2021-06-19T00:00:00"/>
    <x v="17"/>
    <s v="Omaha"/>
    <n v="68117"/>
    <s v="United States"/>
    <x v="5"/>
    <n v="6"/>
    <x v="3"/>
  </r>
  <r>
    <n v="1572"/>
    <s v="Ruth"/>
    <s v="Kelley"/>
    <s v="rkelleyfv@macromedia.com"/>
    <s v="rkelleyfv"/>
    <x v="155"/>
    <s v="Analog Circuit Design manager"/>
    <s v="Female"/>
    <s v="American Indian"/>
    <n v="267"/>
    <x v="4"/>
    <d v="2021-06-21T00:00:00"/>
    <x v="1"/>
    <s v="Inglewood"/>
    <n v="90398"/>
    <s v="United States"/>
    <x v="5"/>
    <n v="6"/>
    <x v="3"/>
  </r>
  <r>
    <n v="1020"/>
    <s v="Andrea"/>
    <s v="Mason"/>
    <s v="amasonj@yelp.com"/>
    <s v="amasonj"/>
    <x v="34"/>
    <s v="Financial Advisor"/>
    <s v="Female"/>
    <s v="Black or African American"/>
    <n v="655"/>
    <x v="1"/>
    <d v="2021-06-23T00:00:00"/>
    <x v="1"/>
    <s v="San Francisco"/>
    <n v="94105"/>
    <s v="United States"/>
    <x v="5"/>
    <n v="6"/>
    <x v="3"/>
  </r>
  <r>
    <n v="1700"/>
    <s v="Louis"/>
    <s v="Reid"/>
    <s v="lreidjf@loc.gov"/>
    <s v="lreidjf"/>
    <x v="236"/>
    <s v="Professor"/>
    <s v="Male"/>
    <s v="Black or African American"/>
    <n v="763"/>
    <x v="14"/>
    <d v="2021-06-24T00:00:00"/>
    <x v="4"/>
    <s v="Dallas"/>
    <n v="75221"/>
    <s v="United States"/>
    <x v="5"/>
    <n v="6"/>
    <x v="3"/>
  </r>
  <r>
    <n v="1084"/>
    <s v="Larry"/>
    <s v="Ferguson"/>
    <s v="lferguson2b@theguardian.com"/>
    <s v="lferguson2b"/>
    <x v="17"/>
    <s v="Food Chemist"/>
    <s v="Male"/>
    <s v="Mexican"/>
    <n v="672"/>
    <x v="1"/>
    <d v="2021-06-26T00:00:00"/>
    <x v="14"/>
    <s v="Waltham"/>
    <n v="2453"/>
    <s v="United States"/>
    <x v="5"/>
    <n v="6"/>
    <x v="3"/>
  </r>
  <r>
    <n v="1211"/>
    <s v="Mark"/>
    <s v="Gonzalez"/>
    <s v="mgonzalez5u@epa.gov"/>
    <s v="mgonzalez5u"/>
    <x v="237"/>
    <s v="Automation Specialist III"/>
    <s v="Male"/>
    <s v="White"/>
    <n v="779"/>
    <x v="4"/>
    <d v="2021-06-28T00:00:00"/>
    <x v="17"/>
    <s v="Omaha"/>
    <n v="68110"/>
    <s v="United States"/>
    <x v="5"/>
    <n v="6"/>
    <x v="3"/>
  </r>
  <r>
    <n v="1277"/>
    <s v="Brandon"/>
    <s v="Spencer"/>
    <s v="bspencer7o@si.edu"/>
    <s v="bspencer7o"/>
    <x v="22"/>
    <s v="Nuclear Power Engineer"/>
    <s v="Male"/>
    <s v="South American"/>
    <n v="205"/>
    <x v="9"/>
    <d v="2021-06-29T00:00:00"/>
    <x v="19"/>
    <s v="Akron"/>
    <n v="44310"/>
    <s v="United States"/>
    <x v="5"/>
    <n v="6"/>
    <x v="3"/>
  </r>
  <r>
    <n v="1411"/>
    <s v="James"/>
    <s v="Crawford"/>
    <s v="jcrawfordbe@newsvine.com"/>
    <s v="jcrawfordbe"/>
    <x v="238"/>
    <s v="Registered Nurse"/>
    <s v="Male"/>
    <s v="Mexican"/>
    <n v="406"/>
    <x v="14"/>
    <d v="2021-06-29T00:00:00"/>
    <x v="28"/>
    <s v="Washington"/>
    <n v="20067"/>
    <s v="United States"/>
    <x v="5"/>
    <n v="6"/>
    <x v="3"/>
  </r>
  <r>
    <n v="1017"/>
    <s v="Diana"/>
    <s v="Wells"/>
    <s v="dwellsg@vimeo.com"/>
    <s v="dwellsg"/>
    <x v="89"/>
    <s v="Editor"/>
    <s v="Female"/>
    <s v="Black or African American"/>
    <n v="33"/>
    <x v="1"/>
    <d v="2021-06-30T00:00:00"/>
    <x v="10"/>
    <s v="Chicago"/>
    <n v="60663"/>
    <s v="United States"/>
    <x v="5"/>
    <n v="6"/>
    <x v="3"/>
  </r>
  <r>
    <n v="1851"/>
    <s v="Linda"/>
    <s v="Washington"/>
    <s v="lwashingtonnm@jalbum.net"/>
    <s v="lwashingtonnm"/>
    <x v="76"/>
    <s v="Teacher"/>
    <s v="Female"/>
    <s v="White"/>
    <n v="167"/>
    <x v="12"/>
    <d v="2021-07-03T00:00:00"/>
    <x v="5"/>
    <s v="Brooklyn"/>
    <n v="11210"/>
    <s v="United States"/>
    <x v="6"/>
    <n v="7"/>
    <x v="3"/>
  </r>
  <r>
    <n v="1360"/>
    <s v="Jimmy"/>
    <s v="Cook"/>
    <s v="jcook9z@blogger.com"/>
    <s v="jcook9z"/>
    <x v="143"/>
    <s v="Account Coordinator"/>
    <s v="Male"/>
    <s v="Hispanic"/>
    <n v="99"/>
    <x v="5"/>
    <d v="2021-07-10T00:00:00"/>
    <x v="3"/>
    <s v="Savannah"/>
    <n v="31416"/>
    <s v="United States"/>
    <x v="6"/>
    <n v="7"/>
    <x v="3"/>
  </r>
  <r>
    <n v="1812"/>
    <s v="Randy"/>
    <s v="Harris"/>
    <s v="rharrismj@omniture.com"/>
    <s v="rharrismj"/>
    <x v="23"/>
    <s v="Clinical Specialist"/>
    <s v="Male"/>
    <s v="Japanese"/>
    <n v="254"/>
    <x v="6"/>
    <d v="2021-07-10T00:00:00"/>
    <x v="20"/>
    <s v="Birmingham"/>
    <n v="35220"/>
    <s v="United States"/>
    <x v="6"/>
    <n v="7"/>
    <x v="3"/>
  </r>
  <r>
    <n v="1640"/>
    <s v="Joyce"/>
    <s v="Adams"/>
    <s v="jadamshr@typepad.com"/>
    <s v="jadamshr"/>
    <x v="148"/>
    <s v="Marketing Assistant"/>
    <s v="Female"/>
    <s v="Black or African American"/>
    <n v="358"/>
    <x v="11"/>
    <d v="2021-07-12T00:00:00"/>
    <x v="40"/>
    <s v="Charleston"/>
    <n v="25331"/>
    <s v="United States"/>
    <x v="6"/>
    <n v="7"/>
    <x v="3"/>
  </r>
  <r>
    <n v="1812"/>
    <s v="Randy"/>
    <s v="Harris"/>
    <s v="rharrismj@omniture.com"/>
    <s v="rharrismj"/>
    <x v="23"/>
    <s v="Clinical Specialist"/>
    <s v="Male"/>
    <s v="Japanese"/>
    <n v="370"/>
    <x v="6"/>
    <d v="2021-07-12T00:00:00"/>
    <x v="20"/>
    <s v="Birmingham"/>
    <n v="35220"/>
    <s v="United States"/>
    <x v="6"/>
    <n v="7"/>
    <x v="3"/>
  </r>
  <r>
    <n v="1069"/>
    <s v="Susan"/>
    <s v="Gray"/>
    <s v="sgray1w@wikispaces.com"/>
    <s v="sgray1w"/>
    <x v="125"/>
    <s v="Software Engineer IV"/>
    <s v="Female"/>
    <s v="Mexican"/>
    <n v="492"/>
    <x v="1"/>
    <d v="2021-07-14T00:00:00"/>
    <x v="4"/>
    <s v="Dallas"/>
    <n v="75379"/>
    <s v="United States"/>
    <x v="6"/>
    <n v="7"/>
    <x v="3"/>
  </r>
  <r>
    <n v="1020"/>
    <s v="Andrea"/>
    <s v="Mason"/>
    <s v="amasonj@yelp.com"/>
    <s v="amasonj"/>
    <x v="34"/>
    <s v="Financial Advisor"/>
    <s v="Female"/>
    <s v="Black or African American"/>
    <n v="451"/>
    <x v="1"/>
    <d v="2021-07-18T00:00:00"/>
    <x v="1"/>
    <s v="San Francisco"/>
    <n v="94105"/>
    <s v="United States"/>
    <x v="6"/>
    <n v="7"/>
    <x v="3"/>
  </r>
  <r>
    <n v="1298"/>
    <s v="Anna"/>
    <s v="Thomas"/>
    <s v="athomas89@usa.gov"/>
    <s v="athomas89"/>
    <x v="33"/>
    <s v="Food Chemist"/>
    <s v="Female"/>
    <s v="Japanese"/>
    <n v="234"/>
    <x v="12"/>
    <d v="2021-07-21T00:00:00"/>
    <x v="22"/>
    <s v="Orlando"/>
    <n v="32891"/>
    <s v="United States"/>
    <x v="6"/>
    <n v="7"/>
    <x v="3"/>
  </r>
  <r>
    <n v="1999"/>
    <s v="Gerald"/>
    <s v="Jordan"/>
    <s v="gjordanrq@weibo.com"/>
    <s v="gjordanrq"/>
    <x v="47"/>
    <s v="Tax Accountant"/>
    <s v="Male"/>
    <s v="Costa Rican"/>
    <n v="91"/>
    <x v="1"/>
    <d v="2021-07-22T00:00:00"/>
    <x v="3"/>
    <s v="Columbus"/>
    <n v="31914"/>
    <s v="United States"/>
    <x v="6"/>
    <n v="7"/>
    <x v="3"/>
  </r>
  <r>
    <n v="1398"/>
    <s v="Debra"/>
    <s v="Williams"/>
    <s v="dwilliamsb1@hibu.com"/>
    <s v="dwilliamsb1"/>
    <x v="178"/>
    <s v="Professor"/>
    <s v="Female"/>
    <s v="Asian"/>
    <n v="930"/>
    <x v="12"/>
    <d v="2021-07-27T00:00:00"/>
    <x v="23"/>
    <s v="Madison"/>
    <n v="53785"/>
    <s v="United States"/>
    <x v="6"/>
    <n v="7"/>
    <x v="3"/>
  </r>
  <r>
    <n v="1082"/>
    <s v="James"/>
    <s v="Carpenter"/>
    <s v="jcarpenter29@amazon.de"/>
    <s v="jcarpenter29"/>
    <x v="32"/>
    <s v="VP Sales"/>
    <s v="Male"/>
    <s v="Mexican"/>
    <n v="969"/>
    <x v="3"/>
    <d v="2021-07-29T00:00:00"/>
    <x v="16"/>
    <s v="Johnstown"/>
    <n v="15906"/>
    <s v="United States"/>
    <x v="6"/>
    <n v="7"/>
    <x v="3"/>
  </r>
  <r>
    <n v="1763"/>
    <s v="Michelle"/>
    <s v="Kelly"/>
    <s v="mkellyl6@mashable.com"/>
    <s v="mkellyl6"/>
    <x v="239"/>
    <s v="Product Engineer"/>
    <s v="Female"/>
    <s v="White"/>
    <n v="834"/>
    <x v="4"/>
    <d v="2021-08-02T00:00:00"/>
    <x v="5"/>
    <s v="Bronx"/>
    <n v="10454"/>
    <s v="United States"/>
    <x v="7"/>
    <n v="8"/>
    <x v="3"/>
  </r>
  <r>
    <n v="1017"/>
    <s v="Diana"/>
    <s v="Wells"/>
    <s v="dwellsg@vimeo.com"/>
    <s v="dwellsg"/>
    <x v="89"/>
    <s v="Editor"/>
    <s v="Female"/>
    <s v="Black or African American"/>
    <n v="449"/>
    <x v="1"/>
    <d v="2021-08-06T00:00:00"/>
    <x v="10"/>
    <s v="Chicago"/>
    <n v="60663"/>
    <s v="United States"/>
    <x v="7"/>
    <n v="8"/>
    <x v="3"/>
  </r>
  <r>
    <n v="1608"/>
    <s v="Louise"/>
    <s v="Long"/>
    <s v="llonggv@redcross.org"/>
    <s v="llonggv"/>
    <x v="180"/>
    <s v="Nurse"/>
    <s v="Female"/>
    <s v="Eskimo"/>
    <n v="51"/>
    <x v="1"/>
    <d v="2021-08-10T00:00:00"/>
    <x v="4"/>
    <s v="Arlington"/>
    <n v="76011"/>
    <s v="United States"/>
    <x v="7"/>
    <n v="8"/>
    <x v="3"/>
  </r>
  <r>
    <n v="1812"/>
    <s v="Randy"/>
    <s v="Harris"/>
    <s v="rharrismj@omniture.com"/>
    <s v="rharrismj"/>
    <x v="23"/>
    <s v="Clinical Specialist"/>
    <s v="Male"/>
    <s v="Japanese"/>
    <n v="460"/>
    <x v="6"/>
    <d v="2021-08-10T00:00:00"/>
    <x v="20"/>
    <s v="Birmingham"/>
    <n v="35220"/>
    <s v="United States"/>
    <x v="7"/>
    <n v="8"/>
    <x v="3"/>
  </r>
  <r>
    <n v="1094"/>
    <s v="Evelyn"/>
    <s v="George"/>
    <s v="egeorge2l@tamu.edu"/>
    <s v="egeorge2l"/>
    <x v="18"/>
    <s v="General Manager"/>
    <s v="Female"/>
    <s v="Mexican"/>
    <n v="303"/>
    <x v="1"/>
    <d v="2021-08-12T00:00:00"/>
    <x v="4"/>
    <s v="El Paso"/>
    <n v="88579"/>
    <s v="United States"/>
    <x v="7"/>
    <n v="8"/>
    <x v="3"/>
  </r>
  <r>
    <n v="1001"/>
    <s v="George"/>
    <s v="Dunn"/>
    <s v="gdunn0@yellowpages.com"/>
    <s v="gdunn0"/>
    <x v="28"/>
    <s v="Database Administrator II"/>
    <s v="Male"/>
    <s v="Black or African American"/>
    <n v="470"/>
    <x v="6"/>
    <d v="2021-08-15T00:00:00"/>
    <x v="4"/>
    <s v="El Paso"/>
    <n v="88563"/>
    <s v="United States"/>
    <x v="7"/>
    <n v="8"/>
    <x v="3"/>
  </r>
  <r>
    <n v="1842"/>
    <s v="Larry"/>
    <s v="Lopez"/>
    <s v="llopeznd@cnbc.com"/>
    <s v="llopeznd"/>
    <x v="18"/>
    <s v="Chemical Engineer"/>
    <s v="Male"/>
    <s v="Korean"/>
    <n v="411"/>
    <x v="1"/>
    <d v="2021-08-15T00:00:00"/>
    <x v="8"/>
    <s v="Duluth"/>
    <n v="55811"/>
    <s v="United States"/>
    <x v="7"/>
    <n v="8"/>
    <x v="3"/>
  </r>
  <r>
    <n v="1984"/>
    <s v="Carol"/>
    <s v="Hill"/>
    <s v="chillrb@loc.gov"/>
    <s v="chillrb"/>
    <x v="120"/>
    <s v="Systems Administrator IV"/>
    <s v="Female"/>
    <s v="White"/>
    <n v="899"/>
    <x v="4"/>
    <d v="2021-08-16T00:00:00"/>
    <x v="13"/>
    <s v="Springfield"/>
    <n v="65810"/>
    <s v="United States"/>
    <x v="7"/>
    <n v="8"/>
    <x v="3"/>
  </r>
  <r>
    <n v="1880"/>
    <s v="Rebecca"/>
    <s v="Lawson"/>
    <s v="rlawsonof@nsw.gov.au"/>
    <s v="rlawsonof"/>
    <x v="12"/>
    <s v="Software Engineer I"/>
    <s v="Female"/>
    <s v="Taiwanese"/>
    <n v="239"/>
    <x v="1"/>
    <d v="2021-08-17T00:00:00"/>
    <x v="10"/>
    <s v="Chicago"/>
    <n v="60614"/>
    <s v="United States"/>
    <x v="7"/>
    <n v="8"/>
    <x v="3"/>
  </r>
  <r>
    <n v="1979"/>
    <s v="Juan"/>
    <s v="Johnston"/>
    <s v="jjohnstonr6@noaa.gov"/>
    <s v="jjohnstonr6"/>
    <x v="240"/>
    <s v="Civil Engineer"/>
    <s v="Male"/>
    <s v="White"/>
    <n v="651"/>
    <x v="13"/>
    <d v="2021-08-19T00:00:00"/>
    <x v="5"/>
    <s v="Schenectady"/>
    <n v="12325"/>
    <s v="United States"/>
    <x v="7"/>
    <n v="8"/>
    <x v="3"/>
  </r>
  <r>
    <n v="1989"/>
    <s v="Chris"/>
    <s v="Adams"/>
    <s v="cadamsrg@amazon.com"/>
    <s v="cadamsrg"/>
    <x v="68"/>
    <s v="Analyst Programmer"/>
    <s v="Male"/>
    <s v="White"/>
    <n v="945"/>
    <x v="1"/>
    <d v="2021-08-19T00:00:00"/>
    <x v="4"/>
    <s v="Humble"/>
    <n v="77346"/>
    <s v="United States"/>
    <x v="7"/>
    <n v="8"/>
    <x v="3"/>
  </r>
  <r>
    <n v="1298"/>
    <s v="Anna"/>
    <s v="Thomas"/>
    <s v="athomas89@usa.gov"/>
    <s v="athomas89"/>
    <x v="33"/>
    <s v="Food Chemist"/>
    <s v="Female"/>
    <s v="Japanese"/>
    <n v="20"/>
    <x v="12"/>
    <d v="2021-08-21T00:00:00"/>
    <x v="22"/>
    <s v="Orlando"/>
    <n v="32891"/>
    <s v="United States"/>
    <x v="7"/>
    <n v="8"/>
    <x v="3"/>
  </r>
  <r>
    <n v="1750"/>
    <s v="Christine"/>
    <s v="Collins"/>
    <s v="ccollinskt@pcworld.com"/>
    <s v="ccollinskt"/>
    <x v="241"/>
    <s v="Civil Engineer"/>
    <s v="Female"/>
    <s v="Eskimo"/>
    <n v="169"/>
    <x v="1"/>
    <d v="2021-08-22T00:00:00"/>
    <x v="23"/>
    <s v="Milwaukee"/>
    <n v="53277"/>
    <s v="United States"/>
    <x v="7"/>
    <n v="8"/>
    <x v="3"/>
  </r>
  <r>
    <n v="1990"/>
    <s v="Judy"/>
    <s v="Kim"/>
    <s v="jkimrh@yandex.ru"/>
    <s v="jkimrh"/>
    <x v="191"/>
    <s v="Chemical Engineer"/>
    <s v="Female"/>
    <s v="White"/>
    <n v="843"/>
    <x v="1"/>
    <d v="2021-08-25T00:00:00"/>
    <x v="20"/>
    <s v="Mobile"/>
    <n v="36622"/>
    <s v="United States"/>
    <x v="7"/>
    <n v="8"/>
    <x v="3"/>
  </r>
  <r>
    <n v="1586"/>
    <s v="David"/>
    <s v="Palmer"/>
    <s v="dpalmerg9@instagram.com"/>
    <s v="dpalmerg9"/>
    <x v="184"/>
    <s v="Media Manager IV"/>
    <s v="Male"/>
    <s v="Alaska Native"/>
    <n v="29"/>
    <x v="1"/>
    <d v="2021-08-26T00:00:00"/>
    <x v="37"/>
    <s v="Trenton"/>
    <n v="8695"/>
    <s v="United States"/>
    <x v="7"/>
    <n v="8"/>
    <x v="3"/>
  </r>
  <r>
    <n v="1993"/>
    <s v="Rose"/>
    <s v="Little"/>
    <s v="rlittlerk@omniture.com"/>
    <s v="rlittlerk"/>
    <x v="187"/>
    <s v="Registered Nurse"/>
    <s v="Female"/>
    <s v="White"/>
    <n v="871"/>
    <x v="7"/>
    <d v="2021-08-27T00:00:00"/>
    <x v="6"/>
    <s v="Des Moines"/>
    <n v="50369"/>
    <s v="United States"/>
    <x v="7"/>
    <n v="8"/>
    <x v="3"/>
  </r>
  <r>
    <n v="1026"/>
    <s v="Jacqueline"/>
    <s v="Ellis"/>
    <s v="jellisp@imageshack.us"/>
    <s v="jellisp"/>
    <x v="6"/>
    <s v="Senior Sales Associate"/>
    <s v="Female"/>
    <s v="Black or African American"/>
    <n v="244"/>
    <x v="1"/>
    <d v="2021-08-28T00:00:00"/>
    <x v="5"/>
    <s v="Bronx"/>
    <n v="10469"/>
    <s v="United States"/>
    <x v="7"/>
    <n v="8"/>
    <x v="3"/>
  </r>
  <r>
    <n v="1116"/>
    <s v="Christina"/>
    <s v="Wheeler"/>
    <s v="cwheeler37@ovh.net"/>
    <s v="cwheeler37"/>
    <x v="3"/>
    <s v="Information Systems Manager"/>
    <s v="Female"/>
    <s v="Mexican"/>
    <n v="993"/>
    <x v="3"/>
    <d v="2021-08-28T00:00:00"/>
    <x v="3"/>
    <s v="Duluth"/>
    <n v="30096"/>
    <s v="United States"/>
    <x v="7"/>
    <n v="8"/>
    <x v="3"/>
  </r>
  <r>
    <n v="1705"/>
    <s v="Anna"/>
    <s v="Willis"/>
    <s v="awillisjk@google.es"/>
    <s v="awillisjk"/>
    <x v="242"/>
    <s v="Tax Accountant"/>
    <s v="Female"/>
    <s v="Black or African American"/>
    <n v="657"/>
    <x v="5"/>
    <d v="2021-08-28T00:00:00"/>
    <x v="19"/>
    <s v="Toledo"/>
    <n v="43615"/>
    <s v="United States"/>
    <x v="7"/>
    <n v="8"/>
    <x v="3"/>
  </r>
  <r>
    <n v="1659"/>
    <s v="Keith"/>
    <s v="Hansen"/>
    <s v="khansenia@desdev.cn"/>
    <s v="khansenia"/>
    <x v="42"/>
    <s v="Financial Analyst"/>
    <s v="Male"/>
    <s v="Black or African American"/>
    <n v="281"/>
    <x v="1"/>
    <d v="2021-08-30T00:00:00"/>
    <x v="1"/>
    <s v="San Diego"/>
    <n v="92127"/>
    <s v="United States"/>
    <x v="7"/>
    <n v="8"/>
    <x v="3"/>
  </r>
  <r>
    <n v="1574"/>
    <s v="Linda"/>
    <s v="Palmer"/>
    <s v="lpalmerfx@seattletimes.com"/>
    <s v="lpalmerfx"/>
    <x v="153"/>
    <s v="Automation Specialist III"/>
    <s v="Female"/>
    <s v="Korean"/>
    <n v="83"/>
    <x v="1"/>
    <d v="2021-08-31T00:00:00"/>
    <x v="5"/>
    <s v="New York City"/>
    <n v="10131"/>
    <s v="United States"/>
    <x v="7"/>
    <n v="8"/>
    <x v="3"/>
  </r>
  <r>
    <n v="1880"/>
    <s v="Rebecca"/>
    <s v="Lawson"/>
    <s v="rlawsonof@nsw.gov.au"/>
    <s v="rlawsonof"/>
    <x v="12"/>
    <s v="Software Engineer I"/>
    <s v="Female"/>
    <s v="Taiwanese"/>
    <n v="308"/>
    <x v="1"/>
    <d v="2021-09-02T00:00:00"/>
    <x v="10"/>
    <s v="Chicago"/>
    <n v="60614"/>
    <s v="United States"/>
    <x v="8"/>
    <n v="9"/>
    <x v="3"/>
  </r>
  <r>
    <n v="1260"/>
    <s v="Willie"/>
    <s v="King"/>
    <s v="wking77@apache.org"/>
    <s v="wking77"/>
    <x v="39"/>
    <s v="Software Consultant"/>
    <s v="Male"/>
    <s v="Japanese"/>
    <n v="944"/>
    <x v="1"/>
    <d v="2021-09-03T00:00:00"/>
    <x v="26"/>
    <s v="Spokane"/>
    <n v="99215"/>
    <s v="United States"/>
    <x v="8"/>
    <n v="9"/>
    <x v="3"/>
  </r>
  <r>
    <n v="1880"/>
    <s v="Rebecca"/>
    <s v="Lawson"/>
    <s v="rlawsonof@nsw.gov.au"/>
    <s v="rlawsonof"/>
    <x v="12"/>
    <s v="Software Engineer I"/>
    <s v="Female"/>
    <s v="Taiwanese"/>
    <n v="608"/>
    <x v="1"/>
    <d v="2021-09-03T00:00:00"/>
    <x v="10"/>
    <s v="Chicago"/>
    <n v="60614"/>
    <s v="United States"/>
    <x v="8"/>
    <n v="9"/>
    <x v="3"/>
  </r>
  <r>
    <n v="1017"/>
    <s v="Diana"/>
    <s v="Wells"/>
    <s v="dwellsg@vimeo.com"/>
    <s v="dwellsg"/>
    <x v="89"/>
    <s v="Editor"/>
    <s v="Female"/>
    <s v="Black or African American"/>
    <n v="692"/>
    <x v="1"/>
    <d v="2021-09-04T00:00:00"/>
    <x v="10"/>
    <s v="Chicago"/>
    <n v="60663"/>
    <s v="United States"/>
    <x v="8"/>
    <n v="9"/>
    <x v="3"/>
  </r>
  <r>
    <n v="1039"/>
    <s v="Jonathan"/>
    <s v="Roberts"/>
    <s v="jroberts12@nih.gov"/>
    <s v="jroberts12"/>
    <x v="109"/>
    <s v="Sales Representative"/>
    <s v="Male"/>
    <s v="Black or African American"/>
    <n v="70"/>
    <x v="11"/>
    <d v="2021-09-05T00:00:00"/>
    <x v="29"/>
    <s v="Louisville"/>
    <n v="40298"/>
    <s v="United States"/>
    <x v="8"/>
    <n v="9"/>
    <x v="3"/>
  </r>
  <r>
    <n v="1413"/>
    <s v="Brenda"/>
    <s v="Diaz"/>
    <s v="bdiazbg@trellian.com"/>
    <s v="bdiazbg"/>
    <x v="12"/>
    <s v="Nuclear Power Engineer"/>
    <s v="Female"/>
    <s v="Argentinian"/>
    <n v="493"/>
    <x v="3"/>
    <d v="2021-09-05T00:00:00"/>
    <x v="18"/>
    <s v="Evansville"/>
    <n v="47737"/>
    <s v="United States"/>
    <x v="8"/>
    <n v="9"/>
    <x v="3"/>
  </r>
  <r>
    <n v="1461"/>
    <s v="Willie"/>
    <s v="Stephens"/>
    <s v="wstephenscs@usatoday.com"/>
    <s v="wstephenscs"/>
    <x v="111"/>
    <s v="Recruiting Manager"/>
    <s v="Male"/>
    <s v="Eskimo"/>
    <n v="516"/>
    <x v="1"/>
    <d v="2021-09-05T00:00:00"/>
    <x v="4"/>
    <s v="Spring"/>
    <n v="77388"/>
    <s v="United States"/>
    <x v="8"/>
    <n v="9"/>
    <x v="3"/>
  </r>
  <r>
    <n v="1020"/>
    <s v="Andrea"/>
    <s v="Mason"/>
    <s v="amasonj@yelp.com"/>
    <s v="amasonj"/>
    <x v="34"/>
    <s v="Financial Advisor"/>
    <s v="Female"/>
    <s v="Black or African American"/>
    <n v="823"/>
    <x v="1"/>
    <d v="2021-09-06T00:00:00"/>
    <x v="1"/>
    <s v="San Francisco"/>
    <n v="94105"/>
    <s v="United States"/>
    <x v="8"/>
    <n v="9"/>
    <x v="3"/>
  </r>
  <r>
    <n v="1696"/>
    <s v="Antonio"/>
    <s v="Andrews"/>
    <s v="aandrewsjb@hatena.ne.jp"/>
    <s v="aandrewsjb"/>
    <x v="209"/>
    <s v="Speech Pathologist"/>
    <s v="Male"/>
    <s v="Black or African American"/>
    <n v="931"/>
    <x v="1"/>
    <d v="2021-09-06T00:00:00"/>
    <x v="19"/>
    <s v="Cincinnati"/>
    <n v="45203"/>
    <s v="United States"/>
    <x v="8"/>
    <n v="9"/>
    <x v="3"/>
  </r>
  <r>
    <n v="1775"/>
    <s v="Larry"/>
    <s v="Henderson"/>
    <s v="lhendersonli@gravatar.com"/>
    <s v="lhendersonli"/>
    <x v="132"/>
    <s v="Marketing Manager"/>
    <s v="Male"/>
    <s v="Asian"/>
    <n v="770"/>
    <x v="11"/>
    <d v="2021-09-06T00:00:00"/>
    <x v="1"/>
    <s v="San Francisco"/>
    <n v="94110"/>
    <s v="United States"/>
    <x v="8"/>
    <n v="9"/>
    <x v="3"/>
  </r>
  <r>
    <n v="1631"/>
    <s v="Karen"/>
    <s v="Taylor"/>
    <s v="ktaylorhi@mlb.com"/>
    <s v="ktaylorhi"/>
    <x v="158"/>
    <s v="Teacher"/>
    <s v="Female"/>
    <s v="Black or African American"/>
    <n v="857"/>
    <x v="7"/>
    <d v="2021-09-07T00:00:00"/>
    <x v="25"/>
    <s v="Scottsdale"/>
    <n v="85260"/>
    <s v="United States"/>
    <x v="8"/>
    <n v="9"/>
    <x v="3"/>
  </r>
  <r>
    <n v="1026"/>
    <s v="Jacqueline"/>
    <s v="Ellis"/>
    <s v="jellisp@imageshack.us"/>
    <s v="jellisp"/>
    <x v="6"/>
    <s v="Senior Sales Associate"/>
    <s v="Female"/>
    <s v="Black or African American"/>
    <n v="448"/>
    <x v="1"/>
    <d v="2021-09-08T00:00:00"/>
    <x v="5"/>
    <s v="Bronx"/>
    <n v="10469"/>
    <s v="United States"/>
    <x v="8"/>
    <n v="9"/>
    <x v="3"/>
  </r>
  <r>
    <n v="1116"/>
    <s v="Christina"/>
    <s v="Wheeler"/>
    <s v="cwheeler37@ovh.net"/>
    <s v="cwheeler37"/>
    <x v="3"/>
    <s v="Information Systems Manager"/>
    <s v="Female"/>
    <s v="Mexican"/>
    <n v="910"/>
    <x v="3"/>
    <d v="2021-09-08T00:00:00"/>
    <x v="3"/>
    <s v="Duluth"/>
    <n v="30096"/>
    <s v="United States"/>
    <x v="8"/>
    <n v="9"/>
    <x v="3"/>
  </r>
  <r>
    <n v="1726"/>
    <s v="Timothy"/>
    <s v="Price"/>
    <s v="tpricek5@tinyurl.com"/>
    <s v="tpricek5"/>
    <x v="175"/>
    <s v="Desktop Support Technician"/>
    <s v="Male"/>
    <s v="Thai"/>
    <n v="648"/>
    <x v="4"/>
    <d v="2021-09-09T00:00:00"/>
    <x v="22"/>
    <s v="Fort Myers"/>
    <n v="33906"/>
    <s v="United States"/>
    <x v="8"/>
    <n v="9"/>
    <x v="3"/>
  </r>
  <r>
    <n v="1805"/>
    <s v="John"/>
    <s v="Howard"/>
    <s v="jhowardmc@networksolutions.com"/>
    <s v="jhowardmc"/>
    <x v="243"/>
    <s v="Staff Scientist"/>
    <s v="Male"/>
    <s v="Korean"/>
    <n v="530"/>
    <x v="7"/>
    <d v="2021-09-10T00:00:00"/>
    <x v="39"/>
    <s v="Honolulu"/>
    <n v="96845"/>
    <s v="United States"/>
    <x v="8"/>
    <n v="9"/>
    <x v="3"/>
  </r>
  <r>
    <n v="1365"/>
    <s v="Roy"/>
    <s v="Snyder"/>
    <s v="rsnydera4@whitehouse.gov"/>
    <s v="rsnydera4"/>
    <x v="56"/>
    <s v="Help Desk Technician"/>
    <s v="Male"/>
    <s v="Mexican"/>
    <n v="416"/>
    <x v="4"/>
    <d v="2021-09-11T00:00:00"/>
    <x v="22"/>
    <s v="Miami"/>
    <n v="33261"/>
    <s v="United States"/>
    <x v="8"/>
    <n v="9"/>
    <x v="3"/>
  </r>
  <r>
    <n v="1744"/>
    <s v="Jonathan"/>
    <s v="Dixon"/>
    <s v="jdixonkn@bizjournals.com"/>
    <s v="jdixonkn"/>
    <x v="12"/>
    <s v="Cost Accountant"/>
    <s v="Male"/>
    <s v="Japanese"/>
    <n v="767"/>
    <x v="1"/>
    <d v="2021-09-12T00:00:00"/>
    <x v="2"/>
    <s v="Hampton"/>
    <n v="23663"/>
    <s v="United States"/>
    <x v="8"/>
    <n v="9"/>
    <x v="3"/>
  </r>
  <r>
    <n v="1435"/>
    <s v="Jesse"/>
    <s v="Brown"/>
    <s v="jbrownc2@who.int"/>
    <s v="jbrownc2"/>
    <x v="19"/>
    <s v="Teacher"/>
    <s v="Male"/>
    <s v="Asian"/>
    <n v="803"/>
    <x v="8"/>
    <d v="2021-09-16T00:00:00"/>
    <x v="16"/>
    <s v="Reading"/>
    <n v="19605"/>
    <s v="United States"/>
    <x v="8"/>
    <n v="9"/>
    <x v="3"/>
  </r>
  <r>
    <n v="1081"/>
    <s v="Tina"/>
    <s v="Lewis"/>
    <s v="tlewis28@mozilla.org"/>
    <s v="tlewis28"/>
    <x v="63"/>
    <s v="Operator"/>
    <s v="Female"/>
    <s v="Mexican"/>
    <n v="962"/>
    <x v="14"/>
    <d v="2021-09-17T00:00:00"/>
    <x v="19"/>
    <s v="Dayton"/>
    <n v="45426"/>
    <s v="United States"/>
    <x v="8"/>
    <n v="9"/>
    <x v="3"/>
  </r>
  <r>
    <n v="1170"/>
    <s v="Albert"/>
    <s v="Roberts"/>
    <s v="aroberts4p@ezinearticles.com"/>
    <s v="aroberts4p"/>
    <x v="14"/>
    <s v="Accountant I"/>
    <s v="Male"/>
    <s v="White"/>
    <n v="584"/>
    <x v="0"/>
    <d v="2021-09-19T00:00:00"/>
    <x v="4"/>
    <s v="El Paso"/>
    <n v="88574"/>
    <s v="United States"/>
    <x v="8"/>
    <n v="9"/>
    <x v="3"/>
  </r>
  <r>
    <n v="1936"/>
    <s v="Marie"/>
    <s v="Dunn"/>
    <s v="mdunnpz@usda.gov"/>
    <s v="mdunnpz"/>
    <x v="1"/>
    <s v="Human Resources Manager"/>
    <s v="Female"/>
    <s v="Mexican"/>
    <n v="636"/>
    <x v="12"/>
    <d v="2021-09-21T00:00:00"/>
    <x v="4"/>
    <s v="Waco"/>
    <n v="76796"/>
    <s v="United States"/>
    <x v="8"/>
    <n v="9"/>
    <x v="3"/>
  </r>
  <r>
    <n v="1680"/>
    <s v="Philip"/>
    <s v="Johnson"/>
    <s v="pjohnsoniv@ftc.gov"/>
    <s v="pjohnsoniv"/>
    <x v="229"/>
    <s v="Project Manager"/>
    <s v="Male"/>
    <s v="Black or African American"/>
    <n v="362"/>
    <x v="1"/>
    <d v="2021-09-22T00:00:00"/>
    <x v="6"/>
    <s v="Sioux City"/>
    <n v="51110"/>
    <s v="United States"/>
    <x v="8"/>
    <n v="9"/>
    <x v="3"/>
  </r>
  <r>
    <n v="1298"/>
    <s v="Anna"/>
    <s v="Thomas"/>
    <s v="athomas89@usa.gov"/>
    <s v="athomas89"/>
    <x v="33"/>
    <s v="Food Chemist"/>
    <s v="Female"/>
    <s v="Japanese"/>
    <n v="37"/>
    <x v="12"/>
    <d v="2021-09-23T00:00:00"/>
    <x v="22"/>
    <s v="Orlando"/>
    <n v="32891"/>
    <s v="United States"/>
    <x v="8"/>
    <n v="9"/>
    <x v="3"/>
  </r>
  <r>
    <n v="1435"/>
    <s v="Jesse"/>
    <s v="Brown"/>
    <s v="jbrownc2@who.int"/>
    <s v="jbrownc2"/>
    <x v="19"/>
    <s v="Teacher"/>
    <s v="Male"/>
    <s v="Asian"/>
    <n v="745"/>
    <x v="8"/>
    <d v="2021-09-23T00:00:00"/>
    <x v="16"/>
    <s v="Reading"/>
    <n v="19605"/>
    <s v="United States"/>
    <x v="8"/>
    <n v="9"/>
    <x v="3"/>
  </r>
  <r>
    <n v="1020"/>
    <s v="Andrea"/>
    <s v="Mason"/>
    <s v="amasonj@yelp.com"/>
    <s v="amasonj"/>
    <x v="34"/>
    <s v="Financial Advisor"/>
    <s v="Female"/>
    <s v="Black or African American"/>
    <n v="377"/>
    <x v="1"/>
    <d v="2021-09-25T00:00:00"/>
    <x v="1"/>
    <s v="San Francisco"/>
    <n v="94105"/>
    <s v="United States"/>
    <x v="8"/>
    <n v="9"/>
    <x v="3"/>
  </r>
  <r>
    <n v="1992"/>
    <s v="Karen"/>
    <s v="Hunt"/>
    <s v="khuntrj@harvard.edu"/>
    <s v="khuntrj"/>
    <x v="95"/>
    <s v="VP Marketing"/>
    <s v="Female"/>
    <s v="White"/>
    <n v="406"/>
    <x v="1"/>
    <d v="2021-09-27T00:00:00"/>
    <x v="18"/>
    <s v="Muncie"/>
    <n v="47306"/>
    <s v="United States"/>
    <x v="8"/>
    <n v="9"/>
    <x v="3"/>
  </r>
  <r>
    <n v="1435"/>
    <s v="Jesse"/>
    <s v="Brown"/>
    <s v="jbrownc2@who.int"/>
    <s v="jbrownc2"/>
    <x v="19"/>
    <s v="Teacher"/>
    <s v="Male"/>
    <s v="Asian"/>
    <n v="666"/>
    <x v="8"/>
    <d v="2021-09-30T00:00:00"/>
    <x v="16"/>
    <s v="Reading"/>
    <n v="19605"/>
    <s v="United States"/>
    <x v="8"/>
    <n v="9"/>
    <x v="3"/>
  </r>
  <r>
    <n v="1766"/>
    <s v="Craig"/>
    <s v="Austin"/>
    <s v="caustinl9@w3.org"/>
    <s v="caustinl9"/>
    <x v="244"/>
    <s v="VP Accounting"/>
    <s v="Male"/>
    <s v="Asian"/>
    <n v="935"/>
    <x v="6"/>
    <d v="2021-10-01T00:00:00"/>
    <x v="1"/>
    <s v="Chula Vista"/>
    <n v="91913"/>
    <s v="United States"/>
    <x v="9"/>
    <n v="10"/>
    <x v="3"/>
  </r>
  <r>
    <n v="1663"/>
    <s v="Jeffrey"/>
    <s v="Simpson"/>
    <s v="jsimpsonie@mozilla.org"/>
    <s v="jsimpsonie"/>
    <x v="202"/>
    <s v="Financial Advisor"/>
    <s v="Male"/>
    <s v="Black or African American"/>
    <n v="646"/>
    <x v="1"/>
    <d v="2021-10-02T00:00:00"/>
    <x v="3"/>
    <s v="Duluth"/>
    <n v="30096"/>
    <s v="United States"/>
    <x v="9"/>
    <n v="10"/>
    <x v="3"/>
  </r>
  <r>
    <n v="1298"/>
    <s v="Anna"/>
    <s v="Thomas"/>
    <s v="athomas89@usa.gov"/>
    <s v="athomas89"/>
    <x v="33"/>
    <s v="Food Chemist"/>
    <s v="Female"/>
    <s v="Japanese"/>
    <n v="539"/>
    <x v="12"/>
    <d v="2021-10-03T00:00:00"/>
    <x v="22"/>
    <s v="Orlando"/>
    <n v="32891"/>
    <s v="United States"/>
    <x v="9"/>
    <n v="10"/>
    <x v="3"/>
  </r>
  <r>
    <n v="1298"/>
    <s v="Anna"/>
    <s v="Thomas"/>
    <s v="athomas89@usa.gov"/>
    <s v="athomas89"/>
    <x v="33"/>
    <s v="Food Chemist"/>
    <s v="Female"/>
    <s v="Japanese"/>
    <n v="787"/>
    <x v="12"/>
    <d v="2021-10-05T00:00:00"/>
    <x v="22"/>
    <s v="Orlando"/>
    <n v="32891"/>
    <s v="United States"/>
    <x v="9"/>
    <n v="10"/>
    <x v="3"/>
  </r>
  <r>
    <n v="1511"/>
    <s v="Jose"/>
    <s v="Marshall"/>
    <s v="jmarshalle6@google.es"/>
    <s v="jmarshalle6"/>
    <x v="245"/>
    <s v="VP Marketing"/>
    <s v="Male"/>
    <s v="Korean"/>
    <n v="837"/>
    <x v="1"/>
    <d v="2021-10-05T00:00:00"/>
    <x v="1"/>
    <s v="Simi Valley"/>
    <n v="93094"/>
    <s v="United States"/>
    <x v="9"/>
    <n v="10"/>
    <x v="3"/>
  </r>
  <r>
    <n v="1851"/>
    <s v="Linda"/>
    <s v="Washington"/>
    <s v="lwashingtonnm@jalbum.net"/>
    <s v="lwashingtonnm"/>
    <x v="76"/>
    <s v="Teacher"/>
    <s v="Female"/>
    <s v="White"/>
    <n v="14"/>
    <x v="12"/>
    <d v="2021-10-07T00:00:00"/>
    <x v="5"/>
    <s v="Brooklyn"/>
    <n v="11210"/>
    <s v="United States"/>
    <x v="9"/>
    <n v="10"/>
    <x v="3"/>
  </r>
  <r>
    <n v="1623"/>
    <s v="Sharon"/>
    <s v="Cooper"/>
    <s v="scooperha@webnode.com"/>
    <s v="scooperha"/>
    <x v="70"/>
    <s v="Account Representative II"/>
    <s v="Female"/>
    <s v="Black or African American"/>
    <n v="935"/>
    <x v="1"/>
    <d v="2021-10-10T00:00:00"/>
    <x v="1"/>
    <s v="Sunnyvale"/>
    <n v="94089"/>
    <s v="United States"/>
    <x v="9"/>
    <n v="10"/>
    <x v="3"/>
  </r>
  <r>
    <n v="1095"/>
    <s v="Emily"/>
    <s v="Franklin"/>
    <s v="efranklin2m@google.co.jp"/>
    <s v="efranklin2m"/>
    <x v="67"/>
    <s v="Analyst Programmer"/>
    <s v="Female"/>
    <s v="Mexican"/>
    <n v="140"/>
    <x v="6"/>
    <d v="2021-10-11T00:00:00"/>
    <x v="4"/>
    <s v="Houston"/>
    <n v="77040"/>
    <s v="United States"/>
    <x v="9"/>
    <n v="10"/>
    <x v="3"/>
  </r>
  <r>
    <n v="1260"/>
    <s v="Willie"/>
    <s v="King"/>
    <s v="wking77@apache.org"/>
    <s v="wking77"/>
    <x v="39"/>
    <s v="Software Consultant"/>
    <s v="Male"/>
    <s v="Japanese"/>
    <n v="167"/>
    <x v="1"/>
    <d v="2021-10-13T00:00:00"/>
    <x v="26"/>
    <s v="Spokane"/>
    <n v="99215"/>
    <s v="United States"/>
    <x v="9"/>
    <n v="10"/>
    <x v="3"/>
  </r>
  <r>
    <n v="1020"/>
    <s v="Andrea"/>
    <s v="Mason"/>
    <s v="amasonj@yelp.com"/>
    <s v="amasonj"/>
    <x v="34"/>
    <s v="Financial Advisor"/>
    <s v="Female"/>
    <s v="Black or African American"/>
    <n v="605"/>
    <x v="1"/>
    <d v="2021-10-15T00:00:00"/>
    <x v="1"/>
    <s v="San Francisco"/>
    <n v="94105"/>
    <s v="United States"/>
    <x v="9"/>
    <n v="10"/>
    <x v="3"/>
  </r>
  <r>
    <n v="1234"/>
    <s v="Adam"/>
    <s v="Jenkins"/>
    <s v="ajenkins6h@comcast.net"/>
    <s v="ajenkins6h"/>
    <x v="4"/>
    <s v="Internal Auditor"/>
    <s v="Male"/>
    <s v="White"/>
    <n v="366"/>
    <x v="4"/>
    <d v="2021-10-15T00:00:00"/>
    <x v="4"/>
    <s v="Austin"/>
    <n v="78710"/>
    <s v="United States"/>
    <x v="9"/>
    <n v="10"/>
    <x v="3"/>
  </r>
  <r>
    <n v="1081"/>
    <s v="Tina"/>
    <s v="Lewis"/>
    <s v="tlewis28@mozilla.org"/>
    <s v="tlewis28"/>
    <x v="63"/>
    <s v="Operator"/>
    <s v="Female"/>
    <s v="Mexican"/>
    <n v="185"/>
    <x v="14"/>
    <d v="2021-10-16T00:00:00"/>
    <x v="19"/>
    <s v="Dayton"/>
    <n v="45426"/>
    <s v="United States"/>
    <x v="9"/>
    <n v="10"/>
    <x v="3"/>
  </r>
  <r>
    <n v="1851"/>
    <s v="Linda"/>
    <s v="Washington"/>
    <s v="lwashingtonnm@jalbum.net"/>
    <s v="lwashingtonnm"/>
    <x v="76"/>
    <s v="Teacher"/>
    <s v="Female"/>
    <s v="White"/>
    <n v="438"/>
    <x v="12"/>
    <d v="2021-10-16T00:00:00"/>
    <x v="5"/>
    <s v="Brooklyn"/>
    <n v="11210"/>
    <s v="United States"/>
    <x v="9"/>
    <n v="10"/>
    <x v="3"/>
  </r>
  <r>
    <n v="1880"/>
    <s v="Rebecca"/>
    <s v="Lawson"/>
    <s v="rlawsonof@nsw.gov.au"/>
    <s v="rlawsonof"/>
    <x v="12"/>
    <s v="Software Engineer I"/>
    <s v="Female"/>
    <s v="Taiwanese"/>
    <n v="809"/>
    <x v="1"/>
    <d v="2021-10-17T00:00:00"/>
    <x v="10"/>
    <s v="Chicago"/>
    <n v="60614"/>
    <s v="United States"/>
    <x v="9"/>
    <n v="10"/>
    <x v="3"/>
  </r>
  <r>
    <n v="1001"/>
    <s v="George"/>
    <s v="Dunn"/>
    <s v="gdunn0@yellowpages.com"/>
    <s v="gdunn0"/>
    <x v="28"/>
    <s v="Database Administrator II"/>
    <s v="Male"/>
    <s v="Black or African American"/>
    <n v="922"/>
    <x v="6"/>
    <d v="2021-10-18T00:00:00"/>
    <x v="4"/>
    <s v="El Paso"/>
    <n v="88563"/>
    <s v="United States"/>
    <x v="9"/>
    <n v="10"/>
    <x v="3"/>
  </r>
  <r>
    <n v="1943"/>
    <s v="Carol"/>
    <s v="Gibson"/>
    <s v="cgibsonq6@prlog.org"/>
    <s v="cgibsonq6"/>
    <x v="135"/>
    <s v="Actuary"/>
    <s v="Female"/>
    <s v="Asian"/>
    <n v="745"/>
    <x v="3"/>
    <d v="2021-10-19T00:00:00"/>
    <x v="15"/>
    <s v="Winston Salem"/>
    <n v="27105"/>
    <s v="United States"/>
    <x v="9"/>
    <n v="10"/>
    <x v="3"/>
  </r>
  <r>
    <n v="1170"/>
    <s v="Albert"/>
    <s v="Roberts"/>
    <s v="aroberts4p@ezinearticles.com"/>
    <s v="aroberts4p"/>
    <x v="14"/>
    <s v="Accountant I"/>
    <s v="Male"/>
    <s v="White"/>
    <n v="902"/>
    <x v="0"/>
    <d v="2021-10-20T00:00:00"/>
    <x v="4"/>
    <s v="El Paso"/>
    <n v="88574"/>
    <s v="United States"/>
    <x v="9"/>
    <n v="10"/>
    <x v="3"/>
  </r>
  <r>
    <n v="1880"/>
    <s v="Rebecca"/>
    <s v="Lawson"/>
    <s v="rlawsonof@nsw.gov.au"/>
    <s v="rlawsonof"/>
    <x v="12"/>
    <s v="Software Engineer I"/>
    <s v="Female"/>
    <s v="Taiwanese"/>
    <n v="626"/>
    <x v="1"/>
    <d v="2021-10-20T00:00:00"/>
    <x v="10"/>
    <s v="Chicago"/>
    <n v="60614"/>
    <s v="United States"/>
    <x v="9"/>
    <n v="10"/>
    <x v="3"/>
  </r>
  <r>
    <n v="1020"/>
    <s v="Andrea"/>
    <s v="Mason"/>
    <s v="amasonj@yelp.com"/>
    <s v="amasonj"/>
    <x v="34"/>
    <s v="Financial Advisor"/>
    <s v="Female"/>
    <s v="Black or African American"/>
    <n v="246"/>
    <x v="1"/>
    <d v="2021-10-25T00:00:00"/>
    <x v="1"/>
    <s v="San Francisco"/>
    <n v="94105"/>
    <s v="United States"/>
    <x v="9"/>
    <n v="10"/>
    <x v="3"/>
  </r>
  <r>
    <n v="1555"/>
    <s v="Jacqueline"/>
    <s v="Taylor"/>
    <s v="jtaylorfe@wikipedia.org"/>
    <s v="jtaylorfe"/>
    <x v="6"/>
    <s v="Research Assistant I"/>
    <s v="Female"/>
    <s v="Native Hawaiian and Other Pacific Islander (NHPI)"/>
    <n v="376"/>
    <x v="4"/>
    <d v="2021-10-25T00:00:00"/>
    <x v="25"/>
    <s v="Scottsdale"/>
    <n v="85260"/>
    <s v="United States"/>
    <x v="9"/>
    <n v="10"/>
    <x v="3"/>
  </r>
  <r>
    <n v="1719"/>
    <s v="Fred"/>
    <s v="Daniels"/>
    <s v="fdanielsjy@themeforest.net"/>
    <s v="fdanielsjy"/>
    <x v="116"/>
    <s v="Geological Engineer"/>
    <s v="Male"/>
    <s v="Black or African American"/>
    <n v="426"/>
    <x v="1"/>
    <d v="2021-10-25T00:00:00"/>
    <x v="1"/>
    <s v="Long Beach"/>
    <n v="90847"/>
    <s v="United States"/>
    <x v="9"/>
    <n v="10"/>
    <x v="3"/>
  </r>
  <r>
    <n v="1144"/>
    <s v="Lori"/>
    <s v="Harvey"/>
    <s v="lharvey3z@ibm.com"/>
    <s v="lharvey3z"/>
    <x v="23"/>
    <s v="Technical Writer"/>
    <s v="Female"/>
    <s v="Asian"/>
    <n v="660"/>
    <x v="4"/>
    <d v="2021-10-27T00:00:00"/>
    <x v="5"/>
    <s v="Flushing"/>
    <n v="11355"/>
    <s v="United States"/>
    <x v="9"/>
    <n v="10"/>
    <x v="3"/>
  </r>
  <r>
    <n v="1752"/>
    <s v="Norma"/>
    <s v="James"/>
    <s v="njameskv@meetup.com"/>
    <s v="njameskv"/>
    <x v="12"/>
    <s v="Assistant Manager"/>
    <s v="Female"/>
    <s v="Eskimo"/>
    <n v="576"/>
    <x v="1"/>
    <d v="2021-10-28T00:00:00"/>
    <x v="28"/>
    <s v="Washington"/>
    <n v="20226"/>
    <s v="United States"/>
    <x v="9"/>
    <n v="10"/>
    <x v="3"/>
  </r>
  <r>
    <n v="1365"/>
    <s v="Roy"/>
    <s v="Snyder"/>
    <s v="rsnydera4@whitehouse.gov"/>
    <s v="rsnydera4"/>
    <x v="56"/>
    <s v="Help Desk Technician"/>
    <s v="Male"/>
    <s v="Mexican"/>
    <n v="374"/>
    <x v="4"/>
    <d v="2021-10-29T00:00:00"/>
    <x v="22"/>
    <s v="Miami"/>
    <n v="33261"/>
    <s v="United States"/>
    <x v="9"/>
    <n v="10"/>
    <x v="3"/>
  </r>
  <r>
    <n v="1298"/>
    <s v="Anna"/>
    <s v="Thomas"/>
    <s v="athomas89@usa.gov"/>
    <s v="athomas89"/>
    <x v="33"/>
    <s v="Food Chemist"/>
    <s v="Female"/>
    <s v="Japanese"/>
    <n v="805"/>
    <x v="12"/>
    <d v="2021-10-30T00:00:00"/>
    <x v="22"/>
    <s v="Orlando"/>
    <n v="32891"/>
    <s v="United States"/>
    <x v="9"/>
    <n v="10"/>
    <x v="3"/>
  </r>
  <r>
    <n v="1489"/>
    <s v="Roger"/>
    <s v="Matthews"/>
    <s v="rmatthewsdk@nature.com"/>
    <s v="rmatthewsdk"/>
    <x v="7"/>
    <s v="Environmental Tech"/>
    <s v="Male"/>
    <s v="Black or African American"/>
    <n v="161"/>
    <x v="4"/>
    <d v="2021-11-01T00:00:00"/>
    <x v="2"/>
    <s v="Hampton"/>
    <n v="23668"/>
    <s v="United States"/>
    <x v="10"/>
    <n v="11"/>
    <x v="3"/>
  </r>
  <r>
    <n v="1738"/>
    <s v="Aaron"/>
    <s v="Baker"/>
    <s v="abakerkh@lycos.com"/>
    <s v="abakerkh"/>
    <x v="113"/>
    <s v="Nuclear Power Engineer"/>
    <s v="Male"/>
    <s v="Argentinian"/>
    <n v="847"/>
    <x v="7"/>
    <d v="2021-11-01T00:00:00"/>
    <x v="1"/>
    <s v="San Jose"/>
    <n v="95113"/>
    <s v="United States"/>
    <x v="10"/>
    <n v="11"/>
    <x v="3"/>
  </r>
  <r>
    <n v="1995"/>
    <s v="Teresa"/>
    <s v="Mcdonald"/>
    <s v="tmcdonaldrm@elegantthemes.com"/>
    <s v="tmcdonaldrm"/>
    <x v="69"/>
    <s v="Accounting Assistant IV"/>
    <s v="Female"/>
    <s v="White"/>
    <n v="280"/>
    <x v="6"/>
    <d v="2021-11-01T00:00:00"/>
    <x v="30"/>
    <s v="Knoxville"/>
    <n v="37939"/>
    <s v="United States"/>
    <x v="10"/>
    <n v="11"/>
    <x v="3"/>
  </r>
  <r>
    <n v="1533"/>
    <s v="Jane"/>
    <s v="Taylor"/>
    <s v="jtaylores@usnews.com"/>
    <s v="jtaylores"/>
    <x v="50"/>
    <s v="Data Coordiator"/>
    <s v="Female"/>
    <s v="Native Hawaiian and Other Pacific Islander (NHPI)"/>
    <n v="832"/>
    <x v="1"/>
    <d v="2021-11-03T00:00:00"/>
    <x v="5"/>
    <s v="Jamaica"/>
    <n v="11470"/>
    <s v="United States"/>
    <x v="10"/>
    <n v="11"/>
    <x v="3"/>
  </r>
  <r>
    <n v="1298"/>
    <s v="Anna"/>
    <s v="Thomas"/>
    <s v="athomas89@usa.gov"/>
    <s v="athomas89"/>
    <x v="33"/>
    <s v="Food Chemist"/>
    <s v="Female"/>
    <s v="Japanese"/>
    <n v="448"/>
    <x v="12"/>
    <d v="2021-11-07T00:00:00"/>
    <x v="22"/>
    <s v="Orlando"/>
    <n v="32891"/>
    <s v="United States"/>
    <x v="10"/>
    <n v="11"/>
    <x v="3"/>
  </r>
  <r>
    <n v="1512"/>
    <s v="John"/>
    <s v="Hayes"/>
    <s v="jhayese7@redcross.org"/>
    <s v="jhayese7"/>
    <x v="246"/>
    <s v="Librarian"/>
    <s v="Male"/>
    <s v="Alaska Native"/>
    <n v="763"/>
    <x v="0"/>
    <d v="2021-11-08T00:00:00"/>
    <x v="4"/>
    <s v="Austin"/>
    <n v="78726"/>
    <s v="United States"/>
    <x v="10"/>
    <n v="11"/>
    <x v="3"/>
  </r>
  <r>
    <n v="1039"/>
    <s v="Jonathan"/>
    <s v="Roberts"/>
    <s v="jroberts12@nih.gov"/>
    <s v="jroberts12"/>
    <x v="109"/>
    <s v="Sales Representative"/>
    <s v="Male"/>
    <s v="Black or African American"/>
    <n v="823"/>
    <x v="11"/>
    <d v="2021-11-11T00:00:00"/>
    <x v="29"/>
    <s v="Louisville"/>
    <n v="40298"/>
    <s v="United States"/>
    <x v="10"/>
    <n v="11"/>
    <x v="3"/>
  </r>
  <r>
    <n v="1581"/>
    <s v="Frances"/>
    <s v="Jenkins"/>
    <s v="fjenkinsg4@newyorker.com"/>
    <s v="fjenkinsg4"/>
    <x v="8"/>
    <s v="Recruiter"/>
    <s v="Female"/>
    <s v="South American"/>
    <n v="428"/>
    <x v="6"/>
    <d v="2021-11-12T00:00:00"/>
    <x v="1"/>
    <s v="Long Beach"/>
    <n v="90840"/>
    <s v="United States"/>
    <x v="10"/>
    <n v="11"/>
    <x v="3"/>
  </r>
  <r>
    <n v="1436"/>
    <s v="Ashley"/>
    <s v="Wood"/>
    <s v="awoodc3@nytimes.com"/>
    <s v="awoodc3"/>
    <x v="32"/>
    <s v="Sales Associate"/>
    <s v="Female"/>
    <s v="Argentinian"/>
    <n v="286"/>
    <x v="1"/>
    <d v="2021-11-13T00:00:00"/>
    <x v="24"/>
    <s v="Las Vegas"/>
    <n v="89145"/>
    <s v="United States"/>
    <x v="10"/>
    <n v="11"/>
    <x v="3"/>
  </r>
  <r>
    <n v="1988"/>
    <s v="Emily"/>
    <s v="Allen"/>
    <s v="eallenrf@csmonitor.com"/>
    <s v="eallenrf"/>
    <x v="158"/>
    <s v="Financial Analyst"/>
    <s v="Female"/>
    <s v="White"/>
    <n v="1000"/>
    <x v="1"/>
    <d v="2021-11-14T00:00:00"/>
    <x v="9"/>
    <s v="Stamford"/>
    <n v="6912"/>
    <s v="United States"/>
    <x v="10"/>
    <n v="11"/>
    <x v="3"/>
  </r>
  <r>
    <n v="1022"/>
    <s v="Todd"/>
    <s v="Peters"/>
    <s v="tpetersl@dot.gov"/>
    <s v="tpetersl"/>
    <x v="74"/>
    <s v="Design Engineer"/>
    <s v="Male"/>
    <s v="Black or African American"/>
    <n v="837"/>
    <x v="1"/>
    <d v="2021-11-16T00:00:00"/>
    <x v="28"/>
    <s v="Washington"/>
    <n v="20430"/>
    <s v="United States"/>
    <x v="10"/>
    <n v="11"/>
    <x v="3"/>
  </r>
  <r>
    <n v="1212"/>
    <s v="Patricia"/>
    <s v="Weaver"/>
    <s v="pweaver5v@merriam-webster.com"/>
    <s v="pweaver5v"/>
    <x v="11"/>
    <s v="Staff Accountant I"/>
    <s v="Female"/>
    <s v="White"/>
    <n v="158"/>
    <x v="6"/>
    <d v="2021-11-18T00:00:00"/>
    <x v="9"/>
    <s v="Hartford"/>
    <n v="6183"/>
    <s v="United States"/>
    <x v="10"/>
    <n v="11"/>
    <x v="3"/>
  </r>
  <r>
    <n v="1298"/>
    <s v="Anna"/>
    <s v="Thomas"/>
    <s v="athomas89@usa.gov"/>
    <s v="athomas89"/>
    <x v="33"/>
    <s v="Food Chemist"/>
    <s v="Female"/>
    <s v="Japanese"/>
    <n v="149"/>
    <x v="12"/>
    <d v="2021-11-18T00:00:00"/>
    <x v="22"/>
    <s v="Orlando"/>
    <n v="32891"/>
    <s v="United States"/>
    <x v="10"/>
    <n v="11"/>
    <x v="3"/>
  </r>
  <r>
    <n v="1556"/>
    <s v="Amy"/>
    <s v="Black"/>
    <s v="ablackff@shutterfly.com"/>
    <s v="ablackff"/>
    <x v="247"/>
    <s v="Internal Auditor"/>
    <s v="Female"/>
    <s v="Taiwanese"/>
    <n v="444"/>
    <x v="12"/>
    <d v="2021-11-18T00:00:00"/>
    <x v="4"/>
    <s v="Fort Worth"/>
    <n v="76192"/>
    <s v="United States"/>
    <x v="10"/>
    <n v="11"/>
    <x v="3"/>
  </r>
  <r>
    <n v="1807"/>
    <s v="Alice"/>
    <s v="Henderson"/>
    <s v="ahendersonme@unblog.fr"/>
    <s v="ahendersonme"/>
    <x v="96"/>
    <s v="Media Manager III"/>
    <s v="Female"/>
    <s v="Native Hawaiian and Other Pacific Islander (NHPI)"/>
    <n v="895"/>
    <x v="6"/>
    <d v="2021-11-18T00:00:00"/>
    <x v="4"/>
    <s v="Wichita Falls"/>
    <n v="76305"/>
    <s v="United States"/>
    <x v="10"/>
    <n v="11"/>
    <x v="3"/>
  </r>
  <r>
    <n v="1297"/>
    <s v="Rebecca"/>
    <s v="James"/>
    <s v="rjames88@tamu.edu"/>
    <s v="rjames88"/>
    <x v="248"/>
    <s v="Accounting Assistant II"/>
    <s v="Female"/>
    <s v="Native Hawaiian and Other Pacific Islander (NHPI)"/>
    <n v="678"/>
    <x v="1"/>
    <d v="2021-11-19T00:00:00"/>
    <x v="5"/>
    <s v="New York City"/>
    <n v="10275"/>
    <s v="United States"/>
    <x v="10"/>
    <n v="11"/>
    <x v="3"/>
  </r>
  <r>
    <n v="1019"/>
    <s v="Lillian"/>
    <s v="Fuller"/>
    <s v="lfulleri@miitbeian.gov.cn"/>
    <s v="lfulleri"/>
    <x v="67"/>
    <s v="Sales Associate"/>
    <s v="Female"/>
    <s v="Black or African American"/>
    <n v="847"/>
    <x v="4"/>
    <d v="2021-11-22T00:00:00"/>
    <x v="33"/>
    <s v="Boise"/>
    <n v="83705"/>
    <s v="United States"/>
    <x v="10"/>
    <n v="11"/>
    <x v="3"/>
  </r>
  <r>
    <n v="1405"/>
    <s v="Heather"/>
    <s v="Hunt"/>
    <s v="hhuntb8@sfgate.com"/>
    <s v="hhuntb8"/>
    <x v="105"/>
    <s v="VP Sales"/>
    <s v="Female"/>
    <s v="Taiwanese"/>
    <n v="617"/>
    <x v="14"/>
    <d v="2021-11-23T00:00:00"/>
    <x v="8"/>
    <s v="Minneapolis"/>
    <n v="55446"/>
    <s v="United States"/>
    <x v="10"/>
    <n v="11"/>
    <x v="3"/>
  </r>
  <r>
    <n v="1925"/>
    <s v="Debra"/>
    <s v="Lynch"/>
    <s v="dlynchpo@skype.com"/>
    <s v="dlynchpo"/>
    <x v="26"/>
    <s v="Computer Systems Analyst IV"/>
    <s v="Female"/>
    <s v="Hispanic"/>
    <n v="559"/>
    <x v="0"/>
    <d v="2021-11-25T00:00:00"/>
    <x v="4"/>
    <s v="Houston"/>
    <n v="77293"/>
    <s v="United States"/>
    <x v="10"/>
    <n v="11"/>
    <x v="3"/>
  </r>
  <r>
    <n v="1991"/>
    <s v="Diane"/>
    <s v="Scott"/>
    <s v="dscottri@ask.com"/>
    <s v="dscottri"/>
    <x v="15"/>
    <s v="Librarian"/>
    <s v="Female"/>
    <s v="White"/>
    <n v="306"/>
    <x v="1"/>
    <d v="2021-11-25T00:00:00"/>
    <x v="12"/>
    <s v="Albuquerque"/>
    <n v="87180"/>
    <s v="United States"/>
    <x v="10"/>
    <n v="11"/>
    <x v="3"/>
  </r>
  <r>
    <n v="1926"/>
    <s v="Tina"/>
    <s v="Freeman"/>
    <s v="tfreemanpp@people.com.cn"/>
    <s v="tfreemanpp"/>
    <x v="44"/>
    <s v="VP Quality Control"/>
    <s v="Female"/>
    <s v="Asian"/>
    <n v="155"/>
    <x v="12"/>
    <d v="2021-11-27T00:00:00"/>
    <x v="1"/>
    <s v="San Jose"/>
    <n v="95108"/>
    <s v="United States"/>
    <x v="10"/>
    <n v="11"/>
    <x v="3"/>
  </r>
  <r>
    <n v="1609"/>
    <s v="Patricia"/>
    <s v="Crawford"/>
    <s v="pcrawfordgw@discovery.com"/>
    <s v="pcrawfordgw"/>
    <x v="249"/>
    <s v="Assistant Professor"/>
    <s v="Female"/>
    <s v="Black or African American"/>
    <n v="14"/>
    <x v="5"/>
    <d v="2021-11-28T00:00:00"/>
    <x v="3"/>
    <s v="Duluth"/>
    <n v="30195"/>
    <s v="United States"/>
    <x v="10"/>
    <n v="11"/>
    <x v="3"/>
  </r>
  <r>
    <n v="1880"/>
    <s v="Rebecca"/>
    <s v="Lawson"/>
    <s v="rlawsonof@nsw.gov.au"/>
    <s v="rlawsonof"/>
    <x v="12"/>
    <s v="Software Engineer I"/>
    <s v="Female"/>
    <s v="Taiwanese"/>
    <n v="181"/>
    <x v="1"/>
    <d v="2021-11-29T00:00:00"/>
    <x v="10"/>
    <s v="Chicago"/>
    <n v="60614"/>
    <s v="United States"/>
    <x v="10"/>
    <n v="11"/>
    <x v="3"/>
  </r>
  <r>
    <n v="1170"/>
    <s v="Albert"/>
    <s v="Roberts"/>
    <s v="aroberts4p@ezinearticles.com"/>
    <s v="aroberts4p"/>
    <x v="14"/>
    <s v="Accountant I"/>
    <s v="Male"/>
    <s v="White"/>
    <n v="547"/>
    <x v="0"/>
    <d v="2021-11-30T00:00:00"/>
    <x v="4"/>
    <s v="El Paso"/>
    <n v="88574"/>
    <s v="United States"/>
    <x v="10"/>
    <n v="11"/>
    <x v="3"/>
  </r>
  <r>
    <n v="1170"/>
    <s v="Albert"/>
    <s v="Roberts"/>
    <s v="aroberts4p@ezinearticles.com"/>
    <s v="aroberts4p"/>
    <x v="14"/>
    <s v="Accountant I"/>
    <s v="Male"/>
    <s v="White"/>
    <n v="131"/>
    <x v="0"/>
    <d v="2021-12-05T00:00:00"/>
    <x v="4"/>
    <s v="El Paso"/>
    <n v="88574"/>
    <s v="United States"/>
    <x v="11"/>
    <n v="12"/>
    <x v="3"/>
  </r>
  <r>
    <n v="1170"/>
    <s v="Albert"/>
    <s v="Roberts"/>
    <s v="aroberts4p@ezinearticles.com"/>
    <s v="aroberts4p"/>
    <x v="14"/>
    <s v="Accountant I"/>
    <s v="Male"/>
    <s v="White"/>
    <n v="203"/>
    <x v="0"/>
    <d v="2021-12-07T00:00:00"/>
    <x v="4"/>
    <s v="El Paso"/>
    <n v="88574"/>
    <s v="United States"/>
    <x v="11"/>
    <n v="12"/>
    <x v="3"/>
  </r>
  <r>
    <n v="1613"/>
    <s v="Annie"/>
    <s v="Tucker"/>
    <s v="atuckerh0@bloglovin.com"/>
    <s v="atuckerh0"/>
    <x v="250"/>
    <s v="Community Outreach Specialist"/>
    <s v="Female"/>
    <s v="Black or African American"/>
    <n v="697"/>
    <x v="12"/>
    <d v="2021-12-07T00:00:00"/>
    <x v="44"/>
    <s v="Biloxi"/>
    <n v="39534"/>
    <s v="United States"/>
    <x v="11"/>
    <n v="12"/>
    <x v="3"/>
  </r>
  <r>
    <n v="1260"/>
    <s v="Willie"/>
    <s v="King"/>
    <s v="wking77@apache.org"/>
    <s v="wking77"/>
    <x v="39"/>
    <s v="Software Consultant"/>
    <s v="Male"/>
    <s v="Japanese"/>
    <n v="214"/>
    <x v="1"/>
    <d v="2021-12-08T00:00:00"/>
    <x v="26"/>
    <s v="Spokane"/>
    <n v="99215"/>
    <s v="United States"/>
    <x v="11"/>
    <n v="12"/>
    <x v="3"/>
  </r>
  <r>
    <n v="1783"/>
    <s v="Juan"/>
    <s v="Jones"/>
    <s v="jjoneslq@vistaprint.com"/>
    <s v="jjoneslq"/>
    <x v="33"/>
    <s v="Programmer III"/>
    <s v="Male"/>
    <s v="Asian"/>
    <n v="249"/>
    <x v="11"/>
    <d v="2021-12-09T00:00:00"/>
    <x v="25"/>
    <s v="Tucson"/>
    <n v="85715"/>
    <s v="United States"/>
    <x v="11"/>
    <n v="12"/>
    <x v="3"/>
  </r>
  <r>
    <n v="1405"/>
    <s v="Heather"/>
    <s v="Hunt"/>
    <s v="hhuntb8@sfgate.com"/>
    <s v="hhuntb8"/>
    <x v="105"/>
    <s v="VP Sales"/>
    <s v="Female"/>
    <s v="Taiwanese"/>
    <n v="40"/>
    <x v="14"/>
    <d v="2021-12-11T00:00:00"/>
    <x v="8"/>
    <s v="Minneapolis"/>
    <n v="55446"/>
    <s v="United States"/>
    <x v="11"/>
    <n v="12"/>
    <x v="3"/>
  </r>
  <r>
    <n v="1001"/>
    <s v="George"/>
    <s v="Dunn"/>
    <s v="gdunn0@yellowpages.com"/>
    <s v="gdunn0"/>
    <x v="28"/>
    <s v="Database Administrator II"/>
    <s v="Male"/>
    <s v="Black or African American"/>
    <n v="851"/>
    <x v="6"/>
    <d v="2021-12-13T00:00:00"/>
    <x v="4"/>
    <s v="El Paso"/>
    <n v="88563"/>
    <s v="United States"/>
    <x v="11"/>
    <n v="12"/>
    <x v="3"/>
  </r>
  <r>
    <n v="1212"/>
    <s v="Patricia"/>
    <s v="Weaver"/>
    <s v="pweaver5v@merriam-webster.com"/>
    <s v="pweaver5v"/>
    <x v="11"/>
    <s v="Staff Accountant I"/>
    <s v="Female"/>
    <s v="White"/>
    <n v="207"/>
    <x v="6"/>
    <d v="2021-12-13T00:00:00"/>
    <x v="9"/>
    <s v="Hartford"/>
    <n v="6183"/>
    <s v="United States"/>
    <x v="11"/>
    <n v="12"/>
    <x v="3"/>
  </r>
  <r>
    <n v="1934"/>
    <s v="Brandon"/>
    <s v="Arnold"/>
    <s v="barnoldpx@npr.org"/>
    <s v="barnoldpx"/>
    <x v="251"/>
    <s v="Business Systems Development Analyst"/>
    <s v="Male"/>
    <s v="Korean"/>
    <n v="369"/>
    <x v="14"/>
    <d v="2021-12-16T00:00:00"/>
    <x v="25"/>
    <s v="Glendale"/>
    <n v="85305"/>
    <s v="United States"/>
    <x v="11"/>
    <n v="12"/>
    <x v="3"/>
  </r>
  <r>
    <n v="1695"/>
    <s v="Evelyn"/>
    <s v="Burns"/>
    <s v="eburnsja@blogs.com"/>
    <s v="eburnsja"/>
    <x v="252"/>
    <s v="Associate Professor"/>
    <s v="Female"/>
    <s v="Black or African American"/>
    <n v="304"/>
    <x v="6"/>
    <d v="2021-12-17T00:00:00"/>
    <x v="3"/>
    <s v="Macon"/>
    <n v="31210"/>
    <s v="United States"/>
    <x v="11"/>
    <n v="12"/>
    <x v="3"/>
  </r>
  <r>
    <n v="1123"/>
    <s v="Randy"/>
    <s v="Hamilton"/>
    <s v="rhamilton3e@loc.gov"/>
    <s v="rhamilton3e"/>
    <x v="82"/>
    <s v="Geological Engineer"/>
    <s v="Male"/>
    <s v="Mexican"/>
    <n v="768"/>
    <x v="0"/>
    <d v="2021-12-19T00:00:00"/>
    <x v="22"/>
    <s v="Tampa"/>
    <n v="33673"/>
    <s v="United States"/>
    <x v="11"/>
    <n v="12"/>
    <x v="3"/>
  </r>
  <r>
    <n v="1535"/>
    <s v="Kevin"/>
    <s v="Hart"/>
    <s v="kharteu@skyrock.com"/>
    <s v="kharteu"/>
    <x v="129"/>
    <s v="Occupational Therapist"/>
    <s v="Male"/>
    <s v="Costa Rican"/>
    <n v="781"/>
    <x v="13"/>
    <d v="2021-12-19T00:00:00"/>
    <x v="20"/>
    <s v="Huntsville"/>
    <n v="35805"/>
    <s v="United States"/>
    <x v="11"/>
    <n v="12"/>
    <x v="3"/>
  </r>
  <r>
    <n v="1020"/>
    <s v="Andrea"/>
    <s v="Mason"/>
    <s v="amasonj@yelp.com"/>
    <s v="amasonj"/>
    <x v="34"/>
    <s v="Financial Advisor"/>
    <s v="Female"/>
    <s v="Black or African American"/>
    <n v="444"/>
    <x v="1"/>
    <d v="2021-12-23T00:00:00"/>
    <x v="1"/>
    <s v="San Francisco"/>
    <n v="94105"/>
    <s v="United States"/>
    <x v="11"/>
    <n v="12"/>
    <x v="3"/>
  </r>
  <r>
    <n v="1634"/>
    <s v="Lisa"/>
    <s v="Grant"/>
    <s v="lgranthl@wunderground.com"/>
    <s v="lgranthl"/>
    <x v="42"/>
    <s v="Developer I"/>
    <s v="Female"/>
    <s v="Black or African American"/>
    <n v="197"/>
    <x v="5"/>
    <d v="2021-12-25T00:00:00"/>
    <x v="17"/>
    <s v="Lincoln"/>
    <n v="68510"/>
    <s v="United States"/>
    <x v="11"/>
    <n v="12"/>
    <x v="3"/>
  </r>
  <r>
    <n v="1021"/>
    <s v="Amy"/>
    <s v="Jordan"/>
    <s v="ajordank@ed.gov"/>
    <s v="ajordank"/>
    <x v="0"/>
    <s v="Electrical Engineer"/>
    <s v="Female"/>
    <s v="Black or African American"/>
    <n v="888"/>
    <x v="0"/>
    <d v="2021-12-26T00:00:00"/>
    <x v="0"/>
    <s v="Flint"/>
    <n v="48555"/>
    <s v="United States"/>
    <x v="11"/>
    <n v="12"/>
    <x v="3"/>
  </r>
  <r>
    <n v="1988"/>
    <s v="Emily"/>
    <s v="Allen"/>
    <s v="eallenrf@csmonitor.com"/>
    <s v="eallenrf"/>
    <x v="158"/>
    <s v="Financial Analyst"/>
    <s v="Female"/>
    <s v="White"/>
    <n v="340"/>
    <x v="1"/>
    <d v="2021-12-26T00:00:00"/>
    <x v="9"/>
    <s v="Stamford"/>
    <n v="6912"/>
    <s v="United States"/>
    <x v="11"/>
    <n v="12"/>
    <x v="3"/>
  </r>
  <r>
    <n v="1660"/>
    <s v="Deborah"/>
    <s v="Myers"/>
    <s v="dmyersib@youtu.be"/>
    <s v="dmyersib"/>
    <x v="51"/>
    <s v="Health Coach IV"/>
    <s v="Female"/>
    <s v="Black or African American"/>
    <n v="589"/>
    <x v="7"/>
    <d v="2021-12-28T00:00:00"/>
    <x v="12"/>
    <s v="Las Cruces"/>
    <n v="88006"/>
    <s v="United States"/>
    <x v="11"/>
    <n v="12"/>
    <x v="3"/>
  </r>
  <r>
    <n v="1298"/>
    <s v="Anna"/>
    <s v="Thomas"/>
    <s v="athomas89@usa.gov"/>
    <s v="athomas89"/>
    <x v="33"/>
    <s v="Food Chemist"/>
    <s v="Female"/>
    <s v="Japanese"/>
    <n v="456"/>
    <x v="12"/>
    <d v="2022-01-01T00:00:00"/>
    <x v="22"/>
    <s v="Orlando"/>
    <n v="32891"/>
    <s v="United States"/>
    <x v="0"/>
    <n v="1"/>
    <x v="4"/>
  </r>
  <r>
    <n v="1713"/>
    <s v="Lillian"/>
    <s v="Watson"/>
    <s v="lwatsonjs@shutterfly.com"/>
    <s v="lwatsonjs"/>
    <x v="230"/>
    <s v="Analyst Programmer"/>
    <s v="Female"/>
    <s v="Black or African American"/>
    <n v="86"/>
    <x v="1"/>
    <d v="2022-01-02T00:00:00"/>
    <x v="0"/>
    <s v="Midland"/>
    <n v="48670"/>
    <s v="United States"/>
    <x v="0"/>
    <n v="1"/>
    <x v="4"/>
  </r>
  <r>
    <n v="1990"/>
    <s v="Judy"/>
    <s v="Kim"/>
    <s v="jkimrh@yandex.ru"/>
    <s v="jkimrh"/>
    <x v="191"/>
    <s v="Chemical Engineer"/>
    <s v="Female"/>
    <s v="White"/>
    <n v="716"/>
    <x v="1"/>
    <d v="2022-01-02T00:00:00"/>
    <x v="20"/>
    <s v="Mobile"/>
    <n v="36622"/>
    <s v="United States"/>
    <x v="0"/>
    <n v="1"/>
    <x v="4"/>
  </r>
  <r>
    <n v="1170"/>
    <s v="Albert"/>
    <s v="Roberts"/>
    <s v="aroberts4p@ezinearticles.com"/>
    <s v="aroberts4p"/>
    <x v="14"/>
    <s v="Accountant I"/>
    <s v="Male"/>
    <s v="White"/>
    <n v="598"/>
    <x v="0"/>
    <d v="2022-01-03T00:00:00"/>
    <x v="4"/>
    <s v="El Paso"/>
    <n v="88574"/>
    <s v="United States"/>
    <x v="0"/>
    <n v="1"/>
    <x v="4"/>
  </r>
  <r>
    <n v="1142"/>
    <s v="Benjamin"/>
    <s v="Larson"/>
    <s v="blarson3x@smugmug.com"/>
    <s v="blarson3x"/>
    <x v="178"/>
    <s v="Recruiter"/>
    <s v="Male"/>
    <s v="Asian"/>
    <n v="762"/>
    <x v="12"/>
    <d v="2022-01-04T00:00:00"/>
    <x v="40"/>
    <s v="Charleston"/>
    <n v="25356"/>
    <s v="United States"/>
    <x v="0"/>
    <n v="1"/>
    <x v="4"/>
  </r>
  <r>
    <n v="1123"/>
    <s v="Randy"/>
    <s v="Hamilton"/>
    <s v="rhamilton3e@loc.gov"/>
    <s v="rhamilton3e"/>
    <x v="82"/>
    <s v="Geological Engineer"/>
    <s v="Male"/>
    <s v="Mexican"/>
    <n v="913"/>
    <x v="0"/>
    <d v="2022-01-05T00:00:00"/>
    <x v="22"/>
    <s v="Tampa"/>
    <n v="33673"/>
    <s v="United States"/>
    <x v="0"/>
    <n v="1"/>
    <x v="4"/>
  </r>
  <r>
    <n v="1513"/>
    <s v="Chris"/>
    <s v="Powell"/>
    <s v="cpowelle8@digg.com"/>
    <s v="cpowelle8"/>
    <x v="151"/>
    <s v="Automation Specialist III"/>
    <s v="Male"/>
    <s v="Eskimo"/>
    <n v="945"/>
    <x v="2"/>
    <d v="2022-01-06T00:00:00"/>
    <x v="2"/>
    <s v="Richmond"/>
    <n v="23289"/>
    <s v="United States"/>
    <x v="0"/>
    <n v="1"/>
    <x v="4"/>
  </r>
  <r>
    <n v="1092"/>
    <s v="Donna"/>
    <s v="Hanson"/>
    <s v="dhanson2j@salon.com"/>
    <s v="dhanson2j"/>
    <x v="62"/>
    <s v="Assistant Media Planner"/>
    <s v="Female"/>
    <s v="Mexican"/>
    <n v="263"/>
    <x v="12"/>
    <d v="2022-01-08T00:00:00"/>
    <x v="22"/>
    <s v="Sarasota"/>
    <n v="34233"/>
    <s v="United States"/>
    <x v="0"/>
    <n v="1"/>
    <x v="4"/>
  </r>
  <r>
    <n v="1144"/>
    <s v="Lori"/>
    <s v="Harvey"/>
    <s v="lharvey3z@ibm.com"/>
    <s v="lharvey3z"/>
    <x v="23"/>
    <s v="Technical Writer"/>
    <s v="Female"/>
    <s v="Asian"/>
    <n v="810"/>
    <x v="4"/>
    <d v="2022-01-08T00:00:00"/>
    <x v="5"/>
    <s v="Flushing"/>
    <n v="11355"/>
    <s v="United States"/>
    <x v="0"/>
    <n v="1"/>
    <x v="4"/>
  </r>
  <r>
    <n v="1408"/>
    <s v="Jonathan"/>
    <s v="Castillo"/>
    <s v="jcastillobb@i2i.jp"/>
    <s v="jcastillobb"/>
    <x v="126"/>
    <s v="Data Coordiator"/>
    <s v="Male"/>
    <s v="Japanese"/>
    <n v="617"/>
    <x v="1"/>
    <d v="2022-01-11T00:00:00"/>
    <x v="4"/>
    <s v="Gatesville"/>
    <n v="76598"/>
    <s v="United States"/>
    <x v="0"/>
    <n v="1"/>
    <x v="4"/>
  </r>
  <r>
    <n v="1277"/>
    <s v="Brandon"/>
    <s v="Spencer"/>
    <s v="bspencer7o@si.edu"/>
    <s v="bspencer7o"/>
    <x v="22"/>
    <s v="Nuclear Power Engineer"/>
    <s v="Male"/>
    <s v="South American"/>
    <n v="846"/>
    <x v="9"/>
    <d v="2022-01-13T00:00:00"/>
    <x v="19"/>
    <s v="Akron"/>
    <n v="44310"/>
    <s v="United States"/>
    <x v="0"/>
    <n v="1"/>
    <x v="4"/>
  </r>
  <r>
    <n v="1144"/>
    <s v="Lori"/>
    <s v="Harvey"/>
    <s v="lharvey3z@ibm.com"/>
    <s v="lharvey3z"/>
    <x v="23"/>
    <s v="Technical Writer"/>
    <s v="Female"/>
    <s v="Asian"/>
    <n v="661"/>
    <x v="4"/>
    <d v="2022-01-14T00:00:00"/>
    <x v="5"/>
    <s v="Flushing"/>
    <n v="11355"/>
    <s v="United States"/>
    <x v="0"/>
    <n v="1"/>
    <x v="4"/>
  </r>
  <r>
    <n v="1598"/>
    <s v="Christine"/>
    <s v="Alexander"/>
    <s v="calexandergl@weebly.com"/>
    <s v="calexandergl"/>
    <x v="202"/>
    <s v="Help Desk Operator"/>
    <s v="Female"/>
    <s v="Korean"/>
    <n v="666"/>
    <x v="1"/>
    <d v="2022-01-14T00:00:00"/>
    <x v="4"/>
    <s v="Dallas"/>
    <n v="75277"/>
    <s v="United States"/>
    <x v="0"/>
    <n v="1"/>
    <x v="4"/>
  </r>
  <r>
    <n v="1618"/>
    <s v="Joseph"/>
    <s v="Wood"/>
    <s v="jwoodh5@amazon.co.uk"/>
    <s v="jwoodh5"/>
    <x v="253"/>
    <s v="Database Administrator II"/>
    <s v="Male"/>
    <s v="Thai"/>
    <n v="972"/>
    <x v="1"/>
    <d v="2022-01-15T00:00:00"/>
    <x v="35"/>
    <s v="Laurel"/>
    <n v="20709"/>
    <s v="United States"/>
    <x v="0"/>
    <n v="1"/>
    <x v="4"/>
  </r>
  <r>
    <n v="1569"/>
    <s v="Carol"/>
    <s v="Marshall"/>
    <s v="cmarshallfs@studiopress.com"/>
    <s v="cmarshallfs"/>
    <x v="254"/>
    <s v="Pharmacist"/>
    <s v="Female"/>
    <s v="White"/>
    <n v="214"/>
    <x v="14"/>
    <d v="2022-01-16T00:00:00"/>
    <x v="28"/>
    <s v="Washington"/>
    <n v="20319"/>
    <s v="United States"/>
    <x v="0"/>
    <n v="1"/>
    <x v="4"/>
  </r>
  <r>
    <n v="1298"/>
    <s v="Anna"/>
    <s v="Thomas"/>
    <s v="athomas89@usa.gov"/>
    <s v="athomas89"/>
    <x v="33"/>
    <s v="Food Chemist"/>
    <s v="Female"/>
    <s v="Japanese"/>
    <n v="221"/>
    <x v="12"/>
    <d v="2022-01-17T00:00:00"/>
    <x v="22"/>
    <s v="Orlando"/>
    <n v="32891"/>
    <s v="United States"/>
    <x v="0"/>
    <n v="1"/>
    <x v="4"/>
  </r>
  <r>
    <n v="1549"/>
    <s v="Michael"/>
    <s v="Wilson"/>
    <s v="mwilsonf8@google.co.jp"/>
    <s v="mwilsonf8"/>
    <x v="158"/>
    <s v="Senior Cost Accountant"/>
    <s v="Male"/>
    <s v="Black or African American"/>
    <n v="995"/>
    <x v="1"/>
    <d v="2022-01-17T00:00:00"/>
    <x v="29"/>
    <s v="Louisville"/>
    <n v="40210"/>
    <s v="United States"/>
    <x v="0"/>
    <n v="1"/>
    <x v="4"/>
  </r>
  <r>
    <n v="1143"/>
    <s v="Lisa"/>
    <s v="Torres"/>
    <s v="ltorres3y@harvard.edu"/>
    <s v="ltorres3y"/>
    <x v="227"/>
    <s v="Dental Hygienist"/>
    <s v="Female"/>
    <s v="Asian"/>
    <n v="213"/>
    <x v="7"/>
    <d v="2022-01-18T00:00:00"/>
    <x v="40"/>
    <s v="Charleston"/>
    <n v="25356"/>
    <s v="United States"/>
    <x v="0"/>
    <n v="1"/>
    <x v="4"/>
  </r>
  <r>
    <n v="1234"/>
    <s v="Adam"/>
    <s v="Jenkins"/>
    <s v="ajenkins6h@comcast.net"/>
    <s v="ajenkins6h"/>
    <x v="4"/>
    <s v="Internal Auditor"/>
    <s v="Male"/>
    <s v="White"/>
    <n v="716"/>
    <x v="4"/>
    <d v="2022-01-18T00:00:00"/>
    <x v="4"/>
    <s v="Austin"/>
    <n v="78710"/>
    <s v="United States"/>
    <x v="0"/>
    <n v="1"/>
    <x v="4"/>
  </r>
  <r>
    <n v="1039"/>
    <s v="Jonathan"/>
    <s v="Roberts"/>
    <s v="jroberts12@nih.gov"/>
    <s v="jroberts12"/>
    <x v="109"/>
    <s v="Sales Representative"/>
    <s v="Male"/>
    <s v="Black or African American"/>
    <n v="346"/>
    <x v="11"/>
    <d v="2022-01-19T00:00:00"/>
    <x v="29"/>
    <s v="Louisville"/>
    <n v="40298"/>
    <s v="United States"/>
    <x v="0"/>
    <n v="1"/>
    <x v="4"/>
  </r>
  <r>
    <n v="1170"/>
    <s v="Albert"/>
    <s v="Roberts"/>
    <s v="aroberts4p@ezinearticles.com"/>
    <s v="aroberts4p"/>
    <x v="14"/>
    <s v="Accountant I"/>
    <s v="Male"/>
    <s v="White"/>
    <n v="781"/>
    <x v="0"/>
    <d v="2022-01-20T00:00:00"/>
    <x v="4"/>
    <s v="El Paso"/>
    <n v="88574"/>
    <s v="United States"/>
    <x v="0"/>
    <n v="1"/>
    <x v="4"/>
  </r>
  <r>
    <n v="1092"/>
    <s v="Donna"/>
    <s v="Hanson"/>
    <s v="dhanson2j@salon.com"/>
    <s v="dhanson2j"/>
    <x v="62"/>
    <s v="Assistant Media Planner"/>
    <s v="Female"/>
    <s v="Mexican"/>
    <n v="525"/>
    <x v="12"/>
    <d v="2022-01-21T00:00:00"/>
    <x v="22"/>
    <s v="Sarasota"/>
    <n v="34233"/>
    <s v="United States"/>
    <x v="0"/>
    <n v="1"/>
    <x v="4"/>
  </r>
  <r>
    <n v="1510"/>
    <s v="Paul"/>
    <s v="Johnston"/>
    <s v="pjohnstone5@fema.gov"/>
    <s v="pjohnstone5"/>
    <x v="96"/>
    <s v="Budget/Accounting Analyst II"/>
    <s v="Male"/>
    <s v="Taiwanese"/>
    <n v="300"/>
    <x v="1"/>
    <d v="2022-01-24T00:00:00"/>
    <x v="22"/>
    <s v="Hollywood"/>
    <n v="33023"/>
    <s v="United States"/>
    <x v="0"/>
    <n v="1"/>
    <x v="4"/>
  </r>
  <r>
    <n v="1998"/>
    <s v="Christopher"/>
    <s v="Stephens"/>
    <s v="cstephensrp@myspace.com"/>
    <s v="cstephensrp"/>
    <x v="10"/>
    <s v="Marketing Assistant"/>
    <s v="Male"/>
    <s v="Hispanic"/>
    <n v="677"/>
    <x v="1"/>
    <d v="2022-01-24T00:00:00"/>
    <x v="8"/>
    <s v="Saint Paul"/>
    <n v="55146"/>
    <s v="United States"/>
    <x v="0"/>
    <n v="1"/>
    <x v="4"/>
  </r>
  <r>
    <n v="1412"/>
    <s v="Joe"/>
    <s v="Bradley"/>
    <s v="jbradleybf@woothemes.com"/>
    <s v="jbradleybf"/>
    <x v="181"/>
    <s v="Tax Accountant"/>
    <s v="Male"/>
    <s v="American Indian"/>
    <n v="273"/>
    <x v="1"/>
    <d v="2022-01-25T00:00:00"/>
    <x v="31"/>
    <s v="Shawnee Mission"/>
    <n v="66286"/>
    <s v="United States"/>
    <x v="0"/>
    <n v="1"/>
    <x v="4"/>
  </r>
  <r>
    <n v="1691"/>
    <s v="Lois"/>
    <s v="Cook"/>
    <s v="lcookj6@ehow.com"/>
    <s v="lcookj6"/>
    <x v="255"/>
    <s v="VP Product Management"/>
    <s v="Female"/>
    <s v="Black or African American"/>
    <n v="361"/>
    <x v="1"/>
    <d v="2022-01-26T00:00:00"/>
    <x v="15"/>
    <s v="Greensboro"/>
    <n v="27404"/>
    <s v="United States"/>
    <x v="0"/>
    <n v="1"/>
    <x v="4"/>
  </r>
  <r>
    <n v="1630"/>
    <s v="Steve"/>
    <s v="Crawford"/>
    <s v="scrawfordhh@360.cn"/>
    <s v="scrawfordhh"/>
    <x v="154"/>
    <s v="VP Accounting"/>
    <s v="Male"/>
    <s v="Black or African American"/>
    <n v="928"/>
    <x v="0"/>
    <d v="2022-01-27T00:00:00"/>
    <x v="47"/>
    <s v="Ogden"/>
    <n v="84403"/>
    <s v="United States"/>
    <x v="0"/>
    <n v="1"/>
    <x v="4"/>
  </r>
  <r>
    <n v="1020"/>
    <s v="Andrea"/>
    <s v="Mason"/>
    <s v="amasonj@yelp.com"/>
    <s v="amasonj"/>
    <x v="34"/>
    <s v="Financial Advisor"/>
    <s v="Female"/>
    <s v="Black or African American"/>
    <n v="367"/>
    <x v="1"/>
    <d v="2022-01-31T00:00:00"/>
    <x v="1"/>
    <s v="San Francisco"/>
    <n v="94105"/>
    <s v="United States"/>
    <x v="0"/>
    <n v="1"/>
    <x v="4"/>
  </r>
  <r>
    <n v="1748"/>
    <s v="Brian"/>
    <s v="Mcdonald"/>
    <s v="bmcdonaldkr@exblog.jp"/>
    <s v="bmcdonaldkr"/>
    <x v="243"/>
    <s v="Automation Specialist III"/>
    <s v="Male"/>
    <s v="Native Hawaiian and Other Pacific Islander (NHPI)"/>
    <n v="114"/>
    <x v="3"/>
    <d v="2022-01-31T00:00:00"/>
    <x v="47"/>
    <s v="Salt Lake City"/>
    <n v="84189"/>
    <s v="United States"/>
    <x v="0"/>
    <n v="1"/>
    <x v="4"/>
  </r>
  <r>
    <n v="1365"/>
    <s v="Roy"/>
    <s v="Snyder"/>
    <s v="rsnydera4@whitehouse.gov"/>
    <s v="rsnydera4"/>
    <x v="56"/>
    <s v="Help Desk Technician"/>
    <s v="Male"/>
    <s v="Mexican"/>
    <n v="154"/>
    <x v="4"/>
    <d v="2022-02-01T00:00:00"/>
    <x v="22"/>
    <s v="Miami"/>
    <n v="33261"/>
    <s v="United States"/>
    <x v="1"/>
    <n v="2"/>
    <x v="4"/>
  </r>
  <r>
    <n v="1437"/>
    <s v="Wayne"/>
    <s v="Willis"/>
    <s v="wwillisc4@phoca.cz"/>
    <s v="wwillisc4"/>
    <x v="85"/>
    <s v="Software Consultant"/>
    <s v="Male"/>
    <s v="Argentinian"/>
    <n v="750"/>
    <x v="1"/>
    <d v="2022-02-01T00:00:00"/>
    <x v="24"/>
    <s v="Reno"/>
    <n v="89505"/>
    <s v="United States"/>
    <x v="1"/>
    <n v="2"/>
    <x v="4"/>
  </r>
  <r>
    <n v="1039"/>
    <s v="Jonathan"/>
    <s v="Roberts"/>
    <s v="jroberts12@nih.gov"/>
    <s v="jroberts12"/>
    <x v="109"/>
    <s v="Sales Representative"/>
    <s v="Male"/>
    <s v="Black or African American"/>
    <n v="910"/>
    <x v="11"/>
    <d v="2022-02-02T00:00:00"/>
    <x v="29"/>
    <s v="Louisville"/>
    <n v="40298"/>
    <s v="United States"/>
    <x v="1"/>
    <n v="2"/>
    <x v="4"/>
  </r>
  <r>
    <n v="1019"/>
    <s v="Lillian"/>
    <s v="Fuller"/>
    <s v="lfulleri@miitbeian.gov.cn"/>
    <s v="lfulleri"/>
    <x v="67"/>
    <s v="Sales Associate"/>
    <s v="Female"/>
    <s v="Black or African American"/>
    <n v="988"/>
    <x v="4"/>
    <d v="2022-02-04T00:00:00"/>
    <x v="33"/>
    <s v="Boise"/>
    <n v="83705"/>
    <s v="United States"/>
    <x v="1"/>
    <n v="2"/>
    <x v="4"/>
  </r>
  <r>
    <n v="1212"/>
    <s v="Patricia"/>
    <s v="Weaver"/>
    <s v="pweaver5v@merriam-webster.com"/>
    <s v="pweaver5v"/>
    <x v="11"/>
    <s v="Staff Accountant I"/>
    <s v="Female"/>
    <s v="White"/>
    <n v="917"/>
    <x v="6"/>
    <d v="2022-02-07T00:00:00"/>
    <x v="9"/>
    <s v="Hartford"/>
    <n v="6183"/>
    <s v="United States"/>
    <x v="1"/>
    <n v="2"/>
    <x v="4"/>
  </r>
  <r>
    <n v="1260"/>
    <s v="Willie"/>
    <s v="King"/>
    <s v="wking77@apache.org"/>
    <s v="wking77"/>
    <x v="39"/>
    <s v="Software Consultant"/>
    <s v="Male"/>
    <s v="Japanese"/>
    <n v="108"/>
    <x v="1"/>
    <d v="2022-02-08T00:00:00"/>
    <x v="26"/>
    <s v="Spokane"/>
    <n v="99215"/>
    <s v="United States"/>
    <x v="1"/>
    <n v="2"/>
    <x v="4"/>
  </r>
  <r>
    <n v="1212"/>
    <s v="Patricia"/>
    <s v="Weaver"/>
    <s v="pweaver5v@merriam-webster.com"/>
    <s v="pweaver5v"/>
    <x v="11"/>
    <s v="Staff Accountant I"/>
    <s v="Female"/>
    <s v="White"/>
    <n v="49"/>
    <x v="6"/>
    <d v="2022-02-09T00:00:00"/>
    <x v="9"/>
    <s v="Hartford"/>
    <n v="6183"/>
    <s v="United States"/>
    <x v="1"/>
    <n v="2"/>
    <x v="4"/>
  </r>
  <r>
    <n v="1681"/>
    <s v="Mildred"/>
    <s v="Anderson"/>
    <s v="mandersoniw@list-manage.com"/>
    <s v="mandersoniw"/>
    <x v="168"/>
    <s v="Graphic Designer"/>
    <s v="Female"/>
    <s v="Black or African American"/>
    <n v="245"/>
    <x v="1"/>
    <d v="2022-02-09T00:00:00"/>
    <x v="1"/>
    <s v="San Diego"/>
    <n v="92153"/>
    <s v="United States"/>
    <x v="1"/>
    <n v="2"/>
    <x v="4"/>
  </r>
  <r>
    <n v="1783"/>
    <s v="Juan"/>
    <s v="Jones"/>
    <s v="jjoneslq@vistaprint.com"/>
    <s v="jjoneslq"/>
    <x v="33"/>
    <s v="Programmer III"/>
    <s v="Male"/>
    <s v="Asian"/>
    <n v="517"/>
    <x v="11"/>
    <d v="2022-02-09T00:00:00"/>
    <x v="25"/>
    <s v="Tucson"/>
    <n v="85715"/>
    <s v="United States"/>
    <x v="1"/>
    <n v="2"/>
    <x v="4"/>
  </r>
  <r>
    <n v="1682"/>
    <s v="Randy"/>
    <s v="Bennett"/>
    <s v="rbennettix@icq.com"/>
    <s v="rbennettix"/>
    <x v="161"/>
    <s v="Actuary"/>
    <s v="Male"/>
    <s v="Black or African American"/>
    <n v="688"/>
    <x v="11"/>
    <d v="2022-02-12T00:00:00"/>
    <x v="0"/>
    <s v="Saginaw"/>
    <n v="48604"/>
    <s v="United States"/>
    <x v="1"/>
    <n v="2"/>
    <x v="4"/>
  </r>
  <r>
    <n v="1123"/>
    <s v="Randy"/>
    <s v="Hamilton"/>
    <s v="rhamilton3e@loc.gov"/>
    <s v="rhamilton3e"/>
    <x v="82"/>
    <s v="Geological Engineer"/>
    <s v="Male"/>
    <s v="Mexican"/>
    <n v="903"/>
    <x v="0"/>
    <d v="2022-02-13T00:00:00"/>
    <x v="22"/>
    <s v="Tampa"/>
    <n v="33673"/>
    <s v="United States"/>
    <x v="1"/>
    <n v="2"/>
    <x v="4"/>
  </r>
  <r>
    <n v="1020"/>
    <s v="Andrea"/>
    <s v="Mason"/>
    <s v="amasonj@yelp.com"/>
    <s v="amasonj"/>
    <x v="34"/>
    <s v="Financial Advisor"/>
    <s v="Female"/>
    <s v="Black or African American"/>
    <n v="844"/>
    <x v="1"/>
    <d v="2022-02-17T00:00:00"/>
    <x v="1"/>
    <s v="San Francisco"/>
    <n v="94105"/>
    <s v="United States"/>
    <x v="1"/>
    <n v="2"/>
    <x v="4"/>
  </r>
  <r>
    <n v="1812"/>
    <s v="Randy"/>
    <s v="Harris"/>
    <s v="rharrismj@omniture.com"/>
    <s v="rharrismj"/>
    <x v="23"/>
    <s v="Clinical Specialist"/>
    <s v="Male"/>
    <s v="Japanese"/>
    <n v="436"/>
    <x v="6"/>
    <d v="2022-02-17T00:00:00"/>
    <x v="20"/>
    <s v="Birmingham"/>
    <n v="35220"/>
    <s v="United States"/>
    <x v="1"/>
    <n v="2"/>
    <x v="4"/>
  </r>
  <r>
    <n v="1812"/>
    <s v="Randy"/>
    <s v="Harris"/>
    <s v="rharrismj@omniture.com"/>
    <s v="rharrismj"/>
    <x v="23"/>
    <s v="Clinical Specialist"/>
    <s v="Male"/>
    <s v="Japanese"/>
    <n v="673"/>
    <x v="6"/>
    <d v="2022-02-18T00:00:00"/>
    <x v="20"/>
    <s v="Birmingham"/>
    <n v="35220"/>
    <s v="United States"/>
    <x v="1"/>
    <n v="2"/>
    <x v="4"/>
  </r>
  <r>
    <n v="1851"/>
    <s v="Linda"/>
    <s v="Washington"/>
    <s v="lwashingtonnm@jalbum.net"/>
    <s v="lwashingtonnm"/>
    <x v="76"/>
    <s v="Teacher"/>
    <s v="Female"/>
    <s v="White"/>
    <n v="603"/>
    <x v="12"/>
    <d v="2022-02-18T00:00:00"/>
    <x v="5"/>
    <s v="Brooklyn"/>
    <n v="11210"/>
    <s v="United States"/>
    <x v="1"/>
    <n v="2"/>
    <x v="4"/>
  </r>
  <r>
    <n v="1170"/>
    <s v="Albert"/>
    <s v="Roberts"/>
    <s v="aroberts4p@ezinearticles.com"/>
    <s v="aroberts4p"/>
    <x v="14"/>
    <s v="Accountant I"/>
    <s v="Male"/>
    <s v="White"/>
    <n v="328"/>
    <x v="0"/>
    <d v="2022-02-20T00:00:00"/>
    <x v="4"/>
    <s v="El Paso"/>
    <n v="88574"/>
    <s v="United States"/>
    <x v="1"/>
    <n v="2"/>
    <x v="4"/>
  </r>
  <r>
    <n v="1400"/>
    <s v="Benjamin"/>
    <s v="Moore"/>
    <s v="bmooreb3@over-blog.com"/>
    <s v="bmooreb3"/>
    <x v="46"/>
    <s v="Geological Engineer"/>
    <s v="Male"/>
    <s v="Asian"/>
    <n v="268"/>
    <x v="1"/>
    <d v="2022-02-20T00:00:00"/>
    <x v="16"/>
    <s v="Pittsburgh"/>
    <n v="15274"/>
    <s v="United States"/>
    <x v="1"/>
    <n v="2"/>
    <x v="4"/>
  </r>
  <r>
    <n v="1298"/>
    <s v="Anna"/>
    <s v="Thomas"/>
    <s v="athomas89@usa.gov"/>
    <s v="athomas89"/>
    <x v="33"/>
    <s v="Food Chemist"/>
    <s v="Female"/>
    <s v="Japanese"/>
    <n v="420"/>
    <x v="12"/>
    <d v="2022-02-22T00:00:00"/>
    <x v="22"/>
    <s v="Orlando"/>
    <n v="32891"/>
    <s v="United States"/>
    <x v="1"/>
    <n v="2"/>
    <x v="4"/>
  </r>
  <r>
    <n v="1081"/>
    <s v="Tina"/>
    <s v="Lewis"/>
    <s v="tlewis28@mozilla.org"/>
    <s v="tlewis28"/>
    <x v="63"/>
    <s v="Operator"/>
    <s v="Female"/>
    <s v="Mexican"/>
    <n v="428"/>
    <x v="14"/>
    <d v="2022-02-24T00:00:00"/>
    <x v="19"/>
    <s v="Dayton"/>
    <n v="45426"/>
    <s v="United States"/>
    <x v="1"/>
    <n v="2"/>
    <x v="4"/>
  </r>
  <r>
    <n v="1170"/>
    <s v="Albert"/>
    <s v="Roberts"/>
    <s v="aroberts4p@ezinearticles.com"/>
    <s v="aroberts4p"/>
    <x v="14"/>
    <s v="Accountant I"/>
    <s v="Male"/>
    <s v="White"/>
    <n v="472"/>
    <x v="0"/>
    <d v="2022-02-25T00:00:00"/>
    <x v="4"/>
    <s v="El Paso"/>
    <n v="88574"/>
    <s v="United States"/>
    <x v="1"/>
    <n v="2"/>
    <x v="4"/>
  </r>
  <r>
    <n v="1880"/>
    <s v="Rebecca"/>
    <s v="Lawson"/>
    <s v="rlawsonof@nsw.gov.au"/>
    <s v="rlawsonof"/>
    <x v="12"/>
    <s v="Software Engineer I"/>
    <s v="Female"/>
    <s v="Taiwanese"/>
    <n v="159"/>
    <x v="1"/>
    <d v="2022-02-28T00:00:00"/>
    <x v="10"/>
    <s v="Chicago"/>
    <n v="60614"/>
    <s v="United States"/>
    <x v="1"/>
    <n v="2"/>
    <x v="4"/>
  </r>
  <r>
    <n v="1020"/>
    <s v="Andrea"/>
    <s v="Mason"/>
    <s v="amasonj@yelp.com"/>
    <s v="amasonj"/>
    <x v="34"/>
    <s v="Financial Advisor"/>
    <s v="Female"/>
    <s v="Black or African American"/>
    <n v="51"/>
    <x v="1"/>
    <d v="2022-03-01T00:00:00"/>
    <x v="1"/>
    <s v="San Francisco"/>
    <n v="94105"/>
    <s v="United States"/>
    <x v="2"/>
    <n v="3"/>
    <x v="4"/>
  </r>
  <r>
    <n v="1735"/>
    <s v="Linda"/>
    <s v="Price"/>
    <s v="lpriceke@about.me"/>
    <s v="lpriceke"/>
    <x v="252"/>
    <s v="General Manager"/>
    <s v="Female"/>
    <s v="Korean"/>
    <n v="696"/>
    <x v="1"/>
    <d v="2022-03-06T00:00:00"/>
    <x v="15"/>
    <s v="Raleigh"/>
    <n v="27615"/>
    <s v="United States"/>
    <x v="2"/>
    <n v="3"/>
    <x v="4"/>
  </r>
  <r>
    <n v="1401"/>
    <s v="Thomas"/>
    <s v="Cruz"/>
    <s v="tcruzb4@so-net.ne.jp"/>
    <s v="tcruzb4"/>
    <x v="245"/>
    <s v="Research Associate"/>
    <s v="Male"/>
    <s v="Eskimo"/>
    <n v="582"/>
    <x v="1"/>
    <d v="2022-03-07T00:00:00"/>
    <x v="2"/>
    <s v="Alexandria"/>
    <n v="22333"/>
    <s v="United States"/>
    <x v="2"/>
    <n v="3"/>
    <x v="4"/>
  </r>
  <r>
    <n v="1652"/>
    <s v="Margaret"/>
    <s v="Gonzalez"/>
    <s v="mgonzalezi3@mapy.cz"/>
    <s v="mgonzalezi3"/>
    <x v="11"/>
    <s v="Engineer II"/>
    <s v="Female"/>
    <s v="Black or African American"/>
    <n v="56"/>
    <x v="15"/>
    <d v="2022-03-07T00:00:00"/>
    <x v="24"/>
    <s v="Las Vegas"/>
    <n v="89110"/>
    <s v="United States"/>
    <x v="2"/>
    <n v="3"/>
    <x v="4"/>
  </r>
  <r>
    <n v="1039"/>
    <s v="Jonathan"/>
    <s v="Roberts"/>
    <s v="jroberts12@nih.gov"/>
    <s v="jroberts12"/>
    <x v="109"/>
    <s v="Sales Representative"/>
    <s v="Male"/>
    <s v="Black or African American"/>
    <n v="824"/>
    <x v="11"/>
    <d v="2022-03-08T00:00:00"/>
    <x v="29"/>
    <s v="Louisville"/>
    <n v="40298"/>
    <s v="United States"/>
    <x v="2"/>
    <n v="3"/>
    <x v="4"/>
  </r>
  <r>
    <n v="1678"/>
    <s v="Judy"/>
    <s v="Reed"/>
    <s v="jreedit@sun.com"/>
    <s v="jreedit"/>
    <x v="256"/>
    <s v="Assistant Professor"/>
    <s v="Female"/>
    <s v="Black or African American"/>
    <n v="328"/>
    <x v="5"/>
    <d v="2022-03-08T00:00:00"/>
    <x v="38"/>
    <s v="Myrtle Beach"/>
    <n v="29579"/>
    <s v="United States"/>
    <x v="2"/>
    <n v="3"/>
    <x v="4"/>
  </r>
  <r>
    <n v="1880"/>
    <s v="Rebecca"/>
    <s v="Lawson"/>
    <s v="rlawsonof@nsw.gov.au"/>
    <s v="rlawsonof"/>
    <x v="12"/>
    <s v="Software Engineer I"/>
    <s v="Female"/>
    <s v="Taiwanese"/>
    <n v="141"/>
    <x v="1"/>
    <d v="2022-03-08T00:00:00"/>
    <x v="10"/>
    <s v="Chicago"/>
    <n v="60614"/>
    <s v="United States"/>
    <x v="2"/>
    <n v="3"/>
    <x v="4"/>
  </r>
  <r>
    <n v="1364"/>
    <s v="James"/>
    <s v="Morris"/>
    <s v="jmorrisa3@mlb.com"/>
    <s v="jmorrisa3"/>
    <x v="244"/>
    <s v="Accountant I"/>
    <s v="Male"/>
    <s v="American Indian"/>
    <n v="524"/>
    <x v="9"/>
    <d v="2022-03-09T00:00:00"/>
    <x v="7"/>
    <s v="New Orleans"/>
    <n v="70142"/>
    <s v="United States"/>
    <x v="2"/>
    <n v="3"/>
    <x v="4"/>
  </r>
  <r>
    <n v="1812"/>
    <s v="Randy"/>
    <s v="Harris"/>
    <s v="rharrismj@omniture.com"/>
    <s v="rharrismj"/>
    <x v="23"/>
    <s v="Clinical Specialist"/>
    <s v="Male"/>
    <s v="Japanese"/>
    <n v="43"/>
    <x v="6"/>
    <d v="2022-03-10T00:00:00"/>
    <x v="20"/>
    <s v="Birmingham"/>
    <n v="35220"/>
    <s v="United States"/>
    <x v="2"/>
    <n v="3"/>
    <x v="4"/>
  </r>
  <r>
    <n v="1234"/>
    <s v="Adam"/>
    <s v="Jenkins"/>
    <s v="ajenkins6h@comcast.net"/>
    <s v="ajenkins6h"/>
    <x v="4"/>
    <s v="Internal Auditor"/>
    <s v="Male"/>
    <s v="White"/>
    <n v="156"/>
    <x v="4"/>
    <d v="2022-03-12T00:00:00"/>
    <x v="4"/>
    <s v="Austin"/>
    <n v="78710"/>
    <s v="United States"/>
    <x v="2"/>
    <n v="3"/>
    <x v="4"/>
  </r>
  <r>
    <n v="1987"/>
    <s v="Willie"/>
    <s v="Mason"/>
    <s v="wmasonre@amazon.co.jp"/>
    <s v="wmasonre"/>
    <x v="108"/>
    <s v="Social Worker"/>
    <s v="Male"/>
    <s v="White"/>
    <n v="45"/>
    <x v="1"/>
    <d v="2022-03-13T00:00:00"/>
    <x v="15"/>
    <s v="Fayetteville"/>
    <n v="28305"/>
    <s v="United States"/>
    <x v="2"/>
    <n v="3"/>
    <x v="4"/>
  </r>
  <r>
    <n v="1022"/>
    <s v="Todd"/>
    <s v="Peters"/>
    <s v="tpetersl@dot.gov"/>
    <s v="tpetersl"/>
    <x v="74"/>
    <s v="Design Engineer"/>
    <s v="Male"/>
    <s v="Black or African American"/>
    <n v="529"/>
    <x v="1"/>
    <d v="2022-03-14T00:00:00"/>
    <x v="28"/>
    <s v="Washington"/>
    <n v="20430"/>
    <s v="United States"/>
    <x v="2"/>
    <n v="3"/>
    <x v="4"/>
  </r>
  <r>
    <n v="1168"/>
    <s v="Amanda"/>
    <s v="Cunningham"/>
    <s v="acunningham4n@blogs.com"/>
    <s v="acunningham4n"/>
    <x v="257"/>
    <s v="Web Designer I"/>
    <s v="Female"/>
    <s v="White"/>
    <n v="154"/>
    <x v="1"/>
    <d v="2022-03-14T00:00:00"/>
    <x v="22"/>
    <s v="Bradenton"/>
    <n v="34210"/>
    <s v="United States"/>
    <x v="2"/>
    <n v="3"/>
    <x v="4"/>
  </r>
  <r>
    <n v="1116"/>
    <s v="Christina"/>
    <s v="Wheeler"/>
    <s v="cwheeler37@ovh.net"/>
    <s v="cwheeler37"/>
    <x v="3"/>
    <s v="Information Systems Manager"/>
    <s v="Female"/>
    <s v="Mexican"/>
    <n v="121"/>
    <x v="3"/>
    <d v="2022-03-15T00:00:00"/>
    <x v="3"/>
    <s v="Duluth"/>
    <n v="30096"/>
    <s v="United States"/>
    <x v="2"/>
    <n v="3"/>
    <x v="4"/>
  </r>
  <r>
    <n v="1277"/>
    <s v="Brandon"/>
    <s v="Spencer"/>
    <s v="bspencer7o@si.edu"/>
    <s v="bspencer7o"/>
    <x v="22"/>
    <s v="Nuclear Power Engineer"/>
    <s v="Male"/>
    <s v="South American"/>
    <n v="334"/>
    <x v="9"/>
    <d v="2022-03-15T00:00:00"/>
    <x v="19"/>
    <s v="Akron"/>
    <n v="44310"/>
    <s v="United States"/>
    <x v="2"/>
    <n v="3"/>
    <x v="4"/>
  </r>
  <r>
    <n v="1992"/>
    <s v="Karen"/>
    <s v="Hunt"/>
    <s v="khuntrj@harvard.edu"/>
    <s v="khuntrj"/>
    <x v="95"/>
    <s v="VP Marketing"/>
    <s v="Female"/>
    <s v="White"/>
    <n v="693"/>
    <x v="1"/>
    <d v="2022-03-15T00:00:00"/>
    <x v="18"/>
    <s v="Muncie"/>
    <n v="47306"/>
    <s v="United States"/>
    <x v="2"/>
    <n v="3"/>
    <x v="4"/>
  </r>
  <r>
    <n v="1776"/>
    <s v="Jerry"/>
    <s v="Turner"/>
    <s v="jturnerlj@ucsd.edu"/>
    <s v="jturnerlj"/>
    <x v="194"/>
    <s v="Administrative Officer"/>
    <s v="Male"/>
    <s v="Asian"/>
    <n v="314"/>
    <x v="6"/>
    <d v="2022-03-16T00:00:00"/>
    <x v="2"/>
    <s v="Arlington"/>
    <n v="22205"/>
    <s v="United States"/>
    <x v="2"/>
    <n v="3"/>
    <x v="4"/>
  </r>
  <r>
    <n v="1984"/>
    <s v="Carol"/>
    <s v="Hill"/>
    <s v="chillrb@loc.gov"/>
    <s v="chillrb"/>
    <x v="120"/>
    <s v="Systems Administrator IV"/>
    <s v="Female"/>
    <s v="White"/>
    <n v="121"/>
    <x v="4"/>
    <d v="2022-03-16T00:00:00"/>
    <x v="13"/>
    <s v="Springfield"/>
    <n v="65810"/>
    <s v="United States"/>
    <x v="2"/>
    <n v="3"/>
    <x v="4"/>
  </r>
  <r>
    <n v="1365"/>
    <s v="Roy"/>
    <s v="Snyder"/>
    <s v="rsnydera4@whitehouse.gov"/>
    <s v="rsnydera4"/>
    <x v="56"/>
    <s v="Help Desk Technician"/>
    <s v="Male"/>
    <s v="Mexican"/>
    <n v="438"/>
    <x v="4"/>
    <d v="2022-03-17T00:00:00"/>
    <x v="22"/>
    <s v="Miami"/>
    <n v="33261"/>
    <s v="United States"/>
    <x v="2"/>
    <n v="3"/>
    <x v="4"/>
  </r>
  <r>
    <n v="1536"/>
    <s v="Howard"/>
    <s v="Medina"/>
    <s v="hmedinaev@pagesperso-orange.fr"/>
    <s v="hmedinaev"/>
    <x v="258"/>
    <s v="Software Test Engineer III"/>
    <s v="Male"/>
    <s v="Korean"/>
    <n v="285"/>
    <x v="10"/>
    <d v="2022-03-17T00:00:00"/>
    <x v="1"/>
    <s v="Fresno"/>
    <n v="93786"/>
    <s v="United States"/>
    <x v="2"/>
    <n v="3"/>
    <x v="4"/>
  </r>
  <r>
    <n v="1020"/>
    <s v="Andrea"/>
    <s v="Mason"/>
    <s v="amasonj@yelp.com"/>
    <s v="amasonj"/>
    <x v="34"/>
    <s v="Financial Advisor"/>
    <s v="Female"/>
    <s v="Black or African American"/>
    <n v="49"/>
    <x v="1"/>
    <d v="2022-03-19T00:00:00"/>
    <x v="1"/>
    <s v="San Francisco"/>
    <n v="94105"/>
    <s v="United States"/>
    <x v="2"/>
    <n v="3"/>
    <x v="4"/>
  </r>
  <r>
    <n v="1021"/>
    <s v="Amy"/>
    <s v="Jordan"/>
    <s v="ajordank@ed.gov"/>
    <s v="ajordank"/>
    <x v="0"/>
    <s v="Electrical Engineer"/>
    <s v="Female"/>
    <s v="Black or African American"/>
    <n v="756"/>
    <x v="0"/>
    <d v="2022-03-19T00:00:00"/>
    <x v="0"/>
    <s v="Flint"/>
    <n v="48555"/>
    <s v="United States"/>
    <x v="2"/>
    <n v="3"/>
    <x v="4"/>
  </r>
  <r>
    <n v="1260"/>
    <s v="Willie"/>
    <s v="King"/>
    <s v="wking77@apache.org"/>
    <s v="wking77"/>
    <x v="39"/>
    <s v="Software Consultant"/>
    <s v="Male"/>
    <s v="Japanese"/>
    <n v="646"/>
    <x v="1"/>
    <d v="2022-03-21T00:00:00"/>
    <x v="26"/>
    <s v="Spokane"/>
    <n v="99215"/>
    <s v="United States"/>
    <x v="2"/>
    <n v="3"/>
    <x v="4"/>
  </r>
  <r>
    <n v="1732"/>
    <s v="Christina"/>
    <s v="Perkins"/>
    <s v="cperkinskb@arizona.edu"/>
    <s v="cperkinskb"/>
    <x v="217"/>
    <s v="Payment Adjustment Coordinator"/>
    <s v="Female"/>
    <s v="Japanese"/>
    <n v="488"/>
    <x v="1"/>
    <d v="2022-03-22T00:00:00"/>
    <x v="44"/>
    <s v="Jackson"/>
    <n v="39204"/>
    <s v="United States"/>
    <x v="2"/>
    <n v="3"/>
    <x v="4"/>
  </r>
  <r>
    <n v="1751"/>
    <s v="Melissa"/>
    <s v="Spencer"/>
    <s v="mspencerku@jalbum.net"/>
    <s v="mspencerku"/>
    <x v="88"/>
    <s v="Environmental Specialist"/>
    <s v="Female"/>
    <s v="American Indian"/>
    <n v="526"/>
    <x v="0"/>
    <d v="2022-03-23T00:00:00"/>
    <x v="15"/>
    <s v="Charlotte"/>
    <n v="28247"/>
    <s v="United States"/>
    <x v="2"/>
    <n v="3"/>
    <x v="4"/>
  </r>
  <r>
    <n v="1606"/>
    <s v="Paula"/>
    <s v="James"/>
    <s v="pjamesgt@flickr.com"/>
    <s v="pjamesgt"/>
    <x v="259"/>
    <s v="Administrative Officer"/>
    <s v="Female"/>
    <s v="Costa Rican"/>
    <n v="681"/>
    <x v="8"/>
    <d v="2022-03-25T00:00:00"/>
    <x v="4"/>
    <s v="Garland"/>
    <n v="75049"/>
    <s v="United States"/>
    <x v="2"/>
    <n v="3"/>
    <x v="4"/>
  </r>
  <r>
    <n v="1395"/>
    <s v="Gregory"/>
    <s v="Wright"/>
    <s v="gwrightay@ovh.net"/>
    <s v="gwrightay"/>
    <x v="100"/>
    <s v="Technical Writer"/>
    <s v="Male"/>
    <s v="Eskimo"/>
    <n v="806"/>
    <x v="9"/>
    <d v="2022-03-26T00:00:00"/>
    <x v="23"/>
    <s v="Milwaukee"/>
    <n v="53234"/>
    <s v="United States"/>
    <x v="2"/>
    <n v="3"/>
    <x v="4"/>
  </r>
  <r>
    <n v="1880"/>
    <s v="Rebecca"/>
    <s v="Lawson"/>
    <s v="rlawsonof@nsw.gov.au"/>
    <s v="rlawsonof"/>
    <x v="12"/>
    <s v="Software Engineer I"/>
    <s v="Female"/>
    <s v="Taiwanese"/>
    <n v="548"/>
    <x v="1"/>
    <d v="2022-03-29T00:00:00"/>
    <x v="10"/>
    <s v="Chicago"/>
    <n v="60614"/>
    <s v="United States"/>
    <x v="2"/>
    <n v="3"/>
    <x v="4"/>
  </r>
  <r>
    <n v="1026"/>
    <s v="Jacqueline"/>
    <s v="Ellis"/>
    <s v="jellisp@imageshack.us"/>
    <s v="jellisp"/>
    <x v="6"/>
    <s v="Senior Sales Associate"/>
    <s v="Female"/>
    <s v="Black or African American"/>
    <n v="466"/>
    <x v="1"/>
    <d v="2022-03-30T00:00:00"/>
    <x v="5"/>
    <s v="Bronx"/>
    <n v="10469"/>
    <s v="United States"/>
    <x v="2"/>
    <n v="3"/>
    <x v="4"/>
  </r>
  <r>
    <n v="1645"/>
    <s v="Tina"/>
    <s v="Parker"/>
    <s v="tparkerhw@technorati.com"/>
    <s v="tparkerhw"/>
    <x v="109"/>
    <s v="Editor"/>
    <s v="Female"/>
    <s v="Black or African American"/>
    <n v="282"/>
    <x v="6"/>
    <d v="2022-03-30T00:00:00"/>
    <x v="8"/>
    <s v="Minneapolis"/>
    <n v="55428"/>
    <s v="United States"/>
    <x v="2"/>
    <n v="3"/>
    <x v="4"/>
  </r>
  <r>
    <n v="1020"/>
    <s v="Andrea"/>
    <s v="Mason"/>
    <s v="amasonj@yelp.com"/>
    <s v="amasonj"/>
    <x v="34"/>
    <s v="Financial Advisor"/>
    <s v="Female"/>
    <s v="Black or African American"/>
    <n v="477"/>
    <x v="1"/>
    <d v="2022-03-31T00:00:00"/>
    <x v="1"/>
    <s v="San Francisco"/>
    <n v="94105"/>
    <s v="United States"/>
    <x v="2"/>
    <n v="3"/>
    <x v="4"/>
  </r>
  <r>
    <n v="1144"/>
    <s v="Lori"/>
    <s v="Harvey"/>
    <s v="lharvey3z@ibm.com"/>
    <s v="lharvey3z"/>
    <x v="23"/>
    <s v="Technical Writer"/>
    <s v="Female"/>
    <s v="Asian"/>
    <n v="682"/>
    <x v="4"/>
    <d v="2022-04-01T00:00:00"/>
    <x v="5"/>
    <s v="Flushing"/>
    <n v="11355"/>
    <s v="United States"/>
    <x v="3"/>
    <n v="4"/>
    <x v="4"/>
  </r>
  <r>
    <n v="1212"/>
    <s v="Patricia"/>
    <s v="Weaver"/>
    <s v="pweaver5v@merriam-webster.com"/>
    <s v="pweaver5v"/>
    <x v="11"/>
    <s v="Staff Accountant I"/>
    <s v="Female"/>
    <s v="White"/>
    <n v="656"/>
    <x v="6"/>
    <d v="2022-04-02T00:00:00"/>
    <x v="9"/>
    <s v="Hartford"/>
    <n v="6183"/>
    <s v="United States"/>
    <x v="3"/>
    <n v="4"/>
    <x v="4"/>
  </r>
  <r>
    <n v="1647"/>
    <s v="Marie"/>
    <s v="Marshall"/>
    <s v="mmarshallhy@tripadvisor.com"/>
    <s v="mmarshallhy"/>
    <x v="260"/>
    <s v="Project Manager"/>
    <s v="Female"/>
    <s v="Black or African American"/>
    <n v="50"/>
    <x v="1"/>
    <d v="2022-04-02T00:00:00"/>
    <x v="1"/>
    <s v="Orange"/>
    <n v="92867"/>
    <s v="United States"/>
    <x v="3"/>
    <n v="4"/>
    <x v="4"/>
  </r>
  <r>
    <n v="1258"/>
    <s v="Karen"/>
    <s v="Hart"/>
    <s v="khart75@51.la"/>
    <s v="khart75"/>
    <x v="91"/>
    <s v="Design Engineer"/>
    <s v="Female"/>
    <s v="Costa Rican"/>
    <n v="485"/>
    <x v="7"/>
    <d v="2022-04-03T00:00:00"/>
    <x v="30"/>
    <s v="Memphis"/>
    <n v="38119"/>
    <s v="United States"/>
    <x v="3"/>
    <n v="4"/>
    <x v="4"/>
  </r>
  <r>
    <n v="1961"/>
    <s v="Patricia"/>
    <s v="Rogers"/>
    <s v="progersqo@360.cn"/>
    <s v="progersqo"/>
    <x v="173"/>
    <s v="Programmer III"/>
    <s v="Female"/>
    <s v="American Indian"/>
    <n v="33"/>
    <x v="1"/>
    <d v="2022-04-06T00:00:00"/>
    <x v="28"/>
    <s v="Washington"/>
    <n v="20046"/>
    <s v="United States"/>
    <x v="3"/>
    <n v="4"/>
    <x v="4"/>
  </r>
  <r>
    <n v="1987"/>
    <s v="Willie"/>
    <s v="Mason"/>
    <s v="wmasonre@amazon.co.jp"/>
    <s v="wmasonre"/>
    <x v="108"/>
    <s v="Social Worker"/>
    <s v="Male"/>
    <s v="White"/>
    <n v="947"/>
    <x v="1"/>
    <d v="2022-04-06T00:00:00"/>
    <x v="15"/>
    <s v="Fayetteville"/>
    <n v="28305"/>
    <s v="United States"/>
    <x v="3"/>
    <n v="4"/>
    <x v="4"/>
  </r>
  <r>
    <n v="1783"/>
    <s v="Juan"/>
    <s v="Jones"/>
    <s v="jjoneslq@vistaprint.com"/>
    <s v="jjoneslq"/>
    <x v="33"/>
    <s v="Programmer III"/>
    <s v="Male"/>
    <s v="Asian"/>
    <n v="822"/>
    <x v="11"/>
    <d v="2022-04-07T00:00:00"/>
    <x v="25"/>
    <s v="Tucson"/>
    <n v="85715"/>
    <s v="United States"/>
    <x v="3"/>
    <n v="4"/>
    <x v="4"/>
  </r>
  <r>
    <n v="1812"/>
    <s v="Randy"/>
    <s v="Harris"/>
    <s v="rharrismj@omniture.com"/>
    <s v="rharrismj"/>
    <x v="23"/>
    <s v="Clinical Specialist"/>
    <s v="Male"/>
    <s v="Japanese"/>
    <n v="215"/>
    <x v="6"/>
    <d v="2022-04-08T00:00:00"/>
    <x v="20"/>
    <s v="Birmingham"/>
    <n v="35220"/>
    <s v="United States"/>
    <x v="3"/>
    <n v="4"/>
    <x v="4"/>
  </r>
  <r>
    <n v="1987"/>
    <s v="Willie"/>
    <s v="Mason"/>
    <s v="wmasonre@amazon.co.jp"/>
    <s v="wmasonre"/>
    <x v="108"/>
    <s v="Social Worker"/>
    <s v="Male"/>
    <s v="White"/>
    <n v="165"/>
    <x v="1"/>
    <d v="2022-04-09T00:00:00"/>
    <x v="15"/>
    <s v="Fayetteville"/>
    <n v="28305"/>
    <s v="United States"/>
    <x v="3"/>
    <n v="4"/>
    <x v="4"/>
  </r>
  <r>
    <n v="1295"/>
    <s v="Kevin"/>
    <s v="Stephens"/>
    <s v="kstephens86@youku.com"/>
    <s v="kstephens86"/>
    <x v="127"/>
    <s v="Administrative Officer"/>
    <s v="Male"/>
    <s v="Taiwanese"/>
    <n v="353"/>
    <x v="1"/>
    <d v="2022-04-11T00:00:00"/>
    <x v="19"/>
    <s v="Cleveland"/>
    <n v="44191"/>
    <s v="United States"/>
    <x v="3"/>
    <n v="4"/>
    <x v="4"/>
  </r>
  <r>
    <n v="1081"/>
    <s v="Tina"/>
    <s v="Lewis"/>
    <s v="tlewis28@mozilla.org"/>
    <s v="tlewis28"/>
    <x v="63"/>
    <s v="Operator"/>
    <s v="Female"/>
    <s v="Mexican"/>
    <n v="420"/>
    <x v="14"/>
    <d v="2022-04-12T00:00:00"/>
    <x v="19"/>
    <s v="Dayton"/>
    <n v="45426"/>
    <s v="United States"/>
    <x v="3"/>
    <n v="4"/>
    <x v="4"/>
  </r>
  <r>
    <n v="1711"/>
    <s v="Frances"/>
    <s v="Hicks"/>
    <s v="fhicksjq@java.com"/>
    <s v="fhicksjq"/>
    <x v="127"/>
    <s v="Systems Administrator II"/>
    <s v="Female"/>
    <s v="Black or African American"/>
    <n v="53"/>
    <x v="9"/>
    <d v="2022-04-12T00:00:00"/>
    <x v="37"/>
    <s v="Newark"/>
    <n v="7112"/>
    <s v="United States"/>
    <x v="3"/>
    <n v="4"/>
    <x v="4"/>
  </r>
  <r>
    <n v="1990"/>
    <s v="Judy"/>
    <s v="Kim"/>
    <s v="jkimrh@yandex.ru"/>
    <s v="jkimrh"/>
    <x v="191"/>
    <s v="Chemical Engineer"/>
    <s v="Female"/>
    <s v="White"/>
    <n v="39"/>
    <x v="1"/>
    <d v="2022-04-17T00:00:00"/>
    <x v="20"/>
    <s v="Mobile"/>
    <n v="36622"/>
    <s v="United States"/>
    <x v="3"/>
    <n v="4"/>
    <x v="4"/>
  </r>
  <r>
    <n v="1037"/>
    <s v="Carol"/>
    <s v="Hamilton"/>
    <s v="chamilton10@army.mil"/>
    <s v="chamilton10"/>
    <x v="65"/>
    <s v="Chief Design Engineer"/>
    <s v="Female"/>
    <s v="Black or African American"/>
    <n v="956"/>
    <x v="8"/>
    <d v="2022-04-18T00:00:00"/>
    <x v="1"/>
    <s v="San Mateo"/>
    <n v="94405"/>
    <s v="United States"/>
    <x v="3"/>
    <n v="4"/>
    <x v="4"/>
  </r>
  <r>
    <n v="1043"/>
    <s v="Walter"/>
    <s v="Roberts"/>
    <s v="wroberts16@tiny.cc"/>
    <s v="wroberts16"/>
    <x v="66"/>
    <s v="Senior Quality Engineer"/>
    <s v="Male"/>
    <s v="Black or African American"/>
    <n v="117"/>
    <x v="0"/>
    <d v="2022-04-18T00:00:00"/>
    <x v="24"/>
    <s v="Las Vegas"/>
    <n v="89140"/>
    <s v="United States"/>
    <x v="3"/>
    <n v="4"/>
    <x v="4"/>
  </r>
  <r>
    <n v="1019"/>
    <s v="Lillian"/>
    <s v="Fuller"/>
    <s v="lfulleri@miitbeian.gov.cn"/>
    <s v="lfulleri"/>
    <x v="67"/>
    <s v="Sales Associate"/>
    <s v="Female"/>
    <s v="Black or African American"/>
    <n v="159"/>
    <x v="4"/>
    <d v="2022-04-19T00:00:00"/>
    <x v="33"/>
    <s v="Boise"/>
    <n v="83705"/>
    <s v="United States"/>
    <x v="3"/>
    <n v="4"/>
    <x v="4"/>
  </r>
  <r>
    <n v="1779"/>
    <s v="Joshua"/>
    <s v="Rivera"/>
    <s v="jriveralm@auda.org.au"/>
    <s v="jriveralm"/>
    <x v="261"/>
    <s v="Quality Engineer"/>
    <s v="Male"/>
    <s v="Asian"/>
    <n v="456"/>
    <x v="1"/>
    <d v="2022-04-19T00:00:00"/>
    <x v="14"/>
    <s v="Boston"/>
    <n v="2163"/>
    <s v="United States"/>
    <x v="3"/>
    <n v="4"/>
    <x v="4"/>
  </r>
  <r>
    <n v="1084"/>
    <s v="Larry"/>
    <s v="Ferguson"/>
    <s v="lferguson2b@theguardian.com"/>
    <s v="lferguson2b"/>
    <x v="17"/>
    <s v="Food Chemist"/>
    <s v="Male"/>
    <s v="Mexican"/>
    <n v="510"/>
    <x v="1"/>
    <d v="2022-04-20T00:00:00"/>
    <x v="14"/>
    <s v="Waltham"/>
    <n v="2453"/>
    <s v="United States"/>
    <x v="3"/>
    <n v="4"/>
    <x v="4"/>
  </r>
  <r>
    <n v="1851"/>
    <s v="Linda"/>
    <s v="Washington"/>
    <s v="lwashingtonnm@jalbum.net"/>
    <s v="lwashingtonnm"/>
    <x v="76"/>
    <s v="Teacher"/>
    <s v="Female"/>
    <s v="White"/>
    <n v="372"/>
    <x v="12"/>
    <d v="2022-04-20T00:00:00"/>
    <x v="5"/>
    <s v="Brooklyn"/>
    <n v="11210"/>
    <s v="United States"/>
    <x v="3"/>
    <n v="4"/>
    <x v="4"/>
  </r>
  <r>
    <n v="1637"/>
    <s v="Robert"/>
    <s v="Fields"/>
    <s v="rfieldsho@time.com"/>
    <s v="rfieldsho"/>
    <x v="95"/>
    <s v="Pharmacist"/>
    <s v="Male"/>
    <s v="Black or African American"/>
    <n v="771"/>
    <x v="1"/>
    <d v="2022-04-21T00:00:00"/>
    <x v="15"/>
    <s v="Charlotte"/>
    <n v="28242"/>
    <s v="United States"/>
    <x v="3"/>
    <n v="4"/>
    <x v="4"/>
  </r>
  <r>
    <n v="1298"/>
    <s v="Anna"/>
    <s v="Thomas"/>
    <s v="athomas89@usa.gov"/>
    <s v="athomas89"/>
    <x v="33"/>
    <s v="Food Chemist"/>
    <s v="Female"/>
    <s v="Japanese"/>
    <n v="157"/>
    <x v="12"/>
    <d v="2022-04-24T00:00:00"/>
    <x v="22"/>
    <s v="Orlando"/>
    <n v="32891"/>
    <s v="United States"/>
    <x v="3"/>
    <n v="4"/>
    <x v="4"/>
  </r>
  <r>
    <n v="1277"/>
    <s v="Brandon"/>
    <s v="Spencer"/>
    <s v="bspencer7o@si.edu"/>
    <s v="bspencer7o"/>
    <x v="22"/>
    <s v="Nuclear Power Engineer"/>
    <s v="Male"/>
    <s v="South American"/>
    <n v="477"/>
    <x v="9"/>
    <d v="2022-04-25T00:00:00"/>
    <x v="19"/>
    <s v="Akron"/>
    <n v="44310"/>
    <s v="United States"/>
    <x v="3"/>
    <n v="4"/>
    <x v="4"/>
  </r>
  <r>
    <n v="1563"/>
    <s v="Johnny"/>
    <s v="Hansen"/>
    <s v="jhansenfm@eventbrite.com"/>
    <s v="jhansenfm"/>
    <x v="262"/>
    <s v="Professor"/>
    <s v="Male"/>
    <s v="South American"/>
    <n v="742"/>
    <x v="1"/>
    <d v="2022-04-25T00:00:00"/>
    <x v="3"/>
    <s v="Atlanta"/>
    <n v="30375"/>
    <s v="United States"/>
    <x v="3"/>
    <n v="4"/>
    <x v="4"/>
  </r>
  <r>
    <n v="1986"/>
    <s v="Edward"/>
    <s v="Long"/>
    <s v="elongrd@bing.com"/>
    <s v="elongrd"/>
    <x v="13"/>
    <s v="Quality Control Specialist"/>
    <s v="Male"/>
    <s v="White"/>
    <n v="166"/>
    <x v="7"/>
    <d v="2022-04-25T00:00:00"/>
    <x v="4"/>
    <s v="Houston"/>
    <n v="77010"/>
    <s v="United States"/>
    <x v="3"/>
    <n v="4"/>
    <x v="4"/>
  </r>
  <r>
    <n v="1298"/>
    <s v="Anna"/>
    <s v="Thomas"/>
    <s v="athomas89@usa.gov"/>
    <s v="athomas89"/>
    <x v="33"/>
    <s v="Food Chemist"/>
    <s v="Female"/>
    <s v="Japanese"/>
    <n v="981"/>
    <x v="12"/>
    <d v="2022-04-30T00:00:00"/>
    <x v="22"/>
    <s v="Orlando"/>
    <n v="32891"/>
    <s v="United States"/>
    <x v="3"/>
    <n v="4"/>
    <x v="4"/>
  </r>
  <r>
    <n v="1953"/>
    <s v="Harold"/>
    <s v="Flores"/>
    <s v="hfloresqg@homestead.com"/>
    <s v="hfloresqg"/>
    <x v="11"/>
    <s v="Database Administrator IV"/>
    <s v="Male"/>
    <s v="Eskimo"/>
    <n v="599"/>
    <x v="1"/>
    <d v="2022-05-01T00:00:00"/>
    <x v="1"/>
    <s v="Los Angeles"/>
    <n v="90045"/>
    <s v="United States"/>
    <x v="4"/>
    <n v="5"/>
    <x v="4"/>
  </r>
  <r>
    <n v="1365"/>
    <s v="Roy"/>
    <s v="Snyder"/>
    <s v="rsnydera4@whitehouse.gov"/>
    <s v="rsnydera4"/>
    <x v="56"/>
    <s v="Help Desk Technician"/>
    <s v="Male"/>
    <s v="Mexican"/>
    <n v="529"/>
    <x v="4"/>
    <d v="2022-05-02T00:00:00"/>
    <x v="22"/>
    <s v="Miami"/>
    <n v="33261"/>
    <s v="United States"/>
    <x v="4"/>
    <n v="5"/>
    <x v="4"/>
  </r>
  <r>
    <n v="1123"/>
    <s v="Randy"/>
    <s v="Hamilton"/>
    <s v="rhamilton3e@loc.gov"/>
    <s v="rhamilton3e"/>
    <x v="82"/>
    <s v="Geological Engineer"/>
    <s v="Male"/>
    <s v="Mexican"/>
    <n v="649"/>
    <x v="0"/>
    <d v="2022-05-06T00:00:00"/>
    <x v="22"/>
    <s v="Tampa"/>
    <n v="33673"/>
    <s v="United States"/>
    <x v="4"/>
    <n v="5"/>
    <x v="4"/>
  </r>
  <r>
    <n v="1298"/>
    <s v="Anna"/>
    <s v="Thomas"/>
    <s v="athomas89@usa.gov"/>
    <s v="athomas89"/>
    <x v="33"/>
    <s v="Food Chemist"/>
    <s v="Female"/>
    <s v="Japanese"/>
    <n v="841"/>
    <x v="12"/>
    <d v="2022-05-09T00:00:00"/>
    <x v="22"/>
    <s v="Orlando"/>
    <n v="32891"/>
    <s v="United States"/>
    <x v="4"/>
    <n v="5"/>
    <x v="4"/>
  </r>
  <r>
    <n v="1783"/>
    <s v="Juan"/>
    <s v="Jones"/>
    <s v="jjoneslq@vistaprint.com"/>
    <s v="jjoneslq"/>
    <x v="33"/>
    <s v="Programmer III"/>
    <s v="Male"/>
    <s v="Asian"/>
    <n v="494"/>
    <x v="11"/>
    <d v="2022-05-09T00:00:00"/>
    <x v="25"/>
    <s v="Tucson"/>
    <n v="85715"/>
    <s v="United States"/>
    <x v="4"/>
    <n v="5"/>
    <x v="4"/>
  </r>
  <r>
    <n v="1020"/>
    <s v="Andrea"/>
    <s v="Mason"/>
    <s v="amasonj@yelp.com"/>
    <s v="amasonj"/>
    <x v="34"/>
    <s v="Financial Advisor"/>
    <s v="Female"/>
    <s v="Black or African American"/>
    <n v="714"/>
    <x v="1"/>
    <d v="2022-05-11T00:00:00"/>
    <x v="1"/>
    <s v="San Francisco"/>
    <n v="94105"/>
    <s v="United States"/>
    <x v="4"/>
    <n v="5"/>
    <x v="4"/>
  </r>
  <r>
    <n v="1964"/>
    <s v="Annie"/>
    <s v="Hudson"/>
    <s v="ahudsonqr@yolasite.com"/>
    <s v="ahudsonqr"/>
    <x v="125"/>
    <s v="Database Administrator IV"/>
    <s v="Female"/>
    <s v="Black or African American"/>
    <n v="978"/>
    <x v="6"/>
    <d v="2022-05-11T00:00:00"/>
    <x v="1"/>
    <s v="Sacramento"/>
    <n v="94280"/>
    <s v="United States"/>
    <x v="4"/>
    <n v="5"/>
    <x v="4"/>
  </r>
  <r>
    <n v="1468"/>
    <s v="Cynthia"/>
    <s v="Lopez"/>
    <s v="clopezcz@reverbnation.com"/>
    <s v="clopezcz"/>
    <x v="43"/>
    <s v="Automation Specialist IV"/>
    <s v="Female"/>
    <s v="White"/>
    <n v="672"/>
    <x v="2"/>
    <d v="2022-05-12T00:00:00"/>
    <x v="7"/>
    <s v="New Orleans"/>
    <n v="70116"/>
    <s v="United States"/>
    <x v="4"/>
    <n v="5"/>
    <x v="4"/>
  </r>
  <r>
    <n v="1969"/>
    <s v="Victor"/>
    <s v="Stephens"/>
    <s v="vstephensqw@bluehost.com"/>
    <s v="vstephensqw"/>
    <x v="17"/>
    <s v="Structural Analysis Engineer"/>
    <s v="Male"/>
    <s v="Asian"/>
    <n v="919"/>
    <x v="1"/>
    <d v="2022-05-12T00:00:00"/>
    <x v="4"/>
    <s v="Fort Worth"/>
    <n v="76178"/>
    <s v="United States"/>
    <x v="4"/>
    <n v="5"/>
    <x v="4"/>
  </r>
  <r>
    <n v="1081"/>
    <s v="Tina"/>
    <s v="Lewis"/>
    <s v="tlewis28@mozilla.org"/>
    <s v="tlewis28"/>
    <x v="63"/>
    <s v="Operator"/>
    <s v="Female"/>
    <s v="Mexican"/>
    <n v="970"/>
    <x v="14"/>
    <d v="2022-05-13T00:00:00"/>
    <x v="19"/>
    <s v="Dayton"/>
    <n v="45426"/>
    <s v="United States"/>
    <x v="4"/>
    <n v="5"/>
    <x v="4"/>
  </r>
  <r>
    <n v="1880"/>
    <s v="Rebecca"/>
    <s v="Lawson"/>
    <s v="rlawsonof@nsw.gov.au"/>
    <s v="rlawsonof"/>
    <x v="12"/>
    <s v="Software Engineer I"/>
    <s v="Female"/>
    <s v="Taiwanese"/>
    <n v="181"/>
    <x v="1"/>
    <d v="2022-05-14T00:00:00"/>
    <x v="10"/>
    <s v="Chicago"/>
    <n v="60614"/>
    <s v="United States"/>
    <x v="4"/>
    <n v="5"/>
    <x v="4"/>
  </r>
  <r>
    <n v="1020"/>
    <s v="Andrea"/>
    <s v="Mason"/>
    <s v="amasonj@yelp.com"/>
    <s v="amasonj"/>
    <x v="34"/>
    <s v="Financial Advisor"/>
    <s v="Female"/>
    <s v="Black or African American"/>
    <n v="457"/>
    <x v="1"/>
    <d v="2022-05-17T00:00:00"/>
    <x v="1"/>
    <s v="San Francisco"/>
    <n v="94105"/>
    <s v="United States"/>
    <x v="4"/>
    <n v="5"/>
    <x v="4"/>
  </r>
  <r>
    <n v="1298"/>
    <s v="Anna"/>
    <s v="Thomas"/>
    <s v="athomas89@usa.gov"/>
    <s v="athomas89"/>
    <x v="33"/>
    <s v="Food Chemist"/>
    <s v="Female"/>
    <s v="Japanese"/>
    <n v="462"/>
    <x v="12"/>
    <d v="2022-05-17T00:00:00"/>
    <x v="22"/>
    <s v="Orlando"/>
    <n v="32891"/>
    <s v="United States"/>
    <x v="4"/>
    <n v="5"/>
    <x v="4"/>
  </r>
  <r>
    <n v="1170"/>
    <s v="Albert"/>
    <s v="Roberts"/>
    <s v="aroberts4p@ezinearticles.com"/>
    <s v="aroberts4p"/>
    <x v="14"/>
    <s v="Accountant I"/>
    <s v="Male"/>
    <s v="White"/>
    <n v="603"/>
    <x v="0"/>
    <d v="2022-05-18T00:00:00"/>
    <x v="4"/>
    <s v="El Paso"/>
    <n v="88574"/>
    <s v="United States"/>
    <x v="4"/>
    <n v="5"/>
    <x v="4"/>
  </r>
  <r>
    <n v="1522"/>
    <s v="Robert"/>
    <s v="Gonzalez"/>
    <s v="rgonzalezeh@amazon.com"/>
    <s v="rgonzalezeh"/>
    <x v="6"/>
    <s v="Administrative Officer"/>
    <s v="Male"/>
    <s v="Hispanic"/>
    <n v="801"/>
    <x v="3"/>
    <d v="2022-05-18T00:00:00"/>
    <x v="11"/>
    <s v="Littleton"/>
    <n v="80126"/>
    <s v="United States"/>
    <x v="4"/>
    <n v="5"/>
    <x v="4"/>
  </r>
  <r>
    <n v="1017"/>
    <s v="Diana"/>
    <s v="Wells"/>
    <s v="dwellsg@vimeo.com"/>
    <s v="dwellsg"/>
    <x v="89"/>
    <s v="Editor"/>
    <s v="Female"/>
    <s v="Black or African American"/>
    <n v="536"/>
    <x v="1"/>
    <d v="2022-05-21T00:00:00"/>
    <x v="10"/>
    <s v="Chicago"/>
    <n v="60663"/>
    <s v="United States"/>
    <x v="4"/>
    <n v="5"/>
    <x v="4"/>
  </r>
  <r>
    <n v="1170"/>
    <s v="Albert"/>
    <s v="Roberts"/>
    <s v="aroberts4p@ezinearticles.com"/>
    <s v="aroberts4p"/>
    <x v="14"/>
    <s v="Accountant I"/>
    <s v="Male"/>
    <s v="White"/>
    <n v="388"/>
    <x v="0"/>
    <d v="2022-05-21T00:00:00"/>
    <x v="4"/>
    <s v="El Paso"/>
    <n v="88574"/>
    <s v="United States"/>
    <x v="4"/>
    <n v="5"/>
    <x v="4"/>
  </r>
  <r>
    <n v="1729"/>
    <s v="Jessica"/>
    <s v="Watkins"/>
    <s v="jwatkinsk8@digg.com"/>
    <s v="jwatkinsk8"/>
    <x v="7"/>
    <s v="Community Outreach Specialist"/>
    <s v="Female"/>
    <s v="Alaska Native"/>
    <n v="387"/>
    <x v="5"/>
    <d v="2022-05-24T00:00:00"/>
    <x v="1"/>
    <s v="Sacramento"/>
    <n v="94273"/>
    <s v="United States"/>
    <x v="4"/>
    <n v="5"/>
    <x v="4"/>
  </r>
  <r>
    <n v="1983"/>
    <s v="Laura"/>
    <s v="Smith"/>
    <s v="lsmithra@thetimes.co.uk"/>
    <s v="lsmithra"/>
    <x v="79"/>
    <s v="Electrical Engineer"/>
    <s v="Female"/>
    <s v="White"/>
    <n v="288"/>
    <x v="1"/>
    <d v="2022-05-24T00:00:00"/>
    <x v="31"/>
    <s v="Kansas City"/>
    <n v="66112"/>
    <s v="United States"/>
    <x v="4"/>
    <n v="5"/>
    <x v="4"/>
  </r>
  <r>
    <n v="1093"/>
    <s v="Raymond"/>
    <s v="Bennett"/>
    <s v="rbennett2k@opera.com"/>
    <s v="rbennett2k"/>
    <x v="82"/>
    <s v="Human Resources Manager"/>
    <s v="Male"/>
    <s v="Mexican"/>
    <n v="467"/>
    <x v="3"/>
    <d v="2022-05-29T00:00:00"/>
    <x v="6"/>
    <s v="Sioux City"/>
    <n v="51105"/>
    <s v="United States"/>
    <x v="4"/>
    <n v="5"/>
    <x v="4"/>
  </r>
  <r>
    <n v="1298"/>
    <s v="Anna"/>
    <s v="Thomas"/>
    <s v="athomas89@usa.gov"/>
    <s v="athomas89"/>
    <x v="33"/>
    <s v="Food Chemist"/>
    <s v="Female"/>
    <s v="Japanese"/>
    <n v="403"/>
    <x v="12"/>
    <d v="2022-05-29T00:00:00"/>
    <x v="22"/>
    <s v="Orlando"/>
    <n v="32891"/>
    <s v="United States"/>
    <x v="4"/>
    <n v="5"/>
    <x v="4"/>
  </r>
  <r>
    <n v="1018"/>
    <s v="Ronald"/>
    <s v="Ruiz"/>
    <s v="rruizh@pen.io"/>
    <s v="rruizh"/>
    <x v="79"/>
    <s v="Structural Engineer"/>
    <s v="Male"/>
    <s v="Black or African American"/>
    <n v="464"/>
    <x v="0"/>
    <d v="2022-05-30T00:00:00"/>
    <x v="0"/>
    <s v="Saginaw"/>
    <n v="48604"/>
    <s v="United States"/>
    <x v="4"/>
    <n v="5"/>
    <x v="4"/>
  </r>
  <r>
    <n v="1095"/>
    <s v="Emily"/>
    <s v="Franklin"/>
    <s v="efranklin2m@google.co.jp"/>
    <s v="efranklin2m"/>
    <x v="67"/>
    <s v="Analyst Programmer"/>
    <s v="Female"/>
    <s v="Mexican"/>
    <n v="972"/>
    <x v="6"/>
    <d v="2022-05-31T00:00:00"/>
    <x v="4"/>
    <s v="Houston"/>
    <n v="77040"/>
    <s v="United States"/>
    <x v="4"/>
    <n v="5"/>
    <x v="4"/>
  </r>
  <r>
    <n v="1123"/>
    <s v="Randy"/>
    <s v="Hamilton"/>
    <s v="rhamilton3e@loc.gov"/>
    <s v="rhamilton3e"/>
    <x v="82"/>
    <s v="Geological Engineer"/>
    <s v="Male"/>
    <s v="Mexican"/>
    <n v="989"/>
    <x v="0"/>
    <d v="2022-05-31T00:00:00"/>
    <x v="22"/>
    <s v="Tampa"/>
    <n v="33673"/>
    <s v="United States"/>
    <x v="4"/>
    <n v="5"/>
    <x v="4"/>
  </r>
  <r>
    <n v="1847"/>
    <s v="Keith"/>
    <s v="Tucker"/>
    <s v="ktuckerni@vistaprint.com"/>
    <s v="ktuckerni"/>
    <x v="48"/>
    <s v="Computer Systems Analyst I"/>
    <s v="Male"/>
    <s v="Japanese"/>
    <n v="139"/>
    <x v="1"/>
    <d v="2022-06-01T00:00:00"/>
    <x v="47"/>
    <s v="Salt Lake City"/>
    <n v="84140"/>
    <s v="United States"/>
    <x v="5"/>
    <n v="6"/>
    <x v="4"/>
  </r>
  <r>
    <n v="1880"/>
    <s v="Rebecca"/>
    <s v="Lawson"/>
    <s v="rlawsonof@nsw.gov.au"/>
    <s v="rlawsonof"/>
    <x v="12"/>
    <s v="Software Engineer I"/>
    <s v="Female"/>
    <s v="Taiwanese"/>
    <n v="64"/>
    <x v="1"/>
    <d v="2022-06-01T00:00:00"/>
    <x v="10"/>
    <s v="Chicago"/>
    <n v="60614"/>
    <s v="United States"/>
    <x v="5"/>
    <n v="6"/>
    <x v="4"/>
  </r>
  <r>
    <n v="1170"/>
    <s v="Albert"/>
    <s v="Roberts"/>
    <s v="aroberts4p@ezinearticles.com"/>
    <s v="aroberts4p"/>
    <x v="14"/>
    <s v="Accountant I"/>
    <s v="Male"/>
    <s v="White"/>
    <n v="529"/>
    <x v="0"/>
    <d v="2022-06-02T00:00:00"/>
    <x v="4"/>
    <s v="El Paso"/>
    <n v="88574"/>
    <s v="United States"/>
    <x v="5"/>
    <n v="6"/>
    <x v="4"/>
  </r>
  <r>
    <n v="1414"/>
    <s v="Benjamin"/>
    <s v="Murray"/>
    <s v="bmurraybh@state.tx.us"/>
    <s v="bmurraybh"/>
    <x v="83"/>
    <s v="Food Chemist"/>
    <s v="Male"/>
    <s v="Thai"/>
    <n v="420"/>
    <x v="7"/>
    <d v="2022-06-02T00:00:00"/>
    <x v="22"/>
    <s v="Largo"/>
    <n v="34643"/>
    <s v="United States"/>
    <x v="5"/>
    <n v="6"/>
    <x v="4"/>
  </r>
  <r>
    <n v="1468"/>
    <s v="Cynthia"/>
    <s v="Lopez"/>
    <s v="clopezcz@reverbnation.com"/>
    <s v="clopezcz"/>
    <x v="43"/>
    <s v="Automation Specialist IV"/>
    <s v="Female"/>
    <s v="White"/>
    <n v="375"/>
    <x v="2"/>
    <d v="2022-06-02T00:00:00"/>
    <x v="7"/>
    <s v="New Orleans"/>
    <n v="70116"/>
    <s v="United States"/>
    <x v="5"/>
    <n v="6"/>
    <x v="4"/>
  </r>
  <r>
    <n v="1530"/>
    <s v="Marie"/>
    <s v="Jacobs"/>
    <s v="mjacobsep@cocolog-nifty.com"/>
    <s v="mjacobsep"/>
    <x v="131"/>
    <s v="Technical Writer"/>
    <s v="Female"/>
    <s v="Native Hawaiian and Other Pacific Islander (NHPI)"/>
    <n v="860"/>
    <x v="1"/>
    <d v="2022-06-02T00:00:00"/>
    <x v="19"/>
    <s v="Dayton"/>
    <n v="45426"/>
    <s v="United States"/>
    <x v="5"/>
    <n v="6"/>
    <x v="4"/>
  </r>
  <r>
    <n v="1234"/>
    <s v="Adam"/>
    <s v="Jenkins"/>
    <s v="ajenkins6h@comcast.net"/>
    <s v="ajenkins6h"/>
    <x v="4"/>
    <s v="Internal Auditor"/>
    <s v="Male"/>
    <s v="White"/>
    <n v="896"/>
    <x v="4"/>
    <d v="2022-06-06T00:00:00"/>
    <x v="4"/>
    <s v="Austin"/>
    <n v="78710"/>
    <s v="United States"/>
    <x v="5"/>
    <n v="6"/>
    <x v="4"/>
  </r>
  <r>
    <n v="1123"/>
    <s v="Randy"/>
    <s v="Hamilton"/>
    <s v="rhamilton3e@loc.gov"/>
    <s v="rhamilton3e"/>
    <x v="82"/>
    <s v="Geological Engineer"/>
    <s v="Male"/>
    <s v="Mexican"/>
    <n v="275"/>
    <x v="0"/>
    <d v="2022-06-07T00:00:00"/>
    <x v="22"/>
    <s v="Tampa"/>
    <n v="33673"/>
    <s v="United States"/>
    <x v="5"/>
    <n v="6"/>
    <x v="4"/>
  </r>
  <r>
    <n v="1234"/>
    <s v="Adam"/>
    <s v="Jenkins"/>
    <s v="ajenkins6h@comcast.net"/>
    <s v="ajenkins6h"/>
    <x v="4"/>
    <s v="Internal Auditor"/>
    <s v="Male"/>
    <s v="White"/>
    <n v="812"/>
    <x v="4"/>
    <d v="2022-06-08T00:00:00"/>
    <x v="4"/>
    <s v="Austin"/>
    <n v="78710"/>
    <s v="United States"/>
    <x v="5"/>
    <n v="6"/>
    <x v="4"/>
  </r>
  <r>
    <n v="1277"/>
    <s v="Brandon"/>
    <s v="Spencer"/>
    <s v="bspencer7o@si.edu"/>
    <s v="bspencer7o"/>
    <x v="22"/>
    <s v="Nuclear Power Engineer"/>
    <s v="Male"/>
    <s v="South American"/>
    <n v="734"/>
    <x v="9"/>
    <d v="2022-06-08T00:00:00"/>
    <x v="19"/>
    <s v="Akron"/>
    <n v="44310"/>
    <s v="United States"/>
    <x v="5"/>
    <n v="6"/>
    <x v="4"/>
  </r>
  <r>
    <n v="1960"/>
    <s v="Brenda"/>
    <s v="Fuller"/>
    <s v="bfullerqn@mtv.com"/>
    <s v="bfullerqn"/>
    <x v="173"/>
    <s v="Recruiting Manager"/>
    <s v="Female"/>
    <s v="Black or African American"/>
    <n v="127"/>
    <x v="1"/>
    <d v="2022-06-09T00:00:00"/>
    <x v="16"/>
    <s v="Philadelphia"/>
    <n v="19136"/>
    <s v="United States"/>
    <x v="5"/>
    <n v="6"/>
    <x v="4"/>
  </r>
  <r>
    <n v="1731"/>
    <s v="Jimmy"/>
    <s v="Cox"/>
    <s v="jcoxka@storify.com"/>
    <s v="jcoxka"/>
    <x v="228"/>
    <s v="Account Representative IV"/>
    <s v="Male"/>
    <s v="Alaska Native"/>
    <n v="399"/>
    <x v="1"/>
    <d v="2022-06-10T00:00:00"/>
    <x v="22"/>
    <s v="Largo"/>
    <n v="34643"/>
    <s v="United States"/>
    <x v="5"/>
    <n v="6"/>
    <x v="4"/>
  </r>
  <r>
    <n v="1298"/>
    <s v="Anna"/>
    <s v="Thomas"/>
    <s v="athomas89@usa.gov"/>
    <s v="athomas89"/>
    <x v="33"/>
    <s v="Food Chemist"/>
    <s v="Female"/>
    <s v="Japanese"/>
    <n v="888"/>
    <x v="12"/>
    <d v="2022-06-13T00:00:00"/>
    <x v="22"/>
    <s v="Orlando"/>
    <n v="32891"/>
    <s v="United States"/>
    <x v="5"/>
    <n v="6"/>
    <x v="4"/>
  </r>
  <r>
    <n v="1489"/>
    <s v="Roger"/>
    <s v="Matthews"/>
    <s v="rmatthewsdk@nature.com"/>
    <s v="rmatthewsdk"/>
    <x v="7"/>
    <s v="Environmental Tech"/>
    <s v="Male"/>
    <s v="Black or African American"/>
    <n v="520"/>
    <x v="4"/>
    <d v="2022-06-13T00:00:00"/>
    <x v="2"/>
    <s v="Hampton"/>
    <n v="23668"/>
    <s v="United States"/>
    <x v="5"/>
    <n v="6"/>
    <x v="4"/>
  </r>
  <r>
    <n v="1017"/>
    <s v="Diana"/>
    <s v="Wells"/>
    <s v="dwellsg@vimeo.com"/>
    <s v="dwellsg"/>
    <x v="89"/>
    <s v="Editor"/>
    <s v="Female"/>
    <s v="Black or African American"/>
    <n v="146"/>
    <x v="1"/>
    <d v="2022-06-14T00:00:00"/>
    <x v="10"/>
    <s v="Chicago"/>
    <n v="60663"/>
    <s v="United States"/>
    <x v="5"/>
    <n v="6"/>
    <x v="4"/>
  </r>
  <r>
    <n v="1088"/>
    <s v="Dennis"/>
    <s v="Larson"/>
    <s v="dlarson2f@usa.gov"/>
    <s v="dlarson2f"/>
    <x v="263"/>
    <s v="Director of Sales"/>
    <s v="Male"/>
    <s v="Mexican"/>
    <n v="473"/>
    <x v="0"/>
    <d v="2022-06-14T00:00:00"/>
    <x v="25"/>
    <s v="Tucson"/>
    <n v="85754"/>
    <s v="United States"/>
    <x v="5"/>
    <n v="6"/>
    <x v="4"/>
  </r>
  <r>
    <n v="1116"/>
    <s v="Christina"/>
    <s v="Wheeler"/>
    <s v="cwheeler37@ovh.net"/>
    <s v="cwheeler37"/>
    <x v="3"/>
    <s v="Information Systems Manager"/>
    <s v="Female"/>
    <s v="Mexican"/>
    <n v="389"/>
    <x v="3"/>
    <d v="2022-06-14T00:00:00"/>
    <x v="3"/>
    <s v="Duluth"/>
    <n v="30096"/>
    <s v="United States"/>
    <x v="5"/>
    <n v="6"/>
    <x v="4"/>
  </r>
  <r>
    <n v="1260"/>
    <s v="Willie"/>
    <s v="King"/>
    <s v="wking77@apache.org"/>
    <s v="wking77"/>
    <x v="39"/>
    <s v="Software Consultant"/>
    <s v="Male"/>
    <s v="Japanese"/>
    <n v="592"/>
    <x v="1"/>
    <d v="2022-06-14T00:00:00"/>
    <x v="26"/>
    <s v="Spokane"/>
    <n v="99215"/>
    <s v="United States"/>
    <x v="5"/>
    <n v="6"/>
    <x v="4"/>
  </r>
  <r>
    <n v="1468"/>
    <s v="Cynthia"/>
    <s v="Lopez"/>
    <s v="clopezcz@reverbnation.com"/>
    <s v="clopezcz"/>
    <x v="43"/>
    <s v="Automation Specialist IV"/>
    <s v="Female"/>
    <s v="White"/>
    <n v="466"/>
    <x v="2"/>
    <d v="2022-06-15T00:00:00"/>
    <x v="7"/>
    <s v="New Orleans"/>
    <n v="70116"/>
    <s v="United States"/>
    <x v="5"/>
    <n v="6"/>
    <x v="4"/>
  </r>
  <r>
    <n v="1170"/>
    <s v="Albert"/>
    <s v="Roberts"/>
    <s v="aroberts4p@ezinearticles.com"/>
    <s v="aroberts4p"/>
    <x v="14"/>
    <s v="Accountant I"/>
    <s v="Male"/>
    <s v="White"/>
    <n v="527"/>
    <x v="0"/>
    <d v="2022-06-16T00:00:00"/>
    <x v="4"/>
    <s v="El Paso"/>
    <n v="88574"/>
    <s v="United States"/>
    <x v="5"/>
    <n v="6"/>
    <x v="4"/>
  </r>
  <r>
    <n v="1651"/>
    <s v="Earl"/>
    <s v="Lewis"/>
    <s v="elewisi2@bloomberg.com"/>
    <s v="elewisi2"/>
    <x v="161"/>
    <s v="Software Test Engineer IV"/>
    <s v="Male"/>
    <s v="Black or African American"/>
    <n v="623"/>
    <x v="1"/>
    <d v="2022-06-18T00:00:00"/>
    <x v="4"/>
    <s v="Houston"/>
    <n v="77075"/>
    <s v="United States"/>
    <x v="5"/>
    <n v="6"/>
    <x v="4"/>
  </r>
  <r>
    <n v="1999"/>
    <s v="Gerald"/>
    <s v="Jordan"/>
    <s v="gjordanrq@weibo.com"/>
    <s v="gjordanrq"/>
    <x v="47"/>
    <s v="Tax Accountant"/>
    <s v="Male"/>
    <s v="Costa Rican"/>
    <n v="949"/>
    <x v="1"/>
    <d v="2022-06-18T00:00:00"/>
    <x v="3"/>
    <s v="Columbus"/>
    <n v="31914"/>
    <s v="United States"/>
    <x v="5"/>
    <n v="6"/>
    <x v="4"/>
  </r>
  <r>
    <n v="1783"/>
    <s v="Juan"/>
    <s v="Jones"/>
    <s v="jjoneslq@vistaprint.com"/>
    <s v="jjoneslq"/>
    <x v="33"/>
    <s v="Programmer III"/>
    <s v="Male"/>
    <s v="Asian"/>
    <n v="738"/>
    <x v="11"/>
    <d v="2022-06-19T00:00:00"/>
    <x v="25"/>
    <s v="Tucson"/>
    <n v="85715"/>
    <s v="United States"/>
    <x v="5"/>
    <n v="6"/>
    <x v="4"/>
  </r>
  <r>
    <n v="1020"/>
    <s v="Andrea"/>
    <s v="Mason"/>
    <s v="amasonj@yelp.com"/>
    <s v="amasonj"/>
    <x v="34"/>
    <s v="Financial Advisor"/>
    <s v="Female"/>
    <s v="Black or African American"/>
    <n v="156"/>
    <x v="1"/>
    <d v="2022-06-20T00:00:00"/>
    <x v="1"/>
    <s v="San Francisco"/>
    <n v="94105"/>
    <s v="United States"/>
    <x v="5"/>
    <n v="6"/>
    <x v="4"/>
  </r>
  <r>
    <n v="1081"/>
    <s v="Tina"/>
    <s v="Lewis"/>
    <s v="tlewis28@mozilla.org"/>
    <s v="tlewis28"/>
    <x v="63"/>
    <s v="Operator"/>
    <s v="Female"/>
    <s v="Mexican"/>
    <n v="170"/>
    <x v="14"/>
    <d v="2022-06-20T00:00:00"/>
    <x v="19"/>
    <s v="Dayton"/>
    <n v="45426"/>
    <s v="United States"/>
    <x v="5"/>
    <n v="6"/>
    <x v="4"/>
  </r>
  <r>
    <n v="1234"/>
    <s v="Adam"/>
    <s v="Jenkins"/>
    <s v="ajenkins6h@comcast.net"/>
    <s v="ajenkins6h"/>
    <x v="4"/>
    <s v="Internal Auditor"/>
    <s v="Male"/>
    <s v="White"/>
    <n v="794"/>
    <x v="4"/>
    <d v="2022-06-20T00:00:00"/>
    <x v="4"/>
    <s v="Austin"/>
    <n v="78710"/>
    <s v="United States"/>
    <x v="5"/>
    <n v="6"/>
    <x v="4"/>
  </r>
  <r>
    <n v="1116"/>
    <s v="Christina"/>
    <s v="Wheeler"/>
    <s v="cwheeler37@ovh.net"/>
    <s v="cwheeler37"/>
    <x v="3"/>
    <s v="Information Systems Manager"/>
    <s v="Female"/>
    <s v="Mexican"/>
    <n v="733"/>
    <x v="3"/>
    <d v="2022-06-21T00:00:00"/>
    <x v="3"/>
    <s v="Duluth"/>
    <n v="30096"/>
    <s v="United States"/>
    <x v="5"/>
    <n v="6"/>
    <x v="4"/>
  </r>
  <r>
    <n v="1578"/>
    <s v="Rachel"/>
    <s v="Bishop"/>
    <s v="rbishopg1@answers.com"/>
    <s v="rbishopg1"/>
    <x v="164"/>
    <s v="VP Quality Control"/>
    <s v="Female"/>
    <s v="Korean"/>
    <n v="272"/>
    <x v="1"/>
    <d v="2022-06-21T00:00:00"/>
    <x v="8"/>
    <s v="Minneapolis"/>
    <n v="55487"/>
    <s v="United States"/>
    <x v="5"/>
    <n v="6"/>
    <x v="4"/>
  </r>
  <r>
    <n v="1038"/>
    <s v="Lori"/>
    <s v="Gray"/>
    <s v="lgray11@yahoo.com"/>
    <s v="lgray11"/>
    <x v="57"/>
    <s v="Data Coordiator"/>
    <s v="Female"/>
    <s v="Black or African American"/>
    <n v="199"/>
    <x v="1"/>
    <d v="2022-06-23T00:00:00"/>
    <x v="1"/>
    <s v="Pomona"/>
    <n v="91797"/>
    <s v="United States"/>
    <x v="5"/>
    <n v="6"/>
    <x v="4"/>
  </r>
  <r>
    <n v="1997"/>
    <s v="Elizabeth"/>
    <s v="Williams"/>
    <s v="ewilliamsro@google.ca"/>
    <s v="ewilliamsro"/>
    <x v="142"/>
    <s v="Pharmacist"/>
    <s v="Female"/>
    <s v="Japanese"/>
    <n v="550"/>
    <x v="1"/>
    <d v="2022-06-23T00:00:00"/>
    <x v="5"/>
    <s v="New York City"/>
    <n v="10155"/>
    <s v="United States"/>
    <x v="5"/>
    <n v="6"/>
    <x v="4"/>
  </r>
  <r>
    <n v="1434"/>
    <s v="Cynthia"/>
    <s v="Meyer"/>
    <s v="cmeyerc1@usgs.gov"/>
    <s v="cmeyerc1"/>
    <x v="53"/>
    <s v="Senior Quality Engineer"/>
    <s v="Female"/>
    <s v="Asian"/>
    <n v="817"/>
    <x v="1"/>
    <d v="2022-06-24T00:00:00"/>
    <x v="8"/>
    <s v="Minneapolis"/>
    <n v="55436"/>
    <s v="United States"/>
    <x v="5"/>
    <n v="6"/>
    <x v="4"/>
  </r>
  <r>
    <n v="1812"/>
    <s v="Randy"/>
    <s v="Harris"/>
    <s v="rharrismj@omniture.com"/>
    <s v="rharrismj"/>
    <x v="23"/>
    <s v="Clinical Specialist"/>
    <s v="Male"/>
    <s v="Japanese"/>
    <n v="475"/>
    <x v="6"/>
    <d v="2022-06-24T00:00:00"/>
    <x v="20"/>
    <s v="Birmingham"/>
    <n v="35220"/>
    <s v="United States"/>
    <x v="5"/>
    <n v="6"/>
    <x v="4"/>
  </r>
  <r>
    <n v="1095"/>
    <s v="Emily"/>
    <s v="Franklin"/>
    <s v="efranklin2m@google.co.jp"/>
    <s v="efranklin2m"/>
    <x v="67"/>
    <s v="Analyst Programmer"/>
    <s v="Female"/>
    <s v="Mexican"/>
    <n v="713"/>
    <x v="6"/>
    <d v="2022-06-29T00:00:00"/>
    <x v="4"/>
    <s v="Houston"/>
    <n v="77040"/>
    <s v="United States"/>
    <x v="5"/>
    <n v="6"/>
    <x v="4"/>
  </r>
  <r>
    <n v="1957"/>
    <s v="Jose"/>
    <s v="Jordan"/>
    <s v="jjordanqk@prweb.com"/>
    <s v="jjordanqk"/>
    <x v="197"/>
    <s v="Media Manager III"/>
    <s v="Male"/>
    <s v="Black or African American"/>
    <n v="203"/>
    <x v="10"/>
    <d v="2022-06-29T00:00:00"/>
    <x v="28"/>
    <s v="Washington"/>
    <n v="20409"/>
    <s v="United States"/>
    <x v="5"/>
    <n v="6"/>
    <x v="4"/>
  </r>
  <r>
    <n v="1941"/>
    <s v="Jimmy"/>
    <s v="Ryan"/>
    <s v="jryanq4@telegraph.co.uk"/>
    <s v="jryanq4"/>
    <x v="61"/>
    <s v="Media Manager III"/>
    <s v="Male"/>
    <s v="Japanese"/>
    <n v="299"/>
    <x v="1"/>
    <d v="2022-07-03T00:00:00"/>
    <x v="10"/>
    <s v="Chicago"/>
    <n v="60609"/>
    <s v="United States"/>
    <x v="6"/>
    <n v="7"/>
    <x v="4"/>
  </r>
  <r>
    <n v="1035"/>
    <s v="Rachel"/>
    <s v="Green"/>
    <s v="rgreeny@cnn.com"/>
    <s v="rgreeny"/>
    <x v="264"/>
    <s v="Dental Hygienist"/>
    <s v="Female"/>
    <s v="Black or African American"/>
    <n v="357"/>
    <x v="13"/>
    <d v="2022-07-04T00:00:00"/>
    <x v="6"/>
    <s v="Davenport"/>
    <n v="52809"/>
    <s v="United States"/>
    <x v="6"/>
    <n v="7"/>
    <x v="4"/>
  </r>
  <r>
    <n v="1592"/>
    <s v="Craig"/>
    <s v="Nichols"/>
    <s v="cnicholsgf@huffingtonpost.com"/>
    <s v="cnicholsgf"/>
    <x v="63"/>
    <s v="Senior Sales Associate"/>
    <s v="Male"/>
    <s v="Eskimo"/>
    <n v="99"/>
    <x v="7"/>
    <d v="2022-07-06T00:00:00"/>
    <x v="18"/>
    <s v="Evansville"/>
    <n v="47747"/>
    <s v="United States"/>
    <x v="6"/>
    <n v="7"/>
    <x v="4"/>
  </r>
  <r>
    <n v="1755"/>
    <s v="Cynthia"/>
    <s v="Ryan"/>
    <s v="cryanky@purevolume.com"/>
    <s v="cryanky"/>
    <x v="1"/>
    <s v="Research Associate"/>
    <s v="Female"/>
    <s v="Costa Rican"/>
    <n v="457"/>
    <x v="4"/>
    <d v="2022-07-06T00:00:00"/>
    <x v="1"/>
    <s v="San Diego"/>
    <n v="92170"/>
    <s v="United States"/>
    <x v="6"/>
    <n v="7"/>
    <x v="4"/>
  </r>
  <r>
    <n v="1974"/>
    <s v="Theresa"/>
    <s v="Bailey"/>
    <s v="tbaileyr1@netvibes.com"/>
    <s v="tbaileyr1"/>
    <x v="156"/>
    <s v="Mechanical Systems Engineer"/>
    <s v="Female"/>
    <s v="White"/>
    <n v="763"/>
    <x v="12"/>
    <d v="2022-07-08T00:00:00"/>
    <x v="28"/>
    <s v="Washington"/>
    <n v="20525"/>
    <s v="United States"/>
    <x v="6"/>
    <n v="7"/>
    <x v="4"/>
  </r>
  <r>
    <n v="1783"/>
    <s v="Juan"/>
    <s v="Jones"/>
    <s v="jjoneslq@vistaprint.com"/>
    <s v="jjoneslq"/>
    <x v="33"/>
    <s v="Programmer III"/>
    <s v="Male"/>
    <s v="Asian"/>
    <n v="157"/>
    <x v="11"/>
    <d v="2022-07-09T00:00:00"/>
    <x v="25"/>
    <s v="Tucson"/>
    <n v="85715"/>
    <s v="United States"/>
    <x v="6"/>
    <n v="7"/>
    <x v="4"/>
  </r>
  <r>
    <n v="1513"/>
    <s v="Chris"/>
    <s v="Powell"/>
    <s v="cpowelle8@digg.com"/>
    <s v="cpowelle8"/>
    <x v="151"/>
    <s v="Automation Specialist III"/>
    <s v="Male"/>
    <s v="Eskimo"/>
    <n v="809"/>
    <x v="2"/>
    <d v="2022-07-10T00:00:00"/>
    <x v="2"/>
    <s v="Richmond"/>
    <n v="23289"/>
    <s v="United States"/>
    <x v="6"/>
    <n v="7"/>
    <x v="4"/>
  </r>
  <r>
    <n v="1761"/>
    <s v="Richard"/>
    <s v="Hunt"/>
    <s v="rhuntl4@free.fr"/>
    <s v="rhuntl4"/>
    <x v="250"/>
    <s v="VP Marketing"/>
    <s v="Male"/>
    <s v="Thai"/>
    <n v="230"/>
    <x v="1"/>
    <d v="2022-07-10T00:00:00"/>
    <x v="4"/>
    <s v="San Antonio"/>
    <n v="78205"/>
    <s v="United States"/>
    <x v="6"/>
    <n v="7"/>
    <x v="4"/>
  </r>
  <r>
    <n v="1020"/>
    <s v="Andrea"/>
    <s v="Mason"/>
    <s v="amasonj@yelp.com"/>
    <s v="amasonj"/>
    <x v="34"/>
    <s v="Financial Advisor"/>
    <s v="Female"/>
    <s v="Black or African American"/>
    <n v="900"/>
    <x v="1"/>
    <d v="2022-07-11T00:00:00"/>
    <x v="1"/>
    <s v="San Francisco"/>
    <n v="94105"/>
    <s v="United States"/>
    <x v="6"/>
    <n v="7"/>
    <x v="4"/>
  </r>
  <r>
    <n v="1026"/>
    <s v="Jacqueline"/>
    <s v="Ellis"/>
    <s v="jellisp@imageshack.us"/>
    <s v="jellisp"/>
    <x v="6"/>
    <s v="Senior Sales Associate"/>
    <s v="Female"/>
    <s v="Black or African American"/>
    <n v="496"/>
    <x v="1"/>
    <d v="2022-07-12T00:00:00"/>
    <x v="5"/>
    <s v="Bronx"/>
    <n v="10469"/>
    <s v="United States"/>
    <x v="6"/>
    <n v="7"/>
    <x v="4"/>
  </r>
  <r>
    <n v="1394"/>
    <s v="Louise"/>
    <s v="Mills"/>
    <s v="lmillsax@sourceforge.net"/>
    <s v="lmillsax"/>
    <x v="72"/>
    <s v="Internal Auditor"/>
    <s v="Female"/>
    <s v="Native Hawaiian and Other Pacific Islander (NHPI)"/>
    <n v="203"/>
    <x v="1"/>
    <d v="2022-07-15T00:00:00"/>
    <x v="1"/>
    <s v="San Diego"/>
    <n v="92105"/>
    <s v="United States"/>
    <x v="6"/>
    <n v="7"/>
    <x v="4"/>
  </r>
  <r>
    <n v="1851"/>
    <s v="Linda"/>
    <s v="Washington"/>
    <s v="lwashingtonnm@jalbum.net"/>
    <s v="lwashingtonnm"/>
    <x v="76"/>
    <s v="Teacher"/>
    <s v="Female"/>
    <s v="White"/>
    <n v="56"/>
    <x v="12"/>
    <d v="2022-07-15T00:00:00"/>
    <x v="5"/>
    <s v="Brooklyn"/>
    <n v="11210"/>
    <s v="United States"/>
    <x v="6"/>
    <n v="7"/>
    <x v="4"/>
  </r>
  <r>
    <n v="1188"/>
    <s v="Laura"/>
    <s v="Austin"/>
    <s v="laustin57@infoseek.co.jp"/>
    <s v="laustin57"/>
    <x v="131"/>
    <s v="Senior Developer"/>
    <s v="Female"/>
    <s v="White"/>
    <n v="94"/>
    <x v="1"/>
    <d v="2022-07-16T00:00:00"/>
    <x v="10"/>
    <s v="Chicago"/>
    <n v="60663"/>
    <s v="United States"/>
    <x v="6"/>
    <n v="7"/>
    <x v="4"/>
  </r>
  <r>
    <n v="1675"/>
    <s v="Heather"/>
    <s v="Reid"/>
    <s v="hreidiq@soup.io"/>
    <s v="hreidiq"/>
    <x v="150"/>
    <s v="Biostatistician I"/>
    <s v="Female"/>
    <s v="Black or African American"/>
    <n v="780"/>
    <x v="11"/>
    <d v="2022-07-16T00:00:00"/>
    <x v="4"/>
    <s v="Dallas"/>
    <n v="75231"/>
    <s v="United States"/>
    <x v="6"/>
    <n v="7"/>
    <x v="4"/>
  </r>
  <r>
    <n v="1694"/>
    <s v="Henry"/>
    <s v="Simpson"/>
    <s v="hsimpsonj9@japanpost.jp"/>
    <s v="hsimpsonj9"/>
    <x v="265"/>
    <s v="Operator"/>
    <s v="Male"/>
    <s v="Black or African American"/>
    <n v="819"/>
    <x v="1"/>
    <d v="2022-07-25T00:00:00"/>
    <x v="11"/>
    <s v="Colorado Springs"/>
    <n v="80940"/>
    <s v="United States"/>
    <x v="6"/>
    <n v="7"/>
    <x v="4"/>
  </r>
  <r>
    <n v="1848"/>
    <s v="Jimmy"/>
    <s v="Gordon"/>
    <s v="jgordonnj@google.fr"/>
    <s v="jgordonnj"/>
    <x v="266"/>
    <s v="Research Associate"/>
    <s v="Male"/>
    <s v="South American"/>
    <n v="964"/>
    <x v="0"/>
    <d v="2022-07-27T00:00:00"/>
    <x v="32"/>
    <s v="Juneau"/>
    <n v="99812"/>
    <s v="United States"/>
    <x v="6"/>
    <n v="7"/>
    <x v="4"/>
  </r>
  <r>
    <n v="1741"/>
    <s v="Robin"/>
    <s v="Williamson"/>
    <s v="rwilliamsonkk@about.me"/>
    <s v="rwilliamsonkk"/>
    <x v="130"/>
    <s v="Executive Secretary"/>
    <s v="Female"/>
    <s v="Black or African American"/>
    <n v="521"/>
    <x v="11"/>
    <d v="2022-07-28T00:00:00"/>
    <x v="1"/>
    <s v="Oakland"/>
    <n v="94605"/>
    <s v="United States"/>
    <x v="6"/>
    <n v="7"/>
    <x v="4"/>
  </r>
  <r>
    <n v="1026"/>
    <s v="Jacqueline"/>
    <s v="Ellis"/>
    <s v="jellisp@imageshack.us"/>
    <s v="jellisp"/>
    <x v="6"/>
    <s v="Senior Sales Associate"/>
    <s v="Female"/>
    <s v="Black or African American"/>
    <n v="630"/>
    <x v="1"/>
    <d v="2022-07-31T00:00:00"/>
    <x v="5"/>
    <s v="Bronx"/>
    <n v="10469"/>
    <s v="United States"/>
    <x v="6"/>
    <n v="7"/>
    <x v="4"/>
  </r>
  <r>
    <n v="1973"/>
    <s v="Michelle"/>
    <s v="Henry"/>
    <s v="mhenryr0@soundcloud.com"/>
    <s v="mhenryr0"/>
    <x v="267"/>
    <s v="Developer IV"/>
    <s v="Female"/>
    <s v="Eskimo"/>
    <n v="330"/>
    <x v="1"/>
    <d v="2022-07-31T00:00:00"/>
    <x v="4"/>
    <s v="Dallas"/>
    <n v="75353"/>
    <s v="United States"/>
    <x v="6"/>
    <n v="7"/>
    <x v="4"/>
  </r>
  <r>
    <n v="1812"/>
    <s v="Randy"/>
    <s v="Harris"/>
    <s v="rharrismj@omniture.com"/>
    <s v="rharrismj"/>
    <x v="23"/>
    <s v="Clinical Specialist"/>
    <s v="Male"/>
    <s v="Japanese"/>
    <n v="299"/>
    <x v="6"/>
    <d v="2022-08-05T00:00:00"/>
    <x v="20"/>
    <s v="Birmingham"/>
    <n v="35220"/>
    <s v="United States"/>
    <x v="7"/>
    <n v="8"/>
    <x v="4"/>
  </r>
  <r>
    <n v="1632"/>
    <s v="William"/>
    <s v="Ward"/>
    <s v="wwardhj@ft.com"/>
    <s v="wwardhj"/>
    <x v="268"/>
    <s v="Junior Executive"/>
    <s v="Male"/>
    <s v="Black or African American"/>
    <n v="30"/>
    <x v="8"/>
    <d v="2022-08-08T00:00:00"/>
    <x v="0"/>
    <s v="Saginaw"/>
    <n v="48604"/>
    <s v="United States"/>
    <x v="7"/>
    <n v="8"/>
    <x v="4"/>
  </r>
  <r>
    <n v="1514"/>
    <s v="Norma"/>
    <s v="Washington"/>
    <s v="nwashingtone9@ed.gov"/>
    <s v="nwashingtone9"/>
    <x v="154"/>
    <s v="Assistant Professor"/>
    <s v="Female"/>
    <s v="Korean"/>
    <n v="572"/>
    <x v="13"/>
    <d v="2022-08-09T00:00:00"/>
    <x v="1"/>
    <s v="San Rafael"/>
    <n v="94913"/>
    <s v="United States"/>
    <x v="7"/>
    <n v="8"/>
    <x v="4"/>
  </r>
  <r>
    <n v="1985"/>
    <s v="Anna"/>
    <s v="Wilson"/>
    <s v="awilsonrc@sun.com"/>
    <s v="awilsonrc"/>
    <x v="3"/>
    <s v="Junior Executive"/>
    <s v="Female"/>
    <s v="White"/>
    <n v="523"/>
    <x v="14"/>
    <d v="2022-08-09T00:00:00"/>
    <x v="10"/>
    <s v="Chicago"/>
    <n v="60646"/>
    <s v="United States"/>
    <x v="7"/>
    <n v="8"/>
    <x v="4"/>
  </r>
  <r>
    <n v="1976"/>
    <s v="Aaron"/>
    <s v="Chapman"/>
    <s v="achapmanr3@pagesperso-orange.fr"/>
    <s v="achapmanr3"/>
    <x v="194"/>
    <s v="Chief Design Engineer"/>
    <s v="Male"/>
    <s v="White"/>
    <n v="874"/>
    <x v="6"/>
    <d v="2022-08-10T00:00:00"/>
    <x v="10"/>
    <s v="Chicago"/>
    <n v="60674"/>
    <s v="United States"/>
    <x v="7"/>
    <n v="8"/>
    <x v="4"/>
  </r>
  <r>
    <n v="1437"/>
    <s v="Wayne"/>
    <s v="Willis"/>
    <s v="wwillisc4@phoca.cz"/>
    <s v="wwillisc4"/>
    <x v="85"/>
    <s v="Software Consultant"/>
    <s v="Male"/>
    <s v="Argentinian"/>
    <n v="476"/>
    <x v="1"/>
    <d v="2022-08-11T00:00:00"/>
    <x v="24"/>
    <s v="Reno"/>
    <n v="89505"/>
    <s v="United States"/>
    <x v="7"/>
    <n v="8"/>
    <x v="4"/>
  </r>
  <r>
    <n v="1087"/>
    <s v="Marie"/>
    <s v="Wright"/>
    <s v="mwright2e@umich.edu"/>
    <s v="mwright2e"/>
    <x v="73"/>
    <s v="Budget/Accounting Analyst I"/>
    <s v="Female"/>
    <s v="Mexican"/>
    <n v="465"/>
    <x v="6"/>
    <d v="2022-08-13T00:00:00"/>
    <x v="1"/>
    <s v="Santa Ana"/>
    <n v="92705"/>
    <s v="United States"/>
    <x v="7"/>
    <n v="8"/>
    <x v="4"/>
  </r>
  <r>
    <n v="1039"/>
    <s v="Jonathan"/>
    <s v="Roberts"/>
    <s v="jroberts12@nih.gov"/>
    <s v="jroberts12"/>
    <x v="109"/>
    <s v="Sales Representative"/>
    <s v="Male"/>
    <s v="Black or African American"/>
    <n v="808"/>
    <x v="11"/>
    <d v="2022-08-14T00:00:00"/>
    <x v="29"/>
    <s v="Louisville"/>
    <n v="40298"/>
    <s v="United States"/>
    <x v="7"/>
    <n v="8"/>
    <x v="4"/>
  </r>
  <r>
    <n v="1234"/>
    <s v="Adam"/>
    <s v="Jenkins"/>
    <s v="ajenkins6h@comcast.net"/>
    <s v="ajenkins6h"/>
    <x v="4"/>
    <s v="Internal Auditor"/>
    <s v="Male"/>
    <s v="White"/>
    <n v="851"/>
    <x v="4"/>
    <d v="2022-08-14T00:00:00"/>
    <x v="4"/>
    <s v="Austin"/>
    <n v="78710"/>
    <s v="United States"/>
    <x v="7"/>
    <n v="8"/>
    <x v="4"/>
  </r>
  <r>
    <n v="1985"/>
    <s v="Anna"/>
    <s v="Wilson"/>
    <s v="awilsonrc@sun.com"/>
    <s v="awilsonrc"/>
    <x v="3"/>
    <s v="Junior Executive"/>
    <s v="Female"/>
    <s v="White"/>
    <n v="426"/>
    <x v="14"/>
    <d v="2022-08-14T00:00:00"/>
    <x v="10"/>
    <s v="Chicago"/>
    <n v="60646"/>
    <s v="United States"/>
    <x v="7"/>
    <n v="8"/>
    <x v="4"/>
  </r>
  <r>
    <n v="1783"/>
    <s v="Juan"/>
    <s v="Jones"/>
    <s v="jjoneslq@vistaprint.com"/>
    <s v="jjoneslq"/>
    <x v="33"/>
    <s v="Programmer III"/>
    <s v="Male"/>
    <s v="Asian"/>
    <n v="495"/>
    <x v="11"/>
    <d v="2022-08-16T00:00:00"/>
    <x v="25"/>
    <s v="Tucson"/>
    <n v="85715"/>
    <s v="United States"/>
    <x v="7"/>
    <n v="8"/>
    <x v="4"/>
  </r>
  <r>
    <n v="1489"/>
    <s v="Roger"/>
    <s v="Matthews"/>
    <s v="rmatthewsdk@nature.com"/>
    <s v="rmatthewsdk"/>
    <x v="7"/>
    <s v="Environmental Tech"/>
    <s v="Male"/>
    <s v="Black or African American"/>
    <n v="868"/>
    <x v="4"/>
    <d v="2022-08-19T00:00:00"/>
    <x v="2"/>
    <s v="Hampton"/>
    <n v="23668"/>
    <s v="United States"/>
    <x v="7"/>
    <n v="8"/>
    <x v="4"/>
  </r>
  <r>
    <n v="1407"/>
    <s v="Adam"/>
    <s v="Marshall"/>
    <s v="amarshallba@yahoo.com"/>
    <s v="amarshallba"/>
    <x v="127"/>
    <s v="Staff Accountant II"/>
    <s v="Male"/>
    <s v="Alaska Native"/>
    <n v="133"/>
    <x v="13"/>
    <d v="2022-08-20T00:00:00"/>
    <x v="1"/>
    <s v="San Diego"/>
    <n v="92153"/>
    <s v="United States"/>
    <x v="7"/>
    <n v="8"/>
    <x v="4"/>
  </r>
  <r>
    <n v="1708"/>
    <s v="Elizabeth"/>
    <s v="Ford"/>
    <s v="efordjn@vimeo.com"/>
    <s v="efordjn"/>
    <x v="262"/>
    <s v="Environmental Tech"/>
    <s v="Female"/>
    <s v="Black or African American"/>
    <n v="270"/>
    <x v="8"/>
    <d v="2022-08-20T00:00:00"/>
    <x v="0"/>
    <s v="Ann Arbor"/>
    <n v="48107"/>
    <s v="United States"/>
    <x v="7"/>
    <n v="8"/>
    <x v="4"/>
  </r>
  <r>
    <n v="1998"/>
    <s v="Christopher"/>
    <s v="Stephens"/>
    <s v="cstephensrp@myspace.com"/>
    <s v="cstephensrp"/>
    <x v="10"/>
    <s v="Marketing Assistant"/>
    <s v="Male"/>
    <s v="Hispanic"/>
    <n v="984"/>
    <x v="1"/>
    <d v="2022-08-21T00:00:00"/>
    <x v="8"/>
    <s v="Saint Paul"/>
    <n v="55146"/>
    <s v="United States"/>
    <x v="7"/>
    <n v="8"/>
    <x v="4"/>
  </r>
  <r>
    <n v="1489"/>
    <s v="Roger"/>
    <s v="Matthews"/>
    <s v="rmatthewsdk@nature.com"/>
    <s v="rmatthewsdk"/>
    <x v="7"/>
    <s v="Environmental Tech"/>
    <s v="Male"/>
    <s v="Black or African American"/>
    <n v="996"/>
    <x v="4"/>
    <d v="2022-08-22T00:00:00"/>
    <x v="2"/>
    <s v="Hampton"/>
    <n v="23668"/>
    <s v="United States"/>
    <x v="7"/>
    <n v="8"/>
    <x v="4"/>
  </r>
  <r>
    <n v="1664"/>
    <s v="Judith"/>
    <s v="Garrett"/>
    <s v="jgarrettif@youtube.com"/>
    <s v="jgarrettif"/>
    <x v="237"/>
    <s v="Executive Secretary"/>
    <s v="Female"/>
    <s v="Black or African American"/>
    <n v="452"/>
    <x v="9"/>
    <d v="2022-08-24T00:00:00"/>
    <x v="12"/>
    <s v="Albuquerque"/>
    <n v="87195"/>
    <s v="United States"/>
    <x v="7"/>
    <n v="8"/>
    <x v="4"/>
  </r>
  <r>
    <n v="1600"/>
    <s v="Andrew"/>
    <s v="Dean"/>
    <s v="adeangn@weebly.com"/>
    <s v="adeangn"/>
    <x v="269"/>
    <s v="Accountant I"/>
    <s v="Male"/>
    <s v="Thai"/>
    <n v="342"/>
    <x v="6"/>
    <d v="2022-08-25T00:00:00"/>
    <x v="31"/>
    <s v="Wichita"/>
    <n v="67260"/>
    <s v="United States"/>
    <x v="7"/>
    <n v="8"/>
    <x v="4"/>
  </r>
  <r>
    <n v="1144"/>
    <s v="Lori"/>
    <s v="Harvey"/>
    <s v="lharvey3z@ibm.com"/>
    <s v="lharvey3z"/>
    <x v="23"/>
    <s v="Technical Writer"/>
    <s v="Female"/>
    <s v="Asian"/>
    <n v="134"/>
    <x v="4"/>
    <d v="2022-08-26T00:00:00"/>
    <x v="5"/>
    <s v="Flushing"/>
    <n v="11355"/>
    <s v="United States"/>
    <x v="7"/>
    <n v="8"/>
    <x v="4"/>
  </r>
  <r>
    <n v="1580"/>
    <s v="Joyce"/>
    <s v="Black"/>
    <s v="jblackg3@who.int"/>
    <s v="jblackg3"/>
    <x v="195"/>
    <s v="Analyst Programmer"/>
    <s v="Female"/>
    <s v="Hispanic"/>
    <n v="428"/>
    <x v="4"/>
    <d v="2022-08-26T00:00:00"/>
    <x v="8"/>
    <s v="Saint Paul"/>
    <n v="55188"/>
    <s v="United States"/>
    <x v="7"/>
    <n v="8"/>
    <x v="4"/>
  </r>
  <r>
    <n v="1043"/>
    <s v="Walter"/>
    <s v="Roberts"/>
    <s v="wroberts16@tiny.cc"/>
    <s v="wroberts16"/>
    <x v="66"/>
    <s v="Senior Quality Engineer"/>
    <s v="Male"/>
    <s v="Black or African American"/>
    <n v="639"/>
    <x v="0"/>
    <d v="2022-08-28T00:00:00"/>
    <x v="24"/>
    <s v="Las Vegas"/>
    <n v="89140"/>
    <s v="United States"/>
    <x v="7"/>
    <n v="8"/>
    <x v="4"/>
  </r>
  <r>
    <n v="1274"/>
    <s v="Anne"/>
    <s v="Bell"/>
    <s v="abell7l@plala.or.jp"/>
    <s v="abell7l"/>
    <x v="270"/>
    <s v="Help Desk Operator"/>
    <s v="Female"/>
    <s v="Mexican"/>
    <n v="434"/>
    <x v="8"/>
    <d v="2022-08-28T00:00:00"/>
    <x v="4"/>
    <s v="San Antonio"/>
    <n v="78235"/>
    <s v="United States"/>
    <x v="7"/>
    <n v="8"/>
    <x v="4"/>
  </r>
  <r>
    <n v="1083"/>
    <s v="Scott"/>
    <s v="Martinez"/>
    <s v="smartinez2a@go.com"/>
    <s v="smartinez2a"/>
    <x v="133"/>
    <s v="Research Assistant IV"/>
    <s v="Male"/>
    <s v="Mexican"/>
    <n v="272"/>
    <x v="1"/>
    <d v="2022-08-29T00:00:00"/>
    <x v="22"/>
    <s v="Orlando"/>
    <n v="32868"/>
    <s v="United States"/>
    <x v="7"/>
    <n v="8"/>
    <x v="4"/>
  </r>
  <r>
    <n v="1465"/>
    <s v="Arthur"/>
    <s v="Rose"/>
    <s v="arosecw@ycombinator.com"/>
    <s v="arosecw"/>
    <x v="14"/>
    <s v="Data Coordiator"/>
    <s v="Male"/>
    <s v="Taiwanese"/>
    <n v="631"/>
    <x v="12"/>
    <d v="2022-08-29T00:00:00"/>
    <x v="4"/>
    <s v="Arlington"/>
    <n v="76004"/>
    <s v="United States"/>
    <x v="7"/>
    <n v="8"/>
    <x v="4"/>
  </r>
  <r>
    <n v="1298"/>
    <s v="Anna"/>
    <s v="Thomas"/>
    <s v="athomas89@usa.gov"/>
    <s v="athomas89"/>
    <x v="33"/>
    <s v="Food Chemist"/>
    <s v="Female"/>
    <s v="Japanese"/>
    <n v="391"/>
    <x v="12"/>
    <d v="2022-08-30T00:00:00"/>
    <x v="22"/>
    <s v="Orlando"/>
    <n v="32891"/>
    <s v="United States"/>
    <x v="7"/>
    <n v="8"/>
    <x v="4"/>
  </r>
  <r>
    <n v="1880"/>
    <s v="Rebecca"/>
    <s v="Lawson"/>
    <s v="rlawsonof@nsw.gov.au"/>
    <s v="rlawsonof"/>
    <x v="12"/>
    <s v="Software Engineer I"/>
    <s v="Female"/>
    <s v="Taiwanese"/>
    <n v="484"/>
    <x v="1"/>
    <d v="2022-09-02T00:00:00"/>
    <x v="10"/>
    <s v="Chicago"/>
    <n v="60614"/>
    <s v="United States"/>
    <x v="8"/>
    <n v="9"/>
    <x v="4"/>
  </r>
  <r>
    <n v="1091"/>
    <s v="Craig"/>
    <s v="Owens"/>
    <s v="cowens2i@wikispaces.com"/>
    <s v="cowens2i"/>
    <x v="235"/>
    <s v="Business Systems Development Analyst"/>
    <s v="Male"/>
    <s v="Mexican"/>
    <n v="497"/>
    <x v="1"/>
    <d v="2022-09-05T00:00:00"/>
    <x v="26"/>
    <s v="Lakewood"/>
    <n v="98498"/>
    <s v="United States"/>
    <x v="8"/>
    <n v="9"/>
    <x v="4"/>
  </r>
  <r>
    <n v="1921"/>
    <s v="Philip"/>
    <s v="King"/>
    <s v="pkingpk@japanpost.jp"/>
    <s v="pkingpk"/>
    <x v="271"/>
    <s v="Biostatistician III"/>
    <s v="Male"/>
    <s v="Black or African American"/>
    <n v="332"/>
    <x v="6"/>
    <d v="2022-09-05T00:00:00"/>
    <x v="28"/>
    <s v="Washington"/>
    <n v="20073"/>
    <s v="United States"/>
    <x v="8"/>
    <n v="9"/>
    <x v="4"/>
  </r>
  <r>
    <n v="1020"/>
    <s v="Andrea"/>
    <s v="Mason"/>
    <s v="amasonj@yelp.com"/>
    <s v="amasonj"/>
    <x v="34"/>
    <s v="Financial Advisor"/>
    <s v="Female"/>
    <s v="Black or African American"/>
    <n v="16"/>
    <x v="1"/>
    <d v="2022-09-08T00:00:00"/>
    <x v="1"/>
    <s v="San Francisco"/>
    <n v="94105"/>
    <s v="United States"/>
    <x v="8"/>
    <n v="9"/>
    <x v="4"/>
  </r>
  <r>
    <n v="1039"/>
    <s v="Jonathan"/>
    <s v="Roberts"/>
    <s v="jroberts12@nih.gov"/>
    <s v="jroberts12"/>
    <x v="109"/>
    <s v="Sales Representative"/>
    <s v="Male"/>
    <s v="Black or African American"/>
    <n v="432"/>
    <x v="11"/>
    <d v="2022-09-08T00:00:00"/>
    <x v="29"/>
    <s v="Louisville"/>
    <n v="40298"/>
    <s v="United States"/>
    <x v="8"/>
    <n v="9"/>
    <x v="4"/>
  </r>
  <r>
    <n v="1753"/>
    <s v="Matthew"/>
    <s v="Welch"/>
    <s v="mwelchkw@amazon.co.jp"/>
    <s v="mwelchkw"/>
    <x v="272"/>
    <s v="Sales Associate"/>
    <s v="Male"/>
    <s v="Mexican"/>
    <n v="80"/>
    <x v="6"/>
    <d v="2022-09-08T00:00:00"/>
    <x v="16"/>
    <s v="Erie"/>
    <n v="16522"/>
    <s v="United States"/>
    <x v="8"/>
    <n v="9"/>
    <x v="4"/>
  </r>
  <r>
    <n v="1021"/>
    <s v="Amy"/>
    <s v="Jordan"/>
    <s v="ajordank@ed.gov"/>
    <s v="ajordank"/>
    <x v="0"/>
    <s v="Electrical Engineer"/>
    <s v="Female"/>
    <s v="Black or African American"/>
    <n v="726"/>
    <x v="0"/>
    <d v="2022-09-10T00:00:00"/>
    <x v="0"/>
    <s v="Flint"/>
    <n v="48555"/>
    <s v="United States"/>
    <x v="8"/>
    <n v="9"/>
    <x v="4"/>
  </r>
  <r>
    <n v="1298"/>
    <s v="Anna"/>
    <s v="Thomas"/>
    <s v="athomas89@usa.gov"/>
    <s v="athomas89"/>
    <x v="33"/>
    <s v="Food Chemist"/>
    <s v="Female"/>
    <s v="Japanese"/>
    <n v="979"/>
    <x v="12"/>
    <d v="2022-09-10T00:00:00"/>
    <x v="22"/>
    <s v="Orlando"/>
    <n v="32891"/>
    <s v="United States"/>
    <x v="8"/>
    <n v="9"/>
    <x v="4"/>
  </r>
  <r>
    <n v="1298"/>
    <s v="Anna"/>
    <s v="Thomas"/>
    <s v="athomas89@usa.gov"/>
    <s v="athomas89"/>
    <x v="33"/>
    <s v="Food Chemist"/>
    <s v="Female"/>
    <s v="Japanese"/>
    <n v="902"/>
    <x v="12"/>
    <d v="2022-09-12T00:00:00"/>
    <x v="22"/>
    <s v="Orlando"/>
    <n v="32891"/>
    <s v="United States"/>
    <x v="8"/>
    <n v="9"/>
    <x v="4"/>
  </r>
  <r>
    <n v="1212"/>
    <s v="Patricia"/>
    <s v="Weaver"/>
    <s v="pweaver5v@merriam-webster.com"/>
    <s v="pweaver5v"/>
    <x v="11"/>
    <s v="Staff Accountant I"/>
    <s v="Female"/>
    <s v="White"/>
    <n v="30"/>
    <x v="6"/>
    <d v="2022-09-13T00:00:00"/>
    <x v="9"/>
    <s v="Hartford"/>
    <n v="6183"/>
    <s v="United States"/>
    <x v="8"/>
    <n v="9"/>
    <x v="4"/>
  </r>
  <r>
    <n v="1808"/>
    <s v="Brian"/>
    <s v="Mccoy"/>
    <s v="bmccoymf@sun.com"/>
    <s v="bmccoymf"/>
    <x v="176"/>
    <s v="Compensation Analyst"/>
    <s v="Male"/>
    <s v="Eskimo"/>
    <n v="36"/>
    <x v="1"/>
    <d v="2022-09-13T00:00:00"/>
    <x v="4"/>
    <s v="San Antonio"/>
    <n v="78296"/>
    <s v="United States"/>
    <x v="8"/>
    <n v="9"/>
    <x v="4"/>
  </r>
  <r>
    <n v="1039"/>
    <s v="Jonathan"/>
    <s v="Roberts"/>
    <s v="jroberts12@nih.gov"/>
    <s v="jroberts12"/>
    <x v="109"/>
    <s v="Sales Representative"/>
    <s v="Male"/>
    <s v="Black or African American"/>
    <n v="251"/>
    <x v="11"/>
    <d v="2022-09-15T00:00:00"/>
    <x v="29"/>
    <s v="Louisville"/>
    <n v="40298"/>
    <s v="United States"/>
    <x v="8"/>
    <n v="9"/>
    <x v="4"/>
  </r>
  <r>
    <n v="1022"/>
    <s v="Todd"/>
    <s v="Peters"/>
    <s v="tpetersl@dot.gov"/>
    <s v="tpetersl"/>
    <x v="74"/>
    <s v="Design Engineer"/>
    <s v="Male"/>
    <s v="Black or African American"/>
    <n v="893"/>
    <x v="1"/>
    <d v="2022-09-16T00:00:00"/>
    <x v="28"/>
    <s v="Washington"/>
    <n v="20430"/>
    <s v="United States"/>
    <x v="8"/>
    <n v="9"/>
    <x v="4"/>
  </r>
  <r>
    <n v="1095"/>
    <s v="Emily"/>
    <s v="Franklin"/>
    <s v="efranklin2m@google.co.jp"/>
    <s v="efranklin2m"/>
    <x v="67"/>
    <s v="Analyst Programmer"/>
    <s v="Female"/>
    <s v="Mexican"/>
    <n v="281"/>
    <x v="6"/>
    <d v="2022-09-19T00:00:00"/>
    <x v="4"/>
    <s v="Houston"/>
    <n v="77040"/>
    <s v="United States"/>
    <x v="8"/>
    <n v="9"/>
    <x v="4"/>
  </r>
  <r>
    <n v="1851"/>
    <s v="Linda"/>
    <s v="Washington"/>
    <s v="lwashingtonnm@jalbum.net"/>
    <s v="lwashingtonnm"/>
    <x v="76"/>
    <s v="Teacher"/>
    <s v="Female"/>
    <s v="White"/>
    <n v="511"/>
    <x v="12"/>
    <d v="2022-09-19T00:00:00"/>
    <x v="5"/>
    <s v="Brooklyn"/>
    <n v="11210"/>
    <s v="United States"/>
    <x v="8"/>
    <n v="9"/>
    <x v="4"/>
  </r>
  <r>
    <n v="1667"/>
    <s v="Frances"/>
    <s v="Freeman"/>
    <s v="ffreemanii@nbcnews.com"/>
    <s v="ffreemanii"/>
    <x v="273"/>
    <s v="Librarian"/>
    <s v="Female"/>
    <s v="Black or African American"/>
    <n v="556"/>
    <x v="1"/>
    <d v="2022-09-20T00:00:00"/>
    <x v="3"/>
    <s v="Macon"/>
    <n v="31296"/>
    <s v="United States"/>
    <x v="8"/>
    <n v="9"/>
    <x v="4"/>
  </r>
  <r>
    <n v="1092"/>
    <s v="Donna"/>
    <s v="Hanson"/>
    <s v="dhanson2j@salon.com"/>
    <s v="dhanson2j"/>
    <x v="62"/>
    <s v="Assistant Media Planner"/>
    <s v="Female"/>
    <s v="Mexican"/>
    <n v="120"/>
    <x v="12"/>
    <d v="2022-09-22T00:00:00"/>
    <x v="22"/>
    <s v="Sarasota"/>
    <n v="34233"/>
    <s v="United States"/>
    <x v="8"/>
    <n v="9"/>
    <x v="4"/>
  </r>
  <r>
    <n v="1017"/>
    <s v="Diana"/>
    <s v="Wells"/>
    <s v="dwellsg@vimeo.com"/>
    <s v="dwellsg"/>
    <x v="89"/>
    <s v="Editor"/>
    <s v="Female"/>
    <s v="Black or African American"/>
    <n v="746"/>
    <x v="1"/>
    <d v="2022-09-25T00:00:00"/>
    <x v="10"/>
    <s v="Chicago"/>
    <n v="60663"/>
    <s v="United States"/>
    <x v="8"/>
    <n v="9"/>
    <x v="4"/>
  </r>
  <r>
    <n v="1260"/>
    <s v="Willie"/>
    <s v="King"/>
    <s v="wking77@apache.org"/>
    <s v="wking77"/>
    <x v="39"/>
    <s v="Software Consultant"/>
    <s v="Male"/>
    <s v="Japanese"/>
    <n v="705"/>
    <x v="1"/>
    <d v="2022-09-26T00:00:00"/>
    <x v="26"/>
    <s v="Spokane"/>
    <n v="99215"/>
    <s v="United States"/>
    <x v="8"/>
    <n v="9"/>
    <x v="4"/>
  </r>
  <r>
    <n v="1769"/>
    <s v="Denise"/>
    <s v="Shaw"/>
    <s v="dshawlc@taobao.com"/>
    <s v="dshawlc"/>
    <x v="274"/>
    <s v="Cost Accountant"/>
    <s v="Female"/>
    <s v="Asian"/>
    <n v="71"/>
    <x v="12"/>
    <d v="2022-09-27T00:00:00"/>
    <x v="22"/>
    <s v="Orlando"/>
    <n v="32885"/>
    <s v="United States"/>
    <x v="8"/>
    <n v="9"/>
    <x v="4"/>
  </r>
  <r>
    <n v="1489"/>
    <s v="Roger"/>
    <s v="Matthews"/>
    <s v="rmatthewsdk@nature.com"/>
    <s v="rmatthewsdk"/>
    <x v="7"/>
    <s v="Environmental Tech"/>
    <s v="Male"/>
    <s v="Black or African American"/>
    <n v="292"/>
    <x v="4"/>
    <d v="2022-09-28T00:00:00"/>
    <x v="2"/>
    <s v="Hampton"/>
    <n v="23668"/>
    <s v="United States"/>
    <x v="8"/>
    <n v="9"/>
    <x v="4"/>
  </r>
  <r>
    <n v="1095"/>
    <s v="Emily"/>
    <s v="Franklin"/>
    <s v="efranklin2m@google.co.jp"/>
    <s v="efranklin2m"/>
    <x v="67"/>
    <s v="Analyst Programmer"/>
    <s v="Female"/>
    <s v="Mexican"/>
    <n v="901"/>
    <x v="6"/>
    <d v="2022-09-29T00:00:00"/>
    <x v="4"/>
    <s v="Houston"/>
    <n v="77040"/>
    <s v="United States"/>
    <x v="8"/>
    <n v="9"/>
    <x v="4"/>
  </r>
  <r>
    <n v="1212"/>
    <s v="Patricia"/>
    <s v="Weaver"/>
    <s v="pweaver5v@merriam-webster.com"/>
    <s v="pweaver5v"/>
    <x v="11"/>
    <s v="Staff Accountant I"/>
    <s v="Female"/>
    <s v="White"/>
    <n v="303"/>
    <x v="6"/>
    <d v="2022-09-30T00:00:00"/>
    <x v="9"/>
    <s v="Hartford"/>
    <n v="6183"/>
    <s v="United States"/>
    <x v="8"/>
    <n v="9"/>
    <x v="4"/>
  </r>
  <r>
    <n v="1812"/>
    <s v="Randy"/>
    <s v="Harris"/>
    <s v="rharrismj@omniture.com"/>
    <s v="rharrismj"/>
    <x v="23"/>
    <s v="Clinical Specialist"/>
    <s v="Male"/>
    <s v="Japanese"/>
    <n v="990"/>
    <x v="6"/>
    <d v="2022-10-02T00:00:00"/>
    <x v="20"/>
    <s v="Birmingham"/>
    <n v="35220"/>
    <s v="United States"/>
    <x v="9"/>
    <n v="10"/>
    <x v="4"/>
  </r>
  <r>
    <n v="1022"/>
    <s v="Todd"/>
    <s v="Peters"/>
    <s v="tpetersl@dot.gov"/>
    <s v="tpetersl"/>
    <x v="74"/>
    <s v="Design Engineer"/>
    <s v="Male"/>
    <s v="Black or African American"/>
    <n v="15"/>
    <x v="1"/>
    <d v="2022-10-06T00:00:00"/>
    <x v="28"/>
    <s v="Washington"/>
    <n v="20430"/>
    <s v="United States"/>
    <x v="9"/>
    <n v="10"/>
    <x v="4"/>
  </r>
  <r>
    <n v="1760"/>
    <s v="Alan"/>
    <s v="Gonzales"/>
    <s v="agonzalesl3@webmd.com"/>
    <s v="agonzalesl3"/>
    <x v="105"/>
    <s v="Recruiting Manager"/>
    <s v="Male"/>
    <s v="Korean"/>
    <n v="568"/>
    <x v="15"/>
    <d v="2022-10-06T00:00:00"/>
    <x v="19"/>
    <s v="Dayton"/>
    <n v="45432"/>
    <s v="United States"/>
    <x v="9"/>
    <n v="10"/>
    <x v="4"/>
  </r>
  <r>
    <n v="1081"/>
    <s v="Tina"/>
    <s v="Lewis"/>
    <s v="tlewis28@mozilla.org"/>
    <s v="tlewis28"/>
    <x v="63"/>
    <s v="Operator"/>
    <s v="Female"/>
    <s v="Mexican"/>
    <n v="340"/>
    <x v="14"/>
    <d v="2022-10-11T00:00:00"/>
    <x v="19"/>
    <s v="Dayton"/>
    <n v="45426"/>
    <s v="United States"/>
    <x v="9"/>
    <n v="10"/>
    <x v="4"/>
  </r>
  <r>
    <n v="1561"/>
    <s v="Harold"/>
    <s v="Jones"/>
    <s v="hjonesfk@google.com.au"/>
    <s v="hjonesfk"/>
    <x v="275"/>
    <s v="Research Associate"/>
    <s v="Male"/>
    <s v="Argentinian"/>
    <n v="78"/>
    <x v="12"/>
    <d v="2022-10-12T00:00:00"/>
    <x v="19"/>
    <s v="Cincinnati"/>
    <n v="45243"/>
    <s v="United States"/>
    <x v="9"/>
    <n v="10"/>
    <x v="4"/>
  </r>
  <r>
    <n v="1880"/>
    <s v="Rebecca"/>
    <s v="Lawson"/>
    <s v="rlawsonof@nsw.gov.au"/>
    <s v="rlawsonof"/>
    <x v="12"/>
    <s v="Software Engineer I"/>
    <s v="Female"/>
    <s v="Taiwanese"/>
    <n v="350"/>
    <x v="1"/>
    <d v="2022-10-12T00:00:00"/>
    <x v="10"/>
    <s v="Chicago"/>
    <n v="60614"/>
    <s v="United States"/>
    <x v="9"/>
    <n v="10"/>
    <x v="4"/>
  </r>
  <r>
    <n v="1604"/>
    <s v="Eugene"/>
    <s v="Williams"/>
    <s v="ewilliamsgr@constantcontact.com"/>
    <s v="ewilliamsgr"/>
    <x v="88"/>
    <s v="Sales Representative"/>
    <s v="Male"/>
    <s v="Alaska Native"/>
    <n v="675"/>
    <x v="1"/>
    <d v="2022-10-13T00:00:00"/>
    <x v="4"/>
    <s v="Houston"/>
    <n v="77010"/>
    <s v="United States"/>
    <x v="9"/>
    <n v="10"/>
    <x v="4"/>
  </r>
  <r>
    <n v="1013"/>
    <s v="Keith"/>
    <s v="Castillo"/>
    <s v="kcastilloc@mashable.com"/>
    <s v="kcastilloc"/>
    <x v="246"/>
    <s v="Associate Professor"/>
    <s v="Male"/>
    <s v="Black or African American"/>
    <n v="725"/>
    <x v="10"/>
    <d v="2022-10-14T00:00:00"/>
    <x v="3"/>
    <s v="Atlanta"/>
    <n v="30358"/>
    <s v="United States"/>
    <x v="9"/>
    <n v="10"/>
    <x v="4"/>
  </r>
  <r>
    <n v="1365"/>
    <s v="Roy"/>
    <s v="Snyder"/>
    <s v="rsnydera4@whitehouse.gov"/>
    <s v="rsnydera4"/>
    <x v="56"/>
    <s v="Help Desk Technician"/>
    <s v="Male"/>
    <s v="Mexican"/>
    <n v="459"/>
    <x v="4"/>
    <d v="2022-10-14T00:00:00"/>
    <x v="22"/>
    <s v="Miami"/>
    <n v="33261"/>
    <s v="United States"/>
    <x v="9"/>
    <n v="10"/>
    <x v="4"/>
  </r>
  <r>
    <n v="1022"/>
    <s v="Todd"/>
    <s v="Peters"/>
    <s v="tpetersl@dot.gov"/>
    <s v="tpetersl"/>
    <x v="74"/>
    <s v="Design Engineer"/>
    <s v="Male"/>
    <s v="Black or African American"/>
    <n v="983"/>
    <x v="1"/>
    <d v="2022-10-15T00:00:00"/>
    <x v="28"/>
    <s v="Washington"/>
    <n v="20430"/>
    <s v="United States"/>
    <x v="9"/>
    <n v="10"/>
    <x v="4"/>
  </r>
  <r>
    <n v="1019"/>
    <s v="Lillian"/>
    <s v="Fuller"/>
    <s v="lfulleri@miitbeian.gov.cn"/>
    <s v="lfulleri"/>
    <x v="67"/>
    <s v="Sales Associate"/>
    <s v="Female"/>
    <s v="Black or African American"/>
    <n v="714"/>
    <x v="4"/>
    <d v="2022-10-16T00:00:00"/>
    <x v="33"/>
    <s v="Boise"/>
    <n v="83705"/>
    <s v="United States"/>
    <x v="9"/>
    <n v="10"/>
    <x v="4"/>
  </r>
  <r>
    <n v="1298"/>
    <s v="Anna"/>
    <s v="Thomas"/>
    <s v="athomas89@usa.gov"/>
    <s v="athomas89"/>
    <x v="33"/>
    <s v="Food Chemist"/>
    <s v="Female"/>
    <s v="Japanese"/>
    <n v="58"/>
    <x v="12"/>
    <d v="2022-10-17T00:00:00"/>
    <x v="22"/>
    <s v="Orlando"/>
    <n v="32891"/>
    <s v="United States"/>
    <x v="9"/>
    <n v="10"/>
    <x v="4"/>
  </r>
  <r>
    <n v="1095"/>
    <s v="Emily"/>
    <s v="Franklin"/>
    <s v="efranklin2m@google.co.jp"/>
    <s v="efranklin2m"/>
    <x v="67"/>
    <s v="Analyst Programmer"/>
    <s v="Female"/>
    <s v="Mexican"/>
    <n v="968"/>
    <x v="6"/>
    <d v="2022-10-18T00:00:00"/>
    <x v="4"/>
    <s v="Houston"/>
    <n v="77040"/>
    <s v="United States"/>
    <x v="9"/>
    <n v="10"/>
    <x v="4"/>
  </r>
  <r>
    <n v="1676"/>
    <s v="Janet"/>
    <s v="Murray"/>
    <s v="jmurrayir@discuz.net"/>
    <s v="jmurrayir"/>
    <x v="276"/>
    <s v="Dental Hygienist"/>
    <s v="Female"/>
    <s v="Black or African American"/>
    <n v="893"/>
    <x v="11"/>
    <d v="2022-10-18T00:00:00"/>
    <x v="15"/>
    <s v="Charlotte"/>
    <n v="28242"/>
    <s v="United States"/>
    <x v="9"/>
    <n v="10"/>
    <x v="4"/>
  </r>
  <r>
    <n v="1116"/>
    <s v="Christina"/>
    <s v="Wheeler"/>
    <s v="cwheeler37@ovh.net"/>
    <s v="cwheeler37"/>
    <x v="3"/>
    <s v="Information Systems Manager"/>
    <s v="Female"/>
    <s v="Mexican"/>
    <n v="650"/>
    <x v="3"/>
    <d v="2022-10-22T00:00:00"/>
    <x v="3"/>
    <s v="Duluth"/>
    <n v="30096"/>
    <s v="United States"/>
    <x v="9"/>
    <n v="10"/>
    <x v="4"/>
  </r>
  <r>
    <n v="1401"/>
    <s v="Thomas"/>
    <s v="Cruz"/>
    <s v="tcruzb4@so-net.ne.jp"/>
    <s v="tcruzb4"/>
    <x v="245"/>
    <s v="Research Associate"/>
    <s v="Male"/>
    <s v="Eskimo"/>
    <n v="32"/>
    <x v="1"/>
    <d v="2022-10-24T00:00:00"/>
    <x v="2"/>
    <s v="Alexandria"/>
    <n v="22333"/>
    <s v="United States"/>
    <x v="9"/>
    <n v="10"/>
    <x v="4"/>
  </r>
  <r>
    <n v="1437"/>
    <s v="Wayne"/>
    <s v="Willis"/>
    <s v="wwillisc4@phoca.cz"/>
    <s v="wwillisc4"/>
    <x v="85"/>
    <s v="Software Consultant"/>
    <s v="Male"/>
    <s v="Argentinian"/>
    <n v="449"/>
    <x v="1"/>
    <d v="2022-10-25T00:00:00"/>
    <x v="24"/>
    <s v="Reno"/>
    <n v="89505"/>
    <s v="United States"/>
    <x v="9"/>
    <n v="10"/>
    <x v="4"/>
  </r>
  <r>
    <n v="1880"/>
    <s v="Rebecca"/>
    <s v="Lawson"/>
    <s v="rlawsonof@nsw.gov.au"/>
    <s v="rlawsonof"/>
    <x v="12"/>
    <s v="Software Engineer I"/>
    <s v="Female"/>
    <s v="Taiwanese"/>
    <n v="221"/>
    <x v="1"/>
    <d v="2022-10-31T00:00:00"/>
    <x v="10"/>
    <s v="Chicago"/>
    <n v="60614"/>
    <s v="United States"/>
    <x v="9"/>
    <n v="10"/>
    <x v="4"/>
  </r>
  <r>
    <n v="1234"/>
    <s v="Adam"/>
    <s v="Jenkins"/>
    <s v="ajenkins6h@comcast.net"/>
    <s v="ajenkins6h"/>
    <x v="4"/>
    <s v="Internal Auditor"/>
    <s v="Male"/>
    <s v="White"/>
    <n v="550"/>
    <x v="4"/>
    <d v="2022-11-03T00:00:00"/>
    <x v="4"/>
    <s v="Austin"/>
    <n v="78710"/>
    <s v="United States"/>
    <x v="10"/>
    <n v="11"/>
    <x v="4"/>
  </r>
  <r>
    <n v="1170"/>
    <s v="Albert"/>
    <s v="Roberts"/>
    <s v="aroberts4p@ezinearticles.com"/>
    <s v="aroberts4p"/>
    <x v="14"/>
    <s v="Accountant I"/>
    <s v="Male"/>
    <s v="White"/>
    <n v="38"/>
    <x v="0"/>
    <d v="2022-11-05T00:00:00"/>
    <x v="4"/>
    <s v="El Paso"/>
    <n v="88574"/>
    <s v="United States"/>
    <x v="10"/>
    <n v="11"/>
    <x v="4"/>
  </r>
  <r>
    <n v="1532"/>
    <s v="Nicole"/>
    <s v="James"/>
    <s v="njameser@gizmodo.com"/>
    <s v="njameser"/>
    <x v="62"/>
    <s v="Senior Quality Engineer"/>
    <s v="Female"/>
    <s v="Black or African American"/>
    <n v="888"/>
    <x v="0"/>
    <d v="2022-11-05T00:00:00"/>
    <x v="4"/>
    <s v="San Antonio"/>
    <n v="78225"/>
    <s v="United States"/>
    <x v="10"/>
    <n v="11"/>
    <x v="4"/>
  </r>
  <r>
    <n v="1084"/>
    <s v="Larry"/>
    <s v="Ferguson"/>
    <s v="lferguson2b@theguardian.com"/>
    <s v="lferguson2b"/>
    <x v="17"/>
    <s v="Food Chemist"/>
    <s v="Male"/>
    <s v="Mexican"/>
    <n v="326"/>
    <x v="1"/>
    <d v="2022-11-06T00:00:00"/>
    <x v="14"/>
    <s v="Waltham"/>
    <n v="2453"/>
    <s v="United States"/>
    <x v="10"/>
    <n v="11"/>
    <x v="4"/>
  </r>
  <r>
    <n v="1734"/>
    <s v="Raymond"/>
    <s v="Warren"/>
    <s v="rwarrenkd@homestead.com"/>
    <s v="rwarrenkd"/>
    <x v="145"/>
    <s v="Marketing Assistant"/>
    <s v="Male"/>
    <s v="White"/>
    <n v="149"/>
    <x v="10"/>
    <d v="2022-11-06T00:00:00"/>
    <x v="19"/>
    <s v="Toledo"/>
    <n v="43666"/>
    <s v="United States"/>
    <x v="10"/>
    <n v="11"/>
    <x v="4"/>
  </r>
  <r>
    <n v="1582"/>
    <s v="Jean"/>
    <s v="Matthews"/>
    <s v="jmatthewsg5@elegantthemes.com"/>
    <s v="jmatthewsg5"/>
    <x v="139"/>
    <s v="Director of Sales"/>
    <s v="Female"/>
    <s v="Hispanic"/>
    <n v="227"/>
    <x v="6"/>
    <d v="2022-11-09T00:00:00"/>
    <x v="29"/>
    <s v="Louisville"/>
    <n v="40205"/>
    <s v="United States"/>
    <x v="10"/>
    <n v="11"/>
    <x v="4"/>
  </r>
  <r>
    <n v="1995"/>
    <s v="Teresa"/>
    <s v="Mcdonald"/>
    <s v="tmcdonaldrm@elegantthemes.com"/>
    <s v="tmcdonaldrm"/>
    <x v="69"/>
    <s v="Accounting Assistant IV"/>
    <s v="Female"/>
    <s v="White"/>
    <n v="329"/>
    <x v="6"/>
    <d v="2022-11-09T00:00:00"/>
    <x v="30"/>
    <s v="Knoxville"/>
    <n v="37939"/>
    <s v="United States"/>
    <x v="10"/>
    <n v="11"/>
    <x v="4"/>
  </r>
  <r>
    <n v="1123"/>
    <s v="Randy"/>
    <s v="Hamilton"/>
    <s v="rhamilton3e@loc.gov"/>
    <s v="rhamilton3e"/>
    <x v="82"/>
    <s v="Geological Engineer"/>
    <s v="Male"/>
    <s v="Mexican"/>
    <n v="651"/>
    <x v="0"/>
    <d v="2022-11-13T00:00:00"/>
    <x v="22"/>
    <s v="Tampa"/>
    <n v="33673"/>
    <s v="United States"/>
    <x v="10"/>
    <n v="11"/>
    <x v="4"/>
  </r>
  <r>
    <n v="1020"/>
    <s v="Andrea"/>
    <s v="Mason"/>
    <s v="amasonj@yelp.com"/>
    <s v="amasonj"/>
    <x v="34"/>
    <s v="Financial Advisor"/>
    <s v="Female"/>
    <s v="Black or African American"/>
    <n v="50"/>
    <x v="1"/>
    <d v="2022-11-14T00:00:00"/>
    <x v="1"/>
    <s v="San Francisco"/>
    <n v="94105"/>
    <s v="United States"/>
    <x v="10"/>
    <n v="11"/>
    <x v="4"/>
  </r>
  <r>
    <n v="1411"/>
    <s v="James"/>
    <s v="Crawford"/>
    <s v="jcrawfordbe@newsvine.com"/>
    <s v="jcrawfordbe"/>
    <x v="238"/>
    <s v="Registered Nurse"/>
    <s v="Male"/>
    <s v="Mexican"/>
    <n v="298"/>
    <x v="14"/>
    <d v="2022-11-15T00:00:00"/>
    <x v="28"/>
    <s v="Washington"/>
    <n v="20067"/>
    <s v="United States"/>
    <x v="10"/>
    <n v="11"/>
    <x v="4"/>
  </r>
  <r>
    <n v="1514"/>
    <s v="Norma"/>
    <s v="Washington"/>
    <s v="nwashingtone9@ed.gov"/>
    <s v="nwashingtone9"/>
    <x v="154"/>
    <s v="Assistant Professor"/>
    <s v="Female"/>
    <s v="Korean"/>
    <n v="122"/>
    <x v="13"/>
    <d v="2022-11-16T00:00:00"/>
    <x v="1"/>
    <s v="San Rafael"/>
    <n v="94913"/>
    <s v="United States"/>
    <x v="10"/>
    <n v="11"/>
    <x v="4"/>
  </r>
  <r>
    <n v="1084"/>
    <s v="Larry"/>
    <s v="Ferguson"/>
    <s v="lferguson2b@theguardian.com"/>
    <s v="lferguson2b"/>
    <x v="17"/>
    <s v="Food Chemist"/>
    <s v="Male"/>
    <s v="Mexican"/>
    <n v="685"/>
    <x v="1"/>
    <d v="2022-11-17T00:00:00"/>
    <x v="14"/>
    <s v="Waltham"/>
    <n v="2453"/>
    <s v="United States"/>
    <x v="10"/>
    <n v="11"/>
    <x v="4"/>
  </r>
  <r>
    <n v="1962"/>
    <s v="Aaron"/>
    <s v="Peters"/>
    <s v="apetersqp@europa.eu"/>
    <s v="apetersqp"/>
    <x v="118"/>
    <s v="Executive Secretary"/>
    <s v="Male"/>
    <s v="Argentinian"/>
    <n v="541"/>
    <x v="7"/>
    <d v="2022-11-18T00:00:00"/>
    <x v="30"/>
    <s v="Knoxville"/>
    <n v="37931"/>
    <s v="United States"/>
    <x v="10"/>
    <n v="11"/>
    <x v="4"/>
  </r>
  <r>
    <n v="1880"/>
    <s v="Rebecca"/>
    <s v="Lawson"/>
    <s v="rlawsonof@nsw.gov.au"/>
    <s v="rlawsonof"/>
    <x v="12"/>
    <s v="Software Engineer I"/>
    <s v="Female"/>
    <s v="Taiwanese"/>
    <n v="713"/>
    <x v="1"/>
    <d v="2022-11-19T00:00:00"/>
    <x v="10"/>
    <s v="Chicago"/>
    <n v="60614"/>
    <s v="United States"/>
    <x v="10"/>
    <n v="11"/>
    <x v="4"/>
  </r>
  <r>
    <n v="2000"/>
    <s v="Patricia"/>
    <s v="Austin"/>
    <s v="paustinrr@huffingtonpost.com"/>
    <s v="paustinrr"/>
    <x v="89"/>
    <s v="Assistant Professor"/>
    <s v="Female"/>
    <s v="Eskimo"/>
    <n v="658"/>
    <x v="4"/>
    <d v="2022-11-19T00:00:00"/>
    <x v="1"/>
    <s v="Sacramento"/>
    <n v="94230"/>
    <s v="United States"/>
    <x v="10"/>
    <n v="11"/>
    <x v="4"/>
  </r>
  <r>
    <n v="1690"/>
    <s v="Harold"/>
    <s v="Turner"/>
    <s v="hturnerj5@flavors.me"/>
    <s v="hturnerj5"/>
    <x v="131"/>
    <s v="Pharmacist"/>
    <s v="Male"/>
    <s v="Black or African American"/>
    <n v="884"/>
    <x v="9"/>
    <d v="2022-11-20T00:00:00"/>
    <x v="1"/>
    <s v="Sacramento"/>
    <n v="94245"/>
    <s v="United States"/>
    <x v="10"/>
    <n v="11"/>
    <x v="4"/>
  </r>
  <r>
    <n v="1017"/>
    <s v="Diana"/>
    <s v="Wells"/>
    <s v="dwellsg@vimeo.com"/>
    <s v="dwellsg"/>
    <x v="89"/>
    <s v="Editor"/>
    <s v="Female"/>
    <s v="Black or African American"/>
    <n v="820"/>
    <x v="1"/>
    <d v="2022-11-26T00:00:00"/>
    <x v="10"/>
    <s v="Chicago"/>
    <n v="60663"/>
    <s v="United States"/>
    <x v="10"/>
    <n v="11"/>
    <x v="4"/>
  </r>
  <r>
    <n v="1212"/>
    <s v="Patricia"/>
    <s v="Weaver"/>
    <s v="pweaver5v@merriam-webster.com"/>
    <s v="pweaver5v"/>
    <x v="11"/>
    <s v="Staff Accountant I"/>
    <s v="Female"/>
    <s v="White"/>
    <n v="790"/>
    <x v="6"/>
    <d v="2022-11-27T00:00:00"/>
    <x v="9"/>
    <s v="Hartford"/>
    <n v="6183"/>
    <s v="United States"/>
    <x v="10"/>
    <n v="11"/>
    <x v="4"/>
  </r>
  <r>
    <n v="1985"/>
    <s v="Anna"/>
    <s v="Wilson"/>
    <s v="awilsonrc@sun.com"/>
    <s v="awilsonrc"/>
    <x v="3"/>
    <s v="Junior Executive"/>
    <s v="Female"/>
    <s v="White"/>
    <n v="648"/>
    <x v="14"/>
    <d v="2022-11-27T00:00:00"/>
    <x v="10"/>
    <s v="Chicago"/>
    <n v="60646"/>
    <s v="United States"/>
    <x v="10"/>
    <n v="11"/>
    <x v="4"/>
  </r>
  <r>
    <n v="2000"/>
    <s v="Patricia"/>
    <s v="Austin"/>
    <s v="paustinrr@huffingtonpost.com"/>
    <s v="paustinrr"/>
    <x v="89"/>
    <s v="Assistant Professor"/>
    <s v="Female"/>
    <s v="Eskimo"/>
    <n v="689"/>
    <x v="4"/>
    <d v="2022-11-27T00:00:00"/>
    <x v="1"/>
    <s v="Sacramento"/>
    <n v="94230"/>
    <s v="United States"/>
    <x v="10"/>
    <n v="11"/>
    <x v="4"/>
  </r>
  <r>
    <n v="1116"/>
    <s v="Christina"/>
    <s v="Wheeler"/>
    <s v="cwheeler37@ovh.net"/>
    <s v="cwheeler37"/>
    <x v="3"/>
    <s v="Information Systems Manager"/>
    <s v="Female"/>
    <s v="Mexican"/>
    <n v="566"/>
    <x v="3"/>
    <d v="2022-12-01T00:00:00"/>
    <x v="3"/>
    <s v="Duluth"/>
    <n v="30096"/>
    <s v="United States"/>
    <x v="11"/>
    <n v="12"/>
    <x v="4"/>
  </r>
  <r>
    <n v="1986"/>
    <s v="Edward"/>
    <s v="Long"/>
    <s v="elongrd@bing.com"/>
    <s v="elongrd"/>
    <x v="13"/>
    <s v="Quality Control Specialist"/>
    <s v="Male"/>
    <s v="White"/>
    <n v="134"/>
    <x v="7"/>
    <d v="2022-12-01T00:00:00"/>
    <x v="4"/>
    <s v="Houston"/>
    <n v="77010"/>
    <s v="United States"/>
    <x v="11"/>
    <n v="12"/>
    <x v="4"/>
  </r>
  <r>
    <n v="1043"/>
    <s v="Walter"/>
    <s v="Roberts"/>
    <s v="wroberts16@tiny.cc"/>
    <s v="wroberts16"/>
    <x v="66"/>
    <s v="Senior Quality Engineer"/>
    <s v="Male"/>
    <s v="Black or African American"/>
    <n v="484"/>
    <x v="0"/>
    <d v="2022-12-02T00:00:00"/>
    <x v="24"/>
    <s v="Las Vegas"/>
    <n v="89140"/>
    <s v="United States"/>
    <x v="11"/>
    <n v="12"/>
    <x v="4"/>
  </r>
  <r>
    <n v="1070"/>
    <s v="Christopher"/>
    <s v="Lee"/>
    <s v="clee1x@prlog.org"/>
    <s v="clee1x"/>
    <x v="230"/>
    <s v="Food Chemist"/>
    <s v="Male"/>
    <s v="Mexican"/>
    <n v="408"/>
    <x v="3"/>
    <d v="2022-12-02T00:00:00"/>
    <x v="7"/>
    <s v="Shreveport"/>
    <n v="71137"/>
    <s v="United States"/>
    <x v="11"/>
    <n v="12"/>
    <x v="4"/>
  </r>
  <r>
    <n v="1489"/>
    <s v="Roger"/>
    <s v="Matthews"/>
    <s v="rmatthewsdk@nature.com"/>
    <s v="rmatthewsdk"/>
    <x v="7"/>
    <s v="Environmental Tech"/>
    <s v="Male"/>
    <s v="Black or African American"/>
    <n v="528"/>
    <x v="4"/>
    <d v="2022-12-02T00:00:00"/>
    <x v="2"/>
    <s v="Hampton"/>
    <n v="23668"/>
    <s v="United States"/>
    <x v="11"/>
    <n v="12"/>
    <x v="4"/>
  </r>
  <r>
    <n v="1573"/>
    <s v="Joe"/>
    <s v="Murray"/>
    <s v="jmurrayfw@bigcartel.com"/>
    <s v="jmurrayfw"/>
    <x v="29"/>
    <s v="Web Designer III"/>
    <s v="Male"/>
    <s v="American Indian"/>
    <n v="68"/>
    <x v="14"/>
    <d v="2022-12-02T00:00:00"/>
    <x v="4"/>
    <s v="Austin"/>
    <n v="78703"/>
    <s v="United States"/>
    <x v="11"/>
    <n v="12"/>
    <x v="4"/>
  </r>
  <r>
    <n v="1017"/>
    <s v="Diana"/>
    <s v="Wells"/>
    <s v="dwellsg@vimeo.com"/>
    <s v="dwellsg"/>
    <x v="89"/>
    <s v="Editor"/>
    <s v="Female"/>
    <s v="Black or African American"/>
    <n v="11"/>
    <x v="1"/>
    <d v="2022-12-04T00:00:00"/>
    <x v="10"/>
    <s v="Chicago"/>
    <n v="60663"/>
    <s v="United States"/>
    <x v="11"/>
    <n v="12"/>
    <x v="4"/>
  </r>
  <r>
    <n v="1081"/>
    <s v="Tina"/>
    <s v="Lewis"/>
    <s v="tlewis28@mozilla.org"/>
    <s v="tlewis28"/>
    <x v="63"/>
    <s v="Operator"/>
    <s v="Female"/>
    <s v="Mexican"/>
    <n v="828"/>
    <x v="14"/>
    <d v="2022-12-04T00:00:00"/>
    <x v="19"/>
    <s v="Dayton"/>
    <n v="45426"/>
    <s v="United States"/>
    <x v="11"/>
    <n v="12"/>
    <x v="4"/>
  </r>
  <r>
    <n v="1095"/>
    <s v="Emily"/>
    <s v="Franklin"/>
    <s v="efranklin2m@google.co.jp"/>
    <s v="efranklin2m"/>
    <x v="67"/>
    <s v="Analyst Programmer"/>
    <s v="Female"/>
    <s v="Mexican"/>
    <n v="383"/>
    <x v="6"/>
    <d v="2022-12-04T00:00:00"/>
    <x v="4"/>
    <s v="Houston"/>
    <n v="77040"/>
    <s v="United States"/>
    <x v="11"/>
    <n v="12"/>
    <x v="4"/>
  </r>
  <r>
    <n v="1641"/>
    <s v="Jeffrey"/>
    <s v="Holmes"/>
    <s v="jholmeshs@wufoo.com"/>
    <s v="jholmeshs"/>
    <x v="73"/>
    <s v="Speech Pathologist"/>
    <s v="Male"/>
    <s v="Black or African American"/>
    <n v="773"/>
    <x v="1"/>
    <d v="2022-12-04T00:00:00"/>
    <x v="6"/>
    <s v="Des Moines"/>
    <n v="50310"/>
    <s v="United States"/>
    <x v="11"/>
    <n v="12"/>
    <x v="4"/>
  </r>
  <r>
    <n v="1706"/>
    <s v="Judy"/>
    <s v="Murray"/>
    <s v="jmurrayjl@amazonaws.com"/>
    <s v="jmurrayjl"/>
    <x v="241"/>
    <s v="Help Desk Operator"/>
    <s v="Female"/>
    <s v="Black or African American"/>
    <n v="68"/>
    <x v="6"/>
    <d v="2022-12-06T00:00:00"/>
    <x v="4"/>
    <s v="Houston"/>
    <n v="77075"/>
    <s v="United States"/>
    <x v="11"/>
    <n v="12"/>
    <x v="4"/>
  </r>
  <r>
    <n v="1997"/>
    <s v="Elizabeth"/>
    <s v="Williams"/>
    <s v="ewilliamsro@google.ca"/>
    <s v="ewilliamsro"/>
    <x v="142"/>
    <s v="Pharmacist"/>
    <s v="Female"/>
    <s v="Japanese"/>
    <n v="360"/>
    <x v="1"/>
    <d v="2022-12-06T00:00:00"/>
    <x v="5"/>
    <s v="New York City"/>
    <n v="10155"/>
    <s v="United States"/>
    <x v="11"/>
    <n v="12"/>
    <x v="4"/>
  </r>
  <r>
    <n v="1463"/>
    <s v="Joe"/>
    <s v="Johnson"/>
    <s v="jjohnsoncu@cbsnews.com"/>
    <s v="jjohnsoncu"/>
    <x v="277"/>
    <s v="Financial Analyst"/>
    <s v="Male"/>
    <s v="Alaska Native"/>
    <n v="21"/>
    <x v="6"/>
    <d v="2022-12-07T00:00:00"/>
    <x v="22"/>
    <s v="Miami"/>
    <n v="33134"/>
    <s v="United States"/>
    <x v="11"/>
    <n v="12"/>
    <x v="4"/>
  </r>
  <r>
    <n v="1978"/>
    <s v="Paula"/>
    <s v="Meyer"/>
    <s v="pmeyerr5@fda.gov"/>
    <s v="pmeyerr5"/>
    <x v="221"/>
    <s v="Pharmacist"/>
    <s v="Female"/>
    <s v="White"/>
    <n v="221"/>
    <x v="1"/>
    <d v="2022-12-09T00:00:00"/>
    <x v="35"/>
    <s v="Silver Spring"/>
    <n v="20904"/>
    <s v="United States"/>
    <x v="11"/>
    <n v="12"/>
    <x v="4"/>
  </r>
  <r>
    <n v="1084"/>
    <s v="Larry"/>
    <s v="Ferguson"/>
    <s v="lferguson2b@theguardian.com"/>
    <s v="lferguson2b"/>
    <x v="17"/>
    <s v="Food Chemist"/>
    <s v="Male"/>
    <s v="Mexican"/>
    <n v="937"/>
    <x v="1"/>
    <d v="2022-12-10T00:00:00"/>
    <x v="14"/>
    <s v="Waltham"/>
    <n v="2453"/>
    <s v="United States"/>
    <x v="11"/>
    <n v="12"/>
    <x v="4"/>
  </r>
  <r>
    <n v="1144"/>
    <s v="Lori"/>
    <s v="Harvey"/>
    <s v="lharvey3z@ibm.com"/>
    <s v="lharvey3z"/>
    <x v="23"/>
    <s v="Technical Writer"/>
    <s v="Female"/>
    <s v="Asian"/>
    <n v="514"/>
    <x v="4"/>
    <d v="2022-12-17T00:00:00"/>
    <x v="5"/>
    <s v="Flushing"/>
    <n v="11355"/>
    <s v="United States"/>
    <x v="11"/>
    <n v="12"/>
    <x v="4"/>
  </r>
  <r>
    <n v="1546"/>
    <s v="Keith"/>
    <s v="Stanley"/>
    <s v="kstanleyf5@booking.com"/>
    <s v="kstanleyf5"/>
    <x v="76"/>
    <s v="Health Coach III"/>
    <s v="Male"/>
    <s v="Taiwanese"/>
    <n v="669"/>
    <x v="1"/>
    <d v="2022-12-18T00:00:00"/>
    <x v="30"/>
    <s v="Kingsport"/>
    <n v="37665"/>
    <s v="United States"/>
    <x v="11"/>
    <n v="12"/>
    <x v="4"/>
  </r>
  <r>
    <n v="1783"/>
    <s v="Juan"/>
    <s v="Jones"/>
    <s v="jjoneslq@vistaprint.com"/>
    <s v="jjoneslq"/>
    <x v="33"/>
    <s v="Programmer III"/>
    <s v="Male"/>
    <s v="Asian"/>
    <n v="540"/>
    <x v="11"/>
    <d v="2022-12-19T00:00:00"/>
    <x v="25"/>
    <s v="Tucson"/>
    <n v="85715"/>
    <s v="United States"/>
    <x v="11"/>
    <n v="12"/>
    <x v="4"/>
  </r>
  <r>
    <n v="1017"/>
    <s v="Diana"/>
    <s v="Wells"/>
    <s v="dwellsg@vimeo.com"/>
    <s v="dwellsg"/>
    <x v="89"/>
    <s v="Editor"/>
    <s v="Female"/>
    <s v="Black or African American"/>
    <n v="922"/>
    <x v="1"/>
    <d v="2022-12-20T00:00:00"/>
    <x v="10"/>
    <s v="Chicago"/>
    <n v="60663"/>
    <s v="United States"/>
    <x v="11"/>
    <n v="12"/>
    <x v="4"/>
  </r>
  <r>
    <n v="1846"/>
    <s v="Stephen"/>
    <s v="Miller"/>
    <s v="smillernh@chronoengine.com"/>
    <s v="smillernh"/>
    <x v="95"/>
    <s v="VP Marketing"/>
    <s v="Male"/>
    <s v="Taiwanese"/>
    <n v="603"/>
    <x v="14"/>
    <d v="2022-12-20T00:00:00"/>
    <x v="1"/>
    <s v="San Jose"/>
    <n v="95194"/>
    <s v="United States"/>
    <x v="11"/>
    <n v="12"/>
    <x v="4"/>
  </r>
  <r>
    <n v="1170"/>
    <s v="Albert"/>
    <s v="Roberts"/>
    <s v="aroberts4p@ezinearticles.com"/>
    <s v="aroberts4p"/>
    <x v="14"/>
    <s v="Accountant I"/>
    <s v="Male"/>
    <s v="White"/>
    <n v="588"/>
    <x v="0"/>
    <d v="2022-12-21T00:00:00"/>
    <x v="4"/>
    <s v="El Paso"/>
    <n v="88574"/>
    <s v="United States"/>
    <x v="11"/>
    <n v="12"/>
    <x v="4"/>
  </r>
  <r>
    <n v="1169"/>
    <s v="Juan"/>
    <s v="James"/>
    <s v="jjames4o@gov.uk"/>
    <s v="jjames4o"/>
    <x v="235"/>
    <s v="Occupational Therapist"/>
    <s v="Male"/>
    <s v="White"/>
    <n v="792"/>
    <x v="1"/>
    <d v="2022-12-24T00:00:00"/>
    <x v="8"/>
    <s v="Minneapolis"/>
    <n v="55446"/>
    <s v="United States"/>
    <x v="11"/>
    <n v="12"/>
    <x v="4"/>
  </r>
  <r>
    <n v="1468"/>
    <s v="Cynthia"/>
    <s v="Lopez"/>
    <s v="clopezcz@reverbnation.com"/>
    <s v="clopezcz"/>
    <x v="43"/>
    <s v="Automation Specialist IV"/>
    <s v="Female"/>
    <s v="White"/>
    <n v="996"/>
    <x v="2"/>
    <d v="2022-12-25T00:00:00"/>
    <x v="7"/>
    <s v="New Orleans"/>
    <n v="70116"/>
    <s v="United States"/>
    <x v="11"/>
    <n v="12"/>
    <x v="4"/>
  </r>
  <r>
    <n v="1468"/>
    <s v="Cynthia"/>
    <s v="Lopez"/>
    <s v="clopezcz@reverbnation.com"/>
    <s v="clopezcz"/>
    <x v="43"/>
    <s v="Automation Specialist IV"/>
    <s v="Female"/>
    <s v="White"/>
    <n v="608"/>
    <x v="2"/>
    <d v="2022-12-26T00:00:00"/>
    <x v="7"/>
    <s v="New Orleans"/>
    <n v="70116"/>
    <s v="United States"/>
    <x v="11"/>
    <n v="12"/>
    <x v="4"/>
  </r>
  <r>
    <n v="1468"/>
    <s v="Cynthia"/>
    <s v="Lopez"/>
    <s v="clopezcz@reverbnation.com"/>
    <s v="clopezcz"/>
    <x v="43"/>
    <s v="Automation Specialist IV"/>
    <s v="Female"/>
    <s v="White"/>
    <n v="996"/>
    <x v="2"/>
    <d v="2022-12-26T00:00:00"/>
    <x v="7"/>
    <s v="New Orleans"/>
    <n v="70116"/>
    <s v="United States"/>
    <x v="11"/>
    <n v="12"/>
    <x v="4"/>
  </r>
  <r>
    <n v="1840"/>
    <s v="Wayne"/>
    <s v="Mendoza"/>
    <s v="wmendozanb@constantcontact.com"/>
    <s v="wmendozanb"/>
    <x v="278"/>
    <s v="Recruiter"/>
    <s v="Male"/>
    <s v="Eskimo"/>
    <n v="623"/>
    <x v="1"/>
    <d v="2022-12-28T00:00:00"/>
    <x v="18"/>
    <s v="Indianapolis"/>
    <n v="46254"/>
    <s v="United States"/>
    <x v="11"/>
    <n v="12"/>
    <x v="4"/>
  </r>
  <r>
    <m/>
    <m/>
    <m/>
    <m/>
    <m/>
    <x v="279"/>
    <m/>
    <m/>
    <m/>
    <m/>
    <x v="16"/>
    <m/>
    <x v="48"/>
    <m/>
    <m/>
    <m/>
    <x v="12"/>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27CAF4-A308-4FF0-A174-4CAB7CAA88B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O2:P51"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50">
        <item x="20"/>
        <item x="32"/>
        <item x="25"/>
        <item x="34"/>
        <item x="1"/>
        <item x="11"/>
        <item x="9"/>
        <item x="41"/>
        <item x="28"/>
        <item x="22"/>
        <item x="3"/>
        <item x="39"/>
        <item x="33"/>
        <item x="10"/>
        <item x="18"/>
        <item x="6"/>
        <item x="31"/>
        <item x="29"/>
        <item x="7"/>
        <item x="35"/>
        <item x="14"/>
        <item x="0"/>
        <item x="8"/>
        <item x="44"/>
        <item x="13"/>
        <item x="46"/>
        <item x="17"/>
        <item x="24"/>
        <item x="45"/>
        <item x="37"/>
        <item x="12"/>
        <item x="5"/>
        <item x="15"/>
        <item x="42"/>
        <item x="19"/>
        <item x="21"/>
        <item x="27"/>
        <item x="16"/>
        <item x="38"/>
        <item x="36"/>
        <item x="30"/>
        <item x="4"/>
        <item x="47"/>
        <item x="2"/>
        <item x="26"/>
        <item x="40"/>
        <item x="23"/>
        <item x="43"/>
        <item h="1" x="48"/>
        <item t="default"/>
      </items>
    </pivotField>
    <pivotField showAll="0"/>
    <pivotField showAll="0"/>
    <pivotField showAll="0"/>
    <pivotField showAll="0"/>
    <pivotField showAll="0"/>
    <pivotField showAll="0"/>
  </pivotFields>
  <rowFields count="1">
    <field x="1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Sales" fld="9" subtotal="average" baseField="12" baseItem="0" numFmtId="44"/>
  </dataFields>
  <formats count="1">
    <format dxfId="3">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12" count="4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E41211-93E6-47B6-BB64-0E2E687A966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redit Card Company">
  <location ref="L11:M28"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axis="axisRow" showAll="0" sortType="descending">
      <items count="18">
        <item x="3"/>
        <item x="12"/>
        <item x="0"/>
        <item x="11"/>
        <item x="13"/>
        <item x="2"/>
        <item x="15"/>
        <item x="8"/>
        <item x="1"/>
        <item x="9"/>
        <item x="4"/>
        <item x="6"/>
        <item x="10"/>
        <item x="14"/>
        <item x="5"/>
        <item x="7"/>
        <item h="1"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0"/>
  </rowFields>
  <rowItems count="17">
    <i>
      <x v="8"/>
    </i>
    <i>
      <x v="10"/>
    </i>
    <i>
      <x v="11"/>
    </i>
    <i>
      <x v="1"/>
    </i>
    <i>
      <x v="2"/>
    </i>
    <i>
      <x v="13"/>
    </i>
    <i>
      <x v="3"/>
    </i>
    <i>
      <x/>
    </i>
    <i>
      <x v="9"/>
    </i>
    <i>
      <x v="15"/>
    </i>
    <i>
      <x v="5"/>
    </i>
    <i>
      <x v="7"/>
    </i>
    <i>
      <x v="14"/>
    </i>
    <i>
      <x v="4"/>
    </i>
    <i>
      <x v="6"/>
    </i>
    <i>
      <x v="12"/>
    </i>
    <i t="grand">
      <x/>
    </i>
  </rowItems>
  <colItems count="1">
    <i/>
  </colItems>
  <dataFields count="1">
    <dataField name="Total Sales" fld="9" baseField="10" baseItem="0" numFmtId="164"/>
  </dataFields>
  <formats count="1">
    <format dxfId="4">
      <pivotArea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10" count="16">
              <x v="0"/>
              <x v="1"/>
              <x v="2"/>
              <x v="3"/>
              <x v="4"/>
              <x v="5"/>
              <x v="6"/>
              <x v="7"/>
              <x v="8"/>
              <x v="9"/>
              <x v="10"/>
              <x v="11"/>
              <x v="12"/>
              <x v="13"/>
              <x v="14"/>
              <x v="1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8716D4-EC01-4267-ABBE-822BC962598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location ref="L2:M8" firstHeaderRow="1" firstDataRow="1" firstDataCol="1"/>
  <pivotFields count="19">
    <pivotField showAll="0"/>
    <pivotField showAll="0"/>
    <pivotField showAll="0"/>
    <pivotField showAll="0"/>
    <pivotField showAll="0"/>
    <pivotField axis="axisRow" showAll="0" measureFilter="1" sortType="descending">
      <items count="281">
        <item x="119"/>
        <item x="95"/>
        <item x="251"/>
        <item x="91"/>
        <item x="177"/>
        <item x="192"/>
        <item x="237"/>
        <item x="61"/>
        <item x="93"/>
        <item x="17"/>
        <item x="47"/>
        <item x="108"/>
        <item x="208"/>
        <item x="209"/>
        <item x="246"/>
        <item x="104"/>
        <item x="8"/>
        <item x="124"/>
        <item x="141"/>
        <item x="193"/>
        <item x="213"/>
        <item x="198"/>
        <item x="75"/>
        <item x="4"/>
        <item x="129"/>
        <item x="231"/>
        <item x="200"/>
        <item x="163"/>
        <item x="123"/>
        <item x="145"/>
        <item x="70"/>
        <item x="225"/>
        <item x="186"/>
        <item x="56"/>
        <item x="20"/>
        <item x="82"/>
        <item x="239"/>
        <item x="49"/>
        <item x="131"/>
        <item x="215"/>
        <item x="249"/>
        <item x="64"/>
        <item x="51"/>
        <item x="11"/>
        <item x="7"/>
        <item x="245"/>
        <item x="270"/>
        <item x="32"/>
        <item x="46"/>
        <item x="133"/>
        <item x="9"/>
        <item x="153"/>
        <item x="138"/>
        <item x="158"/>
        <item x="216"/>
        <item x="159"/>
        <item x="224"/>
        <item x="172"/>
        <item x="13"/>
        <item x="185"/>
        <item x="73"/>
        <item x="88"/>
        <item x="63"/>
        <item x="181"/>
        <item x="226"/>
        <item x="217"/>
        <item x="121"/>
        <item x="0"/>
        <item x="156"/>
        <item x="278"/>
        <item x="71"/>
        <item x="191"/>
        <item x="25"/>
        <item x="173"/>
        <item x="189"/>
        <item x="94"/>
        <item x="238"/>
        <item x="81"/>
        <item x="135"/>
        <item x="271"/>
        <item x="188"/>
        <item x="136"/>
        <item x="253"/>
        <item x="39"/>
        <item x="58"/>
        <item x="254"/>
        <item x="168"/>
        <item x="128"/>
        <item x="262"/>
        <item x="112"/>
        <item x="194"/>
        <item x="155"/>
        <item x="250"/>
        <item x="5"/>
        <item x="41"/>
        <item x="256"/>
        <item x="273"/>
        <item x="148"/>
        <item x="80"/>
        <item x="164"/>
        <item x="114"/>
        <item x="269"/>
        <item x="210"/>
        <item x="83"/>
        <item x="221"/>
        <item x="152"/>
        <item x="202"/>
        <item x="255"/>
        <item x="126"/>
        <item x="33"/>
        <item x="62"/>
        <item x="69"/>
        <item x="68"/>
        <item x="272"/>
        <item x="206"/>
        <item x="264"/>
        <item x="21"/>
        <item x="103"/>
        <item x="236"/>
        <item x="10"/>
        <item x="176"/>
        <item x="171"/>
        <item x="248"/>
        <item x="180"/>
        <item x="122"/>
        <item x="77"/>
        <item x="277"/>
        <item x="201"/>
        <item x="72"/>
        <item x="35"/>
        <item x="175"/>
        <item x="134"/>
        <item x="40"/>
        <item x="85"/>
        <item x="143"/>
        <item x="36"/>
        <item x="26"/>
        <item x="3"/>
        <item x="14"/>
        <item x="57"/>
        <item x="252"/>
        <item x="100"/>
        <item x="263"/>
        <item x="144"/>
        <item x="183"/>
        <item x="113"/>
        <item x="140"/>
        <item x="116"/>
        <item x="23"/>
        <item x="60"/>
        <item x="235"/>
        <item x="139"/>
        <item x="109"/>
        <item x="22"/>
        <item x="74"/>
        <item x="79"/>
        <item x="54"/>
        <item x="223"/>
        <item x="165"/>
        <item x="29"/>
        <item x="230"/>
        <item x="52"/>
        <item x="179"/>
        <item x="59"/>
        <item x="66"/>
        <item x="265"/>
        <item x="12"/>
        <item x="44"/>
        <item x="105"/>
        <item x="170"/>
        <item x="275"/>
        <item x="244"/>
        <item x="240"/>
        <item x="150"/>
        <item x="142"/>
        <item x="24"/>
        <item x="67"/>
        <item x="257"/>
        <item x="166"/>
        <item x="50"/>
        <item x="98"/>
        <item x="102"/>
        <item x="241"/>
        <item x="184"/>
        <item x="86"/>
        <item x="151"/>
        <item x="276"/>
        <item x="190"/>
        <item x="2"/>
        <item x="19"/>
        <item x="99"/>
        <item x="84"/>
        <item x="96"/>
        <item x="207"/>
        <item x="232"/>
        <item x="28"/>
        <item x="247"/>
        <item x="220"/>
        <item x="118"/>
        <item x="111"/>
        <item x="38"/>
        <item x="87"/>
        <item x="274"/>
        <item x="259"/>
        <item x="76"/>
        <item x="97"/>
        <item x="37"/>
        <item x="178"/>
        <item x="34"/>
        <item x="1"/>
        <item x="234"/>
        <item x="125"/>
        <item x="196"/>
        <item x="233"/>
        <item x="115"/>
        <item x="45"/>
        <item x="117"/>
        <item x="31"/>
        <item x="65"/>
        <item x="27"/>
        <item x="205"/>
        <item x="110"/>
        <item x="227"/>
        <item x="204"/>
        <item x="268"/>
        <item x="219"/>
        <item x="89"/>
        <item x="78"/>
        <item x="137"/>
        <item x="261"/>
        <item x="16"/>
        <item x="107"/>
        <item x="242"/>
        <item x="203"/>
        <item x="48"/>
        <item x="212"/>
        <item x="228"/>
        <item x="127"/>
        <item x="90"/>
        <item x="120"/>
        <item x="42"/>
        <item x="161"/>
        <item x="18"/>
        <item x="160"/>
        <item x="258"/>
        <item x="43"/>
        <item x="154"/>
        <item x="167"/>
        <item x="149"/>
        <item x="157"/>
        <item x="222"/>
        <item x="187"/>
        <item x="211"/>
        <item x="55"/>
        <item x="197"/>
        <item x="218"/>
        <item x="182"/>
        <item x="214"/>
        <item x="53"/>
        <item x="162"/>
        <item x="195"/>
        <item x="147"/>
        <item x="106"/>
        <item x="146"/>
        <item x="132"/>
        <item x="199"/>
        <item x="174"/>
        <item x="92"/>
        <item x="130"/>
        <item x="260"/>
        <item x="267"/>
        <item x="101"/>
        <item x="6"/>
        <item x="15"/>
        <item x="30"/>
        <item x="169"/>
        <item x="229"/>
        <item x="243"/>
        <item x="266"/>
        <item x="27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5"/>
  </rowFields>
  <rowItems count="6">
    <i>
      <x v="109"/>
    </i>
    <i>
      <x v="208"/>
    </i>
    <i>
      <x v="166"/>
    </i>
    <i>
      <x v="148"/>
    </i>
    <i>
      <x v="176"/>
    </i>
    <i t="grand">
      <x/>
    </i>
  </rowItems>
  <colItems count="1">
    <i/>
  </colItems>
  <dataFields count="1">
    <dataField name="Total Sales" fld="9" baseField="5" baseItem="0" numFmtId="164"/>
  </dataFields>
  <formats count="1">
    <format dxfId="5">
      <pivotArea outline="0" collapsedLevelsAreSubtotals="1" fieldPosition="0"/>
    </format>
  </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067861-AE9D-4591-B39F-69B24E8D4A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onth">
  <location ref="A14:B27"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4">
        <item x="0"/>
        <item x="1"/>
        <item x="2"/>
        <item x="3"/>
        <item x="4"/>
        <item x="5"/>
        <item x="6"/>
        <item x="7"/>
        <item x="8"/>
        <item x="9"/>
        <item x="10"/>
        <item x="11"/>
        <item h="1" x="12"/>
        <item t="default"/>
      </items>
    </pivotField>
    <pivotField showAll="0"/>
    <pivotField showAll="0"/>
  </pivotFields>
  <rowFields count="1">
    <field x="16"/>
  </rowFields>
  <rowItems count="13">
    <i>
      <x/>
    </i>
    <i>
      <x v="1"/>
    </i>
    <i>
      <x v="2"/>
    </i>
    <i>
      <x v="3"/>
    </i>
    <i>
      <x v="4"/>
    </i>
    <i>
      <x v="5"/>
    </i>
    <i>
      <x v="6"/>
    </i>
    <i>
      <x v="7"/>
    </i>
    <i>
      <x v="8"/>
    </i>
    <i>
      <x v="9"/>
    </i>
    <i>
      <x v="10"/>
    </i>
    <i>
      <x v="11"/>
    </i>
    <i t="grand">
      <x/>
    </i>
  </rowItems>
  <colItems count="1">
    <i/>
  </colItems>
  <dataFields count="1">
    <dataField name="Average Sales" fld="9" subtotal="average" baseField="16" baseItem="9" numFmtId="164"/>
  </dataFields>
  <formats count="1">
    <format dxfId="6">
      <pivotArea outline="0" collapsedLevelsAreSubtotals="1" fieldPosition="0"/>
    </format>
  </formats>
  <conditionalFormats count="1">
    <conditionalFormat priority="3">
      <pivotAreas count="1">
        <pivotArea type="data" collapsedLevelsAreSubtotals="1" fieldPosition="0">
          <references count="2">
            <reference field="4294967294" count="1" selected="0">
              <x v="0"/>
            </reference>
            <reference field="16" count="12">
              <x v="0"/>
              <x v="1"/>
              <x v="2"/>
              <x v="3"/>
              <x v="4"/>
              <x v="5"/>
              <x v="6"/>
              <x v="7"/>
              <x v="8"/>
              <x v="9"/>
              <x v="10"/>
              <x v="11"/>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CD403B-7734-4DE9-B39C-7B2E431821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
  <location ref="A2:B8"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7">
        <item x="0"/>
        <item x="1"/>
        <item x="2"/>
        <item x="3"/>
        <item x="4"/>
        <item h="1" x="5"/>
        <item t="default"/>
      </items>
    </pivotField>
  </pivotFields>
  <rowFields count="1">
    <field x="18"/>
  </rowFields>
  <rowItems count="6">
    <i>
      <x/>
    </i>
    <i>
      <x v="1"/>
    </i>
    <i>
      <x v="2"/>
    </i>
    <i>
      <x v="3"/>
    </i>
    <i>
      <x v="4"/>
    </i>
    <i t="grand">
      <x/>
    </i>
  </rowItems>
  <colItems count="1">
    <i/>
  </colItems>
  <dataFields count="1">
    <dataField name="Total Sales" fld="9" baseField="18" baseItem="0"/>
  </dataFields>
  <formats count="2">
    <format dxfId="8">
      <pivotArea collapsedLevelsAreSubtotals="1" fieldPosition="0">
        <references count="1">
          <reference field="18" count="5">
            <x v="0"/>
            <x v="1"/>
            <x v="2"/>
            <x v="3"/>
            <x v="4"/>
          </reference>
        </references>
      </pivotArea>
    </format>
    <format dxfId="7">
      <pivotArea grandRow="1" outline="0" collapsedLevelsAreSubtotals="1" fieldPosition="0"/>
    </format>
  </formats>
  <conditionalFormats count="1">
    <conditionalFormat priority="4">
      <pivotAreas count="1">
        <pivotArea type="data" collapsedLevelsAreSubtotals="1" fieldPosition="0">
          <references count="2">
            <reference field="4294967294" count="1" selected="0">
              <x v="0"/>
            </reference>
            <reference field="18" count="5">
              <x v="0"/>
              <x v="1"/>
              <x v="2"/>
              <x v="3"/>
              <x v="4"/>
            </reference>
          </references>
        </pivotArea>
      </pivotAreas>
    </conditionalFormat>
  </conditional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CC3A208-FCB4-4385-9CA5-13970F0C89BB}" autoFormatId="16" applyNumberFormats="0" applyBorderFormats="0" applyFontFormats="0" applyPatternFormats="0" applyAlignmentFormats="0" applyWidthHeightFormats="0">
  <queryTableRefresh nextId="20" unboundColumnsRight="3">
    <queryTableFields count="19">
      <queryTableField id="1" name="id" tableColumnId="1"/>
      <queryTableField id="2" name="first_name" tableColumnId="2"/>
      <queryTableField id="3" name="last_name" tableColumnId="3"/>
      <queryTableField id="4" name="email" tableColumnId="4"/>
      <queryTableField id="5" name="UserName" tableColumnId="5"/>
      <queryTableField id="6" name="CompanyName" tableColumnId="6"/>
      <queryTableField id="7" name="JobTitle" tableColumnId="7"/>
      <queryTableField id="8" name="gender" tableColumnId="8"/>
      <queryTableField id="9" name="Race" tableColumnId="9"/>
      <queryTableField id="10" name="purchase" tableColumnId="10"/>
      <queryTableField id="11" name="credit_card_type" tableColumnId="11"/>
      <queryTableField id="12" name="date" tableColumnId="12"/>
      <queryTableField id="13" name="State/Province" tableColumnId="13"/>
      <queryTableField id="14" name="City" tableColumnId="14"/>
      <queryTableField id="15" name="PostalCode" tableColumnId="15"/>
      <queryTableField id="16" name="Country" tableColumnId="16"/>
      <queryTableField id="17" dataBound="0" tableColumnId="17"/>
      <queryTableField id="18" dataBound="0" tableColumnId="18"/>
      <queryTableField id="19" dataBound="0"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889F6EC-A3E6-480D-A4CF-F55C848DAE07}" autoFormatId="16" applyNumberFormats="0" applyBorderFormats="0" applyFontFormats="0" applyPatternFormats="0" applyAlignmentFormats="0" applyWidthHeightFormats="0">
  <queryTableRefresh nextId="5">
    <queryTableFields count="4">
      <queryTableField id="1" name="id" tableColumnId="1"/>
      <queryTableField id="2" name="UserName" tableColumnId="2"/>
      <queryTableField id="3" name="CompanyName" tableColumnId="3"/>
      <queryTableField id="4" name="JobTitle" tableColumnId="4"/>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A6C2FB-83C7-4EA2-8C15-08948043C00C}" name="Table3" displayName="Table3" ref="A1:Q1396" totalsRowShown="0">
  <autoFilter ref="A1:Q1396" xr:uid="{BFA6C2FB-83C7-4EA2-8C15-08948043C00C}">
    <filterColumn colId="7">
      <filters>
        <filter val="americanexpress"/>
      </filters>
    </filterColumn>
  </autoFilter>
  <sortState xmlns:xlrd2="http://schemas.microsoft.com/office/spreadsheetml/2017/richdata2" ref="A2:M1396">
    <sortCondition ref="A2:A1396"/>
  </sortState>
  <tableColumns count="17">
    <tableColumn id="1" xr3:uid="{86BADF3D-A4FB-4F6E-834F-4799C0E322A2}" name="ID"/>
    <tableColumn id="2" xr3:uid="{07353EF4-CE79-4B4A-B529-134B8FD5BD4A}" name="first_name"/>
    <tableColumn id="3" xr3:uid="{42233FBC-D561-45F6-9469-2A7EAABD0A98}" name="last_name"/>
    <tableColumn id="4" xr3:uid="{70C91567-5193-4196-B8D7-9B46944F634D}" name="email"/>
    <tableColumn id="5" xr3:uid="{776B07E2-1B5F-4E7D-96A3-2EF5E4A64A1F}" name="gender"/>
    <tableColumn id="6" xr3:uid="{69675EAC-9639-40E5-A4C2-67A0B51CF065}" name="Race"/>
    <tableColumn id="7" xr3:uid="{89DBBBAE-708F-4F74-B145-134521188C87}" name="purchase" dataDxfId="32"/>
    <tableColumn id="8" xr3:uid="{07951658-73AB-41DC-B47A-D71AF3FA93B2}" name="credit_card_type"/>
    <tableColumn id="9" xr3:uid="{B0F86CD3-5B88-4D3C-B9DD-C167150DB937}" name="date" dataDxfId="31"/>
    <tableColumn id="10" xr3:uid="{E15F159D-5F1E-499A-ADC3-9EEFD4D4748D}" name="State/Province"/>
    <tableColumn id="11" xr3:uid="{99B22C28-EDAB-499A-BA4D-3A1A57305014}" name="City"/>
    <tableColumn id="12" xr3:uid="{81A16BF2-D0C7-4CA0-B86C-411892F9DA3F}" name="PostalCode"/>
    <tableColumn id="13" xr3:uid="{3D7D4DD1-9292-4C00-BA57-7019AC20AD62}" name="Country"/>
    <tableColumn id="15" xr3:uid="{436E4E65-18BF-413F-87DA-0305915D1567}" name="UserName" dataDxfId="30">
      <calculatedColumnFormula>VLOOKUP(A2, Data_Set_2!$A:$D,2,FALSE)</calculatedColumnFormula>
    </tableColumn>
    <tableColumn id="16" xr3:uid="{2BDDF1F5-1986-4A33-BFB4-A135E66FF74E}" name="CompanyName" dataDxfId="29">
      <calculatedColumnFormula>VLOOKUP(A2, Data_Set_2!$A:$D,3,FALSE)</calculatedColumnFormula>
    </tableColumn>
    <tableColumn id="17" xr3:uid="{8001F13D-C3C0-437B-A8BB-4D7716D2B6FC}" name="JobTitle" dataDxfId="28">
      <calculatedColumnFormula>VLOOKUP(A2, Data_Set_2!$A:$D,4,FALSE)</calculatedColumnFormula>
    </tableColumn>
    <tableColumn id="18" xr3:uid="{32BB7DA5-0D3D-4D7F-8A37-06625BDD42DA}" name="FullName" dataDxfId="27">
      <calculatedColumnFormula>_xlfn.CONCAT(Table3[[#This Row],[first_name]], " ",Table3[[#This Row],[last_name]])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D957F9-E1D7-407D-ABD9-BE06CC8AF5B9}" name="Table5" displayName="Table5" ref="H1:J14" totalsRowShown="0">
  <autoFilter ref="H1:J14" xr:uid="{36D957F9-E1D7-407D-ABD9-BE06CC8AF5B9}"/>
  <tableColumns count="3">
    <tableColumn id="1" xr3:uid="{D016D181-06A7-4511-BED2-17372330911A}" name="Race"/>
    <tableColumn id="2" xr3:uid="{0243CCC9-9AC1-472B-9695-D1D77F0F5823}" name="Male" dataDxfId="26" dataCellStyle="Currency">
      <calculatedColumnFormula>SUMIFS(Worksheet!$D:$D,Worksheet!$B:$B,Table5[[#This Row],[Race]],Worksheet!$C:$C,Table5[[#Headers],[Male]])</calculatedColumnFormula>
    </tableColumn>
    <tableColumn id="3" xr3:uid="{F59267B5-5AC8-451B-BF02-DA07FBF7DC07}" name="Female" dataDxfId="25" dataCellStyle="Currency">
      <calculatedColumnFormula>SUMIFS(Worksheet!$D:$D,Worksheet!$B:$B,Table5[[#This Row],[Race]],Worksheet!$C:$C,Table5[[#Headers],[Female]])</calculatedColumnFormula>
    </tableColumn>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B6875E-3DBC-473D-A194-118DA054EB9E}" name="Data_Set_3" displayName="Data_Set_3" ref="A1:S1284" tableType="queryTable" totalsRowShown="0">
  <autoFilter ref="A1:S1284" xr:uid="{D7B6875E-3DBC-473D-A194-118DA054EB9E}"/>
  <tableColumns count="19">
    <tableColumn id="1" xr3:uid="{8207D0D7-C34E-4862-81B2-A320A40ADB57}" uniqueName="1" name="id" queryTableFieldId="1"/>
    <tableColumn id="2" xr3:uid="{0C6C6590-358C-4301-AB52-07071CF36DD5}" uniqueName="2" name="first_name" queryTableFieldId="2" dataDxfId="24"/>
    <tableColumn id="3" xr3:uid="{FF08ADA8-5089-4BF4-A8F4-99ED35D99C83}" uniqueName="3" name="last_name" queryTableFieldId="3" dataDxfId="23"/>
    <tableColumn id="4" xr3:uid="{067A7793-8732-4403-B543-E35C14E3A589}" uniqueName="4" name="email" queryTableFieldId="4" dataDxfId="22"/>
    <tableColumn id="5" xr3:uid="{E26A974E-CF3C-4E59-B591-9036AF5C52E4}" uniqueName="5" name="UserName" queryTableFieldId="5" dataDxfId="21"/>
    <tableColumn id="6" xr3:uid="{C7A89FF1-4899-489F-AC27-FC49D2624BD2}" uniqueName="6" name="CompanyName" queryTableFieldId="6" dataDxfId="20"/>
    <tableColumn id="7" xr3:uid="{16F40FDC-DA01-4236-AE49-71451B2C242C}" uniqueName="7" name="JobTitle" queryTableFieldId="7" dataDxfId="19"/>
    <tableColumn id="8" xr3:uid="{3CA798F8-EF3D-47C9-BE39-8EF5A16CF9B6}" uniqueName="8" name="gender" queryTableFieldId="8" dataDxfId="18"/>
    <tableColumn id="9" xr3:uid="{954210A5-63C5-4876-B92A-B371AEA301A2}" uniqueName="9" name="Race" queryTableFieldId="9" dataDxfId="17"/>
    <tableColumn id="10" xr3:uid="{725F71B8-E073-41AD-B9F9-29276A176EAC}" uniqueName="10" name="purchase" queryTableFieldId="10"/>
    <tableColumn id="11" xr3:uid="{539A5FC4-CD4A-4705-B284-270ECC97EC0A}" uniqueName="11" name="credit_card_type" queryTableFieldId="11" dataDxfId="16"/>
    <tableColumn id="12" xr3:uid="{40840CD6-9D4F-40B8-A9AE-378DB9C065E5}" uniqueName="12" name="date" queryTableFieldId="12" dataDxfId="15"/>
    <tableColumn id="13" xr3:uid="{406DAFD7-7B97-4364-BF78-A59A31F23F1E}" uniqueName="13" name="State/Province" queryTableFieldId="13" dataDxfId="14"/>
    <tableColumn id="14" xr3:uid="{EA503FB3-1AE4-4D2C-A0B4-230D353C10EA}" uniqueName="14" name="City" queryTableFieldId="14" dataDxfId="13"/>
    <tableColumn id="15" xr3:uid="{54818003-9CCA-46A4-B92C-E5FA6A444F57}" uniqueName="15" name="PostalCode" queryTableFieldId="15"/>
    <tableColumn id="16" xr3:uid="{7F94ADAA-7231-47C9-AD36-23DC4F326A70}" uniqueName="16" name="Country" queryTableFieldId="16" dataDxfId="12"/>
    <tableColumn id="17" xr3:uid="{580EA447-2F02-4553-887F-0BAF28086B89}" uniqueName="17" name="Month" queryTableFieldId="17" dataDxfId="11">
      <calculatedColumnFormula>TEXT(Data_Set_3[[#This Row],[date]],"mmmm")</calculatedColumnFormula>
    </tableColumn>
    <tableColumn id="18" xr3:uid="{EE0E9869-184C-4671-8F72-A7ED24159857}" uniqueName="18" name="Month #" queryTableFieldId="18" dataDxfId="10">
      <calculatedColumnFormula>MONTH(Data_Set_3[[#This Row],[date]])</calculatedColumnFormula>
    </tableColumn>
    <tableColumn id="19" xr3:uid="{93B8E620-39EC-4FA2-8963-20FFFED072D3}" uniqueName="19" name="Year" queryTableFieldId="19" dataDxfId="9">
      <calculatedColumnFormula>YEAR(Data_Set_3[[#This Row],[date]])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F10DA1-8383-4C9E-921F-D4F0286CA671}" name="Data_Set_2" displayName="Data_Set_2" ref="A1:D1001" tableType="queryTable" totalsRowShown="0">
  <autoFilter ref="A1:D1001" xr:uid="{37F10DA1-8383-4C9E-921F-D4F0286CA671}"/>
  <sortState xmlns:xlrd2="http://schemas.microsoft.com/office/spreadsheetml/2017/richdata2" ref="A2:D1001">
    <sortCondition ref="A2:A1001"/>
  </sortState>
  <tableColumns count="4">
    <tableColumn id="1" xr3:uid="{5762D9AB-A33A-4F0F-89E3-0BB361C8017B}" uniqueName="1" name="id" queryTableFieldId="1"/>
    <tableColumn id="2" xr3:uid="{1518EB8E-AD95-4113-B301-E3A13D3DB3A6}" uniqueName="2" name="UserName" queryTableFieldId="2" dataDxfId="2"/>
    <tableColumn id="3" xr3:uid="{0A2AAE50-704F-4512-8149-0D88292355D3}" uniqueName="3" name="CompanyName" queryTableFieldId="3" dataDxfId="1"/>
    <tableColumn id="4" xr3:uid="{B9F16855-1A70-453E-A1F8-B88E120114C6}" uniqueName="4" name="JobTitle" queryTableFieldId="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CC9B4-2E58-406F-9359-E10677AE0739}">
  <dimension ref="A1:Q1396"/>
  <sheetViews>
    <sheetView tabSelected="1" workbookViewId="0">
      <pane ySplit="1" topLeftCell="A167" activePane="bottomLeft" state="frozen"/>
      <selection pane="bottomLeft" activeCell="M12" sqref="M12"/>
    </sheetView>
  </sheetViews>
  <sheetFormatPr defaultRowHeight="14.4" x14ac:dyDescent="0.3"/>
  <cols>
    <col min="1" max="1" width="5" bestFit="1" customWidth="1"/>
    <col min="2" max="2" width="12" bestFit="1" customWidth="1"/>
    <col min="3" max="3" width="11.77734375" bestFit="1" customWidth="1"/>
    <col min="4" max="4" width="33.77734375" bestFit="1" customWidth="1"/>
    <col min="6" max="6" width="22" bestFit="1" customWidth="1"/>
    <col min="7" max="7" width="10.88671875" bestFit="1" customWidth="1"/>
    <col min="8" max="8" width="22.44140625" bestFit="1" customWidth="1"/>
    <col min="9" max="9" width="10.33203125" bestFit="1" customWidth="1"/>
    <col min="10" max="10" width="16.77734375" bestFit="1" customWidth="1"/>
    <col min="11" max="11" width="15.33203125" bestFit="1" customWidth="1"/>
    <col min="12" max="12" width="12.77734375" bestFit="1" customWidth="1"/>
    <col min="13" max="13" width="11.5546875" bestFit="1" customWidth="1"/>
    <col min="14" max="14" width="11.6640625" bestFit="1" customWidth="1"/>
    <col min="15" max="15" width="16.21875" bestFit="1" customWidth="1"/>
    <col min="16" max="16" width="32.77734375" bestFit="1" customWidth="1"/>
    <col min="17" max="17" width="18.332031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1272</v>
      </c>
      <c r="O1" t="s">
        <v>1273</v>
      </c>
      <c r="P1" t="s">
        <v>1274</v>
      </c>
      <c r="Q1" t="s">
        <v>4033</v>
      </c>
    </row>
    <row r="2" spans="1:17" hidden="1" x14ac:dyDescent="0.3">
      <c r="A2">
        <v>16</v>
      </c>
      <c r="B2" t="s">
        <v>654</v>
      </c>
      <c r="C2" t="s">
        <v>353</v>
      </c>
      <c r="D2" t="s">
        <v>1099</v>
      </c>
      <c r="E2" t="s">
        <v>32</v>
      </c>
      <c r="F2" t="s">
        <v>33</v>
      </c>
      <c r="G2" s="1">
        <v>15</v>
      </c>
      <c r="H2" t="s">
        <v>26</v>
      </c>
      <c r="I2" s="2">
        <v>44494</v>
      </c>
      <c r="J2" t="s">
        <v>192</v>
      </c>
      <c r="K2" t="s">
        <v>515</v>
      </c>
      <c r="L2">
        <v>55123</v>
      </c>
      <c r="M2" t="s">
        <v>21</v>
      </c>
      <c r="N2" t="str">
        <f>VLOOKUP(A2, Data_Set_2!$A:$D,2,FALSE)</f>
        <v>lfowlerf</v>
      </c>
      <c r="O2" t="str">
        <f>VLOOKUP(A2, Data_Set_2!$A:$D,3,FALSE)</f>
        <v>Roomm</v>
      </c>
      <c r="P2" t="str">
        <f>VLOOKUP(A2, Data_Set_2!$A:$D,4,FALSE)</f>
        <v>Financial Analyst</v>
      </c>
      <c r="Q2" t="str">
        <f>_xlfn.CONCAT(Table3[[#This Row],[first_name]], " ",Table3[[#This Row],[last_name]])</f>
        <v>Lois Fowler</v>
      </c>
    </row>
    <row r="3" spans="1:17" hidden="1" x14ac:dyDescent="0.3">
      <c r="A3">
        <v>17</v>
      </c>
      <c r="B3" t="s">
        <v>782</v>
      </c>
      <c r="C3" t="s">
        <v>783</v>
      </c>
      <c r="D3" t="s">
        <v>784</v>
      </c>
      <c r="E3" t="s">
        <v>32</v>
      </c>
      <c r="F3" t="s">
        <v>17</v>
      </c>
      <c r="G3" s="1">
        <v>143</v>
      </c>
      <c r="H3" t="s">
        <v>26</v>
      </c>
      <c r="I3" s="2">
        <v>43751</v>
      </c>
      <c r="J3" t="s">
        <v>780</v>
      </c>
      <c r="K3" t="s">
        <v>481</v>
      </c>
      <c r="L3">
        <v>19725</v>
      </c>
      <c r="M3" t="s">
        <v>21</v>
      </c>
      <c r="N3" t="str">
        <f>VLOOKUP(A3, Data_Set_2!$A:$D,2,FALSE)</f>
        <v>tspencerg</v>
      </c>
      <c r="O3" t="str">
        <f>VLOOKUP(A3, Data_Set_2!$A:$D,3,FALSE)</f>
        <v>Photolist</v>
      </c>
      <c r="P3" t="str">
        <f>VLOOKUP(A3, Data_Set_2!$A:$D,4,FALSE)</f>
        <v>Account Coordinator</v>
      </c>
      <c r="Q3" t="str">
        <f>_xlfn.CONCAT(Table3[[#This Row],[first_name]], " ",Table3[[#This Row],[last_name]])</f>
        <v>Tammy Spencer</v>
      </c>
    </row>
    <row r="4" spans="1:17" hidden="1" x14ac:dyDescent="0.3">
      <c r="A4">
        <v>18</v>
      </c>
      <c r="B4" t="s">
        <v>699</v>
      </c>
      <c r="C4" t="s">
        <v>886</v>
      </c>
      <c r="D4" t="s">
        <v>887</v>
      </c>
      <c r="E4" t="s">
        <v>16</v>
      </c>
      <c r="F4" t="s">
        <v>33</v>
      </c>
      <c r="G4" s="1">
        <v>134</v>
      </c>
      <c r="H4" t="s">
        <v>26</v>
      </c>
      <c r="I4" s="2">
        <v>43950</v>
      </c>
      <c r="J4" t="s">
        <v>152</v>
      </c>
      <c r="K4" t="s">
        <v>484</v>
      </c>
      <c r="L4">
        <v>45454</v>
      </c>
      <c r="M4" t="s">
        <v>21</v>
      </c>
      <c r="N4" t="str">
        <f>VLOOKUP(A4, Data_Set_2!$A:$D,2,FALSE)</f>
        <v>ddanielsh</v>
      </c>
      <c r="O4" t="str">
        <f>VLOOKUP(A4, Data_Set_2!$A:$D,3,FALSE)</f>
        <v>Gabcube</v>
      </c>
      <c r="P4" t="str">
        <f>VLOOKUP(A4, Data_Set_2!$A:$D,4,FALSE)</f>
        <v>Safety Technician II</v>
      </c>
      <c r="Q4" t="str">
        <f>_xlfn.CONCAT(Table3[[#This Row],[first_name]], " ",Table3[[#This Row],[last_name]])</f>
        <v>Douglas Daniels</v>
      </c>
    </row>
    <row r="5" spans="1:17" hidden="1" x14ac:dyDescent="0.3">
      <c r="A5">
        <v>18</v>
      </c>
      <c r="B5" t="s">
        <v>699</v>
      </c>
      <c r="C5" t="s">
        <v>886</v>
      </c>
      <c r="D5" t="s">
        <v>887</v>
      </c>
      <c r="E5" t="s">
        <v>16</v>
      </c>
      <c r="F5" t="s">
        <v>33</v>
      </c>
      <c r="G5" s="1">
        <v>20</v>
      </c>
      <c r="H5" t="s">
        <v>26</v>
      </c>
      <c r="I5" s="2">
        <v>44076</v>
      </c>
      <c r="J5" t="s">
        <v>152</v>
      </c>
      <c r="K5" t="s">
        <v>484</v>
      </c>
      <c r="L5">
        <v>45454</v>
      </c>
      <c r="M5" t="s">
        <v>21</v>
      </c>
      <c r="N5" t="str">
        <f>VLOOKUP(A5, Data_Set_2!$A:$D,2,FALSE)</f>
        <v>ddanielsh</v>
      </c>
      <c r="O5" t="str">
        <f>VLOOKUP(A5, Data_Set_2!$A:$D,3,FALSE)</f>
        <v>Gabcube</v>
      </c>
      <c r="P5" t="str">
        <f>VLOOKUP(A5, Data_Set_2!$A:$D,4,FALSE)</f>
        <v>Safety Technician II</v>
      </c>
      <c r="Q5" t="str">
        <f>_xlfn.CONCAT(Table3[[#This Row],[first_name]], " ",Table3[[#This Row],[last_name]])</f>
        <v>Douglas Daniels</v>
      </c>
    </row>
    <row r="6" spans="1:17" hidden="1" x14ac:dyDescent="0.3">
      <c r="A6">
        <v>18</v>
      </c>
      <c r="B6" t="s">
        <v>699</v>
      </c>
      <c r="C6" t="s">
        <v>886</v>
      </c>
      <c r="D6" t="s">
        <v>887</v>
      </c>
      <c r="E6" t="s">
        <v>16</v>
      </c>
      <c r="F6" t="s">
        <v>33</v>
      </c>
      <c r="G6" s="1">
        <v>593</v>
      </c>
      <c r="H6" t="s">
        <v>26</v>
      </c>
      <c r="I6" s="2">
        <v>44475</v>
      </c>
      <c r="J6" t="s">
        <v>152</v>
      </c>
      <c r="K6" t="s">
        <v>484</v>
      </c>
      <c r="L6">
        <v>45454</v>
      </c>
      <c r="M6" t="s">
        <v>21</v>
      </c>
      <c r="N6" t="str">
        <f>VLOOKUP(A6, Data_Set_2!$A:$D,2,FALSE)</f>
        <v>ddanielsh</v>
      </c>
      <c r="O6" t="str">
        <f>VLOOKUP(A6, Data_Set_2!$A:$D,3,FALSE)</f>
        <v>Gabcube</v>
      </c>
      <c r="P6" t="str">
        <f>VLOOKUP(A6, Data_Set_2!$A:$D,4,FALSE)</f>
        <v>Safety Technician II</v>
      </c>
      <c r="Q6" t="str">
        <f>_xlfn.CONCAT(Table3[[#This Row],[first_name]], " ",Table3[[#This Row],[last_name]])</f>
        <v>Douglas Daniels</v>
      </c>
    </row>
    <row r="7" spans="1:17" hidden="1" x14ac:dyDescent="0.3">
      <c r="A7">
        <v>20</v>
      </c>
      <c r="B7" t="s">
        <v>909</v>
      </c>
      <c r="C7" t="s">
        <v>49</v>
      </c>
      <c r="D7" t="s">
        <v>910</v>
      </c>
      <c r="E7" t="s">
        <v>32</v>
      </c>
      <c r="F7" t="s">
        <v>454</v>
      </c>
      <c r="G7" s="1">
        <v>410</v>
      </c>
      <c r="H7" t="s">
        <v>18</v>
      </c>
      <c r="I7" s="2">
        <v>44021</v>
      </c>
      <c r="J7" t="s">
        <v>115</v>
      </c>
      <c r="K7" t="s">
        <v>143</v>
      </c>
      <c r="L7">
        <v>33196</v>
      </c>
      <c r="M7" t="s">
        <v>21</v>
      </c>
      <c r="N7" t="str">
        <f>VLOOKUP(A7, Data_Set_2!$A:$D,2,FALSE)</f>
        <v>mhartj</v>
      </c>
      <c r="O7" t="str">
        <f>VLOOKUP(A7, Data_Set_2!$A:$D,3,FALSE)</f>
        <v>Dynabox</v>
      </c>
      <c r="P7" t="str">
        <f>VLOOKUP(A7, Data_Set_2!$A:$D,4,FALSE)</f>
        <v>Human Resources Assistant III</v>
      </c>
      <c r="Q7" t="str">
        <f>_xlfn.CONCAT(Table3[[#This Row],[first_name]], " ",Table3[[#This Row],[last_name]])</f>
        <v>Maria Hart</v>
      </c>
    </row>
    <row r="8" spans="1:17" hidden="1" x14ac:dyDescent="0.3">
      <c r="A8">
        <v>21</v>
      </c>
      <c r="B8" t="s">
        <v>256</v>
      </c>
      <c r="C8" t="s">
        <v>232</v>
      </c>
      <c r="D8" t="s">
        <v>257</v>
      </c>
      <c r="E8" t="s">
        <v>32</v>
      </c>
      <c r="F8" t="s">
        <v>17</v>
      </c>
      <c r="G8" s="1">
        <v>488</v>
      </c>
      <c r="H8" t="s">
        <v>26</v>
      </c>
      <c r="I8" s="2">
        <v>43196</v>
      </c>
      <c r="J8" t="s">
        <v>46</v>
      </c>
      <c r="K8" t="s">
        <v>47</v>
      </c>
      <c r="L8">
        <v>6152</v>
      </c>
      <c r="M8" t="s">
        <v>21</v>
      </c>
      <c r="N8" t="str">
        <f>VLOOKUP(A8, Data_Set_2!$A:$D,2,FALSE)</f>
        <v>mwardk</v>
      </c>
      <c r="O8" t="str">
        <f>VLOOKUP(A8, Data_Set_2!$A:$D,3,FALSE)</f>
        <v>Skibox</v>
      </c>
      <c r="P8" t="str">
        <f>VLOOKUP(A8, Data_Set_2!$A:$D,4,FALSE)</f>
        <v>Assistant Manager</v>
      </c>
      <c r="Q8" t="str">
        <f>_xlfn.CONCAT(Table3[[#This Row],[first_name]], " ",Table3[[#This Row],[last_name]])</f>
        <v>Mary Ward</v>
      </c>
    </row>
    <row r="9" spans="1:17" hidden="1" x14ac:dyDescent="0.3">
      <c r="A9">
        <v>22</v>
      </c>
      <c r="B9" t="s">
        <v>366</v>
      </c>
      <c r="C9" t="s">
        <v>665</v>
      </c>
      <c r="D9" t="s">
        <v>666</v>
      </c>
      <c r="E9" t="s">
        <v>32</v>
      </c>
      <c r="F9" t="s">
        <v>17</v>
      </c>
      <c r="G9" s="1">
        <v>11</v>
      </c>
      <c r="H9" t="s">
        <v>26</v>
      </c>
      <c r="I9" s="2">
        <v>43587</v>
      </c>
      <c r="J9" t="s">
        <v>489</v>
      </c>
      <c r="K9" t="s">
        <v>667</v>
      </c>
      <c r="L9">
        <v>89505</v>
      </c>
      <c r="M9" t="s">
        <v>21</v>
      </c>
      <c r="N9" t="str">
        <f>VLOOKUP(A9, Data_Set_2!$A:$D,2,FALSE)</f>
        <v>rperezl</v>
      </c>
      <c r="O9" t="str">
        <f>VLOOKUP(A9, Data_Set_2!$A:$D,3,FALSE)</f>
        <v>Livetube</v>
      </c>
      <c r="P9" t="str">
        <f>VLOOKUP(A9, Data_Set_2!$A:$D,4,FALSE)</f>
        <v>Marketing Assistant</v>
      </c>
      <c r="Q9" t="str">
        <f>_xlfn.CONCAT(Table3[[#This Row],[first_name]], " ",Table3[[#This Row],[last_name]])</f>
        <v>Rose Perez</v>
      </c>
    </row>
    <row r="10" spans="1:17" hidden="1" x14ac:dyDescent="0.3">
      <c r="A10">
        <v>24</v>
      </c>
      <c r="B10" t="s">
        <v>313</v>
      </c>
      <c r="C10" t="s">
        <v>281</v>
      </c>
      <c r="D10" t="s">
        <v>1154</v>
      </c>
      <c r="E10" t="s">
        <v>16</v>
      </c>
      <c r="F10" t="s">
        <v>17</v>
      </c>
      <c r="G10" s="1">
        <v>266</v>
      </c>
      <c r="H10" t="s">
        <v>4034</v>
      </c>
      <c r="I10" s="2">
        <v>44610</v>
      </c>
      <c r="J10" t="s">
        <v>110</v>
      </c>
      <c r="K10" t="s">
        <v>111</v>
      </c>
      <c r="L10">
        <v>15205</v>
      </c>
      <c r="M10" t="s">
        <v>21</v>
      </c>
      <c r="N10" t="str">
        <f>VLOOKUP(A10, Data_Set_2!$A:$D,2,FALSE)</f>
        <v>hwarrenn</v>
      </c>
      <c r="O10" t="str">
        <f>VLOOKUP(A10, Data_Set_2!$A:$D,3,FALSE)</f>
        <v>Gabtune</v>
      </c>
      <c r="P10" t="str">
        <f>VLOOKUP(A10, Data_Set_2!$A:$D,4,FALSE)</f>
        <v>Senior Financial Analyst</v>
      </c>
      <c r="Q10" t="str">
        <f>_xlfn.CONCAT(Table3[[#This Row],[first_name]], " ",Table3[[#This Row],[last_name]])</f>
        <v>Henry Warren</v>
      </c>
    </row>
    <row r="11" spans="1:17" hidden="1" x14ac:dyDescent="0.3">
      <c r="A11">
        <v>25</v>
      </c>
      <c r="B11" t="s">
        <v>239</v>
      </c>
      <c r="C11" t="s">
        <v>296</v>
      </c>
      <c r="D11" t="s">
        <v>340</v>
      </c>
      <c r="E11" t="s">
        <v>32</v>
      </c>
      <c r="F11" t="s">
        <v>17</v>
      </c>
      <c r="G11" s="1">
        <v>904</v>
      </c>
      <c r="H11" t="s">
        <v>341</v>
      </c>
      <c r="I11" s="2">
        <v>43247</v>
      </c>
      <c r="J11" t="s">
        <v>192</v>
      </c>
      <c r="K11" t="s">
        <v>193</v>
      </c>
      <c r="L11">
        <v>55448</v>
      </c>
      <c r="M11" t="s">
        <v>21</v>
      </c>
      <c r="N11" t="str">
        <f>VLOOKUP(A11, Data_Set_2!$A:$D,2,FALSE)</f>
        <v>jbradleyo</v>
      </c>
      <c r="O11" t="str">
        <f>VLOOKUP(A11, Data_Set_2!$A:$D,3,FALSE)</f>
        <v>Edgeify</v>
      </c>
      <c r="P11" t="str">
        <f>VLOOKUP(A11, Data_Set_2!$A:$D,4,FALSE)</f>
        <v>VP Marketing</v>
      </c>
      <c r="Q11" t="str">
        <f>_xlfn.CONCAT(Table3[[#This Row],[first_name]], " ",Table3[[#This Row],[last_name]])</f>
        <v>Janet Bradley</v>
      </c>
    </row>
    <row r="12" spans="1:17" hidden="1" x14ac:dyDescent="0.3">
      <c r="A12">
        <v>25</v>
      </c>
      <c r="B12" t="s">
        <v>239</v>
      </c>
      <c r="C12" t="s">
        <v>296</v>
      </c>
      <c r="D12" t="s">
        <v>340</v>
      </c>
      <c r="E12" t="s">
        <v>32</v>
      </c>
      <c r="F12" t="s">
        <v>17</v>
      </c>
      <c r="G12" s="1">
        <v>886</v>
      </c>
      <c r="H12" t="s">
        <v>341</v>
      </c>
      <c r="I12" s="2">
        <v>43309</v>
      </c>
      <c r="J12" t="s">
        <v>192</v>
      </c>
      <c r="K12" t="s">
        <v>193</v>
      </c>
      <c r="L12">
        <v>55448</v>
      </c>
      <c r="M12" t="s">
        <v>21</v>
      </c>
      <c r="N12" t="str">
        <f>VLOOKUP(A12, Data_Set_2!$A:$D,2,FALSE)</f>
        <v>jbradleyo</v>
      </c>
      <c r="O12" t="str">
        <f>VLOOKUP(A12, Data_Set_2!$A:$D,3,FALSE)</f>
        <v>Edgeify</v>
      </c>
      <c r="P12" t="str">
        <f>VLOOKUP(A12, Data_Set_2!$A:$D,4,FALSE)</f>
        <v>VP Marketing</v>
      </c>
      <c r="Q12" t="str">
        <f>_xlfn.CONCAT(Table3[[#This Row],[first_name]], " ",Table3[[#This Row],[last_name]])</f>
        <v>Janet Bradley</v>
      </c>
    </row>
    <row r="13" spans="1:17" hidden="1" x14ac:dyDescent="0.3">
      <c r="A13">
        <v>25</v>
      </c>
      <c r="B13" t="s">
        <v>239</v>
      </c>
      <c r="C13" t="s">
        <v>296</v>
      </c>
      <c r="D13" t="s">
        <v>340</v>
      </c>
      <c r="E13" t="s">
        <v>32</v>
      </c>
      <c r="F13" t="s">
        <v>17</v>
      </c>
      <c r="G13" s="1">
        <v>905</v>
      </c>
      <c r="H13" t="s">
        <v>341</v>
      </c>
      <c r="I13" s="2">
        <v>43310</v>
      </c>
      <c r="J13" t="s">
        <v>192</v>
      </c>
      <c r="K13" t="s">
        <v>193</v>
      </c>
      <c r="L13">
        <v>55448</v>
      </c>
      <c r="M13" t="s">
        <v>21</v>
      </c>
      <c r="N13" t="str">
        <f>VLOOKUP(A13, Data_Set_2!$A:$D,2,FALSE)</f>
        <v>jbradleyo</v>
      </c>
      <c r="O13" t="str">
        <f>VLOOKUP(A13, Data_Set_2!$A:$D,3,FALSE)</f>
        <v>Edgeify</v>
      </c>
      <c r="P13" t="str">
        <f>VLOOKUP(A13, Data_Set_2!$A:$D,4,FALSE)</f>
        <v>VP Marketing</v>
      </c>
      <c r="Q13" t="str">
        <f>_xlfn.CONCAT(Table3[[#This Row],[first_name]], " ",Table3[[#This Row],[last_name]])</f>
        <v>Janet Bradley</v>
      </c>
    </row>
    <row r="14" spans="1:17" hidden="1" x14ac:dyDescent="0.3">
      <c r="A14">
        <v>25</v>
      </c>
      <c r="B14" t="s">
        <v>239</v>
      </c>
      <c r="C14" t="s">
        <v>296</v>
      </c>
      <c r="D14" t="s">
        <v>340</v>
      </c>
      <c r="E14" t="s">
        <v>32</v>
      </c>
      <c r="F14" t="s">
        <v>17</v>
      </c>
      <c r="G14" s="1">
        <v>10</v>
      </c>
      <c r="H14" t="s">
        <v>341</v>
      </c>
      <c r="I14" s="2">
        <v>43392</v>
      </c>
      <c r="J14" t="s">
        <v>192</v>
      </c>
      <c r="K14" t="s">
        <v>193</v>
      </c>
      <c r="L14">
        <v>55448</v>
      </c>
      <c r="M14" t="s">
        <v>21</v>
      </c>
      <c r="N14" t="str">
        <f>VLOOKUP(A14, Data_Set_2!$A:$D,2,FALSE)</f>
        <v>jbradleyo</v>
      </c>
      <c r="O14" t="str">
        <f>VLOOKUP(A14, Data_Set_2!$A:$D,3,FALSE)</f>
        <v>Edgeify</v>
      </c>
      <c r="P14" t="str">
        <f>VLOOKUP(A14, Data_Set_2!$A:$D,4,FALSE)</f>
        <v>VP Marketing</v>
      </c>
      <c r="Q14" t="str">
        <f>_xlfn.CONCAT(Table3[[#This Row],[first_name]], " ",Table3[[#This Row],[last_name]])</f>
        <v>Janet Bradley</v>
      </c>
    </row>
    <row r="15" spans="1:17" hidden="1" x14ac:dyDescent="0.3">
      <c r="A15">
        <v>25</v>
      </c>
      <c r="B15" t="s">
        <v>239</v>
      </c>
      <c r="C15" t="s">
        <v>296</v>
      </c>
      <c r="D15" t="s">
        <v>340</v>
      </c>
      <c r="E15" t="s">
        <v>32</v>
      </c>
      <c r="F15" t="s">
        <v>17</v>
      </c>
      <c r="G15" s="1">
        <v>544</v>
      </c>
      <c r="H15" t="s">
        <v>341</v>
      </c>
      <c r="I15" s="2">
        <v>43395</v>
      </c>
      <c r="J15" t="s">
        <v>192</v>
      </c>
      <c r="K15" t="s">
        <v>193</v>
      </c>
      <c r="L15">
        <v>55448</v>
      </c>
      <c r="M15" t="s">
        <v>21</v>
      </c>
      <c r="N15" t="str">
        <f>VLOOKUP(A15, Data_Set_2!$A:$D,2,FALSE)</f>
        <v>jbradleyo</v>
      </c>
      <c r="O15" t="str">
        <f>VLOOKUP(A15, Data_Set_2!$A:$D,3,FALSE)</f>
        <v>Edgeify</v>
      </c>
      <c r="P15" t="str">
        <f>VLOOKUP(A15, Data_Set_2!$A:$D,4,FALSE)</f>
        <v>VP Marketing</v>
      </c>
      <c r="Q15" t="str">
        <f>_xlfn.CONCAT(Table3[[#This Row],[first_name]], " ",Table3[[#This Row],[last_name]])</f>
        <v>Janet Bradley</v>
      </c>
    </row>
    <row r="16" spans="1:17" hidden="1" x14ac:dyDescent="0.3">
      <c r="A16">
        <v>25</v>
      </c>
      <c r="B16" t="s">
        <v>239</v>
      </c>
      <c r="C16" t="s">
        <v>296</v>
      </c>
      <c r="D16" t="s">
        <v>340</v>
      </c>
      <c r="E16" t="s">
        <v>32</v>
      </c>
      <c r="F16" t="s">
        <v>17</v>
      </c>
      <c r="G16" s="1">
        <v>174</v>
      </c>
      <c r="H16" t="s">
        <v>341</v>
      </c>
      <c r="I16" s="2">
        <v>43403</v>
      </c>
      <c r="J16" t="s">
        <v>192</v>
      </c>
      <c r="K16" t="s">
        <v>193</v>
      </c>
      <c r="L16">
        <v>55448</v>
      </c>
      <c r="M16" t="s">
        <v>21</v>
      </c>
      <c r="N16" t="str">
        <f>VLOOKUP(A16, Data_Set_2!$A:$D,2,FALSE)</f>
        <v>jbradleyo</v>
      </c>
      <c r="O16" t="str">
        <f>VLOOKUP(A16, Data_Set_2!$A:$D,3,FALSE)</f>
        <v>Edgeify</v>
      </c>
      <c r="P16" t="str">
        <f>VLOOKUP(A16, Data_Set_2!$A:$D,4,FALSE)</f>
        <v>VP Marketing</v>
      </c>
      <c r="Q16" t="str">
        <f>_xlfn.CONCAT(Table3[[#This Row],[first_name]], " ",Table3[[#This Row],[last_name]])</f>
        <v>Janet Bradley</v>
      </c>
    </row>
    <row r="17" spans="1:17" hidden="1" x14ac:dyDescent="0.3">
      <c r="A17">
        <v>25</v>
      </c>
      <c r="B17" t="s">
        <v>239</v>
      </c>
      <c r="C17" t="s">
        <v>296</v>
      </c>
      <c r="D17" t="s">
        <v>340</v>
      </c>
      <c r="E17" t="s">
        <v>32</v>
      </c>
      <c r="F17" t="s">
        <v>17</v>
      </c>
      <c r="G17" s="1">
        <v>893</v>
      </c>
      <c r="H17" t="s">
        <v>341</v>
      </c>
      <c r="I17" t="s">
        <v>606</v>
      </c>
      <c r="J17" t="s">
        <v>192</v>
      </c>
      <c r="K17" t="s">
        <v>193</v>
      </c>
      <c r="L17">
        <v>55448</v>
      </c>
      <c r="M17" t="s">
        <v>21</v>
      </c>
      <c r="N17" t="str">
        <f>VLOOKUP(A17, Data_Set_2!$A:$D,2,FALSE)</f>
        <v>jbradleyo</v>
      </c>
      <c r="O17" t="str">
        <f>VLOOKUP(A17, Data_Set_2!$A:$D,3,FALSE)</f>
        <v>Edgeify</v>
      </c>
      <c r="P17" t="str">
        <f>VLOOKUP(A17, Data_Set_2!$A:$D,4,FALSE)</f>
        <v>VP Marketing</v>
      </c>
      <c r="Q17" t="str">
        <f>_xlfn.CONCAT(Table3[[#This Row],[first_name]], " ",Table3[[#This Row],[last_name]])</f>
        <v>Janet Bradley</v>
      </c>
    </row>
    <row r="18" spans="1:17" hidden="1" x14ac:dyDescent="0.3">
      <c r="A18">
        <v>25</v>
      </c>
      <c r="B18" t="s">
        <v>239</v>
      </c>
      <c r="C18" t="s">
        <v>296</v>
      </c>
      <c r="D18" t="s">
        <v>340</v>
      </c>
      <c r="E18" t="s">
        <v>32</v>
      </c>
      <c r="F18" t="s">
        <v>17</v>
      </c>
      <c r="G18" s="1">
        <v>517</v>
      </c>
      <c r="H18" t="s">
        <v>341</v>
      </c>
      <c r="I18" s="2">
        <v>43561</v>
      </c>
      <c r="J18" t="s">
        <v>192</v>
      </c>
      <c r="K18" t="s">
        <v>193</v>
      </c>
      <c r="L18">
        <v>55448</v>
      </c>
      <c r="M18" t="s">
        <v>21</v>
      </c>
      <c r="N18" t="str">
        <f>VLOOKUP(A18, Data_Set_2!$A:$D,2,FALSE)</f>
        <v>jbradleyo</v>
      </c>
      <c r="O18" t="str">
        <f>VLOOKUP(A18, Data_Set_2!$A:$D,3,FALSE)</f>
        <v>Edgeify</v>
      </c>
      <c r="P18" t="str">
        <f>VLOOKUP(A18, Data_Set_2!$A:$D,4,FALSE)</f>
        <v>VP Marketing</v>
      </c>
      <c r="Q18" t="str">
        <f>_xlfn.CONCAT(Table3[[#This Row],[first_name]], " ",Table3[[#This Row],[last_name]])</f>
        <v>Janet Bradley</v>
      </c>
    </row>
    <row r="19" spans="1:17" hidden="1" x14ac:dyDescent="0.3">
      <c r="A19">
        <v>25</v>
      </c>
      <c r="B19" t="s">
        <v>239</v>
      </c>
      <c r="C19" t="s">
        <v>296</v>
      </c>
      <c r="D19" t="s">
        <v>340</v>
      </c>
      <c r="E19" t="s">
        <v>32</v>
      </c>
      <c r="F19" t="s">
        <v>17</v>
      </c>
      <c r="G19" s="1">
        <v>990</v>
      </c>
      <c r="H19" t="s">
        <v>341</v>
      </c>
      <c r="I19" s="2">
        <v>43629</v>
      </c>
      <c r="J19" t="s">
        <v>192</v>
      </c>
      <c r="K19" t="s">
        <v>193</v>
      </c>
      <c r="L19">
        <v>55448</v>
      </c>
      <c r="M19" t="s">
        <v>21</v>
      </c>
      <c r="N19" t="str">
        <f>VLOOKUP(A19, Data_Set_2!$A:$D,2,FALSE)</f>
        <v>jbradleyo</v>
      </c>
      <c r="O19" t="str">
        <f>VLOOKUP(A19, Data_Set_2!$A:$D,3,FALSE)</f>
        <v>Edgeify</v>
      </c>
      <c r="P19" t="str">
        <f>VLOOKUP(A19, Data_Set_2!$A:$D,4,FALSE)</f>
        <v>VP Marketing</v>
      </c>
      <c r="Q19" t="str">
        <f>_xlfn.CONCAT(Table3[[#This Row],[first_name]], " ",Table3[[#This Row],[last_name]])</f>
        <v>Janet Bradley</v>
      </c>
    </row>
    <row r="20" spans="1:17" hidden="1" x14ac:dyDescent="0.3">
      <c r="A20">
        <v>25</v>
      </c>
      <c r="B20" t="s">
        <v>239</v>
      </c>
      <c r="C20" t="s">
        <v>296</v>
      </c>
      <c r="D20" t="s">
        <v>340</v>
      </c>
      <c r="E20" t="s">
        <v>32</v>
      </c>
      <c r="F20" t="s">
        <v>17</v>
      </c>
      <c r="G20" s="1">
        <v>824</v>
      </c>
      <c r="H20" t="s">
        <v>341</v>
      </c>
      <c r="I20" s="2">
        <v>43753</v>
      </c>
      <c r="J20" t="s">
        <v>192</v>
      </c>
      <c r="K20" t="s">
        <v>193</v>
      </c>
      <c r="L20">
        <v>55448</v>
      </c>
      <c r="M20" t="s">
        <v>21</v>
      </c>
      <c r="N20" t="str">
        <f>VLOOKUP(A20, Data_Set_2!$A:$D,2,FALSE)</f>
        <v>jbradleyo</v>
      </c>
      <c r="O20" t="str">
        <f>VLOOKUP(A20, Data_Set_2!$A:$D,3,FALSE)</f>
        <v>Edgeify</v>
      </c>
      <c r="P20" t="str">
        <f>VLOOKUP(A20, Data_Set_2!$A:$D,4,FALSE)</f>
        <v>VP Marketing</v>
      </c>
      <c r="Q20" t="str">
        <f>_xlfn.CONCAT(Table3[[#This Row],[first_name]], " ",Table3[[#This Row],[last_name]])</f>
        <v>Janet Bradley</v>
      </c>
    </row>
    <row r="21" spans="1:17" hidden="1" x14ac:dyDescent="0.3">
      <c r="A21">
        <v>25</v>
      </c>
      <c r="B21" t="s">
        <v>239</v>
      </c>
      <c r="C21" t="s">
        <v>296</v>
      </c>
      <c r="D21" t="s">
        <v>340</v>
      </c>
      <c r="E21" t="s">
        <v>32</v>
      </c>
      <c r="F21" t="s">
        <v>17</v>
      </c>
      <c r="G21" s="1">
        <v>813</v>
      </c>
      <c r="H21" t="s">
        <v>341</v>
      </c>
      <c r="I21" s="2">
        <v>43756</v>
      </c>
      <c r="J21" t="s">
        <v>192</v>
      </c>
      <c r="K21" t="s">
        <v>193</v>
      </c>
      <c r="L21">
        <v>55448</v>
      </c>
      <c r="M21" t="s">
        <v>21</v>
      </c>
      <c r="N21" t="str">
        <f>VLOOKUP(A21, Data_Set_2!$A:$D,2,FALSE)</f>
        <v>jbradleyo</v>
      </c>
      <c r="O21" t="str">
        <f>VLOOKUP(A21, Data_Set_2!$A:$D,3,FALSE)</f>
        <v>Edgeify</v>
      </c>
      <c r="P21" t="str">
        <f>VLOOKUP(A21, Data_Set_2!$A:$D,4,FALSE)</f>
        <v>VP Marketing</v>
      </c>
      <c r="Q21" t="str">
        <f>_xlfn.CONCAT(Table3[[#This Row],[first_name]], " ",Table3[[#This Row],[last_name]])</f>
        <v>Janet Bradley</v>
      </c>
    </row>
    <row r="22" spans="1:17" hidden="1" x14ac:dyDescent="0.3">
      <c r="A22">
        <v>25</v>
      </c>
      <c r="B22" t="s">
        <v>239</v>
      </c>
      <c r="C22" t="s">
        <v>296</v>
      </c>
      <c r="D22" t="s">
        <v>340</v>
      </c>
      <c r="E22" t="s">
        <v>32</v>
      </c>
      <c r="F22" t="s">
        <v>17</v>
      </c>
      <c r="G22" s="1">
        <v>696</v>
      </c>
      <c r="H22" t="s">
        <v>341</v>
      </c>
      <c r="I22" s="2">
        <v>43760</v>
      </c>
      <c r="J22" t="s">
        <v>192</v>
      </c>
      <c r="K22" t="s">
        <v>193</v>
      </c>
      <c r="L22">
        <v>55448</v>
      </c>
      <c r="M22" t="s">
        <v>21</v>
      </c>
      <c r="N22" t="str">
        <f>VLOOKUP(A22, Data_Set_2!$A:$D,2,FALSE)</f>
        <v>jbradleyo</v>
      </c>
      <c r="O22" t="str">
        <f>VLOOKUP(A22, Data_Set_2!$A:$D,3,FALSE)</f>
        <v>Edgeify</v>
      </c>
      <c r="P22" t="str">
        <f>VLOOKUP(A22, Data_Set_2!$A:$D,4,FALSE)</f>
        <v>VP Marketing</v>
      </c>
      <c r="Q22" t="str">
        <f>_xlfn.CONCAT(Table3[[#This Row],[first_name]], " ",Table3[[#This Row],[last_name]])</f>
        <v>Janet Bradley</v>
      </c>
    </row>
    <row r="23" spans="1:17" hidden="1" x14ac:dyDescent="0.3">
      <c r="A23">
        <v>25</v>
      </c>
      <c r="B23" t="s">
        <v>239</v>
      </c>
      <c r="C23" t="s">
        <v>296</v>
      </c>
      <c r="D23" t="s">
        <v>340</v>
      </c>
      <c r="E23" t="s">
        <v>32</v>
      </c>
      <c r="F23" t="s">
        <v>17</v>
      </c>
      <c r="G23" s="1">
        <v>172</v>
      </c>
      <c r="H23" t="s">
        <v>341</v>
      </c>
      <c r="I23" s="2">
        <v>43978</v>
      </c>
      <c r="J23" t="s">
        <v>192</v>
      </c>
      <c r="K23" t="s">
        <v>193</v>
      </c>
      <c r="L23">
        <v>55448</v>
      </c>
      <c r="M23" t="s">
        <v>21</v>
      </c>
      <c r="N23" t="str">
        <f>VLOOKUP(A23, Data_Set_2!$A:$D,2,FALSE)</f>
        <v>jbradleyo</v>
      </c>
      <c r="O23" t="str">
        <f>VLOOKUP(A23, Data_Set_2!$A:$D,3,FALSE)</f>
        <v>Edgeify</v>
      </c>
      <c r="P23" t="str">
        <f>VLOOKUP(A23, Data_Set_2!$A:$D,4,FALSE)</f>
        <v>VP Marketing</v>
      </c>
      <c r="Q23" t="str">
        <f>_xlfn.CONCAT(Table3[[#This Row],[first_name]], " ",Table3[[#This Row],[last_name]])</f>
        <v>Janet Bradley</v>
      </c>
    </row>
    <row r="24" spans="1:17" hidden="1" x14ac:dyDescent="0.3">
      <c r="A24">
        <v>25</v>
      </c>
      <c r="B24" t="s">
        <v>239</v>
      </c>
      <c r="C24" t="s">
        <v>296</v>
      </c>
      <c r="D24" t="s">
        <v>340</v>
      </c>
      <c r="E24" t="s">
        <v>32</v>
      </c>
      <c r="F24" t="s">
        <v>17</v>
      </c>
      <c r="G24" s="1">
        <v>573</v>
      </c>
      <c r="H24" t="s">
        <v>341</v>
      </c>
      <c r="I24" s="2">
        <v>44024</v>
      </c>
      <c r="J24" t="s">
        <v>192</v>
      </c>
      <c r="K24" t="s">
        <v>193</v>
      </c>
      <c r="L24">
        <v>55448</v>
      </c>
      <c r="M24" t="s">
        <v>21</v>
      </c>
      <c r="N24" t="str">
        <f>VLOOKUP(A24, Data_Set_2!$A:$D,2,FALSE)</f>
        <v>jbradleyo</v>
      </c>
      <c r="O24" t="str">
        <f>VLOOKUP(A24, Data_Set_2!$A:$D,3,FALSE)</f>
        <v>Edgeify</v>
      </c>
      <c r="P24" t="str">
        <f>VLOOKUP(A24, Data_Set_2!$A:$D,4,FALSE)</f>
        <v>VP Marketing</v>
      </c>
      <c r="Q24" t="str">
        <f>_xlfn.CONCAT(Table3[[#This Row],[first_name]], " ",Table3[[#This Row],[last_name]])</f>
        <v>Janet Bradley</v>
      </c>
    </row>
    <row r="25" spans="1:17" hidden="1" x14ac:dyDescent="0.3">
      <c r="A25">
        <v>25</v>
      </c>
      <c r="B25" t="s">
        <v>239</v>
      </c>
      <c r="C25" t="s">
        <v>296</v>
      </c>
      <c r="D25" t="s">
        <v>340</v>
      </c>
      <c r="E25" t="s">
        <v>32</v>
      </c>
      <c r="F25" t="s">
        <v>17</v>
      </c>
      <c r="G25" s="1">
        <v>886</v>
      </c>
      <c r="H25" t="s">
        <v>341</v>
      </c>
      <c r="I25" s="2">
        <v>44047</v>
      </c>
      <c r="J25" t="s">
        <v>192</v>
      </c>
      <c r="K25" t="s">
        <v>193</v>
      </c>
      <c r="L25">
        <v>55448</v>
      </c>
      <c r="M25" t="s">
        <v>21</v>
      </c>
      <c r="N25" t="str">
        <f>VLOOKUP(A25, Data_Set_2!$A:$D,2,FALSE)</f>
        <v>jbradleyo</v>
      </c>
      <c r="O25" t="str">
        <f>VLOOKUP(A25, Data_Set_2!$A:$D,3,FALSE)</f>
        <v>Edgeify</v>
      </c>
      <c r="P25" t="str">
        <f>VLOOKUP(A25, Data_Set_2!$A:$D,4,FALSE)</f>
        <v>VP Marketing</v>
      </c>
      <c r="Q25" t="str">
        <f>_xlfn.CONCAT(Table3[[#This Row],[first_name]], " ",Table3[[#This Row],[last_name]])</f>
        <v>Janet Bradley</v>
      </c>
    </row>
    <row r="26" spans="1:17" hidden="1" x14ac:dyDescent="0.3">
      <c r="A26">
        <v>25</v>
      </c>
      <c r="B26" t="s">
        <v>239</v>
      </c>
      <c r="C26" t="s">
        <v>296</v>
      </c>
      <c r="D26" t="s">
        <v>340</v>
      </c>
      <c r="E26" t="s">
        <v>32</v>
      </c>
      <c r="F26" t="s">
        <v>17</v>
      </c>
      <c r="G26" s="1">
        <v>980</v>
      </c>
      <c r="H26" t="s">
        <v>341</v>
      </c>
      <c r="I26" s="2">
        <v>44085</v>
      </c>
      <c r="J26" t="s">
        <v>192</v>
      </c>
      <c r="K26" t="s">
        <v>193</v>
      </c>
      <c r="L26">
        <v>55448</v>
      </c>
      <c r="M26" t="s">
        <v>21</v>
      </c>
      <c r="N26" t="str">
        <f>VLOOKUP(A26, Data_Set_2!$A:$D,2,FALSE)</f>
        <v>jbradleyo</v>
      </c>
      <c r="O26" t="str">
        <f>VLOOKUP(A26, Data_Set_2!$A:$D,3,FALSE)</f>
        <v>Edgeify</v>
      </c>
      <c r="P26" t="str">
        <f>VLOOKUP(A26, Data_Set_2!$A:$D,4,FALSE)</f>
        <v>VP Marketing</v>
      </c>
      <c r="Q26" t="str">
        <f>_xlfn.CONCAT(Table3[[#This Row],[first_name]], " ",Table3[[#This Row],[last_name]])</f>
        <v>Janet Bradley</v>
      </c>
    </row>
    <row r="27" spans="1:17" hidden="1" x14ac:dyDescent="0.3">
      <c r="A27">
        <v>25</v>
      </c>
      <c r="B27" t="s">
        <v>239</v>
      </c>
      <c r="C27" t="s">
        <v>296</v>
      </c>
      <c r="D27" t="s">
        <v>340</v>
      </c>
      <c r="E27" t="s">
        <v>32</v>
      </c>
      <c r="F27" t="s">
        <v>17</v>
      </c>
      <c r="G27" s="1">
        <v>256</v>
      </c>
      <c r="H27" t="s">
        <v>341</v>
      </c>
      <c r="I27" s="2">
        <v>44129</v>
      </c>
      <c r="J27" t="s">
        <v>192</v>
      </c>
      <c r="K27" t="s">
        <v>193</v>
      </c>
      <c r="L27">
        <v>55448</v>
      </c>
      <c r="M27" t="s">
        <v>21</v>
      </c>
      <c r="N27" t="str">
        <f>VLOOKUP(A27, Data_Set_2!$A:$D,2,FALSE)</f>
        <v>jbradleyo</v>
      </c>
      <c r="O27" t="str">
        <f>VLOOKUP(A27, Data_Set_2!$A:$D,3,FALSE)</f>
        <v>Edgeify</v>
      </c>
      <c r="P27" t="str">
        <f>VLOOKUP(A27, Data_Set_2!$A:$D,4,FALSE)</f>
        <v>VP Marketing</v>
      </c>
      <c r="Q27" t="str">
        <f>_xlfn.CONCAT(Table3[[#This Row],[first_name]], " ",Table3[[#This Row],[last_name]])</f>
        <v>Janet Bradley</v>
      </c>
    </row>
    <row r="28" spans="1:17" hidden="1" x14ac:dyDescent="0.3">
      <c r="A28">
        <v>25</v>
      </c>
      <c r="B28" t="s">
        <v>239</v>
      </c>
      <c r="C28" t="s">
        <v>296</v>
      </c>
      <c r="D28" t="s">
        <v>340</v>
      </c>
      <c r="E28" t="s">
        <v>32</v>
      </c>
      <c r="F28" t="s">
        <v>17</v>
      </c>
      <c r="G28" s="1">
        <v>415</v>
      </c>
      <c r="H28" t="s">
        <v>341</v>
      </c>
      <c r="I28" s="2">
        <v>44315</v>
      </c>
      <c r="J28" t="s">
        <v>192</v>
      </c>
      <c r="K28" t="s">
        <v>193</v>
      </c>
      <c r="L28">
        <v>55448</v>
      </c>
      <c r="M28" t="s">
        <v>21</v>
      </c>
      <c r="N28" t="str">
        <f>VLOOKUP(A28, Data_Set_2!$A:$D,2,FALSE)</f>
        <v>jbradleyo</v>
      </c>
      <c r="O28" t="str">
        <f>VLOOKUP(A28, Data_Set_2!$A:$D,3,FALSE)</f>
        <v>Edgeify</v>
      </c>
      <c r="P28" t="str">
        <f>VLOOKUP(A28, Data_Set_2!$A:$D,4,FALSE)</f>
        <v>VP Marketing</v>
      </c>
      <c r="Q28" t="str">
        <f>_xlfn.CONCAT(Table3[[#This Row],[first_name]], " ",Table3[[#This Row],[last_name]])</f>
        <v>Janet Bradley</v>
      </c>
    </row>
    <row r="29" spans="1:17" hidden="1" x14ac:dyDescent="0.3">
      <c r="A29">
        <v>25</v>
      </c>
      <c r="B29" t="s">
        <v>239</v>
      </c>
      <c r="C29" t="s">
        <v>296</v>
      </c>
      <c r="D29" t="s">
        <v>340</v>
      </c>
      <c r="E29" t="s">
        <v>32</v>
      </c>
      <c r="F29" t="s">
        <v>17</v>
      </c>
      <c r="G29" s="1">
        <v>11</v>
      </c>
      <c r="H29" t="s">
        <v>341</v>
      </c>
      <c r="I29" s="2">
        <v>44458</v>
      </c>
      <c r="J29" t="s">
        <v>192</v>
      </c>
      <c r="K29" t="s">
        <v>193</v>
      </c>
      <c r="L29">
        <v>55448</v>
      </c>
      <c r="M29" t="s">
        <v>21</v>
      </c>
      <c r="N29" t="str">
        <f>VLOOKUP(A29, Data_Set_2!$A:$D,2,FALSE)</f>
        <v>jbradleyo</v>
      </c>
      <c r="O29" t="str">
        <f>VLOOKUP(A29, Data_Set_2!$A:$D,3,FALSE)</f>
        <v>Edgeify</v>
      </c>
      <c r="P29" t="str">
        <f>VLOOKUP(A29, Data_Set_2!$A:$D,4,FALSE)</f>
        <v>VP Marketing</v>
      </c>
      <c r="Q29" t="str">
        <f>_xlfn.CONCAT(Table3[[#This Row],[first_name]], " ",Table3[[#This Row],[last_name]])</f>
        <v>Janet Bradley</v>
      </c>
    </row>
    <row r="30" spans="1:17" hidden="1" x14ac:dyDescent="0.3">
      <c r="A30">
        <v>25</v>
      </c>
      <c r="B30" t="s">
        <v>239</v>
      </c>
      <c r="C30" t="s">
        <v>296</v>
      </c>
      <c r="D30" t="s">
        <v>340</v>
      </c>
      <c r="E30" t="s">
        <v>32</v>
      </c>
      <c r="F30" t="s">
        <v>17</v>
      </c>
      <c r="G30" s="1">
        <v>100</v>
      </c>
      <c r="H30" t="s">
        <v>341</v>
      </c>
      <c r="I30" s="2">
        <v>44532</v>
      </c>
      <c r="J30" t="s">
        <v>192</v>
      </c>
      <c r="K30" t="s">
        <v>193</v>
      </c>
      <c r="L30">
        <v>55448</v>
      </c>
      <c r="M30" t="s">
        <v>21</v>
      </c>
      <c r="N30" t="str">
        <f>VLOOKUP(A30, Data_Set_2!$A:$D,2,FALSE)</f>
        <v>jbradleyo</v>
      </c>
      <c r="O30" t="str">
        <f>VLOOKUP(A30, Data_Set_2!$A:$D,3,FALSE)</f>
        <v>Edgeify</v>
      </c>
      <c r="P30" t="str">
        <f>VLOOKUP(A30, Data_Set_2!$A:$D,4,FALSE)</f>
        <v>VP Marketing</v>
      </c>
      <c r="Q30" t="str">
        <f>_xlfn.CONCAT(Table3[[#This Row],[first_name]], " ",Table3[[#This Row],[last_name]])</f>
        <v>Janet Bradley</v>
      </c>
    </row>
    <row r="31" spans="1:17" hidden="1" x14ac:dyDescent="0.3">
      <c r="A31">
        <v>25</v>
      </c>
      <c r="B31" t="s">
        <v>239</v>
      </c>
      <c r="C31" t="s">
        <v>296</v>
      </c>
      <c r="D31" t="s">
        <v>340</v>
      </c>
      <c r="E31" t="s">
        <v>32</v>
      </c>
      <c r="F31" t="s">
        <v>17</v>
      </c>
      <c r="G31" s="1">
        <v>31</v>
      </c>
      <c r="H31" t="s">
        <v>341</v>
      </c>
      <c r="I31" s="2">
        <v>44584</v>
      </c>
      <c r="J31" t="s">
        <v>192</v>
      </c>
      <c r="K31" t="s">
        <v>193</v>
      </c>
      <c r="L31">
        <v>55448</v>
      </c>
      <c r="M31" t="s">
        <v>21</v>
      </c>
      <c r="N31" t="str">
        <f>VLOOKUP(A31, Data_Set_2!$A:$D,2,FALSE)</f>
        <v>jbradleyo</v>
      </c>
      <c r="O31" t="str">
        <f>VLOOKUP(A31, Data_Set_2!$A:$D,3,FALSE)</f>
        <v>Edgeify</v>
      </c>
      <c r="P31" t="str">
        <f>VLOOKUP(A31, Data_Set_2!$A:$D,4,FALSE)</f>
        <v>VP Marketing</v>
      </c>
      <c r="Q31" t="str">
        <f>_xlfn.CONCAT(Table3[[#This Row],[first_name]], " ",Table3[[#This Row],[last_name]])</f>
        <v>Janet Bradley</v>
      </c>
    </row>
    <row r="32" spans="1:17" hidden="1" x14ac:dyDescent="0.3">
      <c r="A32">
        <v>25</v>
      </c>
      <c r="B32" t="s">
        <v>239</v>
      </c>
      <c r="C32" t="s">
        <v>296</v>
      </c>
      <c r="D32" t="s">
        <v>340</v>
      </c>
      <c r="E32" t="s">
        <v>32</v>
      </c>
      <c r="F32" t="s">
        <v>17</v>
      </c>
      <c r="G32" s="1">
        <v>75</v>
      </c>
      <c r="H32" t="s">
        <v>341</v>
      </c>
      <c r="I32" s="2">
        <v>44668</v>
      </c>
      <c r="J32" t="s">
        <v>192</v>
      </c>
      <c r="K32" t="s">
        <v>193</v>
      </c>
      <c r="L32">
        <v>55448</v>
      </c>
      <c r="M32" t="s">
        <v>21</v>
      </c>
      <c r="N32" t="str">
        <f>VLOOKUP(A32, Data_Set_2!$A:$D,2,FALSE)</f>
        <v>jbradleyo</v>
      </c>
      <c r="O32" t="str">
        <f>VLOOKUP(A32, Data_Set_2!$A:$D,3,FALSE)</f>
        <v>Edgeify</v>
      </c>
      <c r="P32" t="str">
        <f>VLOOKUP(A32, Data_Set_2!$A:$D,4,FALSE)</f>
        <v>VP Marketing</v>
      </c>
      <c r="Q32" t="str">
        <f>_xlfn.CONCAT(Table3[[#This Row],[first_name]], " ",Table3[[#This Row],[last_name]])</f>
        <v>Janet Bradley</v>
      </c>
    </row>
    <row r="33" spans="1:17" hidden="1" x14ac:dyDescent="0.3">
      <c r="A33">
        <v>25</v>
      </c>
      <c r="B33" t="s">
        <v>239</v>
      </c>
      <c r="C33" t="s">
        <v>296</v>
      </c>
      <c r="D33" t="s">
        <v>340</v>
      </c>
      <c r="E33" t="s">
        <v>32</v>
      </c>
      <c r="F33" t="s">
        <v>17</v>
      </c>
      <c r="G33" s="1">
        <v>875</v>
      </c>
      <c r="H33" t="s">
        <v>341</v>
      </c>
      <c r="I33" s="2">
        <v>44670</v>
      </c>
      <c r="J33" t="s">
        <v>192</v>
      </c>
      <c r="K33" t="s">
        <v>193</v>
      </c>
      <c r="L33">
        <v>55448</v>
      </c>
      <c r="M33" t="s">
        <v>21</v>
      </c>
      <c r="N33" t="str">
        <f>VLOOKUP(A33, Data_Set_2!$A:$D,2,FALSE)</f>
        <v>jbradleyo</v>
      </c>
      <c r="O33" t="str">
        <f>VLOOKUP(A33, Data_Set_2!$A:$D,3,FALSE)</f>
        <v>Edgeify</v>
      </c>
      <c r="P33" t="str">
        <f>VLOOKUP(A33, Data_Set_2!$A:$D,4,FALSE)</f>
        <v>VP Marketing</v>
      </c>
      <c r="Q33" t="str">
        <f>_xlfn.CONCAT(Table3[[#This Row],[first_name]], " ",Table3[[#This Row],[last_name]])</f>
        <v>Janet Bradley</v>
      </c>
    </row>
    <row r="34" spans="1:17" hidden="1" x14ac:dyDescent="0.3">
      <c r="A34">
        <v>25</v>
      </c>
      <c r="B34" t="s">
        <v>239</v>
      </c>
      <c r="C34" t="s">
        <v>296</v>
      </c>
      <c r="D34" t="s">
        <v>340</v>
      </c>
      <c r="E34" t="s">
        <v>32</v>
      </c>
      <c r="F34" t="s">
        <v>17</v>
      </c>
      <c r="G34" s="1">
        <v>363</v>
      </c>
      <c r="H34" t="s">
        <v>341</v>
      </c>
      <c r="I34" s="2">
        <v>44761</v>
      </c>
      <c r="J34" t="s">
        <v>192</v>
      </c>
      <c r="K34" t="s">
        <v>193</v>
      </c>
      <c r="L34">
        <v>55448</v>
      </c>
      <c r="M34" t="s">
        <v>21</v>
      </c>
      <c r="N34" t="str">
        <f>VLOOKUP(A34, Data_Set_2!$A:$D,2,FALSE)</f>
        <v>jbradleyo</v>
      </c>
      <c r="O34" t="str">
        <f>VLOOKUP(A34, Data_Set_2!$A:$D,3,FALSE)</f>
        <v>Edgeify</v>
      </c>
      <c r="P34" t="str">
        <f>VLOOKUP(A34, Data_Set_2!$A:$D,4,FALSE)</f>
        <v>VP Marketing</v>
      </c>
      <c r="Q34" t="str">
        <f>_xlfn.CONCAT(Table3[[#This Row],[first_name]], " ",Table3[[#This Row],[last_name]])</f>
        <v>Janet Bradley</v>
      </c>
    </row>
    <row r="35" spans="1:17" hidden="1" x14ac:dyDescent="0.3">
      <c r="A35">
        <v>25</v>
      </c>
      <c r="B35" t="s">
        <v>239</v>
      </c>
      <c r="C35" t="s">
        <v>296</v>
      </c>
      <c r="D35" t="s">
        <v>340</v>
      </c>
      <c r="E35" t="s">
        <v>32</v>
      </c>
      <c r="F35" t="s">
        <v>17</v>
      </c>
      <c r="G35" s="1">
        <v>399</v>
      </c>
      <c r="H35" t="s">
        <v>341</v>
      </c>
      <c r="I35" s="2">
        <v>44786</v>
      </c>
      <c r="J35" t="s">
        <v>192</v>
      </c>
      <c r="K35" t="s">
        <v>193</v>
      </c>
      <c r="L35">
        <v>55448</v>
      </c>
      <c r="M35" t="s">
        <v>21</v>
      </c>
      <c r="N35" t="str">
        <f>VLOOKUP(A35, Data_Set_2!$A:$D,2,FALSE)</f>
        <v>jbradleyo</v>
      </c>
      <c r="O35" t="str">
        <f>VLOOKUP(A35, Data_Set_2!$A:$D,3,FALSE)</f>
        <v>Edgeify</v>
      </c>
      <c r="P35" t="str">
        <f>VLOOKUP(A35, Data_Set_2!$A:$D,4,FALSE)</f>
        <v>VP Marketing</v>
      </c>
      <c r="Q35" t="str">
        <f>_xlfn.CONCAT(Table3[[#This Row],[first_name]], " ",Table3[[#This Row],[last_name]])</f>
        <v>Janet Bradley</v>
      </c>
    </row>
    <row r="36" spans="1:17" hidden="1" x14ac:dyDescent="0.3">
      <c r="A36">
        <v>25</v>
      </c>
      <c r="B36" t="s">
        <v>239</v>
      </c>
      <c r="C36" t="s">
        <v>296</v>
      </c>
      <c r="D36" t="s">
        <v>340</v>
      </c>
      <c r="E36" t="s">
        <v>32</v>
      </c>
      <c r="F36" t="s">
        <v>17</v>
      </c>
      <c r="G36" s="1">
        <v>978</v>
      </c>
      <c r="H36" t="s">
        <v>341</v>
      </c>
      <c r="I36" s="2">
        <v>44815</v>
      </c>
      <c r="J36" t="s">
        <v>192</v>
      </c>
      <c r="K36" t="s">
        <v>193</v>
      </c>
      <c r="L36">
        <v>55448</v>
      </c>
      <c r="M36" t="s">
        <v>21</v>
      </c>
      <c r="N36" t="str">
        <f>VLOOKUP(A36, Data_Set_2!$A:$D,2,FALSE)</f>
        <v>jbradleyo</v>
      </c>
      <c r="O36" t="str">
        <f>VLOOKUP(A36, Data_Set_2!$A:$D,3,FALSE)</f>
        <v>Edgeify</v>
      </c>
      <c r="P36" t="str">
        <f>VLOOKUP(A36, Data_Set_2!$A:$D,4,FALSE)</f>
        <v>VP Marketing</v>
      </c>
      <c r="Q36" t="str">
        <f>_xlfn.CONCAT(Table3[[#This Row],[first_name]], " ",Table3[[#This Row],[last_name]])</f>
        <v>Janet Bradley</v>
      </c>
    </row>
    <row r="37" spans="1:17" hidden="1" x14ac:dyDescent="0.3">
      <c r="A37">
        <v>26</v>
      </c>
      <c r="B37" t="s">
        <v>970</v>
      </c>
      <c r="C37" t="s">
        <v>975</v>
      </c>
      <c r="D37" t="s">
        <v>976</v>
      </c>
      <c r="E37" t="s">
        <v>16</v>
      </c>
      <c r="F37" t="s">
        <v>33</v>
      </c>
      <c r="G37" s="1">
        <v>574</v>
      </c>
      <c r="H37" t="s">
        <v>26</v>
      </c>
      <c r="I37" s="2">
        <v>44166</v>
      </c>
      <c r="J37" t="s">
        <v>115</v>
      </c>
      <c r="K37" t="s">
        <v>977</v>
      </c>
      <c r="L37">
        <v>33710</v>
      </c>
      <c r="M37" t="s">
        <v>21</v>
      </c>
      <c r="N37" t="str">
        <f>VLOOKUP(A37, Data_Set_2!$A:$D,2,FALSE)</f>
        <v>emillsp</v>
      </c>
      <c r="O37" t="str">
        <f>VLOOKUP(A37, Data_Set_2!$A:$D,3,FALSE)</f>
        <v>Quatz</v>
      </c>
      <c r="P37" t="str">
        <f>VLOOKUP(A37, Data_Set_2!$A:$D,4,FALSE)</f>
        <v>Systems Administrator I</v>
      </c>
      <c r="Q37" t="str">
        <f>_xlfn.CONCAT(Table3[[#This Row],[first_name]], " ",Table3[[#This Row],[last_name]])</f>
        <v>Ernest Mills</v>
      </c>
    </row>
    <row r="38" spans="1:17" hidden="1" x14ac:dyDescent="0.3">
      <c r="A38">
        <v>27</v>
      </c>
      <c r="B38" t="s">
        <v>352</v>
      </c>
      <c r="C38" t="s">
        <v>158</v>
      </c>
      <c r="D38" t="s">
        <v>1236</v>
      </c>
      <c r="E38" t="s">
        <v>32</v>
      </c>
      <c r="F38" t="s">
        <v>25</v>
      </c>
      <c r="G38" s="1">
        <v>575</v>
      </c>
      <c r="H38" t="s">
        <v>26</v>
      </c>
      <c r="I38" s="2">
        <v>44852</v>
      </c>
      <c r="J38" t="s">
        <v>147</v>
      </c>
      <c r="K38" t="s">
        <v>777</v>
      </c>
      <c r="L38">
        <v>53790</v>
      </c>
      <c r="M38" t="s">
        <v>21</v>
      </c>
      <c r="N38" t="str">
        <f>VLOOKUP(A38, Data_Set_2!$A:$D,2,FALSE)</f>
        <v>rdavisq</v>
      </c>
      <c r="O38" t="str">
        <f>VLOOKUP(A38, Data_Set_2!$A:$D,3,FALSE)</f>
        <v>Twimm</v>
      </c>
      <c r="P38" t="str">
        <f>VLOOKUP(A38, Data_Set_2!$A:$D,4,FALSE)</f>
        <v>Administrative Officer</v>
      </c>
      <c r="Q38" t="str">
        <f>_xlfn.CONCAT(Table3[[#This Row],[first_name]], " ",Table3[[#This Row],[last_name]])</f>
        <v>Rachel Davis</v>
      </c>
    </row>
    <row r="39" spans="1:17" hidden="1" x14ac:dyDescent="0.3">
      <c r="A39">
        <v>28</v>
      </c>
      <c r="B39" t="s">
        <v>812</v>
      </c>
      <c r="C39" t="s">
        <v>313</v>
      </c>
      <c r="D39" t="s">
        <v>1194</v>
      </c>
      <c r="E39" t="s">
        <v>16</v>
      </c>
      <c r="F39" t="s">
        <v>33</v>
      </c>
      <c r="G39" s="1">
        <v>499</v>
      </c>
      <c r="H39" t="s">
        <v>4034</v>
      </c>
      <c r="I39" s="2">
        <v>44704</v>
      </c>
      <c r="J39" t="s">
        <v>254</v>
      </c>
      <c r="K39" t="s">
        <v>255</v>
      </c>
      <c r="L39">
        <v>50936</v>
      </c>
      <c r="M39" t="s">
        <v>21</v>
      </c>
      <c r="N39" t="str">
        <f>VLOOKUP(A39, Data_Set_2!$A:$D,2,FALSE)</f>
        <v>bhenryr</v>
      </c>
      <c r="O39" t="str">
        <f>VLOOKUP(A39, Data_Set_2!$A:$D,3,FALSE)</f>
        <v>Omba</v>
      </c>
      <c r="P39" t="str">
        <f>VLOOKUP(A39, Data_Set_2!$A:$D,4,FALSE)</f>
        <v>Executive Secretary</v>
      </c>
      <c r="Q39" t="str">
        <f>_xlfn.CONCAT(Table3[[#This Row],[first_name]], " ",Table3[[#This Row],[last_name]])</f>
        <v>Billy Henry</v>
      </c>
    </row>
    <row r="40" spans="1:17" hidden="1" x14ac:dyDescent="0.3">
      <c r="A40">
        <v>30</v>
      </c>
      <c r="B40" t="s">
        <v>445</v>
      </c>
      <c r="C40" t="s">
        <v>713</v>
      </c>
      <c r="D40" t="s">
        <v>1242</v>
      </c>
      <c r="E40" t="s">
        <v>32</v>
      </c>
      <c r="F40" t="s">
        <v>33</v>
      </c>
      <c r="G40" s="1">
        <v>667</v>
      </c>
      <c r="H40" t="s">
        <v>62</v>
      </c>
      <c r="I40" s="2">
        <v>44865</v>
      </c>
      <c r="J40" t="s">
        <v>27</v>
      </c>
      <c r="K40" t="s">
        <v>1243</v>
      </c>
      <c r="L40">
        <v>81005</v>
      </c>
      <c r="M40" t="s">
        <v>21</v>
      </c>
      <c r="N40" t="str">
        <f>VLOOKUP(A40, Data_Set_2!$A:$D,2,FALSE)</f>
        <v>tmorrist</v>
      </c>
      <c r="O40" t="str">
        <f>VLOOKUP(A40, Data_Set_2!$A:$D,3,FALSE)</f>
        <v>Meedoo</v>
      </c>
      <c r="P40" t="str">
        <f>VLOOKUP(A40, Data_Set_2!$A:$D,4,FALSE)</f>
        <v>Nurse Practicioner</v>
      </c>
      <c r="Q40" t="str">
        <f>_xlfn.CONCAT(Table3[[#This Row],[first_name]], " ",Table3[[#This Row],[last_name]])</f>
        <v>Teresa Morris</v>
      </c>
    </row>
    <row r="41" spans="1:17" hidden="1" x14ac:dyDescent="0.3">
      <c r="A41">
        <v>32</v>
      </c>
      <c r="B41" t="s">
        <v>92</v>
      </c>
      <c r="C41" t="s">
        <v>482</v>
      </c>
      <c r="D41" t="s">
        <v>559</v>
      </c>
      <c r="E41" t="s">
        <v>16</v>
      </c>
      <c r="F41" t="s">
        <v>33</v>
      </c>
      <c r="G41" s="1">
        <v>355</v>
      </c>
      <c r="H41" t="s">
        <v>62</v>
      </c>
      <c r="I41" s="2">
        <v>43454</v>
      </c>
      <c r="J41" t="s">
        <v>125</v>
      </c>
      <c r="K41" t="s">
        <v>126</v>
      </c>
      <c r="L41">
        <v>63131</v>
      </c>
      <c r="M41" t="s">
        <v>21</v>
      </c>
      <c r="N41" t="str">
        <f>VLOOKUP(A41, Data_Set_2!$A:$D,2,FALSE)</f>
        <v>rfernandezv</v>
      </c>
      <c r="O41" t="str">
        <f>VLOOKUP(A41, Data_Set_2!$A:$D,3,FALSE)</f>
        <v>Yodo</v>
      </c>
      <c r="P41" t="str">
        <f>VLOOKUP(A41, Data_Set_2!$A:$D,4,FALSE)</f>
        <v>Systems Administrator II</v>
      </c>
      <c r="Q41" t="str">
        <f>_xlfn.CONCAT(Table3[[#This Row],[first_name]], " ",Table3[[#This Row],[last_name]])</f>
        <v>Ralph Fernandez</v>
      </c>
    </row>
    <row r="42" spans="1:17" hidden="1" x14ac:dyDescent="0.3">
      <c r="A42">
        <v>36</v>
      </c>
      <c r="B42" t="s">
        <v>89</v>
      </c>
      <c r="C42" t="s">
        <v>334</v>
      </c>
      <c r="D42" t="s">
        <v>657</v>
      </c>
      <c r="E42" t="s">
        <v>16</v>
      </c>
      <c r="F42" t="s">
        <v>17</v>
      </c>
      <c r="G42" s="1">
        <v>806</v>
      </c>
      <c r="H42" t="s">
        <v>26</v>
      </c>
      <c r="I42" s="2">
        <v>43571</v>
      </c>
      <c r="J42" t="s">
        <v>96</v>
      </c>
      <c r="K42" t="s">
        <v>425</v>
      </c>
      <c r="L42">
        <v>46216</v>
      </c>
      <c r="M42" t="s">
        <v>21</v>
      </c>
      <c r="N42" t="str">
        <f>VLOOKUP(A42, Data_Set_2!$A:$D,2,FALSE)</f>
        <v>sshawz</v>
      </c>
      <c r="O42" t="str">
        <f>VLOOKUP(A42, Data_Set_2!$A:$D,3,FALSE)</f>
        <v>Brainbox</v>
      </c>
      <c r="P42" t="str">
        <f>VLOOKUP(A42, Data_Set_2!$A:$D,4,FALSE)</f>
        <v>Senior Financial Analyst</v>
      </c>
      <c r="Q42" t="str">
        <f>_xlfn.CONCAT(Table3[[#This Row],[first_name]], " ",Table3[[#This Row],[last_name]])</f>
        <v>Stephen Shaw</v>
      </c>
    </row>
    <row r="43" spans="1:17" hidden="1" x14ac:dyDescent="0.3">
      <c r="A43">
        <v>37</v>
      </c>
      <c r="B43" t="s">
        <v>140</v>
      </c>
      <c r="C43" t="s">
        <v>407</v>
      </c>
      <c r="D43" t="s">
        <v>408</v>
      </c>
      <c r="E43" t="s">
        <v>32</v>
      </c>
      <c r="F43" t="s">
        <v>33</v>
      </c>
      <c r="G43" s="1">
        <v>15</v>
      </c>
      <c r="H43" t="s">
        <v>62</v>
      </c>
      <c r="I43" s="2">
        <v>43294</v>
      </c>
      <c r="J43" t="s">
        <v>68</v>
      </c>
      <c r="K43" t="s">
        <v>169</v>
      </c>
      <c r="L43">
        <v>88553</v>
      </c>
      <c r="M43" t="s">
        <v>21</v>
      </c>
      <c r="N43" t="str">
        <f>VLOOKUP(A43, Data_Set_2!$A:$D,2,FALSE)</f>
        <v>jmurphy10</v>
      </c>
      <c r="O43" t="str">
        <f>VLOOKUP(A43, Data_Set_2!$A:$D,3,FALSE)</f>
        <v>Linklinks</v>
      </c>
      <c r="P43" t="str">
        <f>VLOOKUP(A43, Data_Set_2!$A:$D,4,FALSE)</f>
        <v>Financial Advisor</v>
      </c>
      <c r="Q43" t="str">
        <f>_xlfn.CONCAT(Table3[[#This Row],[first_name]], " ",Table3[[#This Row],[last_name]])</f>
        <v>Jessica Murphy</v>
      </c>
    </row>
    <row r="44" spans="1:17" hidden="1" x14ac:dyDescent="0.3">
      <c r="A44">
        <v>38</v>
      </c>
      <c r="B44" t="s">
        <v>1118</v>
      </c>
      <c r="C44" t="s">
        <v>750</v>
      </c>
      <c r="D44" t="s">
        <v>1142</v>
      </c>
      <c r="E44" t="s">
        <v>32</v>
      </c>
      <c r="F44" t="s">
        <v>33</v>
      </c>
      <c r="G44" s="1">
        <v>337</v>
      </c>
      <c r="H44" t="s">
        <v>26</v>
      </c>
      <c r="I44" s="2">
        <v>44570</v>
      </c>
      <c r="J44" t="s">
        <v>78</v>
      </c>
      <c r="K44" t="s">
        <v>1143</v>
      </c>
      <c r="L44">
        <v>49560</v>
      </c>
      <c r="M44" t="s">
        <v>21</v>
      </c>
      <c r="N44" t="str">
        <f>VLOOKUP(A44, Data_Set_2!$A:$D,2,FALSE)</f>
        <v>hbailey11</v>
      </c>
      <c r="O44" t="str">
        <f>VLOOKUP(A44, Data_Set_2!$A:$D,3,FALSE)</f>
        <v>Lazz</v>
      </c>
      <c r="P44" t="str">
        <f>VLOOKUP(A44, Data_Set_2!$A:$D,4,FALSE)</f>
        <v>Information Systems Manager</v>
      </c>
      <c r="Q44" t="str">
        <f>_xlfn.CONCAT(Table3[[#This Row],[first_name]], " ",Table3[[#This Row],[last_name]])</f>
        <v>Heather Bailey</v>
      </c>
    </row>
    <row r="45" spans="1:17" hidden="1" x14ac:dyDescent="0.3">
      <c r="A45">
        <v>39</v>
      </c>
      <c r="B45" t="s">
        <v>29</v>
      </c>
      <c r="C45" t="s">
        <v>414</v>
      </c>
      <c r="D45" t="s">
        <v>1097</v>
      </c>
      <c r="E45" t="s">
        <v>32</v>
      </c>
      <c r="F45" t="s">
        <v>51</v>
      </c>
      <c r="G45" s="1">
        <v>804</v>
      </c>
      <c r="H45" t="s">
        <v>26</v>
      </c>
      <c r="I45" s="2">
        <v>44489</v>
      </c>
      <c r="J45" t="s">
        <v>35</v>
      </c>
      <c r="K45" t="s">
        <v>494</v>
      </c>
      <c r="L45">
        <v>94660</v>
      </c>
      <c r="M45" t="s">
        <v>21</v>
      </c>
      <c r="N45" t="str">
        <f>VLOOKUP(A45, Data_Set_2!$A:$D,2,FALSE)</f>
        <v>tdiaz12</v>
      </c>
      <c r="O45" t="str">
        <f>VLOOKUP(A45, Data_Set_2!$A:$D,3,FALSE)</f>
        <v>Yakitri</v>
      </c>
      <c r="P45" t="str">
        <f>VLOOKUP(A45, Data_Set_2!$A:$D,4,FALSE)</f>
        <v>Computer Systems Analyst I</v>
      </c>
      <c r="Q45" t="str">
        <f>_xlfn.CONCAT(Table3[[#This Row],[first_name]], " ",Table3[[#This Row],[last_name]])</f>
        <v>Tina Diaz</v>
      </c>
    </row>
    <row r="46" spans="1:17" hidden="1" x14ac:dyDescent="0.3">
      <c r="A46">
        <v>40</v>
      </c>
      <c r="B46" t="s">
        <v>920</v>
      </c>
      <c r="C46" t="s">
        <v>465</v>
      </c>
      <c r="D46" t="s">
        <v>1229</v>
      </c>
      <c r="E46" t="s">
        <v>16</v>
      </c>
      <c r="F46" t="s">
        <v>33</v>
      </c>
      <c r="G46" s="1">
        <v>744</v>
      </c>
      <c r="H46" t="s">
        <v>4035</v>
      </c>
      <c r="I46" s="2">
        <v>44813</v>
      </c>
      <c r="J46" t="s">
        <v>115</v>
      </c>
      <c r="K46" t="s">
        <v>1230</v>
      </c>
      <c r="L46">
        <v>34642</v>
      </c>
      <c r="M46" t="s">
        <v>21</v>
      </c>
      <c r="N46" t="str">
        <f>VLOOKUP(A46, Data_Set_2!$A:$D,2,FALSE)</f>
        <v>bdean13</v>
      </c>
      <c r="O46" t="str">
        <f>VLOOKUP(A46, Data_Set_2!$A:$D,3,FALSE)</f>
        <v>Thoughtstorm</v>
      </c>
      <c r="P46" t="str">
        <f>VLOOKUP(A46, Data_Set_2!$A:$D,4,FALSE)</f>
        <v>Nuclear Power Engineer</v>
      </c>
      <c r="Q46" t="str">
        <f>_xlfn.CONCAT(Table3[[#This Row],[first_name]], " ",Table3[[#This Row],[last_name]])</f>
        <v>Bobby Dean</v>
      </c>
    </row>
    <row r="47" spans="1:17" hidden="1" x14ac:dyDescent="0.3">
      <c r="A47">
        <v>41</v>
      </c>
      <c r="B47" t="s">
        <v>621</v>
      </c>
      <c r="C47" t="s">
        <v>113</v>
      </c>
      <c r="D47" t="s">
        <v>1132</v>
      </c>
      <c r="E47" t="s">
        <v>16</v>
      </c>
      <c r="F47" t="s">
        <v>33</v>
      </c>
      <c r="G47" s="1">
        <v>511</v>
      </c>
      <c r="H47" t="s">
        <v>416</v>
      </c>
      <c r="I47" s="2">
        <v>44550</v>
      </c>
      <c r="J47" t="s">
        <v>58</v>
      </c>
      <c r="K47" t="s">
        <v>632</v>
      </c>
      <c r="L47">
        <v>66225</v>
      </c>
      <c r="M47" t="s">
        <v>21</v>
      </c>
      <c r="N47" t="str">
        <f>VLOOKUP(A47, Data_Set_2!$A:$D,2,FALSE)</f>
        <v>fcooper14</v>
      </c>
      <c r="O47" t="str">
        <f>VLOOKUP(A47, Data_Set_2!$A:$D,3,FALSE)</f>
        <v>Dabshots</v>
      </c>
      <c r="P47" t="str">
        <f>VLOOKUP(A47, Data_Set_2!$A:$D,4,FALSE)</f>
        <v>Human Resources Manager</v>
      </c>
      <c r="Q47" t="str">
        <f>_xlfn.CONCAT(Table3[[#This Row],[first_name]], " ",Table3[[#This Row],[last_name]])</f>
        <v>Frank Cooper</v>
      </c>
    </row>
    <row r="48" spans="1:17" hidden="1" x14ac:dyDescent="0.3">
      <c r="A48">
        <v>42</v>
      </c>
      <c r="B48" t="s">
        <v>384</v>
      </c>
      <c r="C48" t="s">
        <v>544</v>
      </c>
      <c r="D48" t="s">
        <v>1208</v>
      </c>
      <c r="E48" t="s">
        <v>16</v>
      </c>
      <c r="F48" t="s">
        <v>17</v>
      </c>
      <c r="G48" s="1">
        <v>241</v>
      </c>
      <c r="H48" t="s">
        <v>4036</v>
      </c>
      <c r="I48" s="2">
        <v>44754</v>
      </c>
      <c r="J48" t="s">
        <v>393</v>
      </c>
      <c r="K48" t="s">
        <v>578</v>
      </c>
      <c r="L48">
        <v>38150</v>
      </c>
      <c r="M48" t="s">
        <v>21</v>
      </c>
      <c r="N48" t="str">
        <f>VLOOKUP(A48, Data_Set_2!$A:$D,2,FALSE)</f>
        <v>hrobinson15</v>
      </c>
      <c r="O48" t="str">
        <f>VLOOKUP(A48, Data_Set_2!$A:$D,3,FALSE)</f>
        <v>Voolith</v>
      </c>
      <c r="P48" t="str">
        <f>VLOOKUP(A48, Data_Set_2!$A:$D,4,FALSE)</f>
        <v>Automation Specialist IV</v>
      </c>
      <c r="Q48" t="str">
        <f>_xlfn.CONCAT(Table3[[#This Row],[first_name]], " ",Table3[[#This Row],[last_name]])</f>
        <v>Harold Robinson</v>
      </c>
    </row>
    <row r="49" spans="1:17" hidden="1" x14ac:dyDescent="0.3">
      <c r="A49">
        <v>44</v>
      </c>
      <c r="B49" t="s">
        <v>812</v>
      </c>
      <c r="C49" t="s">
        <v>228</v>
      </c>
      <c r="D49" t="s">
        <v>859</v>
      </c>
      <c r="E49" t="s">
        <v>16</v>
      </c>
      <c r="F49" t="s">
        <v>17</v>
      </c>
      <c r="G49" s="1">
        <v>545</v>
      </c>
      <c r="H49" t="s">
        <v>73</v>
      </c>
      <c r="I49" s="2">
        <v>43879</v>
      </c>
      <c r="J49" t="s">
        <v>35</v>
      </c>
      <c r="K49" t="s">
        <v>599</v>
      </c>
      <c r="L49">
        <v>94207</v>
      </c>
      <c r="M49" t="s">
        <v>21</v>
      </c>
      <c r="N49" t="str">
        <f>VLOOKUP(A49, Data_Set_2!$A:$D,2,FALSE)</f>
        <v>bwatkins17</v>
      </c>
      <c r="O49" t="str">
        <f>VLOOKUP(A49, Data_Set_2!$A:$D,3,FALSE)</f>
        <v>Gabvine</v>
      </c>
      <c r="P49" t="str">
        <f>VLOOKUP(A49, Data_Set_2!$A:$D,4,FALSE)</f>
        <v>Speech Pathologist</v>
      </c>
      <c r="Q49" t="str">
        <f>_xlfn.CONCAT(Table3[[#This Row],[first_name]], " ",Table3[[#This Row],[last_name]])</f>
        <v>Billy Watkins</v>
      </c>
    </row>
    <row r="50" spans="1:17" hidden="1" x14ac:dyDescent="0.3">
      <c r="A50">
        <v>45</v>
      </c>
      <c r="B50" t="s">
        <v>284</v>
      </c>
      <c r="C50" t="s">
        <v>285</v>
      </c>
      <c r="D50" t="s">
        <v>286</v>
      </c>
      <c r="E50" t="s">
        <v>32</v>
      </c>
      <c r="F50" t="s">
        <v>33</v>
      </c>
      <c r="G50" s="1">
        <v>369</v>
      </c>
      <c r="H50" t="s">
        <v>26</v>
      </c>
      <c r="I50" s="2">
        <v>43208</v>
      </c>
      <c r="J50" t="s">
        <v>287</v>
      </c>
      <c r="K50" t="s">
        <v>288</v>
      </c>
      <c r="L50">
        <v>85743</v>
      </c>
      <c r="M50" t="s">
        <v>21</v>
      </c>
      <c r="N50" t="str">
        <f>VLOOKUP(A50, Data_Set_2!$A:$D,2,FALSE)</f>
        <v>acook18</v>
      </c>
      <c r="O50" t="str">
        <f>VLOOKUP(A50, Data_Set_2!$A:$D,3,FALSE)</f>
        <v>Oyonder</v>
      </c>
      <c r="P50" t="str">
        <f>VLOOKUP(A50, Data_Set_2!$A:$D,4,FALSE)</f>
        <v>Nurse</v>
      </c>
      <c r="Q50" t="str">
        <f>_xlfn.CONCAT(Table3[[#This Row],[first_name]], " ",Table3[[#This Row],[last_name]])</f>
        <v>Ann Cook</v>
      </c>
    </row>
    <row r="51" spans="1:17" hidden="1" x14ac:dyDescent="0.3">
      <c r="A51">
        <v>46</v>
      </c>
      <c r="B51" t="s">
        <v>80</v>
      </c>
      <c r="C51" t="s">
        <v>81</v>
      </c>
      <c r="D51" t="s">
        <v>82</v>
      </c>
      <c r="E51" t="s">
        <v>16</v>
      </c>
      <c r="F51" t="s">
        <v>33</v>
      </c>
      <c r="G51" s="1">
        <v>132</v>
      </c>
      <c r="H51" t="s">
        <v>83</v>
      </c>
      <c r="I51" s="2">
        <v>43118</v>
      </c>
      <c r="J51" t="s">
        <v>19</v>
      </c>
      <c r="K51" t="s">
        <v>84</v>
      </c>
      <c r="L51">
        <v>1905</v>
      </c>
      <c r="M51" t="s">
        <v>21</v>
      </c>
      <c r="N51" t="str">
        <f>VLOOKUP(A51, Data_Set_2!$A:$D,2,FALSE)</f>
        <v>jbryant19</v>
      </c>
      <c r="O51" t="str">
        <f>VLOOKUP(A51, Data_Set_2!$A:$D,3,FALSE)</f>
        <v>Voonder</v>
      </c>
      <c r="P51" t="str">
        <f>VLOOKUP(A51, Data_Set_2!$A:$D,4,FALSE)</f>
        <v>General Manager</v>
      </c>
      <c r="Q51" t="str">
        <f>_xlfn.CONCAT(Table3[[#This Row],[first_name]], " ",Table3[[#This Row],[last_name]])</f>
        <v>Jesse Bryant</v>
      </c>
    </row>
    <row r="52" spans="1:17" hidden="1" x14ac:dyDescent="0.3">
      <c r="A52">
        <v>48</v>
      </c>
      <c r="B52" t="s">
        <v>267</v>
      </c>
      <c r="C52" t="s">
        <v>1050</v>
      </c>
      <c r="D52" t="s">
        <v>1091</v>
      </c>
      <c r="E52" t="s">
        <v>32</v>
      </c>
      <c r="F52" t="s">
        <v>33</v>
      </c>
      <c r="G52" s="1">
        <v>163</v>
      </c>
      <c r="H52" t="s">
        <v>26</v>
      </c>
      <c r="I52" s="2">
        <v>44466</v>
      </c>
      <c r="J52" t="s">
        <v>184</v>
      </c>
      <c r="K52" t="s">
        <v>808</v>
      </c>
      <c r="L52">
        <v>11431</v>
      </c>
      <c r="M52" t="s">
        <v>21</v>
      </c>
      <c r="N52" t="str">
        <f>VLOOKUP(A52, Data_Set_2!$A:$D,2,FALSE)</f>
        <v>mgraham1b</v>
      </c>
      <c r="O52" t="str">
        <f>VLOOKUP(A52, Data_Set_2!$A:$D,3,FALSE)</f>
        <v>Flashset</v>
      </c>
      <c r="P52" t="str">
        <f>VLOOKUP(A52, Data_Set_2!$A:$D,4,FALSE)</f>
        <v>GIS Technical Architect</v>
      </c>
      <c r="Q52" t="str">
        <f>_xlfn.CONCAT(Table3[[#This Row],[first_name]], " ",Table3[[#This Row],[last_name]])</f>
        <v>Mildred Graham</v>
      </c>
    </row>
    <row r="53" spans="1:17" hidden="1" x14ac:dyDescent="0.3">
      <c r="A53">
        <v>49</v>
      </c>
      <c r="B53" t="s">
        <v>968</v>
      </c>
      <c r="C53" t="s">
        <v>202</v>
      </c>
      <c r="D53" t="s">
        <v>969</v>
      </c>
      <c r="E53" t="s">
        <v>16</v>
      </c>
      <c r="F53" t="s">
        <v>25</v>
      </c>
      <c r="G53" s="1">
        <v>389</v>
      </c>
      <c r="H53" t="s">
        <v>26</v>
      </c>
      <c r="I53" s="2">
        <v>44144</v>
      </c>
      <c r="J53" t="s">
        <v>35</v>
      </c>
      <c r="K53" t="s">
        <v>599</v>
      </c>
      <c r="L53">
        <v>95865</v>
      </c>
      <c r="M53" t="s">
        <v>21</v>
      </c>
      <c r="N53" t="str">
        <f>VLOOKUP(A53, Data_Set_2!$A:$D,2,FALSE)</f>
        <v>skennedy1c</v>
      </c>
      <c r="O53" t="str">
        <f>VLOOKUP(A53, Data_Set_2!$A:$D,3,FALSE)</f>
        <v>Flashspan</v>
      </c>
      <c r="P53" t="str">
        <f>VLOOKUP(A53, Data_Set_2!$A:$D,4,FALSE)</f>
        <v>Structural Engineer</v>
      </c>
      <c r="Q53" t="str">
        <f>_xlfn.CONCAT(Table3[[#This Row],[first_name]], " ",Table3[[#This Row],[last_name]])</f>
        <v>Sean Kennedy</v>
      </c>
    </row>
    <row r="54" spans="1:17" hidden="1" x14ac:dyDescent="0.3">
      <c r="A54">
        <v>50</v>
      </c>
      <c r="B54" t="s">
        <v>248</v>
      </c>
      <c r="C54" t="s">
        <v>669</v>
      </c>
      <c r="D54" t="s">
        <v>670</v>
      </c>
      <c r="E54" t="s">
        <v>16</v>
      </c>
      <c r="F54" t="s">
        <v>33</v>
      </c>
      <c r="G54" s="1">
        <v>774</v>
      </c>
      <c r="H54" t="s">
        <v>83</v>
      </c>
      <c r="I54" s="2">
        <v>43590</v>
      </c>
      <c r="J54" t="s">
        <v>27</v>
      </c>
      <c r="K54" t="s">
        <v>28</v>
      </c>
      <c r="L54">
        <v>80279</v>
      </c>
      <c r="M54" t="s">
        <v>21</v>
      </c>
      <c r="N54" t="str">
        <f>VLOOKUP(A54, Data_Set_2!$A:$D,2,FALSE)</f>
        <v>bowens1d</v>
      </c>
      <c r="O54" t="str">
        <f>VLOOKUP(A54, Data_Set_2!$A:$D,3,FALSE)</f>
        <v>Quaxo</v>
      </c>
      <c r="P54" t="str">
        <f>VLOOKUP(A54, Data_Set_2!$A:$D,4,FALSE)</f>
        <v>Senior Developer</v>
      </c>
      <c r="Q54" t="str">
        <f>_xlfn.CONCAT(Table3[[#This Row],[first_name]], " ",Table3[[#This Row],[last_name]])</f>
        <v>Benjamin Owens</v>
      </c>
    </row>
    <row r="55" spans="1:17" hidden="1" x14ac:dyDescent="0.3">
      <c r="A55">
        <v>51</v>
      </c>
      <c r="B55" t="s">
        <v>706</v>
      </c>
      <c r="C55" t="s">
        <v>707</v>
      </c>
      <c r="D55" t="s">
        <v>708</v>
      </c>
      <c r="E55" t="s">
        <v>32</v>
      </c>
      <c r="F55" t="s">
        <v>33</v>
      </c>
      <c r="G55" s="1">
        <v>729</v>
      </c>
      <c r="H55" t="s">
        <v>73</v>
      </c>
      <c r="I55" s="2">
        <v>43647</v>
      </c>
      <c r="J55" t="s">
        <v>19</v>
      </c>
      <c r="K55" t="s">
        <v>247</v>
      </c>
      <c r="L55">
        <v>1114</v>
      </c>
      <c r="M55" t="s">
        <v>21</v>
      </c>
      <c r="N55" t="str">
        <f>VLOOKUP(A55, Data_Set_2!$A:$D,2,FALSE)</f>
        <v>mford1e</v>
      </c>
      <c r="O55" t="str">
        <f>VLOOKUP(A55, Data_Set_2!$A:$D,3,FALSE)</f>
        <v>Shuffletag</v>
      </c>
      <c r="P55" t="str">
        <f>VLOOKUP(A55, Data_Set_2!$A:$D,4,FALSE)</f>
        <v>Technical Writer</v>
      </c>
      <c r="Q55" t="str">
        <f>_xlfn.CONCAT(Table3[[#This Row],[first_name]], " ",Table3[[#This Row],[last_name]])</f>
        <v>Marie Ford</v>
      </c>
    </row>
    <row r="56" spans="1:17" hidden="1" x14ac:dyDescent="0.3">
      <c r="A56">
        <v>52</v>
      </c>
      <c r="B56" t="s">
        <v>460</v>
      </c>
      <c r="C56" t="s">
        <v>496</v>
      </c>
      <c r="D56" t="s">
        <v>729</v>
      </c>
      <c r="E56" t="s">
        <v>32</v>
      </c>
      <c r="F56" t="s">
        <v>33</v>
      </c>
      <c r="G56" s="1">
        <v>614</v>
      </c>
      <c r="H56" t="s">
        <v>4034</v>
      </c>
      <c r="I56" s="2">
        <v>43674</v>
      </c>
      <c r="J56" t="s">
        <v>480</v>
      </c>
      <c r="K56" t="s">
        <v>481</v>
      </c>
      <c r="L56">
        <v>7112</v>
      </c>
      <c r="M56" t="s">
        <v>21</v>
      </c>
      <c r="N56" t="str">
        <f>VLOOKUP(A56, Data_Set_2!$A:$D,2,FALSE)</f>
        <v>lcruz1f</v>
      </c>
      <c r="O56" t="str">
        <f>VLOOKUP(A56, Data_Set_2!$A:$D,3,FALSE)</f>
        <v>Realbuzz</v>
      </c>
      <c r="P56" t="str">
        <f>VLOOKUP(A56, Data_Set_2!$A:$D,4,FALSE)</f>
        <v>Civil Engineer</v>
      </c>
      <c r="Q56" t="str">
        <f>_xlfn.CONCAT(Table3[[#This Row],[first_name]], " ",Table3[[#This Row],[last_name]])</f>
        <v>Lillian Cruz</v>
      </c>
    </row>
    <row r="57" spans="1:17" hidden="1" x14ac:dyDescent="0.3">
      <c r="A57">
        <v>53</v>
      </c>
      <c r="B57" t="s">
        <v>176</v>
      </c>
      <c r="C57" t="s">
        <v>216</v>
      </c>
      <c r="D57" t="s">
        <v>217</v>
      </c>
      <c r="E57" t="s">
        <v>32</v>
      </c>
      <c r="F57" t="s">
        <v>17</v>
      </c>
      <c r="G57" s="1">
        <v>247</v>
      </c>
      <c r="H57" t="s">
        <v>4037</v>
      </c>
      <c r="I57" s="2">
        <v>43180</v>
      </c>
      <c r="J57" t="s">
        <v>27</v>
      </c>
      <c r="K57" t="s">
        <v>28</v>
      </c>
      <c r="L57">
        <v>80243</v>
      </c>
      <c r="M57" t="s">
        <v>21</v>
      </c>
      <c r="N57" t="str">
        <f>VLOOKUP(A57, Data_Set_2!$A:$D,2,FALSE)</f>
        <v>sgriffin1g</v>
      </c>
      <c r="O57" t="str">
        <f>VLOOKUP(A57, Data_Set_2!$A:$D,3,FALSE)</f>
        <v>Zoonoodle</v>
      </c>
      <c r="P57" t="str">
        <f>VLOOKUP(A57, Data_Set_2!$A:$D,4,FALSE)</f>
        <v>Structural Engineer</v>
      </c>
      <c r="Q57" t="str">
        <f>_xlfn.CONCAT(Table3[[#This Row],[first_name]], " ",Table3[[#This Row],[last_name]])</f>
        <v>Shirley Griffin</v>
      </c>
    </row>
    <row r="58" spans="1:17" hidden="1" x14ac:dyDescent="0.3">
      <c r="A58">
        <v>53</v>
      </c>
      <c r="B58" t="s">
        <v>176</v>
      </c>
      <c r="C58" t="s">
        <v>216</v>
      </c>
      <c r="D58" t="s">
        <v>217</v>
      </c>
      <c r="E58" t="s">
        <v>32</v>
      </c>
      <c r="F58" t="s">
        <v>17</v>
      </c>
      <c r="G58" s="1">
        <v>101</v>
      </c>
      <c r="H58" t="s">
        <v>4037</v>
      </c>
      <c r="I58" s="2">
        <v>43210</v>
      </c>
      <c r="J58" t="s">
        <v>27</v>
      </c>
      <c r="K58" t="s">
        <v>28</v>
      </c>
      <c r="L58">
        <v>80243</v>
      </c>
      <c r="M58" t="s">
        <v>21</v>
      </c>
      <c r="N58" t="str">
        <f>VLOOKUP(A58, Data_Set_2!$A:$D,2,FALSE)</f>
        <v>sgriffin1g</v>
      </c>
      <c r="O58" t="str">
        <f>VLOOKUP(A58, Data_Set_2!$A:$D,3,FALSE)</f>
        <v>Zoonoodle</v>
      </c>
      <c r="P58" t="str">
        <f>VLOOKUP(A58, Data_Set_2!$A:$D,4,FALSE)</f>
        <v>Structural Engineer</v>
      </c>
      <c r="Q58" t="str">
        <f>_xlfn.CONCAT(Table3[[#This Row],[first_name]], " ",Table3[[#This Row],[last_name]])</f>
        <v>Shirley Griffin</v>
      </c>
    </row>
    <row r="59" spans="1:17" hidden="1" x14ac:dyDescent="0.3">
      <c r="A59">
        <v>53</v>
      </c>
      <c r="B59" t="s">
        <v>176</v>
      </c>
      <c r="C59" t="s">
        <v>216</v>
      </c>
      <c r="D59" t="s">
        <v>217</v>
      </c>
      <c r="E59" t="s">
        <v>32</v>
      </c>
      <c r="F59" t="s">
        <v>17</v>
      </c>
      <c r="G59" s="1">
        <v>139</v>
      </c>
      <c r="H59" t="s">
        <v>4037</v>
      </c>
      <c r="I59" s="2">
        <v>43438</v>
      </c>
      <c r="J59" t="s">
        <v>27</v>
      </c>
      <c r="K59" t="s">
        <v>28</v>
      </c>
      <c r="L59">
        <v>80243</v>
      </c>
      <c r="M59" t="s">
        <v>21</v>
      </c>
      <c r="N59" t="str">
        <f>VLOOKUP(A59, Data_Set_2!$A:$D,2,FALSE)</f>
        <v>sgriffin1g</v>
      </c>
      <c r="O59" t="str">
        <f>VLOOKUP(A59, Data_Set_2!$A:$D,3,FALSE)</f>
        <v>Zoonoodle</v>
      </c>
      <c r="P59" t="str">
        <f>VLOOKUP(A59, Data_Set_2!$A:$D,4,FALSE)</f>
        <v>Structural Engineer</v>
      </c>
      <c r="Q59" t="str">
        <f>_xlfn.CONCAT(Table3[[#This Row],[first_name]], " ",Table3[[#This Row],[last_name]])</f>
        <v>Shirley Griffin</v>
      </c>
    </row>
    <row r="60" spans="1:17" hidden="1" x14ac:dyDescent="0.3">
      <c r="A60">
        <v>53</v>
      </c>
      <c r="B60" t="s">
        <v>176</v>
      </c>
      <c r="C60" t="s">
        <v>216</v>
      </c>
      <c r="D60" t="s">
        <v>217</v>
      </c>
      <c r="E60" t="s">
        <v>32</v>
      </c>
      <c r="F60" t="s">
        <v>17</v>
      </c>
      <c r="G60" s="1">
        <v>58</v>
      </c>
      <c r="H60" t="s">
        <v>4037</v>
      </c>
      <c r="I60" s="2">
        <v>43719</v>
      </c>
      <c r="J60" t="s">
        <v>27</v>
      </c>
      <c r="K60" t="s">
        <v>28</v>
      </c>
      <c r="L60">
        <v>80243</v>
      </c>
      <c r="M60" t="s">
        <v>21</v>
      </c>
      <c r="N60" t="str">
        <f>VLOOKUP(A60, Data_Set_2!$A:$D,2,FALSE)</f>
        <v>sgriffin1g</v>
      </c>
      <c r="O60" t="str">
        <f>VLOOKUP(A60, Data_Set_2!$A:$D,3,FALSE)</f>
        <v>Zoonoodle</v>
      </c>
      <c r="P60" t="str">
        <f>VLOOKUP(A60, Data_Set_2!$A:$D,4,FALSE)</f>
        <v>Structural Engineer</v>
      </c>
      <c r="Q60" t="str">
        <f>_xlfn.CONCAT(Table3[[#This Row],[first_name]], " ",Table3[[#This Row],[last_name]])</f>
        <v>Shirley Griffin</v>
      </c>
    </row>
    <row r="61" spans="1:17" hidden="1" x14ac:dyDescent="0.3">
      <c r="A61">
        <v>53</v>
      </c>
      <c r="B61" t="s">
        <v>176</v>
      </c>
      <c r="C61" t="s">
        <v>216</v>
      </c>
      <c r="D61" t="s">
        <v>217</v>
      </c>
      <c r="E61" t="s">
        <v>32</v>
      </c>
      <c r="F61" t="s">
        <v>17</v>
      </c>
      <c r="G61" s="1">
        <v>353</v>
      </c>
      <c r="H61" t="s">
        <v>4037</v>
      </c>
      <c r="I61" s="2">
        <v>43724</v>
      </c>
      <c r="J61" t="s">
        <v>27</v>
      </c>
      <c r="K61" t="s">
        <v>28</v>
      </c>
      <c r="L61">
        <v>80243</v>
      </c>
      <c r="M61" t="s">
        <v>21</v>
      </c>
      <c r="N61" t="str">
        <f>VLOOKUP(A61, Data_Set_2!$A:$D,2,FALSE)</f>
        <v>sgriffin1g</v>
      </c>
      <c r="O61" t="str">
        <f>VLOOKUP(A61, Data_Set_2!$A:$D,3,FALSE)</f>
        <v>Zoonoodle</v>
      </c>
      <c r="P61" t="str">
        <f>VLOOKUP(A61, Data_Set_2!$A:$D,4,FALSE)</f>
        <v>Structural Engineer</v>
      </c>
      <c r="Q61" t="str">
        <f>_xlfn.CONCAT(Table3[[#This Row],[first_name]], " ",Table3[[#This Row],[last_name]])</f>
        <v>Shirley Griffin</v>
      </c>
    </row>
    <row r="62" spans="1:17" hidden="1" x14ac:dyDescent="0.3">
      <c r="A62">
        <v>53</v>
      </c>
      <c r="B62" t="s">
        <v>176</v>
      </c>
      <c r="C62" t="s">
        <v>216</v>
      </c>
      <c r="D62" t="s">
        <v>217</v>
      </c>
      <c r="E62" t="s">
        <v>32</v>
      </c>
      <c r="F62" t="s">
        <v>17</v>
      </c>
      <c r="G62" s="1">
        <v>411</v>
      </c>
      <c r="H62" t="s">
        <v>4037</v>
      </c>
      <c r="I62" s="2">
        <v>43932</v>
      </c>
      <c r="J62" t="s">
        <v>27</v>
      </c>
      <c r="K62" t="s">
        <v>28</v>
      </c>
      <c r="L62">
        <v>80243</v>
      </c>
      <c r="M62" t="s">
        <v>21</v>
      </c>
      <c r="N62" t="str">
        <f>VLOOKUP(A62, Data_Set_2!$A:$D,2,FALSE)</f>
        <v>sgriffin1g</v>
      </c>
      <c r="O62" t="str">
        <f>VLOOKUP(A62, Data_Set_2!$A:$D,3,FALSE)</f>
        <v>Zoonoodle</v>
      </c>
      <c r="P62" t="str">
        <f>VLOOKUP(A62, Data_Set_2!$A:$D,4,FALSE)</f>
        <v>Structural Engineer</v>
      </c>
      <c r="Q62" t="str">
        <f>_xlfn.CONCAT(Table3[[#This Row],[first_name]], " ",Table3[[#This Row],[last_name]])</f>
        <v>Shirley Griffin</v>
      </c>
    </row>
    <row r="63" spans="1:17" hidden="1" x14ac:dyDescent="0.3">
      <c r="A63">
        <v>53</v>
      </c>
      <c r="B63" t="s">
        <v>176</v>
      </c>
      <c r="C63" t="s">
        <v>216</v>
      </c>
      <c r="D63" t="s">
        <v>217</v>
      </c>
      <c r="E63" t="s">
        <v>32</v>
      </c>
      <c r="F63" t="s">
        <v>17</v>
      </c>
      <c r="G63" s="1">
        <v>764</v>
      </c>
      <c r="H63" t="s">
        <v>4037</v>
      </c>
      <c r="I63" s="2">
        <v>44107</v>
      </c>
      <c r="J63" t="s">
        <v>27</v>
      </c>
      <c r="K63" t="s">
        <v>28</v>
      </c>
      <c r="L63">
        <v>80243</v>
      </c>
      <c r="M63" t="s">
        <v>21</v>
      </c>
      <c r="N63" t="str">
        <f>VLOOKUP(A63, Data_Set_2!$A:$D,2,FALSE)</f>
        <v>sgriffin1g</v>
      </c>
      <c r="O63" t="str">
        <f>VLOOKUP(A63, Data_Set_2!$A:$D,3,FALSE)</f>
        <v>Zoonoodle</v>
      </c>
      <c r="P63" t="str">
        <f>VLOOKUP(A63, Data_Set_2!$A:$D,4,FALSE)</f>
        <v>Structural Engineer</v>
      </c>
      <c r="Q63" t="str">
        <f>_xlfn.CONCAT(Table3[[#This Row],[first_name]], " ",Table3[[#This Row],[last_name]])</f>
        <v>Shirley Griffin</v>
      </c>
    </row>
    <row r="64" spans="1:17" hidden="1" x14ac:dyDescent="0.3">
      <c r="A64">
        <v>53</v>
      </c>
      <c r="B64" t="s">
        <v>176</v>
      </c>
      <c r="C64" t="s">
        <v>216</v>
      </c>
      <c r="D64" t="s">
        <v>217</v>
      </c>
      <c r="E64" t="s">
        <v>32</v>
      </c>
      <c r="F64" t="s">
        <v>17</v>
      </c>
      <c r="G64" s="1">
        <v>208</v>
      </c>
      <c r="H64" t="s">
        <v>4037</v>
      </c>
      <c r="I64" s="2">
        <v>44320</v>
      </c>
      <c r="J64" t="s">
        <v>27</v>
      </c>
      <c r="K64" t="s">
        <v>28</v>
      </c>
      <c r="L64">
        <v>80243</v>
      </c>
      <c r="M64" t="s">
        <v>21</v>
      </c>
      <c r="N64" t="str">
        <f>VLOOKUP(A64, Data_Set_2!$A:$D,2,FALSE)</f>
        <v>sgriffin1g</v>
      </c>
      <c r="O64" t="str">
        <f>VLOOKUP(A64, Data_Set_2!$A:$D,3,FALSE)</f>
        <v>Zoonoodle</v>
      </c>
      <c r="P64" t="str">
        <f>VLOOKUP(A64, Data_Set_2!$A:$D,4,FALSE)</f>
        <v>Structural Engineer</v>
      </c>
      <c r="Q64" t="str">
        <f>_xlfn.CONCAT(Table3[[#This Row],[first_name]], " ",Table3[[#This Row],[last_name]])</f>
        <v>Shirley Griffin</v>
      </c>
    </row>
    <row r="65" spans="1:17" hidden="1" x14ac:dyDescent="0.3">
      <c r="A65">
        <v>54</v>
      </c>
      <c r="B65" t="s">
        <v>54</v>
      </c>
      <c r="C65" t="s">
        <v>505</v>
      </c>
      <c r="D65" t="s">
        <v>1263</v>
      </c>
      <c r="E65" t="s">
        <v>32</v>
      </c>
      <c r="F65" t="s">
        <v>51</v>
      </c>
      <c r="G65" s="1">
        <v>533</v>
      </c>
      <c r="H65" t="s">
        <v>416</v>
      </c>
      <c r="I65" s="2">
        <v>44900</v>
      </c>
      <c r="J65" t="s">
        <v>115</v>
      </c>
      <c r="K65" t="s">
        <v>351</v>
      </c>
      <c r="L65">
        <v>32813</v>
      </c>
      <c r="M65" t="s">
        <v>21</v>
      </c>
      <c r="N65" t="str">
        <f>VLOOKUP(A65, Data_Set_2!$A:$D,2,FALSE)</f>
        <v>bmcdonald1h</v>
      </c>
      <c r="O65" t="str">
        <f>VLOOKUP(A65, Data_Set_2!$A:$D,3,FALSE)</f>
        <v>Skippad</v>
      </c>
      <c r="P65" t="str">
        <f>VLOOKUP(A65, Data_Set_2!$A:$D,4,FALSE)</f>
        <v>Web Designer I</v>
      </c>
      <c r="Q65" t="str">
        <f>_xlfn.CONCAT(Table3[[#This Row],[first_name]], " ",Table3[[#This Row],[last_name]])</f>
        <v>Barbara Mcdonald</v>
      </c>
    </row>
    <row r="66" spans="1:17" hidden="1" x14ac:dyDescent="0.3">
      <c r="A66">
        <v>55</v>
      </c>
      <c r="B66" t="s">
        <v>70</v>
      </c>
      <c r="C66" t="s">
        <v>71</v>
      </c>
      <c r="D66" t="s">
        <v>72</v>
      </c>
      <c r="E66" t="s">
        <v>32</v>
      </c>
      <c r="F66" t="s">
        <v>33</v>
      </c>
      <c r="G66" s="1">
        <v>780</v>
      </c>
      <c r="H66" t="s">
        <v>73</v>
      </c>
      <c r="I66" s="2">
        <v>43116</v>
      </c>
      <c r="J66" t="s">
        <v>74</v>
      </c>
      <c r="K66" t="s">
        <v>75</v>
      </c>
      <c r="L66">
        <v>30323</v>
      </c>
      <c r="M66" t="s">
        <v>21</v>
      </c>
      <c r="N66" t="str">
        <f>VLOOKUP(A66, Data_Set_2!$A:$D,2,FALSE)</f>
        <v>rsimpson1i</v>
      </c>
      <c r="O66" t="str">
        <f>VLOOKUP(A66, Data_Set_2!$A:$D,3,FALSE)</f>
        <v>Babbleblab</v>
      </c>
      <c r="P66" t="str">
        <f>VLOOKUP(A66, Data_Set_2!$A:$D,4,FALSE)</f>
        <v>Internal Auditor</v>
      </c>
      <c r="Q66" t="str">
        <f>_xlfn.CONCAT(Table3[[#This Row],[first_name]], " ",Table3[[#This Row],[last_name]])</f>
        <v>Ruth Simpson</v>
      </c>
    </row>
    <row r="67" spans="1:17" x14ac:dyDescent="0.3">
      <c r="A67">
        <v>56</v>
      </c>
      <c r="B67" t="s">
        <v>627</v>
      </c>
      <c r="C67" t="s">
        <v>669</v>
      </c>
      <c r="D67" t="s">
        <v>1114</v>
      </c>
      <c r="E67" t="s">
        <v>16</v>
      </c>
      <c r="F67" t="s">
        <v>33</v>
      </c>
      <c r="G67" s="1">
        <v>958</v>
      </c>
      <c r="H67" t="s">
        <v>95</v>
      </c>
      <c r="I67" s="2">
        <v>44523</v>
      </c>
      <c r="J67" t="s">
        <v>68</v>
      </c>
      <c r="K67" t="s">
        <v>234</v>
      </c>
      <c r="L67">
        <v>77050</v>
      </c>
      <c r="M67" t="s">
        <v>21</v>
      </c>
      <c r="N67" t="str">
        <f>VLOOKUP(A67, Data_Set_2!$A:$D,2,FALSE)</f>
        <v>cowens1j</v>
      </c>
      <c r="O67" t="str">
        <f>VLOOKUP(A67, Data_Set_2!$A:$D,3,FALSE)</f>
        <v>Quire</v>
      </c>
      <c r="P67" t="str">
        <f>VLOOKUP(A67, Data_Set_2!$A:$D,4,FALSE)</f>
        <v>Developer II</v>
      </c>
      <c r="Q67" t="str">
        <f>_xlfn.CONCAT(Table3[[#This Row],[first_name]], " ",Table3[[#This Row],[last_name]])</f>
        <v>Christopher Owens</v>
      </c>
    </row>
    <row r="68" spans="1:17" hidden="1" x14ac:dyDescent="0.3">
      <c r="A68">
        <v>57</v>
      </c>
      <c r="B68" t="s">
        <v>638</v>
      </c>
      <c r="C68" t="s">
        <v>639</v>
      </c>
      <c r="D68" t="s">
        <v>640</v>
      </c>
      <c r="E68" t="s">
        <v>32</v>
      </c>
      <c r="F68" t="s">
        <v>17</v>
      </c>
      <c r="G68" s="1">
        <v>800</v>
      </c>
      <c r="H68" t="s">
        <v>34</v>
      </c>
      <c r="I68" s="2">
        <v>43559</v>
      </c>
      <c r="J68" t="s">
        <v>133</v>
      </c>
      <c r="K68" t="s">
        <v>134</v>
      </c>
      <c r="L68">
        <v>96810</v>
      </c>
      <c r="M68" t="s">
        <v>21</v>
      </c>
      <c r="N68" t="str">
        <f>VLOOKUP(A68, Data_Set_2!$A:$D,2,FALSE)</f>
        <v>mharris1k</v>
      </c>
      <c r="O68" t="str">
        <f>VLOOKUP(A68, Data_Set_2!$A:$D,3,FALSE)</f>
        <v>Linkbridge</v>
      </c>
      <c r="P68" t="str">
        <f>VLOOKUP(A68, Data_Set_2!$A:$D,4,FALSE)</f>
        <v>Professor</v>
      </c>
      <c r="Q68" t="str">
        <f>_xlfn.CONCAT(Table3[[#This Row],[first_name]], " ",Table3[[#This Row],[last_name]])</f>
        <v>Michelle Harris</v>
      </c>
    </row>
    <row r="69" spans="1:17" hidden="1" x14ac:dyDescent="0.3">
      <c r="A69">
        <v>57</v>
      </c>
      <c r="B69" t="s">
        <v>638</v>
      </c>
      <c r="C69" t="s">
        <v>639</v>
      </c>
      <c r="D69" t="s">
        <v>640</v>
      </c>
      <c r="E69" t="s">
        <v>32</v>
      </c>
      <c r="F69" t="s">
        <v>17</v>
      </c>
      <c r="G69" s="1">
        <v>990</v>
      </c>
      <c r="H69" t="s">
        <v>34</v>
      </c>
      <c r="I69" s="2">
        <v>43672</v>
      </c>
      <c r="J69" t="s">
        <v>133</v>
      </c>
      <c r="K69" t="s">
        <v>134</v>
      </c>
      <c r="L69">
        <v>96810</v>
      </c>
      <c r="M69" t="s">
        <v>21</v>
      </c>
      <c r="N69" t="str">
        <f>VLOOKUP(A69, Data_Set_2!$A:$D,2,FALSE)</f>
        <v>mharris1k</v>
      </c>
      <c r="O69" t="str">
        <f>VLOOKUP(A69, Data_Set_2!$A:$D,3,FALSE)</f>
        <v>Linkbridge</v>
      </c>
      <c r="P69" t="str">
        <f>VLOOKUP(A69, Data_Set_2!$A:$D,4,FALSE)</f>
        <v>Professor</v>
      </c>
      <c r="Q69" t="str">
        <f>_xlfn.CONCAT(Table3[[#This Row],[first_name]], " ",Table3[[#This Row],[last_name]])</f>
        <v>Michelle Harris</v>
      </c>
    </row>
    <row r="70" spans="1:17" hidden="1" x14ac:dyDescent="0.3">
      <c r="A70">
        <v>57</v>
      </c>
      <c r="B70" t="s">
        <v>638</v>
      </c>
      <c r="C70" t="s">
        <v>639</v>
      </c>
      <c r="D70" t="s">
        <v>640</v>
      </c>
      <c r="E70" t="s">
        <v>32</v>
      </c>
      <c r="F70" t="s">
        <v>17</v>
      </c>
      <c r="G70" s="1">
        <v>89</v>
      </c>
      <c r="H70" t="s">
        <v>34</v>
      </c>
      <c r="I70" s="2">
        <v>44141</v>
      </c>
      <c r="J70" t="s">
        <v>133</v>
      </c>
      <c r="K70" t="s">
        <v>134</v>
      </c>
      <c r="L70">
        <v>96810</v>
      </c>
      <c r="M70" t="s">
        <v>21</v>
      </c>
      <c r="N70" t="str">
        <f>VLOOKUP(A70, Data_Set_2!$A:$D,2,FALSE)</f>
        <v>mharris1k</v>
      </c>
      <c r="O70" t="str">
        <f>VLOOKUP(A70, Data_Set_2!$A:$D,3,FALSE)</f>
        <v>Linkbridge</v>
      </c>
      <c r="P70" t="str">
        <f>VLOOKUP(A70, Data_Set_2!$A:$D,4,FALSE)</f>
        <v>Professor</v>
      </c>
      <c r="Q70" t="str">
        <f>_xlfn.CONCAT(Table3[[#This Row],[first_name]], " ",Table3[[#This Row],[last_name]])</f>
        <v>Michelle Harris</v>
      </c>
    </row>
    <row r="71" spans="1:17" hidden="1" x14ac:dyDescent="0.3">
      <c r="A71">
        <v>57</v>
      </c>
      <c r="B71" t="s">
        <v>638</v>
      </c>
      <c r="C71" t="s">
        <v>639</v>
      </c>
      <c r="D71" t="s">
        <v>640</v>
      </c>
      <c r="E71" t="s">
        <v>32</v>
      </c>
      <c r="F71" t="s">
        <v>17</v>
      </c>
      <c r="G71" s="1">
        <v>570</v>
      </c>
      <c r="H71" t="s">
        <v>34</v>
      </c>
      <c r="I71" s="2">
        <v>44142</v>
      </c>
      <c r="J71" t="s">
        <v>133</v>
      </c>
      <c r="K71" t="s">
        <v>134</v>
      </c>
      <c r="L71">
        <v>96810</v>
      </c>
      <c r="M71" t="s">
        <v>21</v>
      </c>
      <c r="N71" t="str">
        <f>VLOOKUP(A71, Data_Set_2!$A:$D,2,FALSE)</f>
        <v>mharris1k</v>
      </c>
      <c r="O71" t="str">
        <f>VLOOKUP(A71, Data_Set_2!$A:$D,3,FALSE)</f>
        <v>Linkbridge</v>
      </c>
      <c r="P71" t="str">
        <f>VLOOKUP(A71, Data_Set_2!$A:$D,4,FALSE)</f>
        <v>Professor</v>
      </c>
      <c r="Q71" t="str">
        <f>_xlfn.CONCAT(Table3[[#This Row],[first_name]], " ",Table3[[#This Row],[last_name]])</f>
        <v>Michelle Harris</v>
      </c>
    </row>
    <row r="72" spans="1:17" hidden="1" x14ac:dyDescent="0.3">
      <c r="A72">
        <v>57</v>
      </c>
      <c r="B72" t="s">
        <v>638</v>
      </c>
      <c r="C72" t="s">
        <v>639</v>
      </c>
      <c r="D72" t="s">
        <v>640</v>
      </c>
      <c r="E72" t="s">
        <v>32</v>
      </c>
      <c r="F72" t="s">
        <v>17</v>
      </c>
      <c r="G72" s="1">
        <v>191</v>
      </c>
      <c r="H72" t="s">
        <v>34</v>
      </c>
      <c r="I72" s="2">
        <v>44158</v>
      </c>
      <c r="J72" t="s">
        <v>133</v>
      </c>
      <c r="K72" t="s">
        <v>134</v>
      </c>
      <c r="L72">
        <v>96810</v>
      </c>
      <c r="M72" t="s">
        <v>21</v>
      </c>
      <c r="N72" t="str">
        <f>VLOOKUP(A72, Data_Set_2!$A:$D,2,FALSE)</f>
        <v>mharris1k</v>
      </c>
      <c r="O72" t="str">
        <f>VLOOKUP(A72, Data_Set_2!$A:$D,3,FALSE)</f>
        <v>Linkbridge</v>
      </c>
      <c r="P72" t="str">
        <f>VLOOKUP(A72, Data_Set_2!$A:$D,4,FALSE)</f>
        <v>Professor</v>
      </c>
      <c r="Q72" t="str">
        <f>_xlfn.CONCAT(Table3[[#This Row],[first_name]], " ",Table3[[#This Row],[last_name]])</f>
        <v>Michelle Harris</v>
      </c>
    </row>
    <row r="73" spans="1:17" hidden="1" x14ac:dyDescent="0.3">
      <c r="A73">
        <v>57</v>
      </c>
      <c r="B73" t="s">
        <v>638</v>
      </c>
      <c r="C73" t="s">
        <v>639</v>
      </c>
      <c r="D73" t="s">
        <v>640</v>
      </c>
      <c r="E73" t="s">
        <v>32</v>
      </c>
      <c r="F73" t="s">
        <v>17</v>
      </c>
      <c r="G73" s="1">
        <v>310</v>
      </c>
      <c r="H73" t="s">
        <v>34</v>
      </c>
      <c r="I73" s="2">
        <v>44329</v>
      </c>
      <c r="J73" t="s">
        <v>133</v>
      </c>
      <c r="K73" t="s">
        <v>134</v>
      </c>
      <c r="L73">
        <v>96810</v>
      </c>
      <c r="M73" t="s">
        <v>21</v>
      </c>
      <c r="N73" t="str">
        <f>VLOOKUP(A73, Data_Set_2!$A:$D,2,FALSE)</f>
        <v>mharris1k</v>
      </c>
      <c r="O73" t="str">
        <f>VLOOKUP(A73, Data_Set_2!$A:$D,3,FALSE)</f>
        <v>Linkbridge</v>
      </c>
      <c r="P73" t="str">
        <f>VLOOKUP(A73, Data_Set_2!$A:$D,4,FALSE)</f>
        <v>Professor</v>
      </c>
      <c r="Q73" t="str">
        <f>_xlfn.CONCAT(Table3[[#This Row],[first_name]], " ",Table3[[#This Row],[last_name]])</f>
        <v>Michelle Harris</v>
      </c>
    </row>
    <row r="74" spans="1:17" hidden="1" x14ac:dyDescent="0.3">
      <c r="A74">
        <v>57</v>
      </c>
      <c r="B74" t="s">
        <v>638</v>
      </c>
      <c r="C74" t="s">
        <v>639</v>
      </c>
      <c r="D74" t="s">
        <v>640</v>
      </c>
      <c r="E74" t="s">
        <v>32</v>
      </c>
      <c r="F74" t="s">
        <v>17</v>
      </c>
      <c r="G74" s="1">
        <v>275</v>
      </c>
      <c r="H74" t="s">
        <v>34</v>
      </c>
      <c r="I74" s="2">
        <v>44472</v>
      </c>
      <c r="J74" t="s">
        <v>133</v>
      </c>
      <c r="K74" t="s">
        <v>134</v>
      </c>
      <c r="L74">
        <v>96810</v>
      </c>
      <c r="M74" t="s">
        <v>21</v>
      </c>
      <c r="N74" t="str">
        <f>VLOOKUP(A74, Data_Set_2!$A:$D,2,FALSE)</f>
        <v>mharris1k</v>
      </c>
      <c r="O74" t="str">
        <f>VLOOKUP(A74, Data_Set_2!$A:$D,3,FALSE)</f>
        <v>Linkbridge</v>
      </c>
      <c r="P74" t="str">
        <f>VLOOKUP(A74, Data_Set_2!$A:$D,4,FALSE)</f>
        <v>Professor</v>
      </c>
      <c r="Q74" t="str">
        <f>_xlfn.CONCAT(Table3[[#This Row],[first_name]], " ",Table3[[#This Row],[last_name]])</f>
        <v>Michelle Harris</v>
      </c>
    </row>
    <row r="75" spans="1:17" hidden="1" x14ac:dyDescent="0.3">
      <c r="A75">
        <v>57</v>
      </c>
      <c r="B75" t="s">
        <v>638</v>
      </c>
      <c r="C75" t="s">
        <v>639</v>
      </c>
      <c r="D75" t="s">
        <v>640</v>
      </c>
      <c r="E75" t="s">
        <v>32</v>
      </c>
      <c r="F75" t="s">
        <v>17</v>
      </c>
      <c r="G75" s="1">
        <v>245</v>
      </c>
      <c r="H75" t="s">
        <v>34</v>
      </c>
      <c r="I75" s="2">
        <v>44511</v>
      </c>
      <c r="J75" t="s">
        <v>133</v>
      </c>
      <c r="K75" t="s">
        <v>134</v>
      </c>
      <c r="L75">
        <v>96810</v>
      </c>
      <c r="M75" t="s">
        <v>21</v>
      </c>
      <c r="N75" t="str">
        <f>VLOOKUP(A75, Data_Set_2!$A:$D,2,FALSE)</f>
        <v>mharris1k</v>
      </c>
      <c r="O75" t="str">
        <f>VLOOKUP(A75, Data_Set_2!$A:$D,3,FALSE)</f>
        <v>Linkbridge</v>
      </c>
      <c r="P75" t="str">
        <f>VLOOKUP(A75, Data_Set_2!$A:$D,4,FALSE)</f>
        <v>Professor</v>
      </c>
      <c r="Q75" t="str">
        <f>_xlfn.CONCAT(Table3[[#This Row],[first_name]], " ",Table3[[#This Row],[last_name]])</f>
        <v>Michelle Harris</v>
      </c>
    </row>
    <row r="76" spans="1:17" hidden="1" x14ac:dyDescent="0.3">
      <c r="A76">
        <v>57</v>
      </c>
      <c r="B76" t="s">
        <v>638</v>
      </c>
      <c r="C76" t="s">
        <v>639</v>
      </c>
      <c r="D76" t="s">
        <v>640</v>
      </c>
      <c r="E76" t="s">
        <v>32</v>
      </c>
      <c r="F76" t="s">
        <v>17</v>
      </c>
      <c r="G76" s="1">
        <v>211</v>
      </c>
      <c r="H76" t="s">
        <v>34</v>
      </c>
      <c r="I76" s="2">
        <v>44644</v>
      </c>
      <c r="J76" t="s">
        <v>133</v>
      </c>
      <c r="K76" t="s">
        <v>134</v>
      </c>
      <c r="L76">
        <v>96810</v>
      </c>
      <c r="M76" t="s">
        <v>21</v>
      </c>
      <c r="N76" t="str">
        <f>VLOOKUP(A76, Data_Set_2!$A:$D,2,FALSE)</f>
        <v>mharris1k</v>
      </c>
      <c r="O76" t="str">
        <f>VLOOKUP(A76, Data_Set_2!$A:$D,3,FALSE)</f>
        <v>Linkbridge</v>
      </c>
      <c r="P76" t="str">
        <f>VLOOKUP(A76, Data_Set_2!$A:$D,4,FALSE)</f>
        <v>Professor</v>
      </c>
      <c r="Q76" t="str">
        <f>_xlfn.CONCAT(Table3[[#This Row],[first_name]], " ",Table3[[#This Row],[last_name]])</f>
        <v>Michelle Harris</v>
      </c>
    </row>
    <row r="77" spans="1:17" hidden="1" x14ac:dyDescent="0.3">
      <c r="A77">
        <v>58</v>
      </c>
      <c r="B77" t="s">
        <v>403</v>
      </c>
      <c r="C77" t="s">
        <v>496</v>
      </c>
      <c r="D77" t="s">
        <v>503</v>
      </c>
      <c r="E77" t="s">
        <v>32</v>
      </c>
      <c r="F77" t="s">
        <v>25</v>
      </c>
      <c r="G77" s="1">
        <v>148</v>
      </c>
      <c r="H77" t="s">
        <v>26</v>
      </c>
      <c r="I77" s="2">
        <v>43386</v>
      </c>
      <c r="J77" t="s">
        <v>287</v>
      </c>
      <c r="K77" t="s">
        <v>504</v>
      </c>
      <c r="L77">
        <v>85062</v>
      </c>
      <c r="M77" t="s">
        <v>21</v>
      </c>
      <c r="N77" t="str">
        <f>VLOOKUP(A77, Data_Set_2!$A:$D,2,FALSE)</f>
        <v>jcruz1l</v>
      </c>
      <c r="O77" t="str">
        <f>VLOOKUP(A77, Data_Set_2!$A:$D,3,FALSE)</f>
        <v>Skimia</v>
      </c>
      <c r="P77" t="str">
        <f>VLOOKUP(A77, Data_Set_2!$A:$D,4,FALSE)</f>
        <v>Marketing Assistant</v>
      </c>
      <c r="Q77" t="str">
        <f>_xlfn.CONCAT(Table3[[#This Row],[first_name]], " ",Table3[[#This Row],[last_name]])</f>
        <v>Jennifer Cruz</v>
      </c>
    </row>
    <row r="78" spans="1:17" hidden="1" x14ac:dyDescent="0.3">
      <c r="A78">
        <v>60</v>
      </c>
      <c r="B78" t="s">
        <v>549</v>
      </c>
      <c r="C78" t="s">
        <v>427</v>
      </c>
      <c r="D78" t="s">
        <v>678</v>
      </c>
      <c r="E78" t="s">
        <v>32</v>
      </c>
      <c r="F78" t="s">
        <v>33</v>
      </c>
      <c r="G78" s="1">
        <v>957</v>
      </c>
      <c r="H78" t="s">
        <v>62</v>
      </c>
      <c r="I78" s="2">
        <v>43599</v>
      </c>
      <c r="J78" t="s">
        <v>184</v>
      </c>
      <c r="K78" t="s">
        <v>679</v>
      </c>
      <c r="L78">
        <v>10633</v>
      </c>
      <c r="M78" t="s">
        <v>21</v>
      </c>
      <c r="N78" t="str">
        <f>VLOOKUP(A78, Data_Set_2!$A:$D,2,FALSE)</f>
        <v>jandrews1n</v>
      </c>
      <c r="O78" t="str">
        <f>VLOOKUP(A78, Data_Set_2!$A:$D,3,FALSE)</f>
        <v>Fadeo</v>
      </c>
      <c r="P78" t="str">
        <f>VLOOKUP(A78, Data_Set_2!$A:$D,4,FALSE)</f>
        <v>Clinical Specialist</v>
      </c>
      <c r="Q78" t="str">
        <f>_xlfn.CONCAT(Table3[[#This Row],[first_name]], " ",Table3[[#This Row],[last_name]])</f>
        <v>Jane Andrews</v>
      </c>
    </row>
    <row r="79" spans="1:17" hidden="1" x14ac:dyDescent="0.3">
      <c r="A79">
        <v>63</v>
      </c>
      <c r="B79" t="s">
        <v>417</v>
      </c>
      <c r="C79" t="s">
        <v>684</v>
      </c>
      <c r="D79" t="s">
        <v>685</v>
      </c>
      <c r="E79" t="s">
        <v>16</v>
      </c>
      <c r="F79" t="s">
        <v>33</v>
      </c>
      <c r="G79" s="1">
        <v>989</v>
      </c>
      <c r="H79" t="s">
        <v>26</v>
      </c>
      <c r="I79" s="2">
        <v>43604</v>
      </c>
      <c r="J79" t="s">
        <v>115</v>
      </c>
      <c r="K79" t="s">
        <v>686</v>
      </c>
      <c r="L79">
        <v>33448</v>
      </c>
      <c r="M79" t="s">
        <v>21</v>
      </c>
      <c r="N79" t="str">
        <f>VLOOKUP(A79, Data_Set_2!$A:$D,2,FALSE)</f>
        <v>wfisher1q</v>
      </c>
      <c r="O79" t="str">
        <f>VLOOKUP(A79, Data_Set_2!$A:$D,3,FALSE)</f>
        <v>Bubblebox</v>
      </c>
      <c r="P79" t="str">
        <f>VLOOKUP(A79, Data_Set_2!$A:$D,4,FALSE)</f>
        <v>Marketing Manager</v>
      </c>
      <c r="Q79" t="str">
        <f>_xlfn.CONCAT(Table3[[#This Row],[first_name]], " ",Table3[[#This Row],[last_name]])</f>
        <v>Willie Fisher</v>
      </c>
    </row>
    <row r="80" spans="1:17" hidden="1" x14ac:dyDescent="0.3">
      <c r="A80">
        <v>64</v>
      </c>
      <c r="B80" t="s">
        <v>373</v>
      </c>
      <c r="C80" t="s">
        <v>232</v>
      </c>
      <c r="D80" t="s">
        <v>374</v>
      </c>
      <c r="E80" t="s">
        <v>32</v>
      </c>
      <c r="F80" t="s">
        <v>17</v>
      </c>
      <c r="G80" s="1">
        <v>333</v>
      </c>
      <c r="H80" t="s">
        <v>4037</v>
      </c>
      <c r="I80" s="2">
        <v>43273</v>
      </c>
      <c r="J80" t="s">
        <v>375</v>
      </c>
      <c r="K80" t="s">
        <v>376</v>
      </c>
      <c r="L80">
        <v>57193</v>
      </c>
      <c r="M80" t="s">
        <v>21</v>
      </c>
      <c r="N80" t="str">
        <f>VLOOKUP(A80, Data_Set_2!$A:$D,2,FALSE)</f>
        <v>kward1r</v>
      </c>
      <c r="O80" t="str">
        <f>VLOOKUP(A80, Data_Set_2!$A:$D,3,FALSE)</f>
        <v>Flashset</v>
      </c>
      <c r="P80" t="str">
        <f>VLOOKUP(A80, Data_Set_2!$A:$D,4,FALSE)</f>
        <v>Nurse Practicioner</v>
      </c>
      <c r="Q80" t="str">
        <f>_xlfn.CONCAT(Table3[[#This Row],[first_name]], " ",Table3[[#This Row],[last_name]])</f>
        <v>Kathleen Ward</v>
      </c>
    </row>
    <row r="81" spans="1:17" hidden="1" x14ac:dyDescent="0.3">
      <c r="A81">
        <v>67</v>
      </c>
      <c r="B81" t="s">
        <v>819</v>
      </c>
      <c r="C81" t="s">
        <v>820</v>
      </c>
      <c r="D81" t="s">
        <v>821</v>
      </c>
      <c r="E81" t="s">
        <v>32</v>
      </c>
      <c r="F81" t="s">
        <v>25</v>
      </c>
      <c r="G81" s="1">
        <v>555</v>
      </c>
      <c r="H81" t="s">
        <v>34</v>
      </c>
      <c r="I81" s="2">
        <v>43802</v>
      </c>
      <c r="J81" t="s">
        <v>115</v>
      </c>
      <c r="K81" t="s">
        <v>546</v>
      </c>
      <c r="L81">
        <v>33023</v>
      </c>
      <c r="M81" t="s">
        <v>21</v>
      </c>
      <c r="N81" t="str">
        <f>VLOOKUP(A81, Data_Set_2!$A:$D,2,FALSE)</f>
        <v>mhenderson1u</v>
      </c>
      <c r="O81" t="str">
        <f>VLOOKUP(A81, Data_Set_2!$A:$D,3,FALSE)</f>
        <v>Realmix</v>
      </c>
      <c r="P81" t="str">
        <f>VLOOKUP(A81, Data_Set_2!$A:$D,4,FALSE)</f>
        <v>Marketing Assistant</v>
      </c>
      <c r="Q81" t="str">
        <f>_xlfn.CONCAT(Table3[[#This Row],[first_name]], " ",Table3[[#This Row],[last_name]])</f>
        <v>Margaret Henderson</v>
      </c>
    </row>
    <row r="82" spans="1:17" hidden="1" x14ac:dyDescent="0.3">
      <c r="A82">
        <v>68</v>
      </c>
      <c r="B82" t="s">
        <v>516</v>
      </c>
      <c r="C82" t="s">
        <v>317</v>
      </c>
      <c r="D82" t="s">
        <v>517</v>
      </c>
      <c r="E82" t="s">
        <v>32</v>
      </c>
      <c r="F82" t="s">
        <v>33</v>
      </c>
      <c r="G82" s="1">
        <v>188</v>
      </c>
      <c r="H82" t="s">
        <v>4034</v>
      </c>
      <c r="I82" s="2">
        <v>43404</v>
      </c>
      <c r="J82" t="s">
        <v>68</v>
      </c>
      <c r="K82" t="s">
        <v>518</v>
      </c>
      <c r="L82">
        <v>78296</v>
      </c>
      <c r="M82" t="s">
        <v>21</v>
      </c>
      <c r="N82" t="str">
        <f>VLOOKUP(A82, Data_Set_2!$A:$D,2,FALSE)</f>
        <v>drichardson1v</v>
      </c>
      <c r="O82" t="str">
        <f>VLOOKUP(A82, Data_Set_2!$A:$D,3,FALSE)</f>
        <v>Roombo</v>
      </c>
      <c r="P82" t="str">
        <f>VLOOKUP(A82, Data_Set_2!$A:$D,4,FALSE)</f>
        <v>Legal Assistant</v>
      </c>
      <c r="Q82" t="str">
        <f>_xlfn.CONCAT(Table3[[#This Row],[first_name]], " ",Table3[[#This Row],[last_name]])</f>
        <v>Donna Richardson</v>
      </c>
    </row>
    <row r="83" spans="1:17" hidden="1" x14ac:dyDescent="0.3">
      <c r="A83">
        <v>69</v>
      </c>
      <c r="B83" t="s">
        <v>181</v>
      </c>
      <c r="C83" t="s">
        <v>182</v>
      </c>
      <c r="D83" t="s">
        <v>183</v>
      </c>
      <c r="E83" t="s">
        <v>32</v>
      </c>
      <c r="F83" t="s">
        <v>17</v>
      </c>
      <c r="G83" s="1">
        <v>867</v>
      </c>
      <c r="H83" t="s">
        <v>26</v>
      </c>
      <c r="I83" s="2">
        <v>43151</v>
      </c>
      <c r="J83" t="s">
        <v>184</v>
      </c>
      <c r="K83" t="s">
        <v>185</v>
      </c>
      <c r="L83">
        <v>10464</v>
      </c>
      <c r="M83" t="s">
        <v>21</v>
      </c>
      <c r="N83" t="str">
        <f>VLOOKUP(A83, Data_Set_2!$A:$D,2,FALSE)</f>
        <v>djames1w</v>
      </c>
      <c r="O83" t="str">
        <f>VLOOKUP(A83, Data_Set_2!$A:$D,3,FALSE)</f>
        <v>Wordify</v>
      </c>
      <c r="P83" t="str">
        <f>VLOOKUP(A83, Data_Set_2!$A:$D,4,FALSE)</f>
        <v>Actuary</v>
      </c>
      <c r="Q83" t="str">
        <f>_xlfn.CONCAT(Table3[[#This Row],[first_name]], " ",Table3[[#This Row],[last_name]])</f>
        <v>Debra James</v>
      </c>
    </row>
    <row r="84" spans="1:17" hidden="1" x14ac:dyDescent="0.3">
      <c r="A84">
        <v>70</v>
      </c>
      <c r="B84" t="s">
        <v>812</v>
      </c>
      <c r="C84" t="s">
        <v>813</v>
      </c>
      <c r="D84" t="s">
        <v>814</v>
      </c>
      <c r="E84" t="s">
        <v>16</v>
      </c>
      <c r="F84" t="s">
        <v>33</v>
      </c>
      <c r="G84" s="1">
        <v>632</v>
      </c>
      <c r="H84" t="s">
        <v>26</v>
      </c>
      <c r="I84" s="2">
        <v>43786</v>
      </c>
      <c r="J84" t="s">
        <v>524</v>
      </c>
      <c r="K84" t="s">
        <v>815</v>
      </c>
      <c r="L84">
        <v>35205</v>
      </c>
      <c r="M84" t="s">
        <v>21</v>
      </c>
      <c r="N84" t="str">
        <f>VLOOKUP(A84, Data_Set_2!$A:$D,2,FALSE)</f>
        <v>bsnyder1x</v>
      </c>
      <c r="O84" t="str">
        <f>VLOOKUP(A84, Data_Set_2!$A:$D,3,FALSE)</f>
        <v>Wordtune</v>
      </c>
      <c r="P84" t="str">
        <f>VLOOKUP(A84, Data_Set_2!$A:$D,4,FALSE)</f>
        <v>Assistant Media Planner</v>
      </c>
      <c r="Q84" t="str">
        <f>_xlfn.CONCAT(Table3[[#This Row],[first_name]], " ",Table3[[#This Row],[last_name]])</f>
        <v>Billy Snyder</v>
      </c>
    </row>
    <row r="85" spans="1:17" hidden="1" x14ac:dyDescent="0.3">
      <c r="A85">
        <v>70</v>
      </c>
      <c r="B85" t="s">
        <v>812</v>
      </c>
      <c r="C85" t="s">
        <v>813</v>
      </c>
      <c r="D85" t="s">
        <v>814</v>
      </c>
      <c r="E85" t="s">
        <v>16</v>
      </c>
      <c r="F85" t="s">
        <v>33</v>
      </c>
      <c r="G85" s="1">
        <v>34</v>
      </c>
      <c r="H85" t="s">
        <v>26</v>
      </c>
      <c r="I85" s="2">
        <v>43801</v>
      </c>
      <c r="J85" t="s">
        <v>524</v>
      </c>
      <c r="K85" t="s">
        <v>815</v>
      </c>
      <c r="L85">
        <v>35205</v>
      </c>
      <c r="M85" t="s">
        <v>21</v>
      </c>
      <c r="N85" t="str">
        <f>VLOOKUP(A85, Data_Set_2!$A:$D,2,FALSE)</f>
        <v>bsnyder1x</v>
      </c>
      <c r="O85" t="str">
        <f>VLOOKUP(A85, Data_Set_2!$A:$D,3,FALSE)</f>
        <v>Wordtune</v>
      </c>
      <c r="P85" t="str">
        <f>VLOOKUP(A85, Data_Set_2!$A:$D,4,FALSE)</f>
        <v>Assistant Media Planner</v>
      </c>
      <c r="Q85" t="str">
        <f>_xlfn.CONCAT(Table3[[#This Row],[first_name]], " ",Table3[[#This Row],[last_name]])</f>
        <v>Billy Snyder</v>
      </c>
    </row>
    <row r="86" spans="1:17" hidden="1" x14ac:dyDescent="0.3">
      <c r="A86">
        <v>71</v>
      </c>
      <c r="B86" t="s">
        <v>330</v>
      </c>
      <c r="C86" t="s">
        <v>310</v>
      </c>
      <c r="D86" t="s">
        <v>1158</v>
      </c>
      <c r="E86" t="s">
        <v>32</v>
      </c>
      <c r="F86" t="s">
        <v>33</v>
      </c>
      <c r="G86" s="1">
        <v>587</v>
      </c>
      <c r="H86" t="s">
        <v>73</v>
      </c>
      <c r="I86" s="2">
        <v>44624</v>
      </c>
      <c r="J86" t="s">
        <v>115</v>
      </c>
      <c r="K86" t="s">
        <v>143</v>
      </c>
      <c r="L86">
        <v>33147</v>
      </c>
      <c r="M86" t="s">
        <v>21</v>
      </c>
      <c r="N86" t="str">
        <f>VLOOKUP(A86, Data_Set_2!$A:$D,2,FALSE)</f>
        <v>rwillis1y</v>
      </c>
      <c r="O86" t="str">
        <f>VLOOKUP(A86, Data_Set_2!$A:$D,3,FALSE)</f>
        <v>Yabox</v>
      </c>
      <c r="P86" t="str">
        <f>VLOOKUP(A86, Data_Set_2!$A:$D,4,FALSE)</f>
        <v>Desktop Support Technician</v>
      </c>
      <c r="Q86" t="str">
        <f>_xlfn.CONCAT(Table3[[#This Row],[first_name]], " ",Table3[[#This Row],[last_name]])</f>
        <v>Robin Willis</v>
      </c>
    </row>
    <row r="87" spans="1:17" hidden="1" x14ac:dyDescent="0.3">
      <c r="A87">
        <v>72</v>
      </c>
      <c r="B87" t="s">
        <v>928</v>
      </c>
      <c r="C87" t="s">
        <v>1136</v>
      </c>
      <c r="D87" t="s">
        <v>1137</v>
      </c>
      <c r="E87" t="s">
        <v>32</v>
      </c>
      <c r="F87" t="s">
        <v>33</v>
      </c>
      <c r="G87" s="1">
        <v>560</v>
      </c>
      <c r="H87" t="s">
        <v>73</v>
      </c>
      <c r="I87" s="2">
        <v>44553</v>
      </c>
      <c r="J87" t="s">
        <v>110</v>
      </c>
      <c r="K87" t="s">
        <v>111</v>
      </c>
      <c r="L87">
        <v>15230</v>
      </c>
      <c r="M87" t="s">
        <v>21</v>
      </c>
      <c r="N87" t="str">
        <f>VLOOKUP(A87, Data_Set_2!$A:$D,2,FALSE)</f>
        <v>aross1z</v>
      </c>
      <c r="O87" t="str">
        <f>VLOOKUP(A87, Data_Set_2!$A:$D,3,FALSE)</f>
        <v>Tagchat</v>
      </c>
      <c r="P87" t="str">
        <f>VLOOKUP(A87, Data_Set_2!$A:$D,4,FALSE)</f>
        <v>Electrical Engineer</v>
      </c>
      <c r="Q87" t="str">
        <f>_xlfn.CONCAT(Table3[[#This Row],[first_name]], " ",Table3[[#This Row],[last_name]])</f>
        <v>Amanda Ross</v>
      </c>
    </row>
    <row r="88" spans="1:17" hidden="1" x14ac:dyDescent="0.3">
      <c r="A88">
        <v>73</v>
      </c>
      <c r="B88" t="s">
        <v>252</v>
      </c>
      <c r="C88" t="s">
        <v>307</v>
      </c>
      <c r="D88" t="s">
        <v>308</v>
      </c>
      <c r="E88" t="s">
        <v>16</v>
      </c>
      <c r="F88" t="s">
        <v>33</v>
      </c>
      <c r="G88" s="1">
        <v>368</v>
      </c>
      <c r="H88" t="s">
        <v>26</v>
      </c>
      <c r="I88" s="2">
        <v>43218</v>
      </c>
      <c r="J88" t="s">
        <v>68</v>
      </c>
      <c r="K88" t="s">
        <v>309</v>
      </c>
      <c r="L88">
        <v>76598</v>
      </c>
      <c r="M88" t="s">
        <v>21</v>
      </c>
      <c r="N88" t="str">
        <f>VLOOKUP(A88, Data_Set_2!$A:$D,2,FALSE)</f>
        <v>jwilliamson20</v>
      </c>
      <c r="O88" t="str">
        <f>VLOOKUP(A88, Data_Set_2!$A:$D,3,FALSE)</f>
        <v>Fatz</v>
      </c>
      <c r="P88" t="str">
        <f>VLOOKUP(A88, Data_Set_2!$A:$D,4,FALSE)</f>
        <v>Staff Scientist</v>
      </c>
      <c r="Q88" t="str">
        <f>_xlfn.CONCAT(Table3[[#This Row],[first_name]], " ",Table3[[#This Row],[last_name]])</f>
        <v>Joshua Williamson</v>
      </c>
    </row>
    <row r="89" spans="1:17" hidden="1" x14ac:dyDescent="0.3">
      <c r="A89">
        <v>74</v>
      </c>
      <c r="B89" t="s">
        <v>476</v>
      </c>
      <c r="C89" t="s">
        <v>236</v>
      </c>
      <c r="D89" t="s">
        <v>854</v>
      </c>
      <c r="E89" t="s">
        <v>32</v>
      </c>
      <c r="F89" t="s">
        <v>33</v>
      </c>
      <c r="G89" s="1">
        <v>234</v>
      </c>
      <c r="H89" t="s">
        <v>26</v>
      </c>
      <c r="I89" s="2">
        <v>43863</v>
      </c>
      <c r="J89" t="s">
        <v>184</v>
      </c>
      <c r="K89" t="s">
        <v>197</v>
      </c>
      <c r="L89">
        <v>10110</v>
      </c>
      <c r="M89" t="s">
        <v>21</v>
      </c>
      <c r="N89" t="str">
        <f>VLOOKUP(A89, Data_Set_2!$A:$D,2,FALSE)</f>
        <v>gclark21</v>
      </c>
      <c r="O89" t="str">
        <f>VLOOKUP(A89, Data_Set_2!$A:$D,3,FALSE)</f>
        <v>Yotz</v>
      </c>
      <c r="P89" t="str">
        <f>VLOOKUP(A89, Data_Set_2!$A:$D,4,FALSE)</f>
        <v>Design Engineer</v>
      </c>
      <c r="Q89" t="str">
        <f>_xlfn.CONCAT(Table3[[#This Row],[first_name]], " ",Table3[[#This Row],[last_name]])</f>
        <v>Gloria Clark</v>
      </c>
    </row>
    <row r="90" spans="1:17" hidden="1" x14ac:dyDescent="0.3">
      <c r="A90">
        <v>75</v>
      </c>
      <c r="B90" t="s">
        <v>439</v>
      </c>
      <c r="C90" t="s">
        <v>223</v>
      </c>
      <c r="D90" t="s">
        <v>1120</v>
      </c>
      <c r="E90" t="s">
        <v>32</v>
      </c>
      <c r="F90" t="s">
        <v>33</v>
      </c>
      <c r="G90" s="1">
        <v>879</v>
      </c>
      <c r="H90" t="s">
        <v>26</v>
      </c>
      <c r="I90" s="2">
        <v>44532</v>
      </c>
      <c r="J90" t="s">
        <v>291</v>
      </c>
      <c r="K90" t="s">
        <v>1121</v>
      </c>
      <c r="L90">
        <v>21684</v>
      </c>
      <c r="M90" t="s">
        <v>21</v>
      </c>
      <c r="N90" t="str">
        <f>VLOOKUP(A90, Data_Set_2!$A:$D,2,FALSE)</f>
        <v>jgonzales22</v>
      </c>
      <c r="O90" t="str">
        <f>VLOOKUP(A90, Data_Set_2!$A:$D,3,FALSE)</f>
        <v>Skyble</v>
      </c>
      <c r="P90" t="str">
        <f>VLOOKUP(A90, Data_Set_2!$A:$D,4,FALSE)</f>
        <v>Programmer Analyst III</v>
      </c>
      <c r="Q90" t="str">
        <f>_xlfn.CONCAT(Table3[[#This Row],[first_name]], " ",Table3[[#This Row],[last_name]])</f>
        <v>Jean Gonzales</v>
      </c>
    </row>
    <row r="91" spans="1:17" hidden="1" x14ac:dyDescent="0.3">
      <c r="A91">
        <v>76</v>
      </c>
      <c r="B91" t="s">
        <v>43</v>
      </c>
      <c r="C91" t="s">
        <v>44</v>
      </c>
      <c r="D91" t="s">
        <v>45</v>
      </c>
      <c r="E91" t="s">
        <v>16</v>
      </c>
      <c r="F91" t="s">
        <v>17</v>
      </c>
      <c r="G91" s="1">
        <v>353</v>
      </c>
      <c r="H91" t="s">
        <v>26</v>
      </c>
      <c r="I91" s="2">
        <v>43106</v>
      </c>
      <c r="J91" t="s">
        <v>46</v>
      </c>
      <c r="K91" t="s">
        <v>47</v>
      </c>
      <c r="L91">
        <v>6120</v>
      </c>
      <c r="M91" t="s">
        <v>21</v>
      </c>
      <c r="N91" t="str">
        <f>VLOOKUP(A91, Data_Set_2!$A:$D,2,FALSE)</f>
        <v>bhawkins23</v>
      </c>
      <c r="O91" t="str">
        <f>VLOOKUP(A91, Data_Set_2!$A:$D,3,FALSE)</f>
        <v>Oyoyo</v>
      </c>
      <c r="P91" t="str">
        <f>VLOOKUP(A91, Data_Set_2!$A:$D,4,FALSE)</f>
        <v>Information Systems Manager</v>
      </c>
      <c r="Q91" t="str">
        <f>_xlfn.CONCAT(Table3[[#This Row],[first_name]], " ",Table3[[#This Row],[last_name]])</f>
        <v>Brandon Hawkins</v>
      </c>
    </row>
    <row r="92" spans="1:17" hidden="1" x14ac:dyDescent="0.3">
      <c r="A92">
        <v>76</v>
      </c>
      <c r="B92" t="s">
        <v>43</v>
      </c>
      <c r="C92" t="s">
        <v>44</v>
      </c>
      <c r="D92" t="s">
        <v>45</v>
      </c>
      <c r="E92" t="s">
        <v>16</v>
      </c>
      <c r="F92" t="s">
        <v>17</v>
      </c>
      <c r="G92" s="1">
        <v>177</v>
      </c>
      <c r="H92" t="s">
        <v>26</v>
      </c>
      <c r="I92" s="2">
        <v>43120</v>
      </c>
      <c r="J92" t="s">
        <v>46</v>
      </c>
      <c r="K92" t="s">
        <v>47</v>
      </c>
      <c r="L92">
        <v>6120</v>
      </c>
      <c r="M92" t="s">
        <v>21</v>
      </c>
      <c r="N92" t="str">
        <f>VLOOKUP(A92, Data_Set_2!$A:$D,2,FALSE)</f>
        <v>bhawkins23</v>
      </c>
      <c r="O92" t="str">
        <f>VLOOKUP(A92, Data_Set_2!$A:$D,3,FALSE)</f>
        <v>Oyoyo</v>
      </c>
      <c r="P92" t="str">
        <f>VLOOKUP(A92, Data_Set_2!$A:$D,4,FALSE)</f>
        <v>Information Systems Manager</v>
      </c>
      <c r="Q92" t="str">
        <f>_xlfn.CONCAT(Table3[[#This Row],[first_name]], " ",Table3[[#This Row],[last_name]])</f>
        <v>Brandon Hawkins</v>
      </c>
    </row>
    <row r="93" spans="1:17" hidden="1" x14ac:dyDescent="0.3">
      <c r="A93">
        <v>76</v>
      </c>
      <c r="B93" t="s">
        <v>43</v>
      </c>
      <c r="C93" t="s">
        <v>44</v>
      </c>
      <c r="D93" t="s">
        <v>45</v>
      </c>
      <c r="E93" t="s">
        <v>16</v>
      </c>
      <c r="F93" t="s">
        <v>17</v>
      </c>
      <c r="G93" s="1">
        <v>528</v>
      </c>
      <c r="H93" t="s">
        <v>26</v>
      </c>
      <c r="I93" s="2">
        <v>43126</v>
      </c>
      <c r="J93" t="s">
        <v>46</v>
      </c>
      <c r="K93" t="s">
        <v>47</v>
      </c>
      <c r="L93">
        <v>6120</v>
      </c>
      <c r="M93" t="s">
        <v>21</v>
      </c>
      <c r="N93" t="str">
        <f>VLOOKUP(A93, Data_Set_2!$A:$D,2,FALSE)</f>
        <v>bhawkins23</v>
      </c>
      <c r="O93" t="str">
        <f>VLOOKUP(A93, Data_Set_2!$A:$D,3,FALSE)</f>
        <v>Oyoyo</v>
      </c>
      <c r="P93" t="str">
        <f>VLOOKUP(A93, Data_Set_2!$A:$D,4,FALSE)</f>
        <v>Information Systems Manager</v>
      </c>
      <c r="Q93" t="str">
        <f>_xlfn.CONCAT(Table3[[#This Row],[first_name]], " ",Table3[[#This Row],[last_name]])</f>
        <v>Brandon Hawkins</v>
      </c>
    </row>
    <row r="94" spans="1:17" hidden="1" x14ac:dyDescent="0.3">
      <c r="A94">
        <v>76</v>
      </c>
      <c r="B94" t="s">
        <v>43</v>
      </c>
      <c r="C94" t="s">
        <v>44</v>
      </c>
      <c r="D94" t="s">
        <v>45</v>
      </c>
      <c r="E94" t="s">
        <v>16</v>
      </c>
      <c r="F94" t="s">
        <v>17</v>
      </c>
      <c r="G94" s="1">
        <v>364</v>
      </c>
      <c r="H94" t="s">
        <v>26</v>
      </c>
      <c r="I94" s="2">
        <v>43153</v>
      </c>
      <c r="J94" t="s">
        <v>46</v>
      </c>
      <c r="K94" t="s">
        <v>47</v>
      </c>
      <c r="L94">
        <v>6120</v>
      </c>
      <c r="M94" t="s">
        <v>21</v>
      </c>
      <c r="N94" t="str">
        <f>VLOOKUP(A94, Data_Set_2!$A:$D,2,FALSE)</f>
        <v>bhawkins23</v>
      </c>
      <c r="O94" t="str">
        <f>VLOOKUP(A94, Data_Set_2!$A:$D,3,FALSE)</f>
        <v>Oyoyo</v>
      </c>
      <c r="P94" t="str">
        <f>VLOOKUP(A94, Data_Set_2!$A:$D,4,FALSE)</f>
        <v>Information Systems Manager</v>
      </c>
      <c r="Q94" t="str">
        <f>_xlfn.CONCAT(Table3[[#This Row],[first_name]], " ",Table3[[#This Row],[last_name]])</f>
        <v>Brandon Hawkins</v>
      </c>
    </row>
    <row r="95" spans="1:17" hidden="1" x14ac:dyDescent="0.3">
      <c r="A95">
        <v>76</v>
      </c>
      <c r="B95" t="s">
        <v>43</v>
      </c>
      <c r="C95" t="s">
        <v>44</v>
      </c>
      <c r="D95" t="s">
        <v>45</v>
      </c>
      <c r="E95" t="s">
        <v>16</v>
      </c>
      <c r="F95" t="s">
        <v>17</v>
      </c>
      <c r="G95" s="1">
        <v>611</v>
      </c>
      <c r="H95" t="s">
        <v>26</v>
      </c>
      <c r="I95" s="2">
        <v>43449</v>
      </c>
      <c r="J95" t="s">
        <v>46</v>
      </c>
      <c r="K95" t="s">
        <v>47</v>
      </c>
      <c r="L95">
        <v>6120</v>
      </c>
      <c r="M95" t="s">
        <v>21</v>
      </c>
      <c r="N95" t="str">
        <f>VLOOKUP(A95, Data_Set_2!$A:$D,2,FALSE)</f>
        <v>bhawkins23</v>
      </c>
      <c r="O95" t="str">
        <f>VLOOKUP(A95, Data_Set_2!$A:$D,3,FALSE)</f>
        <v>Oyoyo</v>
      </c>
      <c r="P95" t="str">
        <f>VLOOKUP(A95, Data_Set_2!$A:$D,4,FALSE)</f>
        <v>Information Systems Manager</v>
      </c>
      <c r="Q95" t="str">
        <f>_xlfn.CONCAT(Table3[[#This Row],[first_name]], " ",Table3[[#This Row],[last_name]])</f>
        <v>Brandon Hawkins</v>
      </c>
    </row>
    <row r="96" spans="1:17" hidden="1" x14ac:dyDescent="0.3">
      <c r="A96">
        <v>76</v>
      </c>
      <c r="B96" t="s">
        <v>43</v>
      </c>
      <c r="C96" t="s">
        <v>44</v>
      </c>
      <c r="D96" t="s">
        <v>45</v>
      </c>
      <c r="E96" t="s">
        <v>16</v>
      </c>
      <c r="F96" t="s">
        <v>17</v>
      </c>
      <c r="G96" s="1">
        <v>825</v>
      </c>
      <c r="H96" t="s">
        <v>26</v>
      </c>
      <c r="I96" s="2">
        <v>43452</v>
      </c>
      <c r="J96" t="s">
        <v>46</v>
      </c>
      <c r="K96" t="s">
        <v>47</v>
      </c>
      <c r="L96">
        <v>6120</v>
      </c>
      <c r="M96" t="s">
        <v>21</v>
      </c>
      <c r="N96" t="str">
        <f>VLOOKUP(A96, Data_Set_2!$A:$D,2,FALSE)</f>
        <v>bhawkins23</v>
      </c>
      <c r="O96" t="str">
        <f>VLOOKUP(A96, Data_Set_2!$A:$D,3,FALSE)</f>
        <v>Oyoyo</v>
      </c>
      <c r="P96" t="str">
        <f>VLOOKUP(A96, Data_Set_2!$A:$D,4,FALSE)</f>
        <v>Information Systems Manager</v>
      </c>
      <c r="Q96" t="str">
        <f>_xlfn.CONCAT(Table3[[#This Row],[first_name]], " ",Table3[[#This Row],[last_name]])</f>
        <v>Brandon Hawkins</v>
      </c>
    </row>
    <row r="97" spans="1:17" hidden="1" x14ac:dyDescent="0.3">
      <c r="A97">
        <v>76</v>
      </c>
      <c r="B97" t="s">
        <v>43</v>
      </c>
      <c r="C97" t="s">
        <v>44</v>
      </c>
      <c r="D97" t="s">
        <v>45</v>
      </c>
      <c r="E97" t="s">
        <v>16</v>
      </c>
      <c r="F97" t="s">
        <v>17</v>
      </c>
      <c r="G97" s="1">
        <v>543</v>
      </c>
      <c r="H97" t="s">
        <v>26</v>
      </c>
      <c r="I97" s="2">
        <v>43467</v>
      </c>
      <c r="J97" t="s">
        <v>46</v>
      </c>
      <c r="K97" t="s">
        <v>47</v>
      </c>
      <c r="L97">
        <v>6120</v>
      </c>
      <c r="M97" t="s">
        <v>21</v>
      </c>
      <c r="N97" t="str">
        <f>VLOOKUP(A97, Data_Set_2!$A:$D,2,FALSE)</f>
        <v>bhawkins23</v>
      </c>
      <c r="O97" t="str">
        <f>VLOOKUP(A97, Data_Set_2!$A:$D,3,FALSE)</f>
        <v>Oyoyo</v>
      </c>
      <c r="P97" t="str">
        <f>VLOOKUP(A97, Data_Set_2!$A:$D,4,FALSE)</f>
        <v>Information Systems Manager</v>
      </c>
      <c r="Q97" t="str">
        <f>_xlfn.CONCAT(Table3[[#This Row],[first_name]], " ",Table3[[#This Row],[last_name]])</f>
        <v>Brandon Hawkins</v>
      </c>
    </row>
    <row r="98" spans="1:17" hidden="1" x14ac:dyDescent="0.3">
      <c r="A98">
        <v>76</v>
      </c>
      <c r="B98" t="s">
        <v>43</v>
      </c>
      <c r="C98" t="s">
        <v>44</v>
      </c>
      <c r="D98" t="s">
        <v>45</v>
      </c>
      <c r="E98" t="s">
        <v>16</v>
      </c>
      <c r="F98" t="s">
        <v>17</v>
      </c>
      <c r="G98" s="1">
        <v>279</v>
      </c>
      <c r="H98" t="s">
        <v>26</v>
      </c>
      <c r="I98" s="2">
        <v>43558</v>
      </c>
      <c r="J98" t="s">
        <v>46</v>
      </c>
      <c r="K98" t="s">
        <v>47</v>
      </c>
      <c r="L98">
        <v>6120</v>
      </c>
      <c r="M98" t="s">
        <v>21</v>
      </c>
      <c r="N98" t="str">
        <f>VLOOKUP(A98, Data_Set_2!$A:$D,2,FALSE)</f>
        <v>bhawkins23</v>
      </c>
      <c r="O98" t="str">
        <f>VLOOKUP(A98, Data_Set_2!$A:$D,3,FALSE)</f>
        <v>Oyoyo</v>
      </c>
      <c r="P98" t="str">
        <f>VLOOKUP(A98, Data_Set_2!$A:$D,4,FALSE)</f>
        <v>Information Systems Manager</v>
      </c>
      <c r="Q98" t="str">
        <f>_xlfn.CONCAT(Table3[[#This Row],[first_name]], " ",Table3[[#This Row],[last_name]])</f>
        <v>Brandon Hawkins</v>
      </c>
    </row>
    <row r="99" spans="1:17" hidden="1" x14ac:dyDescent="0.3">
      <c r="A99">
        <v>76</v>
      </c>
      <c r="B99" t="s">
        <v>43</v>
      </c>
      <c r="C99" t="s">
        <v>44</v>
      </c>
      <c r="D99" t="s">
        <v>45</v>
      </c>
      <c r="E99" t="s">
        <v>16</v>
      </c>
      <c r="F99" t="s">
        <v>17</v>
      </c>
      <c r="G99" s="1">
        <v>852</v>
      </c>
      <c r="H99" t="s">
        <v>26</v>
      </c>
      <c r="I99" s="2">
        <v>43660</v>
      </c>
      <c r="J99" t="s">
        <v>46</v>
      </c>
      <c r="K99" t="s">
        <v>47</v>
      </c>
      <c r="L99">
        <v>6120</v>
      </c>
      <c r="M99" t="s">
        <v>21</v>
      </c>
      <c r="N99" t="str">
        <f>VLOOKUP(A99, Data_Set_2!$A:$D,2,FALSE)</f>
        <v>bhawkins23</v>
      </c>
      <c r="O99" t="str">
        <f>VLOOKUP(A99, Data_Set_2!$A:$D,3,FALSE)</f>
        <v>Oyoyo</v>
      </c>
      <c r="P99" t="str">
        <f>VLOOKUP(A99, Data_Set_2!$A:$D,4,FALSE)</f>
        <v>Information Systems Manager</v>
      </c>
      <c r="Q99" t="str">
        <f>_xlfn.CONCAT(Table3[[#This Row],[first_name]], " ",Table3[[#This Row],[last_name]])</f>
        <v>Brandon Hawkins</v>
      </c>
    </row>
    <row r="100" spans="1:17" hidden="1" x14ac:dyDescent="0.3">
      <c r="A100">
        <v>76</v>
      </c>
      <c r="B100" t="s">
        <v>43</v>
      </c>
      <c r="C100" t="s">
        <v>44</v>
      </c>
      <c r="D100" t="s">
        <v>45</v>
      </c>
      <c r="E100" t="s">
        <v>16</v>
      </c>
      <c r="F100" t="s">
        <v>17</v>
      </c>
      <c r="G100" s="1">
        <v>734</v>
      </c>
      <c r="H100" t="s">
        <v>26</v>
      </c>
      <c r="I100" s="2">
        <v>43695</v>
      </c>
      <c r="J100" t="s">
        <v>46</v>
      </c>
      <c r="K100" t="s">
        <v>47</v>
      </c>
      <c r="L100">
        <v>6120</v>
      </c>
      <c r="M100" t="s">
        <v>21</v>
      </c>
      <c r="N100" t="str">
        <f>VLOOKUP(A100, Data_Set_2!$A:$D,2,FALSE)</f>
        <v>bhawkins23</v>
      </c>
      <c r="O100" t="str">
        <f>VLOOKUP(A100, Data_Set_2!$A:$D,3,FALSE)</f>
        <v>Oyoyo</v>
      </c>
      <c r="P100" t="str">
        <f>VLOOKUP(A100, Data_Set_2!$A:$D,4,FALSE)</f>
        <v>Information Systems Manager</v>
      </c>
      <c r="Q100" t="str">
        <f>_xlfn.CONCAT(Table3[[#This Row],[first_name]], " ",Table3[[#This Row],[last_name]])</f>
        <v>Brandon Hawkins</v>
      </c>
    </row>
    <row r="101" spans="1:17" hidden="1" x14ac:dyDescent="0.3">
      <c r="A101">
        <v>76</v>
      </c>
      <c r="B101" t="s">
        <v>43</v>
      </c>
      <c r="C101" t="s">
        <v>44</v>
      </c>
      <c r="D101" t="s">
        <v>45</v>
      </c>
      <c r="E101" t="s">
        <v>16</v>
      </c>
      <c r="F101" t="s">
        <v>17</v>
      </c>
      <c r="G101" s="1">
        <v>265</v>
      </c>
      <c r="H101" t="s">
        <v>26</v>
      </c>
      <c r="I101" s="2">
        <v>43768</v>
      </c>
      <c r="J101" t="s">
        <v>46</v>
      </c>
      <c r="K101" t="s">
        <v>47</v>
      </c>
      <c r="L101">
        <v>6120</v>
      </c>
      <c r="M101" t="s">
        <v>21</v>
      </c>
      <c r="N101" t="str">
        <f>VLOOKUP(A101, Data_Set_2!$A:$D,2,FALSE)</f>
        <v>bhawkins23</v>
      </c>
      <c r="O101" t="str">
        <f>VLOOKUP(A101, Data_Set_2!$A:$D,3,FALSE)</f>
        <v>Oyoyo</v>
      </c>
      <c r="P101" t="str">
        <f>VLOOKUP(A101, Data_Set_2!$A:$D,4,FALSE)</f>
        <v>Information Systems Manager</v>
      </c>
      <c r="Q101" t="str">
        <f>_xlfn.CONCAT(Table3[[#This Row],[first_name]], " ",Table3[[#This Row],[last_name]])</f>
        <v>Brandon Hawkins</v>
      </c>
    </row>
    <row r="102" spans="1:17" hidden="1" x14ac:dyDescent="0.3">
      <c r="A102">
        <v>76</v>
      </c>
      <c r="B102" t="s">
        <v>43</v>
      </c>
      <c r="C102" t="s">
        <v>44</v>
      </c>
      <c r="D102" t="s">
        <v>45</v>
      </c>
      <c r="E102" t="s">
        <v>16</v>
      </c>
      <c r="F102" t="s">
        <v>17</v>
      </c>
      <c r="G102" s="1">
        <v>458</v>
      </c>
      <c r="H102" t="s">
        <v>26</v>
      </c>
      <c r="I102" s="2">
        <v>43786</v>
      </c>
      <c r="J102" t="s">
        <v>46</v>
      </c>
      <c r="K102" t="s">
        <v>47</v>
      </c>
      <c r="L102">
        <v>6120</v>
      </c>
      <c r="M102" t="s">
        <v>21</v>
      </c>
      <c r="N102" t="str">
        <f>VLOOKUP(A102, Data_Set_2!$A:$D,2,FALSE)</f>
        <v>bhawkins23</v>
      </c>
      <c r="O102" t="str">
        <f>VLOOKUP(A102, Data_Set_2!$A:$D,3,FALSE)</f>
        <v>Oyoyo</v>
      </c>
      <c r="P102" t="str">
        <f>VLOOKUP(A102, Data_Set_2!$A:$D,4,FALSE)</f>
        <v>Information Systems Manager</v>
      </c>
      <c r="Q102" t="str">
        <f>_xlfn.CONCAT(Table3[[#This Row],[first_name]], " ",Table3[[#This Row],[last_name]])</f>
        <v>Brandon Hawkins</v>
      </c>
    </row>
    <row r="103" spans="1:17" hidden="1" x14ac:dyDescent="0.3">
      <c r="A103">
        <v>76</v>
      </c>
      <c r="B103" t="s">
        <v>43</v>
      </c>
      <c r="C103" t="s">
        <v>44</v>
      </c>
      <c r="D103" t="s">
        <v>45</v>
      </c>
      <c r="E103" t="s">
        <v>16</v>
      </c>
      <c r="F103" t="s">
        <v>17</v>
      </c>
      <c r="G103" s="1">
        <v>597</v>
      </c>
      <c r="H103" t="s">
        <v>26</v>
      </c>
      <c r="I103" s="2">
        <v>43876</v>
      </c>
      <c r="J103" t="s">
        <v>46</v>
      </c>
      <c r="K103" t="s">
        <v>47</v>
      </c>
      <c r="L103">
        <v>6120</v>
      </c>
      <c r="M103" t="s">
        <v>21</v>
      </c>
      <c r="N103" t="str">
        <f>VLOOKUP(A103, Data_Set_2!$A:$D,2,FALSE)</f>
        <v>bhawkins23</v>
      </c>
      <c r="O103" t="str">
        <f>VLOOKUP(A103, Data_Set_2!$A:$D,3,FALSE)</f>
        <v>Oyoyo</v>
      </c>
      <c r="P103" t="str">
        <f>VLOOKUP(A103, Data_Set_2!$A:$D,4,FALSE)</f>
        <v>Information Systems Manager</v>
      </c>
      <c r="Q103" t="str">
        <f>_xlfn.CONCAT(Table3[[#This Row],[first_name]], " ",Table3[[#This Row],[last_name]])</f>
        <v>Brandon Hawkins</v>
      </c>
    </row>
    <row r="104" spans="1:17" hidden="1" x14ac:dyDescent="0.3">
      <c r="A104">
        <v>76</v>
      </c>
      <c r="B104" t="s">
        <v>43</v>
      </c>
      <c r="C104" t="s">
        <v>44</v>
      </c>
      <c r="D104" t="s">
        <v>45</v>
      </c>
      <c r="E104" t="s">
        <v>16</v>
      </c>
      <c r="F104" t="s">
        <v>17</v>
      </c>
      <c r="G104" s="1">
        <v>824</v>
      </c>
      <c r="H104" t="s">
        <v>26</v>
      </c>
      <c r="I104" s="2">
        <v>43892</v>
      </c>
      <c r="J104" t="s">
        <v>46</v>
      </c>
      <c r="K104" t="s">
        <v>47</v>
      </c>
      <c r="L104">
        <v>6120</v>
      </c>
      <c r="M104" t="s">
        <v>21</v>
      </c>
      <c r="N104" t="str">
        <f>VLOOKUP(A104, Data_Set_2!$A:$D,2,FALSE)</f>
        <v>bhawkins23</v>
      </c>
      <c r="O104" t="str">
        <f>VLOOKUP(A104, Data_Set_2!$A:$D,3,FALSE)</f>
        <v>Oyoyo</v>
      </c>
      <c r="P104" t="str">
        <f>VLOOKUP(A104, Data_Set_2!$A:$D,4,FALSE)</f>
        <v>Information Systems Manager</v>
      </c>
      <c r="Q104" t="str">
        <f>_xlfn.CONCAT(Table3[[#This Row],[first_name]], " ",Table3[[#This Row],[last_name]])</f>
        <v>Brandon Hawkins</v>
      </c>
    </row>
    <row r="105" spans="1:17" hidden="1" x14ac:dyDescent="0.3">
      <c r="A105">
        <v>76</v>
      </c>
      <c r="B105" t="s">
        <v>43</v>
      </c>
      <c r="C105" t="s">
        <v>44</v>
      </c>
      <c r="D105" t="s">
        <v>45</v>
      </c>
      <c r="E105" t="s">
        <v>16</v>
      </c>
      <c r="F105" t="s">
        <v>17</v>
      </c>
      <c r="G105" s="1">
        <v>666</v>
      </c>
      <c r="H105" t="s">
        <v>26</v>
      </c>
      <c r="I105" s="2">
        <v>43892</v>
      </c>
      <c r="J105" t="s">
        <v>46</v>
      </c>
      <c r="K105" t="s">
        <v>47</v>
      </c>
      <c r="L105">
        <v>6120</v>
      </c>
      <c r="M105" t="s">
        <v>21</v>
      </c>
      <c r="N105" t="str">
        <f>VLOOKUP(A105, Data_Set_2!$A:$D,2,FALSE)</f>
        <v>bhawkins23</v>
      </c>
      <c r="O105" t="str">
        <f>VLOOKUP(A105, Data_Set_2!$A:$D,3,FALSE)</f>
        <v>Oyoyo</v>
      </c>
      <c r="P105" t="str">
        <f>VLOOKUP(A105, Data_Set_2!$A:$D,4,FALSE)</f>
        <v>Information Systems Manager</v>
      </c>
      <c r="Q105" t="str">
        <f>_xlfn.CONCAT(Table3[[#This Row],[first_name]], " ",Table3[[#This Row],[last_name]])</f>
        <v>Brandon Hawkins</v>
      </c>
    </row>
    <row r="106" spans="1:17" hidden="1" x14ac:dyDescent="0.3">
      <c r="A106">
        <v>76</v>
      </c>
      <c r="B106" t="s">
        <v>43</v>
      </c>
      <c r="C106" t="s">
        <v>44</v>
      </c>
      <c r="D106" t="s">
        <v>45</v>
      </c>
      <c r="E106" t="s">
        <v>16</v>
      </c>
      <c r="F106" t="s">
        <v>17</v>
      </c>
      <c r="G106" s="1">
        <v>586</v>
      </c>
      <c r="H106" t="s">
        <v>26</v>
      </c>
      <c r="I106" s="2">
        <v>43954</v>
      </c>
      <c r="J106" t="s">
        <v>46</v>
      </c>
      <c r="K106" t="s">
        <v>47</v>
      </c>
      <c r="L106">
        <v>6120</v>
      </c>
      <c r="M106" t="s">
        <v>21</v>
      </c>
      <c r="N106" t="str">
        <f>VLOOKUP(A106, Data_Set_2!$A:$D,2,FALSE)</f>
        <v>bhawkins23</v>
      </c>
      <c r="O106" t="str">
        <f>VLOOKUP(A106, Data_Set_2!$A:$D,3,FALSE)</f>
        <v>Oyoyo</v>
      </c>
      <c r="P106" t="str">
        <f>VLOOKUP(A106, Data_Set_2!$A:$D,4,FALSE)</f>
        <v>Information Systems Manager</v>
      </c>
      <c r="Q106" t="str">
        <f>_xlfn.CONCAT(Table3[[#This Row],[first_name]], " ",Table3[[#This Row],[last_name]])</f>
        <v>Brandon Hawkins</v>
      </c>
    </row>
    <row r="107" spans="1:17" hidden="1" x14ac:dyDescent="0.3">
      <c r="A107">
        <v>76</v>
      </c>
      <c r="B107" t="s">
        <v>43</v>
      </c>
      <c r="C107" t="s">
        <v>44</v>
      </c>
      <c r="D107" t="s">
        <v>45</v>
      </c>
      <c r="E107" t="s">
        <v>16</v>
      </c>
      <c r="F107" t="s">
        <v>17</v>
      </c>
      <c r="G107" s="1">
        <v>457</v>
      </c>
      <c r="H107" t="s">
        <v>26</v>
      </c>
      <c r="I107" s="2">
        <v>43965</v>
      </c>
      <c r="J107" t="s">
        <v>46</v>
      </c>
      <c r="K107" t="s">
        <v>47</v>
      </c>
      <c r="L107">
        <v>6120</v>
      </c>
      <c r="M107" t="s">
        <v>21</v>
      </c>
      <c r="N107" t="str">
        <f>VLOOKUP(A107, Data_Set_2!$A:$D,2,FALSE)</f>
        <v>bhawkins23</v>
      </c>
      <c r="O107" t="str">
        <f>VLOOKUP(A107, Data_Set_2!$A:$D,3,FALSE)</f>
        <v>Oyoyo</v>
      </c>
      <c r="P107" t="str">
        <f>VLOOKUP(A107, Data_Set_2!$A:$D,4,FALSE)</f>
        <v>Information Systems Manager</v>
      </c>
      <c r="Q107" t="str">
        <f>_xlfn.CONCAT(Table3[[#This Row],[first_name]], " ",Table3[[#This Row],[last_name]])</f>
        <v>Brandon Hawkins</v>
      </c>
    </row>
    <row r="108" spans="1:17" hidden="1" x14ac:dyDescent="0.3">
      <c r="A108">
        <v>76</v>
      </c>
      <c r="B108" t="s">
        <v>43</v>
      </c>
      <c r="C108" t="s">
        <v>44</v>
      </c>
      <c r="D108" t="s">
        <v>45</v>
      </c>
      <c r="E108" t="s">
        <v>16</v>
      </c>
      <c r="F108" t="s">
        <v>17</v>
      </c>
      <c r="G108" s="1">
        <v>819</v>
      </c>
      <c r="H108" t="s">
        <v>26</v>
      </c>
      <c r="I108" s="2">
        <v>44024</v>
      </c>
      <c r="J108" t="s">
        <v>46</v>
      </c>
      <c r="K108" t="s">
        <v>47</v>
      </c>
      <c r="L108">
        <v>6120</v>
      </c>
      <c r="M108" t="s">
        <v>21</v>
      </c>
      <c r="N108" t="str">
        <f>VLOOKUP(A108, Data_Set_2!$A:$D,2,FALSE)</f>
        <v>bhawkins23</v>
      </c>
      <c r="O108" t="str">
        <f>VLOOKUP(A108, Data_Set_2!$A:$D,3,FALSE)</f>
        <v>Oyoyo</v>
      </c>
      <c r="P108" t="str">
        <f>VLOOKUP(A108, Data_Set_2!$A:$D,4,FALSE)</f>
        <v>Information Systems Manager</v>
      </c>
      <c r="Q108" t="str">
        <f>_xlfn.CONCAT(Table3[[#This Row],[first_name]], " ",Table3[[#This Row],[last_name]])</f>
        <v>Brandon Hawkins</v>
      </c>
    </row>
    <row r="109" spans="1:17" hidden="1" x14ac:dyDescent="0.3">
      <c r="A109">
        <v>76</v>
      </c>
      <c r="B109" t="s">
        <v>43</v>
      </c>
      <c r="C109" t="s">
        <v>44</v>
      </c>
      <c r="D109" t="s">
        <v>45</v>
      </c>
      <c r="E109" t="s">
        <v>16</v>
      </c>
      <c r="F109" t="s">
        <v>17</v>
      </c>
      <c r="G109" s="1">
        <v>27</v>
      </c>
      <c r="H109" t="s">
        <v>26</v>
      </c>
      <c r="I109" s="2">
        <v>44024</v>
      </c>
      <c r="J109" t="s">
        <v>46</v>
      </c>
      <c r="K109" t="s">
        <v>47</v>
      </c>
      <c r="L109">
        <v>6120</v>
      </c>
      <c r="M109" t="s">
        <v>21</v>
      </c>
      <c r="N109" t="str">
        <f>VLOOKUP(A109, Data_Set_2!$A:$D,2,FALSE)</f>
        <v>bhawkins23</v>
      </c>
      <c r="O109" t="str">
        <f>VLOOKUP(A109, Data_Set_2!$A:$D,3,FALSE)</f>
        <v>Oyoyo</v>
      </c>
      <c r="P109" t="str">
        <f>VLOOKUP(A109, Data_Set_2!$A:$D,4,FALSE)</f>
        <v>Information Systems Manager</v>
      </c>
      <c r="Q109" t="str">
        <f>_xlfn.CONCAT(Table3[[#This Row],[first_name]], " ",Table3[[#This Row],[last_name]])</f>
        <v>Brandon Hawkins</v>
      </c>
    </row>
    <row r="110" spans="1:17" hidden="1" x14ac:dyDescent="0.3">
      <c r="A110">
        <v>76</v>
      </c>
      <c r="B110" t="s">
        <v>43</v>
      </c>
      <c r="C110" t="s">
        <v>44</v>
      </c>
      <c r="D110" t="s">
        <v>45</v>
      </c>
      <c r="E110" t="s">
        <v>16</v>
      </c>
      <c r="F110" t="s">
        <v>17</v>
      </c>
      <c r="G110" s="1">
        <v>174</v>
      </c>
      <c r="H110" t="s">
        <v>26</v>
      </c>
      <c r="I110" s="2">
        <v>44079</v>
      </c>
      <c r="J110" t="s">
        <v>46</v>
      </c>
      <c r="K110" t="s">
        <v>47</v>
      </c>
      <c r="L110">
        <v>6120</v>
      </c>
      <c r="M110" t="s">
        <v>21</v>
      </c>
      <c r="N110" t="str">
        <f>VLOOKUP(A110, Data_Set_2!$A:$D,2,FALSE)</f>
        <v>bhawkins23</v>
      </c>
      <c r="O110" t="str">
        <f>VLOOKUP(A110, Data_Set_2!$A:$D,3,FALSE)</f>
        <v>Oyoyo</v>
      </c>
      <c r="P110" t="str">
        <f>VLOOKUP(A110, Data_Set_2!$A:$D,4,FALSE)</f>
        <v>Information Systems Manager</v>
      </c>
      <c r="Q110" t="str">
        <f>_xlfn.CONCAT(Table3[[#This Row],[first_name]], " ",Table3[[#This Row],[last_name]])</f>
        <v>Brandon Hawkins</v>
      </c>
    </row>
    <row r="111" spans="1:17" hidden="1" x14ac:dyDescent="0.3">
      <c r="A111">
        <v>76</v>
      </c>
      <c r="B111" t="s">
        <v>43</v>
      </c>
      <c r="C111" t="s">
        <v>44</v>
      </c>
      <c r="D111" t="s">
        <v>45</v>
      </c>
      <c r="E111" t="s">
        <v>16</v>
      </c>
      <c r="F111" t="s">
        <v>17</v>
      </c>
      <c r="G111" s="1">
        <v>991</v>
      </c>
      <c r="H111" t="s">
        <v>26</v>
      </c>
      <c r="I111" s="2">
        <v>44098</v>
      </c>
      <c r="J111" t="s">
        <v>46</v>
      </c>
      <c r="K111" t="s">
        <v>47</v>
      </c>
      <c r="L111">
        <v>6120</v>
      </c>
      <c r="M111" t="s">
        <v>21</v>
      </c>
      <c r="N111" t="str">
        <f>VLOOKUP(A111, Data_Set_2!$A:$D,2,FALSE)</f>
        <v>bhawkins23</v>
      </c>
      <c r="O111" t="str">
        <f>VLOOKUP(A111, Data_Set_2!$A:$D,3,FALSE)</f>
        <v>Oyoyo</v>
      </c>
      <c r="P111" t="str">
        <f>VLOOKUP(A111, Data_Set_2!$A:$D,4,FALSE)</f>
        <v>Information Systems Manager</v>
      </c>
      <c r="Q111" t="str">
        <f>_xlfn.CONCAT(Table3[[#This Row],[first_name]], " ",Table3[[#This Row],[last_name]])</f>
        <v>Brandon Hawkins</v>
      </c>
    </row>
    <row r="112" spans="1:17" hidden="1" x14ac:dyDescent="0.3">
      <c r="A112">
        <v>76</v>
      </c>
      <c r="B112" t="s">
        <v>43</v>
      </c>
      <c r="C112" t="s">
        <v>44</v>
      </c>
      <c r="D112" t="s">
        <v>45</v>
      </c>
      <c r="E112" t="s">
        <v>16</v>
      </c>
      <c r="F112" t="s">
        <v>17</v>
      </c>
      <c r="G112" s="1">
        <v>435</v>
      </c>
      <c r="H112" t="s">
        <v>26</v>
      </c>
      <c r="I112" s="2">
        <v>44145</v>
      </c>
      <c r="J112" t="s">
        <v>46</v>
      </c>
      <c r="K112" t="s">
        <v>47</v>
      </c>
      <c r="L112">
        <v>6120</v>
      </c>
      <c r="M112" t="s">
        <v>21</v>
      </c>
      <c r="N112" t="str">
        <f>VLOOKUP(A112, Data_Set_2!$A:$D,2,FALSE)</f>
        <v>bhawkins23</v>
      </c>
      <c r="O112" t="str">
        <f>VLOOKUP(A112, Data_Set_2!$A:$D,3,FALSE)</f>
        <v>Oyoyo</v>
      </c>
      <c r="P112" t="str">
        <f>VLOOKUP(A112, Data_Set_2!$A:$D,4,FALSE)</f>
        <v>Information Systems Manager</v>
      </c>
      <c r="Q112" t="str">
        <f>_xlfn.CONCAT(Table3[[#This Row],[first_name]], " ",Table3[[#This Row],[last_name]])</f>
        <v>Brandon Hawkins</v>
      </c>
    </row>
    <row r="113" spans="1:17" hidden="1" x14ac:dyDescent="0.3">
      <c r="A113">
        <v>76</v>
      </c>
      <c r="B113" t="s">
        <v>43</v>
      </c>
      <c r="C113" t="s">
        <v>44</v>
      </c>
      <c r="D113" t="s">
        <v>45</v>
      </c>
      <c r="E113" t="s">
        <v>16</v>
      </c>
      <c r="F113" t="s">
        <v>17</v>
      </c>
      <c r="G113" s="1">
        <v>258</v>
      </c>
      <c r="H113" t="s">
        <v>26</v>
      </c>
      <c r="I113" s="2">
        <v>44254</v>
      </c>
      <c r="J113" t="s">
        <v>46</v>
      </c>
      <c r="K113" t="s">
        <v>47</v>
      </c>
      <c r="L113">
        <v>6120</v>
      </c>
      <c r="M113" t="s">
        <v>21</v>
      </c>
      <c r="N113" t="str">
        <f>VLOOKUP(A113, Data_Set_2!$A:$D,2,FALSE)</f>
        <v>bhawkins23</v>
      </c>
      <c r="O113" t="str">
        <f>VLOOKUP(A113, Data_Set_2!$A:$D,3,FALSE)</f>
        <v>Oyoyo</v>
      </c>
      <c r="P113" t="str">
        <f>VLOOKUP(A113, Data_Set_2!$A:$D,4,FALSE)</f>
        <v>Information Systems Manager</v>
      </c>
      <c r="Q113" t="str">
        <f>_xlfn.CONCAT(Table3[[#This Row],[first_name]], " ",Table3[[#This Row],[last_name]])</f>
        <v>Brandon Hawkins</v>
      </c>
    </row>
    <row r="114" spans="1:17" hidden="1" x14ac:dyDescent="0.3">
      <c r="A114">
        <v>76</v>
      </c>
      <c r="B114" t="s">
        <v>43</v>
      </c>
      <c r="C114" t="s">
        <v>44</v>
      </c>
      <c r="D114" t="s">
        <v>45</v>
      </c>
      <c r="E114" t="s">
        <v>16</v>
      </c>
      <c r="F114" t="s">
        <v>17</v>
      </c>
      <c r="G114" s="1">
        <v>255</v>
      </c>
      <c r="H114" t="s">
        <v>26</v>
      </c>
      <c r="I114" s="2">
        <v>44423</v>
      </c>
      <c r="J114" t="s">
        <v>46</v>
      </c>
      <c r="K114" t="s">
        <v>47</v>
      </c>
      <c r="L114">
        <v>6120</v>
      </c>
      <c r="M114" t="s">
        <v>21</v>
      </c>
      <c r="N114" t="str">
        <f>VLOOKUP(A114, Data_Set_2!$A:$D,2,FALSE)</f>
        <v>bhawkins23</v>
      </c>
      <c r="O114" t="str">
        <f>VLOOKUP(A114, Data_Set_2!$A:$D,3,FALSE)</f>
        <v>Oyoyo</v>
      </c>
      <c r="P114" t="str">
        <f>VLOOKUP(A114, Data_Set_2!$A:$D,4,FALSE)</f>
        <v>Information Systems Manager</v>
      </c>
      <c r="Q114" t="str">
        <f>_xlfn.CONCAT(Table3[[#This Row],[first_name]], " ",Table3[[#This Row],[last_name]])</f>
        <v>Brandon Hawkins</v>
      </c>
    </row>
    <row r="115" spans="1:17" hidden="1" x14ac:dyDescent="0.3">
      <c r="A115">
        <v>76</v>
      </c>
      <c r="B115" t="s">
        <v>43</v>
      </c>
      <c r="C115" t="s">
        <v>44</v>
      </c>
      <c r="D115" t="s">
        <v>45</v>
      </c>
      <c r="E115" t="s">
        <v>16</v>
      </c>
      <c r="F115" t="s">
        <v>17</v>
      </c>
      <c r="G115" s="1">
        <v>255</v>
      </c>
      <c r="H115" t="s">
        <v>26</v>
      </c>
      <c r="I115" s="2">
        <v>44541</v>
      </c>
      <c r="J115" t="s">
        <v>46</v>
      </c>
      <c r="K115" t="s">
        <v>47</v>
      </c>
      <c r="L115">
        <v>6120</v>
      </c>
      <c r="M115" t="s">
        <v>21</v>
      </c>
      <c r="N115" t="str">
        <f>VLOOKUP(A115, Data_Set_2!$A:$D,2,FALSE)</f>
        <v>bhawkins23</v>
      </c>
      <c r="O115" t="str">
        <f>VLOOKUP(A115, Data_Set_2!$A:$D,3,FALSE)</f>
        <v>Oyoyo</v>
      </c>
      <c r="P115" t="str">
        <f>VLOOKUP(A115, Data_Set_2!$A:$D,4,FALSE)</f>
        <v>Information Systems Manager</v>
      </c>
      <c r="Q115" t="str">
        <f>_xlfn.CONCAT(Table3[[#This Row],[first_name]], " ",Table3[[#This Row],[last_name]])</f>
        <v>Brandon Hawkins</v>
      </c>
    </row>
    <row r="116" spans="1:17" hidden="1" x14ac:dyDescent="0.3">
      <c r="A116">
        <v>76</v>
      </c>
      <c r="B116" t="s">
        <v>43</v>
      </c>
      <c r="C116" t="s">
        <v>44</v>
      </c>
      <c r="D116" t="s">
        <v>45</v>
      </c>
      <c r="E116" t="s">
        <v>16</v>
      </c>
      <c r="F116" t="s">
        <v>17</v>
      </c>
      <c r="G116" s="1">
        <v>126</v>
      </c>
      <c r="H116" t="s">
        <v>26</v>
      </c>
      <c r="I116" s="2">
        <v>44590</v>
      </c>
      <c r="J116" t="s">
        <v>46</v>
      </c>
      <c r="K116" t="s">
        <v>47</v>
      </c>
      <c r="L116">
        <v>6120</v>
      </c>
      <c r="M116" t="s">
        <v>21</v>
      </c>
      <c r="N116" t="str">
        <f>VLOOKUP(A116, Data_Set_2!$A:$D,2,FALSE)</f>
        <v>bhawkins23</v>
      </c>
      <c r="O116" t="str">
        <f>VLOOKUP(A116, Data_Set_2!$A:$D,3,FALSE)</f>
        <v>Oyoyo</v>
      </c>
      <c r="P116" t="str">
        <f>VLOOKUP(A116, Data_Set_2!$A:$D,4,FALSE)</f>
        <v>Information Systems Manager</v>
      </c>
      <c r="Q116" t="str">
        <f>_xlfn.CONCAT(Table3[[#This Row],[first_name]], " ",Table3[[#This Row],[last_name]])</f>
        <v>Brandon Hawkins</v>
      </c>
    </row>
    <row r="117" spans="1:17" hidden="1" x14ac:dyDescent="0.3">
      <c r="A117">
        <v>76</v>
      </c>
      <c r="B117" t="s">
        <v>43</v>
      </c>
      <c r="C117" t="s">
        <v>44</v>
      </c>
      <c r="D117" t="s">
        <v>45</v>
      </c>
      <c r="E117" t="s">
        <v>16</v>
      </c>
      <c r="F117" t="s">
        <v>17</v>
      </c>
      <c r="G117" s="1">
        <v>198</v>
      </c>
      <c r="H117" t="s">
        <v>26</v>
      </c>
      <c r="I117" s="2">
        <v>44596</v>
      </c>
      <c r="J117" t="s">
        <v>46</v>
      </c>
      <c r="K117" t="s">
        <v>47</v>
      </c>
      <c r="L117">
        <v>6120</v>
      </c>
      <c r="M117" t="s">
        <v>21</v>
      </c>
      <c r="N117" t="str">
        <f>VLOOKUP(A117, Data_Set_2!$A:$D,2,FALSE)</f>
        <v>bhawkins23</v>
      </c>
      <c r="O117" t="str">
        <f>VLOOKUP(A117, Data_Set_2!$A:$D,3,FALSE)</f>
        <v>Oyoyo</v>
      </c>
      <c r="P117" t="str">
        <f>VLOOKUP(A117, Data_Set_2!$A:$D,4,FALSE)</f>
        <v>Information Systems Manager</v>
      </c>
      <c r="Q117" t="str">
        <f>_xlfn.CONCAT(Table3[[#This Row],[first_name]], " ",Table3[[#This Row],[last_name]])</f>
        <v>Brandon Hawkins</v>
      </c>
    </row>
    <row r="118" spans="1:17" hidden="1" x14ac:dyDescent="0.3">
      <c r="A118">
        <v>76</v>
      </c>
      <c r="B118" t="s">
        <v>43</v>
      </c>
      <c r="C118" t="s">
        <v>44</v>
      </c>
      <c r="D118" t="s">
        <v>45</v>
      </c>
      <c r="E118" t="s">
        <v>16</v>
      </c>
      <c r="F118" t="s">
        <v>17</v>
      </c>
      <c r="G118" s="1">
        <v>544</v>
      </c>
      <c r="H118" t="s">
        <v>26</v>
      </c>
      <c r="I118" s="2">
        <v>44611</v>
      </c>
      <c r="J118" t="s">
        <v>46</v>
      </c>
      <c r="K118" t="s">
        <v>47</v>
      </c>
      <c r="L118">
        <v>6120</v>
      </c>
      <c r="M118" t="s">
        <v>21</v>
      </c>
      <c r="N118" t="str">
        <f>VLOOKUP(A118, Data_Set_2!$A:$D,2,FALSE)</f>
        <v>bhawkins23</v>
      </c>
      <c r="O118" t="str">
        <f>VLOOKUP(A118, Data_Set_2!$A:$D,3,FALSE)</f>
        <v>Oyoyo</v>
      </c>
      <c r="P118" t="str">
        <f>VLOOKUP(A118, Data_Set_2!$A:$D,4,FALSE)</f>
        <v>Information Systems Manager</v>
      </c>
      <c r="Q118" t="str">
        <f>_xlfn.CONCAT(Table3[[#This Row],[first_name]], " ",Table3[[#This Row],[last_name]])</f>
        <v>Brandon Hawkins</v>
      </c>
    </row>
    <row r="119" spans="1:17" hidden="1" x14ac:dyDescent="0.3">
      <c r="A119">
        <v>76</v>
      </c>
      <c r="B119" t="s">
        <v>43</v>
      </c>
      <c r="C119" t="s">
        <v>44</v>
      </c>
      <c r="D119" t="s">
        <v>45</v>
      </c>
      <c r="E119" t="s">
        <v>16</v>
      </c>
      <c r="F119" t="s">
        <v>17</v>
      </c>
      <c r="G119" s="1">
        <v>754</v>
      </c>
      <c r="H119" t="s">
        <v>26</v>
      </c>
      <c r="I119" s="2">
        <v>44660</v>
      </c>
      <c r="J119" t="s">
        <v>46</v>
      </c>
      <c r="K119" t="s">
        <v>47</v>
      </c>
      <c r="L119">
        <v>6120</v>
      </c>
      <c r="M119" t="s">
        <v>21</v>
      </c>
      <c r="N119" t="str">
        <f>VLOOKUP(A119, Data_Set_2!$A:$D,2,FALSE)</f>
        <v>bhawkins23</v>
      </c>
      <c r="O119" t="str">
        <f>VLOOKUP(A119, Data_Set_2!$A:$D,3,FALSE)</f>
        <v>Oyoyo</v>
      </c>
      <c r="P119" t="str">
        <f>VLOOKUP(A119, Data_Set_2!$A:$D,4,FALSE)</f>
        <v>Information Systems Manager</v>
      </c>
      <c r="Q119" t="str">
        <f>_xlfn.CONCAT(Table3[[#This Row],[first_name]], " ",Table3[[#This Row],[last_name]])</f>
        <v>Brandon Hawkins</v>
      </c>
    </row>
    <row r="120" spans="1:17" hidden="1" x14ac:dyDescent="0.3">
      <c r="A120">
        <v>76</v>
      </c>
      <c r="B120" t="s">
        <v>43</v>
      </c>
      <c r="C120" t="s">
        <v>44</v>
      </c>
      <c r="D120" t="s">
        <v>45</v>
      </c>
      <c r="E120" t="s">
        <v>16</v>
      </c>
      <c r="F120" t="s">
        <v>17</v>
      </c>
      <c r="G120" s="1">
        <v>203</v>
      </c>
      <c r="H120" t="s">
        <v>26</v>
      </c>
      <c r="I120" s="2">
        <v>44682</v>
      </c>
      <c r="J120" t="s">
        <v>46</v>
      </c>
      <c r="K120" t="s">
        <v>47</v>
      </c>
      <c r="L120">
        <v>6120</v>
      </c>
      <c r="M120" t="s">
        <v>21</v>
      </c>
      <c r="N120" t="str">
        <f>VLOOKUP(A120, Data_Set_2!$A:$D,2,FALSE)</f>
        <v>bhawkins23</v>
      </c>
      <c r="O120" t="str">
        <f>VLOOKUP(A120, Data_Set_2!$A:$D,3,FALSE)</f>
        <v>Oyoyo</v>
      </c>
      <c r="P120" t="str">
        <f>VLOOKUP(A120, Data_Set_2!$A:$D,4,FALSE)</f>
        <v>Information Systems Manager</v>
      </c>
      <c r="Q120" t="str">
        <f>_xlfn.CONCAT(Table3[[#This Row],[first_name]], " ",Table3[[#This Row],[last_name]])</f>
        <v>Brandon Hawkins</v>
      </c>
    </row>
    <row r="121" spans="1:17" hidden="1" x14ac:dyDescent="0.3">
      <c r="A121">
        <v>76</v>
      </c>
      <c r="B121" t="s">
        <v>43</v>
      </c>
      <c r="C121" t="s">
        <v>44</v>
      </c>
      <c r="D121" t="s">
        <v>45</v>
      </c>
      <c r="E121" t="s">
        <v>16</v>
      </c>
      <c r="F121" t="s">
        <v>17</v>
      </c>
      <c r="G121" s="1">
        <v>757</v>
      </c>
      <c r="H121" t="s">
        <v>26</v>
      </c>
      <c r="I121" s="2">
        <v>44733</v>
      </c>
      <c r="J121" t="s">
        <v>46</v>
      </c>
      <c r="K121" t="s">
        <v>47</v>
      </c>
      <c r="L121">
        <v>6120</v>
      </c>
      <c r="M121" t="s">
        <v>21</v>
      </c>
      <c r="N121" t="str">
        <f>VLOOKUP(A121, Data_Set_2!$A:$D,2,FALSE)</f>
        <v>bhawkins23</v>
      </c>
      <c r="O121" t="str">
        <f>VLOOKUP(A121, Data_Set_2!$A:$D,3,FALSE)</f>
        <v>Oyoyo</v>
      </c>
      <c r="P121" t="str">
        <f>VLOOKUP(A121, Data_Set_2!$A:$D,4,FALSE)</f>
        <v>Information Systems Manager</v>
      </c>
      <c r="Q121" t="str">
        <f>_xlfn.CONCAT(Table3[[#This Row],[first_name]], " ",Table3[[#This Row],[last_name]])</f>
        <v>Brandon Hawkins</v>
      </c>
    </row>
    <row r="122" spans="1:17" hidden="1" x14ac:dyDescent="0.3">
      <c r="A122">
        <v>76</v>
      </c>
      <c r="B122" t="s">
        <v>43</v>
      </c>
      <c r="C122" t="s">
        <v>44</v>
      </c>
      <c r="D122" t="s">
        <v>45</v>
      </c>
      <c r="E122" t="s">
        <v>16</v>
      </c>
      <c r="F122" t="s">
        <v>17</v>
      </c>
      <c r="G122" s="1">
        <v>758</v>
      </c>
      <c r="H122" t="s">
        <v>26</v>
      </c>
      <c r="I122" s="2">
        <v>44757</v>
      </c>
      <c r="J122" t="s">
        <v>46</v>
      </c>
      <c r="K122" t="s">
        <v>47</v>
      </c>
      <c r="L122">
        <v>6120</v>
      </c>
      <c r="M122" t="s">
        <v>21</v>
      </c>
      <c r="N122" t="str">
        <f>VLOOKUP(A122, Data_Set_2!$A:$D,2,FALSE)</f>
        <v>bhawkins23</v>
      </c>
      <c r="O122" t="str">
        <f>VLOOKUP(A122, Data_Set_2!$A:$D,3,FALSE)</f>
        <v>Oyoyo</v>
      </c>
      <c r="P122" t="str">
        <f>VLOOKUP(A122, Data_Set_2!$A:$D,4,FALSE)</f>
        <v>Information Systems Manager</v>
      </c>
      <c r="Q122" t="str">
        <f>_xlfn.CONCAT(Table3[[#This Row],[first_name]], " ",Table3[[#This Row],[last_name]])</f>
        <v>Brandon Hawkins</v>
      </c>
    </row>
    <row r="123" spans="1:17" hidden="1" x14ac:dyDescent="0.3">
      <c r="A123">
        <v>76</v>
      </c>
      <c r="B123" t="s">
        <v>43</v>
      </c>
      <c r="C123" t="s">
        <v>44</v>
      </c>
      <c r="D123" t="s">
        <v>45</v>
      </c>
      <c r="E123" t="s">
        <v>16</v>
      </c>
      <c r="F123" t="s">
        <v>17</v>
      </c>
      <c r="G123" s="1">
        <v>801</v>
      </c>
      <c r="H123" t="s">
        <v>26</v>
      </c>
      <c r="I123" s="2">
        <v>44887</v>
      </c>
      <c r="J123" t="s">
        <v>46</v>
      </c>
      <c r="K123" t="s">
        <v>47</v>
      </c>
      <c r="L123">
        <v>6120</v>
      </c>
      <c r="M123" t="s">
        <v>21</v>
      </c>
      <c r="N123" t="str">
        <f>VLOOKUP(A123, Data_Set_2!$A:$D,2,FALSE)</f>
        <v>bhawkins23</v>
      </c>
      <c r="O123" t="str">
        <f>VLOOKUP(A123, Data_Set_2!$A:$D,3,FALSE)</f>
        <v>Oyoyo</v>
      </c>
      <c r="P123" t="str">
        <f>VLOOKUP(A123, Data_Set_2!$A:$D,4,FALSE)</f>
        <v>Information Systems Manager</v>
      </c>
      <c r="Q123" t="str">
        <f>_xlfn.CONCAT(Table3[[#This Row],[first_name]], " ",Table3[[#This Row],[last_name]])</f>
        <v>Brandon Hawkins</v>
      </c>
    </row>
    <row r="124" spans="1:17" hidden="1" x14ac:dyDescent="0.3">
      <c r="A124">
        <v>83</v>
      </c>
      <c r="B124" t="s">
        <v>661</v>
      </c>
      <c r="C124" t="s">
        <v>387</v>
      </c>
      <c r="D124" t="s">
        <v>1056</v>
      </c>
      <c r="E124" t="s">
        <v>16</v>
      </c>
      <c r="F124" t="s">
        <v>361</v>
      </c>
      <c r="G124" s="1">
        <v>95</v>
      </c>
      <c r="H124" t="s">
        <v>26</v>
      </c>
      <c r="I124" s="2">
        <v>44327</v>
      </c>
      <c r="J124" t="s">
        <v>68</v>
      </c>
      <c r="K124" t="s">
        <v>169</v>
      </c>
      <c r="L124">
        <v>88541</v>
      </c>
      <c r="M124" t="s">
        <v>21</v>
      </c>
      <c r="N124" t="str">
        <f>VLOOKUP(A124, Data_Set_2!$A:$D,2,FALSE)</f>
        <v>wpatterson2a</v>
      </c>
      <c r="O124" t="str">
        <f>VLOOKUP(A124, Data_Set_2!$A:$D,3,FALSE)</f>
        <v>Eimbee</v>
      </c>
      <c r="P124" t="str">
        <f>VLOOKUP(A124, Data_Set_2!$A:$D,4,FALSE)</f>
        <v>VP Marketing</v>
      </c>
      <c r="Q124" t="str">
        <f>_xlfn.CONCAT(Table3[[#This Row],[first_name]], " ",Table3[[#This Row],[last_name]])</f>
        <v>Walter Patterson</v>
      </c>
    </row>
    <row r="125" spans="1:17" hidden="1" x14ac:dyDescent="0.3">
      <c r="A125">
        <v>84</v>
      </c>
      <c r="B125" t="s">
        <v>627</v>
      </c>
      <c r="C125" t="s">
        <v>289</v>
      </c>
      <c r="D125" t="s">
        <v>786</v>
      </c>
      <c r="E125" t="s">
        <v>16</v>
      </c>
      <c r="F125" t="s">
        <v>33</v>
      </c>
      <c r="G125" s="1">
        <v>902</v>
      </c>
      <c r="H125" t="s">
        <v>26</v>
      </c>
      <c r="I125" s="2">
        <v>43761</v>
      </c>
      <c r="J125" t="s">
        <v>74</v>
      </c>
      <c r="K125" t="s">
        <v>787</v>
      </c>
      <c r="L125">
        <v>31296</v>
      </c>
      <c r="M125" t="s">
        <v>21</v>
      </c>
      <c r="N125" t="str">
        <f>VLOOKUP(A125, Data_Set_2!$A:$D,2,FALSE)</f>
        <v>cgeorge2b</v>
      </c>
      <c r="O125" t="str">
        <f>VLOOKUP(A125, Data_Set_2!$A:$D,3,FALSE)</f>
        <v>Photojam</v>
      </c>
      <c r="P125" t="str">
        <f>VLOOKUP(A125, Data_Set_2!$A:$D,4,FALSE)</f>
        <v>Nurse</v>
      </c>
      <c r="Q125" t="str">
        <f>_xlfn.CONCAT(Table3[[#This Row],[first_name]], " ",Table3[[#This Row],[last_name]])</f>
        <v>Christopher George</v>
      </c>
    </row>
    <row r="126" spans="1:17" hidden="1" x14ac:dyDescent="0.3">
      <c r="A126">
        <v>85</v>
      </c>
      <c r="B126" t="s">
        <v>851</v>
      </c>
      <c r="C126" t="s">
        <v>195</v>
      </c>
      <c r="D126" t="s">
        <v>1008</v>
      </c>
      <c r="E126" t="s">
        <v>16</v>
      </c>
      <c r="F126" t="s">
        <v>33</v>
      </c>
      <c r="G126" s="1">
        <v>508</v>
      </c>
      <c r="H126" t="s">
        <v>4034</v>
      </c>
      <c r="I126" s="2">
        <v>44239</v>
      </c>
      <c r="J126" t="s">
        <v>68</v>
      </c>
      <c r="K126" t="s">
        <v>487</v>
      </c>
      <c r="L126">
        <v>79452</v>
      </c>
      <c r="M126" t="s">
        <v>21</v>
      </c>
      <c r="N126" t="str">
        <f>VLOOKUP(A126, Data_Set_2!$A:$D,2,FALSE)</f>
        <v>kturner2c</v>
      </c>
      <c r="O126" t="str">
        <f>VLOOKUP(A126, Data_Set_2!$A:$D,3,FALSE)</f>
        <v>Geba</v>
      </c>
      <c r="P126" t="str">
        <f>VLOOKUP(A126, Data_Set_2!$A:$D,4,FALSE)</f>
        <v>Web Designer IV</v>
      </c>
      <c r="Q126" t="str">
        <f>_xlfn.CONCAT(Table3[[#This Row],[first_name]], " ",Table3[[#This Row],[last_name]])</f>
        <v>Keith Turner</v>
      </c>
    </row>
    <row r="127" spans="1:17" hidden="1" x14ac:dyDescent="0.3">
      <c r="A127">
        <v>86</v>
      </c>
      <c r="B127" t="s">
        <v>844</v>
      </c>
      <c r="C127" t="s">
        <v>440</v>
      </c>
      <c r="D127" t="s">
        <v>845</v>
      </c>
      <c r="E127" t="s">
        <v>32</v>
      </c>
      <c r="F127" t="s">
        <v>17</v>
      </c>
      <c r="G127" s="1">
        <v>190</v>
      </c>
      <c r="H127" t="s">
        <v>73</v>
      </c>
      <c r="I127" s="2">
        <v>43848</v>
      </c>
      <c r="J127" t="s">
        <v>230</v>
      </c>
      <c r="K127" t="s">
        <v>846</v>
      </c>
      <c r="L127">
        <v>28815</v>
      </c>
      <c r="M127" t="s">
        <v>21</v>
      </c>
      <c r="N127" t="str">
        <f>VLOOKUP(A127, Data_Set_2!$A:$D,2,FALSE)</f>
        <v>jkelley2d</v>
      </c>
      <c r="O127" t="str">
        <f>VLOOKUP(A127, Data_Set_2!$A:$D,3,FALSE)</f>
        <v>Yombu</v>
      </c>
      <c r="P127" t="str">
        <f>VLOOKUP(A127, Data_Set_2!$A:$D,4,FALSE)</f>
        <v>Assistant Professor</v>
      </c>
      <c r="Q127" t="str">
        <f>_xlfn.CONCAT(Table3[[#This Row],[first_name]], " ",Table3[[#This Row],[last_name]])</f>
        <v>Jacqueline Kelley</v>
      </c>
    </row>
    <row r="128" spans="1:17" hidden="1" x14ac:dyDescent="0.3">
      <c r="A128">
        <v>87</v>
      </c>
      <c r="B128" t="s">
        <v>769</v>
      </c>
      <c r="C128" t="s">
        <v>302</v>
      </c>
      <c r="D128" t="s">
        <v>1122</v>
      </c>
      <c r="E128" t="s">
        <v>16</v>
      </c>
      <c r="F128" t="s">
        <v>33</v>
      </c>
      <c r="G128" s="1">
        <v>109</v>
      </c>
      <c r="H128" t="s">
        <v>26</v>
      </c>
      <c r="I128" s="2">
        <v>44533</v>
      </c>
      <c r="J128" t="s">
        <v>68</v>
      </c>
      <c r="K128" t="s">
        <v>518</v>
      </c>
      <c r="L128">
        <v>78225</v>
      </c>
      <c r="M128" t="s">
        <v>21</v>
      </c>
      <c r="N128" t="str">
        <f>VLOOKUP(A128, Data_Set_2!$A:$D,2,FALSE)</f>
        <v>tmitchell2e</v>
      </c>
      <c r="O128" t="str">
        <f>VLOOKUP(A128, Data_Set_2!$A:$D,3,FALSE)</f>
        <v>Dynabox</v>
      </c>
      <c r="P128" t="str">
        <f>VLOOKUP(A128, Data_Set_2!$A:$D,4,FALSE)</f>
        <v>Account Coordinator</v>
      </c>
      <c r="Q128" t="str">
        <f>_xlfn.CONCAT(Table3[[#This Row],[first_name]], " ",Table3[[#This Row],[last_name]])</f>
        <v>Todd Mitchell</v>
      </c>
    </row>
    <row r="129" spans="1:17" hidden="1" x14ac:dyDescent="0.3">
      <c r="A129">
        <v>88</v>
      </c>
      <c r="B129" t="s">
        <v>565</v>
      </c>
      <c r="C129" t="s">
        <v>741</v>
      </c>
      <c r="D129" t="s">
        <v>742</v>
      </c>
      <c r="E129" t="s">
        <v>16</v>
      </c>
      <c r="F129" t="s">
        <v>33</v>
      </c>
      <c r="G129" s="1">
        <v>31</v>
      </c>
      <c r="H129" t="s">
        <v>26</v>
      </c>
      <c r="I129" s="2">
        <v>43683</v>
      </c>
      <c r="J129" t="s">
        <v>393</v>
      </c>
      <c r="K129" t="s">
        <v>459</v>
      </c>
      <c r="L129">
        <v>37235</v>
      </c>
      <c r="M129" t="s">
        <v>21</v>
      </c>
      <c r="N129" t="str">
        <f>VLOOKUP(A129, Data_Set_2!$A:$D,2,FALSE)</f>
        <v>pbowman2f</v>
      </c>
      <c r="O129" t="str">
        <f>VLOOKUP(A129, Data_Set_2!$A:$D,3,FALSE)</f>
        <v>Ainyx</v>
      </c>
      <c r="P129" t="str">
        <f>VLOOKUP(A129, Data_Set_2!$A:$D,4,FALSE)</f>
        <v>Sales Associate</v>
      </c>
      <c r="Q129" t="str">
        <f>_xlfn.CONCAT(Table3[[#This Row],[first_name]], " ",Table3[[#This Row],[last_name]])</f>
        <v>Patrick Bowman</v>
      </c>
    </row>
    <row r="130" spans="1:17" hidden="1" x14ac:dyDescent="0.3">
      <c r="A130">
        <v>88</v>
      </c>
      <c r="B130" t="s">
        <v>565</v>
      </c>
      <c r="C130" t="s">
        <v>741</v>
      </c>
      <c r="D130" t="s">
        <v>742</v>
      </c>
      <c r="E130" t="s">
        <v>16</v>
      </c>
      <c r="F130" t="s">
        <v>33</v>
      </c>
      <c r="G130" s="1">
        <v>107</v>
      </c>
      <c r="H130" t="s">
        <v>26</v>
      </c>
      <c r="I130" s="2">
        <v>44364</v>
      </c>
      <c r="J130" t="s">
        <v>393</v>
      </c>
      <c r="K130" t="s">
        <v>459</v>
      </c>
      <c r="L130">
        <v>37235</v>
      </c>
      <c r="M130" t="s">
        <v>21</v>
      </c>
      <c r="N130" t="str">
        <f>VLOOKUP(A130, Data_Set_2!$A:$D,2,FALSE)</f>
        <v>pbowman2f</v>
      </c>
      <c r="O130" t="str">
        <f>VLOOKUP(A130, Data_Set_2!$A:$D,3,FALSE)</f>
        <v>Ainyx</v>
      </c>
      <c r="P130" t="str">
        <f>VLOOKUP(A130, Data_Set_2!$A:$D,4,FALSE)</f>
        <v>Sales Associate</v>
      </c>
      <c r="Q130" t="str">
        <f>_xlfn.CONCAT(Table3[[#This Row],[first_name]], " ",Table3[[#This Row],[last_name]])</f>
        <v>Patrick Bowman</v>
      </c>
    </row>
    <row r="131" spans="1:17" hidden="1" x14ac:dyDescent="0.3">
      <c r="A131">
        <v>89</v>
      </c>
      <c r="B131" t="s">
        <v>623</v>
      </c>
      <c r="C131" t="s">
        <v>167</v>
      </c>
      <c r="D131" t="s">
        <v>748</v>
      </c>
      <c r="E131" t="s">
        <v>16</v>
      </c>
      <c r="F131" t="s">
        <v>17</v>
      </c>
      <c r="G131" s="1">
        <v>259</v>
      </c>
      <c r="H131" t="s">
        <v>26</v>
      </c>
      <c r="I131" s="2">
        <v>43697</v>
      </c>
      <c r="J131" t="s">
        <v>96</v>
      </c>
      <c r="K131" t="s">
        <v>391</v>
      </c>
      <c r="L131">
        <v>46862</v>
      </c>
      <c r="M131" t="s">
        <v>21</v>
      </c>
      <c r="N131" t="str">
        <f>VLOOKUP(A131, Data_Set_2!$A:$D,2,FALSE)</f>
        <v>jmeyer2g</v>
      </c>
      <c r="O131" t="str">
        <f>VLOOKUP(A131, Data_Set_2!$A:$D,3,FALSE)</f>
        <v>Yata</v>
      </c>
      <c r="P131" t="str">
        <f>VLOOKUP(A131, Data_Set_2!$A:$D,4,FALSE)</f>
        <v>Environmental Specialist</v>
      </c>
      <c r="Q131" t="str">
        <f>_xlfn.CONCAT(Table3[[#This Row],[first_name]], " ",Table3[[#This Row],[last_name]])</f>
        <v>Jose Meyer</v>
      </c>
    </row>
    <row r="132" spans="1:17" hidden="1" x14ac:dyDescent="0.3">
      <c r="A132">
        <v>89</v>
      </c>
      <c r="B132" t="s">
        <v>623</v>
      </c>
      <c r="C132" t="s">
        <v>167</v>
      </c>
      <c r="D132" t="s">
        <v>748</v>
      </c>
      <c r="E132" t="s">
        <v>16</v>
      </c>
      <c r="F132" t="s">
        <v>17</v>
      </c>
      <c r="G132" s="1">
        <v>781</v>
      </c>
      <c r="H132" t="s">
        <v>26</v>
      </c>
      <c r="I132" s="2">
        <v>44888</v>
      </c>
      <c r="J132" t="s">
        <v>96</v>
      </c>
      <c r="K132" t="s">
        <v>391</v>
      </c>
      <c r="L132">
        <v>46862</v>
      </c>
      <c r="M132" t="s">
        <v>21</v>
      </c>
      <c r="N132" t="str">
        <f>VLOOKUP(A132, Data_Set_2!$A:$D,2,FALSE)</f>
        <v>jmeyer2g</v>
      </c>
      <c r="O132" t="str">
        <f>VLOOKUP(A132, Data_Set_2!$A:$D,3,FALSE)</f>
        <v>Yata</v>
      </c>
      <c r="P132" t="str">
        <f>VLOOKUP(A132, Data_Set_2!$A:$D,4,FALSE)</f>
        <v>Environmental Specialist</v>
      </c>
      <c r="Q132" t="str">
        <f>_xlfn.CONCAT(Table3[[#This Row],[first_name]], " ",Table3[[#This Row],[last_name]])</f>
        <v>Jose Meyer</v>
      </c>
    </row>
    <row r="133" spans="1:17" hidden="1" x14ac:dyDescent="0.3">
      <c r="A133">
        <v>90</v>
      </c>
      <c r="B133" t="s">
        <v>227</v>
      </c>
      <c r="C133" t="s">
        <v>202</v>
      </c>
      <c r="D133" t="s">
        <v>1123</v>
      </c>
      <c r="E133" t="s">
        <v>16</v>
      </c>
      <c r="F133" t="s">
        <v>33</v>
      </c>
      <c r="G133" s="1">
        <v>309</v>
      </c>
      <c r="H133" t="s">
        <v>18</v>
      </c>
      <c r="I133" s="2">
        <v>44536</v>
      </c>
      <c r="J133" t="s">
        <v>96</v>
      </c>
      <c r="K133" t="s">
        <v>425</v>
      </c>
      <c r="L133">
        <v>46239</v>
      </c>
      <c r="M133" t="s">
        <v>21</v>
      </c>
      <c r="N133" t="str">
        <f>VLOOKUP(A133, Data_Set_2!$A:$D,2,FALSE)</f>
        <v>ekennedy2h</v>
      </c>
      <c r="O133" t="str">
        <f>VLOOKUP(A133, Data_Set_2!$A:$D,3,FALSE)</f>
        <v>Digitube</v>
      </c>
      <c r="P133" t="str">
        <f>VLOOKUP(A133, Data_Set_2!$A:$D,4,FALSE)</f>
        <v>Executive Secretary</v>
      </c>
      <c r="Q133" t="str">
        <f>_xlfn.CONCAT(Table3[[#This Row],[first_name]], " ",Table3[[#This Row],[last_name]])</f>
        <v>Eugene Kennedy</v>
      </c>
    </row>
    <row r="134" spans="1:17" hidden="1" x14ac:dyDescent="0.3">
      <c r="A134">
        <v>91</v>
      </c>
      <c r="B134" t="s">
        <v>106</v>
      </c>
      <c r="C134" t="s">
        <v>131</v>
      </c>
      <c r="D134" t="s">
        <v>1270</v>
      </c>
      <c r="E134" t="s">
        <v>32</v>
      </c>
      <c r="F134" t="s">
        <v>33</v>
      </c>
      <c r="G134" s="1">
        <v>217</v>
      </c>
      <c r="H134" t="s">
        <v>26</v>
      </c>
      <c r="I134" s="2">
        <v>44924</v>
      </c>
      <c r="J134" t="s">
        <v>35</v>
      </c>
      <c r="K134" t="s">
        <v>620</v>
      </c>
      <c r="L134">
        <v>94137</v>
      </c>
      <c r="M134" t="s">
        <v>21</v>
      </c>
      <c r="N134" t="str">
        <f>VLOOKUP(A134, Data_Set_2!$A:$D,2,FALSE)</f>
        <v>welliott2i</v>
      </c>
      <c r="O134" t="str">
        <f>VLOOKUP(A134, Data_Set_2!$A:$D,3,FALSE)</f>
        <v>Rhybox</v>
      </c>
      <c r="P134" t="str">
        <f>VLOOKUP(A134, Data_Set_2!$A:$D,4,FALSE)</f>
        <v>Quality Control Specialist</v>
      </c>
      <c r="Q134" t="str">
        <f>_xlfn.CONCAT(Table3[[#This Row],[first_name]], " ",Table3[[#This Row],[last_name]])</f>
        <v>Wanda Elliott</v>
      </c>
    </row>
    <row r="135" spans="1:17" hidden="1" x14ac:dyDescent="0.3">
      <c r="A135">
        <v>92</v>
      </c>
      <c r="B135" t="s">
        <v>467</v>
      </c>
      <c r="C135" t="s">
        <v>310</v>
      </c>
      <c r="D135" t="s">
        <v>478</v>
      </c>
      <c r="E135" t="s">
        <v>16</v>
      </c>
      <c r="F135" t="s">
        <v>33</v>
      </c>
      <c r="G135" s="1">
        <v>985</v>
      </c>
      <c r="H135" t="s">
        <v>26</v>
      </c>
      <c r="I135" s="2">
        <v>43360</v>
      </c>
      <c r="J135" t="s">
        <v>27</v>
      </c>
      <c r="K135" t="s">
        <v>215</v>
      </c>
      <c r="L135">
        <v>80940</v>
      </c>
      <c r="M135" t="s">
        <v>21</v>
      </c>
      <c r="N135" t="str">
        <f>VLOOKUP(A135, Data_Set_2!$A:$D,2,FALSE)</f>
        <v>dwillis2j</v>
      </c>
      <c r="O135" t="str">
        <f>VLOOKUP(A135, Data_Set_2!$A:$D,3,FALSE)</f>
        <v>Rooxo</v>
      </c>
      <c r="P135" t="str">
        <f>VLOOKUP(A135, Data_Set_2!$A:$D,4,FALSE)</f>
        <v>Staff Scientist</v>
      </c>
      <c r="Q135" t="str">
        <f>_xlfn.CONCAT(Table3[[#This Row],[first_name]], " ",Table3[[#This Row],[last_name]])</f>
        <v>Donald Willis</v>
      </c>
    </row>
    <row r="136" spans="1:17" hidden="1" x14ac:dyDescent="0.3">
      <c r="A136">
        <v>99</v>
      </c>
      <c r="B136" t="s">
        <v>54</v>
      </c>
      <c r="C136" t="s">
        <v>752</v>
      </c>
      <c r="D136" t="s">
        <v>753</v>
      </c>
      <c r="E136" t="s">
        <v>32</v>
      </c>
      <c r="F136" t="s">
        <v>17</v>
      </c>
      <c r="G136" s="1">
        <v>338</v>
      </c>
      <c r="H136" t="s">
        <v>34</v>
      </c>
      <c r="I136" s="2">
        <v>43703</v>
      </c>
      <c r="J136" t="s">
        <v>120</v>
      </c>
      <c r="K136" t="s">
        <v>718</v>
      </c>
      <c r="L136">
        <v>70154</v>
      </c>
      <c r="M136" t="s">
        <v>21</v>
      </c>
      <c r="N136" t="str">
        <f>VLOOKUP(A136, Data_Set_2!$A:$D,2,FALSE)</f>
        <v>bjenkins2q</v>
      </c>
      <c r="O136" t="str">
        <f>VLOOKUP(A136, Data_Set_2!$A:$D,3,FALSE)</f>
        <v>Ntag</v>
      </c>
      <c r="P136" t="str">
        <f>VLOOKUP(A136, Data_Set_2!$A:$D,4,FALSE)</f>
        <v>Software Test Engineer IV</v>
      </c>
      <c r="Q136" t="str">
        <f>_xlfn.CONCAT(Table3[[#This Row],[first_name]], " ",Table3[[#This Row],[last_name]])</f>
        <v>Barbara Jenkins</v>
      </c>
    </row>
    <row r="137" spans="1:17" hidden="1" x14ac:dyDescent="0.3">
      <c r="A137">
        <v>102</v>
      </c>
      <c r="B137" t="s">
        <v>905</v>
      </c>
      <c r="C137" t="s">
        <v>942</v>
      </c>
      <c r="D137" t="s">
        <v>1013</v>
      </c>
      <c r="E137" t="s">
        <v>16</v>
      </c>
      <c r="F137" t="s">
        <v>25</v>
      </c>
      <c r="G137" s="1">
        <v>624</v>
      </c>
      <c r="H137" t="s">
        <v>4036</v>
      </c>
      <c r="I137" s="2">
        <v>44254</v>
      </c>
      <c r="J137" t="s">
        <v>345</v>
      </c>
      <c r="K137" t="s">
        <v>220</v>
      </c>
      <c r="L137">
        <v>20029</v>
      </c>
      <c r="M137" t="s">
        <v>21</v>
      </c>
      <c r="N137" t="str">
        <f>VLOOKUP(A137, Data_Set_2!$A:$D,2,FALSE)</f>
        <v>cwest2t</v>
      </c>
      <c r="O137" t="str">
        <f>VLOOKUP(A137, Data_Set_2!$A:$D,3,FALSE)</f>
        <v>Brainbox</v>
      </c>
      <c r="P137" t="str">
        <f>VLOOKUP(A137, Data_Set_2!$A:$D,4,FALSE)</f>
        <v>Help Desk Technician</v>
      </c>
      <c r="Q137" t="str">
        <f>_xlfn.CONCAT(Table3[[#This Row],[first_name]], " ",Table3[[#This Row],[last_name]])</f>
        <v>Carl West</v>
      </c>
    </row>
    <row r="138" spans="1:17" hidden="1" x14ac:dyDescent="0.3">
      <c r="A138">
        <v>103</v>
      </c>
      <c r="B138" t="s">
        <v>471</v>
      </c>
      <c r="C138" t="s">
        <v>473</v>
      </c>
      <c r="D138" t="s">
        <v>474</v>
      </c>
      <c r="E138" t="s">
        <v>32</v>
      </c>
      <c r="F138" t="s">
        <v>51</v>
      </c>
      <c r="G138" s="1">
        <v>763</v>
      </c>
      <c r="H138" t="s">
        <v>4035</v>
      </c>
      <c r="I138" s="2">
        <v>43354</v>
      </c>
      <c r="J138" t="s">
        <v>68</v>
      </c>
      <c r="K138" t="s">
        <v>475</v>
      </c>
      <c r="L138">
        <v>75226</v>
      </c>
      <c r="M138" t="s">
        <v>21</v>
      </c>
      <c r="N138" t="str">
        <f>VLOOKUP(A138, Data_Set_2!$A:$D,2,FALSE)</f>
        <v>lmarshall2u</v>
      </c>
      <c r="O138" t="str">
        <f>VLOOKUP(A138, Data_Set_2!$A:$D,3,FALSE)</f>
        <v>Browsedrive</v>
      </c>
      <c r="P138" t="str">
        <f>VLOOKUP(A138, Data_Set_2!$A:$D,4,FALSE)</f>
        <v>Social Worker</v>
      </c>
      <c r="Q138" t="str">
        <f>_xlfn.CONCAT(Table3[[#This Row],[first_name]], " ",Table3[[#This Row],[last_name]])</f>
        <v>Linda Marshall</v>
      </c>
    </row>
    <row r="139" spans="1:17" hidden="1" x14ac:dyDescent="0.3">
      <c r="A139">
        <v>104</v>
      </c>
      <c r="B139" t="s">
        <v>860</v>
      </c>
      <c r="C139" t="s">
        <v>281</v>
      </c>
      <c r="D139" t="s">
        <v>861</v>
      </c>
      <c r="E139" t="s">
        <v>16</v>
      </c>
      <c r="F139" t="s">
        <v>33</v>
      </c>
      <c r="G139" s="1">
        <v>882</v>
      </c>
      <c r="H139" t="s">
        <v>34</v>
      </c>
      <c r="I139" s="2">
        <v>43889</v>
      </c>
      <c r="J139" t="s">
        <v>152</v>
      </c>
      <c r="K139" t="s">
        <v>862</v>
      </c>
      <c r="L139">
        <v>44760</v>
      </c>
      <c r="M139" t="s">
        <v>21</v>
      </c>
      <c r="N139" t="str">
        <f>VLOOKUP(A139, Data_Set_2!$A:$D,2,FALSE)</f>
        <v>rwarren2v</v>
      </c>
      <c r="O139" t="str">
        <f>VLOOKUP(A139, Data_Set_2!$A:$D,3,FALSE)</f>
        <v>Brightdog</v>
      </c>
      <c r="P139" t="str">
        <f>VLOOKUP(A139, Data_Set_2!$A:$D,4,FALSE)</f>
        <v>General Manager</v>
      </c>
      <c r="Q139" t="str">
        <f>_xlfn.CONCAT(Table3[[#This Row],[first_name]], " ",Table3[[#This Row],[last_name]])</f>
        <v>Roger Warren</v>
      </c>
    </row>
    <row r="140" spans="1:17" hidden="1" x14ac:dyDescent="0.3">
      <c r="A140">
        <v>107</v>
      </c>
      <c r="B140" t="s">
        <v>661</v>
      </c>
      <c r="C140" t="s">
        <v>511</v>
      </c>
      <c r="D140" t="s">
        <v>858</v>
      </c>
      <c r="E140" t="s">
        <v>16</v>
      </c>
      <c r="F140" t="s">
        <v>280</v>
      </c>
      <c r="G140" s="1">
        <v>282</v>
      </c>
      <c r="H140" t="s">
        <v>73</v>
      </c>
      <c r="I140" s="2">
        <v>43870</v>
      </c>
      <c r="J140" t="s">
        <v>524</v>
      </c>
      <c r="K140" t="s">
        <v>815</v>
      </c>
      <c r="L140">
        <v>35215</v>
      </c>
      <c r="M140" t="s">
        <v>21</v>
      </c>
      <c r="N140" t="str">
        <f>VLOOKUP(A140, Data_Set_2!$A:$D,2,FALSE)</f>
        <v>wlong2y</v>
      </c>
      <c r="O140" t="str">
        <f>VLOOKUP(A140, Data_Set_2!$A:$D,3,FALSE)</f>
        <v>Yodel</v>
      </c>
      <c r="P140" t="str">
        <f>VLOOKUP(A140, Data_Set_2!$A:$D,4,FALSE)</f>
        <v>Software Test Engineer III</v>
      </c>
      <c r="Q140" t="str">
        <f>_xlfn.CONCAT(Table3[[#This Row],[first_name]], " ",Table3[[#This Row],[last_name]])</f>
        <v>Walter Long</v>
      </c>
    </row>
    <row r="141" spans="1:17" hidden="1" x14ac:dyDescent="0.3">
      <c r="A141">
        <v>111</v>
      </c>
      <c r="B141" t="s">
        <v>363</v>
      </c>
      <c r="C141" t="s">
        <v>364</v>
      </c>
      <c r="D141" t="s">
        <v>365</v>
      </c>
      <c r="E141" t="s">
        <v>16</v>
      </c>
      <c r="F141" t="s">
        <v>17</v>
      </c>
      <c r="G141" s="1">
        <v>783</v>
      </c>
      <c r="H141" t="s">
        <v>26</v>
      </c>
      <c r="I141" s="2">
        <v>43267</v>
      </c>
      <c r="J141" t="s">
        <v>78</v>
      </c>
      <c r="K141" t="s">
        <v>105</v>
      </c>
      <c r="L141">
        <v>48295</v>
      </c>
      <c r="M141" t="s">
        <v>21</v>
      </c>
      <c r="N141" t="str">
        <f>VLOOKUP(A141, Data_Set_2!$A:$D,2,FALSE)</f>
        <v>hramos32</v>
      </c>
      <c r="O141" t="str">
        <f>VLOOKUP(A141, Data_Set_2!$A:$D,3,FALSE)</f>
        <v>Rooxo</v>
      </c>
      <c r="P141" t="str">
        <f>VLOOKUP(A141, Data_Set_2!$A:$D,4,FALSE)</f>
        <v>Biostatistician I</v>
      </c>
      <c r="Q141" t="str">
        <f>_xlfn.CONCAT(Table3[[#This Row],[first_name]], " ",Table3[[#This Row],[last_name]])</f>
        <v>Howard Ramos</v>
      </c>
    </row>
    <row r="142" spans="1:17" hidden="1" x14ac:dyDescent="0.3">
      <c r="A142">
        <v>111</v>
      </c>
      <c r="B142" t="s">
        <v>363</v>
      </c>
      <c r="C142" t="s">
        <v>364</v>
      </c>
      <c r="D142" t="s">
        <v>365</v>
      </c>
      <c r="E142" t="s">
        <v>16</v>
      </c>
      <c r="F142" t="s">
        <v>17</v>
      </c>
      <c r="G142" s="1">
        <v>174</v>
      </c>
      <c r="H142" t="s">
        <v>26</v>
      </c>
      <c r="I142" s="2">
        <v>43349</v>
      </c>
      <c r="J142" t="s">
        <v>78</v>
      </c>
      <c r="K142" t="s">
        <v>105</v>
      </c>
      <c r="L142">
        <v>48295</v>
      </c>
      <c r="M142" t="s">
        <v>21</v>
      </c>
      <c r="N142" t="str">
        <f>VLOOKUP(A142, Data_Set_2!$A:$D,2,FALSE)</f>
        <v>hramos32</v>
      </c>
      <c r="O142" t="str">
        <f>VLOOKUP(A142, Data_Set_2!$A:$D,3,FALSE)</f>
        <v>Rooxo</v>
      </c>
      <c r="P142" t="str">
        <f>VLOOKUP(A142, Data_Set_2!$A:$D,4,FALSE)</f>
        <v>Biostatistician I</v>
      </c>
      <c r="Q142" t="str">
        <f>_xlfn.CONCAT(Table3[[#This Row],[first_name]], " ",Table3[[#This Row],[last_name]])</f>
        <v>Howard Ramos</v>
      </c>
    </row>
    <row r="143" spans="1:17" hidden="1" x14ac:dyDescent="0.3">
      <c r="A143">
        <v>111</v>
      </c>
      <c r="B143" t="s">
        <v>363</v>
      </c>
      <c r="C143" t="s">
        <v>364</v>
      </c>
      <c r="D143" t="s">
        <v>365</v>
      </c>
      <c r="E143" t="s">
        <v>16</v>
      </c>
      <c r="F143" t="s">
        <v>17</v>
      </c>
      <c r="G143" s="1">
        <v>131</v>
      </c>
      <c r="H143" t="s">
        <v>26</v>
      </c>
      <c r="I143" s="2">
        <v>43488</v>
      </c>
      <c r="J143" t="s">
        <v>78</v>
      </c>
      <c r="K143" t="s">
        <v>105</v>
      </c>
      <c r="L143">
        <v>48295</v>
      </c>
      <c r="M143" t="s">
        <v>21</v>
      </c>
      <c r="N143" t="str">
        <f>VLOOKUP(A143, Data_Set_2!$A:$D,2,FALSE)</f>
        <v>hramos32</v>
      </c>
      <c r="O143" t="str">
        <f>VLOOKUP(A143, Data_Set_2!$A:$D,3,FALSE)</f>
        <v>Rooxo</v>
      </c>
      <c r="P143" t="str">
        <f>VLOOKUP(A143, Data_Set_2!$A:$D,4,FALSE)</f>
        <v>Biostatistician I</v>
      </c>
      <c r="Q143" t="str">
        <f>_xlfn.CONCAT(Table3[[#This Row],[first_name]], " ",Table3[[#This Row],[last_name]])</f>
        <v>Howard Ramos</v>
      </c>
    </row>
    <row r="144" spans="1:17" hidden="1" x14ac:dyDescent="0.3">
      <c r="A144">
        <v>111</v>
      </c>
      <c r="B144" t="s">
        <v>363</v>
      </c>
      <c r="C144" t="s">
        <v>364</v>
      </c>
      <c r="D144" t="s">
        <v>365</v>
      </c>
      <c r="E144" t="s">
        <v>16</v>
      </c>
      <c r="F144" t="s">
        <v>17</v>
      </c>
      <c r="G144" s="1">
        <v>736</v>
      </c>
      <c r="H144" t="s">
        <v>26</v>
      </c>
      <c r="I144" s="2">
        <v>43738</v>
      </c>
      <c r="J144" t="s">
        <v>78</v>
      </c>
      <c r="K144" t="s">
        <v>105</v>
      </c>
      <c r="L144">
        <v>48295</v>
      </c>
      <c r="M144" t="s">
        <v>21</v>
      </c>
      <c r="N144" t="str">
        <f>VLOOKUP(A144, Data_Set_2!$A:$D,2,FALSE)</f>
        <v>hramos32</v>
      </c>
      <c r="O144" t="str">
        <f>VLOOKUP(A144, Data_Set_2!$A:$D,3,FALSE)</f>
        <v>Rooxo</v>
      </c>
      <c r="P144" t="str">
        <f>VLOOKUP(A144, Data_Set_2!$A:$D,4,FALSE)</f>
        <v>Biostatistician I</v>
      </c>
      <c r="Q144" t="str">
        <f>_xlfn.CONCAT(Table3[[#This Row],[first_name]], " ",Table3[[#This Row],[last_name]])</f>
        <v>Howard Ramos</v>
      </c>
    </row>
    <row r="145" spans="1:17" hidden="1" x14ac:dyDescent="0.3">
      <c r="A145">
        <v>111</v>
      </c>
      <c r="B145" t="s">
        <v>363</v>
      </c>
      <c r="C145" t="s">
        <v>364</v>
      </c>
      <c r="D145" t="s">
        <v>365</v>
      </c>
      <c r="E145" t="s">
        <v>16</v>
      </c>
      <c r="F145" t="s">
        <v>17</v>
      </c>
      <c r="G145" s="1">
        <v>896</v>
      </c>
      <c r="H145" t="s">
        <v>26</v>
      </c>
      <c r="I145" s="2">
        <v>43891</v>
      </c>
      <c r="J145" t="s">
        <v>78</v>
      </c>
      <c r="K145" t="s">
        <v>105</v>
      </c>
      <c r="L145">
        <v>48295</v>
      </c>
      <c r="M145" t="s">
        <v>21</v>
      </c>
      <c r="N145" t="str">
        <f>VLOOKUP(A145, Data_Set_2!$A:$D,2,FALSE)</f>
        <v>hramos32</v>
      </c>
      <c r="O145" t="str">
        <f>VLOOKUP(A145, Data_Set_2!$A:$D,3,FALSE)</f>
        <v>Rooxo</v>
      </c>
      <c r="P145" t="str">
        <f>VLOOKUP(A145, Data_Set_2!$A:$D,4,FALSE)</f>
        <v>Biostatistician I</v>
      </c>
      <c r="Q145" t="str">
        <f>_xlfn.CONCAT(Table3[[#This Row],[first_name]], " ",Table3[[#This Row],[last_name]])</f>
        <v>Howard Ramos</v>
      </c>
    </row>
    <row r="146" spans="1:17" hidden="1" x14ac:dyDescent="0.3">
      <c r="A146">
        <v>111</v>
      </c>
      <c r="B146" t="s">
        <v>363</v>
      </c>
      <c r="C146" t="s">
        <v>364</v>
      </c>
      <c r="D146" t="s">
        <v>365</v>
      </c>
      <c r="E146" t="s">
        <v>16</v>
      </c>
      <c r="F146" t="s">
        <v>17</v>
      </c>
      <c r="G146" s="1">
        <v>130</v>
      </c>
      <c r="H146" t="s">
        <v>26</v>
      </c>
      <c r="I146" s="2">
        <v>43970</v>
      </c>
      <c r="J146" t="s">
        <v>78</v>
      </c>
      <c r="K146" t="s">
        <v>105</v>
      </c>
      <c r="L146">
        <v>48295</v>
      </c>
      <c r="M146" t="s">
        <v>21</v>
      </c>
      <c r="N146" t="str">
        <f>VLOOKUP(A146, Data_Set_2!$A:$D,2,FALSE)</f>
        <v>hramos32</v>
      </c>
      <c r="O146" t="str">
        <f>VLOOKUP(A146, Data_Set_2!$A:$D,3,FALSE)</f>
        <v>Rooxo</v>
      </c>
      <c r="P146" t="str">
        <f>VLOOKUP(A146, Data_Set_2!$A:$D,4,FALSE)</f>
        <v>Biostatistician I</v>
      </c>
      <c r="Q146" t="str">
        <f>_xlfn.CONCAT(Table3[[#This Row],[first_name]], " ",Table3[[#This Row],[last_name]])</f>
        <v>Howard Ramos</v>
      </c>
    </row>
    <row r="147" spans="1:17" hidden="1" x14ac:dyDescent="0.3">
      <c r="A147">
        <v>111</v>
      </c>
      <c r="B147" t="s">
        <v>363</v>
      </c>
      <c r="C147" t="s">
        <v>364</v>
      </c>
      <c r="D147" t="s">
        <v>365</v>
      </c>
      <c r="E147" t="s">
        <v>16</v>
      </c>
      <c r="F147" t="s">
        <v>17</v>
      </c>
      <c r="G147" s="1">
        <v>469</v>
      </c>
      <c r="H147" t="s">
        <v>26</v>
      </c>
      <c r="I147" s="2">
        <v>44023</v>
      </c>
      <c r="J147" t="s">
        <v>78</v>
      </c>
      <c r="K147" t="s">
        <v>105</v>
      </c>
      <c r="L147">
        <v>48295</v>
      </c>
      <c r="M147" t="s">
        <v>21</v>
      </c>
      <c r="N147" t="str">
        <f>VLOOKUP(A147, Data_Set_2!$A:$D,2,FALSE)</f>
        <v>hramos32</v>
      </c>
      <c r="O147" t="str">
        <f>VLOOKUP(A147, Data_Set_2!$A:$D,3,FALSE)</f>
        <v>Rooxo</v>
      </c>
      <c r="P147" t="str">
        <f>VLOOKUP(A147, Data_Set_2!$A:$D,4,FALSE)</f>
        <v>Biostatistician I</v>
      </c>
      <c r="Q147" t="str">
        <f>_xlfn.CONCAT(Table3[[#This Row],[first_name]], " ",Table3[[#This Row],[last_name]])</f>
        <v>Howard Ramos</v>
      </c>
    </row>
    <row r="148" spans="1:17" hidden="1" x14ac:dyDescent="0.3">
      <c r="A148">
        <v>111</v>
      </c>
      <c r="B148" t="s">
        <v>363</v>
      </c>
      <c r="C148" t="s">
        <v>364</v>
      </c>
      <c r="D148" t="s">
        <v>365</v>
      </c>
      <c r="E148" t="s">
        <v>16</v>
      </c>
      <c r="F148" t="s">
        <v>17</v>
      </c>
      <c r="G148" s="1">
        <v>255</v>
      </c>
      <c r="H148" t="s">
        <v>26</v>
      </c>
      <c r="I148" s="2">
        <v>44161</v>
      </c>
      <c r="J148" t="s">
        <v>78</v>
      </c>
      <c r="K148" t="s">
        <v>105</v>
      </c>
      <c r="L148">
        <v>48295</v>
      </c>
      <c r="M148" t="s">
        <v>21</v>
      </c>
      <c r="N148" t="str">
        <f>VLOOKUP(A148, Data_Set_2!$A:$D,2,FALSE)</f>
        <v>hramos32</v>
      </c>
      <c r="O148" t="str">
        <f>VLOOKUP(A148, Data_Set_2!$A:$D,3,FALSE)</f>
        <v>Rooxo</v>
      </c>
      <c r="P148" t="str">
        <f>VLOOKUP(A148, Data_Set_2!$A:$D,4,FALSE)</f>
        <v>Biostatistician I</v>
      </c>
      <c r="Q148" t="str">
        <f>_xlfn.CONCAT(Table3[[#This Row],[first_name]], " ",Table3[[#This Row],[last_name]])</f>
        <v>Howard Ramos</v>
      </c>
    </row>
    <row r="149" spans="1:17" hidden="1" x14ac:dyDescent="0.3">
      <c r="A149">
        <v>111</v>
      </c>
      <c r="B149" t="s">
        <v>363</v>
      </c>
      <c r="C149" t="s">
        <v>364</v>
      </c>
      <c r="D149" t="s">
        <v>365</v>
      </c>
      <c r="E149" t="s">
        <v>16</v>
      </c>
      <c r="F149" t="s">
        <v>17</v>
      </c>
      <c r="G149" s="1">
        <v>572</v>
      </c>
      <c r="H149" t="s">
        <v>26</v>
      </c>
      <c r="I149" s="2">
        <v>44400</v>
      </c>
      <c r="J149" t="s">
        <v>78</v>
      </c>
      <c r="K149" t="s">
        <v>105</v>
      </c>
      <c r="L149">
        <v>48295</v>
      </c>
      <c r="M149" t="s">
        <v>21</v>
      </c>
      <c r="N149" t="str">
        <f>VLOOKUP(A149, Data_Set_2!$A:$D,2,FALSE)</f>
        <v>hramos32</v>
      </c>
      <c r="O149" t="str">
        <f>VLOOKUP(A149, Data_Set_2!$A:$D,3,FALSE)</f>
        <v>Rooxo</v>
      </c>
      <c r="P149" t="str">
        <f>VLOOKUP(A149, Data_Set_2!$A:$D,4,FALSE)</f>
        <v>Biostatistician I</v>
      </c>
      <c r="Q149" t="str">
        <f>_xlfn.CONCAT(Table3[[#This Row],[first_name]], " ",Table3[[#This Row],[last_name]])</f>
        <v>Howard Ramos</v>
      </c>
    </row>
    <row r="150" spans="1:17" hidden="1" x14ac:dyDescent="0.3">
      <c r="A150">
        <v>111</v>
      </c>
      <c r="B150" t="s">
        <v>363</v>
      </c>
      <c r="C150" t="s">
        <v>364</v>
      </c>
      <c r="D150" t="s">
        <v>365</v>
      </c>
      <c r="E150" t="s">
        <v>16</v>
      </c>
      <c r="F150" t="s">
        <v>17</v>
      </c>
      <c r="G150" s="1">
        <v>943</v>
      </c>
      <c r="H150" t="s">
        <v>26</v>
      </c>
      <c r="I150" s="2">
        <v>44465</v>
      </c>
      <c r="J150" t="s">
        <v>78</v>
      </c>
      <c r="K150" t="s">
        <v>105</v>
      </c>
      <c r="L150">
        <v>48295</v>
      </c>
      <c r="M150" t="s">
        <v>21</v>
      </c>
      <c r="N150" t="str">
        <f>VLOOKUP(A150, Data_Set_2!$A:$D,2,FALSE)</f>
        <v>hramos32</v>
      </c>
      <c r="O150" t="str">
        <f>VLOOKUP(A150, Data_Set_2!$A:$D,3,FALSE)</f>
        <v>Rooxo</v>
      </c>
      <c r="P150" t="str">
        <f>VLOOKUP(A150, Data_Set_2!$A:$D,4,FALSE)</f>
        <v>Biostatistician I</v>
      </c>
      <c r="Q150" t="str">
        <f>_xlfn.CONCAT(Table3[[#This Row],[first_name]], " ",Table3[[#This Row],[last_name]])</f>
        <v>Howard Ramos</v>
      </c>
    </row>
    <row r="151" spans="1:17" hidden="1" x14ac:dyDescent="0.3">
      <c r="A151">
        <v>111</v>
      </c>
      <c r="B151" t="s">
        <v>363</v>
      </c>
      <c r="C151" t="s">
        <v>364</v>
      </c>
      <c r="D151" t="s">
        <v>365</v>
      </c>
      <c r="E151" t="s">
        <v>16</v>
      </c>
      <c r="F151" t="s">
        <v>17</v>
      </c>
      <c r="G151" s="1">
        <v>58</v>
      </c>
      <c r="H151" t="s">
        <v>26</v>
      </c>
      <c r="I151" s="2">
        <v>44468</v>
      </c>
      <c r="J151" t="s">
        <v>78</v>
      </c>
      <c r="K151" t="s">
        <v>105</v>
      </c>
      <c r="L151">
        <v>48295</v>
      </c>
      <c r="M151" t="s">
        <v>21</v>
      </c>
      <c r="N151" t="str">
        <f>VLOOKUP(A151, Data_Set_2!$A:$D,2,FALSE)</f>
        <v>hramos32</v>
      </c>
      <c r="O151" t="str">
        <f>VLOOKUP(A151, Data_Set_2!$A:$D,3,FALSE)</f>
        <v>Rooxo</v>
      </c>
      <c r="P151" t="str">
        <f>VLOOKUP(A151, Data_Set_2!$A:$D,4,FALSE)</f>
        <v>Biostatistician I</v>
      </c>
      <c r="Q151" t="str">
        <f>_xlfn.CONCAT(Table3[[#This Row],[first_name]], " ",Table3[[#This Row],[last_name]])</f>
        <v>Howard Ramos</v>
      </c>
    </row>
    <row r="152" spans="1:17" hidden="1" x14ac:dyDescent="0.3">
      <c r="A152">
        <v>111</v>
      </c>
      <c r="B152" t="s">
        <v>363</v>
      </c>
      <c r="C152" t="s">
        <v>364</v>
      </c>
      <c r="D152" t="s">
        <v>365</v>
      </c>
      <c r="E152" t="s">
        <v>16</v>
      </c>
      <c r="F152" t="s">
        <v>17</v>
      </c>
      <c r="G152" s="1">
        <v>657</v>
      </c>
      <c r="H152" t="s">
        <v>26</v>
      </c>
      <c r="I152" s="2">
        <v>44801</v>
      </c>
      <c r="J152" t="s">
        <v>78</v>
      </c>
      <c r="K152" t="s">
        <v>105</v>
      </c>
      <c r="L152">
        <v>48295</v>
      </c>
      <c r="M152" t="s">
        <v>21</v>
      </c>
      <c r="N152" t="str">
        <f>VLOOKUP(A152, Data_Set_2!$A:$D,2,FALSE)</f>
        <v>hramos32</v>
      </c>
      <c r="O152" t="str">
        <f>VLOOKUP(A152, Data_Set_2!$A:$D,3,FALSE)</f>
        <v>Rooxo</v>
      </c>
      <c r="P152" t="str">
        <f>VLOOKUP(A152, Data_Set_2!$A:$D,4,FALSE)</f>
        <v>Biostatistician I</v>
      </c>
      <c r="Q152" t="str">
        <f>_xlfn.CONCAT(Table3[[#This Row],[first_name]], " ",Table3[[#This Row],[last_name]])</f>
        <v>Howard Ramos</v>
      </c>
    </row>
    <row r="153" spans="1:17" hidden="1" x14ac:dyDescent="0.3">
      <c r="A153">
        <v>111</v>
      </c>
      <c r="B153" t="s">
        <v>363</v>
      </c>
      <c r="C153" t="s">
        <v>364</v>
      </c>
      <c r="D153" t="s">
        <v>365</v>
      </c>
      <c r="E153" t="s">
        <v>16</v>
      </c>
      <c r="F153" t="s">
        <v>17</v>
      </c>
      <c r="G153" s="1">
        <v>687</v>
      </c>
      <c r="H153" t="s">
        <v>26</v>
      </c>
      <c r="I153" s="2">
        <v>44835</v>
      </c>
      <c r="J153" t="s">
        <v>78</v>
      </c>
      <c r="K153" t="s">
        <v>105</v>
      </c>
      <c r="L153">
        <v>48295</v>
      </c>
      <c r="M153" t="s">
        <v>21</v>
      </c>
      <c r="N153" t="str">
        <f>VLOOKUP(A153, Data_Set_2!$A:$D,2,FALSE)</f>
        <v>hramos32</v>
      </c>
      <c r="O153" t="str">
        <f>VLOOKUP(A153, Data_Set_2!$A:$D,3,FALSE)</f>
        <v>Rooxo</v>
      </c>
      <c r="P153" t="str">
        <f>VLOOKUP(A153, Data_Set_2!$A:$D,4,FALSE)</f>
        <v>Biostatistician I</v>
      </c>
      <c r="Q153" t="str">
        <f>_xlfn.CONCAT(Table3[[#This Row],[first_name]], " ",Table3[[#This Row],[last_name]])</f>
        <v>Howard Ramos</v>
      </c>
    </row>
    <row r="154" spans="1:17" hidden="1" x14ac:dyDescent="0.3">
      <c r="A154">
        <v>111</v>
      </c>
      <c r="B154" t="s">
        <v>363</v>
      </c>
      <c r="C154" t="s">
        <v>364</v>
      </c>
      <c r="D154" t="s">
        <v>365</v>
      </c>
      <c r="E154" t="s">
        <v>16</v>
      </c>
      <c r="F154" t="s">
        <v>17</v>
      </c>
      <c r="G154" s="1">
        <v>868</v>
      </c>
      <c r="H154" t="s">
        <v>26</v>
      </c>
      <c r="I154" s="2">
        <v>44902</v>
      </c>
      <c r="J154" t="s">
        <v>78</v>
      </c>
      <c r="K154" t="s">
        <v>105</v>
      </c>
      <c r="L154">
        <v>48295</v>
      </c>
      <c r="M154" t="s">
        <v>21</v>
      </c>
      <c r="N154" t="str">
        <f>VLOOKUP(A154, Data_Set_2!$A:$D,2,FALSE)</f>
        <v>hramos32</v>
      </c>
      <c r="O154" t="str">
        <f>VLOOKUP(A154, Data_Set_2!$A:$D,3,FALSE)</f>
        <v>Rooxo</v>
      </c>
      <c r="P154" t="str">
        <f>VLOOKUP(A154, Data_Set_2!$A:$D,4,FALSE)</f>
        <v>Biostatistician I</v>
      </c>
      <c r="Q154" t="str">
        <f>_xlfn.CONCAT(Table3[[#This Row],[first_name]], " ",Table3[[#This Row],[last_name]])</f>
        <v>Howard Ramos</v>
      </c>
    </row>
    <row r="155" spans="1:17" hidden="1" x14ac:dyDescent="0.3">
      <c r="A155">
        <v>112</v>
      </c>
      <c r="B155" t="s">
        <v>243</v>
      </c>
      <c r="C155" t="s">
        <v>296</v>
      </c>
      <c r="D155" t="s">
        <v>297</v>
      </c>
      <c r="E155" t="s">
        <v>16</v>
      </c>
      <c r="F155" t="s">
        <v>33</v>
      </c>
      <c r="G155" s="1">
        <v>694</v>
      </c>
      <c r="H155" t="s">
        <v>26</v>
      </c>
      <c r="I155" s="2">
        <v>43213</v>
      </c>
      <c r="J155" t="s">
        <v>115</v>
      </c>
      <c r="K155" t="s">
        <v>298</v>
      </c>
      <c r="L155">
        <v>33972</v>
      </c>
      <c r="M155" t="s">
        <v>21</v>
      </c>
      <c r="N155" t="str">
        <f>VLOOKUP(A155, Data_Set_2!$A:$D,2,FALSE)</f>
        <v>pbradley33</v>
      </c>
      <c r="O155" t="str">
        <f>VLOOKUP(A155, Data_Set_2!$A:$D,3,FALSE)</f>
        <v>Wordpedia</v>
      </c>
      <c r="P155" t="str">
        <f>VLOOKUP(A155, Data_Set_2!$A:$D,4,FALSE)</f>
        <v>Design Engineer</v>
      </c>
      <c r="Q155" t="str">
        <f>_xlfn.CONCAT(Table3[[#This Row],[first_name]], " ",Table3[[#This Row],[last_name]])</f>
        <v>Peter Bradley</v>
      </c>
    </row>
    <row r="156" spans="1:17" hidden="1" x14ac:dyDescent="0.3">
      <c r="A156">
        <v>112</v>
      </c>
      <c r="B156" t="s">
        <v>243</v>
      </c>
      <c r="C156" t="s">
        <v>296</v>
      </c>
      <c r="D156" t="s">
        <v>297</v>
      </c>
      <c r="E156" t="s">
        <v>16</v>
      </c>
      <c r="F156" t="s">
        <v>33</v>
      </c>
      <c r="G156" s="1">
        <v>491</v>
      </c>
      <c r="H156" t="s">
        <v>26</v>
      </c>
      <c r="I156" s="2">
        <v>43673</v>
      </c>
      <c r="J156" t="s">
        <v>115</v>
      </c>
      <c r="K156" t="s">
        <v>298</v>
      </c>
      <c r="L156">
        <v>33972</v>
      </c>
      <c r="M156" t="s">
        <v>21</v>
      </c>
      <c r="N156" t="str">
        <f>VLOOKUP(A156, Data_Set_2!$A:$D,2,FALSE)</f>
        <v>pbradley33</v>
      </c>
      <c r="O156" t="str">
        <f>VLOOKUP(A156, Data_Set_2!$A:$D,3,FALSE)</f>
        <v>Wordpedia</v>
      </c>
      <c r="P156" t="str">
        <f>VLOOKUP(A156, Data_Set_2!$A:$D,4,FALSE)</f>
        <v>Design Engineer</v>
      </c>
      <c r="Q156" t="str">
        <f>_xlfn.CONCAT(Table3[[#This Row],[first_name]], " ",Table3[[#This Row],[last_name]])</f>
        <v>Peter Bradley</v>
      </c>
    </row>
    <row r="157" spans="1:17" hidden="1" x14ac:dyDescent="0.3">
      <c r="A157">
        <v>113</v>
      </c>
      <c r="B157" t="s">
        <v>330</v>
      </c>
      <c r="C157" t="s">
        <v>331</v>
      </c>
      <c r="D157" t="s">
        <v>332</v>
      </c>
      <c r="E157" t="s">
        <v>32</v>
      </c>
      <c r="F157" t="s">
        <v>33</v>
      </c>
      <c r="G157" s="1">
        <v>957</v>
      </c>
      <c r="H157" t="s">
        <v>26</v>
      </c>
      <c r="I157" s="2">
        <v>43242</v>
      </c>
      <c r="J157" t="s">
        <v>78</v>
      </c>
      <c r="K157" t="s">
        <v>281</v>
      </c>
      <c r="L157">
        <v>48092</v>
      </c>
      <c r="M157" t="s">
        <v>21</v>
      </c>
      <c r="N157" t="str">
        <f>VLOOKUP(A157, Data_Set_2!$A:$D,2,FALSE)</f>
        <v>rbanks34</v>
      </c>
      <c r="O157" t="str">
        <f>VLOOKUP(A157, Data_Set_2!$A:$D,3,FALSE)</f>
        <v>Twinte</v>
      </c>
      <c r="P157" t="str">
        <f>VLOOKUP(A157, Data_Set_2!$A:$D,4,FALSE)</f>
        <v>Speech Pathologist</v>
      </c>
      <c r="Q157" t="str">
        <f>_xlfn.CONCAT(Table3[[#This Row],[first_name]], " ",Table3[[#This Row],[last_name]])</f>
        <v>Robin Banks</v>
      </c>
    </row>
    <row r="158" spans="1:17" hidden="1" x14ac:dyDescent="0.3">
      <c r="A158">
        <v>116</v>
      </c>
      <c r="B158" t="s">
        <v>1016</v>
      </c>
      <c r="C158" t="s">
        <v>1017</v>
      </c>
      <c r="D158" t="s">
        <v>1018</v>
      </c>
      <c r="E158" t="s">
        <v>16</v>
      </c>
      <c r="F158" t="s">
        <v>33</v>
      </c>
      <c r="G158" s="1">
        <v>545</v>
      </c>
      <c r="H158" t="s">
        <v>26</v>
      </c>
      <c r="I158" s="2">
        <v>44265</v>
      </c>
      <c r="J158" t="s">
        <v>563</v>
      </c>
      <c r="K158" t="s">
        <v>564</v>
      </c>
      <c r="L158">
        <v>83722</v>
      </c>
      <c r="M158" t="s">
        <v>21</v>
      </c>
      <c r="N158" t="str">
        <f>VLOOKUP(A158, Data_Set_2!$A:$D,2,FALSE)</f>
        <v>tdunn37</v>
      </c>
      <c r="O158" t="str">
        <f>VLOOKUP(A158, Data_Set_2!$A:$D,3,FALSE)</f>
        <v>Voonte</v>
      </c>
      <c r="P158" t="str">
        <f>VLOOKUP(A158, Data_Set_2!$A:$D,4,FALSE)</f>
        <v>Safety Technician I</v>
      </c>
      <c r="Q158" t="str">
        <f>_xlfn.CONCAT(Table3[[#This Row],[first_name]], " ",Table3[[#This Row],[last_name]])</f>
        <v>Terry Dunn</v>
      </c>
    </row>
    <row r="159" spans="1:17" hidden="1" x14ac:dyDescent="0.3">
      <c r="A159">
        <v>117</v>
      </c>
      <c r="B159" t="s">
        <v>680</v>
      </c>
      <c r="C159" t="s">
        <v>240</v>
      </c>
      <c r="D159" t="s">
        <v>1207</v>
      </c>
      <c r="E159" t="s">
        <v>16</v>
      </c>
      <c r="F159" t="s">
        <v>33</v>
      </c>
      <c r="G159" s="1">
        <v>577</v>
      </c>
      <c r="H159" t="s">
        <v>26</v>
      </c>
      <c r="I159" s="2">
        <v>44749</v>
      </c>
      <c r="J159" t="s">
        <v>204</v>
      </c>
      <c r="K159" t="s">
        <v>209</v>
      </c>
      <c r="L159">
        <v>22184</v>
      </c>
      <c r="M159" t="s">
        <v>21</v>
      </c>
      <c r="N159" t="str">
        <f>VLOOKUP(A159, Data_Set_2!$A:$D,2,FALSE)</f>
        <v>jwagner38</v>
      </c>
      <c r="O159" t="str">
        <f>VLOOKUP(A159, Data_Set_2!$A:$D,3,FALSE)</f>
        <v>Divavu</v>
      </c>
      <c r="P159" t="str">
        <f>VLOOKUP(A159, Data_Set_2!$A:$D,4,FALSE)</f>
        <v>Accountant III</v>
      </c>
      <c r="Q159" t="str">
        <f>_xlfn.CONCAT(Table3[[#This Row],[first_name]], " ",Table3[[#This Row],[last_name]])</f>
        <v>John Wagner</v>
      </c>
    </row>
    <row r="160" spans="1:17" hidden="1" x14ac:dyDescent="0.3">
      <c r="A160">
        <v>118</v>
      </c>
      <c r="B160" t="s">
        <v>920</v>
      </c>
      <c r="C160" t="s">
        <v>650</v>
      </c>
      <c r="D160" t="s">
        <v>1067</v>
      </c>
      <c r="E160" t="s">
        <v>16</v>
      </c>
      <c r="F160" t="s">
        <v>33</v>
      </c>
      <c r="G160" s="1">
        <v>29</v>
      </c>
      <c r="H160" t="s">
        <v>416</v>
      </c>
      <c r="I160" s="2">
        <v>44359</v>
      </c>
      <c r="J160" t="s">
        <v>115</v>
      </c>
      <c r="K160" t="s">
        <v>351</v>
      </c>
      <c r="L160">
        <v>32868</v>
      </c>
      <c r="M160" t="s">
        <v>21</v>
      </c>
      <c r="N160" t="str">
        <f>VLOOKUP(A160, Data_Set_2!$A:$D,2,FALSE)</f>
        <v>brussell39</v>
      </c>
      <c r="O160" t="str">
        <f>VLOOKUP(A160, Data_Set_2!$A:$D,3,FALSE)</f>
        <v>Realmix</v>
      </c>
      <c r="P160" t="str">
        <f>VLOOKUP(A160, Data_Set_2!$A:$D,4,FALSE)</f>
        <v>Physical Therapy Assistant</v>
      </c>
      <c r="Q160" t="str">
        <f>_xlfn.CONCAT(Table3[[#This Row],[first_name]], " ",Table3[[#This Row],[last_name]])</f>
        <v>Bobby Russell</v>
      </c>
    </row>
    <row r="161" spans="1:17" hidden="1" x14ac:dyDescent="0.3">
      <c r="A161">
        <v>118</v>
      </c>
      <c r="B161" t="s">
        <v>920</v>
      </c>
      <c r="C161" t="s">
        <v>650</v>
      </c>
      <c r="D161" t="s">
        <v>1067</v>
      </c>
      <c r="E161" t="s">
        <v>16</v>
      </c>
      <c r="F161" t="s">
        <v>33</v>
      </c>
      <c r="G161" s="1">
        <v>591</v>
      </c>
      <c r="H161" t="s">
        <v>416</v>
      </c>
      <c r="I161" s="2">
        <v>44388</v>
      </c>
      <c r="J161" t="s">
        <v>115</v>
      </c>
      <c r="K161" t="s">
        <v>351</v>
      </c>
      <c r="L161">
        <v>32868</v>
      </c>
      <c r="M161" t="s">
        <v>21</v>
      </c>
      <c r="N161" t="str">
        <f>VLOOKUP(A161, Data_Set_2!$A:$D,2,FALSE)</f>
        <v>brussell39</v>
      </c>
      <c r="O161" t="str">
        <f>VLOOKUP(A161, Data_Set_2!$A:$D,3,FALSE)</f>
        <v>Realmix</v>
      </c>
      <c r="P161" t="str">
        <f>VLOOKUP(A161, Data_Set_2!$A:$D,4,FALSE)</f>
        <v>Physical Therapy Assistant</v>
      </c>
      <c r="Q161" t="str">
        <f>_xlfn.CONCAT(Table3[[#This Row],[first_name]], " ",Table3[[#This Row],[last_name]])</f>
        <v>Bobby Russell</v>
      </c>
    </row>
    <row r="162" spans="1:17" hidden="1" x14ac:dyDescent="0.3">
      <c r="A162">
        <v>119</v>
      </c>
      <c r="B162" t="s">
        <v>420</v>
      </c>
      <c r="C162" t="s">
        <v>820</v>
      </c>
      <c r="D162" t="s">
        <v>1072</v>
      </c>
      <c r="E162" t="s">
        <v>16</v>
      </c>
      <c r="F162" t="s">
        <v>33</v>
      </c>
      <c r="G162" s="1">
        <v>593</v>
      </c>
      <c r="H162" t="s">
        <v>4036</v>
      </c>
      <c r="I162" s="2">
        <v>44394</v>
      </c>
      <c r="J162" t="s">
        <v>58</v>
      </c>
      <c r="K162" t="s">
        <v>1062</v>
      </c>
      <c r="L162">
        <v>66642</v>
      </c>
      <c r="M162" t="s">
        <v>21</v>
      </c>
      <c r="N162" t="str">
        <f>VLOOKUP(A162, Data_Set_2!$A:$D,2,FALSE)</f>
        <v>ahenderson3a</v>
      </c>
      <c r="O162" t="str">
        <f>VLOOKUP(A162, Data_Set_2!$A:$D,3,FALSE)</f>
        <v>Oyope</v>
      </c>
      <c r="P162" t="str">
        <f>VLOOKUP(A162, Data_Set_2!$A:$D,4,FALSE)</f>
        <v>VP Quality Control</v>
      </c>
      <c r="Q162" t="str">
        <f>_xlfn.CONCAT(Table3[[#This Row],[first_name]], " ",Table3[[#This Row],[last_name]])</f>
        <v>Antonio Henderson</v>
      </c>
    </row>
    <row r="163" spans="1:17" hidden="1" x14ac:dyDescent="0.3">
      <c r="A163">
        <v>119</v>
      </c>
      <c r="B163" t="s">
        <v>420</v>
      </c>
      <c r="C163" t="s">
        <v>820</v>
      </c>
      <c r="D163" t="s">
        <v>1072</v>
      </c>
      <c r="E163" t="s">
        <v>16</v>
      </c>
      <c r="F163" t="s">
        <v>33</v>
      </c>
      <c r="G163" s="1">
        <v>585</v>
      </c>
      <c r="H163" t="s">
        <v>4036</v>
      </c>
      <c r="I163" s="2">
        <v>44644</v>
      </c>
      <c r="J163" t="s">
        <v>58</v>
      </c>
      <c r="K163" t="s">
        <v>1062</v>
      </c>
      <c r="L163">
        <v>66642</v>
      </c>
      <c r="M163" t="s">
        <v>21</v>
      </c>
      <c r="N163" t="str">
        <f>VLOOKUP(A163, Data_Set_2!$A:$D,2,FALSE)</f>
        <v>ahenderson3a</v>
      </c>
      <c r="O163" t="str">
        <f>VLOOKUP(A163, Data_Set_2!$A:$D,3,FALSE)</f>
        <v>Oyope</v>
      </c>
      <c r="P163" t="str">
        <f>VLOOKUP(A163, Data_Set_2!$A:$D,4,FALSE)</f>
        <v>VP Quality Control</v>
      </c>
      <c r="Q163" t="str">
        <f>_xlfn.CONCAT(Table3[[#This Row],[first_name]], " ",Table3[[#This Row],[last_name]])</f>
        <v>Antonio Henderson</v>
      </c>
    </row>
    <row r="164" spans="1:17" hidden="1" x14ac:dyDescent="0.3">
      <c r="A164">
        <v>120</v>
      </c>
      <c r="B164" t="s">
        <v>235</v>
      </c>
      <c r="C164" t="s">
        <v>141</v>
      </c>
      <c r="D164" t="s">
        <v>592</v>
      </c>
      <c r="E164" t="s">
        <v>32</v>
      </c>
      <c r="F164" t="s">
        <v>33</v>
      </c>
      <c r="G164" s="1">
        <v>821</v>
      </c>
      <c r="H164" t="s">
        <v>26</v>
      </c>
      <c r="I164" s="2">
        <v>43498</v>
      </c>
      <c r="J164" t="s">
        <v>152</v>
      </c>
      <c r="K164" t="s">
        <v>571</v>
      </c>
      <c r="L164">
        <v>44105</v>
      </c>
      <c r="M164" t="s">
        <v>21</v>
      </c>
      <c r="N164" t="str">
        <f>VLOOKUP(A164, Data_Set_2!$A:$D,2,FALSE)</f>
        <v>srice3b</v>
      </c>
      <c r="O164" t="str">
        <f>VLOOKUP(A164, Data_Set_2!$A:$D,3,FALSE)</f>
        <v>Gabcube</v>
      </c>
      <c r="P164" t="str">
        <f>VLOOKUP(A164, Data_Set_2!$A:$D,4,FALSE)</f>
        <v>Clinical Specialist</v>
      </c>
      <c r="Q164" t="str">
        <f>_xlfn.CONCAT(Table3[[#This Row],[first_name]], " ",Table3[[#This Row],[last_name]])</f>
        <v>Sarah Rice</v>
      </c>
    </row>
    <row r="165" spans="1:17" hidden="1" x14ac:dyDescent="0.3">
      <c r="A165">
        <v>120</v>
      </c>
      <c r="B165" t="s">
        <v>235</v>
      </c>
      <c r="C165" t="s">
        <v>141</v>
      </c>
      <c r="D165" t="s">
        <v>592</v>
      </c>
      <c r="E165" t="s">
        <v>32</v>
      </c>
      <c r="F165" t="s">
        <v>33</v>
      </c>
      <c r="G165" s="1">
        <v>501</v>
      </c>
      <c r="H165" t="s">
        <v>26</v>
      </c>
      <c r="I165" s="2">
        <v>44163</v>
      </c>
      <c r="J165" t="s">
        <v>152</v>
      </c>
      <c r="K165" t="s">
        <v>571</v>
      </c>
      <c r="L165">
        <v>44105</v>
      </c>
      <c r="M165" t="s">
        <v>21</v>
      </c>
      <c r="N165" t="str">
        <f>VLOOKUP(A165, Data_Set_2!$A:$D,2,FALSE)</f>
        <v>srice3b</v>
      </c>
      <c r="O165" t="str">
        <f>VLOOKUP(A165, Data_Set_2!$A:$D,3,FALSE)</f>
        <v>Gabcube</v>
      </c>
      <c r="P165" t="str">
        <f>VLOOKUP(A165, Data_Set_2!$A:$D,4,FALSE)</f>
        <v>Clinical Specialist</v>
      </c>
      <c r="Q165" t="str">
        <f>_xlfn.CONCAT(Table3[[#This Row],[first_name]], " ",Table3[[#This Row],[last_name]])</f>
        <v>Sarah Rice</v>
      </c>
    </row>
    <row r="166" spans="1:17" hidden="1" x14ac:dyDescent="0.3">
      <c r="A166">
        <v>121</v>
      </c>
      <c r="B166" t="s">
        <v>837</v>
      </c>
      <c r="C166" t="s">
        <v>762</v>
      </c>
      <c r="D166" t="s">
        <v>916</v>
      </c>
      <c r="E166" t="s">
        <v>16</v>
      </c>
      <c r="F166" t="s">
        <v>33</v>
      </c>
      <c r="G166" s="1">
        <v>497</v>
      </c>
      <c r="H166" t="s">
        <v>26</v>
      </c>
      <c r="I166" s="2">
        <v>44044</v>
      </c>
      <c r="J166" t="s">
        <v>96</v>
      </c>
      <c r="K166" t="s">
        <v>425</v>
      </c>
      <c r="L166">
        <v>46266</v>
      </c>
      <c r="M166" t="s">
        <v>21</v>
      </c>
      <c r="N166" t="str">
        <f>VLOOKUP(A166, Data_Set_2!$A:$D,2,FALSE)</f>
        <v>cnichols3c</v>
      </c>
      <c r="O166" t="str">
        <f>VLOOKUP(A166, Data_Set_2!$A:$D,3,FALSE)</f>
        <v>Devshare</v>
      </c>
      <c r="P166" t="str">
        <f>VLOOKUP(A166, Data_Set_2!$A:$D,4,FALSE)</f>
        <v>Librarian</v>
      </c>
      <c r="Q166" t="str">
        <f>_xlfn.CONCAT(Table3[[#This Row],[first_name]], " ",Table3[[#This Row],[last_name]])</f>
        <v>Charles Nichols</v>
      </c>
    </row>
    <row r="167" spans="1:17" x14ac:dyDescent="0.3">
      <c r="A167">
        <v>122</v>
      </c>
      <c r="B167" t="s">
        <v>471</v>
      </c>
      <c r="C167" t="s">
        <v>465</v>
      </c>
      <c r="D167" t="s">
        <v>472</v>
      </c>
      <c r="E167" t="s">
        <v>32</v>
      </c>
      <c r="F167" t="s">
        <v>33</v>
      </c>
      <c r="G167" s="1">
        <v>350</v>
      </c>
      <c r="H167" t="s">
        <v>95</v>
      </c>
      <c r="I167" s="2">
        <v>43352</v>
      </c>
      <c r="J167" t="s">
        <v>96</v>
      </c>
      <c r="K167" t="s">
        <v>97</v>
      </c>
      <c r="L167">
        <v>46620</v>
      </c>
      <c r="M167" t="s">
        <v>21</v>
      </c>
      <c r="N167" t="str">
        <f>VLOOKUP(A167, Data_Set_2!$A:$D,2,FALSE)</f>
        <v>ldean3d</v>
      </c>
      <c r="O167" t="str">
        <f>VLOOKUP(A167, Data_Set_2!$A:$D,3,FALSE)</f>
        <v>Camido</v>
      </c>
      <c r="P167" t="str">
        <f>VLOOKUP(A167, Data_Set_2!$A:$D,4,FALSE)</f>
        <v>Structural Analysis Engineer</v>
      </c>
      <c r="Q167" t="str">
        <f>_xlfn.CONCAT(Table3[[#This Row],[first_name]], " ",Table3[[#This Row],[last_name]])</f>
        <v>Linda Dean</v>
      </c>
    </row>
    <row r="168" spans="1:17" hidden="1" x14ac:dyDescent="0.3">
      <c r="A168">
        <v>126</v>
      </c>
      <c r="B168" t="s">
        <v>432</v>
      </c>
      <c r="C168" t="s">
        <v>849</v>
      </c>
      <c r="D168" t="s">
        <v>850</v>
      </c>
      <c r="E168" t="s">
        <v>16</v>
      </c>
      <c r="F168" t="s">
        <v>33</v>
      </c>
      <c r="G168" s="1">
        <v>872</v>
      </c>
      <c r="H168" t="s">
        <v>34</v>
      </c>
      <c r="I168" s="2">
        <v>43855</v>
      </c>
      <c r="J168" t="s">
        <v>345</v>
      </c>
      <c r="K168" t="s">
        <v>220</v>
      </c>
      <c r="L168">
        <v>20005</v>
      </c>
      <c r="M168" t="s">
        <v>21</v>
      </c>
      <c r="N168" t="str">
        <f>VLOOKUP(A168, Data_Set_2!$A:$D,2,FALSE)</f>
        <v>smatthews3h</v>
      </c>
      <c r="O168" t="str">
        <f>VLOOKUP(A168, Data_Set_2!$A:$D,3,FALSE)</f>
        <v>Tagtune</v>
      </c>
      <c r="P168" t="str">
        <f>VLOOKUP(A168, Data_Set_2!$A:$D,4,FALSE)</f>
        <v>Mechanical Systems Engineer</v>
      </c>
      <c r="Q168" t="str">
        <f>_xlfn.CONCAT(Table3[[#This Row],[first_name]], " ",Table3[[#This Row],[last_name]])</f>
        <v>Steven Matthews</v>
      </c>
    </row>
    <row r="169" spans="1:17" hidden="1" x14ac:dyDescent="0.3">
      <c r="A169">
        <v>126</v>
      </c>
      <c r="B169" t="s">
        <v>432</v>
      </c>
      <c r="C169" t="s">
        <v>849</v>
      </c>
      <c r="D169" t="s">
        <v>850</v>
      </c>
      <c r="E169" t="s">
        <v>16</v>
      </c>
      <c r="F169" t="s">
        <v>33</v>
      </c>
      <c r="G169" s="1">
        <v>577</v>
      </c>
      <c r="H169" t="s">
        <v>34</v>
      </c>
      <c r="I169" s="2">
        <v>44232</v>
      </c>
      <c r="J169" t="s">
        <v>345</v>
      </c>
      <c r="K169" t="s">
        <v>220</v>
      </c>
      <c r="L169">
        <v>20005</v>
      </c>
      <c r="M169" t="s">
        <v>21</v>
      </c>
      <c r="N169" t="str">
        <f>VLOOKUP(A169, Data_Set_2!$A:$D,2,FALSE)</f>
        <v>smatthews3h</v>
      </c>
      <c r="O169" t="str">
        <f>VLOOKUP(A169, Data_Set_2!$A:$D,3,FALSE)</f>
        <v>Tagtune</v>
      </c>
      <c r="P169" t="str">
        <f>VLOOKUP(A169, Data_Set_2!$A:$D,4,FALSE)</f>
        <v>Mechanical Systems Engineer</v>
      </c>
      <c r="Q169" t="str">
        <f>_xlfn.CONCAT(Table3[[#This Row],[first_name]], " ",Table3[[#This Row],[last_name]])</f>
        <v>Steven Matthews</v>
      </c>
    </row>
    <row r="170" spans="1:17" hidden="1" x14ac:dyDescent="0.3">
      <c r="A170">
        <v>127</v>
      </c>
      <c r="B170" t="s">
        <v>803</v>
      </c>
      <c r="C170" t="s">
        <v>930</v>
      </c>
      <c r="D170" t="s">
        <v>931</v>
      </c>
      <c r="E170" t="s">
        <v>32</v>
      </c>
      <c r="F170" t="s">
        <v>51</v>
      </c>
      <c r="G170" s="1">
        <v>651</v>
      </c>
      <c r="H170" t="s">
        <v>62</v>
      </c>
      <c r="I170" s="2">
        <v>44072</v>
      </c>
      <c r="J170" t="s">
        <v>19</v>
      </c>
      <c r="K170" t="s">
        <v>932</v>
      </c>
      <c r="L170">
        <v>2119</v>
      </c>
      <c r="M170" t="s">
        <v>21</v>
      </c>
      <c r="N170" t="str">
        <f>VLOOKUP(A170, Data_Set_2!$A:$D,2,FALSE)</f>
        <v>dsmith3i</v>
      </c>
      <c r="O170" t="str">
        <f>VLOOKUP(A170, Data_Set_2!$A:$D,3,FALSE)</f>
        <v>Yakijo</v>
      </c>
      <c r="P170" t="str">
        <f>VLOOKUP(A170, Data_Set_2!$A:$D,4,FALSE)</f>
        <v>Safety Technician II</v>
      </c>
      <c r="Q170" t="str">
        <f>_xlfn.CONCAT(Table3[[#This Row],[first_name]], " ",Table3[[#This Row],[last_name]])</f>
        <v>Diana Smith</v>
      </c>
    </row>
    <row r="171" spans="1:17" hidden="1" x14ac:dyDescent="0.3">
      <c r="A171">
        <v>127</v>
      </c>
      <c r="B171" t="s">
        <v>803</v>
      </c>
      <c r="C171" t="s">
        <v>930</v>
      </c>
      <c r="D171" t="s">
        <v>931</v>
      </c>
      <c r="E171" t="s">
        <v>32</v>
      </c>
      <c r="F171" t="s">
        <v>51</v>
      </c>
      <c r="G171" s="1">
        <v>660</v>
      </c>
      <c r="H171" t="s">
        <v>62</v>
      </c>
      <c r="I171" s="2">
        <v>44102</v>
      </c>
      <c r="J171" t="s">
        <v>19</v>
      </c>
      <c r="K171" t="s">
        <v>932</v>
      </c>
      <c r="L171">
        <v>2119</v>
      </c>
      <c r="M171" t="s">
        <v>21</v>
      </c>
      <c r="N171" t="str">
        <f>VLOOKUP(A171, Data_Set_2!$A:$D,2,FALSE)</f>
        <v>dsmith3i</v>
      </c>
      <c r="O171" t="str">
        <f>VLOOKUP(A171, Data_Set_2!$A:$D,3,FALSE)</f>
        <v>Yakijo</v>
      </c>
      <c r="P171" t="str">
        <f>VLOOKUP(A171, Data_Set_2!$A:$D,4,FALSE)</f>
        <v>Safety Technician II</v>
      </c>
      <c r="Q171" t="str">
        <f>_xlfn.CONCAT(Table3[[#This Row],[first_name]], " ",Table3[[#This Row],[last_name]])</f>
        <v>Diana Smith</v>
      </c>
    </row>
    <row r="172" spans="1:17" hidden="1" x14ac:dyDescent="0.3">
      <c r="A172">
        <v>127</v>
      </c>
      <c r="B172" t="s">
        <v>803</v>
      </c>
      <c r="C172" t="s">
        <v>930</v>
      </c>
      <c r="D172" t="s">
        <v>931</v>
      </c>
      <c r="E172" t="s">
        <v>32</v>
      </c>
      <c r="F172" t="s">
        <v>51</v>
      </c>
      <c r="G172" s="1">
        <v>798</v>
      </c>
      <c r="H172" t="s">
        <v>62</v>
      </c>
      <c r="I172" s="2">
        <v>44360</v>
      </c>
      <c r="J172" t="s">
        <v>19</v>
      </c>
      <c r="K172" t="s">
        <v>932</v>
      </c>
      <c r="L172">
        <v>2119</v>
      </c>
      <c r="M172" t="s">
        <v>21</v>
      </c>
      <c r="N172" t="str">
        <f>VLOOKUP(A172, Data_Set_2!$A:$D,2,FALSE)</f>
        <v>dsmith3i</v>
      </c>
      <c r="O172" t="str">
        <f>VLOOKUP(A172, Data_Set_2!$A:$D,3,FALSE)</f>
        <v>Yakijo</v>
      </c>
      <c r="P172" t="str">
        <f>VLOOKUP(A172, Data_Set_2!$A:$D,4,FALSE)</f>
        <v>Safety Technician II</v>
      </c>
      <c r="Q172" t="str">
        <f>_xlfn.CONCAT(Table3[[#This Row],[first_name]], " ",Table3[[#This Row],[last_name]])</f>
        <v>Diana Smith</v>
      </c>
    </row>
    <row r="173" spans="1:17" hidden="1" x14ac:dyDescent="0.3">
      <c r="A173">
        <v>127</v>
      </c>
      <c r="B173" t="s">
        <v>803</v>
      </c>
      <c r="C173" t="s">
        <v>930</v>
      </c>
      <c r="D173" t="s">
        <v>931</v>
      </c>
      <c r="E173" t="s">
        <v>32</v>
      </c>
      <c r="F173" t="s">
        <v>51</v>
      </c>
      <c r="G173" s="1">
        <v>603</v>
      </c>
      <c r="H173" t="s">
        <v>62</v>
      </c>
      <c r="I173" s="2">
        <v>44878</v>
      </c>
      <c r="J173" t="s">
        <v>19</v>
      </c>
      <c r="K173" t="s">
        <v>932</v>
      </c>
      <c r="L173">
        <v>2119</v>
      </c>
      <c r="M173" t="s">
        <v>21</v>
      </c>
      <c r="N173" t="str">
        <f>VLOOKUP(A173, Data_Set_2!$A:$D,2,FALSE)</f>
        <v>dsmith3i</v>
      </c>
      <c r="O173" t="str">
        <f>VLOOKUP(A173, Data_Set_2!$A:$D,3,FALSE)</f>
        <v>Yakijo</v>
      </c>
      <c r="P173" t="str">
        <f>VLOOKUP(A173, Data_Set_2!$A:$D,4,FALSE)</f>
        <v>Safety Technician II</v>
      </c>
      <c r="Q173" t="str">
        <f>_xlfn.CONCAT(Table3[[#This Row],[first_name]], " ",Table3[[#This Row],[last_name]])</f>
        <v>Diana Smith</v>
      </c>
    </row>
    <row r="174" spans="1:17" hidden="1" x14ac:dyDescent="0.3">
      <c r="A174">
        <v>128</v>
      </c>
      <c r="B174" t="s">
        <v>403</v>
      </c>
      <c r="C174" t="s">
        <v>496</v>
      </c>
      <c r="D174" t="s">
        <v>1126</v>
      </c>
      <c r="E174" t="s">
        <v>32</v>
      </c>
      <c r="F174" t="s">
        <v>51</v>
      </c>
      <c r="G174" s="1">
        <v>359</v>
      </c>
      <c r="H174" t="s">
        <v>34</v>
      </c>
      <c r="I174" s="2">
        <v>44540</v>
      </c>
      <c r="J174" t="s">
        <v>489</v>
      </c>
      <c r="K174" t="s">
        <v>1127</v>
      </c>
      <c r="L174">
        <v>89436</v>
      </c>
      <c r="M174" t="s">
        <v>21</v>
      </c>
      <c r="N174" t="str">
        <f>VLOOKUP(A174, Data_Set_2!$A:$D,2,FALSE)</f>
        <v>jcruz3j</v>
      </c>
      <c r="O174" t="str">
        <f>VLOOKUP(A174, Data_Set_2!$A:$D,3,FALSE)</f>
        <v>Geba</v>
      </c>
      <c r="P174" t="str">
        <f>VLOOKUP(A174, Data_Set_2!$A:$D,4,FALSE)</f>
        <v>Editor</v>
      </c>
      <c r="Q174" t="str">
        <f>_xlfn.CONCAT(Table3[[#This Row],[first_name]], " ",Table3[[#This Row],[last_name]])</f>
        <v>Jennifer Cruz</v>
      </c>
    </row>
    <row r="175" spans="1:17" hidden="1" x14ac:dyDescent="0.3">
      <c r="A175">
        <v>128</v>
      </c>
      <c r="B175" t="s">
        <v>403</v>
      </c>
      <c r="C175" t="s">
        <v>496</v>
      </c>
      <c r="D175" t="s">
        <v>1126</v>
      </c>
      <c r="E175" t="s">
        <v>32</v>
      </c>
      <c r="F175" t="s">
        <v>51</v>
      </c>
      <c r="G175" s="1">
        <v>488</v>
      </c>
      <c r="H175" t="s">
        <v>34</v>
      </c>
      <c r="I175" s="2">
        <v>44588</v>
      </c>
      <c r="J175" t="s">
        <v>489</v>
      </c>
      <c r="K175" t="s">
        <v>1127</v>
      </c>
      <c r="L175">
        <v>89436</v>
      </c>
      <c r="M175" t="s">
        <v>21</v>
      </c>
      <c r="N175" t="str">
        <f>VLOOKUP(A175, Data_Set_2!$A:$D,2,FALSE)</f>
        <v>jcruz3j</v>
      </c>
      <c r="O175" t="str">
        <f>VLOOKUP(A175, Data_Set_2!$A:$D,3,FALSE)</f>
        <v>Geba</v>
      </c>
      <c r="P175" t="str">
        <f>VLOOKUP(A175, Data_Set_2!$A:$D,4,FALSE)</f>
        <v>Editor</v>
      </c>
      <c r="Q175" t="str">
        <f>_xlfn.CONCAT(Table3[[#This Row],[first_name]], " ",Table3[[#This Row],[last_name]])</f>
        <v>Jennifer Cruz</v>
      </c>
    </row>
    <row r="176" spans="1:17" hidden="1" x14ac:dyDescent="0.3">
      <c r="A176">
        <v>129</v>
      </c>
      <c r="B176" t="s">
        <v>417</v>
      </c>
      <c r="C176" t="s">
        <v>612</v>
      </c>
      <c r="D176" t="s">
        <v>895</v>
      </c>
      <c r="E176" t="s">
        <v>16</v>
      </c>
      <c r="F176" t="s">
        <v>51</v>
      </c>
      <c r="G176" s="1">
        <v>655</v>
      </c>
      <c r="H176" t="s">
        <v>4038</v>
      </c>
      <c r="I176" s="2">
        <v>43965</v>
      </c>
      <c r="J176" t="s">
        <v>68</v>
      </c>
      <c r="K176" t="s">
        <v>475</v>
      </c>
      <c r="L176">
        <v>75241</v>
      </c>
      <c r="M176" t="s">
        <v>21</v>
      </c>
      <c r="N176" t="str">
        <f>VLOOKUP(A176, Data_Set_2!$A:$D,2,FALSE)</f>
        <v>wgonzalez3k</v>
      </c>
      <c r="O176" t="str">
        <f>VLOOKUP(A176, Data_Set_2!$A:$D,3,FALSE)</f>
        <v>Vidoo</v>
      </c>
      <c r="P176" t="str">
        <f>VLOOKUP(A176, Data_Set_2!$A:$D,4,FALSE)</f>
        <v>Analyst Programmer</v>
      </c>
      <c r="Q176" t="str">
        <f>_xlfn.CONCAT(Table3[[#This Row],[first_name]], " ",Table3[[#This Row],[last_name]])</f>
        <v>Willie Gonzalez</v>
      </c>
    </row>
    <row r="177" spans="1:17" hidden="1" x14ac:dyDescent="0.3">
      <c r="A177">
        <v>129</v>
      </c>
      <c r="B177" t="s">
        <v>417</v>
      </c>
      <c r="C177" t="s">
        <v>612</v>
      </c>
      <c r="D177" t="s">
        <v>895</v>
      </c>
      <c r="E177" t="s">
        <v>16</v>
      </c>
      <c r="F177" t="s">
        <v>51</v>
      </c>
      <c r="G177" s="1">
        <v>853</v>
      </c>
      <c r="H177" t="s">
        <v>4038</v>
      </c>
      <c r="I177" s="2">
        <v>44029</v>
      </c>
      <c r="J177" t="s">
        <v>68</v>
      </c>
      <c r="K177" t="s">
        <v>475</v>
      </c>
      <c r="L177">
        <v>75241</v>
      </c>
      <c r="M177" t="s">
        <v>21</v>
      </c>
      <c r="N177" t="str">
        <f>VLOOKUP(A177, Data_Set_2!$A:$D,2,FALSE)</f>
        <v>wgonzalez3k</v>
      </c>
      <c r="O177" t="str">
        <f>VLOOKUP(A177, Data_Set_2!$A:$D,3,FALSE)</f>
        <v>Vidoo</v>
      </c>
      <c r="P177" t="str">
        <f>VLOOKUP(A177, Data_Set_2!$A:$D,4,FALSE)</f>
        <v>Analyst Programmer</v>
      </c>
      <c r="Q177" t="str">
        <f>_xlfn.CONCAT(Table3[[#This Row],[first_name]], " ",Table3[[#This Row],[last_name]])</f>
        <v>Willie Gonzalez</v>
      </c>
    </row>
    <row r="178" spans="1:17" hidden="1" x14ac:dyDescent="0.3">
      <c r="A178">
        <v>129</v>
      </c>
      <c r="B178" t="s">
        <v>417</v>
      </c>
      <c r="C178" t="s">
        <v>612</v>
      </c>
      <c r="D178" t="s">
        <v>895</v>
      </c>
      <c r="E178" t="s">
        <v>16</v>
      </c>
      <c r="F178" t="s">
        <v>51</v>
      </c>
      <c r="G178" s="1">
        <v>598</v>
      </c>
      <c r="H178" t="s">
        <v>4038</v>
      </c>
      <c r="I178" s="2">
        <v>44209</v>
      </c>
      <c r="J178" t="s">
        <v>68</v>
      </c>
      <c r="K178" t="s">
        <v>475</v>
      </c>
      <c r="L178">
        <v>75241</v>
      </c>
      <c r="M178" t="s">
        <v>21</v>
      </c>
      <c r="N178" t="str">
        <f>VLOOKUP(A178, Data_Set_2!$A:$D,2,FALSE)</f>
        <v>wgonzalez3k</v>
      </c>
      <c r="O178" t="str">
        <f>VLOOKUP(A178, Data_Set_2!$A:$D,3,FALSE)</f>
        <v>Vidoo</v>
      </c>
      <c r="P178" t="str">
        <f>VLOOKUP(A178, Data_Set_2!$A:$D,4,FALSE)</f>
        <v>Analyst Programmer</v>
      </c>
      <c r="Q178" t="str">
        <f>_xlfn.CONCAT(Table3[[#This Row],[first_name]], " ",Table3[[#This Row],[last_name]])</f>
        <v>Willie Gonzalez</v>
      </c>
    </row>
    <row r="179" spans="1:17" hidden="1" x14ac:dyDescent="0.3">
      <c r="A179">
        <v>129</v>
      </c>
      <c r="B179" t="s">
        <v>417</v>
      </c>
      <c r="C179" t="s">
        <v>612</v>
      </c>
      <c r="D179" t="s">
        <v>895</v>
      </c>
      <c r="E179" t="s">
        <v>16</v>
      </c>
      <c r="F179" t="s">
        <v>51</v>
      </c>
      <c r="G179" s="1">
        <v>458</v>
      </c>
      <c r="H179" t="s">
        <v>4038</v>
      </c>
      <c r="I179" s="2">
        <v>44861</v>
      </c>
      <c r="J179" t="s">
        <v>68</v>
      </c>
      <c r="K179" t="s">
        <v>475</v>
      </c>
      <c r="L179">
        <v>75241</v>
      </c>
      <c r="M179" t="s">
        <v>21</v>
      </c>
      <c r="N179" t="str">
        <f>VLOOKUP(A179, Data_Set_2!$A:$D,2,FALSE)</f>
        <v>wgonzalez3k</v>
      </c>
      <c r="O179" t="str">
        <f>VLOOKUP(A179, Data_Set_2!$A:$D,3,FALSE)</f>
        <v>Vidoo</v>
      </c>
      <c r="P179" t="str">
        <f>VLOOKUP(A179, Data_Set_2!$A:$D,4,FALSE)</f>
        <v>Analyst Programmer</v>
      </c>
      <c r="Q179" t="str">
        <f>_xlfn.CONCAT(Table3[[#This Row],[first_name]], " ",Table3[[#This Row],[last_name]])</f>
        <v>Willie Gonzalez</v>
      </c>
    </row>
    <row r="180" spans="1:17" hidden="1" x14ac:dyDescent="0.3">
      <c r="A180">
        <v>130</v>
      </c>
      <c r="B180" t="s">
        <v>837</v>
      </c>
      <c r="C180" t="s">
        <v>838</v>
      </c>
      <c r="D180" t="s">
        <v>839</v>
      </c>
      <c r="E180" t="s">
        <v>16</v>
      </c>
      <c r="F180" t="s">
        <v>33</v>
      </c>
      <c r="G180" s="1">
        <v>761</v>
      </c>
      <c r="H180" t="s">
        <v>26</v>
      </c>
      <c r="I180" s="2">
        <v>43840</v>
      </c>
      <c r="J180" t="s">
        <v>115</v>
      </c>
      <c r="K180" t="s">
        <v>351</v>
      </c>
      <c r="L180">
        <v>32808</v>
      </c>
      <c r="M180" t="s">
        <v>21</v>
      </c>
      <c r="N180" t="str">
        <f>VLOOKUP(A180, Data_Set_2!$A:$D,2,FALSE)</f>
        <v>carnold3l</v>
      </c>
      <c r="O180" t="str">
        <f>VLOOKUP(A180, Data_Set_2!$A:$D,3,FALSE)</f>
        <v>Thoughtbridge</v>
      </c>
      <c r="P180" t="str">
        <f>VLOOKUP(A180, Data_Set_2!$A:$D,4,FALSE)</f>
        <v>Product Engineer</v>
      </c>
      <c r="Q180" t="str">
        <f>_xlfn.CONCAT(Table3[[#This Row],[first_name]], " ",Table3[[#This Row],[last_name]])</f>
        <v>Charles Arnold</v>
      </c>
    </row>
    <row r="181" spans="1:17" hidden="1" x14ac:dyDescent="0.3">
      <c r="A181">
        <v>135</v>
      </c>
      <c r="B181" t="s">
        <v>333</v>
      </c>
      <c r="C181" t="s">
        <v>334</v>
      </c>
      <c r="D181" t="s">
        <v>335</v>
      </c>
      <c r="E181" t="s">
        <v>32</v>
      </c>
      <c r="F181" t="s">
        <v>17</v>
      </c>
      <c r="G181" s="1">
        <v>706</v>
      </c>
      <c r="H181" t="s">
        <v>26</v>
      </c>
      <c r="I181" s="2">
        <v>43243</v>
      </c>
      <c r="J181" t="s">
        <v>152</v>
      </c>
      <c r="K181" t="s">
        <v>251</v>
      </c>
      <c r="L181">
        <v>44305</v>
      </c>
      <c r="M181" t="s">
        <v>21</v>
      </c>
      <c r="N181" t="str">
        <f>VLOOKUP(A181, Data_Set_2!$A:$D,2,FALSE)</f>
        <v>cshaw3q</v>
      </c>
      <c r="O181" t="str">
        <f>VLOOKUP(A181, Data_Set_2!$A:$D,3,FALSE)</f>
        <v>Shufflester</v>
      </c>
      <c r="P181" t="str">
        <f>VLOOKUP(A181, Data_Set_2!$A:$D,4,FALSE)</f>
        <v>Professor</v>
      </c>
      <c r="Q181" t="str">
        <f>_xlfn.CONCAT(Table3[[#This Row],[first_name]], " ",Table3[[#This Row],[last_name]])</f>
        <v>Carol Shaw</v>
      </c>
    </row>
    <row r="182" spans="1:17" hidden="1" x14ac:dyDescent="0.3">
      <c r="A182">
        <v>135</v>
      </c>
      <c r="B182" t="s">
        <v>333</v>
      </c>
      <c r="C182" t="s">
        <v>334</v>
      </c>
      <c r="D182" t="s">
        <v>335</v>
      </c>
      <c r="E182" t="s">
        <v>32</v>
      </c>
      <c r="F182" t="s">
        <v>17</v>
      </c>
      <c r="G182" s="1">
        <v>996</v>
      </c>
      <c r="H182" t="s">
        <v>26</v>
      </c>
      <c r="I182" s="2">
        <v>43332</v>
      </c>
      <c r="J182" t="s">
        <v>152</v>
      </c>
      <c r="K182" t="s">
        <v>251</v>
      </c>
      <c r="L182">
        <v>44305</v>
      </c>
      <c r="M182" t="s">
        <v>21</v>
      </c>
      <c r="N182" t="str">
        <f>VLOOKUP(A182, Data_Set_2!$A:$D,2,FALSE)</f>
        <v>cshaw3q</v>
      </c>
      <c r="O182" t="str">
        <f>VLOOKUP(A182, Data_Set_2!$A:$D,3,FALSE)</f>
        <v>Shufflester</v>
      </c>
      <c r="P182" t="str">
        <f>VLOOKUP(A182, Data_Set_2!$A:$D,4,FALSE)</f>
        <v>Professor</v>
      </c>
      <c r="Q182" t="str">
        <f>_xlfn.CONCAT(Table3[[#This Row],[first_name]], " ",Table3[[#This Row],[last_name]])</f>
        <v>Carol Shaw</v>
      </c>
    </row>
    <row r="183" spans="1:17" hidden="1" x14ac:dyDescent="0.3">
      <c r="A183">
        <v>135</v>
      </c>
      <c r="B183" t="s">
        <v>333</v>
      </c>
      <c r="C183" t="s">
        <v>334</v>
      </c>
      <c r="D183" t="s">
        <v>335</v>
      </c>
      <c r="E183" t="s">
        <v>32</v>
      </c>
      <c r="F183" t="s">
        <v>17</v>
      </c>
      <c r="G183" s="1">
        <v>379</v>
      </c>
      <c r="H183" t="s">
        <v>26</v>
      </c>
      <c r="I183" s="2">
        <v>43351</v>
      </c>
      <c r="J183" t="s">
        <v>152</v>
      </c>
      <c r="K183" t="s">
        <v>251</v>
      </c>
      <c r="L183">
        <v>44305</v>
      </c>
      <c r="M183" t="s">
        <v>21</v>
      </c>
      <c r="N183" t="str">
        <f>VLOOKUP(A183, Data_Set_2!$A:$D,2,FALSE)</f>
        <v>cshaw3q</v>
      </c>
      <c r="O183" t="str">
        <f>VLOOKUP(A183, Data_Set_2!$A:$D,3,FALSE)</f>
        <v>Shufflester</v>
      </c>
      <c r="P183" t="str">
        <f>VLOOKUP(A183, Data_Set_2!$A:$D,4,FALSE)</f>
        <v>Professor</v>
      </c>
      <c r="Q183" t="str">
        <f>_xlfn.CONCAT(Table3[[#This Row],[first_name]], " ",Table3[[#This Row],[last_name]])</f>
        <v>Carol Shaw</v>
      </c>
    </row>
    <row r="184" spans="1:17" hidden="1" x14ac:dyDescent="0.3">
      <c r="A184">
        <v>135</v>
      </c>
      <c r="B184" t="s">
        <v>333</v>
      </c>
      <c r="C184" t="s">
        <v>334</v>
      </c>
      <c r="D184" t="s">
        <v>335</v>
      </c>
      <c r="E184" t="s">
        <v>32</v>
      </c>
      <c r="F184" t="s">
        <v>17</v>
      </c>
      <c r="G184" s="1">
        <v>205</v>
      </c>
      <c r="H184" t="s">
        <v>26</v>
      </c>
      <c r="I184" s="2">
        <v>43412</v>
      </c>
      <c r="J184" t="s">
        <v>152</v>
      </c>
      <c r="K184" t="s">
        <v>251</v>
      </c>
      <c r="L184">
        <v>44305</v>
      </c>
      <c r="M184" t="s">
        <v>21</v>
      </c>
      <c r="N184" t="str">
        <f>VLOOKUP(A184, Data_Set_2!$A:$D,2,FALSE)</f>
        <v>cshaw3q</v>
      </c>
      <c r="O184" t="str">
        <f>VLOOKUP(A184, Data_Set_2!$A:$D,3,FALSE)</f>
        <v>Shufflester</v>
      </c>
      <c r="P184" t="str">
        <f>VLOOKUP(A184, Data_Set_2!$A:$D,4,FALSE)</f>
        <v>Professor</v>
      </c>
      <c r="Q184" t="str">
        <f>_xlfn.CONCAT(Table3[[#This Row],[first_name]], " ",Table3[[#This Row],[last_name]])</f>
        <v>Carol Shaw</v>
      </c>
    </row>
    <row r="185" spans="1:17" hidden="1" x14ac:dyDescent="0.3">
      <c r="A185">
        <v>135</v>
      </c>
      <c r="B185" t="s">
        <v>333</v>
      </c>
      <c r="C185" t="s">
        <v>334</v>
      </c>
      <c r="D185" t="s">
        <v>335</v>
      </c>
      <c r="E185" t="s">
        <v>32</v>
      </c>
      <c r="F185" t="s">
        <v>17</v>
      </c>
      <c r="G185" s="1">
        <v>532</v>
      </c>
      <c r="H185" t="s">
        <v>26</v>
      </c>
      <c r="I185" s="2">
        <v>43474</v>
      </c>
      <c r="J185" t="s">
        <v>152</v>
      </c>
      <c r="K185" t="s">
        <v>251</v>
      </c>
      <c r="L185">
        <v>44305</v>
      </c>
      <c r="M185" t="s">
        <v>21</v>
      </c>
      <c r="N185" t="str">
        <f>VLOOKUP(A185, Data_Set_2!$A:$D,2,FALSE)</f>
        <v>cshaw3q</v>
      </c>
      <c r="O185" t="str">
        <f>VLOOKUP(A185, Data_Set_2!$A:$D,3,FALSE)</f>
        <v>Shufflester</v>
      </c>
      <c r="P185" t="str">
        <f>VLOOKUP(A185, Data_Set_2!$A:$D,4,FALSE)</f>
        <v>Professor</v>
      </c>
      <c r="Q185" t="str">
        <f>_xlfn.CONCAT(Table3[[#This Row],[first_name]], " ",Table3[[#This Row],[last_name]])</f>
        <v>Carol Shaw</v>
      </c>
    </row>
    <row r="186" spans="1:17" hidden="1" x14ac:dyDescent="0.3">
      <c r="A186">
        <v>135</v>
      </c>
      <c r="B186" t="s">
        <v>333</v>
      </c>
      <c r="C186" t="s">
        <v>334</v>
      </c>
      <c r="D186" t="s">
        <v>335</v>
      </c>
      <c r="E186" t="s">
        <v>32</v>
      </c>
      <c r="F186" t="s">
        <v>17</v>
      </c>
      <c r="G186" s="1">
        <v>223</v>
      </c>
      <c r="H186" t="s">
        <v>26</v>
      </c>
      <c r="I186" s="2">
        <v>43693</v>
      </c>
      <c r="J186" t="s">
        <v>152</v>
      </c>
      <c r="K186" t="s">
        <v>251</v>
      </c>
      <c r="L186">
        <v>44305</v>
      </c>
      <c r="M186" t="s">
        <v>21</v>
      </c>
      <c r="N186" t="str">
        <f>VLOOKUP(A186, Data_Set_2!$A:$D,2,FALSE)</f>
        <v>cshaw3q</v>
      </c>
      <c r="O186" t="str">
        <f>VLOOKUP(A186, Data_Set_2!$A:$D,3,FALSE)</f>
        <v>Shufflester</v>
      </c>
      <c r="P186" t="str">
        <f>VLOOKUP(A186, Data_Set_2!$A:$D,4,FALSE)</f>
        <v>Professor</v>
      </c>
      <c r="Q186" t="str">
        <f>_xlfn.CONCAT(Table3[[#This Row],[first_name]], " ",Table3[[#This Row],[last_name]])</f>
        <v>Carol Shaw</v>
      </c>
    </row>
    <row r="187" spans="1:17" hidden="1" x14ac:dyDescent="0.3">
      <c r="A187">
        <v>135</v>
      </c>
      <c r="B187" t="s">
        <v>333</v>
      </c>
      <c r="C187" t="s">
        <v>334</v>
      </c>
      <c r="D187" t="s">
        <v>335</v>
      </c>
      <c r="E187" t="s">
        <v>32</v>
      </c>
      <c r="F187" t="s">
        <v>17</v>
      </c>
      <c r="G187" s="1">
        <v>956</v>
      </c>
      <c r="H187" t="s">
        <v>26</v>
      </c>
      <c r="I187" s="2">
        <v>43695</v>
      </c>
      <c r="J187" t="s">
        <v>152</v>
      </c>
      <c r="K187" t="s">
        <v>251</v>
      </c>
      <c r="L187">
        <v>44305</v>
      </c>
      <c r="M187" t="s">
        <v>21</v>
      </c>
      <c r="N187" t="str">
        <f>VLOOKUP(A187, Data_Set_2!$A:$D,2,FALSE)</f>
        <v>cshaw3q</v>
      </c>
      <c r="O187" t="str">
        <f>VLOOKUP(A187, Data_Set_2!$A:$D,3,FALSE)</f>
        <v>Shufflester</v>
      </c>
      <c r="P187" t="str">
        <f>VLOOKUP(A187, Data_Set_2!$A:$D,4,FALSE)</f>
        <v>Professor</v>
      </c>
      <c r="Q187" t="str">
        <f>_xlfn.CONCAT(Table3[[#This Row],[first_name]], " ",Table3[[#This Row],[last_name]])</f>
        <v>Carol Shaw</v>
      </c>
    </row>
    <row r="188" spans="1:17" hidden="1" x14ac:dyDescent="0.3">
      <c r="A188">
        <v>135</v>
      </c>
      <c r="B188" t="s">
        <v>333</v>
      </c>
      <c r="C188" t="s">
        <v>334</v>
      </c>
      <c r="D188" t="s">
        <v>335</v>
      </c>
      <c r="E188" t="s">
        <v>32</v>
      </c>
      <c r="F188" t="s">
        <v>17</v>
      </c>
      <c r="G188" s="1">
        <v>273</v>
      </c>
      <c r="H188" t="s">
        <v>26</v>
      </c>
      <c r="I188" s="2">
        <v>43728</v>
      </c>
      <c r="J188" t="s">
        <v>152</v>
      </c>
      <c r="K188" t="s">
        <v>251</v>
      </c>
      <c r="L188">
        <v>44305</v>
      </c>
      <c r="M188" t="s">
        <v>21</v>
      </c>
      <c r="N188" t="str">
        <f>VLOOKUP(A188, Data_Set_2!$A:$D,2,FALSE)</f>
        <v>cshaw3q</v>
      </c>
      <c r="O188" t="str">
        <f>VLOOKUP(A188, Data_Set_2!$A:$D,3,FALSE)</f>
        <v>Shufflester</v>
      </c>
      <c r="P188" t="str">
        <f>VLOOKUP(A188, Data_Set_2!$A:$D,4,FALSE)</f>
        <v>Professor</v>
      </c>
      <c r="Q188" t="str">
        <f>_xlfn.CONCAT(Table3[[#This Row],[first_name]], " ",Table3[[#This Row],[last_name]])</f>
        <v>Carol Shaw</v>
      </c>
    </row>
    <row r="189" spans="1:17" hidden="1" x14ac:dyDescent="0.3">
      <c r="A189">
        <v>135</v>
      </c>
      <c r="B189" t="s">
        <v>333</v>
      </c>
      <c r="C189" t="s">
        <v>334</v>
      </c>
      <c r="D189" t="s">
        <v>335</v>
      </c>
      <c r="E189" t="s">
        <v>32</v>
      </c>
      <c r="F189" t="s">
        <v>17</v>
      </c>
      <c r="G189" s="1">
        <v>831</v>
      </c>
      <c r="H189" t="s">
        <v>26</v>
      </c>
      <c r="I189" s="2">
        <v>44064</v>
      </c>
      <c r="J189" t="s">
        <v>152</v>
      </c>
      <c r="K189" t="s">
        <v>251</v>
      </c>
      <c r="L189">
        <v>44305</v>
      </c>
      <c r="M189" t="s">
        <v>21</v>
      </c>
      <c r="N189" t="str">
        <f>VLOOKUP(A189, Data_Set_2!$A:$D,2,FALSE)</f>
        <v>cshaw3q</v>
      </c>
      <c r="O189" t="str">
        <f>VLOOKUP(A189, Data_Set_2!$A:$D,3,FALSE)</f>
        <v>Shufflester</v>
      </c>
      <c r="P189" t="str">
        <f>VLOOKUP(A189, Data_Set_2!$A:$D,4,FALSE)</f>
        <v>Professor</v>
      </c>
      <c r="Q189" t="str">
        <f>_xlfn.CONCAT(Table3[[#This Row],[first_name]], " ",Table3[[#This Row],[last_name]])</f>
        <v>Carol Shaw</v>
      </c>
    </row>
    <row r="190" spans="1:17" hidden="1" x14ac:dyDescent="0.3">
      <c r="A190">
        <v>135</v>
      </c>
      <c r="B190" t="s">
        <v>333</v>
      </c>
      <c r="C190" t="s">
        <v>334</v>
      </c>
      <c r="D190" t="s">
        <v>335</v>
      </c>
      <c r="E190" t="s">
        <v>32</v>
      </c>
      <c r="F190" t="s">
        <v>17</v>
      </c>
      <c r="G190" s="1">
        <v>911</v>
      </c>
      <c r="H190" t="s">
        <v>26</v>
      </c>
      <c r="I190" s="2">
        <v>44233</v>
      </c>
      <c r="J190" t="s">
        <v>152</v>
      </c>
      <c r="K190" t="s">
        <v>251</v>
      </c>
      <c r="L190">
        <v>44305</v>
      </c>
      <c r="M190" t="s">
        <v>21</v>
      </c>
      <c r="N190" t="str">
        <f>VLOOKUP(A190, Data_Set_2!$A:$D,2,FALSE)</f>
        <v>cshaw3q</v>
      </c>
      <c r="O190" t="str">
        <f>VLOOKUP(A190, Data_Set_2!$A:$D,3,FALSE)</f>
        <v>Shufflester</v>
      </c>
      <c r="P190" t="str">
        <f>VLOOKUP(A190, Data_Set_2!$A:$D,4,FALSE)</f>
        <v>Professor</v>
      </c>
      <c r="Q190" t="str">
        <f>_xlfn.CONCAT(Table3[[#This Row],[first_name]], " ",Table3[[#This Row],[last_name]])</f>
        <v>Carol Shaw</v>
      </c>
    </row>
    <row r="191" spans="1:17" hidden="1" x14ac:dyDescent="0.3">
      <c r="A191">
        <v>135</v>
      </c>
      <c r="B191" t="s">
        <v>333</v>
      </c>
      <c r="C191" t="s">
        <v>334</v>
      </c>
      <c r="D191" t="s">
        <v>335</v>
      </c>
      <c r="E191" t="s">
        <v>32</v>
      </c>
      <c r="F191" t="s">
        <v>17</v>
      </c>
      <c r="G191" s="1">
        <v>203</v>
      </c>
      <c r="H191" t="s">
        <v>26</v>
      </c>
      <c r="I191" s="2">
        <v>44586</v>
      </c>
      <c r="J191" t="s">
        <v>152</v>
      </c>
      <c r="K191" t="s">
        <v>251</v>
      </c>
      <c r="L191">
        <v>44305</v>
      </c>
      <c r="M191" t="s">
        <v>21</v>
      </c>
      <c r="N191" t="str">
        <f>VLOOKUP(A191, Data_Set_2!$A:$D,2,FALSE)</f>
        <v>cshaw3q</v>
      </c>
      <c r="O191" t="str">
        <f>VLOOKUP(A191, Data_Set_2!$A:$D,3,FALSE)</f>
        <v>Shufflester</v>
      </c>
      <c r="P191" t="str">
        <f>VLOOKUP(A191, Data_Set_2!$A:$D,4,FALSE)</f>
        <v>Professor</v>
      </c>
      <c r="Q191" t="str">
        <f>_xlfn.CONCAT(Table3[[#This Row],[first_name]], " ",Table3[[#This Row],[last_name]])</f>
        <v>Carol Shaw</v>
      </c>
    </row>
    <row r="192" spans="1:17" hidden="1" x14ac:dyDescent="0.3">
      <c r="A192">
        <v>136</v>
      </c>
      <c r="B192" t="s">
        <v>204</v>
      </c>
      <c r="C192" t="s">
        <v>993</v>
      </c>
      <c r="D192" t="s">
        <v>994</v>
      </c>
      <c r="E192" t="s">
        <v>32</v>
      </c>
      <c r="F192" t="s">
        <v>25</v>
      </c>
      <c r="G192" s="1">
        <v>69</v>
      </c>
      <c r="H192" t="s">
        <v>26</v>
      </c>
      <c r="I192" s="2">
        <v>44204</v>
      </c>
      <c r="J192" t="s">
        <v>287</v>
      </c>
      <c r="K192" t="s">
        <v>504</v>
      </c>
      <c r="L192">
        <v>85083</v>
      </c>
      <c r="M192" t="s">
        <v>21</v>
      </c>
      <c r="N192" t="str">
        <f>VLOOKUP(A192, Data_Set_2!$A:$D,2,FALSE)</f>
        <v>vdixon3r</v>
      </c>
      <c r="O192" t="str">
        <f>VLOOKUP(A192, Data_Set_2!$A:$D,3,FALSE)</f>
        <v>Jabbersphere</v>
      </c>
      <c r="P192" t="str">
        <f>VLOOKUP(A192, Data_Set_2!$A:$D,4,FALSE)</f>
        <v>Research Assistant III</v>
      </c>
      <c r="Q192" t="str">
        <f>_xlfn.CONCAT(Table3[[#This Row],[first_name]], " ",Table3[[#This Row],[last_name]])</f>
        <v>Virginia Dixon</v>
      </c>
    </row>
    <row r="193" spans="1:17" x14ac:dyDescent="0.3">
      <c r="A193">
        <v>144</v>
      </c>
      <c r="B193" t="s">
        <v>381</v>
      </c>
      <c r="C193" t="s">
        <v>847</v>
      </c>
      <c r="D193" t="s">
        <v>848</v>
      </c>
      <c r="E193" t="s">
        <v>16</v>
      </c>
      <c r="F193" t="s">
        <v>25</v>
      </c>
      <c r="G193" s="1">
        <v>913</v>
      </c>
      <c r="H193" t="s">
        <v>95</v>
      </c>
      <c r="I193" s="2">
        <v>43849</v>
      </c>
      <c r="J193" t="s">
        <v>287</v>
      </c>
      <c r="K193" t="s">
        <v>288</v>
      </c>
      <c r="L193">
        <v>85743</v>
      </c>
      <c r="M193" t="s">
        <v>21</v>
      </c>
      <c r="N193" t="str">
        <f>VLOOKUP(A193, Data_Set_2!$A:$D,2,FALSE)</f>
        <v>mgrant3z</v>
      </c>
      <c r="O193" t="str">
        <f>VLOOKUP(A193, Data_Set_2!$A:$D,3,FALSE)</f>
        <v>Tagtune</v>
      </c>
      <c r="P193" t="str">
        <f>VLOOKUP(A193, Data_Set_2!$A:$D,4,FALSE)</f>
        <v>Design Engineer</v>
      </c>
      <c r="Q193" t="str">
        <f>_xlfn.CONCAT(Table3[[#This Row],[first_name]], " ",Table3[[#This Row],[last_name]])</f>
        <v>Matthew Grant</v>
      </c>
    </row>
    <row r="194" spans="1:17" hidden="1" x14ac:dyDescent="0.3">
      <c r="A194">
        <v>145</v>
      </c>
      <c r="B194" t="s">
        <v>1183</v>
      </c>
      <c r="C194" t="s">
        <v>522</v>
      </c>
      <c r="D194" t="s">
        <v>1184</v>
      </c>
      <c r="E194" t="s">
        <v>16</v>
      </c>
      <c r="F194" t="s">
        <v>33</v>
      </c>
      <c r="G194" s="1">
        <v>368</v>
      </c>
      <c r="H194" t="s">
        <v>34</v>
      </c>
      <c r="I194" s="2">
        <v>44682</v>
      </c>
      <c r="J194" t="s">
        <v>115</v>
      </c>
      <c r="K194" t="s">
        <v>1185</v>
      </c>
      <c r="L194">
        <v>33305</v>
      </c>
      <c r="M194" t="s">
        <v>21</v>
      </c>
      <c r="N194" t="str">
        <f>VLOOKUP(A194, Data_Set_2!$A:$D,2,FALSE)</f>
        <v>ralvarez40</v>
      </c>
      <c r="O194" t="str">
        <f>VLOOKUP(A194, Data_Set_2!$A:$D,3,FALSE)</f>
        <v>Yozio</v>
      </c>
      <c r="P194" t="str">
        <f>VLOOKUP(A194, Data_Set_2!$A:$D,4,FALSE)</f>
        <v>Web Developer III</v>
      </c>
      <c r="Q194" t="str">
        <f>_xlfn.CONCAT(Table3[[#This Row],[first_name]], " ",Table3[[#This Row],[last_name]])</f>
        <v>Roy Alvarez</v>
      </c>
    </row>
    <row r="195" spans="1:17" hidden="1" x14ac:dyDescent="0.3">
      <c r="A195">
        <v>149</v>
      </c>
      <c r="B195" t="s">
        <v>661</v>
      </c>
      <c r="C195" t="s">
        <v>762</v>
      </c>
      <c r="D195" t="s">
        <v>1209</v>
      </c>
      <c r="E195" t="s">
        <v>16</v>
      </c>
      <c r="F195" t="s">
        <v>33</v>
      </c>
      <c r="G195" s="1">
        <v>519</v>
      </c>
      <c r="H195" t="s">
        <v>26</v>
      </c>
      <c r="I195" s="2">
        <v>44757</v>
      </c>
      <c r="J195" t="s">
        <v>220</v>
      </c>
      <c r="K195" t="s">
        <v>295</v>
      </c>
      <c r="L195">
        <v>98158</v>
      </c>
      <c r="M195" t="s">
        <v>21</v>
      </c>
      <c r="N195" t="str">
        <f>VLOOKUP(A195, Data_Set_2!$A:$D,2,FALSE)</f>
        <v>wnichols44</v>
      </c>
      <c r="O195" t="str">
        <f>VLOOKUP(A195, Data_Set_2!$A:$D,3,FALSE)</f>
        <v>Mudo</v>
      </c>
      <c r="P195" t="str">
        <f>VLOOKUP(A195, Data_Set_2!$A:$D,4,FALSE)</f>
        <v>Occupational Therapist</v>
      </c>
      <c r="Q195" t="str">
        <f>_xlfn.CONCAT(Table3[[#This Row],[first_name]], " ",Table3[[#This Row],[last_name]])</f>
        <v>Walter Nichols</v>
      </c>
    </row>
    <row r="196" spans="1:17" hidden="1" x14ac:dyDescent="0.3">
      <c r="A196">
        <v>150</v>
      </c>
      <c r="B196" t="s">
        <v>775</v>
      </c>
      <c r="C196" t="s">
        <v>465</v>
      </c>
      <c r="D196" t="s">
        <v>776</v>
      </c>
      <c r="E196" t="s">
        <v>16</v>
      </c>
      <c r="F196" t="s">
        <v>33</v>
      </c>
      <c r="G196" s="1">
        <v>401</v>
      </c>
      <c r="H196" t="s">
        <v>26</v>
      </c>
      <c r="I196" s="2">
        <v>43731</v>
      </c>
      <c r="J196" t="s">
        <v>147</v>
      </c>
      <c r="K196" t="s">
        <v>777</v>
      </c>
      <c r="L196">
        <v>53716</v>
      </c>
      <c r="M196" t="s">
        <v>21</v>
      </c>
      <c r="N196" t="str">
        <f>VLOOKUP(A196, Data_Set_2!$A:$D,2,FALSE)</f>
        <v>jdean45</v>
      </c>
      <c r="O196" t="str">
        <f>VLOOKUP(A196, Data_Set_2!$A:$D,3,FALSE)</f>
        <v>Quatz</v>
      </c>
      <c r="P196" t="str">
        <f>VLOOKUP(A196, Data_Set_2!$A:$D,4,FALSE)</f>
        <v>Senior Developer</v>
      </c>
      <c r="Q196" t="str">
        <f>_xlfn.CONCAT(Table3[[#This Row],[first_name]], " ",Table3[[#This Row],[last_name]])</f>
        <v>Jeffrey Dean</v>
      </c>
    </row>
    <row r="197" spans="1:17" hidden="1" x14ac:dyDescent="0.3">
      <c r="A197">
        <v>151</v>
      </c>
      <c r="B197" t="s">
        <v>1183</v>
      </c>
      <c r="C197" t="s">
        <v>49</v>
      </c>
      <c r="D197" t="s">
        <v>1228</v>
      </c>
      <c r="E197" t="s">
        <v>16</v>
      </c>
      <c r="F197" t="s">
        <v>274</v>
      </c>
      <c r="G197" s="1">
        <v>20</v>
      </c>
      <c r="H197" t="s">
        <v>416</v>
      </c>
      <c r="I197" s="2">
        <v>44812</v>
      </c>
      <c r="J197" t="s">
        <v>115</v>
      </c>
      <c r="K197" t="s">
        <v>1185</v>
      </c>
      <c r="L197">
        <v>33305</v>
      </c>
      <c r="M197" t="s">
        <v>21</v>
      </c>
      <c r="N197" t="str">
        <f>VLOOKUP(A197, Data_Set_2!$A:$D,2,FALSE)</f>
        <v>rhart46</v>
      </c>
      <c r="O197" t="str">
        <f>VLOOKUP(A197, Data_Set_2!$A:$D,3,FALSE)</f>
        <v>Jabberstorm</v>
      </c>
      <c r="P197" t="str">
        <f>VLOOKUP(A197, Data_Set_2!$A:$D,4,FALSE)</f>
        <v>Civil Engineer</v>
      </c>
      <c r="Q197" t="str">
        <f>_xlfn.CONCAT(Table3[[#This Row],[first_name]], " ",Table3[[#This Row],[last_name]])</f>
        <v>Roy Hart</v>
      </c>
    </row>
    <row r="198" spans="1:17" hidden="1" x14ac:dyDescent="0.3">
      <c r="A198">
        <v>153</v>
      </c>
      <c r="B198" t="s">
        <v>112</v>
      </c>
      <c r="C198" t="s">
        <v>113</v>
      </c>
      <c r="D198" t="s">
        <v>114</v>
      </c>
      <c r="E198" t="s">
        <v>32</v>
      </c>
      <c r="F198" t="s">
        <v>33</v>
      </c>
      <c r="G198" s="1">
        <v>840</v>
      </c>
      <c r="H198" t="s">
        <v>62</v>
      </c>
      <c r="I198" s="2">
        <v>43131</v>
      </c>
      <c r="J198" t="s">
        <v>115</v>
      </c>
      <c r="K198" t="s">
        <v>116</v>
      </c>
      <c r="L198">
        <v>34479</v>
      </c>
      <c r="M198" t="s">
        <v>21</v>
      </c>
      <c r="N198" t="str">
        <f>VLOOKUP(A198, Data_Set_2!$A:$D,2,FALSE)</f>
        <v>ncooper48</v>
      </c>
      <c r="O198" t="str">
        <f>VLOOKUP(A198, Data_Set_2!$A:$D,3,FALSE)</f>
        <v>Thoughtbeat</v>
      </c>
      <c r="P198" t="str">
        <f>VLOOKUP(A198, Data_Set_2!$A:$D,4,FALSE)</f>
        <v>Recruiter</v>
      </c>
      <c r="Q198" t="str">
        <f>_xlfn.CONCAT(Table3[[#This Row],[first_name]], " ",Table3[[#This Row],[last_name]])</f>
        <v>Norma Cooper</v>
      </c>
    </row>
    <row r="199" spans="1:17" hidden="1" x14ac:dyDescent="0.3">
      <c r="A199">
        <v>154</v>
      </c>
      <c r="B199" t="s">
        <v>85</v>
      </c>
      <c r="C199" t="s">
        <v>14</v>
      </c>
      <c r="D199" t="s">
        <v>703</v>
      </c>
      <c r="E199" t="s">
        <v>32</v>
      </c>
      <c r="F199" t="s">
        <v>33</v>
      </c>
      <c r="G199" s="1">
        <v>946</v>
      </c>
      <c r="H199" t="s">
        <v>416</v>
      </c>
      <c r="I199" s="2">
        <v>43646</v>
      </c>
      <c r="J199" t="s">
        <v>704</v>
      </c>
      <c r="K199" t="s">
        <v>705</v>
      </c>
      <c r="L199">
        <v>73109</v>
      </c>
      <c r="M199" t="s">
        <v>21</v>
      </c>
      <c r="N199" t="str">
        <f>VLOOKUP(A199, Data_Set_2!$A:$D,2,FALSE)</f>
        <v>jedwards49</v>
      </c>
      <c r="O199" t="str">
        <f>VLOOKUP(A199, Data_Set_2!$A:$D,3,FALSE)</f>
        <v>Bubblebox</v>
      </c>
      <c r="P199" t="str">
        <f>VLOOKUP(A199, Data_Set_2!$A:$D,4,FALSE)</f>
        <v>Accountant II</v>
      </c>
      <c r="Q199" t="str">
        <f>_xlfn.CONCAT(Table3[[#This Row],[first_name]], " ",Table3[[#This Row],[last_name]])</f>
        <v>Janice Edwards</v>
      </c>
    </row>
    <row r="200" spans="1:17" hidden="1" x14ac:dyDescent="0.3">
      <c r="A200">
        <v>157</v>
      </c>
      <c r="B200" t="s">
        <v>712</v>
      </c>
      <c r="C200" t="s">
        <v>991</v>
      </c>
      <c r="D200" t="s">
        <v>992</v>
      </c>
      <c r="E200" t="s">
        <v>32</v>
      </c>
      <c r="F200" t="s">
        <v>33</v>
      </c>
      <c r="G200" s="1">
        <v>439</v>
      </c>
      <c r="H200" t="s">
        <v>62</v>
      </c>
      <c r="I200" s="2">
        <v>44203</v>
      </c>
      <c r="J200" t="s">
        <v>120</v>
      </c>
      <c r="K200" t="s">
        <v>121</v>
      </c>
      <c r="L200">
        <v>71115</v>
      </c>
      <c r="M200" t="s">
        <v>21</v>
      </c>
      <c r="N200" t="str">
        <f>VLOOKUP(A200, Data_Set_2!$A:$D,2,FALSE)</f>
        <v>jgarcia4c</v>
      </c>
      <c r="O200" t="str">
        <f>VLOOKUP(A200, Data_Set_2!$A:$D,3,FALSE)</f>
        <v>Voonte</v>
      </c>
      <c r="P200" t="str">
        <f>VLOOKUP(A200, Data_Set_2!$A:$D,4,FALSE)</f>
        <v>Director of Sales</v>
      </c>
      <c r="Q200" t="str">
        <f>_xlfn.CONCAT(Table3[[#This Row],[first_name]], " ",Table3[[#This Row],[last_name]])</f>
        <v>Joan Garcia</v>
      </c>
    </row>
    <row r="201" spans="1:17" hidden="1" x14ac:dyDescent="0.3">
      <c r="A201">
        <v>158</v>
      </c>
      <c r="B201" t="s">
        <v>336</v>
      </c>
      <c r="C201" t="s">
        <v>379</v>
      </c>
      <c r="D201" t="s">
        <v>1215</v>
      </c>
      <c r="E201" t="s">
        <v>16</v>
      </c>
      <c r="F201" t="s">
        <v>33</v>
      </c>
      <c r="G201" s="1">
        <v>779</v>
      </c>
      <c r="H201" t="s">
        <v>26</v>
      </c>
      <c r="I201" s="2">
        <v>44773</v>
      </c>
      <c r="J201" t="s">
        <v>184</v>
      </c>
      <c r="K201" t="s">
        <v>1216</v>
      </c>
      <c r="L201">
        <v>10705</v>
      </c>
      <c r="M201" t="s">
        <v>21</v>
      </c>
      <c r="N201" t="str">
        <f>VLOOKUP(A201, Data_Set_2!$A:$D,2,FALSE)</f>
        <v>rsimmons4d</v>
      </c>
      <c r="O201" t="str">
        <f>VLOOKUP(A201, Data_Set_2!$A:$D,3,FALSE)</f>
        <v>Photobug</v>
      </c>
      <c r="P201" t="str">
        <f>VLOOKUP(A201, Data_Set_2!$A:$D,4,FALSE)</f>
        <v>Accounting Assistant II</v>
      </c>
      <c r="Q201" t="str">
        <f>_xlfn.CONCAT(Table3[[#This Row],[first_name]], " ",Table3[[#This Row],[last_name]])</f>
        <v>Ronald Simmons</v>
      </c>
    </row>
    <row r="202" spans="1:17" hidden="1" x14ac:dyDescent="0.3">
      <c r="A202">
        <v>159</v>
      </c>
      <c r="B202" t="s">
        <v>13</v>
      </c>
      <c r="C202" t="s">
        <v>1089</v>
      </c>
      <c r="D202" t="s">
        <v>1090</v>
      </c>
      <c r="E202" t="s">
        <v>16</v>
      </c>
      <c r="F202" t="s">
        <v>17</v>
      </c>
      <c r="G202" s="1">
        <v>438</v>
      </c>
      <c r="H202" t="s">
        <v>26</v>
      </c>
      <c r="I202" s="2">
        <v>44455</v>
      </c>
      <c r="J202" t="s">
        <v>192</v>
      </c>
      <c r="K202" t="s">
        <v>193</v>
      </c>
      <c r="L202">
        <v>55480</v>
      </c>
      <c r="M202" t="s">
        <v>21</v>
      </c>
      <c r="N202" t="str">
        <f>VLOOKUP(A202, Data_Set_2!$A:$D,2,FALSE)</f>
        <v>slittle4e</v>
      </c>
      <c r="O202" t="str">
        <f>VLOOKUP(A202, Data_Set_2!$A:$D,3,FALSE)</f>
        <v>Dabshots</v>
      </c>
      <c r="P202" t="str">
        <f>VLOOKUP(A202, Data_Set_2!$A:$D,4,FALSE)</f>
        <v>Registered Nurse</v>
      </c>
      <c r="Q202" t="str">
        <f>_xlfn.CONCAT(Table3[[#This Row],[first_name]], " ",Table3[[#This Row],[last_name]])</f>
        <v>Shawn Little</v>
      </c>
    </row>
    <row r="203" spans="1:17" hidden="1" x14ac:dyDescent="0.3">
      <c r="A203">
        <v>160</v>
      </c>
      <c r="B203" t="s">
        <v>1044</v>
      </c>
      <c r="C203" t="s">
        <v>211</v>
      </c>
      <c r="D203" t="s">
        <v>1115</v>
      </c>
      <c r="E203" t="s">
        <v>32</v>
      </c>
      <c r="F203" t="s">
        <v>17</v>
      </c>
      <c r="G203" s="1">
        <v>951</v>
      </c>
      <c r="H203" t="s">
        <v>4037</v>
      </c>
      <c r="I203" s="2">
        <v>44527</v>
      </c>
      <c r="J203" t="s">
        <v>35</v>
      </c>
      <c r="K203" t="s">
        <v>1116</v>
      </c>
      <c r="L203">
        <v>92878</v>
      </c>
      <c r="M203" t="s">
        <v>21</v>
      </c>
      <c r="N203" t="str">
        <f>VLOOKUP(A203, Data_Set_2!$A:$D,2,FALSE)</f>
        <v>creed4f</v>
      </c>
      <c r="O203" t="str">
        <f>VLOOKUP(A203, Data_Set_2!$A:$D,3,FALSE)</f>
        <v>Feedfish</v>
      </c>
      <c r="P203" t="str">
        <f>VLOOKUP(A203, Data_Set_2!$A:$D,4,FALSE)</f>
        <v>Project Manager</v>
      </c>
      <c r="Q203" t="str">
        <f>_xlfn.CONCAT(Table3[[#This Row],[first_name]], " ",Table3[[#This Row],[last_name]])</f>
        <v>Cheryl Reed</v>
      </c>
    </row>
    <row r="204" spans="1:17" hidden="1" x14ac:dyDescent="0.3">
      <c r="A204">
        <v>161</v>
      </c>
      <c r="B204" t="s">
        <v>85</v>
      </c>
      <c r="C204" t="s">
        <v>86</v>
      </c>
      <c r="D204" t="s">
        <v>87</v>
      </c>
      <c r="E204" t="s">
        <v>32</v>
      </c>
      <c r="F204" t="s">
        <v>17</v>
      </c>
      <c r="G204" s="1">
        <v>510</v>
      </c>
      <c r="H204" t="s">
        <v>26</v>
      </c>
      <c r="I204" s="2">
        <v>43119</v>
      </c>
      <c r="J204" t="s">
        <v>68</v>
      </c>
      <c r="K204" t="s">
        <v>88</v>
      </c>
      <c r="L204">
        <v>79705</v>
      </c>
      <c r="M204" t="s">
        <v>21</v>
      </c>
      <c r="N204" t="str">
        <f>VLOOKUP(A204, Data_Set_2!$A:$D,2,FALSE)</f>
        <v>jvasquez4g</v>
      </c>
      <c r="O204" t="str">
        <f>VLOOKUP(A204, Data_Set_2!$A:$D,3,FALSE)</f>
        <v>Linkbuzz</v>
      </c>
      <c r="P204" t="str">
        <f>VLOOKUP(A204, Data_Set_2!$A:$D,4,FALSE)</f>
        <v>Payment Adjustment Coordinator</v>
      </c>
      <c r="Q204" t="str">
        <f>_xlfn.CONCAT(Table3[[#This Row],[first_name]], " ",Table3[[#This Row],[last_name]])</f>
        <v>Janice Vasquez</v>
      </c>
    </row>
    <row r="205" spans="1:17" hidden="1" x14ac:dyDescent="0.3">
      <c r="A205">
        <v>161</v>
      </c>
      <c r="B205" t="s">
        <v>85</v>
      </c>
      <c r="C205" t="s">
        <v>86</v>
      </c>
      <c r="D205" t="s">
        <v>87</v>
      </c>
      <c r="E205" t="s">
        <v>32</v>
      </c>
      <c r="F205" t="s">
        <v>17</v>
      </c>
      <c r="G205" s="1">
        <v>313</v>
      </c>
      <c r="H205" t="s">
        <v>26</v>
      </c>
      <c r="I205" s="2">
        <v>43121</v>
      </c>
      <c r="J205" t="s">
        <v>68</v>
      </c>
      <c r="K205" t="s">
        <v>88</v>
      </c>
      <c r="L205">
        <v>79705</v>
      </c>
      <c r="M205" t="s">
        <v>21</v>
      </c>
      <c r="N205" t="str">
        <f>VLOOKUP(A205, Data_Set_2!$A:$D,2,FALSE)</f>
        <v>jvasquez4g</v>
      </c>
      <c r="O205" t="str">
        <f>VLOOKUP(A205, Data_Set_2!$A:$D,3,FALSE)</f>
        <v>Linkbuzz</v>
      </c>
      <c r="P205" t="str">
        <f>VLOOKUP(A205, Data_Set_2!$A:$D,4,FALSE)</f>
        <v>Payment Adjustment Coordinator</v>
      </c>
      <c r="Q205" t="str">
        <f>_xlfn.CONCAT(Table3[[#This Row],[first_name]], " ",Table3[[#This Row],[last_name]])</f>
        <v>Janice Vasquez</v>
      </c>
    </row>
    <row r="206" spans="1:17" hidden="1" x14ac:dyDescent="0.3">
      <c r="A206">
        <v>161</v>
      </c>
      <c r="B206" t="s">
        <v>85</v>
      </c>
      <c r="C206" t="s">
        <v>86</v>
      </c>
      <c r="D206" t="s">
        <v>87</v>
      </c>
      <c r="E206" t="s">
        <v>32</v>
      </c>
      <c r="F206" t="s">
        <v>17</v>
      </c>
      <c r="G206" s="1">
        <v>385</v>
      </c>
      <c r="H206" t="s">
        <v>26</v>
      </c>
      <c r="I206" s="2">
        <v>43149</v>
      </c>
      <c r="J206" t="s">
        <v>68</v>
      </c>
      <c r="K206" t="s">
        <v>88</v>
      </c>
      <c r="L206">
        <v>79705</v>
      </c>
      <c r="M206" t="s">
        <v>21</v>
      </c>
      <c r="N206" t="str">
        <f>VLOOKUP(A206, Data_Set_2!$A:$D,2,FALSE)</f>
        <v>jvasquez4g</v>
      </c>
      <c r="O206" t="str">
        <f>VLOOKUP(A206, Data_Set_2!$A:$D,3,FALSE)</f>
        <v>Linkbuzz</v>
      </c>
      <c r="P206" t="str">
        <f>VLOOKUP(A206, Data_Set_2!$A:$D,4,FALSE)</f>
        <v>Payment Adjustment Coordinator</v>
      </c>
      <c r="Q206" t="str">
        <f>_xlfn.CONCAT(Table3[[#This Row],[first_name]], " ",Table3[[#This Row],[last_name]])</f>
        <v>Janice Vasquez</v>
      </c>
    </row>
    <row r="207" spans="1:17" hidden="1" x14ac:dyDescent="0.3">
      <c r="A207">
        <v>161</v>
      </c>
      <c r="B207" t="s">
        <v>85</v>
      </c>
      <c r="C207" t="s">
        <v>86</v>
      </c>
      <c r="D207" t="s">
        <v>87</v>
      </c>
      <c r="E207" t="s">
        <v>32</v>
      </c>
      <c r="F207" t="s">
        <v>17</v>
      </c>
      <c r="G207" s="1">
        <v>42</v>
      </c>
      <c r="H207" t="s">
        <v>26</v>
      </c>
      <c r="I207" s="2">
        <v>43181</v>
      </c>
      <c r="J207" t="s">
        <v>68</v>
      </c>
      <c r="K207" t="s">
        <v>88</v>
      </c>
      <c r="L207">
        <v>79705</v>
      </c>
      <c r="M207" t="s">
        <v>21</v>
      </c>
      <c r="N207" t="str">
        <f>VLOOKUP(A207, Data_Set_2!$A:$D,2,FALSE)</f>
        <v>jvasquez4g</v>
      </c>
      <c r="O207" t="str">
        <f>VLOOKUP(A207, Data_Set_2!$A:$D,3,FALSE)</f>
        <v>Linkbuzz</v>
      </c>
      <c r="P207" t="str">
        <f>VLOOKUP(A207, Data_Set_2!$A:$D,4,FALSE)</f>
        <v>Payment Adjustment Coordinator</v>
      </c>
      <c r="Q207" t="str">
        <f>_xlfn.CONCAT(Table3[[#This Row],[first_name]], " ",Table3[[#This Row],[last_name]])</f>
        <v>Janice Vasquez</v>
      </c>
    </row>
    <row r="208" spans="1:17" hidden="1" x14ac:dyDescent="0.3">
      <c r="A208">
        <v>161</v>
      </c>
      <c r="B208" t="s">
        <v>85</v>
      </c>
      <c r="C208" t="s">
        <v>86</v>
      </c>
      <c r="D208" t="s">
        <v>87</v>
      </c>
      <c r="E208" t="s">
        <v>32</v>
      </c>
      <c r="F208" t="s">
        <v>17</v>
      </c>
      <c r="G208" s="1">
        <v>78</v>
      </c>
      <c r="H208" t="s">
        <v>26</v>
      </c>
      <c r="I208" s="2">
        <v>43193</v>
      </c>
      <c r="J208" t="s">
        <v>68</v>
      </c>
      <c r="K208" t="s">
        <v>88</v>
      </c>
      <c r="L208">
        <v>79705</v>
      </c>
      <c r="M208" t="s">
        <v>21</v>
      </c>
      <c r="N208" t="str">
        <f>VLOOKUP(A208, Data_Set_2!$A:$D,2,FALSE)</f>
        <v>jvasquez4g</v>
      </c>
      <c r="O208" t="str">
        <f>VLOOKUP(A208, Data_Set_2!$A:$D,3,FALSE)</f>
        <v>Linkbuzz</v>
      </c>
      <c r="P208" t="str">
        <f>VLOOKUP(A208, Data_Set_2!$A:$D,4,FALSE)</f>
        <v>Payment Adjustment Coordinator</v>
      </c>
      <c r="Q208" t="str">
        <f>_xlfn.CONCAT(Table3[[#This Row],[first_name]], " ",Table3[[#This Row],[last_name]])</f>
        <v>Janice Vasquez</v>
      </c>
    </row>
    <row r="209" spans="1:17" hidden="1" x14ac:dyDescent="0.3">
      <c r="A209">
        <v>161</v>
      </c>
      <c r="B209" t="s">
        <v>85</v>
      </c>
      <c r="C209" t="s">
        <v>86</v>
      </c>
      <c r="D209" t="s">
        <v>87</v>
      </c>
      <c r="E209" t="s">
        <v>32</v>
      </c>
      <c r="F209" t="s">
        <v>17</v>
      </c>
      <c r="G209" s="1">
        <v>294</v>
      </c>
      <c r="H209" t="s">
        <v>26</v>
      </c>
      <c r="I209" s="2">
        <v>43311</v>
      </c>
      <c r="J209" t="s">
        <v>68</v>
      </c>
      <c r="K209" t="s">
        <v>88</v>
      </c>
      <c r="L209">
        <v>79705</v>
      </c>
      <c r="M209" t="s">
        <v>21</v>
      </c>
      <c r="N209" t="str">
        <f>VLOOKUP(A209, Data_Set_2!$A:$D,2,FALSE)</f>
        <v>jvasquez4g</v>
      </c>
      <c r="O209" t="str">
        <f>VLOOKUP(A209, Data_Set_2!$A:$D,3,FALSE)</f>
        <v>Linkbuzz</v>
      </c>
      <c r="P209" t="str">
        <f>VLOOKUP(A209, Data_Set_2!$A:$D,4,FALSE)</f>
        <v>Payment Adjustment Coordinator</v>
      </c>
      <c r="Q209" t="str">
        <f>_xlfn.CONCAT(Table3[[#This Row],[first_name]], " ",Table3[[#This Row],[last_name]])</f>
        <v>Janice Vasquez</v>
      </c>
    </row>
    <row r="210" spans="1:17" hidden="1" x14ac:dyDescent="0.3">
      <c r="A210">
        <v>161</v>
      </c>
      <c r="B210" t="s">
        <v>85</v>
      </c>
      <c r="C210" t="s">
        <v>86</v>
      </c>
      <c r="D210" t="s">
        <v>87</v>
      </c>
      <c r="E210" t="s">
        <v>32</v>
      </c>
      <c r="F210" t="s">
        <v>17</v>
      </c>
      <c r="G210" s="1">
        <v>554</v>
      </c>
      <c r="H210" t="s">
        <v>26</v>
      </c>
      <c r="I210" s="2">
        <v>43506</v>
      </c>
      <c r="J210" t="s">
        <v>68</v>
      </c>
      <c r="K210" t="s">
        <v>88</v>
      </c>
      <c r="L210">
        <v>79705</v>
      </c>
      <c r="M210" t="s">
        <v>21</v>
      </c>
      <c r="N210" t="str">
        <f>VLOOKUP(A210, Data_Set_2!$A:$D,2,FALSE)</f>
        <v>jvasquez4g</v>
      </c>
      <c r="O210" t="str">
        <f>VLOOKUP(A210, Data_Set_2!$A:$D,3,FALSE)</f>
        <v>Linkbuzz</v>
      </c>
      <c r="P210" t="str">
        <f>VLOOKUP(A210, Data_Set_2!$A:$D,4,FALSE)</f>
        <v>Payment Adjustment Coordinator</v>
      </c>
      <c r="Q210" t="str">
        <f>_xlfn.CONCAT(Table3[[#This Row],[first_name]], " ",Table3[[#This Row],[last_name]])</f>
        <v>Janice Vasquez</v>
      </c>
    </row>
    <row r="211" spans="1:17" hidden="1" x14ac:dyDescent="0.3">
      <c r="A211">
        <v>161</v>
      </c>
      <c r="B211" t="s">
        <v>85</v>
      </c>
      <c r="C211" t="s">
        <v>86</v>
      </c>
      <c r="D211" t="s">
        <v>87</v>
      </c>
      <c r="E211" t="s">
        <v>32</v>
      </c>
      <c r="F211" t="s">
        <v>17</v>
      </c>
      <c r="G211" s="1">
        <v>664</v>
      </c>
      <c r="H211" t="s">
        <v>26</v>
      </c>
      <c r="I211" s="2">
        <v>43671</v>
      </c>
      <c r="J211" t="s">
        <v>68</v>
      </c>
      <c r="K211" t="s">
        <v>88</v>
      </c>
      <c r="L211">
        <v>79705</v>
      </c>
      <c r="M211" t="s">
        <v>21</v>
      </c>
      <c r="N211" t="str">
        <f>VLOOKUP(A211, Data_Set_2!$A:$D,2,FALSE)</f>
        <v>jvasquez4g</v>
      </c>
      <c r="O211" t="str">
        <f>VLOOKUP(A211, Data_Set_2!$A:$D,3,FALSE)</f>
        <v>Linkbuzz</v>
      </c>
      <c r="P211" t="str">
        <f>VLOOKUP(A211, Data_Set_2!$A:$D,4,FALSE)</f>
        <v>Payment Adjustment Coordinator</v>
      </c>
      <c r="Q211" t="str">
        <f>_xlfn.CONCAT(Table3[[#This Row],[first_name]], " ",Table3[[#This Row],[last_name]])</f>
        <v>Janice Vasquez</v>
      </c>
    </row>
    <row r="212" spans="1:17" hidden="1" x14ac:dyDescent="0.3">
      <c r="A212">
        <v>161</v>
      </c>
      <c r="B212" t="s">
        <v>85</v>
      </c>
      <c r="C212" t="s">
        <v>86</v>
      </c>
      <c r="D212" t="s">
        <v>87</v>
      </c>
      <c r="E212" t="s">
        <v>32</v>
      </c>
      <c r="F212" t="s">
        <v>17</v>
      </c>
      <c r="G212" s="1">
        <v>744</v>
      </c>
      <c r="H212" t="s">
        <v>26</v>
      </c>
      <c r="I212" s="2">
        <v>43854</v>
      </c>
      <c r="J212" t="s">
        <v>68</v>
      </c>
      <c r="K212" t="s">
        <v>88</v>
      </c>
      <c r="L212">
        <v>79705</v>
      </c>
      <c r="M212" t="s">
        <v>21</v>
      </c>
      <c r="N212" t="str">
        <f>VLOOKUP(A212, Data_Set_2!$A:$D,2,FALSE)</f>
        <v>jvasquez4g</v>
      </c>
      <c r="O212" t="str">
        <f>VLOOKUP(A212, Data_Set_2!$A:$D,3,FALSE)</f>
        <v>Linkbuzz</v>
      </c>
      <c r="P212" t="str">
        <f>VLOOKUP(A212, Data_Set_2!$A:$D,4,FALSE)</f>
        <v>Payment Adjustment Coordinator</v>
      </c>
      <c r="Q212" t="str">
        <f>_xlfn.CONCAT(Table3[[#This Row],[first_name]], " ",Table3[[#This Row],[last_name]])</f>
        <v>Janice Vasquez</v>
      </c>
    </row>
    <row r="213" spans="1:17" hidden="1" x14ac:dyDescent="0.3">
      <c r="A213">
        <v>161</v>
      </c>
      <c r="B213" t="s">
        <v>85</v>
      </c>
      <c r="C213" t="s">
        <v>86</v>
      </c>
      <c r="D213" t="s">
        <v>87</v>
      </c>
      <c r="E213" t="s">
        <v>32</v>
      </c>
      <c r="F213" t="s">
        <v>17</v>
      </c>
      <c r="G213" s="1">
        <v>64</v>
      </c>
      <c r="H213" t="s">
        <v>26</v>
      </c>
      <c r="I213" s="2">
        <v>44147</v>
      </c>
      <c r="J213" t="s">
        <v>68</v>
      </c>
      <c r="K213" t="s">
        <v>88</v>
      </c>
      <c r="L213">
        <v>79705</v>
      </c>
      <c r="M213" t="s">
        <v>21</v>
      </c>
      <c r="N213" t="str">
        <f>VLOOKUP(A213, Data_Set_2!$A:$D,2,FALSE)</f>
        <v>jvasquez4g</v>
      </c>
      <c r="O213" t="str">
        <f>VLOOKUP(A213, Data_Set_2!$A:$D,3,FALSE)</f>
        <v>Linkbuzz</v>
      </c>
      <c r="P213" t="str">
        <f>VLOOKUP(A213, Data_Set_2!$A:$D,4,FALSE)</f>
        <v>Payment Adjustment Coordinator</v>
      </c>
      <c r="Q213" t="str">
        <f>_xlfn.CONCAT(Table3[[#This Row],[first_name]], " ",Table3[[#This Row],[last_name]])</f>
        <v>Janice Vasquez</v>
      </c>
    </row>
    <row r="214" spans="1:17" hidden="1" x14ac:dyDescent="0.3">
      <c r="A214">
        <v>161</v>
      </c>
      <c r="B214" t="s">
        <v>85</v>
      </c>
      <c r="C214" t="s">
        <v>86</v>
      </c>
      <c r="D214" t="s">
        <v>87</v>
      </c>
      <c r="E214" t="s">
        <v>32</v>
      </c>
      <c r="F214" t="s">
        <v>17</v>
      </c>
      <c r="G214" s="1">
        <v>13</v>
      </c>
      <c r="H214" t="s">
        <v>26</v>
      </c>
      <c r="I214" s="2">
        <v>44192</v>
      </c>
      <c r="J214" t="s">
        <v>68</v>
      </c>
      <c r="K214" t="s">
        <v>88</v>
      </c>
      <c r="L214">
        <v>79705</v>
      </c>
      <c r="M214" t="s">
        <v>21</v>
      </c>
      <c r="N214" t="str">
        <f>VLOOKUP(A214, Data_Set_2!$A:$D,2,FALSE)</f>
        <v>jvasquez4g</v>
      </c>
      <c r="O214" t="str">
        <f>VLOOKUP(A214, Data_Set_2!$A:$D,3,FALSE)</f>
        <v>Linkbuzz</v>
      </c>
      <c r="P214" t="str">
        <f>VLOOKUP(A214, Data_Set_2!$A:$D,4,FALSE)</f>
        <v>Payment Adjustment Coordinator</v>
      </c>
      <c r="Q214" t="str">
        <f>_xlfn.CONCAT(Table3[[#This Row],[first_name]], " ",Table3[[#This Row],[last_name]])</f>
        <v>Janice Vasquez</v>
      </c>
    </row>
    <row r="215" spans="1:17" hidden="1" x14ac:dyDescent="0.3">
      <c r="A215">
        <v>161</v>
      </c>
      <c r="B215" t="s">
        <v>85</v>
      </c>
      <c r="C215" t="s">
        <v>86</v>
      </c>
      <c r="D215" t="s">
        <v>87</v>
      </c>
      <c r="E215" t="s">
        <v>32</v>
      </c>
      <c r="F215" t="s">
        <v>17</v>
      </c>
      <c r="G215" s="1">
        <v>11</v>
      </c>
      <c r="H215" t="s">
        <v>26</v>
      </c>
      <c r="I215" s="2">
        <v>44303</v>
      </c>
      <c r="J215" t="s">
        <v>68</v>
      </c>
      <c r="K215" t="s">
        <v>88</v>
      </c>
      <c r="L215">
        <v>79705</v>
      </c>
      <c r="M215" t="s">
        <v>21</v>
      </c>
      <c r="N215" t="str">
        <f>VLOOKUP(A215, Data_Set_2!$A:$D,2,FALSE)</f>
        <v>jvasquez4g</v>
      </c>
      <c r="O215" t="str">
        <f>VLOOKUP(A215, Data_Set_2!$A:$D,3,FALSE)</f>
        <v>Linkbuzz</v>
      </c>
      <c r="P215" t="str">
        <f>VLOOKUP(A215, Data_Set_2!$A:$D,4,FALSE)</f>
        <v>Payment Adjustment Coordinator</v>
      </c>
      <c r="Q215" t="str">
        <f>_xlfn.CONCAT(Table3[[#This Row],[first_name]], " ",Table3[[#This Row],[last_name]])</f>
        <v>Janice Vasquez</v>
      </c>
    </row>
    <row r="216" spans="1:17" hidden="1" x14ac:dyDescent="0.3">
      <c r="A216">
        <v>161</v>
      </c>
      <c r="B216" t="s">
        <v>85</v>
      </c>
      <c r="C216" t="s">
        <v>86</v>
      </c>
      <c r="D216" t="s">
        <v>87</v>
      </c>
      <c r="E216" t="s">
        <v>32</v>
      </c>
      <c r="F216" t="s">
        <v>17</v>
      </c>
      <c r="G216" s="1">
        <v>335</v>
      </c>
      <c r="H216" t="s">
        <v>26</v>
      </c>
      <c r="I216" s="2">
        <v>44384</v>
      </c>
      <c r="J216" t="s">
        <v>68</v>
      </c>
      <c r="K216" t="s">
        <v>88</v>
      </c>
      <c r="L216">
        <v>79705</v>
      </c>
      <c r="M216" t="s">
        <v>21</v>
      </c>
      <c r="N216" t="str">
        <f>VLOOKUP(A216, Data_Set_2!$A:$D,2,FALSE)</f>
        <v>jvasquez4g</v>
      </c>
      <c r="O216" t="str">
        <f>VLOOKUP(A216, Data_Set_2!$A:$D,3,FALSE)</f>
        <v>Linkbuzz</v>
      </c>
      <c r="P216" t="str">
        <f>VLOOKUP(A216, Data_Set_2!$A:$D,4,FALSE)</f>
        <v>Payment Adjustment Coordinator</v>
      </c>
      <c r="Q216" t="str">
        <f>_xlfn.CONCAT(Table3[[#This Row],[first_name]], " ",Table3[[#This Row],[last_name]])</f>
        <v>Janice Vasquez</v>
      </c>
    </row>
    <row r="217" spans="1:17" hidden="1" x14ac:dyDescent="0.3">
      <c r="A217">
        <v>161</v>
      </c>
      <c r="B217" t="s">
        <v>85</v>
      </c>
      <c r="C217" t="s">
        <v>86</v>
      </c>
      <c r="D217" t="s">
        <v>87</v>
      </c>
      <c r="E217" t="s">
        <v>32</v>
      </c>
      <c r="F217" t="s">
        <v>17</v>
      </c>
      <c r="G217" s="1">
        <v>680</v>
      </c>
      <c r="H217" t="s">
        <v>26</v>
      </c>
      <c r="I217" s="2">
        <v>44582</v>
      </c>
      <c r="J217" t="s">
        <v>68</v>
      </c>
      <c r="K217" t="s">
        <v>88</v>
      </c>
      <c r="L217">
        <v>79705</v>
      </c>
      <c r="M217" t="s">
        <v>21</v>
      </c>
      <c r="N217" t="str">
        <f>VLOOKUP(A217, Data_Set_2!$A:$D,2,FALSE)</f>
        <v>jvasquez4g</v>
      </c>
      <c r="O217" t="str">
        <f>VLOOKUP(A217, Data_Set_2!$A:$D,3,FALSE)</f>
        <v>Linkbuzz</v>
      </c>
      <c r="P217" t="str">
        <f>VLOOKUP(A217, Data_Set_2!$A:$D,4,FALSE)</f>
        <v>Payment Adjustment Coordinator</v>
      </c>
      <c r="Q217" t="str">
        <f>_xlfn.CONCAT(Table3[[#This Row],[first_name]], " ",Table3[[#This Row],[last_name]])</f>
        <v>Janice Vasquez</v>
      </c>
    </row>
    <row r="218" spans="1:17" hidden="1" x14ac:dyDescent="0.3">
      <c r="A218">
        <v>161</v>
      </c>
      <c r="B218" t="s">
        <v>85</v>
      </c>
      <c r="C218" t="s">
        <v>86</v>
      </c>
      <c r="D218" t="s">
        <v>87</v>
      </c>
      <c r="E218" t="s">
        <v>32</v>
      </c>
      <c r="F218" t="s">
        <v>17</v>
      </c>
      <c r="G218" s="1">
        <v>791</v>
      </c>
      <c r="H218" t="s">
        <v>26</v>
      </c>
      <c r="I218" s="2">
        <v>44647</v>
      </c>
      <c r="J218" t="s">
        <v>68</v>
      </c>
      <c r="K218" t="s">
        <v>88</v>
      </c>
      <c r="L218">
        <v>79705</v>
      </c>
      <c r="M218" t="s">
        <v>21</v>
      </c>
      <c r="N218" t="str">
        <f>VLOOKUP(A218, Data_Set_2!$A:$D,2,FALSE)</f>
        <v>jvasquez4g</v>
      </c>
      <c r="O218" t="str">
        <f>VLOOKUP(A218, Data_Set_2!$A:$D,3,FALSE)</f>
        <v>Linkbuzz</v>
      </c>
      <c r="P218" t="str">
        <f>VLOOKUP(A218, Data_Set_2!$A:$D,4,FALSE)</f>
        <v>Payment Adjustment Coordinator</v>
      </c>
      <c r="Q218" t="str">
        <f>_xlfn.CONCAT(Table3[[#This Row],[first_name]], " ",Table3[[#This Row],[last_name]])</f>
        <v>Janice Vasquez</v>
      </c>
    </row>
    <row r="219" spans="1:17" hidden="1" x14ac:dyDescent="0.3">
      <c r="A219">
        <v>161</v>
      </c>
      <c r="B219" t="s">
        <v>85</v>
      </c>
      <c r="C219" t="s">
        <v>86</v>
      </c>
      <c r="D219" t="s">
        <v>87</v>
      </c>
      <c r="E219" t="s">
        <v>32</v>
      </c>
      <c r="F219" t="s">
        <v>17</v>
      </c>
      <c r="G219" s="1">
        <v>961</v>
      </c>
      <c r="H219" t="s">
        <v>26</v>
      </c>
      <c r="I219" s="2">
        <v>44787</v>
      </c>
      <c r="J219" t="s">
        <v>68</v>
      </c>
      <c r="K219" t="s">
        <v>88</v>
      </c>
      <c r="L219">
        <v>79705</v>
      </c>
      <c r="M219" t="s">
        <v>21</v>
      </c>
      <c r="N219" t="str">
        <f>VLOOKUP(A219, Data_Set_2!$A:$D,2,FALSE)</f>
        <v>jvasquez4g</v>
      </c>
      <c r="O219" t="str">
        <f>VLOOKUP(A219, Data_Set_2!$A:$D,3,FALSE)</f>
        <v>Linkbuzz</v>
      </c>
      <c r="P219" t="str">
        <f>VLOOKUP(A219, Data_Set_2!$A:$D,4,FALSE)</f>
        <v>Payment Adjustment Coordinator</v>
      </c>
      <c r="Q219" t="str">
        <f>_xlfn.CONCAT(Table3[[#This Row],[first_name]], " ",Table3[[#This Row],[last_name]])</f>
        <v>Janice Vasquez</v>
      </c>
    </row>
    <row r="220" spans="1:17" hidden="1" x14ac:dyDescent="0.3">
      <c r="A220">
        <v>161</v>
      </c>
      <c r="B220" t="s">
        <v>85</v>
      </c>
      <c r="C220" t="s">
        <v>86</v>
      </c>
      <c r="D220" t="s">
        <v>87</v>
      </c>
      <c r="E220" t="s">
        <v>32</v>
      </c>
      <c r="F220" t="s">
        <v>17</v>
      </c>
      <c r="G220" s="1">
        <v>685</v>
      </c>
      <c r="H220" t="s">
        <v>26</v>
      </c>
      <c r="I220" s="2">
        <v>44911</v>
      </c>
      <c r="J220" t="s">
        <v>68</v>
      </c>
      <c r="K220" t="s">
        <v>88</v>
      </c>
      <c r="L220">
        <v>79705</v>
      </c>
      <c r="M220" t="s">
        <v>21</v>
      </c>
      <c r="N220" t="str">
        <f>VLOOKUP(A220, Data_Set_2!$A:$D,2,FALSE)</f>
        <v>jvasquez4g</v>
      </c>
      <c r="O220" t="str">
        <f>VLOOKUP(A220, Data_Set_2!$A:$D,3,FALSE)</f>
        <v>Linkbuzz</v>
      </c>
      <c r="P220" t="str">
        <f>VLOOKUP(A220, Data_Set_2!$A:$D,4,FALSE)</f>
        <v>Payment Adjustment Coordinator</v>
      </c>
      <c r="Q220" t="str">
        <f>_xlfn.CONCAT(Table3[[#This Row],[first_name]], " ",Table3[[#This Row],[last_name]])</f>
        <v>Janice Vasquez</v>
      </c>
    </row>
    <row r="221" spans="1:17" hidden="1" x14ac:dyDescent="0.3">
      <c r="A221">
        <v>162</v>
      </c>
      <c r="B221" t="s">
        <v>381</v>
      </c>
      <c r="C221" t="s">
        <v>382</v>
      </c>
      <c r="D221" t="s">
        <v>383</v>
      </c>
      <c r="E221" t="s">
        <v>16</v>
      </c>
      <c r="F221" t="s">
        <v>17</v>
      </c>
      <c r="G221" s="1">
        <v>291</v>
      </c>
      <c r="H221" t="s">
        <v>26</v>
      </c>
      <c r="I221" s="2">
        <v>43275</v>
      </c>
      <c r="J221" t="s">
        <v>96</v>
      </c>
      <c r="K221" t="s">
        <v>329</v>
      </c>
      <c r="L221">
        <v>47705</v>
      </c>
      <c r="M221" t="s">
        <v>21</v>
      </c>
      <c r="N221" t="str">
        <f>VLOOKUP(A221, Data_Set_2!$A:$D,2,FALSE)</f>
        <v>mstanley4h</v>
      </c>
      <c r="O221" t="str">
        <f>VLOOKUP(A221, Data_Set_2!$A:$D,3,FALSE)</f>
        <v>Photobug</v>
      </c>
      <c r="P221" t="str">
        <f>VLOOKUP(A221, Data_Set_2!$A:$D,4,FALSE)</f>
        <v>Geologist III</v>
      </c>
      <c r="Q221" t="str">
        <f>_xlfn.CONCAT(Table3[[#This Row],[first_name]], " ",Table3[[#This Row],[last_name]])</f>
        <v>Matthew Stanley</v>
      </c>
    </row>
    <row r="222" spans="1:17" hidden="1" x14ac:dyDescent="0.3">
      <c r="A222">
        <v>162</v>
      </c>
      <c r="B222" t="s">
        <v>381</v>
      </c>
      <c r="C222" t="s">
        <v>382</v>
      </c>
      <c r="D222" t="s">
        <v>383</v>
      </c>
      <c r="E222" t="s">
        <v>16</v>
      </c>
      <c r="F222" t="s">
        <v>17</v>
      </c>
      <c r="G222" s="1">
        <v>400</v>
      </c>
      <c r="H222" t="s">
        <v>26</v>
      </c>
      <c r="I222" s="2">
        <v>43365</v>
      </c>
      <c r="J222" t="s">
        <v>96</v>
      </c>
      <c r="K222" t="s">
        <v>329</v>
      </c>
      <c r="L222">
        <v>47705</v>
      </c>
      <c r="M222" t="s">
        <v>21</v>
      </c>
      <c r="N222" t="str">
        <f>VLOOKUP(A222, Data_Set_2!$A:$D,2,FALSE)</f>
        <v>mstanley4h</v>
      </c>
      <c r="O222" t="str">
        <f>VLOOKUP(A222, Data_Set_2!$A:$D,3,FALSE)</f>
        <v>Photobug</v>
      </c>
      <c r="P222" t="str">
        <f>VLOOKUP(A222, Data_Set_2!$A:$D,4,FALSE)</f>
        <v>Geologist III</v>
      </c>
      <c r="Q222" t="str">
        <f>_xlfn.CONCAT(Table3[[#This Row],[first_name]], " ",Table3[[#This Row],[last_name]])</f>
        <v>Matthew Stanley</v>
      </c>
    </row>
    <row r="223" spans="1:17" hidden="1" x14ac:dyDescent="0.3">
      <c r="A223">
        <v>162</v>
      </c>
      <c r="B223" t="s">
        <v>381</v>
      </c>
      <c r="C223" t="s">
        <v>382</v>
      </c>
      <c r="D223" t="s">
        <v>383</v>
      </c>
      <c r="E223" t="s">
        <v>16</v>
      </c>
      <c r="F223" t="s">
        <v>17</v>
      </c>
      <c r="G223" s="1">
        <v>475</v>
      </c>
      <c r="H223" t="s">
        <v>26</v>
      </c>
      <c r="I223" s="2">
        <v>43778</v>
      </c>
      <c r="J223" t="s">
        <v>96</v>
      </c>
      <c r="K223" t="s">
        <v>329</v>
      </c>
      <c r="L223">
        <v>47705</v>
      </c>
      <c r="M223" t="s">
        <v>21</v>
      </c>
      <c r="N223" t="str">
        <f>VLOOKUP(A223, Data_Set_2!$A:$D,2,FALSE)</f>
        <v>mstanley4h</v>
      </c>
      <c r="O223" t="str">
        <f>VLOOKUP(A223, Data_Set_2!$A:$D,3,FALSE)</f>
        <v>Photobug</v>
      </c>
      <c r="P223" t="str">
        <f>VLOOKUP(A223, Data_Set_2!$A:$D,4,FALSE)</f>
        <v>Geologist III</v>
      </c>
      <c r="Q223" t="str">
        <f>_xlfn.CONCAT(Table3[[#This Row],[first_name]], " ",Table3[[#This Row],[last_name]])</f>
        <v>Matthew Stanley</v>
      </c>
    </row>
    <row r="224" spans="1:17" hidden="1" x14ac:dyDescent="0.3">
      <c r="A224">
        <v>162</v>
      </c>
      <c r="B224" t="s">
        <v>381</v>
      </c>
      <c r="C224" t="s">
        <v>382</v>
      </c>
      <c r="D224" t="s">
        <v>383</v>
      </c>
      <c r="E224" t="s">
        <v>16</v>
      </c>
      <c r="F224" t="s">
        <v>17</v>
      </c>
      <c r="G224" s="1">
        <v>129</v>
      </c>
      <c r="H224" t="s">
        <v>26</v>
      </c>
      <c r="I224" s="2">
        <v>44046</v>
      </c>
      <c r="J224" t="s">
        <v>96</v>
      </c>
      <c r="K224" t="s">
        <v>329</v>
      </c>
      <c r="L224">
        <v>47705</v>
      </c>
      <c r="M224" t="s">
        <v>21</v>
      </c>
      <c r="N224" t="str">
        <f>VLOOKUP(A224, Data_Set_2!$A:$D,2,FALSE)</f>
        <v>mstanley4h</v>
      </c>
      <c r="O224" t="str">
        <f>VLOOKUP(A224, Data_Set_2!$A:$D,3,FALSE)</f>
        <v>Photobug</v>
      </c>
      <c r="P224" t="str">
        <f>VLOOKUP(A224, Data_Set_2!$A:$D,4,FALSE)</f>
        <v>Geologist III</v>
      </c>
      <c r="Q224" t="str">
        <f>_xlfn.CONCAT(Table3[[#This Row],[first_name]], " ",Table3[[#This Row],[last_name]])</f>
        <v>Matthew Stanley</v>
      </c>
    </row>
    <row r="225" spans="1:17" hidden="1" x14ac:dyDescent="0.3">
      <c r="A225">
        <v>162</v>
      </c>
      <c r="B225" t="s">
        <v>381</v>
      </c>
      <c r="C225" t="s">
        <v>382</v>
      </c>
      <c r="D225" t="s">
        <v>383</v>
      </c>
      <c r="E225" t="s">
        <v>16</v>
      </c>
      <c r="F225" t="s">
        <v>17</v>
      </c>
      <c r="G225" s="1">
        <v>948</v>
      </c>
      <c r="H225" t="s">
        <v>26</v>
      </c>
      <c r="I225" s="2">
        <v>44448</v>
      </c>
      <c r="J225" t="s">
        <v>96</v>
      </c>
      <c r="K225" t="s">
        <v>329</v>
      </c>
      <c r="L225">
        <v>47705</v>
      </c>
      <c r="M225" t="s">
        <v>21</v>
      </c>
      <c r="N225" t="str">
        <f>VLOOKUP(A225, Data_Set_2!$A:$D,2,FALSE)</f>
        <v>mstanley4h</v>
      </c>
      <c r="O225" t="str">
        <f>VLOOKUP(A225, Data_Set_2!$A:$D,3,FALSE)</f>
        <v>Photobug</v>
      </c>
      <c r="P225" t="str">
        <f>VLOOKUP(A225, Data_Set_2!$A:$D,4,FALSE)</f>
        <v>Geologist III</v>
      </c>
      <c r="Q225" t="str">
        <f>_xlfn.CONCAT(Table3[[#This Row],[first_name]], " ",Table3[[#This Row],[last_name]])</f>
        <v>Matthew Stanley</v>
      </c>
    </row>
    <row r="226" spans="1:17" hidden="1" x14ac:dyDescent="0.3">
      <c r="A226">
        <v>162</v>
      </c>
      <c r="B226" t="s">
        <v>381</v>
      </c>
      <c r="C226" t="s">
        <v>382</v>
      </c>
      <c r="D226" t="s">
        <v>383</v>
      </c>
      <c r="E226" t="s">
        <v>16</v>
      </c>
      <c r="F226" t="s">
        <v>17</v>
      </c>
      <c r="G226" s="1">
        <v>973</v>
      </c>
      <c r="H226" t="s">
        <v>26</v>
      </c>
      <c r="I226" s="2">
        <v>44496</v>
      </c>
      <c r="J226" t="s">
        <v>96</v>
      </c>
      <c r="K226" t="s">
        <v>329</v>
      </c>
      <c r="L226">
        <v>47705</v>
      </c>
      <c r="M226" t="s">
        <v>21</v>
      </c>
      <c r="N226" t="str">
        <f>VLOOKUP(A226, Data_Set_2!$A:$D,2,FALSE)</f>
        <v>mstanley4h</v>
      </c>
      <c r="O226" t="str">
        <f>VLOOKUP(A226, Data_Set_2!$A:$D,3,FALSE)</f>
        <v>Photobug</v>
      </c>
      <c r="P226" t="str">
        <f>VLOOKUP(A226, Data_Set_2!$A:$D,4,FALSE)</f>
        <v>Geologist III</v>
      </c>
      <c r="Q226" t="str">
        <f>_xlfn.CONCAT(Table3[[#This Row],[first_name]], " ",Table3[[#This Row],[last_name]])</f>
        <v>Matthew Stanley</v>
      </c>
    </row>
    <row r="227" spans="1:17" hidden="1" x14ac:dyDescent="0.3">
      <c r="A227">
        <v>162</v>
      </c>
      <c r="B227" t="s">
        <v>381</v>
      </c>
      <c r="C227" t="s">
        <v>382</v>
      </c>
      <c r="D227" t="s">
        <v>383</v>
      </c>
      <c r="E227" t="s">
        <v>16</v>
      </c>
      <c r="F227" t="s">
        <v>17</v>
      </c>
      <c r="G227" s="1">
        <v>75</v>
      </c>
      <c r="H227" t="s">
        <v>26</v>
      </c>
      <c r="I227" s="2">
        <v>44568</v>
      </c>
      <c r="J227" t="s">
        <v>96</v>
      </c>
      <c r="K227" t="s">
        <v>329</v>
      </c>
      <c r="L227">
        <v>47705</v>
      </c>
      <c r="M227" t="s">
        <v>21</v>
      </c>
      <c r="N227" t="str">
        <f>VLOOKUP(A227, Data_Set_2!$A:$D,2,FALSE)</f>
        <v>mstanley4h</v>
      </c>
      <c r="O227" t="str">
        <f>VLOOKUP(A227, Data_Set_2!$A:$D,3,FALSE)</f>
        <v>Photobug</v>
      </c>
      <c r="P227" t="str">
        <f>VLOOKUP(A227, Data_Set_2!$A:$D,4,FALSE)</f>
        <v>Geologist III</v>
      </c>
      <c r="Q227" t="str">
        <f>_xlfn.CONCAT(Table3[[#This Row],[first_name]], " ",Table3[[#This Row],[last_name]])</f>
        <v>Matthew Stanley</v>
      </c>
    </row>
    <row r="228" spans="1:17" hidden="1" x14ac:dyDescent="0.3">
      <c r="A228">
        <v>162</v>
      </c>
      <c r="B228" t="s">
        <v>381</v>
      </c>
      <c r="C228" t="s">
        <v>382</v>
      </c>
      <c r="D228" t="s">
        <v>383</v>
      </c>
      <c r="E228" t="s">
        <v>16</v>
      </c>
      <c r="F228" t="s">
        <v>17</v>
      </c>
      <c r="G228" s="1">
        <v>49</v>
      </c>
      <c r="H228" t="s">
        <v>26</v>
      </c>
      <c r="I228" s="2">
        <v>44569</v>
      </c>
      <c r="J228" t="s">
        <v>96</v>
      </c>
      <c r="K228" t="s">
        <v>329</v>
      </c>
      <c r="L228">
        <v>47705</v>
      </c>
      <c r="M228" t="s">
        <v>21</v>
      </c>
      <c r="N228" t="str">
        <f>VLOOKUP(A228, Data_Set_2!$A:$D,2,FALSE)</f>
        <v>mstanley4h</v>
      </c>
      <c r="O228" t="str">
        <f>VLOOKUP(A228, Data_Set_2!$A:$D,3,FALSE)</f>
        <v>Photobug</v>
      </c>
      <c r="P228" t="str">
        <f>VLOOKUP(A228, Data_Set_2!$A:$D,4,FALSE)</f>
        <v>Geologist III</v>
      </c>
      <c r="Q228" t="str">
        <f>_xlfn.CONCAT(Table3[[#This Row],[first_name]], " ",Table3[[#This Row],[last_name]])</f>
        <v>Matthew Stanley</v>
      </c>
    </row>
    <row r="229" spans="1:17" hidden="1" x14ac:dyDescent="0.3">
      <c r="A229">
        <v>162</v>
      </c>
      <c r="B229" t="s">
        <v>381</v>
      </c>
      <c r="C229" t="s">
        <v>382</v>
      </c>
      <c r="D229" t="s">
        <v>383</v>
      </c>
      <c r="E229" t="s">
        <v>16</v>
      </c>
      <c r="F229" t="s">
        <v>17</v>
      </c>
      <c r="G229" s="1">
        <v>587</v>
      </c>
      <c r="H229" t="s">
        <v>26</v>
      </c>
      <c r="I229" s="2">
        <v>44703</v>
      </c>
      <c r="J229" t="s">
        <v>96</v>
      </c>
      <c r="K229" t="s">
        <v>329</v>
      </c>
      <c r="L229">
        <v>47705</v>
      </c>
      <c r="M229" t="s">
        <v>21</v>
      </c>
      <c r="N229" t="str">
        <f>VLOOKUP(A229, Data_Set_2!$A:$D,2,FALSE)</f>
        <v>mstanley4h</v>
      </c>
      <c r="O229" t="str">
        <f>VLOOKUP(A229, Data_Set_2!$A:$D,3,FALSE)</f>
        <v>Photobug</v>
      </c>
      <c r="P229" t="str">
        <f>VLOOKUP(A229, Data_Set_2!$A:$D,4,FALSE)</f>
        <v>Geologist III</v>
      </c>
      <c r="Q229" t="str">
        <f>_xlfn.CONCAT(Table3[[#This Row],[first_name]], " ",Table3[[#This Row],[last_name]])</f>
        <v>Matthew Stanley</v>
      </c>
    </row>
    <row r="230" spans="1:17" hidden="1" x14ac:dyDescent="0.3">
      <c r="A230">
        <v>162</v>
      </c>
      <c r="B230" t="s">
        <v>381</v>
      </c>
      <c r="C230" t="s">
        <v>382</v>
      </c>
      <c r="D230" t="s">
        <v>383</v>
      </c>
      <c r="E230" t="s">
        <v>16</v>
      </c>
      <c r="F230" t="s">
        <v>17</v>
      </c>
      <c r="G230" s="1">
        <v>733</v>
      </c>
      <c r="H230" t="s">
        <v>26</v>
      </c>
      <c r="I230" s="2">
        <v>44880</v>
      </c>
      <c r="J230" t="s">
        <v>96</v>
      </c>
      <c r="K230" t="s">
        <v>329</v>
      </c>
      <c r="L230">
        <v>47705</v>
      </c>
      <c r="M230" t="s">
        <v>21</v>
      </c>
      <c r="N230" t="str">
        <f>VLOOKUP(A230, Data_Set_2!$A:$D,2,FALSE)</f>
        <v>mstanley4h</v>
      </c>
      <c r="O230" t="str">
        <f>VLOOKUP(A230, Data_Set_2!$A:$D,3,FALSE)</f>
        <v>Photobug</v>
      </c>
      <c r="P230" t="str">
        <f>VLOOKUP(A230, Data_Set_2!$A:$D,4,FALSE)</f>
        <v>Geologist III</v>
      </c>
      <c r="Q230" t="str">
        <f>_xlfn.CONCAT(Table3[[#This Row],[first_name]], " ",Table3[[#This Row],[last_name]])</f>
        <v>Matthew Stanley</v>
      </c>
    </row>
    <row r="231" spans="1:17" hidden="1" x14ac:dyDescent="0.3">
      <c r="A231">
        <v>164</v>
      </c>
      <c r="B231" t="s">
        <v>386</v>
      </c>
      <c r="C231" t="s">
        <v>90</v>
      </c>
      <c r="D231" t="s">
        <v>1149</v>
      </c>
      <c r="E231" t="s">
        <v>16</v>
      </c>
      <c r="F231" t="s">
        <v>17</v>
      </c>
      <c r="G231" s="1">
        <v>239</v>
      </c>
      <c r="H231" t="s">
        <v>73</v>
      </c>
      <c r="I231" s="2">
        <v>44592</v>
      </c>
      <c r="J231" t="s">
        <v>110</v>
      </c>
      <c r="K231" t="s">
        <v>1150</v>
      </c>
      <c r="L231">
        <v>19605</v>
      </c>
      <c r="M231" t="s">
        <v>21</v>
      </c>
      <c r="N231" t="str">
        <f>VLOOKUP(A231, Data_Set_2!$A:$D,2,FALSE)</f>
        <v>aromero4j</v>
      </c>
      <c r="O231" t="str">
        <f>VLOOKUP(A231, Data_Set_2!$A:$D,3,FALSE)</f>
        <v>Dazzlesphere</v>
      </c>
      <c r="P231" t="str">
        <f>VLOOKUP(A231, Data_Set_2!$A:$D,4,FALSE)</f>
        <v>Product Engineer</v>
      </c>
      <c r="Q231" t="str">
        <f>_xlfn.CONCAT(Table3[[#This Row],[first_name]], " ",Table3[[#This Row],[last_name]])</f>
        <v>Aaron Romero</v>
      </c>
    </row>
    <row r="232" spans="1:17" hidden="1" x14ac:dyDescent="0.3">
      <c r="A232">
        <v>165</v>
      </c>
      <c r="B232" t="s">
        <v>384</v>
      </c>
      <c r="C232" t="s">
        <v>60</v>
      </c>
      <c r="D232" t="s">
        <v>399</v>
      </c>
      <c r="E232" t="s">
        <v>16</v>
      </c>
      <c r="F232" t="s">
        <v>17</v>
      </c>
      <c r="G232" s="1">
        <v>867</v>
      </c>
      <c r="H232" t="s">
        <v>34</v>
      </c>
      <c r="I232" s="2">
        <v>43290</v>
      </c>
      <c r="J232" t="s">
        <v>74</v>
      </c>
      <c r="K232" t="s">
        <v>400</v>
      </c>
      <c r="L232">
        <v>30195</v>
      </c>
      <c r="M232" t="s">
        <v>21</v>
      </c>
      <c r="N232" t="str">
        <f>VLOOKUP(A232, Data_Set_2!$A:$D,2,FALSE)</f>
        <v>hjacobs4k</v>
      </c>
      <c r="O232" t="str">
        <f>VLOOKUP(A232, Data_Set_2!$A:$D,3,FALSE)</f>
        <v>Cogidoo</v>
      </c>
      <c r="P232" t="str">
        <f>VLOOKUP(A232, Data_Set_2!$A:$D,4,FALSE)</f>
        <v>Account Representative II</v>
      </c>
      <c r="Q232" t="str">
        <f>_xlfn.CONCAT(Table3[[#This Row],[first_name]], " ",Table3[[#This Row],[last_name]])</f>
        <v>Harold Jacobs</v>
      </c>
    </row>
    <row r="233" spans="1:17" hidden="1" x14ac:dyDescent="0.3">
      <c r="A233">
        <v>167</v>
      </c>
      <c r="B233" t="s">
        <v>206</v>
      </c>
      <c r="C233" t="s">
        <v>500</v>
      </c>
      <c r="D233" t="s">
        <v>989</v>
      </c>
      <c r="E233" t="s">
        <v>32</v>
      </c>
      <c r="F233" t="s">
        <v>33</v>
      </c>
      <c r="G233" s="1">
        <v>793</v>
      </c>
      <c r="H233" t="s">
        <v>4035</v>
      </c>
      <c r="I233" s="2">
        <v>44203</v>
      </c>
      <c r="J233" t="s">
        <v>68</v>
      </c>
      <c r="K233" t="s">
        <v>990</v>
      </c>
      <c r="L233">
        <v>77713</v>
      </c>
      <c r="M233" t="s">
        <v>21</v>
      </c>
      <c r="N233" t="str">
        <f>VLOOKUP(A233, Data_Set_2!$A:$D,2,FALSE)</f>
        <v>sramirez4m</v>
      </c>
      <c r="O233" t="str">
        <f>VLOOKUP(A233, Data_Set_2!$A:$D,3,FALSE)</f>
        <v>Fivebridge</v>
      </c>
      <c r="P233" t="str">
        <f>VLOOKUP(A233, Data_Set_2!$A:$D,4,FALSE)</f>
        <v>Recruiting Manager</v>
      </c>
      <c r="Q233" t="str">
        <f>_xlfn.CONCAT(Table3[[#This Row],[first_name]], " ",Table3[[#This Row],[last_name]])</f>
        <v>Sandra Ramirez</v>
      </c>
    </row>
    <row r="234" spans="1:17" hidden="1" x14ac:dyDescent="0.3">
      <c r="A234">
        <v>168</v>
      </c>
      <c r="B234" t="s">
        <v>210</v>
      </c>
      <c r="C234" t="s">
        <v>379</v>
      </c>
      <c r="D234" t="s">
        <v>380</v>
      </c>
      <c r="E234" t="s">
        <v>32</v>
      </c>
      <c r="F234" t="s">
        <v>33</v>
      </c>
      <c r="G234" s="1">
        <v>813</v>
      </c>
      <c r="H234" t="s">
        <v>26</v>
      </c>
      <c r="I234" s="2">
        <v>43274</v>
      </c>
      <c r="J234" t="s">
        <v>68</v>
      </c>
      <c r="K234" t="s">
        <v>169</v>
      </c>
      <c r="L234">
        <v>88589</v>
      </c>
      <c r="M234" t="s">
        <v>21</v>
      </c>
      <c r="N234" t="str">
        <f>VLOOKUP(A234, Data_Set_2!$A:$D,2,FALSE)</f>
        <v>dsimmons4n</v>
      </c>
      <c r="O234" t="str">
        <f>VLOOKUP(A234, Data_Set_2!$A:$D,3,FALSE)</f>
        <v>Feedmix</v>
      </c>
      <c r="P234" t="str">
        <f>VLOOKUP(A234, Data_Set_2!$A:$D,4,FALSE)</f>
        <v>Nurse</v>
      </c>
      <c r="Q234" t="str">
        <f>_xlfn.CONCAT(Table3[[#This Row],[first_name]], " ",Table3[[#This Row],[last_name]])</f>
        <v>Dorothy Simmons</v>
      </c>
    </row>
    <row r="235" spans="1:17" hidden="1" x14ac:dyDescent="0.3">
      <c r="A235">
        <v>169</v>
      </c>
      <c r="B235" t="s">
        <v>600</v>
      </c>
      <c r="C235" t="s">
        <v>756</v>
      </c>
      <c r="D235" t="s">
        <v>1217</v>
      </c>
      <c r="E235" t="s">
        <v>32</v>
      </c>
      <c r="F235" t="s">
        <v>33</v>
      </c>
      <c r="G235" s="1">
        <v>118</v>
      </c>
      <c r="H235" t="s">
        <v>4034</v>
      </c>
      <c r="I235" s="2">
        <v>44776</v>
      </c>
      <c r="J235" t="s">
        <v>68</v>
      </c>
      <c r="K235" t="s">
        <v>234</v>
      </c>
      <c r="L235">
        <v>77281</v>
      </c>
      <c r="M235" t="s">
        <v>21</v>
      </c>
      <c r="N235" t="str">
        <f>VLOOKUP(A235, Data_Set_2!$A:$D,2,FALSE)</f>
        <v>lsullivan4o</v>
      </c>
      <c r="O235" t="str">
        <f>VLOOKUP(A235, Data_Set_2!$A:$D,3,FALSE)</f>
        <v>Pixoboo</v>
      </c>
      <c r="P235" t="str">
        <f>VLOOKUP(A235, Data_Set_2!$A:$D,4,FALSE)</f>
        <v>Statistician I</v>
      </c>
      <c r="Q235" t="str">
        <f>_xlfn.CONCAT(Table3[[#This Row],[first_name]], " ",Table3[[#This Row],[last_name]])</f>
        <v>Louise Sullivan</v>
      </c>
    </row>
    <row r="236" spans="1:17" hidden="1" x14ac:dyDescent="0.3">
      <c r="A236">
        <v>170</v>
      </c>
      <c r="B236" t="s">
        <v>464</v>
      </c>
      <c r="C236" t="s">
        <v>754</v>
      </c>
      <c r="D236" t="s">
        <v>1179</v>
      </c>
      <c r="E236" t="s">
        <v>16</v>
      </c>
      <c r="F236" t="s">
        <v>33</v>
      </c>
      <c r="G236" s="1">
        <v>666</v>
      </c>
      <c r="H236" t="s">
        <v>26</v>
      </c>
      <c r="I236" s="2">
        <v>44676</v>
      </c>
      <c r="J236" t="s">
        <v>184</v>
      </c>
      <c r="K236" t="s">
        <v>262</v>
      </c>
      <c r="L236">
        <v>14639</v>
      </c>
      <c r="M236" t="s">
        <v>21</v>
      </c>
      <c r="N236" t="str">
        <f>VLOOKUP(A236, Data_Set_2!$A:$D,2,FALSE)</f>
        <v>jrodriguez4p</v>
      </c>
      <c r="O236" t="str">
        <f>VLOOKUP(A236, Data_Set_2!$A:$D,3,FALSE)</f>
        <v>Eire</v>
      </c>
      <c r="P236" t="str">
        <f>VLOOKUP(A236, Data_Set_2!$A:$D,4,FALSE)</f>
        <v>VP Sales</v>
      </c>
      <c r="Q236" t="str">
        <f>_xlfn.CONCAT(Table3[[#This Row],[first_name]], " ",Table3[[#This Row],[last_name]])</f>
        <v>Jack Rodriguez</v>
      </c>
    </row>
    <row r="237" spans="1:17" hidden="1" x14ac:dyDescent="0.3">
      <c r="A237">
        <v>171</v>
      </c>
      <c r="B237" t="s">
        <v>782</v>
      </c>
      <c r="C237" t="s">
        <v>401</v>
      </c>
      <c r="D237" t="s">
        <v>1011</v>
      </c>
      <c r="E237" t="s">
        <v>32</v>
      </c>
      <c r="F237" t="s">
        <v>25</v>
      </c>
      <c r="G237" s="1">
        <v>611</v>
      </c>
      <c r="H237" t="s">
        <v>26</v>
      </c>
      <c r="I237" s="2">
        <v>44254</v>
      </c>
      <c r="J237" t="s">
        <v>110</v>
      </c>
      <c r="K237" t="s">
        <v>1012</v>
      </c>
      <c r="L237">
        <v>16550</v>
      </c>
      <c r="M237" t="s">
        <v>21</v>
      </c>
      <c r="N237" t="str">
        <f>VLOOKUP(A237, Data_Set_2!$A:$D,2,FALSE)</f>
        <v>tarmstrong4q</v>
      </c>
      <c r="O237" t="str">
        <f>VLOOKUP(A237, Data_Set_2!$A:$D,3,FALSE)</f>
        <v>Photofeed</v>
      </c>
      <c r="P237" t="str">
        <f>VLOOKUP(A237, Data_Set_2!$A:$D,4,FALSE)</f>
        <v>Research Assistant II</v>
      </c>
      <c r="Q237" t="str">
        <f>_xlfn.CONCAT(Table3[[#This Row],[first_name]], " ",Table3[[#This Row],[last_name]])</f>
        <v>Tammy Armstrong</v>
      </c>
    </row>
    <row r="238" spans="1:17" hidden="1" x14ac:dyDescent="0.3">
      <c r="A238">
        <v>172</v>
      </c>
      <c r="B238" t="s">
        <v>210</v>
      </c>
      <c r="C238" t="s">
        <v>813</v>
      </c>
      <c r="D238" t="s">
        <v>1144</v>
      </c>
      <c r="E238" t="s">
        <v>32</v>
      </c>
      <c r="F238" t="s">
        <v>33</v>
      </c>
      <c r="G238" s="1">
        <v>204</v>
      </c>
      <c r="H238" t="s">
        <v>34</v>
      </c>
      <c r="I238" s="2">
        <v>44575</v>
      </c>
      <c r="J238" t="s">
        <v>41</v>
      </c>
      <c r="K238" t="s">
        <v>1145</v>
      </c>
      <c r="L238">
        <v>40745</v>
      </c>
      <c r="M238" t="s">
        <v>21</v>
      </c>
      <c r="N238" t="str">
        <f>VLOOKUP(A238, Data_Set_2!$A:$D,2,FALSE)</f>
        <v>dsnyder4r</v>
      </c>
      <c r="O238" t="str">
        <f>VLOOKUP(A238, Data_Set_2!$A:$D,3,FALSE)</f>
        <v>Linktype</v>
      </c>
      <c r="P238" t="str">
        <f>VLOOKUP(A238, Data_Set_2!$A:$D,4,FALSE)</f>
        <v>Operator</v>
      </c>
      <c r="Q238" t="str">
        <f>_xlfn.CONCAT(Table3[[#This Row],[first_name]], " ",Table3[[#This Row],[last_name]])</f>
        <v>Dorothy Snyder</v>
      </c>
    </row>
    <row r="239" spans="1:17" hidden="1" x14ac:dyDescent="0.3">
      <c r="A239">
        <v>173</v>
      </c>
      <c r="B239" t="s">
        <v>204</v>
      </c>
      <c r="C239" t="s">
        <v>482</v>
      </c>
      <c r="D239" t="s">
        <v>483</v>
      </c>
      <c r="E239" t="s">
        <v>32</v>
      </c>
      <c r="F239" t="s">
        <v>274</v>
      </c>
      <c r="G239" s="1">
        <v>593</v>
      </c>
      <c r="H239" t="s">
        <v>416</v>
      </c>
      <c r="I239" s="2">
        <v>43361</v>
      </c>
      <c r="J239" t="s">
        <v>152</v>
      </c>
      <c r="K239" t="s">
        <v>484</v>
      </c>
      <c r="L239">
        <v>45414</v>
      </c>
      <c r="M239" t="s">
        <v>21</v>
      </c>
      <c r="N239" t="str">
        <f>VLOOKUP(A239, Data_Set_2!$A:$D,2,FALSE)</f>
        <v>vfernandez4s</v>
      </c>
      <c r="O239" t="str">
        <f>VLOOKUP(A239, Data_Set_2!$A:$D,3,FALSE)</f>
        <v>Jayo</v>
      </c>
      <c r="P239" t="str">
        <f>VLOOKUP(A239, Data_Set_2!$A:$D,4,FALSE)</f>
        <v>Accounting Assistant II</v>
      </c>
      <c r="Q239" t="str">
        <f>_xlfn.CONCAT(Table3[[#This Row],[first_name]], " ",Table3[[#This Row],[last_name]])</f>
        <v>Virginia Fernandez</v>
      </c>
    </row>
    <row r="240" spans="1:17" hidden="1" x14ac:dyDescent="0.3">
      <c r="A240">
        <v>174</v>
      </c>
      <c r="B240" t="s">
        <v>320</v>
      </c>
      <c r="C240" t="s">
        <v>764</v>
      </c>
      <c r="D240" t="s">
        <v>824</v>
      </c>
      <c r="E240" t="s">
        <v>32</v>
      </c>
      <c r="F240" t="s">
        <v>51</v>
      </c>
      <c r="G240" s="1">
        <v>214</v>
      </c>
      <c r="H240" t="s">
        <v>62</v>
      </c>
      <c r="I240" s="2">
        <v>43807</v>
      </c>
      <c r="J240" t="s">
        <v>27</v>
      </c>
      <c r="K240" t="s">
        <v>215</v>
      </c>
      <c r="L240">
        <v>80920</v>
      </c>
      <c r="M240" t="s">
        <v>21</v>
      </c>
      <c r="N240" t="str">
        <f>VLOOKUP(A240, Data_Set_2!$A:$D,2,FALSE)</f>
        <v>jtucker4t</v>
      </c>
      <c r="O240" t="str">
        <f>VLOOKUP(A240, Data_Set_2!$A:$D,3,FALSE)</f>
        <v>Livetube</v>
      </c>
      <c r="P240" t="str">
        <f>VLOOKUP(A240, Data_Set_2!$A:$D,4,FALSE)</f>
        <v>Civil Engineer</v>
      </c>
      <c r="Q240" t="str">
        <f>_xlfn.CONCAT(Table3[[#This Row],[first_name]], " ",Table3[[#This Row],[last_name]])</f>
        <v>Julia Tucker</v>
      </c>
    </row>
    <row r="241" spans="1:17" hidden="1" x14ac:dyDescent="0.3">
      <c r="A241">
        <v>182</v>
      </c>
      <c r="B241" t="s">
        <v>516</v>
      </c>
      <c r="C241" t="s">
        <v>756</v>
      </c>
      <c r="D241" t="s">
        <v>757</v>
      </c>
      <c r="E241" t="s">
        <v>32</v>
      </c>
      <c r="F241" t="s">
        <v>33</v>
      </c>
      <c r="G241" s="1">
        <v>197</v>
      </c>
      <c r="H241" t="s">
        <v>26</v>
      </c>
      <c r="I241" s="2">
        <v>43707</v>
      </c>
      <c r="J241" t="s">
        <v>301</v>
      </c>
      <c r="K241" t="s">
        <v>758</v>
      </c>
      <c r="L241">
        <v>29505</v>
      </c>
      <c r="M241" t="s">
        <v>21</v>
      </c>
      <c r="N241" t="str">
        <f>VLOOKUP(A241, Data_Set_2!$A:$D,2,FALSE)</f>
        <v>dsullivan51</v>
      </c>
      <c r="O241" t="str">
        <f>VLOOKUP(A241, Data_Set_2!$A:$D,3,FALSE)</f>
        <v>Edgetag</v>
      </c>
      <c r="P241" t="str">
        <f>VLOOKUP(A241, Data_Set_2!$A:$D,4,FALSE)</f>
        <v>Staff Scientist</v>
      </c>
      <c r="Q241" t="str">
        <f>_xlfn.CONCAT(Table3[[#This Row],[first_name]], " ",Table3[[#This Row],[last_name]])</f>
        <v>Donna Sullivan</v>
      </c>
    </row>
    <row r="242" spans="1:17" hidden="1" x14ac:dyDescent="0.3">
      <c r="A242">
        <v>184</v>
      </c>
      <c r="B242" t="s">
        <v>122</v>
      </c>
      <c r="C242" t="s">
        <v>232</v>
      </c>
      <c r="D242" t="s">
        <v>552</v>
      </c>
      <c r="E242" t="s">
        <v>32</v>
      </c>
      <c r="F242" t="s">
        <v>553</v>
      </c>
      <c r="G242" s="1">
        <v>860</v>
      </c>
      <c r="H242" t="s">
        <v>26</v>
      </c>
      <c r="I242" s="2">
        <v>43453</v>
      </c>
      <c r="J242" t="s">
        <v>480</v>
      </c>
      <c r="K242" t="s">
        <v>554</v>
      </c>
      <c r="L242">
        <v>8695</v>
      </c>
      <c r="M242" t="s">
        <v>21</v>
      </c>
      <c r="N242" t="str">
        <f>VLOOKUP(A242, Data_Set_2!$A:$D,2,FALSE)</f>
        <v>award53</v>
      </c>
      <c r="O242" t="str">
        <f>VLOOKUP(A242, Data_Set_2!$A:$D,3,FALSE)</f>
        <v>Blogtags</v>
      </c>
      <c r="P242" t="str">
        <f>VLOOKUP(A242, Data_Set_2!$A:$D,4,FALSE)</f>
        <v>Dental Hygienist</v>
      </c>
      <c r="Q242" t="str">
        <f>_xlfn.CONCAT(Table3[[#This Row],[first_name]], " ",Table3[[#This Row],[last_name]])</f>
        <v>Andrea Ward</v>
      </c>
    </row>
    <row r="243" spans="1:17" hidden="1" x14ac:dyDescent="0.3">
      <c r="A243">
        <v>185</v>
      </c>
      <c r="B243" t="s">
        <v>117</v>
      </c>
      <c r="C243" t="s">
        <v>752</v>
      </c>
      <c r="D243" t="s">
        <v>1181</v>
      </c>
      <c r="E243" t="s">
        <v>32</v>
      </c>
      <c r="F243" t="s">
        <v>33</v>
      </c>
      <c r="G243" s="1">
        <v>751</v>
      </c>
      <c r="H243" t="s">
        <v>34</v>
      </c>
      <c r="I243" s="2">
        <v>44681</v>
      </c>
      <c r="J243" t="s">
        <v>68</v>
      </c>
      <c r="K243" t="s">
        <v>1182</v>
      </c>
      <c r="L243">
        <v>79116</v>
      </c>
      <c r="M243" t="s">
        <v>21</v>
      </c>
      <c r="N243" t="str">
        <f>VLOOKUP(A243, Data_Set_2!$A:$D,2,FALSE)</f>
        <v>ljenkins54</v>
      </c>
      <c r="O243" t="str">
        <f>VLOOKUP(A243, Data_Set_2!$A:$D,3,FALSE)</f>
        <v>Kwinu</v>
      </c>
      <c r="P243" t="str">
        <f>VLOOKUP(A243, Data_Set_2!$A:$D,4,FALSE)</f>
        <v>Programmer Analyst I</v>
      </c>
      <c r="Q243" t="str">
        <f>_xlfn.CONCAT(Table3[[#This Row],[first_name]], " ",Table3[[#This Row],[last_name]])</f>
        <v>Laura Jenkins</v>
      </c>
    </row>
    <row r="244" spans="1:17" hidden="1" x14ac:dyDescent="0.3">
      <c r="A244">
        <v>187</v>
      </c>
      <c r="B244" t="s">
        <v>661</v>
      </c>
      <c r="C244" t="s">
        <v>281</v>
      </c>
      <c r="D244" t="s">
        <v>1117</v>
      </c>
      <c r="E244" t="s">
        <v>16</v>
      </c>
      <c r="F244" t="s">
        <v>151</v>
      </c>
      <c r="G244" s="1">
        <v>614</v>
      </c>
      <c r="H244" t="s">
        <v>4039</v>
      </c>
      <c r="I244" s="2">
        <v>44529</v>
      </c>
      <c r="J244" t="s">
        <v>74</v>
      </c>
      <c r="K244" t="s">
        <v>551</v>
      </c>
      <c r="L244">
        <v>31416</v>
      </c>
      <c r="M244" t="s">
        <v>21</v>
      </c>
      <c r="N244" t="str">
        <f>VLOOKUP(A244, Data_Set_2!$A:$D,2,FALSE)</f>
        <v>wwarren56</v>
      </c>
      <c r="O244" t="str">
        <f>VLOOKUP(A244, Data_Set_2!$A:$D,3,FALSE)</f>
        <v>Twitterwire</v>
      </c>
      <c r="P244" t="str">
        <f>VLOOKUP(A244, Data_Set_2!$A:$D,4,FALSE)</f>
        <v>Senior Quality Engineer</v>
      </c>
      <c r="Q244" t="str">
        <f>_xlfn.CONCAT(Table3[[#This Row],[first_name]], " ",Table3[[#This Row],[last_name]])</f>
        <v>Walter Warren</v>
      </c>
    </row>
    <row r="245" spans="1:17" hidden="1" x14ac:dyDescent="0.3">
      <c r="A245">
        <v>188</v>
      </c>
      <c r="B245" t="s">
        <v>899</v>
      </c>
      <c r="C245" t="s">
        <v>149</v>
      </c>
      <c r="D245" t="s">
        <v>900</v>
      </c>
      <c r="E245" t="s">
        <v>32</v>
      </c>
      <c r="F245" t="s">
        <v>17</v>
      </c>
      <c r="G245" s="1">
        <v>839</v>
      </c>
      <c r="H245" t="s">
        <v>26</v>
      </c>
      <c r="I245" s="2">
        <v>43983</v>
      </c>
      <c r="J245" t="s">
        <v>46</v>
      </c>
      <c r="K245" t="s">
        <v>47</v>
      </c>
      <c r="L245">
        <v>6183</v>
      </c>
      <c r="M245" t="s">
        <v>21</v>
      </c>
      <c r="N245" t="str">
        <f>VLOOKUP(A245, Data_Set_2!$A:$D,2,FALSE)</f>
        <v>emedina57</v>
      </c>
      <c r="O245" t="str">
        <f>VLOOKUP(A245, Data_Set_2!$A:$D,3,FALSE)</f>
        <v>Aimbu</v>
      </c>
      <c r="P245" t="str">
        <f>VLOOKUP(A245, Data_Set_2!$A:$D,4,FALSE)</f>
        <v>Human Resources Assistant II</v>
      </c>
      <c r="Q245" t="str">
        <f>_xlfn.CONCAT(Table3[[#This Row],[first_name]], " ",Table3[[#This Row],[last_name]])</f>
        <v>Elizabeth Medina</v>
      </c>
    </row>
    <row r="246" spans="1:17" hidden="1" x14ac:dyDescent="0.3">
      <c r="A246">
        <v>189</v>
      </c>
      <c r="B246" t="s">
        <v>555</v>
      </c>
      <c r="C246" t="s">
        <v>556</v>
      </c>
      <c r="D246" t="s">
        <v>557</v>
      </c>
      <c r="E246" t="s">
        <v>16</v>
      </c>
      <c r="F246" t="s">
        <v>33</v>
      </c>
      <c r="G246" s="1">
        <v>886</v>
      </c>
      <c r="H246" t="s">
        <v>4037</v>
      </c>
      <c r="I246" s="2">
        <v>43454</v>
      </c>
      <c r="J246" t="s">
        <v>35</v>
      </c>
      <c r="K246" t="s">
        <v>558</v>
      </c>
      <c r="L246">
        <v>93034</v>
      </c>
      <c r="M246" t="s">
        <v>21</v>
      </c>
      <c r="N246" t="str">
        <f>VLOOKUP(A246, Data_Set_2!$A:$D,2,FALSE)</f>
        <v>agutierrez58</v>
      </c>
      <c r="O246" t="str">
        <f>VLOOKUP(A246, Data_Set_2!$A:$D,3,FALSE)</f>
        <v>Agimba</v>
      </c>
      <c r="P246" t="str">
        <f>VLOOKUP(A246, Data_Set_2!$A:$D,4,FALSE)</f>
        <v>Food Chemist</v>
      </c>
      <c r="Q246" t="str">
        <f>_xlfn.CONCAT(Table3[[#This Row],[first_name]], " ",Table3[[#This Row],[last_name]])</f>
        <v>Andrew Gutierrez</v>
      </c>
    </row>
    <row r="247" spans="1:17" hidden="1" x14ac:dyDescent="0.3">
      <c r="A247">
        <v>191</v>
      </c>
      <c r="B247" t="s">
        <v>198</v>
      </c>
      <c r="C247" t="s">
        <v>337</v>
      </c>
      <c r="D247" t="s">
        <v>1248</v>
      </c>
      <c r="E247" t="s">
        <v>16</v>
      </c>
      <c r="F247" t="s">
        <v>33</v>
      </c>
      <c r="G247" s="1">
        <v>137</v>
      </c>
      <c r="H247" t="s">
        <v>4036</v>
      </c>
      <c r="I247" s="2">
        <v>44881</v>
      </c>
      <c r="J247" t="s">
        <v>192</v>
      </c>
      <c r="K247" t="s">
        <v>193</v>
      </c>
      <c r="L247">
        <v>55423</v>
      </c>
      <c r="M247" t="s">
        <v>21</v>
      </c>
      <c r="N247" t="str">
        <f>VLOOKUP(A247, Data_Set_2!$A:$D,2,FALSE)</f>
        <v>aweaver5a</v>
      </c>
      <c r="O247" t="str">
        <f>VLOOKUP(A247, Data_Set_2!$A:$D,3,FALSE)</f>
        <v>Snaptags</v>
      </c>
      <c r="P247" t="str">
        <f>VLOOKUP(A247, Data_Set_2!$A:$D,4,FALSE)</f>
        <v>Paralegal</v>
      </c>
      <c r="Q247" t="str">
        <f>_xlfn.CONCAT(Table3[[#This Row],[first_name]], " ",Table3[[#This Row],[last_name]])</f>
        <v>Anthony Weaver</v>
      </c>
    </row>
    <row r="248" spans="1:17" hidden="1" x14ac:dyDescent="0.3">
      <c r="A248">
        <v>192</v>
      </c>
      <c r="B248" t="s">
        <v>1044</v>
      </c>
      <c r="C248" t="s">
        <v>1045</v>
      </c>
      <c r="D248" t="s">
        <v>1046</v>
      </c>
      <c r="E248" t="s">
        <v>32</v>
      </c>
      <c r="F248" t="s">
        <v>25</v>
      </c>
      <c r="G248" s="1">
        <v>848</v>
      </c>
      <c r="H248" t="s">
        <v>18</v>
      </c>
      <c r="I248" s="2">
        <v>44317</v>
      </c>
      <c r="J248" t="s">
        <v>184</v>
      </c>
      <c r="K248" t="s">
        <v>656</v>
      </c>
      <c r="L248">
        <v>11241</v>
      </c>
      <c r="M248" t="s">
        <v>21</v>
      </c>
      <c r="N248" t="str">
        <f>VLOOKUP(A248, Data_Set_2!$A:$D,2,FALSE)</f>
        <v>cbrown5b</v>
      </c>
      <c r="O248" t="str">
        <f>VLOOKUP(A248, Data_Set_2!$A:$D,3,FALSE)</f>
        <v>Kazio</v>
      </c>
      <c r="P248" t="str">
        <f>VLOOKUP(A248, Data_Set_2!$A:$D,4,FALSE)</f>
        <v>Software Test Engineer II</v>
      </c>
      <c r="Q248" t="str">
        <f>_xlfn.CONCAT(Table3[[#This Row],[first_name]], " ",Table3[[#This Row],[last_name]])</f>
        <v>Cheryl Brown</v>
      </c>
    </row>
    <row r="249" spans="1:17" hidden="1" x14ac:dyDescent="0.3">
      <c r="A249">
        <v>194</v>
      </c>
      <c r="B249" t="s">
        <v>899</v>
      </c>
      <c r="C249" t="s">
        <v>396</v>
      </c>
      <c r="D249" t="s">
        <v>1141</v>
      </c>
      <c r="E249" t="s">
        <v>32</v>
      </c>
      <c r="F249" t="s">
        <v>406</v>
      </c>
      <c r="G249" s="1">
        <v>519</v>
      </c>
      <c r="H249" t="s">
        <v>26</v>
      </c>
      <c r="I249" s="2">
        <v>44568</v>
      </c>
      <c r="J249" t="s">
        <v>220</v>
      </c>
      <c r="K249" t="s">
        <v>221</v>
      </c>
      <c r="L249">
        <v>98411</v>
      </c>
      <c r="M249" t="s">
        <v>21</v>
      </c>
      <c r="N249" t="str">
        <f>VLOOKUP(A249, Data_Set_2!$A:$D,2,FALSE)</f>
        <v>egordon5d</v>
      </c>
      <c r="O249" t="str">
        <f>VLOOKUP(A249, Data_Set_2!$A:$D,3,FALSE)</f>
        <v>Innojam</v>
      </c>
      <c r="P249" t="str">
        <f>VLOOKUP(A249, Data_Set_2!$A:$D,4,FALSE)</f>
        <v>Dental Hygienist</v>
      </c>
      <c r="Q249" t="str">
        <f>_xlfn.CONCAT(Table3[[#This Row],[first_name]], " ",Table3[[#This Row],[last_name]])</f>
        <v>Elizabeth Gordon</v>
      </c>
    </row>
    <row r="250" spans="1:17" hidden="1" x14ac:dyDescent="0.3">
      <c r="A250">
        <v>195</v>
      </c>
      <c r="B250" t="s">
        <v>417</v>
      </c>
      <c r="C250" t="s">
        <v>353</v>
      </c>
      <c r="D250" t="s">
        <v>418</v>
      </c>
      <c r="E250" t="s">
        <v>16</v>
      </c>
      <c r="F250" t="s">
        <v>17</v>
      </c>
      <c r="G250" s="1">
        <v>364</v>
      </c>
      <c r="H250" t="s">
        <v>26</v>
      </c>
      <c r="I250" s="2">
        <v>43299</v>
      </c>
      <c r="J250" t="s">
        <v>58</v>
      </c>
      <c r="K250" t="s">
        <v>419</v>
      </c>
      <c r="L250">
        <v>66160</v>
      </c>
      <c r="M250" t="s">
        <v>21</v>
      </c>
      <c r="N250" t="str">
        <f>VLOOKUP(A250, Data_Set_2!$A:$D,2,FALSE)</f>
        <v>wfowler5e</v>
      </c>
      <c r="O250" t="str">
        <f>VLOOKUP(A250, Data_Set_2!$A:$D,3,FALSE)</f>
        <v>Devbug</v>
      </c>
      <c r="P250" t="str">
        <f>VLOOKUP(A250, Data_Set_2!$A:$D,4,FALSE)</f>
        <v>Occupational Therapist</v>
      </c>
      <c r="Q250" t="str">
        <f>_xlfn.CONCAT(Table3[[#This Row],[first_name]], " ",Table3[[#This Row],[last_name]])</f>
        <v>Willie Fowler</v>
      </c>
    </row>
    <row r="251" spans="1:17" hidden="1" x14ac:dyDescent="0.3">
      <c r="A251">
        <v>203</v>
      </c>
      <c r="B251" t="s">
        <v>420</v>
      </c>
      <c r="C251" t="s">
        <v>90</v>
      </c>
      <c r="D251" t="s">
        <v>1197</v>
      </c>
      <c r="E251" t="s">
        <v>16</v>
      </c>
      <c r="F251" t="s">
        <v>33</v>
      </c>
      <c r="G251" s="1">
        <v>219</v>
      </c>
      <c r="H251" t="s">
        <v>26</v>
      </c>
      <c r="I251" s="2">
        <v>44708</v>
      </c>
      <c r="J251" t="s">
        <v>96</v>
      </c>
      <c r="K251" t="s">
        <v>1198</v>
      </c>
      <c r="L251">
        <v>47937</v>
      </c>
      <c r="M251" t="s">
        <v>21</v>
      </c>
      <c r="N251" t="str">
        <f>VLOOKUP(A251, Data_Set_2!$A:$D,2,FALSE)</f>
        <v>aromero5m</v>
      </c>
      <c r="O251" t="str">
        <f>VLOOKUP(A251, Data_Set_2!$A:$D,3,FALSE)</f>
        <v>Twimm</v>
      </c>
      <c r="P251" t="str">
        <f>VLOOKUP(A251, Data_Set_2!$A:$D,4,FALSE)</f>
        <v>Legal Assistant</v>
      </c>
      <c r="Q251" t="str">
        <f>_xlfn.CONCAT(Table3[[#This Row],[first_name]], " ",Table3[[#This Row],[last_name]])</f>
        <v>Antonio Romero</v>
      </c>
    </row>
    <row r="252" spans="1:17" hidden="1" x14ac:dyDescent="0.3">
      <c r="A252">
        <v>204</v>
      </c>
      <c r="B252" t="s">
        <v>213</v>
      </c>
      <c r="C252" t="s">
        <v>86</v>
      </c>
      <c r="D252" t="s">
        <v>214</v>
      </c>
      <c r="E252" t="s">
        <v>16</v>
      </c>
      <c r="F252" t="s">
        <v>33</v>
      </c>
      <c r="G252" s="1">
        <v>268</v>
      </c>
      <c r="H252" t="s">
        <v>109</v>
      </c>
      <c r="I252" s="2">
        <v>43179</v>
      </c>
      <c r="J252" t="s">
        <v>27</v>
      </c>
      <c r="K252" t="s">
        <v>215</v>
      </c>
      <c r="L252">
        <v>80940</v>
      </c>
      <c r="M252" t="s">
        <v>21</v>
      </c>
      <c r="N252" t="str">
        <f>VLOOKUP(A252, Data_Set_2!$A:$D,2,FALSE)</f>
        <v>avasquez5n</v>
      </c>
      <c r="O252" t="str">
        <f>VLOOKUP(A252, Data_Set_2!$A:$D,3,FALSE)</f>
        <v>Youspan</v>
      </c>
      <c r="P252" t="str">
        <f>VLOOKUP(A252, Data_Set_2!$A:$D,4,FALSE)</f>
        <v>Computer Systems Analyst III</v>
      </c>
      <c r="Q252" t="str">
        <f>_xlfn.CONCAT(Table3[[#This Row],[first_name]], " ",Table3[[#This Row],[last_name]])</f>
        <v>Alan Vasquez</v>
      </c>
    </row>
    <row r="253" spans="1:17" hidden="1" x14ac:dyDescent="0.3">
      <c r="A253">
        <v>204</v>
      </c>
      <c r="B253" t="s">
        <v>213</v>
      </c>
      <c r="C253" t="s">
        <v>86</v>
      </c>
      <c r="D253" t="s">
        <v>214</v>
      </c>
      <c r="E253" t="s">
        <v>16</v>
      </c>
      <c r="F253" t="s">
        <v>33</v>
      </c>
      <c r="G253" s="1">
        <v>488</v>
      </c>
      <c r="H253" t="s">
        <v>109</v>
      </c>
      <c r="I253" s="2">
        <v>43826</v>
      </c>
      <c r="J253" t="s">
        <v>27</v>
      </c>
      <c r="K253" t="s">
        <v>215</v>
      </c>
      <c r="L253">
        <v>80940</v>
      </c>
      <c r="M253" t="s">
        <v>21</v>
      </c>
      <c r="N253" t="str">
        <f>VLOOKUP(A253, Data_Set_2!$A:$D,2,FALSE)</f>
        <v>avasquez5n</v>
      </c>
      <c r="O253" t="str">
        <f>VLOOKUP(A253, Data_Set_2!$A:$D,3,FALSE)</f>
        <v>Youspan</v>
      </c>
      <c r="P253" t="str">
        <f>VLOOKUP(A253, Data_Set_2!$A:$D,4,FALSE)</f>
        <v>Computer Systems Analyst III</v>
      </c>
      <c r="Q253" t="str">
        <f>_xlfn.CONCAT(Table3[[#This Row],[first_name]], " ",Table3[[#This Row],[last_name]])</f>
        <v>Alan Vasquez</v>
      </c>
    </row>
    <row r="254" spans="1:17" hidden="1" x14ac:dyDescent="0.3">
      <c r="A254">
        <v>204</v>
      </c>
      <c r="B254" t="s">
        <v>213</v>
      </c>
      <c r="C254" t="s">
        <v>86</v>
      </c>
      <c r="D254" t="s">
        <v>214</v>
      </c>
      <c r="E254" t="s">
        <v>16</v>
      </c>
      <c r="F254" t="s">
        <v>33</v>
      </c>
      <c r="G254" s="1">
        <v>685</v>
      </c>
      <c r="H254" t="s">
        <v>109</v>
      </c>
      <c r="I254" s="2">
        <v>44365</v>
      </c>
      <c r="J254" t="s">
        <v>27</v>
      </c>
      <c r="K254" t="s">
        <v>215</v>
      </c>
      <c r="L254">
        <v>80940</v>
      </c>
      <c r="M254" t="s">
        <v>21</v>
      </c>
      <c r="N254" t="str">
        <f>VLOOKUP(A254, Data_Set_2!$A:$D,2,FALSE)</f>
        <v>avasquez5n</v>
      </c>
      <c r="O254" t="str">
        <f>VLOOKUP(A254, Data_Set_2!$A:$D,3,FALSE)</f>
        <v>Youspan</v>
      </c>
      <c r="P254" t="str">
        <f>VLOOKUP(A254, Data_Set_2!$A:$D,4,FALSE)</f>
        <v>Computer Systems Analyst III</v>
      </c>
      <c r="Q254" t="str">
        <f>_xlfn.CONCAT(Table3[[#This Row],[first_name]], " ",Table3[[#This Row],[last_name]])</f>
        <v>Alan Vasquez</v>
      </c>
    </row>
    <row r="255" spans="1:17" hidden="1" x14ac:dyDescent="0.3">
      <c r="A255">
        <v>204</v>
      </c>
      <c r="B255" t="s">
        <v>213</v>
      </c>
      <c r="C255" t="s">
        <v>86</v>
      </c>
      <c r="D255" t="s">
        <v>214</v>
      </c>
      <c r="E255" t="s">
        <v>16</v>
      </c>
      <c r="F255" t="s">
        <v>33</v>
      </c>
      <c r="G255" s="1">
        <v>459</v>
      </c>
      <c r="H255" t="s">
        <v>109</v>
      </c>
      <c r="I255" s="2">
        <v>44729</v>
      </c>
      <c r="J255" t="s">
        <v>27</v>
      </c>
      <c r="K255" t="s">
        <v>215</v>
      </c>
      <c r="L255">
        <v>80940</v>
      </c>
      <c r="M255" t="s">
        <v>21</v>
      </c>
      <c r="N255" t="str">
        <f>VLOOKUP(A255, Data_Set_2!$A:$D,2,FALSE)</f>
        <v>avasquez5n</v>
      </c>
      <c r="O255" t="str">
        <f>VLOOKUP(A255, Data_Set_2!$A:$D,3,FALSE)</f>
        <v>Youspan</v>
      </c>
      <c r="P255" t="str">
        <f>VLOOKUP(A255, Data_Set_2!$A:$D,4,FALSE)</f>
        <v>Computer Systems Analyst III</v>
      </c>
      <c r="Q255" t="str">
        <f>_xlfn.CONCAT(Table3[[#This Row],[first_name]], " ",Table3[[#This Row],[last_name]])</f>
        <v>Alan Vasquez</v>
      </c>
    </row>
    <row r="256" spans="1:17" hidden="1" x14ac:dyDescent="0.3">
      <c r="A256">
        <v>205</v>
      </c>
      <c r="B256" t="s">
        <v>809</v>
      </c>
      <c r="C256" t="s">
        <v>810</v>
      </c>
      <c r="D256" t="s">
        <v>811</v>
      </c>
      <c r="E256" t="s">
        <v>16</v>
      </c>
      <c r="F256" t="s">
        <v>17</v>
      </c>
      <c r="G256" s="1">
        <v>25</v>
      </c>
      <c r="H256" t="s">
        <v>18</v>
      </c>
      <c r="I256" s="2">
        <v>43785</v>
      </c>
      <c r="J256" t="s">
        <v>46</v>
      </c>
      <c r="K256" t="s">
        <v>47</v>
      </c>
      <c r="L256">
        <v>6152</v>
      </c>
      <c r="M256" t="s">
        <v>21</v>
      </c>
      <c r="N256" t="str">
        <f>VLOOKUP(A256, Data_Set_2!$A:$D,2,FALSE)</f>
        <v>lmiller5o</v>
      </c>
      <c r="O256" t="str">
        <f>VLOOKUP(A256, Data_Set_2!$A:$D,3,FALSE)</f>
        <v>Latz</v>
      </c>
      <c r="P256" t="str">
        <f>VLOOKUP(A256, Data_Set_2!$A:$D,4,FALSE)</f>
        <v>Systems Administrator III</v>
      </c>
      <c r="Q256" t="str">
        <f>_xlfn.CONCAT(Table3[[#This Row],[first_name]], " ",Table3[[#This Row],[last_name]])</f>
        <v>Larry Miller</v>
      </c>
    </row>
    <row r="257" spans="1:17" hidden="1" x14ac:dyDescent="0.3">
      <c r="A257">
        <v>205</v>
      </c>
      <c r="B257" t="s">
        <v>809</v>
      </c>
      <c r="C257" t="s">
        <v>810</v>
      </c>
      <c r="D257" t="s">
        <v>811</v>
      </c>
      <c r="E257" t="s">
        <v>16</v>
      </c>
      <c r="F257" t="s">
        <v>17</v>
      </c>
      <c r="G257" s="1">
        <v>166</v>
      </c>
      <c r="H257" t="s">
        <v>18</v>
      </c>
      <c r="I257" s="2">
        <v>44219</v>
      </c>
      <c r="J257" t="s">
        <v>46</v>
      </c>
      <c r="K257" t="s">
        <v>47</v>
      </c>
      <c r="L257">
        <v>6152</v>
      </c>
      <c r="M257" t="s">
        <v>21</v>
      </c>
      <c r="N257" t="str">
        <f>VLOOKUP(A257, Data_Set_2!$A:$D,2,FALSE)</f>
        <v>lmiller5o</v>
      </c>
      <c r="O257" t="str">
        <f>VLOOKUP(A257, Data_Set_2!$A:$D,3,FALSE)</f>
        <v>Latz</v>
      </c>
      <c r="P257" t="str">
        <f>VLOOKUP(A257, Data_Set_2!$A:$D,4,FALSE)</f>
        <v>Systems Administrator III</v>
      </c>
      <c r="Q257" t="str">
        <f>_xlfn.CONCAT(Table3[[#This Row],[first_name]], " ",Table3[[#This Row],[last_name]])</f>
        <v>Larry Miller</v>
      </c>
    </row>
    <row r="258" spans="1:17" hidden="1" x14ac:dyDescent="0.3">
      <c r="A258">
        <v>205</v>
      </c>
      <c r="B258" t="s">
        <v>809</v>
      </c>
      <c r="C258" t="s">
        <v>810</v>
      </c>
      <c r="D258" t="s">
        <v>811</v>
      </c>
      <c r="E258" t="s">
        <v>16</v>
      </c>
      <c r="F258" t="s">
        <v>17</v>
      </c>
      <c r="G258" s="1">
        <v>456</v>
      </c>
      <c r="H258" t="s">
        <v>18</v>
      </c>
      <c r="I258" s="2">
        <v>44482</v>
      </c>
      <c r="J258" t="s">
        <v>46</v>
      </c>
      <c r="K258" t="s">
        <v>47</v>
      </c>
      <c r="L258">
        <v>6152</v>
      </c>
      <c r="M258" t="s">
        <v>21</v>
      </c>
      <c r="N258" t="str">
        <f>VLOOKUP(A258, Data_Set_2!$A:$D,2,FALSE)</f>
        <v>lmiller5o</v>
      </c>
      <c r="O258" t="str">
        <f>VLOOKUP(A258, Data_Set_2!$A:$D,3,FALSE)</f>
        <v>Latz</v>
      </c>
      <c r="P258" t="str">
        <f>VLOOKUP(A258, Data_Set_2!$A:$D,4,FALSE)</f>
        <v>Systems Administrator III</v>
      </c>
      <c r="Q258" t="str">
        <f>_xlfn.CONCAT(Table3[[#This Row],[first_name]], " ",Table3[[#This Row],[last_name]])</f>
        <v>Larry Miller</v>
      </c>
    </row>
    <row r="259" spans="1:17" hidden="1" x14ac:dyDescent="0.3">
      <c r="A259">
        <v>206</v>
      </c>
      <c r="B259" t="s">
        <v>70</v>
      </c>
      <c r="C259" t="s">
        <v>149</v>
      </c>
      <c r="D259" t="s">
        <v>150</v>
      </c>
      <c r="E259" t="s">
        <v>32</v>
      </c>
      <c r="F259" t="s">
        <v>151</v>
      </c>
      <c r="G259" s="1">
        <v>467</v>
      </c>
      <c r="H259" t="s">
        <v>26</v>
      </c>
      <c r="I259" s="2">
        <v>43143</v>
      </c>
      <c r="J259" t="s">
        <v>152</v>
      </c>
      <c r="K259" t="s">
        <v>153</v>
      </c>
      <c r="L259">
        <v>44555</v>
      </c>
      <c r="M259" t="s">
        <v>21</v>
      </c>
      <c r="N259" t="str">
        <f>VLOOKUP(A259, Data_Set_2!$A:$D,2,FALSE)</f>
        <v>rmedina5p</v>
      </c>
      <c r="O259" t="str">
        <f>VLOOKUP(A259, Data_Set_2!$A:$D,3,FALSE)</f>
        <v>Edgeblab</v>
      </c>
      <c r="P259" t="str">
        <f>VLOOKUP(A259, Data_Set_2!$A:$D,4,FALSE)</f>
        <v>Account Coordinator</v>
      </c>
      <c r="Q259" t="str">
        <f>_xlfn.CONCAT(Table3[[#This Row],[first_name]], " ",Table3[[#This Row],[last_name]])</f>
        <v>Ruth Medina</v>
      </c>
    </row>
    <row r="260" spans="1:17" hidden="1" x14ac:dyDescent="0.3">
      <c r="A260">
        <v>206</v>
      </c>
      <c r="B260" t="s">
        <v>70</v>
      </c>
      <c r="C260" t="s">
        <v>149</v>
      </c>
      <c r="D260" t="s">
        <v>150</v>
      </c>
      <c r="E260" t="s">
        <v>32</v>
      </c>
      <c r="F260" t="s">
        <v>151</v>
      </c>
      <c r="G260" s="1">
        <v>54</v>
      </c>
      <c r="H260" t="s">
        <v>26</v>
      </c>
      <c r="I260" s="2">
        <v>43499</v>
      </c>
      <c r="J260" t="s">
        <v>152</v>
      </c>
      <c r="K260" t="s">
        <v>153</v>
      </c>
      <c r="L260">
        <v>44555</v>
      </c>
      <c r="M260" t="s">
        <v>21</v>
      </c>
      <c r="N260" t="str">
        <f>VLOOKUP(A260, Data_Set_2!$A:$D,2,FALSE)</f>
        <v>rmedina5p</v>
      </c>
      <c r="O260" t="str">
        <f>VLOOKUP(A260, Data_Set_2!$A:$D,3,FALSE)</f>
        <v>Edgeblab</v>
      </c>
      <c r="P260" t="str">
        <f>VLOOKUP(A260, Data_Set_2!$A:$D,4,FALSE)</f>
        <v>Account Coordinator</v>
      </c>
      <c r="Q260" t="str">
        <f>_xlfn.CONCAT(Table3[[#This Row],[first_name]], " ",Table3[[#This Row],[last_name]])</f>
        <v>Ruth Medina</v>
      </c>
    </row>
    <row r="261" spans="1:17" hidden="1" x14ac:dyDescent="0.3">
      <c r="A261">
        <v>206</v>
      </c>
      <c r="B261" t="s">
        <v>70</v>
      </c>
      <c r="C261" t="s">
        <v>149</v>
      </c>
      <c r="D261" t="s">
        <v>150</v>
      </c>
      <c r="E261" t="s">
        <v>32</v>
      </c>
      <c r="F261" t="s">
        <v>151</v>
      </c>
      <c r="G261" s="1">
        <v>817</v>
      </c>
      <c r="H261" t="s">
        <v>26</v>
      </c>
      <c r="I261" s="2">
        <v>44407</v>
      </c>
      <c r="J261" t="s">
        <v>152</v>
      </c>
      <c r="K261" t="s">
        <v>153</v>
      </c>
      <c r="L261">
        <v>44555</v>
      </c>
      <c r="M261" t="s">
        <v>21</v>
      </c>
      <c r="N261" t="str">
        <f>VLOOKUP(A261, Data_Set_2!$A:$D,2,FALSE)</f>
        <v>rmedina5p</v>
      </c>
      <c r="O261" t="str">
        <f>VLOOKUP(A261, Data_Set_2!$A:$D,3,FALSE)</f>
        <v>Edgeblab</v>
      </c>
      <c r="P261" t="str">
        <f>VLOOKUP(A261, Data_Set_2!$A:$D,4,FALSE)</f>
        <v>Account Coordinator</v>
      </c>
      <c r="Q261" t="str">
        <f>_xlfn.CONCAT(Table3[[#This Row],[first_name]], " ",Table3[[#This Row],[last_name]])</f>
        <v>Ruth Medina</v>
      </c>
    </row>
    <row r="262" spans="1:17" hidden="1" x14ac:dyDescent="0.3">
      <c r="A262">
        <v>207</v>
      </c>
      <c r="B262" t="s">
        <v>324</v>
      </c>
      <c r="C262" t="s">
        <v>195</v>
      </c>
      <c r="D262" t="s">
        <v>325</v>
      </c>
      <c r="E262" t="s">
        <v>32</v>
      </c>
      <c r="F262" t="s">
        <v>51</v>
      </c>
      <c r="G262" s="1">
        <v>94</v>
      </c>
      <c r="H262" t="s">
        <v>4034</v>
      </c>
      <c r="I262" s="2">
        <v>43238</v>
      </c>
      <c r="J262" t="s">
        <v>35</v>
      </c>
      <c r="K262" t="s">
        <v>326</v>
      </c>
      <c r="L262">
        <v>91109</v>
      </c>
      <c r="M262" t="s">
        <v>21</v>
      </c>
      <c r="N262" t="str">
        <f>VLOOKUP(A262, Data_Set_2!$A:$D,2,FALSE)</f>
        <v>aturner5q</v>
      </c>
      <c r="O262" t="str">
        <f>VLOOKUP(A262, Data_Set_2!$A:$D,3,FALSE)</f>
        <v>Twinder</v>
      </c>
      <c r="P262" t="str">
        <f>VLOOKUP(A262, Data_Set_2!$A:$D,4,FALSE)</f>
        <v>Internal Auditor</v>
      </c>
      <c r="Q262" t="str">
        <f>_xlfn.CONCAT(Table3[[#This Row],[first_name]], " ",Table3[[#This Row],[last_name]])</f>
        <v>Alice Turner</v>
      </c>
    </row>
    <row r="263" spans="1:17" hidden="1" x14ac:dyDescent="0.3">
      <c r="A263">
        <v>207</v>
      </c>
      <c r="B263" t="s">
        <v>324</v>
      </c>
      <c r="C263" t="s">
        <v>195</v>
      </c>
      <c r="D263" t="s">
        <v>325</v>
      </c>
      <c r="E263" t="s">
        <v>32</v>
      </c>
      <c r="F263" t="s">
        <v>51</v>
      </c>
      <c r="G263" s="1">
        <v>130</v>
      </c>
      <c r="H263" t="s">
        <v>4034</v>
      </c>
      <c r="I263" s="2">
        <v>43262</v>
      </c>
      <c r="J263" t="s">
        <v>35</v>
      </c>
      <c r="K263" t="s">
        <v>326</v>
      </c>
      <c r="L263">
        <v>91109</v>
      </c>
      <c r="M263" t="s">
        <v>21</v>
      </c>
      <c r="N263" t="str">
        <f>VLOOKUP(A263, Data_Set_2!$A:$D,2,FALSE)</f>
        <v>aturner5q</v>
      </c>
      <c r="O263" t="str">
        <f>VLOOKUP(A263, Data_Set_2!$A:$D,3,FALSE)</f>
        <v>Twinder</v>
      </c>
      <c r="P263" t="str">
        <f>VLOOKUP(A263, Data_Set_2!$A:$D,4,FALSE)</f>
        <v>Internal Auditor</v>
      </c>
      <c r="Q263" t="str">
        <f>_xlfn.CONCAT(Table3[[#This Row],[first_name]], " ",Table3[[#This Row],[last_name]])</f>
        <v>Alice Turner</v>
      </c>
    </row>
    <row r="264" spans="1:17" hidden="1" x14ac:dyDescent="0.3">
      <c r="A264">
        <v>207</v>
      </c>
      <c r="B264" t="s">
        <v>324</v>
      </c>
      <c r="C264" t="s">
        <v>195</v>
      </c>
      <c r="D264" t="s">
        <v>325</v>
      </c>
      <c r="E264" t="s">
        <v>32</v>
      </c>
      <c r="F264" t="s">
        <v>51</v>
      </c>
      <c r="G264" s="1">
        <v>515</v>
      </c>
      <c r="H264" t="s">
        <v>4034</v>
      </c>
      <c r="I264" s="2">
        <v>43390</v>
      </c>
      <c r="J264" t="s">
        <v>35</v>
      </c>
      <c r="K264" t="s">
        <v>326</v>
      </c>
      <c r="L264">
        <v>91109</v>
      </c>
      <c r="M264" t="s">
        <v>21</v>
      </c>
      <c r="N264" t="str">
        <f>VLOOKUP(A264, Data_Set_2!$A:$D,2,FALSE)</f>
        <v>aturner5q</v>
      </c>
      <c r="O264" t="str">
        <f>VLOOKUP(A264, Data_Set_2!$A:$D,3,FALSE)</f>
        <v>Twinder</v>
      </c>
      <c r="P264" t="str">
        <f>VLOOKUP(A264, Data_Set_2!$A:$D,4,FALSE)</f>
        <v>Internal Auditor</v>
      </c>
      <c r="Q264" t="str">
        <f>_xlfn.CONCAT(Table3[[#This Row],[first_name]], " ",Table3[[#This Row],[last_name]])</f>
        <v>Alice Turner</v>
      </c>
    </row>
    <row r="265" spans="1:17" hidden="1" x14ac:dyDescent="0.3">
      <c r="A265">
        <v>207</v>
      </c>
      <c r="B265" t="s">
        <v>324</v>
      </c>
      <c r="C265" t="s">
        <v>195</v>
      </c>
      <c r="D265" t="s">
        <v>325</v>
      </c>
      <c r="E265" t="s">
        <v>32</v>
      </c>
      <c r="F265" t="s">
        <v>51</v>
      </c>
      <c r="G265" s="1">
        <v>964</v>
      </c>
      <c r="H265" t="s">
        <v>4034</v>
      </c>
      <c r="I265" s="2">
        <v>43802</v>
      </c>
      <c r="J265" t="s">
        <v>35</v>
      </c>
      <c r="K265" t="s">
        <v>326</v>
      </c>
      <c r="L265">
        <v>91109</v>
      </c>
      <c r="M265" t="s">
        <v>21</v>
      </c>
      <c r="N265" t="str">
        <f>VLOOKUP(A265, Data_Set_2!$A:$D,2,FALSE)</f>
        <v>aturner5q</v>
      </c>
      <c r="O265" t="str">
        <f>VLOOKUP(A265, Data_Set_2!$A:$D,3,FALSE)</f>
        <v>Twinder</v>
      </c>
      <c r="P265" t="str">
        <f>VLOOKUP(A265, Data_Set_2!$A:$D,4,FALSE)</f>
        <v>Internal Auditor</v>
      </c>
      <c r="Q265" t="str">
        <f>_xlfn.CONCAT(Table3[[#This Row],[first_name]], " ",Table3[[#This Row],[last_name]])</f>
        <v>Alice Turner</v>
      </c>
    </row>
    <row r="266" spans="1:17" hidden="1" x14ac:dyDescent="0.3">
      <c r="A266">
        <v>207</v>
      </c>
      <c r="B266" t="s">
        <v>324</v>
      </c>
      <c r="C266" t="s">
        <v>195</v>
      </c>
      <c r="D266" t="s">
        <v>325</v>
      </c>
      <c r="E266" t="s">
        <v>32</v>
      </c>
      <c r="F266" t="s">
        <v>51</v>
      </c>
      <c r="G266" s="1">
        <v>576</v>
      </c>
      <c r="H266" t="s">
        <v>4034</v>
      </c>
      <c r="I266" s="2">
        <v>43914</v>
      </c>
      <c r="J266" t="s">
        <v>35</v>
      </c>
      <c r="K266" t="s">
        <v>326</v>
      </c>
      <c r="L266">
        <v>91109</v>
      </c>
      <c r="M266" t="s">
        <v>21</v>
      </c>
      <c r="N266" t="str">
        <f>VLOOKUP(A266, Data_Set_2!$A:$D,2,FALSE)</f>
        <v>aturner5q</v>
      </c>
      <c r="O266" t="str">
        <f>VLOOKUP(A266, Data_Set_2!$A:$D,3,FALSE)</f>
        <v>Twinder</v>
      </c>
      <c r="P266" t="str">
        <f>VLOOKUP(A266, Data_Set_2!$A:$D,4,FALSE)</f>
        <v>Internal Auditor</v>
      </c>
      <c r="Q266" t="str">
        <f>_xlfn.CONCAT(Table3[[#This Row],[first_name]], " ",Table3[[#This Row],[last_name]])</f>
        <v>Alice Turner</v>
      </c>
    </row>
    <row r="267" spans="1:17" hidden="1" x14ac:dyDescent="0.3">
      <c r="A267">
        <v>207</v>
      </c>
      <c r="B267" t="s">
        <v>324</v>
      </c>
      <c r="C267" t="s">
        <v>195</v>
      </c>
      <c r="D267" t="s">
        <v>325</v>
      </c>
      <c r="E267" t="s">
        <v>32</v>
      </c>
      <c r="F267" t="s">
        <v>51</v>
      </c>
      <c r="G267" s="1">
        <v>892</v>
      </c>
      <c r="H267" t="s">
        <v>4034</v>
      </c>
      <c r="I267" s="2">
        <v>44244</v>
      </c>
      <c r="J267" t="s">
        <v>35</v>
      </c>
      <c r="K267" t="s">
        <v>326</v>
      </c>
      <c r="L267">
        <v>91109</v>
      </c>
      <c r="M267" t="s">
        <v>21</v>
      </c>
      <c r="N267" t="str">
        <f>VLOOKUP(A267, Data_Set_2!$A:$D,2,FALSE)</f>
        <v>aturner5q</v>
      </c>
      <c r="O267" t="str">
        <f>VLOOKUP(A267, Data_Set_2!$A:$D,3,FALSE)</f>
        <v>Twinder</v>
      </c>
      <c r="P267" t="str">
        <f>VLOOKUP(A267, Data_Set_2!$A:$D,4,FALSE)</f>
        <v>Internal Auditor</v>
      </c>
      <c r="Q267" t="str">
        <f>_xlfn.CONCAT(Table3[[#This Row],[first_name]], " ",Table3[[#This Row],[last_name]])</f>
        <v>Alice Turner</v>
      </c>
    </row>
    <row r="268" spans="1:17" hidden="1" x14ac:dyDescent="0.3">
      <c r="A268">
        <v>207</v>
      </c>
      <c r="B268" t="s">
        <v>324</v>
      </c>
      <c r="C268" t="s">
        <v>195</v>
      </c>
      <c r="D268" t="s">
        <v>325</v>
      </c>
      <c r="E268" t="s">
        <v>32</v>
      </c>
      <c r="F268" t="s">
        <v>51</v>
      </c>
      <c r="G268" s="1">
        <v>776</v>
      </c>
      <c r="H268" t="s">
        <v>4034</v>
      </c>
      <c r="I268" s="2">
        <v>44316</v>
      </c>
      <c r="J268" t="s">
        <v>35</v>
      </c>
      <c r="K268" t="s">
        <v>326</v>
      </c>
      <c r="L268">
        <v>91109</v>
      </c>
      <c r="M268" t="s">
        <v>21</v>
      </c>
      <c r="N268" t="str">
        <f>VLOOKUP(A268, Data_Set_2!$A:$D,2,FALSE)</f>
        <v>aturner5q</v>
      </c>
      <c r="O268" t="str">
        <f>VLOOKUP(A268, Data_Set_2!$A:$D,3,FALSE)</f>
        <v>Twinder</v>
      </c>
      <c r="P268" t="str">
        <f>VLOOKUP(A268, Data_Set_2!$A:$D,4,FALSE)</f>
        <v>Internal Auditor</v>
      </c>
      <c r="Q268" t="str">
        <f>_xlfn.CONCAT(Table3[[#This Row],[first_name]], " ",Table3[[#This Row],[last_name]])</f>
        <v>Alice Turner</v>
      </c>
    </row>
    <row r="269" spans="1:17" hidden="1" x14ac:dyDescent="0.3">
      <c r="A269">
        <v>207</v>
      </c>
      <c r="B269" t="s">
        <v>324</v>
      </c>
      <c r="C269" t="s">
        <v>195</v>
      </c>
      <c r="D269" t="s">
        <v>325</v>
      </c>
      <c r="E269" t="s">
        <v>32</v>
      </c>
      <c r="F269" t="s">
        <v>51</v>
      </c>
      <c r="G269" s="1">
        <v>793</v>
      </c>
      <c r="H269" t="s">
        <v>4034</v>
      </c>
      <c r="I269" s="2">
        <v>44477</v>
      </c>
      <c r="J269" t="s">
        <v>35</v>
      </c>
      <c r="K269" t="s">
        <v>326</v>
      </c>
      <c r="L269">
        <v>91109</v>
      </c>
      <c r="M269" t="s">
        <v>21</v>
      </c>
      <c r="N269" t="str">
        <f>VLOOKUP(A269, Data_Set_2!$A:$D,2,FALSE)</f>
        <v>aturner5q</v>
      </c>
      <c r="O269" t="str">
        <f>VLOOKUP(A269, Data_Set_2!$A:$D,3,FALSE)</f>
        <v>Twinder</v>
      </c>
      <c r="P269" t="str">
        <f>VLOOKUP(A269, Data_Set_2!$A:$D,4,FALSE)</f>
        <v>Internal Auditor</v>
      </c>
      <c r="Q269" t="str">
        <f>_xlfn.CONCAT(Table3[[#This Row],[first_name]], " ",Table3[[#This Row],[last_name]])</f>
        <v>Alice Turner</v>
      </c>
    </row>
    <row r="270" spans="1:17" hidden="1" x14ac:dyDescent="0.3">
      <c r="A270">
        <v>207</v>
      </c>
      <c r="B270" t="s">
        <v>324</v>
      </c>
      <c r="C270" t="s">
        <v>195</v>
      </c>
      <c r="D270" t="s">
        <v>325</v>
      </c>
      <c r="E270" t="s">
        <v>32</v>
      </c>
      <c r="F270" t="s">
        <v>51</v>
      </c>
      <c r="G270" s="1">
        <v>517</v>
      </c>
      <c r="H270" t="s">
        <v>4034</v>
      </c>
      <c r="I270" s="2">
        <v>44592</v>
      </c>
      <c r="J270" t="s">
        <v>35</v>
      </c>
      <c r="K270" t="s">
        <v>326</v>
      </c>
      <c r="L270">
        <v>91109</v>
      </c>
      <c r="M270" t="s">
        <v>21</v>
      </c>
      <c r="N270" t="str">
        <f>VLOOKUP(A270, Data_Set_2!$A:$D,2,FALSE)</f>
        <v>aturner5q</v>
      </c>
      <c r="O270" t="str">
        <f>VLOOKUP(A270, Data_Set_2!$A:$D,3,FALSE)</f>
        <v>Twinder</v>
      </c>
      <c r="P270" t="str">
        <f>VLOOKUP(A270, Data_Set_2!$A:$D,4,FALSE)</f>
        <v>Internal Auditor</v>
      </c>
      <c r="Q270" t="str">
        <f>_xlfn.CONCAT(Table3[[#This Row],[first_name]], " ",Table3[[#This Row],[last_name]])</f>
        <v>Alice Turner</v>
      </c>
    </row>
    <row r="271" spans="1:17" hidden="1" x14ac:dyDescent="0.3">
      <c r="A271">
        <v>207</v>
      </c>
      <c r="B271" t="s">
        <v>324</v>
      </c>
      <c r="C271" t="s">
        <v>195</v>
      </c>
      <c r="D271" t="s">
        <v>325</v>
      </c>
      <c r="E271" t="s">
        <v>32</v>
      </c>
      <c r="F271" t="s">
        <v>51</v>
      </c>
      <c r="G271" s="1">
        <v>132</v>
      </c>
      <c r="H271" t="s">
        <v>4034</v>
      </c>
      <c r="I271" s="2">
        <v>44597</v>
      </c>
      <c r="J271" t="s">
        <v>35</v>
      </c>
      <c r="K271" t="s">
        <v>326</v>
      </c>
      <c r="L271">
        <v>91109</v>
      </c>
      <c r="M271" t="s">
        <v>21</v>
      </c>
      <c r="N271" t="str">
        <f>VLOOKUP(A271, Data_Set_2!$A:$D,2,FALSE)</f>
        <v>aturner5q</v>
      </c>
      <c r="O271" t="str">
        <f>VLOOKUP(A271, Data_Set_2!$A:$D,3,FALSE)</f>
        <v>Twinder</v>
      </c>
      <c r="P271" t="str">
        <f>VLOOKUP(A271, Data_Set_2!$A:$D,4,FALSE)</f>
        <v>Internal Auditor</v>
      </c>
      <c r="Q271" t="str">
        <f>_xlfn.CONCAT(Table3[[#This Row],[first_name]], " ",Table3[[#This Row],[last_name]])</f>
        <v>Alice Turner</v>
      </c>
    </row>
    <row r="272" spans="1:17" hidden="1" x14ac:dyDescent="0.3">
      <c r="A272">
        <v>207</v>
      </c>
      <c r="B272" t="s">
        <v>324</v>
      </c>
      <c r="C272" t="s">
        <v>195</v>
      </c>
      <c r="D272" t="s">
        <v>325</v>
      </c>
      <c r="E272" t="s">
        <v>32</v>
      </c>
      <c r="F272" t="s">
        <v>51</v>
      </c>
      <c r="G272" s="1">
        <v>274</v>
      </c>
      <c r="H272" t="s">
        <v>4034</v>
      </c>
      <c r="I272" s="2">
        <v>44810</v>
      </c>
      <c r="J272" t="s">
        <v>35</v>
      </c>
      <c r="K272" t="s">
        <v>326</v>
      </c>
      <c r="L272">
        <v>91109</v>
      </c>
      <c r="M272" t="s">
        <v>21</v>
      </c>
      <c r="N272" t="str">
        <f>VLOOKUP(A272, Data_Set_2!$A:$D,2,FALSE)</f>
        <v>aturner5q</v>
      </c>
      <c r="O272" t="str">
        <f>VLOOKUP(A272, Data_Set_2!$A:$D,3,FALSE)</f>
        <v>Twinder</v>
      </c>
      <c r="P272" t="str">
        <f>VLOOKUP(A272, Data_Set_2!$A:$D,4,FALSE)</f>
        <v>Internal Auditor</v>
      </c>
      <c r="Q272" t="str">
        <f>_xlfn.CONCAT(Table3[[#This Row],[first_name]], " ",Table3[[#This Row],[last_name]])</f>
        <v>Alice Turner</v>
      </c>
    </row>
    <row r="273" spans="1:17" hidden="1" x14ac:dyDescent="0.3">
      <c r="A273">
        <v>208</v>
      </c>
      <c r="B273" t="s">
        <v>161</v>
      </c>
      <c r="C273" t="s">
        <v>162</v>
      </c>
      <c r="D273" t="s">
        <v>163</v>
      </c>
      <c r="E273" t="s">
        <v>16</v>
      </c>
      <c r="F273" t="s">
        <v>33</v>
      </c>
      <c r="G273" s="1">
        <v>109</v>
      </c>
      <c r="H273" t="s">
        <v>4037</v>
      </c>
      <c r="I273" s="2">
        <v>43146</v>
      </c>
      <c r="J273" t="s">
        <v>35</v>
      </c>
      <c r="K273" t="s">
        <v>165</v>
      </c>
      <c r="L273">
        <v>92056</v>
      </c>
      <c r="M273" t="s">
        <v>21</v>
      </c>
      <c r="N273" t="str">
        <f>VLOOKUP(A273, Data_Set_2!$A:$D,2,FALSE)</f>
        <v>mgilbert5r</v>
      </c>
      <c r="O273" t="str">
        <f>VLOOKUP(A273, Data_Set_2!$A:$D,3,FALSE)</f>
        <v>Twinder</v>
      </c>
      <c r="P273" t="str">
        <f>VLOOKUP(A273, Data_Set_2!$A:$D,4,FALSE)</f>
        <v>Community Outreach Specialist</v>
      </c>
      <c r="Q273" t="str">
        <f>_xlfn.CONCAT(Table3[[#This Row],[first_name]], " ",Table3[[#This Row],[last_name]])</f>
        <v>Michael Gilbert</v>
      </c>
    </row>
    <row r="274" spans="1:17" hidden="1" x14ac:dyDescent="0.3">
      <c r="A274">
        <v>208</v>
      </c>
      <c r="B274" t="s">
        <v>161</v>
      </c>
      <c r="C274" t="s">
        <v>162</v>
      </c>
      <c r="D274" t="s">
        <v>163</v>
      </c>
      <c r="E274" t="s">
        <v>16</v>
      </c>
      <c r="F274" t="s">
        <v>33</v>
      </c>
      <c r="G274" s="1">
        <v>44</v>
      </c>
      <c r="H274" t="s">
        <v>4037</v>
      </c>
      <c r="I274" s="2">
        <v>44515</v>
      </c>
      <c r="J274" t="s">
        <v>35</v>
      </c>
      <c r="K274" t="s">
        <v>165</v>
      </c>
      <c r="L274">
        <v>92056</v>
      </c>
      <c r="M274" t="s">
        <v>21</v>
      </c>
      <c r="N274" t="str">
        <f>VLOOKUP(A274, Data_Set_2!$A:$D,2,FALSE)</f>
        <v>mgilbert5r</v>
      </c>
      <c r="O274" t="str">
        <f>VLOOKUP(A274, Data_Set_2!$A:$D,3,FALSE)</f>
        <v>Twinder</v>
      </c>
      <c r="P274" t="str">
        <f>VLOOKUP(A274, Data_Set_2!$A:$D,4,FALSE)</f>
        <v>Community Outreach Specialist</v>
      </c>
      <c r="Q274" t="str">
        <f>_xlfn.CONCAT(Table3[[#This Row],[first_name]], " ",Table3[[#This Row],[last_name]])</f>
        <v>Michael Gilbert</v>
      </c>
    </row>
    <row r="275" spans="1:17" hidden="1" x14ac:dyDescent="0.3">
      <c r="A275">
        <v>208</v>
      </c>
      <c r="B275" t="s">
        <v>161</v>
      </c>
      <c r="C275" t="s">
        <v>162</v>
      </c>
      <c r="D275" t="s">
        <v>163</v>
      </c>
      <c r="E275" t="s">
        <v>16</v>
      </c>
      <c r="F275" t="s">
        <v>33</v>
      </c>
      <c r="G275" s="1">
        <v>429</v>
      </c>
      <c r="H275" t="s">
        <v>4037</v>
      </c>
      <c r="I275" s="2">
        <v>44709</v>
      </c>
      <c r="J275" t="s">
        <v>35</v>
      </c>
      <c r="K275" t="s">
        <v>165</v>
      </c>
      <c r="L275">
        <v>92056</v>
      </c>
      <c r="M275" t="s">
        <v>21</v>
      </c>
      <c r="N275" t="str">
        <f>VLOOKUP(A275, Data_Set_2!$A:$D,2,FALSE)</f>
        <v>mgilbert5r</v>
      </c>
      <c r="O275" t="str">
        <f>VLOOKUP(A275, Data_Set_2!$A:$D,3,FALSE)</f>
        <v>Twinder</v>
      </c>
      <c r="P275" t="str">
        <f>VLOOKUP(A275, Data_Set_2!$A:$D,4,FALSE)</f>
        <v>Community Outreach Specialist</v>
      </c>
      <c r="Q275" t="str">
        <f>_xlfn.CONCAT(Table3[[#This Row],[first_name]], " ",Table3[[#This Row],[last_name]])</f>
        <v>Michael Gilbert</v>
      </c>
    </row>
    <row r="276" spans="1:17" hidden="1" x14ac:dyDescent="0.3">
      <c r="A276">
        <v>209</v>
      </c>
      <c r="B276" t="s">
        <v>194</v>
      </c>
      <c r="C276" t="s">
        <v>123</v>
      </c>
      <c r="D276" t="s">
        <v>732</v>
      </c>
      <c r="E276" t="s">
        <v>32</v>
      </c>
      <c r="F276" t="s">
        <v>17</v>
      </c>
      <c r="G276" s="1">
        <v>858</v>
      </c>
      <c r="H276" t="s">
        <v>26</v>
      </c>
      <c r="I276" s="2">
        <v>43677</v>
      </c>
      <c r="J276" t="s">
        <v>246</v>
      </c>
      <c r="K276" t="s">
        <v>733</v>
      </c>
      <c r="L276">
        <v>61825</v>
      </c>
      <c r="M276" t="s">
        <v>21</v>
      </c>
      <c r="N276" t="str">
        <f>VLOOKUP(A276, Data_Set_2!$A:$D,2,FALSE)</f>
        <v>eholmes5s</v>
      </c>
      <c r="O276" t="str">
        <f>VLOOKUP(A276, Data_Set_2!$A:$D,3,FALSE)</f>
        <v>Thoughtstorm</v>
      </c>
      <c r="P276" t="str">
        <f>VLOOKUP(A276, Data_Set_2!$A:$D,4,FALSE)</f>
        <v>Payment Adjustment Coordinator</v>
      </c>
      <c r="Q276" t="str">
        <f>_xlfn.CONCAT(Table3[[#This Row],[first_name]], " ",Table3[[#This Row],[last_name]])</f>
        <v>Evelyn Holmes</v>
      </c>
    </row>
    <row r="277" spans="1:17" hidden="1" x14ac:dyDescent="0.3">
      <c r="A277">
        <v>209</v>
      </c>
      <c r="B277" t="s">
        <v>194</v>
      </c>
      <c r="C277" t="s">
        <v>123</v>
      </c>
      <c r="D277" t="s">
        <v>732</v>
      </c>
      <c r="E277" t="s">
        <v>32</v>
      </c>
      <c r="F277" t="s">
        <v>17</v>
      </c>
      <c r="G277" s="1">
        <v>922</v>
      </c>
      <c r="H277" t="s">
        <v>26</v>
      </c>
      <c r="I277" s="2">
        <v>43680</v>
      </c>
      <c r="J277" t="s">
        <v>246</v>
      </c>
      <c r="K277" t="s">
        <v>733</v>
      </c>
      <c r="L277">
        <v>61825</v>
      </c>
      <c r="M277" t="s">
        <v>21</v>
      </c>
      <c r="N277" t="str">
        <f>VLOOKUP(A277, Data_Set_2!$A:$D,2,FALSE)</f>
        <v>eholmes5s</v>
      </c>
      <c r="O277" t="str">
        <f>VLOOKUP(A277, Data_Set_2!$A:$D,3,FALSE)</f>
        <v>Thoughtstorm</v>
      </c>
      <c r="P277" t="str">
        <f>VLOOKUP(A277, Data_Set_2!$A:$D,4,FALSE)</f>
        <v>Payment Adjustment Coordinator</v>
      </c>
      <c r="Q277" t="str">
        <f>_xlfn.CONCAT(Table3[[#This Row],[first_name]], " ",Table3[[#This Row],[last_name]])</f>
        <v>Evelyn Holmes</v>
      </c>
    </row>
    <row r="278" spans="1:17" hidden="1" x14ac:dyDescent="0.3">
      <c r="A278">
        <v>209</v>
      </c>
      <c r="B278" t="s">
        <v>194</v>
      </c>
      <c r="C278" t="s">
        <v>123</v>
      </c>
      <c r="D278" t="s">
        <v>732</v>
      </c>
      <c r="E278" t="s">
        <v>32</v>
      </c>
      <c r="F278" t="s">
        <v>17</v>
      </c>
      <c r="G278" s="1">
        <v>707</v>
      </c>
      <c r="H278" t="s">
        <v>26</v>
      </c>
      <c r="I278" s="2">
        <v>44545</v>
      </c>
      <c r="J278" t="s">
        <v>246</v>
      </c>
      <c r="K278" t="s">
        <v>733</v>
      </c>
      <c r="L278">
        <v>61825</v>
      </c>
      <c r="M278" t="s">
        <v>21</v>
      </c>
      <c r="N278" t="str">
        <f>VLOOKUP(A278, Data_Set_2!$A:$D,2,FALSE)</f>
        <v>eholmes5s</v>
      </c>
      <c r="O278" t="str">
        <f>VLOOKUP(A278, Data_Set_2!$A:$D,3,FALSE)</f>
        <v>Thoughtstorm</v>
      </c>
      <c r="P278" t="str">
        <f>VLOOKUP(A278, Data_Set_2!$A:$D,4,FALSE)</f>
        <v>Payment Adjustment Coordinator</v>
      </c>
      <c r="Q278" t="str">
        <f>_xlfn.CONCAT(Table3[[#This Row],[first_name]], " ",Table3[[#This Row],[last_name]])</f>
        <v>Evelyn Holmes</v>
      </c>
    </row>
    <row r="279" spans="1:17" hidden="1" x14ac:dyDescent="0.3">
      <c r="A279">
        <v>210</v>
      </c>
      <c r="B279" t="s">
        <v>736</v>
      </c>
      <c r="C279" t="s">
        <v>737</v>
      </c>
      <c r="D279" t="s">
        <v>738</v>
      </c>
      <c r="E279" t="s">
        <v>32</v>
      </c>
      <c r="F279" t="s">
        <v>33</v>
      </c>
      <c r="G279" s="1">
        <v>683</v>
      </c>
      <c r="H279" t="s">
        <v>26</v>
      </c>
      <c r="I279" s="2">
        <v>43678</v>
      </c>
      <c r="J279" t="s">
        <v>46</v>
      </c>
      <c r="K279" t="s">
        <v>739</v>
      </c>
      <c r="L279">
        <v>6705</v>
      </c>
      <c r="M279" t="s">
        <v>21</v>
      </c>
      <c r="N279" t="str">
        <f>VLOOKUP(A279, Data_Set_2!$A:$D,2,FALSE)</f>
        <v>kwood5t</v>
      </c>
      <c r="O279" t="str">
        <f>VLOOKUP(A279, Data_Set_2!$A:$D,3,FALSE)</f>
        <v>Jaxworks</v>
      </c>
      <c r="P279" t="str">
        <f>VLOOKUP(A279, Data_Set_2!$A:$D,4,FALSE)</f>
        <v>Automation Specialist II</v>
      </c>
      <c r="Q279" t="str">
        <f>_xlfn.CONCAT(Table3[[#This Row],[first_name]], " ",Table3[[#This Row],[last_name]])</f>
        <v>Kimberly Wood</v>
      </c>
    </row>
    <row r="280" spans="1:17" hidden="1" x14ac:dyDescent="0.3">
      <c r="A280">
        <v>210</v>
      </c>
      <c r="B280" t="s">
        <v>736</v>
      </c>
      <c r="C280" t="s">
        <v>737</v>
      </c>
      <c r="D280" t="s">
        <v>738</v>
      </c>
      <c r="E280" t="s">
        <v>32</v>
      </c>
      <c r="F280" t="s">
        <v>33</v>
      </c>
      <c r="G280" s="1">
        <v>655</v>
      </c>
      <c r="H280" t="s">
        <v>26</v>
      </c>
      <c r="I280" s="2">
        <v>43819</v>
      </c>
      <c r="J280" t="s">
        <v>46</v>
      </c>
      <c r="K280" t="s">
        <v>739</v>
      </c>
      <c r="L280">
        <v>6705</v>
      </c>
      <c r="M280" t="s">
        <v>21</v>
      </c>
      <c r="N280" t="str">
        <f>VLOOKUP(A280, Data_Set_2!$A:$D,2,FALSE)</f>
        <v>kwood5t</v>
      </c>
      <c r="O280" t="str">
        <f>VLOOKUP(A280, Data_Set_2!$A:$D,3,FALSE)</f>
        <v>Jaxworks</v>
      </c>
      <c r="P280" t="str">
        <f>VLOOKUP(A280, Data_Set_2!$A:$D,4,FALSE)</f>
        <v>Automation Specialist II</v>
      </c>
      <c r="Q280" t="str">
        <f>_xlfn.CONCAT(Table3[[#This Row],[first_name]], " ",Table3[[#This Row],[last_name]])</f>
        <v>Kimberly Wood</v>
      </c>
    </row>
    <row r="281" spans="1:17" hidden="1" x14ac:dyDescent="0.3">
      <c r="A281">
        <v>210</v>
      </c>
      <c r="B281" t="s">
        <v>736</v>
      </c>
      <c r="C281" t="s">
        <v>737</v>
      </c>
      <c r="D281" t="s">
        <v>738</v>
      </c>
      <c r="E281" t="s">
        <v>32</v>
      </c>
      <c r="F281" t="s">
        <v>33</v>
      </c>
      <c r="G281" s="1">
        <v>728</v>
      </c>
      <c r="H281" t="s">
        <v>26</v>
      </c>
      <c r="I281" s="2">
        <v>43931</v>
      </c>
      <c r="J281" t="s">
        <v>46</v>
      </c>
      <c r="K281" t="s">
        <v>739</v>
      </c>
      <c r="L281">
        <v>6705</v>
      </c>
      <c r="M281" t="s">
        <v>21</v>
      </c>
      <c r="N281" t="str">
        <f>VLOOKUP(A281, Data_Set_2!$A:$D,2,FALSE)</f>
        <v>kwood5t</v>
      </c>
      <c r="O281" t="str">
        <f>VLOOKUP(A281, Data_Set_2!$A:$D,3,FALSE)</f>
        <v>Jaxworks</v>
      </c>
      <c r="P281" t="str">
        <f>VLOOKUP(A281, Data_Set_2!$A:$D,4,FALSE)</f>
        <v>Automation Specialist II</v>
      </c>
      <c r="Q281" t="str">
        <f>_xlfn.CONCAT(Table3[[#This Row],[first_name]], " ",Table3[[#This Row],[last_name]])</f>
        <v>Kimberly Wood</v>
      </c>
    </row>
    <row r="282" spans="1:17" hidden="1" x14ac:dyDescent="0.3">
      <c r="A282">
        <v>210</v>
      </c>
      <c r="B282" t="s">
        <v>736</v>
      </c>
      <c r="C282" t="s">
        <v>737</v>
      </c>
      <c r="D282" t="s">
        <v>738</v>
      </c>
      <c r="E282" t="s">
        <v>32</v>
      </c>
      <c r="F282" t="s">
        <v>33</v>
      </c>
      <c r="G282" s="1">
        <v>485</v>
      </c>
      <c r="H282" t="s">
        <v>26</v>
      </c>
      <c r="I282" s="2">
        <v>44306</v>
      </c>
      <c r="J282" t="s">
        <v>46</v>
      </c>
      <c r="K282" t="s">
        <v>739</v>
      </c>
      <c r="L282">
        <v>6705</v>
      </c>
      <c r="M282" t="s">
        <v>21</v>
      </c>
      <c r="N282" t="str">
        <f>VLOOKUP(A282, Data_Set_2!$A:$D,2,FALSE)</f>
        <v>kwood5t</v>
      </c>
      <c r="O282" t="str">
        <f>VLOOKUP(A282, Data_Set_2!$A:$D,3,FALSE)</f>
        <v>Jaxworks</v>
      </c>
      <c r="P282" t="str">
        <f>VLOOKUP(A282, Data_Set_2!$A:$D,4,FALSE)</f>
        <v>Automation Specialist II</v>
      </c>
      <c r="Q282" t="str">
        <f>_xlfn.CONCAT(Table3[[#This Row],[first_name]], " ",Table3[[#This Row],[last_name]])</f>
        <v>Kimberly Wood</v>
      </c>
    </row>
    <row r="283" spans="1:17" hidden="1" x14ac:dyDescent="0.3">
      <c r="A283">
        <v>211</v>
      </c>
      <c r="B283" t="s">
        <v>602</v>
      </c>
      <c r="C283" t="s">
        <v>603</v>
      </c>
      <c r="D283" t="s">
        <v>604</v>
      </c>
      <c r="E283" t="s">
        <v>32</v>
      </c>
      <c r="F283" t="s">
        <v>51</v>
      </c>
      <c r="G283" s="1">
        <v>379</v>
      </c>
      <c r="H283" t="s">
        <v>26</v>
      </c>
      <c r="I283" s="2">
        <v>43524</v>
      </c>
      <c r="J283" t="s">
        <v>35</v>
      </c>
      <c r="K283" t="s">
        <v>605</v>
      </c>
      <c r="L283">
        <v>92410</v>
      </c>
      <c r="M283" t="s">
        <v>21</v>
      </c>
      <c r="N283" t="str">
        <f>VLOOKUP(A283, Data_Set_2!$A:$D,2,FALSE)</f>
        <v>dporter5u</v>
      </c>
      <c r="O283" t="str">
        <f>VLOOKUP(A283, Data_Set_2!$A:$D,3,FALSE)</f>
        <v>Twitterworks</v>
      </c>
      <c r="P283" t="str">
        <f>VLOOKUP(A283, Data_Set_2!$A:$D,4,FALSE)</f>
        <v>Project Manager</v>
      </c>
      <c r="Q283" t="str">
        <f>_xlfn.CONCAT(Table3[[#This Row],[first_name]], " ",Table3[[#This Row],[last_name]])</f>
        <v>Diane Porter</v>
      </c>
    </row>
    <row r="284" spans="1:17" x14ac:dyDescent="0.3">
      <c r="A284">
        <v>225</v>
      </c>
      <c r="B284" t="s">
        <v>621</v>
      </c>
      <c r="C284" t="s">
        <v>14</v>
      </c>
      <c r="D284" t="s">
        <v>673</v>
      </c>
      <c r="E284" t="s">
        <v>16</v>
      </c>
      <c r="F284" t="s">
        <v>33</v>
      </c>
      <c r="G284" s="1">
        <v>747</v>
      </c>
      <c r="H284" t="s">
        <v>95</v>
      </c>
      <c r="I284" s="2">
        <v>43596</v>
      </c>
      <c r="J284" t="s">
        <v>133</v>
      </c>
      <c r="K284" t="s">
        <v>134</v>
      </c>
      <c r="L284">
        <v>96810</v>
      </c>
      <c r="M284" t="s">
        <v>21</v>
      </c>
      <c r="N284" t="str">
        <f>VLOOKUP(A284, Data_Set_2!$A:$D,2,FALSE)</f>
        <v>fedwards68</v>
      </c>
      <c r="O284" t="str">
        <f>VLOOKUP(A284, Data_Set_2!$A:$D,3,FALSE)</f>
        <v>Skajo</v>
      </c>
      <c r="P284" t="str">
        <f>VLOOKUP(A284, Data_Set_2!$A:$D,4,FALSE)</f>
        <v>Sales Associate</v>
      </c>
      <c r="Q284" t="str">
        <f>_xlfn.CONCAT(Table3[[#This Row],[first_name]], " ",Table3[[#This Row],[last_name]])</f>
        <v>Frank Edwards</v>
      </c>
    </row>
    <row r="285" spans="1:17" hidden="1" x14ac:dyDescent="0.3">
      <c r="A285">
        <v>227</v>
      </c>
      <c r="B285" t="s">
        <v>445</v>
      </c>
      <c r="C285" t="s">
        <v>816</v>
      </c>
      <c r="D285" t="s">
        <v>817</v>
      </c>
      <c r="E285" t="s">
        <v>32</v>
      </c>
      <c r="F285" t="s">
        <v>25</v>
      </c>
      <c r="G285" s="1">
        <v>453</v>
      </c>
      <c r="H285" t="s">
        <v>416</v>
      </c>
      <c r="I285" s="2">
        <v>43793</v>
      </c>
      <c r="J285" t="s">
        <v>46</v>
      </c>
      <c r="K285" t="s">
        <v>739</v>
      </c>
      <c r="L285">
        <v>6721</v>
      </c>
      <c r="M285" t="s">
        <v>21</v>
      </c>
      <c r="N285" t="str">
        <f>VLOOKUP(A285, Data_Set_2!$A:$D,2,FALSE)</f>
        <v>tfreeman6a</v>
      </c>
      <c r="O285" t="str">
        <f>VLOOKUP(A285, Data_Set_2!$A:$D,3,FALSE)</f>
        <v>Quimm</v>
      </c>
      <c r="P285" t="str">
        <f>VLOOKUP(A285, Data_Set_2!$A:$D,4,FALSE)</f>
        <v>Administrative Assistant III</v>
      </c>
      <c r="Q285" t="str">
        <f>_xlfn.CONCAT(Table3[[#This Row],[first_name]], " ",Table3[[#This Row],[last_name]])</f>
        <v>Teresa Freeman</v>
      </c>
    </row>
    <row r="286" spans="1:17" hidden="1" x14ac:dyDescent="0.3">
      <c r="A286">
        <v>228</v>
      </c>
      <c r="B286" t="s">
        <v>1218</v>
      </c>
      <c r="C286" t="s">
        <v>1195</v>
      </c>
      <c r="D286" t="s">
        <v>1219</v>
      </c>
      <c r="E286" t="s">
        <v>16</v>
      </c>
      <c r="F286" t="s">
        <v>25</v>
      </c>
      <c r="G286" s="1">
        <v>237</v>
      </c>
      <c r="H286" t="s">
        <v>4036</v>
      </c>
      <c r="I286" s="2">
        <v>44780</v>
      </c>
      <c r="J286" t="s">
        <v>204</v>
      </c>
      <c r="K286" t="s">
        <v>1220</v>
      </c>
      <c r="L286">
        <v>23605</v>
      </c>
      <c r="M286" t="s">
        <v>21</v>
      </c>
      <c r="N286" t="str">
        <f>VLOOKUP(A286, Data_Set_2!$A:$D,2,FALSE)</f>
        <v>jcampbell6b</v>
      </c>
      <c r="O286" t="str">
        <f>VLOOKUP(A286, Data_Set_2!$A:$D,3,FALSE)</f>
        <v>Realbridge</v>
      </c>
      <c r="P286" t="str">
        <f>VLOOKUP(A286, Data_Set_2!$A:$D,4,FALSE)</f>
        <v>VP Marketing</v>
      </c>
      <c r="Q286" t="str">
        <f>_xlfn.CONCAT(Table3[[#This Row],[first_name]], " ",Table3[[#This Row],[last_name]])</f>
        <v>Jeremy Campbell</v>
      </c>
    </row>
    <row r="287" spans="1:17" x14ac:dyDescent="0.3">
      <c r="A287">
        <v>229</v>
      </c>
      <c r="B287" t="s">
        <v>467</v>
      </c>
      <c r="C287" t="s">
        <v>367</v>
      </c>
      <c r="D287" t="s">
        <v>792</v>
      </c>
      <c r="E287" t="s">
        <v>16</v>
      </c>
      <c r="F287" t="s">
        <v>51</v>
      </c>
      <c r="G287" s="1">
        <v>357</v>
      </c>
      <c r="H287" t="s">
        <v>95</v>
      </c>
      <c r="I287" s="2">
        <v>43768</v>
      </c>
      <c r="J287" t="s">
        <v>110</v>
      </c>
      <c r="K287" t="s">
        <v>160</v>
      </c>
      <c r="L287">
        <v>19151</v>
      </c>
      <c r="M287" t="s">
        <v>21</v>
      </c>
      <c r="N287" t="str">
        <f>VLOOKUP(A287, Data_Set_2!$A:$D,2,FALSE)</f>
        <v>dkim6c</v>
      </c>
      <c r="O287" t="str">
        <f>VLOOKUP(A287, Data_Set_2!$A:$D,3,FALSE)</f>
        <v>Yozio</v>
      </c>
      <c r="P287" t="str">
        <f>VLOOKUP(A287, Data_Set_2!$A:$D,4,FALSE)</f>
        <v>Associate Professor</v>
      </c>
      <c r="Q287" t="str">
        <f>_xlfn.CONCAT(Table3[[#This Row],[first_name]], " ",Table3[[#This Row],[last_name]])</f>
        <v>Donald Kim</v>
      </c>
    </row>
    <row r="288" spans="1:17" hidden="1" x14ac:dyDescent="0.3">
      <c r="A288">
        <v>230</v>
      </c>
      <c r="B288" t="s">
        <v>773</v>
      </c>
      <c r="C288" t="s">
        <v>44</v>
      </c>
      <c r="D288" t="s">
        <v>958</v>
      </c>
      <c r="E288" t="s">
        <v>16</v>
      </c>
      <c r="F288" t="s">
        <v>17</v>
      </c>
      <c r="G288" s="1">
        <v>498</v>
      </c>
      <c r="H288" t="s">
        <v>34</v>
      </c>
      <c r="I288" s="2">
        <v>44122</v>
      </c>
      <c r="J288" t="s">
        <v>115</v>
      </c>
      <c r="K288" t="s">
        <v>959</v>
      </c>
      <c r="L288">
        <v>33963</v>
      </c>
      <c r="M288" t="s">
        <v>21</v>
      </c>
      <c r="N288" t="str">
        <f>VLOOKUP(A288, Data_Set_2!$A:$D,2,FALSE)</f>
        <v>rhawkins6d</v>
      </c>
      <c r="O288" t="str">
        <f>VLOOKUP(A288, Data_Set_2!$A:$D,3,FALSE)</f>
        <v>Skimia</v>
      </c>
      <c r="P288" t="str">
        <f>VLOOKUP(A288, Data_Set_2!$A:$D,4,FALSE)</f>
        <v>Human Resources Assistant III</v>
      </c>
      <c r="Q288" t="str">
        <f>_xlfn.CONCAT(Table3[[#This Row],[first_name]], " ",Table3[[#This Row],[last_name]])</f>
        <v>Richard Hawkins</v>
      </c>
    </row>
    <row r="289" spans="1:17" hidden="1" x14ac:dyDescent="0.3">
      <c r="A289">
        <v>247</v>
      </c>
      <c r="B289" t="s">
        <v>471</v>
      </c>
      <c r="C289" t="s">
        <v>511</v>
      </c>
      <c r="D289" t="s">
        <v>871</v>
      </c>
      <c r="E289" t="s">
        <v>32</v>
      </c>
      <c r="F289" t="s">
        <v>25</v>
      </c>
      <c r="G289" s="1">
        <v>396</v>
      </c>
      <c r="H289" t="s">
        <v>26</v>
      </c>
      <c r="I289" s="2">
        <v>43907</v>
      </c>
      <c r="J289" t="s">
        <v>524</v>
      </c>
      <c r="K289" t="s">
        <v>872</v>
      </c>
      <c r="L289">
        <v>35805</v>
      </c>
      <c r="M289" t="s">
        <v>21</v>
      </c>
      <c r="N289" t="str">
        <f>VLOOKUP(A289, Data_Set_2!$A:$D,2,FALSE)</f>
        <v>llong6u</v>
      </c>
      <c r="O289" t="str">
        <f>VLOOKUP(A289, Data_Set_2!$A:$D,3,FALSE)</f>
        <v>Jaxnation</v>
      </c>
      <c r="P289" t="str">
        <f>VLOOKUP(A289, Data_Set_2!$A:$D,4,FALSE)</f>
        <v>Engineer I</v>
      </c>
      <c r="Q289" t="str">
        <f>_xlfn.CONCAT(Table3[[#This Row],[first_name]], " ",Table3[[#This Row],[last_name]])</f>
        <v>Linda Long</v>
      </c>
    </row>
    <row r="290" spans="1:17" hidden="1" x14ac:dyDescent="0.3">
      <c r="A290">
        <v>248</v>
      </c>
      <c r="B290" t="s">
        <v>327</v>
      </c>
      <c r="C290" t="s">
        <v>113</v>
      </c>
      <c r="D290" t="s">
        <v>1110</v>
      </c>
      <c r="E290" t="s">
        <v>32</v>
      </c>
      <c r="F290" t="s">
        <v>33</v>
      </c>
      <c r="G290" s="1">
        <v>639</v>
      </c>
      <c r="H290" t="s">
        <v>34</v>
      </c>
      <c r="I290" s="2">
        <v>44520</v>
      </c>
      <c r="J290" t="s">
        <v>184</v>
      </c>
      <c r="K290" t="s">
        <v>656</v>
      </c>
      <c r="L290">
        <v>11210</v>
      </c>
      <c r="M290" t="s">
        <v>21</v>
      </c>
      <c r="N290" t="str">
        <f>VLOOKUP(A290, Data_Set_2!$A:$D,2,FALSE)</f>
        <v>kcooper6v</v>
      </c>
      <c r="O290" t="str">
        <f>VLOOKUP(A290, Data_Set_2!$A:$D,3,FALSE)</f>
        <v>Jabbersphere</v>
      </c>
      <c r="P290" t="str">
        <f>VLOOKUP(A290, Data_Set_2!$A:$D,4,FALSE)</f>
        <v>Administrative Assistant IV</v>
      </c>
      <c r="Q290" t="str">
        <f>_xlfn.CONCAT(Table3[[#This Row],[first_name]], " ",Table3[[#This Row],[last_name]])</f>
        <v>Kathy Cooper</v>
      </c>
    </row>
    <row r="291" spans="1:17" hidden="1" x14ac:dyDescent="0.3">
      <c r="A291">
        <v>250</v>
      </c>
      <c r="B291" t="s">
        <v>516</v>
      </c>
      <c r="C291" t="s">
        <v>236</v>
      </c>
      <c r="D291" t="s">
        <v>1031</v>
      </c>
      <c r="E291" t="s">
        <v>32</v>
      </c>
      <c r="F291" t="s">
        <v>33</v>
      </c>
      <c r="G291" s="1">
        <v>700</v>
      </c>
      <c r="H291" t="s">
        <v>416</v>
      </c>
      <c r="I291" s="2">
        <v>44296</v>
      </c>
      <c r="J291" t="s">
        <v>230</v>
      </c>
      <c r="K291" t="s">
        <v>231</v>
      </c>
      <c r="L291">
        <v>27610</v>
      </c>
      <c r="M291" t="s">
        <v>21</v>
      </c>
      <c r="N291" t="str">
        <f>VLOOKUP(A291, Data_Set_2!$A:$D,2,FALSE)</f>
        <v>dclark6x</v>
      </c>
      <c r="O291" t="str">
        <f>VLOOKUP(A291, Data_Set_2!$A:$D,3,FALSE)</f>
        <v>Tagcat</v>
      </c>
      <c r="P291" t="str">
        <f>VLOOKUP(A291, Data_Set_2!$A:$D,4,FALSE)</f>
        <v>Graphic Designer</v>
      </c>
      <c r="Q291" t="str">
        <f>_xlfn.CONCAT(Table3[[#This Row],[first_name]], " ",Table3[[#This Row],[last_name]])</f>
        <v>Donna Clark</v>
      </c>
    </row>
    <row r="292" spans="1:17" hidden="1" x14ac:dyDescent="0.3">
      <c r="A292">
        <v>251</v>
      </c>
      <c r="B292" t="s">
        <v>443</v>
      </c>
      <c r="C292" t="s">
        <v>107</v>
      </c>
      <c r="D292" t="s">
        <v>668</v>
      </c>
      <c r="E292" t="s">
        <v>32</v>
      </c>
      <c r="F292" t="s">
        <v>25</v>
      </c>
      <c r="G292" s="1">
        <v>379</v>
      </c>
      <c r="H292" t="s">
        <v>4034</v>
      </c>
      <c r="I292" s="2">
        <v>43589</v>
      </c>
      <c r="J292" t="s">
        <v>41</v>
      </c>
      <c r="K292" t="s">
        <v>442</v>
      </c>
      <c r="L292">
        <v>40576</v>
      </c>
      <c r="M292" t="s">
        <v>21</v>
      </c>
      <c r="N292" t="str">
        <f>VLOOKUP(A292, Data_Set_2!$A:$D,2,FALSE)</f>
        <v>mcoleman6y</v>
      </c>
      <c r="O292" t="str">
        <f>VLOOKUP(A292, Data_Set_2!$A:$D,3,FALSE)</f>
        <v>LiveZ</v>
      </c>
      <c r="P292" t="str">
        <f>VLOOKUP(A292, Data_Set_2!$A:$D,4,FALSE)</f>
        <v>Registered Nurse</v>
      </c>
      <c r="Q292" t="str">
        <f>_xlfn.CONCAT(Table3[[#This Row],[first_name]], " ",Table3[[#This Row],[last_name]])</f>
        <v>Marilyn Coleman</v>
      </c>
    </row>
    <row r="293" spans="1:17" hidden="1" x14ac:dyDescent="0.3">
      <c r="A293">
        <v>252</v>
      </c>
      <c r="B293" t="s">
        <v>680</v>
      </c>
      <c r="C293" t="s">
        <v>482</v>
      </c>
      <c r="D293" t="s">
        <v>681</v>
      </c>
      <c r="E293" t="s">
        <v>16</v>
      </c>
      <c r="F293" t="s">
        <v>51</v>
      </c>
      <c r="G293" s="1">
        <v>1000</v>
      </c>
      <c r="H293" t="s">
        <v>26</v>
      </c>
      <c r="I293" s="2">
        <v>43600</v>
      </c>
      <c r="J293" t="s">
        <v>204</v>
      </c>
      <c r="K293" t="s">
        <v>242</v>
      </c>
      <c r="L293">
        <v>23208</v>
      </c>
      <c r="M293" t="s">
        <v>21</v>
      </c>
      <c r="N293" t="str">
        <f>VLOOKUP(A293, Data_Set_2!$A:$D,2,FALSE)</f>
        <v>jfernandez6z</v>
      </c>
      <c r="O293" t="str">
        <f>VLOOKUP(A293, Data_Set_2!$A:$D,3,FALSE)</f>
        <v>Feednation</v>
      </c>
      <c r="P293" t="str">
        <f>VLOOKUP(A293, Data_Set_2!$A:$D,4,FALSE)</f>
        <v>GIS Technical Architect</v>
      </c>
      <c r="Q293" t="str">
        <f>_xlfn.CONCAT(Table3[[#This Row],[first_name]], " ",Table3[[#This Row],[last_name]])</f>
        <v>John Fernandez</v>
      </c>
    </row>
    <row r="294" spans="1:17" hidden="1" x14ac:dyDescent="0.3">
      <c r="A294">
        <v>253</v>
      </c>
      <c r="B294" t="s">
        <v>381</v>
      </c>
      <c r="C294" t="s">
        <v>228</v>
      </c>
      <c r="D294" t="s">
        <v>1177</v>
      </c>
      <c r="E294" t="s">
        <v>16</v>
      </c>
      <c r="F294" t="s">
        <v>25</v>
      </c>
      <c r="G294" s="1">
        <v>842</v>
      </c>
      <c r="H294" t="s">
        <v>26</v>
      </c>
      <c r="I294" s="2">
        <v>44672</v>
      </c>
      <c r="J294" t="s">
        <v>204</v>
      </c>
      <c r="K294" t="s">
        <v>649</v>
      </c>
      <c r="L294">
        <v>22333</v>
      </c>
      <c r="M294" t="s">
        <v>21</v>
      </c>
      <c r="N294" t="str">
        <f>VLOOKUP(A294, Data_Set_2!$A:$D,2,FALSE)</f>
        <v>mwatkins70</v>
      </c>
      <c r="O294" t="str">
        <f>VLOOKUP(A294, Data_Set_2!$A:$D,3,FALSE)</f>
        <v>Realbridge</v>
      </c>
      <c r="P294" t="str">
        <f>VLOOKUP(A294, Data_Set_2!$A:$D,4,FALSE)</f>
        <v>Assistant Media Planner</v>
      </c>
      <c r="Q294" t="str">
        <f>_xlfn.CONCAT(Table3[[#This Row],[first_name]], " ",Table3[[#This Row],[last_name]])</f>
        <v>Matthew Watkins</v>
      </c>
    </row>
    <row r="295" spans="1:17" hidden="1" x14ac:dyDescent="0.3">
      <c r="A295">
        <v>254</v>
      </c>
      <c r="B295" t="s">
        <v>194</v>
      </c>
      <c r="C295" t="s">
        <v>289</v>
      </c>
      <c r="D295" t="s">
        <v>290</v>
      </c>
      <c r="E295" t="s">
        <v>32</v>
      </c>
      <c r="F295" t="s">
        <v>33</v>
      </c>
      <c r="G295" s="1">
        <v>622</v>
      </c>
      <c r="H295" t="s">
        <v>62</v>
      </c>
      <c r="I295" s="2">
        <v>43209</v>
      </c>
      <c r="J295" t="s">
        <v>291</v>
      </c>
      <c r="K295" t="s">
        <v>292</v>
      </c>
      <c r="L295">
        <v>21216</v>
      </c>
      <c r="M295" t="s">
        <v>21</v>
      </c>
      <c r="N295" t="str">
        <f>VLOOKUP(A295, Data_Set_2!$A:$D,2,FALSE)</f>
        <v>egeorge71</v>
      </c>
      <c r="O295" t="str">
        <f>VLOOKUP(A295, Data_Set_2!$A:$D,3,FALSE)</f>
        <v>Vipe</v>
      </c>
      <c r="P295" t="str">
        <f>VLOOKUP(A295, Data_Set_2!$A:$D,4,FALSE)</f>
        <v>Engineer III</v>
      </c>
      <c r="Q295" t="str">
        <f>_xlfn.CONCAT(Table3[[#This Row],[first_name]], " ",Table3[[#This Row],[last_name]])</f>
        <v>Evelyn George</v>
      </c>
    </row>
    <row r="296" spans="1:17" hidden="1" x14ac:dyDescent="0.3">
      <c r="A296">
        <v>254</v>
      </c>
      <c r="B296" t="s">
        <v>194</v>
      </c>
      <c r="C296" t="s">
        <v>289</v>
      </c>
      <c r="D296" t="s">
        <v>290</v>
      </c>
      <c r="E296" t="s">
        <v>32</v>
      </c>
      <c r="F296" t="s">
        <v>33</v>
      </c>
      <c r="G296" s="1">
        <v>821</v>
      </c>
      <c r="H296" t="s">
        <v>62</v>
      </c>
      <c r="I296" s="2">
        <v>43871</v>
      </c>
      <c r="J296" t="s">
        <v>291</v>
      </c>
      <c r="K296" t="s">
        <v>292</v>
      </c>
      <c r="L296">
        <v>21216</v>
      </c>
      <c r="M296" t="s">
        <v>21</v>
      </c>
      <c r="N296" t="str">
        <f>VLOOKUP(A296, Data_Set_2!$A:$D,2,FALSE)</f>
        <v>egeorge71</v>
      </c>
      <c r="O296" t="str">
        <f>VLOOKUP(A296, Data_Set_2!$A:$D,3,FALSE)</f>
        <v>Vipe</v>
      </c>
      <c r="P296" t="str">
        <f>VLOOKUP(A296, Data_Set_2!$A:$D,4,FALSE)</f>
        <v>Engineer III</v>
      </c>
      <c r="Q296" t="str">
        <f>_xlfn.CONCAT(Table3[[#This Row],[first_name]], " ",Table3[[#This Row],[last_name]])</f>
        <v>Evelyn George</v>
      </c>
    </row>
    <row r="297" spans="1:17" hidden="1" x14ac:dyDescent="0.3">
      <c r="A297">
        <v>254</v>
      </c>
      <c r="B297" t="s">
        <v>194</v>
      </c>
      <c r="C297" t="s">
        <v>289</v>
      </c>
      <c r="D297" t="s">
        <v>290</v>
      </c>
      <c r="E297" t="s">
        <v>32</v>
      </c>
      <c r="F297" t="s">
        <v>33</v>
      </c>
      <c r="G297" s="1">
        <v>772</v>
      </c>
      <c r="H297" t="s">
        <v>62</v>
      </c>
      <c r="I297" s="2">
        <v>44630</v>
      </c>
      <c r="J297" t="s">
        <v>291</v>
      </c>
      <c r="K297" t="s">
        <v>292</v>
      </c>
      <c r="L297">
        <v>21216</v>
      </c>
      <c r="M297" t="s">
        <v>21</v>
      </c>
      <c r="N297" t="str">
        <f>VLOOKUP(A297, Data_Set_2!$A:$D,2,FALSE)</f>
        <v>egeorge71</v>
      </c>
      <c r="O297" t="str">
        <f>VLOOKUP(A297, Data_Set_2!$A:$D,3,FALSE)</f>
        <v>Vipe</v>
      </c>
      <c r="P297" t="str">
        <f>VLOOKUP(A297, Data_Set_2!$A:$D,4,FALSE)</f>
        <v>Engineer III</v>
      </c>
      <c r="Q297" t="str">
        <f>_xlfn.CONCAT(Table3[[#This Row],[first_name]], " ",Table3[[#This Row],[last_name]])</f>
        <v>Evelyn George</v>
      </c>
    </row>
    <row r="298" spans="1:17" hidden="1" x14ac:dyDescent="0.3">
      <c r="A298">
        <v>255</v>
      </c>
      <c r="B298" t="s">
        <v>384</v>
      </c>
      <c r="C298" t="s">
        <v>71</v>
      </c>
      <c r="D298" t="s">
        <v>385</v>
      </c>
      <c r="E298" t="s">
        <v>16</v>
      </c>
      <c r="F298" t="s">
        <v>33</v>
      </c>
      <c r="G298" s="1">
        <v>671</v>
      </c>
      <c r="H298" t="s">
        <v>26</v>
      </c>
      <c r="I298" s="2">
        <v>43279</v>
      </c>
      <c r="J298" t="s">
        <v>220</v>
      </c>
      <c r="K298" t="s">
        <v>295</v>
      </c>
      <c r="L298">
        <v>98148</v>
      </c>
      <c r="M298" t="s">
        <v>21</v>
      </c>
      <c r="N298" t="str">
        <f>VLOOKUP(A298, Data_Set_2!$A:$D,2,FALSE)</f>
        <v>hsimpson72</v>
      </c>
      <c r="O298" t="str">
        <f>VLOOKUP(A298, Data_Set_2!$A:$D,3,FALSE)</f>
        <v>Quamba</v>
      </c>
      <c r="P298" t="str">
        <f>VLOOKUP(A298, Data_Set_2!$A:$D,4,FALSE)</f>
        <v>Payment Adjustment Coordinator</v>
      </c>
      <c r="Q298" t="str">
        <f>_xlfn.CONCAT(Table3[[#This Row],[first_name]], " ",Table3[[#This Row],[last_name]])</f>
        <v>Harold Simpson</v>
      </c>
    </row>
    <row r="299" spans="1:17" hidden="1" x14ac:dyDescent="0.3">
      <c r="A299">
        <v>255</v>
      </c>
      <c r="B299" t="s">
        <v>384</v>
      </c>
      <c r="C299" t="s">
        <v>71</v>
      </c>
      <c r="D299" t="s">
        <v>385</v>
      </c>
      <c r="E299" t="s">
        <v>16</v>
      </c>
      <c r="F299" t="s">
        <v>33</v>
      </c>
      <c r="G299" s="1">
        <v>746</v>
      </c>
      <c r="H299" t="s">
        <v>26</v>
      </c>
      <c r="I299" s="2">
        <v>43892</v>
      </c>
      <c r="J299" t="s">
        <v>220</v>
      </c>
      <c r="K299" t="s">
        <v>295</v>
      </c>
      <c r="L299">
        <v>98148</v>
      </c>
      <c r="M299" t="s">
        <v>21</v>
      </c>
      <c r="N299" t="str">
        <f>VLOOKUP(A299, Data_Set_2!$A:$D,2,FALSE)</f>
        <v>hsimpson72</v>
      </c>
      <c r="O299" t="str">
        <f>VLOOKUP(A299, Data_Set_2!$A:$D,3,FALSE)</f>
        <v>Quamba</v>
      </c>
      <c r="P299" t="str">
        <f>VLOOKUP(A299, Data_Set_2!$A:$D,4,FALSE)</f>
        <v>Payment Adjustment Coordinator</v>
      </c>
      <c r="Q299" t="str">
        <f>_xlfn.CONCAT(Table3[[#This Row],[first_name]], " ",Table3[[#This Row],[last_name]])</f>
        <v>Harold Simpson</v>
      </c>
    </row>
    <row r="300" spans="1:17" hidden="1" x14ac:dyDescent="0.3">
      <c r="A300">
        <v>255</v>
      </c>
      <c r="B300" t="s">
        <v>384</v>
      </c>
      <c r="C300" t="s">
        <v>71</v>
      </c>
      <c r="D300" t="s">
        <v>385</v>
      </c>
      <c r="E300" t="s">
        <v>16</v>
      </c>
      <c r="F300" t="s">
        <v>33</v>
      </c>
      <c r="G300" s="1">
        <v>451</v>
      </c>
      <c r="H300" t="s">
        <v>26</v>
      </c>
      <c r="I300" s="2">
        <v>44441</v>
      </c>
      <c r="J300" t="s">
        <v>220</v>
      </c>
      <c r="K300" t="s">
        <v>295</v>
      </c>
      <c r="L300">
        <v>98148</v>
      </c>
      <c r="M300" t="s">
        <v>21</v>
      </c>
      <c r="N300" t="str">
        <f>VLOOKUP(A300, Data_Set_2!$A:$D,2,FALSE)</f>
        <v>hsimpson72</v>
      </c>
      <c r="O300" t="str">
        <f>VLOOKUP(A300, Data_Set_2!$A:$D,3,FALSE)</f>
        <v>Quamba</v>
      </c>
      <c r="P300" t="str">
        <f>VLOOKUP(A300, Data_Set_2!$A:$D,4,FALSE)</f>
        <v>Payment Adjustment Coordinator</v>
      </c>
      <c r="Q300" t="str">
        <f>_xlfn.CONCAT(Table3[[#This Row],[first_name]], " ",Table3[[#This Row],[last_name]])</f>
        <v>Harold Simpson</v>
      </c>
    </row>
    <row r="301" spans="1:17" hidden="1" x14ac:dyDescent="0.3">
      <c r="A301">
        <v>255</v>
      </c>
      <c r="B301" t="s">
        <v>384</v>
      </c>
      <c r="C301" t="s">
        <v>71</v>
      </c>
      <c r="D301" t="s">
        <v>385</v>
      </c>
      <c r="E301" t="s">
        <v>16</v>
      </c>
      <c r="F301" t="s">
        <v>33</v>
      </c>
      <c r="G301" s="1">
        <v>820</v>
      </c>
      <c r="H301" t="s">
        <v>26</v>
      </c>
      <c r="I301" s="2">
        <v>44535</v>
      </c>
      <c r="J301" t="s">
        <v>220</v>
      </c>
      <c r="K301" t="s">
        <v>295</v>
      </c>
      <c r="L301">
        <v>98148</v>
      </c>
      <c r="M301" t="s">
        <v>21</v>
      </c>
      <c r="N301" t="str">
        <f>VLOOKUP(A301, Data_Set_2!$A:$D,2,FALSE)</f>
        <v>hsimpson72</v>
      </c>
      <c r="O301" t="str">
        <f>VLOOKUP(A301, Data_Set_2!$A:$D,3,FALSE)</f>
        <v>Quamba</v>
      </c>
      <c r="P301" t="str">
        <f>VLOOKUP(A301, Data_Set_2!$A:$D,4,FALSE)</f>
        <v>Payment Adjustment Coordinator</v>
      </c>
      <c r="Q301" t="str">
        <f>_xlfn.CONCAT(Table3[[#This Row],[first_name]], " ",Table3[[#This Row],[last_name]])</f>
        <v>Harold Simpson</v>
      </c>
    </row>
    <row r="302" spans="1:17" hidden="1" x14ac:dyDescent="0.3">
      <c r="A302">
        <v>256</v>
      </c>
      <c r="B302" t="s">
        <v>920</v>
      </c>
      <c r="C302" t="s">
        <v>760</v>
      </c>
      <c r="D302" t="s">
        <v>1071</v>
      </c>
      <c r="E302" t="s">
        <v>16</v>
      </c>
      <c r="F302" t="s">
        <v>33</v>
      </c>
      <c r="G302" s="1">
        <v>221</v>
      </c>
      <c r="H302" t="s">
        <v>26</v>
      </c>
      <c r="I302" s="2">
        <v>44387</v>
      </c>
      <c r="J302" t="s">
        <v>110</v>
      </c>
      <c r="K302" t="s">
        <v>1012</v>
      </c>
      <c r="L302">
        <v>16565</v>
      </c>
      <c r="M302" t="s">
        <v>21</v>
      </c>
      <c r="N302" t="str">
        <f>VLOOKUP(A302, Data_Set_2!$A:$D,2,FALSE)</f>
        <v>banderson73</v>
      </c>
      <c r="O302" t="str">
        <f>VLOOKUP(A302, Data_Set_2!$A:$D,3,FALSE)</f>
        <v>Avamm</v>
      </c>
      <c r="P302" t="str">
        <f>VLOOKUP(A302, Data_Set_2!$A:$D,4,FALSE)</f>
        <v>Executive Secretary</v>
      </c>
      <c r="Q302" t="str">
        <f>_xlfn.CONCAT(Table3[[#This Row],[first_name]], " ",Table3[[#This Row],[last_name]])</f>
        <v>Bobby Anderson</v>
      </c>
    </row>
    <row r="303" spans="1:17" hidden="1" x14ac:dyDescent="0.3">
      <c r="A303">
        <v>256</v>
      </c>
      <c r="B303" t="s">
        <v>920</v>
      </c>
      <c r="C303" t="s">
        <v>760</v>
      </c>
      <c r="D303" t="s">
        <v>1071</v>
      </c>
      <c r="E303" t="s">
        <v>16</v>
      </c>
      <c r="F303" t="s">
        <v>33</v>
      </c>
      <c r="G303" s="1">
        <v>915</v>
      </c>
      <c r="H303" t="s">
        <v>26</v>
      </c>
      <c r="I303" s="2">
        <v>44728</v>
      </c>
      <c r="J303" t="s">
        <v>110</v>
      </c>
      <c r="K303" t="s">
        <v>1012</v>
      </c>
      <c r="L303">
        <v>16565</v>
      </c>
      <c r="M303" t="s">
        <v>21</v>
      </c>
      <c r="N303" t="str">
        <f>VLOOKUP(A303, Data_Set_2!$A:$D,2,FALSE)</f>
        <v>banderson73</v>
      </c>
      <c r="O303" t="str">
        <f>VLOOKUP(A303, Data_Set_2!$A:$D,3,FALSE)</f>
        <v>Avamm</v>
      </c>
      <c r="P303" t="str">
        <f>VLOOKUP(A303, Data_Set_2!$A:$D,4,FALSE)</f>
        <v>Executive Secretary</v>
      </c>
      <c r="Q303" t="str">
        <f>_xlfn.CONCAT(Table3[[#This Row],[first_name]], " ",Table3[[#This Row],[last_name]])</f>
        <v>Bobby Anderson</v>
      </c>
    </row>
    <row r="304" spans="1:17" hidden="1" x14ac:dyDescent="0.3">
      <c r="A304">
        <v>257</v>
      </c>
      <c r="B304" t="s">
        <v>579</v>
      </c>
      <c r="C304" t="s">
        <v>796</v>
      </c>
      <c r="D304" t="s">
        <v>918</v>
      </c>
      <c r="E304" t="s">
        <v>16</v>
      </c>
      <c r="F304" t="s">
        <v>33</v>
      </c>
      <c r="G304" s="1">
        <v>376</v>
      </c>
      <c r="H304" t="s">
        <v>26</v>
      </c>
      <c r="I304" s="2">
        <v>44048</v>
      </c>
      <c r="J304" t="s">
        <v>115</v>
      </c>
      <c r="K304" t="s">
        <v>919</v>
      </c>
      <c r="L304">
        <v>34282</v>
      </c>
      <c r="M304" t="s">
        <v>21</v>
      </c>
      <c r="N304" t="str">
        <f>VLOOKUP(A304, Data_Set_2!$A:$D,2,FALSE)</f>
        <v>cday74</v>
      </c>
      <c r="O304" t="str">
        <f>VLOOKUP(A304, Data_Set_2!$A:$D,3,FALSE)</f>
        <v>Wikivu</v>
      </c>
      <c r="P304" t="str">
        <f>VLOOKUP(A304, Data_Set_2!$A:$D,4,FALSE)</f>
        <v>Geological Engineer</v>
      </c>
      <c r="Q304" t="str">
        <f>_xlfn.CONCAT(Table3[[#This Row],[first_name]], " ",Table3[[#This Row],[last_name]])</f>
        <v>Carlos Day</v>
      </c>
    </row>
    <row r="305" spans="1:17" hidden="1" x14ac:dyDescent="0.3">
      <c r="A305">
        <v>257</v>
      </c>
      <c r="B305" t="s">
        <v>579</v>
      </c>
      <c r="C305" t="s">
        <v>796</v>
      </c>
      <c r="D305" t="s">
        <v>918</v>
      </c>
      <c r="E305" t="s">
        <v>16</v>
      </c>
      <c r="F305" t="s">
        <v>33</v>
      </c>
      <c r="G305" s="1">
        <v>416</v>
      </c>
      <c r="H305" t="s">
        <v>26</v>
      </c>
      <c r="I305" s="2">
        <v>44577</v>
      </c>
      <c r="J305" t="s">
        <v>115</v>
      </c>
      <c r="K305" t="s">
        <v>919</v>
      </c>
      <c r="L305">
        <v>34282</v>
      </c>
      <c r="M305" t="s">
        <v>21</v>
      </c>
      <c r="N305" t="str">
        <f>VLOOKUP(A305, Data_Set_2!$A:$D,2,FALSE)</f>
        <v>cday74</v>
      </c>
      <c r="O305" t="str">
        <f>VLOOKUP(A305, Data_Set_2!$A:$D,3,FALSE)</f>
        <v>Wikivu</v>
      </c>
      <c r="P305" t="str">
        <f>VLOOKUP(A305, Data_Set_2!$A:$D,4,FALSE)</f>
        <v>Geological Engineer</v>
      </c>
      <c r="Q305" t="str">
        <f>_xlfn.CONCAT(Table3[[#This Row],[first_name]], " ",Table3[[#This Row],[last_name]])</f>
        <v>Carlos Day</v>
      </c>
    </row>
    <row r="306" spans="1:17" hidden="1" x14ac:dyDescent="0.3">
      <c r="A306">
        <v>258</v>
      </c>
      <c r="B306" t="s">
        <v>595</v>
      </c>
      <c r="C306" t="s">
        <v>343</v>
      </c>
      <c r="D306" t="s">
        <v>596</v>
      </c>
      <c r="E306" t="s">
        <v>32</v>
      </c>
      <c r="F306" t="s">
        <v>33</v>
      </c>
      <c r="G306" s="1">
        <v>681</v>
      </c>
      <c r="H306" t="s">
        <v>341</v>
      </c>
      <c r="I306" s="2">
        <v>43511</v>
      </c>
      <c r="J306" t="s">
        <v>35</v>
      </c>
      <c r="K306" t="s">
        <v>412</v>
      </c>
      <c r="L306">
        <v>92505</v>
      </c>
      <c r="M306" t="s">
        <v>21</v>
      </c>
      <c r="N306" t="str">
        <f>VLOOKUP(A306, Data_Set_2!$A:$D,2,FALSE)</f>
        <v>ahansen75</v>
      </c>
      <c r="O306" t="str">
        <f>VLOOKUP(A306, Data_Set_2!$A:$D,3,FALSE)</f>
        <v>Topicware</v>
      </c>
      <c r="P306" t="str">
        <f>VLOOKUP(A306, Data_Set_2!$A:$D,4,FALSE)</f>
        <v>Internal Auditor</v>
      </c>
      <c r="Q306" t="str">
        <f>_xlfn.CONCAT(Table3[[#This Row],[first_name]], " ",Table3[[#This Row],[last_name]])</f>
        <v>Anna Hansen</v>
      </c>
    </row>
    <row r="307" spans="1:17" hidden="1" x14ac:dyDescent="0.3">
      <c r="A307">
        <v>258</v>
      </c>
      <c r="B307" t="s">
        <v>595</v>
      </c>
      <c r="C307" t="s">
        <v>343</v>
      </c>
      <c r="D307" t="s">
        <v>596</v>
      </c>
      <c r="E307" t="s">
        <v>32</v>
      </c>
      <c r="F307" t="s">
        <v>33</v>
      </c>
      <c r="G307" s="1">
        <v>689</v>
      </c>
      <c r="H307" t="s">
        <v>341</v>
      </c>
      <c r="I307" s="2">
        <v>44549</v>
      </c>
      <c r="J307" t="s">
        <v>35</v>
      </c>
      <c r="K307" t="s">
        <v>412</v>
      </c>
      <c r="L307">
        <v>92505</v>
      </c>
      <c r="M307" t="s">
        <v>21</v>
      </c>
      <c r="N307" t="str">
        <f>VLOOKUP(A307, Data_Set_2!$A:$D,2,FALSE)</f>
        <v>ahansen75</v>
      </c>
      <c r="O307" t="str">
        <f>VLOOKUP(A307, Data_Set_2!$A:$D,3,FALSE)</f>
        <v>Topicware</v>
      </c>
      <c r="P307" t="str">
        <f>VLOOKUP(A307, Data_Set_2!$A:$D,4,FALSE)</f>
        <v>Internal Auditor</v>
      </c>
      <c r="Q307" t="str">
        <f>_xlfn.CONCAT(Table3[[#This Row],[first_name]], " ",Table3[[#This Row],[last_name]])</f>
        <v>Anna Hansen</v>
      </c>
    </row>
    <row r="308" spans="1:17" hidden="1" x14ac:dyDescent="0.3">
      <c r="A308">
        <v>259</v>
      </c>
      <c r="B308" t="s">
        <v>284</v>
      </c>
      <c r="C308" t="s">
        <v>743</v>
      </c>
      <c r="D308" t="s">
        <v>744</v>
      </c>
      <c r="E308" t="s">
        <v>32</v>
      </c>
      <c r="F308" t="s">
        <v>33</v>
      </c>
      <c r="G308" s="1">
        <v>157</v>
      </c>
      <c r="H308" t="s">
        <v>26</v>
      </c>
      <c r="I308" s="2">
        <v>43684</v>
      </c>
      <c r="J308" t="s">
        <v>451</v>
      </c>
      <c r="K308" t="s">
        <v>452</v>
      </c>
      <c r="L308">
        <v>84093</v>
      </c>
      <c r="M308" t="s">
        <v>21</v>
      </c>
      <c r="N308" t="str">
        <f>VLOOKUP(A308, Data_Set_2!$A:$D,2,FALSE)</f>
        <v>aperkins76</v>
      </c>
      <c r="O308" t="str">
        <f>VLOOKUP(A308, Data_Set_2!$A:$D,3,FALSE)</f>
        <v>Oyope</v>
      </c>
      <c r="P308" t="str">
        <f>VLOOKUP(A308, Data_Set_2!$A:$D,4,FALSE)</f>
        <v>Geologist II</v>
      </c>
      <c r="Q308" t="str">
        <f>_xlfn.CONCAT(Table3[[#This Row],[first_name]], " ",Table3[[#This Row],[last_name]])</f>
        <v>Ann Perkins</v>
      </c>
    </row>
    <row r="309" spans="1:17" hidden="1" x14ac:dyDescent="0.3">
      <c r="A309">
        <v>260</v>
      </c>
      <c r="B309" t="s">
        <v>432</v>
      </c>
      <c r="C309" t="s">
        <v>505</v>
      </c>
      <c r="D309" t="s">
        <v>506</v>
      </c>
      <c r="E309" t="s">
        <v>16</v>
      </c>
      <c r="F309" t="s">
        <v>33</v>
      </c>
      <c r="G309" s="1">
        <v>77</v>
      </c>
      <c r="H309" t="s">
        <v>4039</v>
      </c>
      <c r="I309" s="2">
        <v>43388</v>
      </c>
      <c r="J309" t="s">
        <v>345</v>
      </c>
      <c r="K309" t="s">
        <v>220</v>
      </c>
      <c r="L309">
        <v>20057</v>
      </c>
      <c r="M309" t="s">
        <v>21</v>
      </c>
      <c r="N309" t="str">
        <f>VLOOKUP(A309, Data_Set_2!$A:$D,2,FALSE)</f>
        <v>smcdonald77</v>
      </c>
      <c r="O309" t="str">
        <f>VLOOKUP(A309, Data_Set_2!$A:$D,3,FALSE)</f>
        <v>Aivee</v>
      </c>
      <c r="P309" t="str">
        <f>VLOOKUP(A309, Data_Set_2!$A:$D,4,FALSE)</f>
        <v>Safety Technician III</v>
      </c>
      <c r="Q309" t="str">
        <f>_xlfn.CONCAT(Table3[[#This Row],[first_name]], " ",Table3[[#This Row],[last_name]])</f>
        <v>Steven Mcdonald</v>
      </c>
    </row>
    <row r="310" spans="1:17" hidden="1" x14ac:dyDescent="0.3">
      <c r="A310">
        <v>260</v>
      </c>
      <c r="B310" t="s">
        <v>432</v>
      </c>
      <c r="C310" t="s">
        <v>505</v>
      </c>
      <c r="D310" t="s">
        <v>506</v>
      </c>
      <c r="E310" t="s">
        <v>16</v>
      </c>
      <c r="F310" t="s">
        <v>33</v>
      </c>
      <c r="G310" s="1">
        <v>700</v>
      </c>
      <c r="H310" t="s">
        <v>4039</v>
      </c>
      <c r="I310" s="2">
        <v>43455</v>
      </c>
      <c r="J310" t="s">
        <v>345</v>
      </c>
      <c r="K310" t="s">
        <v>220</v>
      </c>
      <c r="L310">
        <v>20057</v>
      </c>
      <c r="M310" t="s">
        <v>21</v>
      </c>
      <c r="N310" t="str">
        <f>VLOOKUP(A310, Data_Set_2!$A:$D,2,FALSE)</f>
        <v>smcdonald77</v>
      </c>
      <c r="O310" t="str">
        <f>VLOOKUP(A310, Data_Set_2!$A:$D,3,FALSE)</f>
        <v>Aivee</v>
      </c>
      <c r="P310" t="str">
        <f>VLOOKUP(A310, Data_Set_2!$A:$D,4,FALSE)</f>
        <v>Safety Technician III</v>
      </c>
      <c r="Q310" t="str">
        <f>_xlfn.CONCAT(Table3[[#This Row],[first_name]], " ",Table3[[#This Row],[last_name]])</f>
        <v>Steven Mcdonald</v>
      </c>
    </row>
    <row r="311" spans="1:17" hidden="1" x14ac:dyDescent="0.3">
      <c r="A311">
        <v>260</v>
      </c>
      <c r="B311" t="s">
        <v>432</v>
      </c>
      <c r="C311" t="s">
        <v>505</v>
      </c>
      <c r="D311" t="s">
        <v>506</v>
      </c>
      <c r="E311" t="s">
        <v>16</v>
      </c>
      <c r="F311" t="s">
        <v>33</v>
      </c>
      <c r="G311" s="1">
        <v>110</v>
      </c>
      <c r="H311" t="s">
        <v>4039</v>
      </c>
      <c r="I311" s="2">
        <v>44215</v>
      </c>
      <c r="J311" t="s">
        <v>345</v>
      </c>
      <c r="K311" t="s">
        <v>220</v>
      </c>
      <c r="L311">
        <v>20057</v>
      </c>
      <c r="M311" t="s">
        <v>21</v>
      </c>
      <c r="N311" t="str">
        <f>VLOOKUP(A311, Data_Set_2!$A:$D,2,FALSE)</f>
        <v>smcdonald77</v>
      </c>
      <c r="O311" t="str">
        <f>VLOOKUP(A311, Data_Set_2!$A:$D,3,FALSE)</f>
        <v>Aivee</v>
      </c>
      <c r="P311" t="str">
        <f>VLOOKUP(A311, Data_Set_2!$A:$D,4,FALSE)</f>
        <v>Safety Technician III</v>
      </c>
      <c r="Q311" t="str">
        <f>_xlfn.CONCAT(Table3[[#This Row],[first_name]], " ",Table3[[#This Row],[last_name]])</f>
        <v>Steven Mcdonald</v>
      </c>
    </row>
    <row r="312" spans="1:17" hidden="1" x14ac:dyDescent="0.3">
      <c r="A312">
        <v>261</v>
      </c>
      <c r="B312" t="s">
        <v>749</v>
      </c>
      <c r="C312" t="s">
        <v>430</v>
      </c>
      <c r="D312" t="s">
        <v>1060</v>
      </c>
      <c r="E312" t="s">
        <v>32</v>
      </c>
      <c r="F312" t="s">
        <v>25</v>
      </c>
      <c r="G312" s="1">
        <v>316</v>
      </c>
      <c r="H312" t="s">
        <v>4037</v>
      </c>
      <c r="I312" s="2">
        <v>44338</v>
      </c>
      <c r="J312" t="s">
        <v>287</v>
      </c>
      <c r="K312" t="s">
        <v>504</v>
      </c>
      <c r="L312">
        <v>85072</v>
      </c>
      <c r="M312" t="s">
        <v>21</v>
      </c>
      <c r="N312" t="str">
        <f>VLOOKUP(A312, Data_Set_2!$A:$D,2,FALSE)</f>
        <v>dmoore78</v>
      </c>
      <c r="O312" t="str">
        <f>VLOOKUP(A312, Data_Set_2!$A:$D,3,FALSE)</f>
        <v>Trilia</v>
      </c>
      <c r="P312" t="str">
        <f>VLOOKUP(A312, Data_Set_2!$A:$D,4,FALSE)</f>
        <v>Food Chemist</v>
      </c>
      <c r="Q312" t="str">
        <f>_xlfn.CONCAT(Table3[[#This Row],[first_name]], " ",Table3[[#This Row],[last_name]])</f>
        <v>Doris Moore</v>
      </c>
    </row>
    <row r="313" spans="1:17" hidden="1" x14ac:dyDescent="0.3">
      <c r="A313">
        <v>262</v>
      </c>
      <c r="B313" t="s">
        <v>773</v>
      </c>
      <c r="C313" t="s">
        <v>141</v>
      </c>
      <c r="D313" t="s">
        <v>885</v>
      </c>
      <c r="E313" t="s">
        <v>16</v>
      </c>
      <c r="F313" t="s">
        <v>33</v>
      </c>
      <c r="G313" s="1">
        <v>584</v>
      </c>
      <c r="H313" t="s">
        <v>26</v>
      </c>
      <c r="I313" s="2">
        <v>43947</v>
      </c>
      <c r="J313" t="s">
        <v>184</v>
      </c>
      <c r="K313" t="s">
        <v>185</v>
      </c>
      <c r="L313">
        <v>10464</v>
      </c>
      <c r="M313" t="s">
        <v>21</v>
      </c>
      <c r="N313" t="str">
        <f>VLOOKUP(A313, Data_Set_2!$A:$D,2,FALSE)</f>
        <v>rrice79</v>
      </c>
      <c r="O313" t="str">
        <f>VLOOKUP(A313, Data_Set_2!$A:$D,3,FALSE)</f>
        <v>Twitterwire</v>
      </c>
      <c r="P313" t="str">
        <f>VLOOKUP(A313, Data_Set_2!$A:$D,4,FALSE)</f>
        <v>Assistant Manager</v>
      </c>
      <c r="Q313" t="str">
        <f>_xlfn.CONCAT(Table3[[#This Row],[first_name]], " ",Table3[[#This Row],[last_name]])</f>
        <v>Richard Rice</v>
      </c>
    </row>
    <row r="314" spans="1:17" hidden="1" x14ac:dyDescent="0.3">
      <c r="A314">
        <v>262</v>
      </c>
      <c r="B314" t="s">
        <v>773</v>
      </c>
      <c r="C314" t="s">
        <v>141</v>
      </c>
      <c r="D314" t="s">
        <v>885</v>
      </c>
      <c r="E314" t="s">
        <v>16</v>
      </c>
      <c r="F314" t="s">
        <v>33</v>
      </c>
      <c r="G314" s="1">
        <v>828</v>
      </c>
      <c r="H314" t="s">
        <v>26</v>
      </c>
      <c r="I314" s="2">
        <v>44124</v>
      </c>
      <c r="J314" t="s">
        <v>184</v>
      </c>
      <c r="K314" t="s">
        <v>185</v>
      </c>
      <c r="L314">
        <v>10464</v>
      </c>
      <c r="M314" t="s">
        <v>21</v>
      </c>
      <c r="N314" t="str">
        <f>VLOOKUP(A314, Data_Set_2!$A:$D,2,FALSE)</f>
        <v>rrice79</v>
      </c>
      <c r="O314" t="str">
        <f>VLOOKUP(A314, Data_Set_2!$A:$D,3,FALSE)</f>
        <v>Twitterwire</v>
      </c>
      <c r="P314" t="str">
        <f>VLOOKUP(A314, Data_Set_2!$A:$D,4,FALSE)</f>
        <v>Assistant Manager</v>
      </c>
      <c r="Q314" t="str">
        <f>_xlfn.CONCAT(Table3[[#This Row],[first_name]], " ",Table3[[#This Row],[last_name]])</f>
        <v>Richard Rice</v>
      </c>
    </row>
    <row r="315" spans="1:17" hidden="1" x14ac:dyDescent="0.3">
      <c r="A315">
        <v>262</v>
      </c>
      <c r="B315" t="s">
        <v>773</v>
      </c>
      <c r="C315" t="s">
        <v>141</v>
      </c>
      <c r="D315" t="s">
        <v>885</v>
      </c>
      <c r="E315" t="s">
        <v>16</v>
      </c>
      <c r="F315" t="s">
        <v>33</v>
      </c>
      <c r="G315" s="1">
        <v>330</v>
      </c>
      <c r="H315" t="s">
        <v>26</v>
      </c>
      <c r="I315" s="2">
        <v>44572</v>
      </c>
      <c r="J315" t="s">
        <v>184</v>
      </c>
      <c r="K315" t="s">
        <v>185</v>
      </c>
      <c r="L315">
        <v>10464</v>
      </c>
      <c r="M315" t="s">
        <v>21</v>
      </c>
      <c r="N315" t="str">
        <f>VLOOKUP(A315, Data_Set_2!$A:$D,2,FALSE)</f>
        <v>rrice79</v>
      </c>
      <c r="O315" t="str">
        <f>VLOOKUP(A315, Data_Set_2!$A:$D,3,FALSE)</f>
        <v>Twitterwire</v>
      </c>
      <c r="P315" t="str">
        <f>VLOOKUP(A315, Data_Set_2!$A:$D,4,FALSE)</f>
        <v>Assistant Manager</v>
      </c>
      <c r="Q315" t="str">
        <f>_xlfn.CONCAT(Table3[[#This Row],[first_name]], " ",Table3[[#This Row],[last_name]])</f>
        <v>Richard Rice</v>
      </c>
    </row>
    <row r="316" spans="1:17" x14ac:dyDescent="0.3">
      <c r="A316">
        <v>263</v>
      </c>
      <c r="B316" t="s">
        <v>92</v>
      </c>
      <c r="C316" t="s">
        <v>93</v>
      </c>
      <c r="D316" t="s">
        <v>94</v>
      </c>
      <c r="E316" t="s">
        <v>16</v>
      </c>
      <c r="F316" t="s">
        <v>17</v>
      </c>
      <c r="G316" s="1">
        <v>96</v>
      </c>
      <c r="H316" t="s">
        <v>95</v>
      </c>
      <c r="I316" s="2">
        <v>43121</v>
      </c>
      <c r="J316" t="s">
        <v>96</v>
      </c>
      <c r="K316" t="s">
        <v>97</v>
      </c>
      <c r="L316">
        <v>46699</v>
      </c>
      <c r="M316" t="s">
        <v>21</v>
      </c>
      <c r="N316" t="str">
        <f>VLOOKUP(A316, Data_Set_2!$A:$D,2,FALSE)</f>
        <v>roliver7a</v>
      </c>
      <c r="O316" t="str">
        <f>VLOOKUP(A316, Data_Set_2!$A:$D,3,FALSE)</f>
        <v>Flipbug</v>
      </c>
      <c r="P316" t="str">
        <f>VLOOKUP(A316, Data_Set_2!$A:$D,4,FALSE)</f>
        <v>Operator</v>
      </c>
      <c r="Q316" t="str">
        <f>_xlfn.CONCAT(Table3[[#This Row],[first_name]], " ",Table3[[#This Row],[last_name]])</f>
        <v>Ralph Oliver</v>
      </c>
    </row>
    <row r="317" spans="1:17" x14ac:dyDescent="0.3">
      <c r="A317">
        <v>263</v>
      </c>
      <c r="B317" t="s">
        <v>92</v>
      </c>
      <c r="C317" t="s">
        <v>93</v>
      </c>
      <c r="D317" t="s">
        <v>94</v>
      </c>
      <c r="E317" t="s">
        <v>16</v>
      </c>
      <c r="F317" t="s">
        <v>17</v>
      </c>
      <c r="G317" s="1">
        <v>81</v>
      </c>
      <c r="H317" t="s">
        <v>95</v>
      </c>
      <c r="I317" s="2">
        <v>43239</v>
      </c>
      <c r="J317" t="s">
        <v>96</v>
      </c>
      <c r="K317" t="s">
        <v>97</v>
      </c>
      <c r="L317">
        <v>46699</v>
      </c>
      <c r="M317" t="s">
        <v>21</v>
      </c>
      <c r="N317" t="str">
        <f>VLOOKUP(A317, Data_Set_2!$A:$D,2,FALSE)</f>
        <v>roliver7a</v>
      </c>
      <c r="O317" t="str">
        <f>VLOOKUP(A317, Data_Set_2!$A:$D,3,FALSE)</f>
        <v>Flipbug</v>
      </c>
      <c r="P317" t="str">
        <f>VLOOKUP(A317, Data_Set_2!$A:$D,4,FALSE)</f>
        <v>Operator</v>
      </c>
      <c r="Q317" t="str">
        <f>_xlfn.CONCAT(Table3[[#This Row],[first_name]], " ",Table3[[#This Row],[last_name]])</f>
        <v>Ralph Oliver</v>
      </c>
    </row>
    <row r="318" spans="1:17" x14ac:dyDescent="0.3">
      <c r="A318">
        <v>263</v>
      </c>
      <c r="B318" t="s">
        <v>92</v>
      </c>
      <c r="C318" t="s">
        <v>93</v>
      </c>
      <c r="D318" t="s">
        <v>94</v>
      </c>
      <c r="E318" t="s">
        <v>16</v>
      </c>
      <c r="F318" t="s">
        <v>17</v>
      </c>
      <c r="G318" s="1">
        <v>837</v>
      </c>
      <c r="H318" t="s">
        <v>95</v>
      </c>
      <c r="I318" s="2">
        <v>43325</v>
      </c>
      <c r="J318" t="s">
        <v>96</v>
      </c>
      <c r="K318" t="s">
        <v>97</v>
      </c>
      <c r="L318">
        <v>46699</v>
      </c>
      <c r="M318" t="s">
        <v>21</v>
      </c>
      <c r="N318" t="str">
        <f>VLOOKUP(A318, Data_Set_2!$A:$D,2,FALSE)</f>
        <v>roliver7a</v>
      </c>
      <c r="O318" t="str">
        <f>VLOOKUP(A318, Data_Set_2!$A:$D,3,FALSE)</f>
        <v>Flipbug</v>
      </c>
      <c r="P318" t="str">
        <f>VLOOKUP(A318, Data_Set_2!$A:$D,4,FALSE)</f>
        <v>Operator</v>
      </c>
      <c r="Q318" t="str">
        <f>_xlfn.CONCAT(Table3[[#This Row],[first_name]], " ",Table3[[#This Row],[last_name]])</f>
        <v>Ralph Oliver</v>
      </c>
    </row>
    <row r="319" spans="1:17" x14ac:dyDescent="0.3">
      <c r="A319">
        <v>263</v>
      </c>
      <c r="B319" t="s">
        <v>92</v>
      </c>
      <c r="C319" t="s">
        <v>93</v>
      </c>
      <c r="D319" t="s">
        <v>94</v>
      </c>
      <c r="E319" t="s">
        <v>16</v>
      </c>
      <c r="F319" t="s">
        <v>17</v>
      </c>
      <c r="G319" s="1">
        <v>353</v>
      </c>
      <c r="H319" t="s">
        <v>95</v>
      </c>
      <c r="I319" s="2">
        <v>43391</v>
      </c>
      <c r="J319" t="s">
        <v>96</v>
      </c>
      <c r="K319" t="s">
        <v>97</v>
      </c>
      <c r="L319">
        <v>46699</v>
      </c>
      <c r="M319" t="s">
        <v>21</v>
      </c>
      <c r="N319" t="str">
        <f>VLOOKUP(A319, Data_Set_2!$A:$D,2,FALSE)</f>
        <v>roliver7a</v>
      </c>
      <c r="O319" t="str">
        <f>VLOOKUP(A319, Data_Set_2!$A:$D,3,FALSE)</f>
        <v>Flipbug</v>
      </c>
      <c r="P319" t="str">
        <f>VLOOKUP(A319, Data_Set_2!$A:$D,4,FALSE)</f>
        <v>Operator</v>
      </c>
      <c r="Q319" t="str">
        <f>_xlfn.CONCAT(Table3[[#This Row],[first_name]], " ",Table3[[#This Row],[last_name]])</f>
        <v>Ralph Oliver</v>
      </c>
    </row>
    <row r="320" spans="1:17" x14ac:dyDescent="0.3">
      <c r="A320">
        <v>263</v>
      </c>
      <c r="B320" t="s">
        <v>92</v>
      </c>
      <c r="C320" t="s">
        <v>93</v>
      </c>
      <c r="D320" t="s">
        <v>94</v>
      </c>
      <c r="E320" t="s">
        <v>16</v>
      </c>
      <c r="F320" t="s">
        <v>17</v>
      </c>
      <c r="G320" s="1">
        <v>251</v>
      </c>
      <c r="H320" t="s">
        <v>95</v>
      </c>
      <c r="I320" s="2">
        <v>43403</v>
      </c>
      <c r="J320" t="s">
        <v>96</v>
      </c>
      <c r="K320" t="s">
        <v>97</v>
      </c>
      <c r="L320">
        <v>46699</v>
      </c>
      <c r="M320" t="s">
        <v>21</v>
      </c>
      <c r="N320" t="str">
        <f>VLOOKUP(A320, Data_Set_2!$A:$D,2,FALSE)</f>
        <v>roliver7a</v>
      </c>
      <c r="O320" t="str">
        <f>VLOOKUP(A320, Data_Set_2!$A:$D,3,FALSE)</f>
        <v>Flipbug</v>
      </c>
      <c r="P320" t="str">
        <f>VLOOKUP(A320, Data_Set_2!$A:$D,4,FALSE)</f>
        <v>Operator</v>
      </c>
      <c r="Q320" t="str">
        <f>_xlfn.CONCAT(Table3[[#This Row],[first_name]], " ",Table3[[#This Row],[last_name]])</f>
        <v>Ralph Oliver</v>
      </c>
    </row>
    <row r="321" spans="1:17" x14ac:dyDescent="0.3">
      <c r="A321">
        <v>263</v>
      </c>
      <c r="B321" t="s">
        <v>92</v>
      </c>
      <c r="C321" t="s">
        <v>93</v>
      </c>
      <c r="D321" t="s">
        <v>94</v>
      </c>
      <c r="E321" t="s">
        <v>16</v>
      </c>
      <c r="F321" t="s">
        <v>17</v>
      </c>
      <c r="G321" s="1">
        <v>193</v>
      </c>
      <c r="H321" t="s">
        <v>95</v>
      </c>
      <c r="I321" s="2">
        <v>43597</v>
      </c>
      <c r="J321" t="s">
        <v>96</v>
      </c>
      <c r="K321" t="s">
        <v>97</v>
      </c>
      <c r="L321">
        <v>46699</v>
      </c>
      <c r="M321" t="s">
        <v>21</v>
      </c>
      <c r="N321" t="str">
        <f>VLOOKUP(A321, Data_Set_2!$A:$D,2,FALSE)</f>
        <v>roliver7a</v>
      </c>
      <c r="O321" t="str">
        <f>VLOOKUP(A321, Data_Set_2!$A:$D,3,FALSE)</f>
        <v>Flipbug</v>
      </c>
      <c r="P321" t="str">
        <f>VLOOKUP(A321, Data_Set_2!$A:$D,4,FALSE)</f>
        <v>Operator</v>
      </c>
      <c r="Q321" t="str">
        <f>_xlfn.CONCAT(Table3[[#This Row],[first_name]], " ",Table3[[#This Row],[last_name]])</f>
        <v>Ralph Oliver</v>
      </c>
    </row>
    <row r="322" spans="1:17" x14ac:dyDescent="0.3">
      <c r="A322">
        <v>263</v>
      </c>
      <c r="B322" t="s">
        <v>92</v>
      </c>
      <c r="C322" t="s">
        <v>93</v>
      </c>
      <c r="D322" t="s">
        <v>94</v>
      </c>
      <c r="E322" t="s">
        <v>16</v>
      </c>
      <c r="F322" t="s">
        <v>17</v>
      </c>
      <c r="G322" s="1">
        <v>884</v>
      </c>
      <c r="H322" t="s">
        <v>95</v>
      </c>
      <c r="I322" s="2">
        <v>43686</v>
      </c>
      <c r="J322" t="s">
        <v>96</v>
      </c>
      <c r="K322" t="s">
        <v>97</v>
      </c>
      <c r="L322">
        <v>46699</v>
      </c>
      <c r="M322" t="s">
        <v>21</v>
      </c>
      <c r="N322" t="str">
        <f>VLOOKUP(A322, Data_Set_2!$A:$D,2,FALSE)</f>
        <v>roliver7a</v>
      </c>
      <c r="O322" t="str">
        <f>VLOOKUP(A322, Data_Set_2!$A:$D,3,FALSE)</f>
        <v>Flipbug</v>
      </c>
      <c r="P322" t="str">
        <f>VLOOKUP(A322, Data_Set_2!$A:$D,4,FALSE)</f>
        <v>Operator</v>
      </c>
      <c r="Q322" t="str">
        <f>_xlfn.CONCAT(Table3[[#This Row],[first_name]], " ",Table3[[#This Row],[last_name]])</f>
        <v>Ralph Oliver</v>
      </c>
    </row>
    <row r="323" spans="1:17" x14ac:dyDescent="0.3">
      <c r="A323">
        <v>263</v>
      </c>
      <c r="B323" t="s">
        <v>92</v>
      </c>
      <c r="C323" t="s">
        <v>93</v>
      </c>
      <c r="D323" t="s">
        <v>94</v>
      </c>
      <c r="E323" t="s">
        <v>16</v>
      </c>
      <c r="F323" t="s">
        <v>17</v>
      </c>
      <c r="G323" s="1">
        <v>348</v>
      </c>
      <c r="H323" t="s">
        <v>95</v>
      </c>
      <c r="I323" s="2">
        <v>43866</v>
      </c>
      <c r="J323" t="s">
        <v>96</v>
      </c>
      <c r="K323" t="s">
        <v>97</v>
      </c>
      <c r="L323">
        <v>46699</v>
      </c>
      <c r="M323" t="s">
        <v>21</v>
      </c>
      <c r="N323" t="str">
        <f>VLOOKUP(A323, Data_Set_2!$A:$D,2,FALSE)</f>
        <v>roliver7a</v>
      </c>
      <c r="O323" t="str">
        <f>VLOOKUP(A323, Data_Set_2!$A:$D,3,FALSE)</f>
        <v>Flipbug</v>
      </c>
      <c r="P323" t="str">
        <f>VLOOKUP(A323, Data_Set_2!$A:$D,4,FALSE)</f>
        <v>Operator</v>
      </c>
      <c r="Q323" t="str">
        <f>_xlfn.CONCAT(Table3[[#This Row],[first_name]], " ",Table3[[#This Row],[last_name]])</f>
        <v>Ralph Oliver</v>
      </c>
    </row>
    <row r="324" spans="1:17" x14ac:dyDescent="0.3">
      <c r="A324">
        <v>263</v>
      </c>
      <c r="B324" t="s">
        <v>92</v>
      </c>
      <c r="C324" t="s">
        <v>93</v>
      </c>
      <c r="D324" t="s">
        <v>94</v>
      </c>
      <c r="E324" t="s">
        <v>16</v>
      </c>
      <c r="F324" t="s">
        <v>17</v>
      </c>
      <c r="G324" s="1">
        <v>453</v>
      </c>
      <c r="H324" t="s">
        <v>95</v>
      </c>
      <c r="I324" s="2">
        <v>43937</v>
      </c>
      <c r="J324" t="s">
        <v>96</v>
      </c>
      <c r="K324" t="s">
        <v>97</v>
      </c>
      <c r="L324">
        <v>46699</v>
      </c>
      <c r="M324" t="s">
        <v>21</v>
      </c>
      <c r="N324" t="str">
        <f>VLOOKUP(A324, Data_Set_2!$A:$D,2,FALSE)</f>
        <v>roliver7a</v>
      </c>
      <c r="O324" t="str">
        <f>VLOOKUP(A324, Data_Set_2!$A:$D,3,FALSE)</f>
        <v>Flipbug</v>
      </c>
      <c r="P324" t="str">
        <f>VLOOKUP(A324, Data_Set_2!$A:$D,4,FALSE)</f>
        <v>Operator</v>
      </c>
      <c r="Q324" t="str">
        <f>_xlfn.CONCAT(Table3[[#This Row],[first_name]], " ",Table3[[#This Row],[last_name]])</f>
        <v>Ralph Oliver</v>
      </c>
    </row>
    <row r="325" spans="1:17" x14ac:dyDescent="0.3">
      <c r="A325">
        <v>263</v>
      </c>
      <c r="B325" t="s">
        <v>92</v>
      </c>
      <c r="C325" t="s">
        <v>93</v>
      </c>
      <c r="D325" t="s">
        <v>94</v>
      </c>
      <c r="E325" t="s">
        <v>16</v>
      </c>
      <c r="F325" t="s">
        <v>17</v>
      </c>
      <c r="G325" s="1">
        <v>120</v>
      </c>
      <c r="H325" t="s">
        <v>95</v>
      </c>
      <c r="I325" s="2">
        <v>43963</v>
      </c>
      <c r="J325" t="s">
        <v>96</v>
      </c>
      <c r="K325" t="s">
        <v>97</v>
      </c>
      <c r="L325">
        <v>46699</v>
      </c>
      <c r="M325" t="s">
        <v>21</v>
      </c>
      <c r="N325" t="str">
        <f>VLOOKUP(A325, Data_Set_2!$A:$D,2,FALSE)</f>
        <v>roliver7a</v>
      </c>
      <c r="O325" t="str">
        <f>VLOOKUP(A325, Data_Set_2!$A:$D,3,FALSE)</f>
        <v>Flipbug</v>
      </c>
      <c r="P325" t="str">
        <f>VLOOKUP(A325, Data_Set_2!$A:$D,4,FALSE)</f>
        <v>Operator</v>
      </c>
      <c r="Q325" t="str">
        <f>_xlfn.CONCAT(Table3[[#This Row],[first_name]], " ",Table3[[#This Row],[last_name]])</f>
        <v>Ralph Oliver</v>
      </c>
    </row>
    <row r="326" spans="1:17" x14ac:dyDescent="0.3">
      <c r="A326">
        <v>263</v>
      </c>
      <c r="B326" t="s">
        <v>92</v>
      </c>
      <c r="C326" t="s">
        <v>93</v>
      </c>
      <c r="D326" t="s">
        <v>94</v>
      </c>
      <c r="E326" t="s">
        <v>16</v>
      </c>
      <c r="F326" t="s">
        <v>17</v>
      </c>
      <c r="G326" s="1">
        <v>216</v>
      </c>
      <c r="H326" t="s">
        <v>95</v>
      </c>
      <c r="I326" s="2">
        <v>44346</v>
      </c>
      <c r="J326" t="s">
        <v>96</v>
      </c>
      <c r="K326" t="s">
        <v>97</v>
      </c>
      <c r="L326">
        <v>46699</v>
      </c>
      <c r="M326" t="s">
        <v>21</v>
      </c>
      <c r="N326" t="str">
        <f>VLOOKUP(A326, Data_Set_2!$A:$D,2,FALSE)</f>
        <v>roliver7a</v>
      </c>
      <c r="O326" t="str">
        <f>VLOOKUP(A326, Data_Set_2!$A:$D,3,FALSE)</f>
        <v>Flipbug</v>
      </c>
      <c r="P326" t="str">
        <f>VLOOKUP(A326, Data_Set_2!$A:$D,4,FALSE)</f>
        <v>Operator</v>
      </c>
      <c r="Q326" t="str">
        <f>_xlfn.CONCAT(Table3[[#This Row],[first_name]], " ",Table3[[#This Row],[last_name]])</f>
        <v>Ralph Oliver</v>
      </c>
    </row>
    <row r="327" spans="1:17" x14ac:dyDescent="0.3">
      <c r="A327">
        <v>263</v>
      </c>
      <c r="B327" t="s">
        <v>92</v>
      </c>
      <c r="C327" t="s">
        <v>93</v>
      </c>
      <c r="D327" t="s">
        <v>94</v>
      </c>
      <c r="E327" t="s">
        <v>16</v>
      </c>
      <c r="F327" t="s">
        <v>17</v>
      </c>
      <c r="G327" s="1">
        <v>707</v>
      </c>
      <c r="H327" t="s">
        <v>95</v>
      </c>
      <c r="I327" s="2">
        <v>44461</v>
      </c>
      <c r="J327" t="s">
        <v>96</v>
      </c>
      <c r="K327" t="s">
        <v>97</v>
      </c>
      <c r="L327">
        <v>46699</v>
      </c>
      <c r="M327" t="s">
        <v>21</v>
      </c>
      <c r="N327" t="str">
        <f>VLOOKUP(A327, Data_Set_2!$A:$D,2,FALSE)</f>
        <v>roliver7a</v>
      </c>
      <c r="O327" t="str">
        <f>VLOOKUP(A327, Data_Set_2!$A:$D,3,FALSE)</f>
        <v>Flipbug</v>
      </c>
      <c r="P327" t="str">
        <f>VLOOKUP(A327, Data_Set_2!$A:$D,4,FALSE)</f>
        <v>Operator</v>
      </c>
      <c r="Q327" t="str">
        <f>_xlfn.CONCAT(Table3[[#This Row],[first_name]], " ",Table3[[#This Row],[last_name]])</f>
        <v>Ralph Oliver</v>
      </c>
    </row>
    <row r="328" spans="1:17" x14ac:dyDescent="0.3">
      <c r="A328">
        <v>263</v>
      </c>
      <c r="B328" t="s">
        <v>92</v>
      </c>
      <c r="C328" t="s">
        <v>93</v>
      </c>
      <c r="D328" t="s">
        <v>94</v>
      </c>
      <c r="E328" t="s">
        <v>16</v>
      </c>
      <c r="F328" t="s">
        <v>17</v>
      </c>
      <c r="G328" s="1">
        <v>667</v>
      </c>
      <c r="H328" t="s">
        <v>95</v>
      </c>
      <c r="I328" s="2">
        <v>44467</v>
      </c>
      <c r="J328" t="s">
        <v>96</v>
      </c>
      <c r="K328" t="s">
        <v>97</v>
      </c>
      <c r="L328">
        <v>46699</v>
      </c>
      <c r="M328" t="s">
        <v>21</v>
      </c>
      <c r="N328" t="str">
        <f>VLOOKUP(A328, Data_Set_2!$A:$D,2,FALSE)</f>
        <v>roliver7a</v>
      </c>
      <c r="O328" t="str">
        <f>VLOOKUP(A328, Data_Set_2!$A:$D,3,FALSE)</f>
        <v>Flipbug</v>
      </c>
      <c r="P328" t="str">
        <f>VLOOKUP(A328, Data_Set_2!$A:$D,4,FALSE)</f>
        <v>Operator</v>
      </c>
      <c r="Q328" t="str">
        <f>_xlfn.CONCAT(Table3[[#This Row],[first_name]], " ",Table3[[#This Row],[last_name]])</f>
        <v>Ralph Oliver</v>
      </c>
    </row>
    <row r="329" spans="1:17" x14ac:dyDescent="0.3">
      <c r="A329">
        <v>263</v>
      </c>
      <c r="B329" t="s">
        <v>92</v>
      </c>
      <c r="C329" t="s">
        <v>93</v>
      </c>
      <c r="D329" t="s">
        <v>94</v>
      </c>
      <c r="E329" t="s">
        <v>16</v>
      </c>
      <c r="F329" t="s">
        <v>17</v>
      </c>
      <c r="G329" s="1">
        <v>441</v>
      </c>
      <c r="H329" t="s">
        <v>95</v>
      </c>
      <c r="I329" s="2">
        <v>44653</v>
      </c>
      <c r="J329" t="s">
        <v>96</v>
      </c>
      <c r="K329" t="s">
        <v>97</v>
      </c>
      <c r="L329">
        <v>46699</v>
      </c>
      <c r="M329" t="s">
        <v>21</v>
      </c>
      <c r="N329" t="str">
        <f>VLOOKUP(A329, Data_Set_2!$A:$D,2,FALSE)</f>
        <v>roliver7a</v>
      </c>
      <c r="O329" t="str">
        <f>VLOOKUP(A329, Data_Set_2!$A:$D,3,FALSE)</f>
        <v>Flipbug</v>
      </c>
      <c r="P329" t="str">
        <f>VLOOKUP(A329, Data_Set_2!$A:$D,4,FALSE)</f>
        <v>Operator</v>
      </c>
      <c r="Q329" t="str">
        <f>_xlfn.CONCAT(Table3[[#This Row],[first_name]], " ",Table3[[#This Row],[last_name]])</f>
        <v>Ralph Oliver</v>
      </c>
    </row>
    <row r="330" spans="1:17" x14ac:dyDescent="0.3">
      <c r="A330">
        <v>263</v>
      </c>
      <c r="B330" t="s">
        <v>92</v>
      </c>
      <c r="C330" t="s">
        <v>93</v>
      </c>
      <c r="D330" t="s">
        <v>94</v>
      </c>
      <c r="E330" t="s">
        <v>16</v>
      </c>
      <c r="F330" t="s">
        <v>17</v>
      </c>
      <c r="G330" s="1">
        <v>27</v>
      </c>
      <c r="H330" t="s">
        <v>95</v>
      </c>
      <c r="I330" s="2">
        <v>44740</v>
      </c>
      <c r="J330" t="s">
        <v>96</v>
      </c>
      <c r="K330" t="s">
        <v>97</v>
      </c>
      <c r="L330">
        <v>46699</v>
      </c>
      <c r="M330" t="s">
        <v>21</v>
      </c>
      <c r="N330" t="str">
        <f>VLOOKUP(A330, Data_Set_2!$A:$D,2,FALSE)</f>
        <v>roliver7a</v>
      </c>
      <c r="O330" t="str">
        <f>VLOOKUP(A330, Data_Set_2!$A:$D,3,FALSE)</f>
        <v>Flipbug</v>
      </c>
      <c r="P330" t="str">
        <f>VLOOKUP(A330, Data_Set_2!$A:$D,4,FALSE)</f>
        <v>Operator</v>
      </c>
      <c r="Q330" t="str">
        <f>_xlfn.CONCAT(Table3[[#This Row],[first_name]], " ",Table3[[#This Row],[last_name]])</f>
        <v>Ralph Oliver</v>
      </c>
    </row>
    <row r="331" spans="1:17" hidden="1" x14ac:dyDescent="0.3">
      <c r="A331">
        <v>264</v>
      </c>
      <c r="B331" t="s">
        <v>117</v>
      </c>
      <c r="C331" t="s">
        <v>118</v>
      </c>
      <c r="D331" t="s">
        <v>119</v>
      </c>
      <c r="E331" t="s">
        <v>32</v>
      </c>
      <c r="F331" t="s">
        <v>33</v>
      </c>
      <c r="G331" s="1">
        <v>454</v>
      </c>
      <c r="H331" t="s">
        <v>26</v>
      </c>
      <c r="I331" s="2">
        <v>43132</v>
      </c>
      <c r="J331" t="s">
        <v>120</v>
      </c>
      <c r="K331" t="s">
        <v>121</v>
      </c>
      <c r="L331">
        <v>71161</v>
      </c>
      <c r="M331" t="s">
        <v>21</v>
      </c>
      <c r="N331" t="str">
        <f>VLOOKUP(A331, Data_Set_2!$A:$D,2,FALSE)</f>
        <v>lwright7b</v>
      </c>
      <c r="O331" t="str">
        <f>VLOOKUP(A331, Data_Set_2!$A:$D,3,FALSE)</f>
        <v>Jabbersphere</v>
      </c>
      <c r="P331" t="str">
        <f>VLOOKUP(A331, Data_Set_2!$A:$D,4,FALSE)</f>
        <v>Human Resources Assistant IV</v>
      </c>
      <c r="Q331" t="str">
        <f>_xlfn.CONCAT(Table3[[#This Row],[first_name]], " ",Table3[[#This Row],[last_name]])</f>
        <v>Laura Wright</v>
      </c>
    </row>
    <row r="332" spans="1:17" hidden="1" x14ac:dyDescent="0.3">
      <c r="A332">
        <v>264</v>
      </c>
      <c r="B332" t="s">
        <v>117</v>
      </c>
      <c r="C332" t="s">
        <v>118</v>
      </c>
      <c r="D332" t="s">
        <v>119</v>
      </c>
      <c r="E332" t="s">
        <v>32</v>
      </c>
      <c r="F332" t="s">
        <v>33</v>
      </c>
      <c r="G332" s="1">
        <v>678</v>
      </c>
      <c r="H332" t="s">
        <v>26</v>
      </c>
      <c r="I332" s="2">
        <v>43499</v>
      </c>
      <c r="J332" t="s">
        <v>120</v>
      </c>
      <c r="K332" t="s">
        <v>121</v>
      </c>
      <c r="L332">
        <v>71161</v>
      </c>
      <c r="M332" t="s">
        <v>21</v>
      </c>
      <c r="N332" t="str">
        <f>VLOOKUP(A332, Data_Set_2!$A:$D,2,FALSE)</f>
        <v>lwright7b</v>
      </c>
      <c r="O332" t="str">
        <f>VLOOKUP(A332, Data_Set_2!$A:$D,3,FALSE)</f>
        <v>Jabbersphere</v>
      </c>
      <c r="P332" t="str">
        <f>VLOOKUP(A332, Data_Set_2!$A:$D,4,FALSE)</f>
        <v>Human Resources Assistant IV</v>
      </c>
      <c r="Q332" t="str">
        <f>_xlfn.CONCAT(Table3[[#This Row],[first_name]], " ",Table3[[#This Row],[last_name]])</f>
        <v>Laura Wright</v>
      </c>
    </row>
    <row r="333" spans="1:17" hidden="1" x14ac:dyDescent="0.3">
      <c r="A333">
        <v>264</v>
      </c>
      <c r="B333" t="s">
        <v>117</v>
      </c>
      <c r="C333" t="s">
        <v>118</v>
      </c>
      <c r="D333" t="s">
        <v>119</v>
      </c>
      <c r="E333" t="s">
        <v>32</v>
      </c>
      <c r="F333" t="s">
        <v>33</v>
      </c>
      <c r="G333" s="1">
        <v>738</v>
      </c>
      <c r="H333" t="s">
        <v>26</v>
      </c>
      <c r="I333" s="2">
        <v>44238</v>
      </c>
      <c r="J333" t="s">
        <v>120</v>
      </c>
      <c r="K333" t="s">
        <v>121</v>
      </c>
      <c r="L333">
        <v>71161</v>
      </c>
      <c r="M333" t="s">
        <v>21</v>
      </c>
      <c r="N333" t="str">
        <f>VLOOKUP(A333, Data_Set_2!$A:$D,2,FALSE)</f>
        <v>lwright7b</v>
      </c>
      <c r="O333" t="str">
        <f>VLOOKUP(A333, Data_Set_2!$A:$D,3,FALSE)</f>
        <v>Jabbersphere</v>
      </c>
      <c r="P333" t="str">
        <f>VLOOKUP(A333, Data_Set_2!$A:$D,4,FALSE)</f>
        <v>Human Resources Assistant IV</v>
      </c>
      <c r="Q333" t="str">
        <f>_xlfn.CONCAT(Table3[[#This Row],[first_name]], " ",Table3[[#This Row],[last_name]])</f>
        <v>Laura Wright</v>
      </c>
    </row>
    <row r="334" spans="1:17" hidden="1" x14ac:dyDescent="0.3">
      <c r="A334">
        <v>264</v>
      </c>
      <c r="B334" t="s">
        <v>117</v>
      </c>
      <c r="C334" t="s">
        <v>118</v>
      </c>
      <c r="D334" t="s">
        <v>119</v>
      </c>
      <c r="E334" t="s">
        <v>32</v>
      </c>
      <c r="F334" t="s">
        <v>33</v>
      </c>
      <c r="G334" s="1">
        <v>238</v>
      </c>
      <c r="H334" t="s">
        <v>26</v>
      </c>
      <c r="I334" s="2">
        <v>44743</v>
      </c>
      <c r="J334" t="s">
        <v>120</v>
      </c>
      <c r="K334" t="s">
        <v>121</v>
      </c>
      <c r="L334">
        <v>71161</v>
      </c>
      <c r="M334" t="s">
        <v>21</v>
      </c>
      <c r="N334" t="str">
        <f>VLOOKUP(A334, Data_Set_2!$A:$D,2,FALSE)</f>
        <v>lwright7b</v>
      </c>
      <c r="O334" t="str">
        <f>VLOOKUP(A334, Data_Set_2!$A:$D,3,FALSE)</f>
        <v>Jabbersphere</v>
      </c>
      <c r="P334" t="str">
        <f>VLOOKUP(A334, Data_Set_2!$A:$D,4,FALSE)</f>
        <v>Human Resources Assistant IV</v>
      </c>
      <c r="Q334" t="str">
        <f>_xlfn.CONCAT(Table3[[#This Row],[first_name]], " ",Table3[[#This Row],[last_name]])</f>
        <v>Laura Wright</v>
      </c>
    </row>
    <row r="335" spans="1:17" x14ac:dyDescent="0.3">
      <c r="A335">
        <v>265</v>
      </c>
      <c r="B335" t="s">
        <v>210</v>
      </c>
      <c r="C335" t="s">
        <v>211</v>
      </c>
      <c r="D335" t="s">
        <v>212</v>
      </c>
      <c r="E335" t="s">
        <v>32</v>
      </c>
      <c r="F335" t="s">
        <v>33</v>
      </c>
      <c r="G335" s="1">
        <v>383</v>
      </c>
      <c r="H335" t="s">
        <v>95</v>
      </c>
      <c r="I335" s="2">
        <v>43173</v>
      </c>
      <c r="J335" t="s">
        <v>27</v>
      </c>
      <c r="K335" t="s">
        <v>101</v>
      </c>
      <c r="L335">
        <v>80305</v>
      </c>
      <c r="M335" t="s">
        <v>21</v>
      </c>
      <c r="N335" t="str">
        <f>VLOOKUP(A335, Data_Set_2!$A:$D,2,FALSE)</f>
        <v>dreed7c</v>
      </c>
      <c r="O335" t="str">
        <f>VLOOKUP(A335, Data_Set_2!$A:$D,3,FALSE)</f>
        <v>Browsecat</v>
      </c>
      <c r="P335" t="str">
        <f>VLOOKUP(A335, Data_Set_2!$A:$D,4,FALSE)</f>
        <v>Account Executive</v>
      </c>
      <c r="Q335" t="str">
        <f>_xlfn.CONCAT(Table3[[#This Row],[first_name]], " ",Table3[[#This Row],[last_name]])</f>
        <v>Dorothy Reed</v>
      </c>
    </row>
    <row r="336" spans="1:17" x14ac:dyDescent="0.3">
      <c r="A336">
        <v>265</v>
      </c>
      <c r="B336" t="s">
        <v>210</v>
      </c>
      <c r="C336" t="s">
        <v>211</v>
      </c>
      <c r="D336" t="s">
        <v>212</v>
      </c>
      <c r="E336" t="s">
        <v>32</v>
      </c>
      <c r="F336" t="s">
        <v>33</v>
      </c>
      <c r="G336" s="1">
        <v>282</v>
      </c>
      <c r="H336" t="s">
        <v>95</v>
      </c>
      <c r="I336" s="2">
        <v>43327</v>
      </c>
      <c r="J336" t="s">
        <v>27</v>
      </c>
      <c r="K336" t="s">
        <v>101</v>
      </c>
      <c r="L336">
        <v>80305</v>
      </c>
      <c r="M336" t="s">
        <v>21</v>
      </c>
      <c r="N336" t="str">
        <f>VLOOKUP(A336, Data_Set_2!$A:$D,2,FALSE)</f>
        <v>dreed7c</v>
      </c>
      <c r="O336" t="str">
        <f>VLOOKUP(A336, Data_Set_2!$A:$D,3,FALSE)</f>
        <v>Browsecat</v>
      </c>
      <c r="P336" t="str">
        <f>VLOOKUP(A336, Data_Set_2!$A:$D,4,FALSE)</f>
        <v>Account Executive</v>
      </c>
      <c r="Q336" t="str">
        <f>_xlfn.CONCAT(Table3[[#This Row],[first_name]], " ",Table3[[#This Row],[last_name]])</f>
        <v>Dorothy Reed</v>
      </c>
    </row>
    <row r="337" spans="1:17" x14ac:dyDescent="0.3">
      <c r="A337">
        <v>265</v>
      </c>
      <c r="B337" t="s">
        <v>210</v>
      </c>
      <c r="C337" t="s">
        <v>211</v>
      </c>
      <c r="D337" t="s">
        <v>212</v>
      </c>
      <c r="E337" t="s">
        <v>32</v>
      </c>
      <c r="F337" t="s">
        <v>33</v>
      </c>
      <c r="G337" s="1">
        <v>342</v>
      </c>
      <c r="H337" t="s">
        <v>95</v>
      </c>
      <c r="I337" s="2">
        <v>43416</v>
      </c>
      <c r="J337" t="s">
        <v>27</v>
      </c>
      <c r="K337" t="s">
        <v>101</v>
      </c>
      <c r="L337">
        <v>80305</v>
      </c>
      <c r="M337" t="s">
        <v>21</v>
      </c>
      <c r="N337" t="str">
        <f>VLOOKUP(A337, Data_Set_2!$A:$D,2,FALSE)</f>
        <v>dreed7c</v>
      </c>
      <c r="O337" t="str">
        <f>VLOOKUP(A337, Data_Set_2!$A:$D,3,FALSE)</f>
        <v>Browsecat</v>
      </c>
      <c r="P337" t="str">
        <f>VLOOKUP(A337, Data_Set_2!$A:$D,4,FALSE)</f>
        <v>Account Executive</v>
      </c>
      <c r="Q337" t="str">
        <f>_xlfn.CONCAT(Table3[[#This Row],[first_name]], " ",Table3[[#This Row],[last_name]])</f>
        <v>Dorothy Reed</v>
      </c>
    </row>
    <row r="338" spans="1:17" x14ac:dyDescent="0.3">
      <c r="A338">
        <v>265</v>
      </c>
      <c r="B338" t="s">
        <v>210</v>
      </c>
      <c r="C338" t="s">
        <v>211</v>
      </c>
      <c r="D338" t="s">
        <v>212</v>
      </c>
      <c r="E338" t="s">
        <v>32</v>
      </c>
      <c r="F338" t="s">
        <v>33</v>
      </c>
      <c r="G338" s="1">
        <v>231</v>
      </c>
      <c r="H338" t="s">
        <v>95</v>
      </c>
      <c r="I338" s="2">
        <v>43505</v>
      </c>
      <c r="J338" t="s">
        <v>27</v>
      </c>
      <c r="K338" t="s">
        <v>101</v>
      </c>
      <c r="L338">
        <v>80305</v>
      </c>
      <c r="M338" t="s">
        <v>21</v>
      </c>
      <c r="N338" t="str">
        <f>VLOOKUP(A338, Data_Set_2!$A:$D,2,FALSE)</f>
        <v>dreed7c</v>
      </c>
      <c r="O338" t="str">
        <f>VLOOKUP(A338, Data_Set_2!$A:$D,3,FALSE)</f>
        <v>Browsecat</v>
      </c>
      <c r="P338" t="str">
        <f>VLOOKUP(A338, Data_Set_2!$A:$D,4,FALSE)</f>
        <v>Account Executive</v>
      </c>
      <c r="Q338" t="str">
        <f>_xlfn.CONCAT(Table3[[#This Row],[first_name]], " ",Table3[[#This Row],[last_name]])</f>
        <v>Dorothy Reed</v>
      </c>
    </row>
    <row r="339" spans="1:17" x14ac:dyDescent="0.3">
      <c r="A339">
        <v>265</v>
      </c>
      <c r="B339" t="s">
        <v>210</v>
      </c>
      <c r="C339" t="s">
        <v>211</v>
      </c>
      <c r="D339" t="s">
        <v>212</v>
      </c>
      <c r="E339" t="s">
        <v>32</v>
      </c>
      <c r="F339" t="s">
        <v>33</v>
      </c>
      <c r="G339" s="1">
        <v>369</v>
      </c>
      <c r="H339" t="s">
        <v>95</v>
      </c>
      <c r="I339" s="2">
        <v>43550</v>
      </c>
      <c r="J339" t="s">
        <v>27</v>
      </c>
      <c r="K339" t="s">
        <v>101</v>
      </c>
      <c r="L339">
        <v>80305</v>
      </c>
      <c r="M339" t="s">
        <v>21</v>
      </c>
      <c r="N339" t="str">
        <f>VLOOKUP(A339, Data_Set_2!$A:$D,2,FALSE)</f>
        <v>dreed7c</v>
      </c>
      <c r="O339" t="str">
        <f>VLOOKUP(A339, Data_Set_2!$A:$D,3,FALSE)</f>
        <v>Browsecat</v>
      </c>
      <c r="P339" t="str">
        <f>VLOOKUP(A339, Data_Set_2!$A:$D,4,FALSE)</f>
        <v>Account Executive</v>
      </c>
      <c r="Q339" t="str">
        <f>_xlfn.CONCAT(Table3[[#This Row],[first_name]], " ",Table3[[#This Row],[last_name]])</f>
        <v>Dorothy Reed</v>
      </c>
    </row>
    <row r="340" spans="1:17" x14ac:dyDescent="0.3">
      <c r="A340">
        <v>265</v>
      </c>
      <c r="B340" t="s">
        <v>210</v>
      </c>
      <c r="C340" t="s">
        <v>211</v>
      </c>
      <c r="D340" t="s">
        <v>212</v>
      </c>
      <c r="E340" t="s">
        <v>32</v>
      </c>
      <c r="F340" t="s">
        <v>33</v>
      </c>
      <c r="G340" s="1">
        <v>469</v>
      </c>
      <c r="H340" t="s">
        <v>95</v>
      </c>
      <c r="I340" s="2">
        <v>43910</v>
      </c>
      <c r="J340" t="s">
        <v>27</v>
      </c>
      <c r="K340" t="s">
        <v>101</v>
      </c>
      <c r="L340">
        <v>80305</v>
      </c>
      <c r="M340" t="s">
        <v>21</v>
      </c>
      <c r="N340" t="str">
        <f>VLOOKUP(A340, Data_Set_2!$A:$D,2,FALSE)</f>
        <v>dreed7c</v>
      </c>
      <c r="O340" t="str">
        <f>VLOOKUP(A340, Data_Set_2!$A:$D,3,FALSE)</f>
        <v>Browsecat</v>
      </c>
      <c r="P340" t="str">
        <f>VLOOKUP(A340, Data_Set_2!$A:$D,4,FALSE)</f>
        <v>Account Executive</v>
      </c>
      <c r="Q340" t="str">
        <f>_xlfn.CONCAT(Table3[[#This Row],[first_name]], " ",Table3[[#This Row],[last_name]])</f>
        <v>Dorothy Reed</v>
      </c>
    </row>
    <row r="341" spans="1:17" x14ac:dyDescent="0.3">
      <c r="A341">
        <v>265</v>
      </c>
      <c r="B341" t="s">
        <v>210</v>
      </c>
      <c r="C341" t="s">
        <v>211</v>
      </c>
      <c r="D341" t="s">
        <v>212</v>
      </c>
      <c r="E341" t="s">
        <v>32</v>
      </c>
      <c r="F341" t="s">
        <v>33</v>
      </c>
      <c r="G341" s="1">
        <v>995</v>
      </c>
      <c r="H341" t="s">
        <v>95</v>
      </c>
      <c r="I341" s="2">
        <v>43927</v>
      </c>
      <c r="J341" t="s">
        <v>27</v>
      </c>
      <c r="K341" t="s">
        <v>101</v>
      </c>
      <c r="L341">
        <v>80305</v>
      </c>
      <c r="M341" t="s">
        <v>21</v>
      </c>
      <c r="N341" t="str">
        <f>VLOOKUP(A341, Data_Set_2!$A:$D,2,FALSE)</f>
        <v>dreed7c</v>
      </c>
      <c r="O341" t="str">
        <f>VLOOKUP(A341, Data_Set_2!$A:$D,3,FALSE)</f>
        <v>Browsecat</v>
      </c>
      <c r="P341" t="str">
        <f>VLOOKUP(A341, Data_Set_2!$A:$D,4,FALSE)</f>
        <v>Account Executive</v>
      </c>
      <c r="Q341" t="str">
        <f>_xlfn.CONCAT(Table3[[#This Row],[first_name]], " ",Table3[[#This Row],[last_name]])</f>
        <v>Dorothy Reed</v>
      </c>
    </row>
    <row r="342" spans="1:17" x14ac:dyDescent="0.3">
      <c r="A342">
        <v>265</v>
      </c>
      <c r="B342" t="s">
        <v>210</v>
      </c>
      <c r="C342" t="s">
        <v>211</v>
      </c>
      <c r="D342" t="s">
        <v>212</v>
      </c>
      <c r="E342" t="s">
        <v>32</v>
      </c>
      <c r="F342" t="s">
        <v>33</v>
      </c>
      <c r="G342" s="1">
        <v>403</v>
      </c>
      <c r="H342" t="s">
        <v>95</v>
      </c>
      <c r="I342" s="2">
        <v>43948</v>
      </c>
      <c r="J342" t="s">
        <v>27</v>
      </c>
      <c r="K342" t="s">
        <v>101</v>
      </c>
      <c r="L342">
        <v>80305</v>
      </c>
      <c r="M342" t="s">
        <v>21</v>
      </c>
      <c r="N342" t="str">
        <f>VLOOKUP(A342, Data_Set_2!$A:$D,2,FALSE)</f>
        <v>dreed7c</v>
      </c>
      <c r="O342" t="str">
        <f>VLOOKUP(A342, Data_Set_2!$A:$D,3,FALSE)</f>
        <v>Browsecat</v>
      </c>
      <c r="P342" t="str">
        <f>VLOOKUP(A342, Data_Set_2!$A:$D,4,FALSE)</f>
        <v>Account Executive</v>
      </c>
      <c r="Q342" t="str">
        <f>_xlfn.CONCAT(Table3[[#This Row],[first_name]], " ",Table3[[#This Row],[last_name]])</f>
        <v>Dorothy Reed</v>
      </c>
    </row>
    <row r="343" spans="1:17" x14ac:dyDescent="0.3">
      <c r="A343">
        <v>265</v>
      </c>
      <c r="B343" t="s">
        <v>210</v>
      </c>
      <c r="C343" t="s">
        <v>211</v>
      </c>
      <c r="D343" t="s">
        <v>212</v>
      </c>
      <c r="E343" t="s">
        <v>32</v>
      </c>
      <c r="F343" t="s">
        <v>33</v>
      </c>
      <c r="G343" s="1">
        <v>432</v>
      </c>
      <c r="H343" t="s">
        <v>95</v>
      </c>
      <c r="I343" s="2">
        <v>44366</v>
      </c>
      <c r="J343" t="s">
        <v>27</v>
      </c>
      <c r="K343" t="s">
        <v>101</v>
      </c>
      <c r="L343">
        <v>80305</v>
      </c>
      <c r="M343" t="s">
        <v>21</v>
      </c>
      <c r="N343" t="str">
        <f>VLOOKUP(A343, Data_Set_2!$A:$D,2,FALSE)</f>
        <v>dreed7c</v>
      </c>
      <c r="O343" t="str">
        <f>VLOOKUP(A343, Data_Set_2!$A:$D,3,FALSE)</f>
        <v>Browsecat</v>
      </c>
      <c r="P343" t="str">
        <f>VLOOKUP(A343, Data_Set_2!$A:$D,4,FALSE)</f>
        <v>Account Executive</v>
      </c>
      <c r="Q343" t="str">
        <f>_xlfn.CONCAT(Table3[[#This Row],[first_name]], " ",Table3[[#This Row],[last_name]])</f>
        <v>Dorothy Reed</v>
      </c>
    </row>
    <row r="344" spans="1:17" x14ac:dyDescent="0.3">
      <c r="A344">
        <v>265</v>
      </c>
      <c r="B344" t="s">
        <v>210</v>
      </c>
      <c r="C344" t="s">
        <v>211</v>
      </c>
      <c r="D344" t="s">
        <v>212</v>
      </c>
      <c r="E344" t="s">
        <v>32</v>
      </c>
      <c r="F344" t="s">
        <v>33</v>
      </c>
      <c r="G344" s="1">
        <v>128</v>
      </c>
      <c r="H344" t="s">
        <v>95</v>
      </c>
      <c r="I344" s="2">
        <v>44518</v>
      </c>
      <c r="J344" t="s">
        <v>27</v>
      </c>
      <c r="K344" t="s">
        <v>101</v>
      </c>
      <c r="L344">
        <v>80305</v>
      </c>
      <c r="M344" t="s">
        <v>21</v>
      </c>
      <c r="N344" t="str">
        <f>VLOOKUP(A344, Data_Set_2!$A:$D,2,FALSE)</f>
        <v>dreed7c</v>
      </c>
      <c r="O344" t="str">
        <f>VLOOKUP(A344, Data_Set_2!$A:$D,3,FALSE)</f>
        <v>Browsecat</v>
      </c>
      <c r="P344" t="str">
        <f>VLOOKUP(A344, Data_Set_2!$A:$D,4,FALSE)</f>
        <v>Account Executive</v>
      </c>
      <c r="Q344" t="str">
        <f>_xlfn.CONCAT(Table3[[#This Row],[first_name]], " ",Table3[[#This Row],[last_name]])</f>
        <v>Dorothy Reed</v>
      </c>
    </row>
    <row r="345" spans="1:17" x14ac:dyDescent="0.3">
      <c r="A345">
        <v>265</v>
      </c>
      <c r="B345" t="s">
        <v>210</v>
      </c>
      <c r="C345" t="s">
        <v>211</v>
      </c>
      <c r="D345" t="s">
        <v>212</v>
      </c>
      <c r="E345" t="s">
        <v>32</v>
      </c>
      <c r="F345" t="s">
        <v>33</v>
      </c>
      <c r="G345" s="1">
        <v>793</v>
      </c>
      <c r="H345" t="s">
        <v>95</v>
      </c>
      <c r="I345" s="2">
        <v>44581</v>
      </c>
      <c r="J345" t="s">
        <v>27</v>
      </c>
      <c r="K345" t="s">
        <v>101</v>
      </c>
      <c r="L345">
        <v>80305</v>
      </c>
      <c r="M345" t="s">
        <v>21</v>
      </c>
      <c r="N345" t="str">
        <f>VLOOKUP(A345, Data_Set_2!$A:$D,2,FALSE)</f>
        <v>dreed7c</v>
      </c>
      <c r="O345" t="str">
        <f>VLOOKUP(A345, Data_Set_2!$A:$D,3,FALSE)</f>
        <v>Browsecat</v>
      </c>
      <c r="P345" t="str">
        <f>VLOOKUP(A345, Data_Set_2!$A:$D,4,FALSE)</f>
        <v>Account Executive</v>
      </c>
      <c r="Q345" t="str">
        <f>_xlfn.CONCAT(Table3[[#This Row],[first_name]], " ",Table3[[#This Row],[last_name]])</f>
        <v>Dorothy Reed</v>
      </c>
    </row>
    <row r="346" spans="1:17" x14ac:dyDescent="0.3">
      <c r="A346">
        <v>265</v>
      </c>
      <c r="B346" t="s">
        <v>210</v>
      </c>
      <c r="C346" t="s">
        <v>211</v>
      </c>
      <c r="D346" t="s">
        <v>212</v>
      </c>
      <c r="E346" t="s">
        <v>32</v>
      </c>
      <c r="F346" t="s">
        <v>33</v>
      </c>
      <c r="G346" s="1">
        <v>752</v>
      </c>
      <c r="H346" t="s">
        <v>95</v>
      </c>
      <c r="I346" s="2">
        <v>44592</v>
      </c>
      <c r="J346" t="s">
        <v>27</v>
      </c>
      <c r="K346" t="s">
        <v>101</v>
      </c>
      <c r="L346">
        <v>80305</v>
      </c>
      <c r="M346" t="s">
        <v>21</v>
      </c>
      <c r="N346" t="str">
        <f>VLOOKUP(A346, Data_Set_2!$A:$D,2,FALSE)</f>
        <v>dreed7c</v>
      </c>
      <c r="O346" t="str">
        <f>VLOOKUP(A346, Data_Set_2!$A:$D,3,FALSE)</f>
        <v>Browsecat</v>
      </c>
      <c r="P346" t="str">
        <f>VLOOKUP(A346, Data_Set_2!$A:$D,4,FALSE)</f>
        <v>Account Executive</v>
      </c>
      <c r="Q346" t="str">
        <f>_xlfn.CONCAT(Table3[[#This Row],[first_name]], " ",Table3[[#This Row],[last_name]])</f>
        <v>Dorothy Reed</v>
      </c>
    </row>
    <row r="347" spans="1:17" x14ac:dyDescent="0.3">
      <c r="A347">
        <v>265</v>
      </c>
      <c r="B347" t="s">
        <v>210</v>
      </c>
      <c r="C347" t="s">
        <v>211</v>
      </c>
      <c r="D347" t="s">
        <v>212</v>
      </c>
      <c r="E347" t="s">
        <v>32</v>
      </c>
      <c r="F347" t="s">
        <v>33</v>
      </c>
      <c r="G347" s="1">
        <v>598</v>
      </c>
      <c r="H347" t="s">
        <v>95</v>
      </c>
      <c r="I347" s="2">
        <v>44736</v>
      </c>
      <c r="J347" t="s">
        <v>27</v>
      </c>
      <c r="K347" t="s">
        <v>101</v>
      </c>
      <c r="L347">
        <v>80305</v>
      </c>
      <c r="M347" t="s">
        <v>21</v>
      </c>
      <c r="N347" t="str">
        <f>VLOOKUP(A347, Data_Set_2!$A:$D,2,FALSE)</f>
        <v>dreed7c</v>
      </c>
      <c r="O347" t="str">
        <f>VLOOKUP(A347, Data_Set_2!$A:$D,3,FALSE)</f>
        <v>Browsecat</v>
      </c>
      <c r="P347" t="str">
        <f>VLOOKUP(A347, Data_Set_2!$A:$D,4,FALSE)</f>
        <v>Account Executive</v>
      </c>
      <c r="Q347" t="str">
        <f>_xlfn.CONCAT(Table3[[#This Row],[first_name]], " ",Table3[[#This Row],[last_name]])</f>
        <v>Dorothy Reed</v>
      </c>
    </row>
    <row r="348" spans="1:17" x14ac:dyDescent="0.3">
      <c r="A348">
        <v>265</v>
      </c>
      <c r="B348" t="s">
        <v>210</v>
      </c>
      <c r="C348" t="s">
        <v>211</v>
      </c>
      <c r="D348" t="s">
        <v>212</v>
      </c>
      <c r="E348" t="s">
        <v>32</v>
      </c>
      <c r="F348" t="s">
        <v>33</v>
      </c>
      <c r="G348" s="1">
        <v>174</v>
      </c>
      <c r="H348" t="s">
        <v>95</v>
      </c>
      <c r="I348" s="2">
        <v>44852</v>
      </c>
      <c r="J348" t="s">
        <v>27</v>
      </c>
      <c r="K348" t="s">
        <v>101</v>
      </c>
      <c r="L348">
        <v>80305</v>
      </c>
      <c r="M348" t="s">
        <v>21</v>
      </c>
      <c r="N348" t="str">
        <f>VLOOKUP(A348, Data_Set_2!$A:$D,2,FALSE)</f>
        <v>dreed7c</v>
      </c>
      <c r="O348" t="str">
        <f>VLOOKUP(A348, Data_Set_2!$A:$D,3,FALSE)</f>
        <v>Browsecat</v>
      </c>
      <c r="P348" t="str">
        <f>VLOOKUP(A348, Data_Set_2!$A:$D,4,FALSE)</f>
        <v>Account Executive</v>
      </c>
      <c r="Q348" t="str">
        <f>_xlfn.CONCAT(Table3[[#This Row],[first_name]], " ",Table3[[#This Row],[last_name]])</f>
        <v>Dorothy Reed</v>
      </c>
    </row>
    <row r="349" spans="1:17" x14ac:dyDescent="0.3">
      <c r="A349">
        <v>266</v>
      </c>
      <c r="B349" t="s">
        <v>541</v>
      </c>
      <c r="C349" t="s">
        <v>55</v>
      </c>
      <c r="D349" t="s">
        <v>542</v>
      </c>
      <c r="E349" t="s">
        <v>32</v>
      </c>
      <c r="F349" t="s">
        <v>543</v>
      </c>
      <c r="G349" s="1">
        <v>97</v>
      </c>
      <c r="H349" t="s">
        <v>95</v>
      </c>
      <c r="I349" s="2">
        <v>43444</v>
      </c>
      <c r="J349" t="s">
        <v>110</v>
      </c>
      <c r="K349" t="s">
        <v>111</v>
      </c>
      <c r="L349">
        <v>15240</v>
      </c>
      <c r="M349" t="s">
        <v>21</v>
      </c>
      <c r="N349" t="str">
        <f>VLOOKUP(A349, Data_Set_2!$A:$D,2,FALSE)</f>
        <v>rhicks7d</v>
      </c>
      <c r="O349" t="str">
        <f>VLOOKUP(A349, Data_Set_2!$A:$D,3,FALSE)</f>
        <v>Kimia</v>
      </c>
      <c r="P349" t="str">
        <f>VLOOKUP(A349, Data_Set_2!$A:$D,4,FALSE)</f>
        <v>Product Engineer</v>
      </c>
      <c r="Q349" t="str">
        <f>_xlfn.CONCAT(Table3[[#This Row],[first_name]], " ",Table3[[#This Row],[last_name]])</f>
        <v>Ruby Hicks</v>
      </c>
    </row>
    <row r="350" spans="1:17" x14ac:dyDescent="0.3">
      <c r="A350">
        <v>266</v>
      </c>
      <c r="B350" t="s">
        <v>541</v>
      </c>
      <c r="C350" t="s">
        <v>55</v>
      </c>
      <c r="D350" t="s">
        <v>542</v>
      </c>
      <c r="E350" t="s">
        <v>32</v>
      </c>
      <c r="F350" t="s">
        <v>543</v>
      </c>
      <c r="G350" s="1">
        <v>70</v>
      </c>
      <c r="H350" t="s">
        <v>95</v>
      </c>
      <c r="I350" s="2">
        <v>43658</v>
      </c>
      <c r="J350" t="s">
        <v>110</v>
      </c>
      <c r="K350" t="s">
        <v>111</v>
      </c>
      <c r="L350">
        <v>15240</v>
      </c>
      <c r="M350" t="s">
        <v>21</v>
      </c>
      <c r="N350" t="str">
        <f>VLOOKUP(A350, Data_Set_2!$A:$D,2,FALSE)</f>
        <v>rhicks7d</v>
      </c>
      <c r="O350" t="str">
        <f>VLOOKUP(A350, Data_Set_2!$A:$D,3,FALSE)</f>
        <v>Kimia</v>
      </c>
      <c r="P350" t="str">
        <f>VLOOKUP(A350, Data_Set_2!$A:$D,4,FALSE)</f>
        <v>Product Engineer</v>
      </c>
      <c r="Q350" t="str">
        <f>_xlfn.CONCAT(Table3[[#This Row],[first_name]], " ",Table3[[#This Row],[last_name]])</f>
        <v>Ruby Hicks</v>
      </c>
    </row>
    <row r="351" spans="1:17" x14ac:dyDescent="0.3">
      <c r="A351">
        <v>266</v>
      </c>
      <c r="B351" t="s">
        <v>541</v>
      </c>
      <c r="C351" t="s">
        <v>55</v>
      </c>
      <c r="D351" t="s">
        <v>542</v>
      </c>
      <c r="E351" t="s">
        <v>32</v>
      </c>
      <c r="F351" t="s">
        <v>543</v>
      </c>
      <c r="G351" s="1">
        <v>687</v>
      </c>
      <c r="H351" t="s">
        <v>95</v>
      </c>
      <c r="I351" s="2">
        <v>43899</v>
      </c>
      <c r="J351" t="s">
        <v>110</v>
      </c>
      <c r="K351" t="s">
        <v>111</v>
      </c>
      <c r="L351">
        <v>15240</v>
      </c>
      <c r="M351" t="s">
        <v>21</v>
      </c>
      <c r="N351" t="str">
        <f>VLOOKUP(A351, Data_Set_2!$A:$D,2,FALSE)</f>
        <v>rhicks7d</v>
      </c>
      <c r="O351" t="str">
        <f>VLOOKUP(A351, Data_Set_2!$A:$D,3,FALSE)</f>
        <v>Kimia</v>
      </c>
      <c r="P351" t="str">
        <f>VLOOKUP(A351, Data_Set_2!$A:$D,4,FALSE)</f>
        <v>Product Engineer</v>
      </c>
      <c r="Q351" t="str">
        <f>_xlfn.CONCAT(Table3[[#This Row],[first_name]], " ",Table3[[#This Row],[last_name]])</f>
        <v>Ruby Hicks</v>
      </c>
    </row>
    <row r="352" spans="1:17" x14ac:dyDescent="0.3">
      <c r="A352">
        <v>266</v>
      </c>
      <c r="B352" t="s">
        <v>541</v>
      </c>
      <c r="C352" t="s">
        <v>55</v>
      </c>
      <c r="D352" t="s">
        <v>542</v>
      </c>
      <c r="E352" t="s">
        <v>32</v>
      </c>
      <c r="F352" t="s">
        <v>543</v>
      </c>
      <c r="G352" s="1">
        <v>799</v>
      </c>
      <c r="H352" t="s">
        <v>95</v>
      </c>
      <c r="I352" s="2">
        <v>44074</v>
      </c>
      <c r="J352" t="s">
        <v>110</v>
      </c>
      <c r="K352" t="s">
        <v>111</v>
      </c>
      <c r="L352">
        <v>15240</v>
      </c>
      <c r="M352" t="s">
        <v>21</v>
      </c>
      <c r="N352" t="str">
        <f>VLOOKUP(A352, Data_Set_2!$A:$D,2,FALSE)</f>
        <v>rhicks7d</v>
      </c>
      <c r="O352" t="str">
        <f>VLOOKUP(A352, Data_Set_2!$A:$D,3,FALSE)</f>
        <v>Kimia</v>
      </c>
      <c r="P352" t="str">
        <f>VLOOKUP(A352, Data_Set_2!$A:$D,4,FALSE)</f>
        <v>Product Engineer</v>
      </c>
      <c r="Q352" t="str">
        <f>_xlfn.CONCAT(Table3[[#This Row],[first_name]], " ",Table3[[#This Row],[last_name]])</f>
        <v>Ruby Hicks</v>
      </c>
    </row>
    <row r="353" spans="1:17" x14ac:dyDescent="0.3">
      <c r="A353">
        <v>266</v>
      </c>
      <c r="B353" t="s">
        <v>541</v>
      </c>
      <c r="C353" t="s">
        <v>55</v>
      </c>
      <c r="D353" t="s">
        <v>542</v>
      </c>
      <c r="E353" t="s">
        <v>32</v>
      </c>
      <c r="F353" t="s">
        <v>543</v>
      </c>
      <c r="G353" s="1">
        <v>285</v>
      </c>
      <c r="H353" t="s">
        <v>95</v>
      </c>
      <c r="I353" s="2">
        <v>44696</v>
      </c>
      <c r="J353" t="s">
        <v>110</v>
      </c>
      <c r="K353" t="s">
        <v>111</v>
      </c>
      <c r="L353">
        <v>15240</v>
      </c>
      <c r="M353" t="s">
        <v>21</v>
      </c>
      <c r="N353" t="str">
        <f>VLOOKUP(A353, Data_Set_2!$A:$D,2,FALSE)</f>
        <v>rhicks7d</v>
      </c>
      <c r="O353" t="str">
        <f>VLOOKUP(A353, Data_Set_2!$A:$D,3,FALSE)</f>
        <v>Kimia</v>
      </c>
      <c r="P353" t="str">
        <f>VLOOKUP(A353, Data_Set_2!$A:$D,4,FALSE)</f>
        <v>Product Engineer</v>
      </c>
      <c r="Q353" t="str">
        <f>_xlfn.CONCAT(Table3[[#This Row],[first_name]], " ",Table3[[#This Row],[last_name]])</f>
        <v>Ruby Hicks</v>
      </c>
    </row>
    <row r="354" spans="1:17" x14ac:dyDescent="0.3">
      <c r="A354">
        <v>266</v>
      </c>
      <c r="B354" t="s">
        <v>541</v>
      </c>
      <c r="C354" t="s">
        <v>55</v>
      </c>
      <c r="D354" t="s">
        <v>542</v>
      </c>
      <c r="E354" t="s">
        <v>32</v>
      </c>
      <c r="F354" t="s">
        <v>543</v>
      </c>
      <c r="G354" s="1">
        <v>738</v>
      </c>
      <c r="H354" t="s">
        <v>95</v>
      </c>
      <c r="I354" s="2">
        <v>44731</v>
      </c>
      <c r="J354" t="s">
        <v>110</v>
      </c>
      <c r="K354" t="s">
        <v>111</v>
      </c>
      <c r="L354">
        <v>15240</v>
      </c>
      <c r="M354" t="s">
        <v>21</v>
      </c>
      <c r="N354" t="str">
        <f>VLOOKUP(A354, Data_Set_2!$A:$D,2,FALSE)</f>
        <v>rhicks7d</v>
      </c>
      <c r="O354" t="str">
        <f>VLOOKUP(A354, Data_Set_2!$A:$D,3,FALSE)</f>
        <v>Kimia</v>
      </c>
      <c r="P354" t="str">
        <f>VLOOKUP(A354, Data_Set_2!$A:$D,4,FALSE)</f>
        <v>Product Engineer</v>
      </c>
      <c r="Q354" t="str">
        <f>_xlfn.CONCAT(Table3[[#This Row],[first_name]], " ",Table3[[#This Row],[last_name]])</f>
        <v>Ruby Hicks</v>
      </c>
    </row>
    <row r="355" spans="1:17" x14ac:dyDescent="0.3">
      <c r="A355">
        <v>266</v>
      </c>
      <c r="B355" t="s">
        <v>541</v>
      </c>
      <c r="C355" t="s">
        <v>55</v>
      </c>
      <c r="D355" t="s">
        <v>542</v>
      </c>
      <c r="E355" t="s">
        <v>32</v>
      </c>
      <c r="F355" t="s">
        <v>543</v>
      </c>
      <c r="G355" s="1">
        <v>587</v>
      </c>
      <c r="H355" t="s">
        <v>95</v>
      </c>
      <c r="I355" s="2">
        <v>44756</v>
      </c>
      <c r="J355" t="s">
        <v>110</v>
      </c>
      <c r="K355" t="s">
        <v>111</v>
      </c>
      <c r="L355">
        <v>15240</v>
      </c>
      <c r="M355" t="s">
        <v>21</v>
      </c>
      <c r="N355" t="str">
        <f>VLOOKUP(A355, Data_Set_2!$A:$D,2,FALSE)</f>
        <v>rhicks7d</v>
      </c>
      <c r="O355" t="str">
        <f>VLOOKUP(A355, Data_Set_2!$A:$D,3,FALSE)</f>
        <v>Kimia</v>
      </c>
      <c r="P355" t="str">
        <f>VLOOKUP(A355, Data_Set_2!$A:$D,4,FALSE)</f>
        <v>Product Engineer</v>
      </c>
      <c r="Q355" t="str">
        <f>_xlfn.CONCAT(Table3[[#This Row],[first_name]], " ",Table3[[#This Row],[last_name]])</f>
        <v>Ruby Hicks</v>
      </c>
    </row>
    <row r="356" spans="1:17" hidden="1" x14ac:dyDescent="0.3">
      <c r="A356">
        <v>267</v>
      </c>
      <c r="B356" t="s">
        <v>299</v>
      </c>
      <c r="C356" t="s">
        <v>528</v>
      </c>
      <c r="D356" t="s">
        <v>779</v>
      </c>
      <c r="E356" t="s">
        <v>32</v>
      </c>
      <c r="F356" t="s">
        <v>17</v>
      </c>
      <c r="G356" s="1">
        <v>495</v>
      </c>
      <c r="H356" t="s">
        <v>26</v>
      </c>
      <c r="I356" s="2">
        <v>43747</v>
      </c>
      <c r="J356" t="s">
        <v>780</v>
      </c>
      <c r="K356" t="s">
        <v>781</v>
      </c>
      <c r="L356">
        <v>19897</v>
      </c>
      <c r="M356" t="s">
        <v>21</v>
      </c>
      <c r="N356" t="str">
        <f>VLOOKUP(A356, Data_Set_2!$A:$D,2,FALSE)</f>
        <v>jpowell7e</v>
      </c>
      <c r="O356" t="str">
        <f>VLOOKUP(A356, Data_Set_2!$A:$D,3,FALSE)</f>
        <v>Dablist</v>
      </c>
      <c r="P356" t="str">
        <f>VLOOKUP(A356, Data_Set_2!$A:$D,4,FALSE)</f>
        <v>Web Developer I</v>
      </c>
      <c r="Q356" t="str">
        <f>_xlfn.CONCAT(Table3[[#This Row],[first_name]], " ",Table3[[#This Row],[last_name]])</f>
        <v>Judith Powell</v>
      </c>
    </row>
    <row r="357" spans="1:17" hidden="1" x14ac:dyDescent="0.3">
      <c r="A357">
        <v>267</v>
      </c>
      <c r="B357" t="s">
        <v>299</v>
      </c>
      <c r="C357" t="s">
        <v>528</v>
      </c>
      <c r="D357" t="s">
        <v>779</v>
      </c>
      <c r="E357" t="s">
        <v>32</v>
      </c>
      <c r="F357" t="s">
        <v>17</v>
      </c>
      <c r="G357" s="1">
        <v>463</v>
      </c>
      <c r="H357" t="s">
        <v>26</v>
      </c>
      <c r="I357" s="2">
        <v>43940</v>
      </c>
      <c r="J357" t="s">
        <v>780</v>
      </c>
      <c r="K357" t="s">
        <v>781</v>
      </c>
      <c r="L357">
        <v>19897</v>
      </c>
      <c r="M357" t="s">
        <v>21</v>
      </c>
      <c r="N357" t="str">
        <f>VLOOKUP(A357, Data_Set_2!$A:$D,2,FALSE)</f>
        <v>jpowell7e</v>
      </c>
      <c r="O357" t="str">
        <f>VLOOKUP(A357, Data_Set_2!$A:$D,3,FALSE)</f>
        <v>Dablist</v>
      </c>
      <c r="P357" t="str">
        <f>VLOOKUP(A357, Data_Set_2!$A:$D,4,FALSE)</f>
        <v>Web Developer I</v>
      </c>
      <c r="Q357" t="str">
        <f>_xlfn.CONCAT(Table3[[#This Row],[first_name]], " ",Table3[[#This Row],[last_name]])</f>
        <v>Judith Powell</v>
      </c>
    </row>
    <row r="358" spans="1:17" hidden="1" x14ac:dyDescent="0.3">
      <c r="A358">
        <v>267</v>
      </c>
      <c r="B358" t="s">
        <v>299</v>
      </c>
      <c r="C358" t="s">
        <v>528</v>
      </c>
      <c r="D358" t="s">
        <v>779</v>
      </c>
      <c r="E358" t="s">
        <v>32</v>
      </c>
      <c r="F358" t="s">
        <v>17</v>
      </c>
      <c r="G358" s="1">
        <v>625</v>
      </c>
      <c r="H358" t="s">
        <v>26</v>
      </c>
      <c r="I358" s="2">
        <v>44838</v>
      </c>
      <c r="J358" t="s">
        <v>780</v>
      </c>
      <c r="K358" t="s">
        <v>781</v>
      </c>
      <c r="L358">
        <v>19897</v>
      </c>
      <c r="M358" t="s">
        <v>21</v>
      </c>
      <c r="N358" t="str">
        <f>VLOOKUP(A358, Data_Set_2!$A:$D,2,FALSE)</f>
        <v>jpowell7e</v>
      </c>
      <c r="O358" t="str">
        <f>VLOOKUP(A358, Data_Set_2!$A:$D,3,FALSE)</f>
        <v>Dablist</v>
      </c>
      <c r="P358" t="str">
        <f>VLOOKUP(A358, Data_Set_2!$A:$D,4,FALSE)</f>
        <v>Web Developer I</v>
      </c>
      <c r="Q358" t="str">
        <f>_xlfn.CONCAT(Table3[[#This Row],[first_name]], " ",Table3[[#This Row],[last_name]])</f>
        <v>Judith Powell</v>
      </c>
    </row>
    <row r="359" spans="1:17" hidden="1" x14ac:dyDescent="0.3">
      <c r="A359">
        <v>267</v>
      </c>
      <c r="B359" t="s">
        <v>299</v>
      </c>
      <c r="C359" t="s">
        <v>528</v>
      </c>
      <c r="D359" t="s">
        <v>779</v>
      </c>
      <c r="E359" t="s">
        <v>32</v>
      </c>
      <c r="F359" t="s">
        <v>17</v>
      </c>
      <c r="G359" s="1">
        <v>398</v>
      </c>
      <c r="H359" t="s">
        <v>26</v>
      </c>
      <c r="I359" s="2">
        <v>44884</v>
      </c>
      <c r="J359" t="s">
        <v>780</v>
      </c>
      <c r="K359" t="s">
        <v>781</v>
      </c>
      <c r="L359">
        <v>19897</v>
      </c>
      <c r="M359" t="s">
        <v>21</v>
      </c>
      <c r="N359" t="str">
        <f>VLOOKUP(A359, Data_Set_2!$A:$D,2,FALSE)</f>
        <v>jpowell7e</v>
      </c>
      <c r="O359" t="str">
        <f>VLOOKUP(A359, Data_Set_2!$A:$D,3,FALSE)</f>
        <v>Dablist</v>
      </c>
      <c r="P359" t="str">
        <f>VLOOKUP(A359, Data_Set_2!$A:$D,4,FALSE)</f>
        <v>Web Developer I</v>
      </c>
      <c r="Q359" t="str">
        <f>_xlfn.CONCAT(Table3[[#This Row],[first_name]], " ",Table3[[#This Row],[last_name]])</f>
        <v>Judith Powell</v>
      </c>
    </row>
    <row r="360" spans="1:17" hidden="1" x14ac:dyDescent="0.3">
      <c r="A360">
        <v>268</v>
      </c>
      <c r="B360" t="s">
        <v>420</v>
      </c>
      <c r="C360" t="s">
        <v>507</v>
      </c>
      <c r="D360" t="s">
        <v>508</v>
      </c>
      <c r="E360" t="s">
        <v>16</v>
      </c>
      <c r="F360" t="s">
        <v>33</v>
      </c>
      <c r="G360" s="1">
        <v>779</v>
      </c>
      <c r="H360" t="s">
        <v>4034</v>
      </c>
      <c r="I360" s="2">
        <v>43395</v>
      </c>
      <c r="J360" t="s">
        <v>68</v>
      </c>
      <c r="K360" t="s">
        <v>509</v>
      </c>
      <c r="L360">
        <v>75074</v>
      </c>
      <c r="M360" t="s">
        <v>21</v>
      </c>
      <c r="N360" t="str">
        <f>VLOOKUP(A360, Data_Set_2!$A:$D,2,FALSE)</f>
        <v>acastillo7f</v>
      </c>
      <c r="O360" t="str">
        <f>VLOOKUP(A360, Data_Set_2!$A:$D,3,FALSE)</f>
        <v>Gabcube</v>
      </c>
      <c r="P360" t="str">
        <f>VLOOKUP(A360, Data_Set_2!$A:$D,4,FALSE)</f>
        <v>Media Manager I</v>
      </c>
      <c r="Q360" t="str">
        <f>_xlfn.CONCAT(Table3[[#This Row],[first_name]], " ",Table3[[#This Row],[last_name]])</f>
        <v>Antonio Castillo</v>
      </c>
    </row>
    <row r="361" spans="1:17" hidden="1" x14ac:dyDescent="0.3">
      <c r="A361">
        <v>268</v>
      </c>
      <c r="B361" t="s">
        <v>420</v>
      </c>
      <c r="C361" t="s">
        <v>507</v>
      </c>
      <c r="D361" t="s">
        <v>508</v>
      </c>
      <c r="E361" t="s">
        <v>16</v>
      </c>
      <c r="F361" t="s">
        <v>33</v>
      </c>
      <c r="G361" s="1">
        <v>413</v>
      </c>
      <c r="H361" t="s">
        <v>4034</v>
      </c>
      <c r="I361" s="2">
        <v>44327</v>
      </c>
      <c r="J361" t="s">
        <v>68</v>
      </c>
      <c r="K361" t="s">
        <v>509</v>
      </c>
      <c r="L361">
        <v>75074</v>
      </c>
      <c r="M361" t="s">
        <v>21</v>
      </c>
      <c r="N361" t="str">
        <f>VLOOKUP(A361, Data_Set_2!$A:$D,2,FALSE)</f>
        <v>acastillo7f</v>
      </c>
      <c r="O361" t="str">
        <f>VLOOKUP(A361, Data_Set_2!$A:$D,3,FALSE)</f>
        <v>Gabcube</v>
      </c>
      <c r="P361" t="str">
        <f>VLOOKUP(A361, Data_Set_2!$A:$D,4,FALSE)</f>
        <v>Media Manager I</v>
      </c>
      <c r="Q361" t="str">
        <f>_xlfn.CONCAT(Table3[[#This Row],[first_name]], " ",Table3[[#This Row],[last_name]])</f>
        <v>Antonio Castillo</v>
      </c>
    </row>
    <row r="362" spans="1:17" hidden="1" x14ac:dyDescent="0.3">
      <c r="A362">
        <v>268</v>
      </c>
      <c r="B362" t="s">
        <v>420</v>
      </c>
      <c r="C362" t="s">
        <v>507</v>
      </c>
      <c r="D362" t="s">
        <v>508</v>
      </c>
      <c r="E362" t="s">
        <v>16</v>
      </c>
      <c r="F362" t="s">
        <v>33</v>
      </c>
      <c r="G362" s="1">
        <v>454</v>
      </c>
      <c r="H362" t="s">
        <v>4034</v>
      </c>
      <c r="I362" s="2">
        <v>44571</v>
      </c>
      <c r="J362" t="s">
        <v>68</v>
      </c>
      <c r="K362" t="s">
        <v>509</v>
      </c>
      <c r="L362">
        <v>75074</v>
      </c>
      <c r="M362" t="s">
        <v>21</v>
      </c>
      <c r="N362" t="str">
        <f>VLOOKUP(A362, Data_Set_2!$A:$D,2,FALSE)</f>
        <v>acastillo7f</v>
      </c>
      <c r="O362" t="str">
        <f>VLOOKUP(A362, Data_Set_2!$A:$D,3,FALSE)</f>
        <v>Gabcube</v>
      </c>
      <c r="P362" t="str">
        <f>VLOOKUP(A362, Data_Set_2!$A:$D,4,FALSE)</f>
        <v>Media Manager I</v>
      </c>
      <c r="Q362" t="str">
        <f>_xlfn.CONCAT(Table3[[#This Row],[first_name]], " ",Table3[[#This Row],[last_name]])</f>
        <v>Antonio Castillo</v>
      </c>
    </row>
    <row r="363" spans="1:17" hidden="1" x14ac:dyDescent="0.3">
      <c r="A363">
        <v>269</v>
      </c>
      <c r="B363" t="s">
        <v>239</v>
      </c>
      <c r="C363" t="s">
        <v>240</v>
      </c>
      <c r="D363" t="s">
        <v>241</v>
      </c>
      <c r="E363" t="s">
        <v>32</v>
      </c>
      <c r="F363" t="s">
        <v>17</v>
      </c>
      <c r="G363" s="1">
        <v>30</v>
      </c>
      <c r="H363" t="s">
        <v>34</v>
      </c>
      <c r="I363" s="2">
        <v>43191</v>
      </c>
      <c r="J363" t="s">
        <v>204</v>
      </c>
      <c r="K363" t="s">
        <v>242</v>
      </c>
      <c r="L363">
        <v>23203</v>
      </c>
      <c r="M363" t="s">
        <v>21</v>
      </c>
      <c r="N363" t="str">
        <f>VLOOKUP(A363, Data_Set_2!$A:$D,2,FALSE)</f>
        <v>jwagner7g</v>
      </c>
      <c r="O363" t="str">
        <f>VLOOKUP(A363, Data_Set_2!$A:$D,3,FALSE)</f>
        <v>Jabbercube</v>
      </c>
      <c r="P363" t="str">
        <f>VLOOKUP(A363, Data_Set_2!$A:$D,4,FALSE)</f>
        <v>Payment Adjustment Coordinator</v>
      </c>
      <c r="Q363" t="str">
        <f>_xlfn.CONCAT(Table3[[#This Row],[first_name]], " ",Table3[[#This Row],[last_name]])</f>
        <v>Janet Wagner</v>
      </c>
    </row>
    <row r="364" spans="1:17" hidden="1" x14ac:dyDescent="0.3">
      <c r="A364">
        <v>269</v>
      </c>
      <c r="B364" t="s">
        <v>239</v>
      </c>
      <c r="C364" t="s">
        <v>240</v>
      </c>
      <c r="D364" t="s">
        <v>241</v>
      </c>
      <c r="E364" t="s">
        <v>32</v>
      </c>
      <c r="F364" t="s">
        <v>17</v>
      </c>
      <c r="G364" s="1">
        <v>379</v>
      </c>
      <c r="H364" t="s">
        <v>34</v>
      </c>
      <c r="I364" s="2">
        <v>43196</v>
      </c>
      <c r="J364" t="s">
        <v>204</v>
      </c>
      <c r="K364" t="s">
        <v>242</v>
      </c>
      <c r="L364">
        <v>23203</v>
      </c>
      <c r="M364" t="s">
        <v>21</v>
      </c>
      <c r="N364" t="str">
        <f>VLOOKUP(A364, Data_Set_2!$A:$D,2,FALSE)</f>
        <v>jwagner7g</v>
      </c>
      <c r="O364" t="str">
        <f>VLOOKUP(A364, Data_Set_2!$A:$D,3,FALSE)</f>
        <v>Jabbercube</v>
      </c>
      <c r="P364" t="str">
        <f>VLOOKUP(A364, Data_Set_2!$A:$D,4,FALSE)</f>
        <v>Payment Adjustment Coordinator</v>
      </c>
      <c r="Q364" t="str">
        <f>_xlfn.CONCAT(Table3[[#This Row],[first_name]], " ",Table3[[#This Row],[last_name]])</f>
        <v>Janet Wagner</v>
      </c>
    </row>
    <row r="365" spans="1:17" hidden="1" x14ac:dyDescent="0.3">
      <c r="A365">
        <v>269</v>
      </c>
      <c r="B365" t="s">
        <v>239</v>
      </c>
      <c r="C365" t="s">
        <v>240</v>
      </c>
      <c r="D365" t="s">
        <v>241</v>
      </c>
      <c r="E365" t="s">
        <v>32</v>
      </c>
      <c r="F365" t="s">
        <v>17</v>
      </c>
      <c r="G365" s="1">
        <v>507</v>
      </c>
      <c r="H365" t="s">
        <v>34</v>
      </c>
      <c r="I365" s="2">
        <v>43218</v>
      </c>
      <c r="J365" t="s">
        <v>204</v>
      </c>
      <c r="K365" t="s">
        <v>242</v>
      </c>
      <c r="L365">
        <v>23203</v>
      </c>
      <c r="M365" t="s">
        <v>21</v>
      </c>
      <c r="N365" t="str">
        <f>VLOOKUP(A365, Data_Set_2!$A:$D,2,FALSE)</f>
        <v>jwagner7g</v>
      </c>
      <c r="O365" t="str">
        <f>VLOOKUP(A365, Data_Set_2!$A:$D,3,FALSE)</f>
        <v>Jabbercube</v>
      </c>
      <c r="P365" t="str">
        <f>VLOOKUP(A365, Data_Set_2!$A:$D,4,FALSE)</f>
        <v>Payment Adjustment Coordinator</v>
      </c>
      <c r="Q365" t="str">
        <f>_xlfn.CONCAT(Table3[[#This Row],[first_name]], " ",Table3[[#This Row],[last_name]])</f>
        <v>Janet Wagner</v>
      </c>
    </row>
    <row r="366" spans="1:17" hidden="1" x14ac:dyDescent="0.3">
      <c r="A366">
        <v>269</v>
      </c>
      <c r="B366" t="s">
        <v>239</v>
      </c>
      <c r="C366" t="s">
        <v>240</v>
      </c>
      <c r="D366" t="s">
        <v>241</v>
      </c>
      <c r="E366" t="s">
        <v>32</v>
      </c>
      <c r="F366" t="s">
        <v>17</v>
      </c>
      <c r="G366" s="1">
        <v>118</v>
      </c>
      <c r="H366" t="s">
        <v>34</v>
      </c>
      <c r="I366" s="2">
        <v>43240</v>
      </c>
      <c r="J366" t="s">
        <v>204</v>
      </c>
      <c r="K366" t="s">
        <v>242</v>
      </c>
      <c r="L366">
        <v>23203</v>
      </c>
      <c r="M366" t="s">
        <v>21</v>
      </c>
      <c r="N366" t="str">
        <f>VLOOKUP(A366, Data_Set_2!$A:$D,2,FALSE)</f>
        <v>jwagner7g</v>
      </c>
      <c r="O366" t="str">
        <f>VLOOKUP(A366, Data_Set_2!$A:$D,3,FALSE)</f>
        <v>Jabbercube</v>
      </c>
      <c r="P366" t="str">
        <f>VLOOKUP(A366, Data_Set_2!$A:$D,4,FALSE)</f>
        <v>Payment Adjustment Coordinator</v>
      </c>
      <c r="Q366" t="str">
        <f>_xlfn.CONCAT(Table3[[#This Row],[first_name]], " ",Table3[[#This Row],[last_name]])</f>
        <v>Janet Wagner</v>
      </c>
    </row>
    <row r="367" spans="1:17" hidden="1" x14ac:dyDescent="0.3">
      <c r="A367">
        <v>269</v>
      </c>
      <c r="B367" t="s">
        <v>239</v>
      </c>
      <c r="C367" t="s">
        <v>240</v>
      </c>
      <c r="D367" t="s">
        <v>241</v>
      </c>
      <c r="E367" t="s">
        <v>32</v>
      </c>
      <c r="F367" t="s">
        <v>17</v>
      </c>
      <c r="G367" s="1">
        <v>381</v>
      </c>
      <c r="H367" t="s">
        <v>34</v>
      </c>
      <c r="I367" s="2">
        <v>43241</v>
      </c>
      <c r="J367" t="s">
        <v>204</v>
      </c>
      <c r="K367" t="s">
        <v>242</v>
      </c>
      <c r="L367">
        <v>23203</v>
      </c>
      <c r="M367" t="s">
        <v>21</v>
      </c>
      <c r="N367" t="str">
        <f>VLOOKUP(A367, Data_Set_2!$A:$D,2,FALSE)</f>
        <v>jwagner7g</v>
      </c>
      <c r="O367" t="str">
        <f>VLOOKUP(A367, Data_Set_2!$A:$D,3,FALSE)</f>
        <v>Jabbercube</v>
      </c>
      <c r="P367" t="str">
        <f>VLOOKUP(A367, Data_Set_2!$A:$D,4,FALSE)</f>
        <v>Payment Adjustment Coordinator</v>
      </c>
      <c r="Q367" t="str">
        <f>_xlfn.CONCAT(Table3[[#This Row],[first_name]], " ",Table3[[#This Row],[last_name]])</f>
        <v>Janet Wagner</v>
      </c>
    </row>
    <row r="368" spans="1:17" hidden="1" x14ac:dyDescent="0.3">
      <c r="A368">
        <v>269</v>
      </c>
      <c r="B368" t="s">
        <v>239</v>
      </c>
      <c r="C368" t="s">
        <v>240</v>
      </c>
      <c r="D368" t="s">
        <v>241</v>
      </c>
      <c r="E368" t="s">
        <v>32</v>
      </c>
      <c r="F368" t="s">
        <v>17</v>
      </c>
      <c r="G368" s="1">
        <v>962</v>
      </c>
      <c r="H368" t="s">
        <v>34</v>
      </c>
      <c r="I368" s="2">
        <v>43372</v>
      </c>
      <c r="J368" t="s">
        <v>204</v>
      </c>
      <c r="K368" t="s">
        <v>242</v>
      </c>
      <c r="L368">
        <v>23203</v>
      </c>
      <c r="M368" t="s">
        <v>21</v>
      </c>
      <c r="N368" t="str">
        <f>VLOOKUP(A368, Data_Set_2!$A:$D,2,FALSE)</f>
        <v>jwagner7g</v>
      </c>
      <c r="O368" t="str">
        <f>VLOOKUP(A368, Data_Set_2!$A:$D,3,FALSE)</f>
        <v>Jabbercube</v>
      </c>
      <c r="P368" t="str">
        <f>VLOOKUP(A368, Data_Set_2!$A:$D,4,FALSE)</f>
        <v>Payment Adjustment Coordinator</v>
      </c>
      <c r="Q368" t="str">
        <f>_xlfn.CONCAT(Table3[[#This Row],[first_name]], " ",Table3[[#This Row],[last_name]])</f>
        <v>Janet Wagner</v>
      </c>
    </row>
    <row r="369" spans="1:17" hidden="1" x14ac:dyDescent="0.3">
      <c r="A369">
        <v>269</v>
      </c>
      <c r="B369" t="s">
        <v>239</v>
      </c>
      <c r="C369" t="s">
        <v>240</v>
      </c>
      <c r="D369" t="s">
        <v>241</v>
      </c>
      <c r="E369" t="s">
        <v>32</v>
      </c>
      <c r="F369" t="s">
        <v>17</v>
      </c>
      <c r="G369" s="1">
        <v>549</v>
      </c>
      <c r="H369" t="s">
        <v>34</v>
      </c>
      <c r="I369" s="2">
        <v>43416</v>
      </c>
      <c r="J369" t="s">
        <v>204</v>
      </c>
      <c r="K369" t="s">
        <v>242</v>
      </c>
      <c r="L369">
        <v>23203</v>
      </c>
      <c r="M369" t="s">
        <v>21</v>
      </c>
      <c r="N369" t="str">
        <f>VLOOKUP(A369, Data_Set_2!$A:$D,2,FALSE)</f>
        <v>jwagner7g</v>
      </c>
      <c r="O369" t="str">
        <f>VLOOKUP(A369, Data_Set_2!$A:$D,3,FALSE)</f>
        <v>Jabbercube</v>
      </c>
      <c r="P369" t="str">
        <f>VLOOKUP(A369, Data_Set_2!$A:$D,4,FALSE)</f>
        <v>Payment Adjustment Coordinator</v>
      </c>
      <c r="Q369" t="str">
        <f>_xlfn.CONCAT(Table3[[#This Row],[first_name]], " ",Table3[[#This Row],[last_name]])</f>
        <v>Janet Wagner</v>
      </c>
    </row>
    <row r="370" spans="1:17" hidden="1" x14ac:dyDescent="0.3">
      <c r="A370">
        <v>269</v>
      </c>
      <c r="B370" t="s">
        <v>239</v>
      </c>
      <c r="C370" t="s">
        <v>240</v>
      </c>
      <c r="D370" t="s">
        <v>241</v>
      </c>
      <c r="E370" t="s">
        <v>32</v>
      </c>
      <c r="F370" t="s">
        <v>17</v>
      </c>
      <c r="G370" s="1">
        <v>698</v>
      </c>
      <c r="H370" t="s">
        <v>34</v>
      </c>
      <c r="I370" s="2">
        <v>43418</v>
      </c>
      <c r="J370" t="s">
        <v>204</v>
      </c>
      <c r="K370" t="s">
        <v>242</v>
      </c>
      <c r="L370">
        <v>23203</v>
      </c>
      <c r="M370" t="s">
        <v>21</v>
      </c>
      <c r="N370" t="str">
        <f>VLOOKUP(A370, Data_Set_2!$A:$D,2,FALSE)</f>
        <v>jwagner7g</v>
      </c>
      <c r="O370" t="str">
        <f>VLOOKUP(A370, Data_Set_2!$A:$D,3,FALSE)</f>
        <v>Jabbercube</v>
      </c>
      <c r="P370" t="str">
        <f>VLOOKUP(A370, Data_Set_2!$A:$D,4,FALSE)</f>
        <v>Payment Adjustment Coordinator</v>
      </c>
      <c r="Q370" t="str">
        <f>_xlfn.CONCAT(Table3[[#This Row],[first_name]], " ",Table3[[#This Row],[last_name]])</f>
        <v>Janet Wagner</v>
      </c>
    </row>
    <row r="371" spans="1:17" hidden="1" x14ac:dyDescent="0.3">
      <c r="A371">
        <v>269</v>
      </c>
      <c r="B371" t="s">
        <v>239</v>
      </c>
      <c r="C371" t="s">
        <v>240</v>
      </c>
      <c r="D371" t="s">
        <v>241</v>
      </c>
      <c r="E371" t="s">
        <v>32</v>
      </c>
      <c r="F371" t="s">
        <v>17</v>
      </c>
      <c r="G371" s="1">
        <v>839</v>
      </c>
      <c r="H371" t="s">
        <v>34</v>
      </c>
      <c r="I371" s="2">
        <v>43428</v>
      </c>
      <c r="J371" t="s">
        <v>204</v>
      </c>
      <c r="K371" t="s">
        <v>242</v>
      </c>
      <c r="L371">
        <v>23203</v>
      </c>
      <c r="M371" t="s">
        <v>21</v>
      </c>
      <c r="N371" t="str">
        <f>VLOOKUP(A371, Data_Set_2!$A:$D,2,FALSE)</f>
        <v>jwagner7g</v>
      </c>
      <c r="O371" t="str">
        <f>VLOOKUP(A371, Data_Set_2!$A:$D,3,FALSE)</f>
        <v>Jabbercube</v>
      </c>
      <c r="P371" t="str">
        <f>VLOOKUP(A371, Data_Set_2!$A:$D,4,FALSE)</f>
        <v>Payment Adjustment Coordinator</v>
      </c>
      <c r="Q371" t="str">
        <f>_xlfn.CONCAT(Table3[[#This Row],[first_name]], " ",Table3[[#This Row],[last_name]])</f>
        <v>Janet Wagner</v>
      </c>
    </row>
    <row r="372" spans="1:17" hidden="1" x14ac:dyDescent="0.3">
      <c r="A372">
        <v>269</v>
      </c>
      <c r="B372" t="s">
        <v>239</v>
      </c>
      <c r="C372" t="s">
        <v>240</v>
      </c>
      <c r="D372" t="s">
        <v>241</v>
      </c>
      <c r="E372" t="s">
        <v>32</v>
      </c>
      <c r="F372" t="s">
        <v>17</v>
      </c>
      <c r="G372" s="1">
        <v>213</v>
      </c>
      <c r="H372" t="s">
        <v>34</v>
      </c>
      <c r="I372" s="2">
        <v>43452</v>
      </c>
      <c r="J372" t="s">
        <v>204</v>
      </c>
      <c r="K372" t="s">
        <v>242</v>
      </c>
      <c r="L372">
        <v>23203</v>
      </c>
      <c r="M372" t="s">
        <v>21</v>
      </c>
      <c r="N372" t="str">
        <f>VLOOKUP(A372, Data_Set_2!$A:$D,2,FALSE)</f>
        <v>jwagner7g</v>
      </c>
      <c r="O372" t="str">
        <f>VLOOKUP(A372, Data_Set_2!$A:$D,3,FALSE)</f>
        <v>Jabbercube</v>
      </c>
      <c r="P372" t="str">
        <f>VLOOKUP(A372, Data_Set_2!$A:$D,4,FALSE)</f>
        <v>Payment Adjustment Coordinator</v>
      </c>
      <c r="Q372" t="str">
        <f>_xlfn.CONCAT(Table3[[#This Row],[first_name]], " ",Table3[[#This Row],[last_name]])</f>
        <v>Janet Wagner</v>
      </c>
    </row>
    <row r="373" spans="1:17" hidden="1" x14ac:dyDescent="0.3">
      <c r="A373">
        <v>269</v>
      </c>
      <c r="B373" t="s">
        <v>239</v>
      </c>
      <c r="C373" t="s">
        <v>240</v>
      </c>
      <c r="D373" t="s">
        <v>241</v>
      </c>
      <c r="E373" t="s">
        <v>32</v>
      </c>
      <c r="F373" t="s">
        <v>17</v>
      </c>
      <c r="G373" s="1">
        <v>630</v>
      </c>
      <c r="H373" t="s">
        <v>34</v>
      </c>
      <c r="I373" s="2">
        <v>43491</v>
      </c>
      <c r="J373" t="s">
        <v>204</v>
      </c>
      <c r="K373" t="s">
        <v>242</v>
      </c>
      <c r="L373">
        <v>23203</v>
      </c>
      <c r="M373" t="s">
        <v>21</v>
      </c>
      <c r="N373" t="str">
        <f>VLOOKUP(A373, Data_Set_2!$A:$D,2,FALSE)</f>
        <v>jwagner7g</v>
      </c>
      <c r="O373" t="str">
        <f>VLOOKUP(A373, Data_Set_2!$A:$D,3,FALSE)</f>
        <v>Jabbercube</v>
      </c>
      <c r="P373" t="str">
        <f>VLOOKUP(A373, Data_Set_2!$A:$D,4,FALSE)</f>
        <v>Payment Adjustment Coordinator</v>
      </c>
      <c r="Q373" t="str">
        <f>_xlfn.CONCAT(Table3[[#This Row],[first_name]], " ",Table3[[#This Row],[last_name]])</f>
        <v>Janet Wagner</v>
      </c>
    </row>
    <row r="374" spans="1:17" hidden="1" x14ac:dyDescent="0.3">
      <c r="A374">
        <v>269</v>
      </c>
      <c r="B374" t="s">
        <v>239</v>
      </c>
      <c r="C374" t="s">
        <v>240</v>
      </c>
      <c r="D374" t="s">
        <v>241</v>
      </c>
      <c r="E374" t="s">
        <v>32</v>
      </c>
      <c r="F374" t="s">
        <v>17</v>
      </c>
      <c r="G374" s="1">
        <v>583</v>
      </c>
      <c r="H374" t="s">
        <v>34</v>
      </c>
      <c r="I374" s="2">
        <v>43563</v>
      </c>
      <c r="J374" t="s">
        <v>204</v>
      </c>
      <c r="K374" t="s">
        <v>242</v>
      </c>
      <c r="L374">
        <v>23203</v>
      </c>
      <c r="M374" t="s">
        <v>21</v>
      </c>
      <c r="N374" t="str">
        <f>VLOOKUP(A374, Data_Set_2!$A:$D,2,FALSE)</f>
        <v>jwagner7g</v>
      </c>
      <c r="O374" t="str">
        <f>VLOOKUP(A374, Data_Set_2!$A:$D,3,FALSE)</f>
        <v>Jabbercube</v>
      </c>
      <c r="P374" t="str">
        <f>VLOOKUP(A374, Data_Set_2!$A:$D,4,FALSE)</f>
        <v>Payment Adjustment Coordinator</v>
      </c>
      <c r="Q374" t="str">
        <f>_xlfn.CONCAT(Table3[[#This Row],[first_name]], " ",Table3[[#This Row],[last_name]])</f>
        <v>Janet Wagner</v>
      </c>
    </row>
    <row r="375" spans="1:17" hidden="1" x14ac:dyDescent="0.3">
      <c r="A375">
        <v>269</v>
      </c>
      <c r="B375" t="s">
        <v>239</v>
      </c>
      <c r="C375" t="s">
        <v>240</v>
      </c>
      <c r="D375" t="s">
        <v>241</v>
      </c>
      <c r="E375" t="s">
        <v>32</v>
      </c>
      <c r="F375" t="s">
        <v>17</v>
      </c>
      <c r="G375" s="1">
        <v>754</v>
      </c>
      <c r="H375" t="s">
        <v>34</v>
      </c>
      <c r="I375" s="2">
        <v>43740</v>
      </c>
      <c r="J375" t="s">
        <v>204</v>
      </c>
      <c r="K375" t="s">
        <v>242</v>
      </c>
      <c r="L375">
        <v>23203</v>
      </c>
      <c r="M375" t="s">
        <v>21</v>
      </c>
      <c r="N375" t="str">
        <f>VLOOKUP(A375, Data_Set_2!$A:$D,2,FALSE)</f>
        <v>jwagner7g</v>
      </c>
      <c r="O375" t="str">
        <f>VLOOKUP(A375, Data_Set_2!$A:$D,3,FALSE)</f>
        <v>Jabbercube</v>
      </c>
      <c r="P375" t="str">
        <f>VLOOKUP(A375, Data_Set_2!$A:$D,4,FALSE)</f>
        <v>Payment Adjustment Coordinator</v>
      </c>
      <c r="Q375" t="str">
        <f>_xlfn.CONCAT(Table3[[#This Row],[first_name]], " ",Table3[[#This Row],[last_name]])</f>
        <v>Janet Wagner</v>
      </c>
    </row>
    <row r="376" spans="1:17" hidden="1" x14ac:dyDescent="0.3">
      <c r="A376">
        <v>269</v>
      </c>
      <c r="B376" t="s">
        <v>239</v>
      </c>
      <c r="C376" t="s">
        <v>240</v>
      </c>
      <c r="D376" t="s">
        <v>241</v>
      </c>
      <c r="E376" t="s">
        <v>32</v>
      </c>
      <c r="F376" t="s">
        <v>17</v>
      </c>
      <c r="G376" s="1">
        <v>658</v>
      </c>
      <c r="H376" t="s">
        <v>34</v>
      </c>
      <c r="I376" s="2">
        <v>43758</v>
      </c>
      <c r="J376" t="s">
        <v>204</v>
      </c>
      <c r="K376" t="s">
        <v>242</v>
      </c>
      <c r="L376">
        <v>23203</v>
      </c>
      <c r="M376" t="s">
        <v>21</v>
      </c>
      <c r="N376" t="str">
        <f>VLOOKUP(A376, Data_Set_2!$A:$D,2,FALSE)</f>
        <v>jwagner7g</v>
      </c>
      <c r="O376" t="str">
        <f>VLOOKUP(A376, Data_Set_2!$A:$D,3,FALSE)</f>
        <v>Jabbercube</v>
      </c>
      <c r="P376" t="str">
        <f>VLOOKUP(A376, Data_Set_2!$A:$D,4,FALSE)</f>
        <v>Payment Adjustment Coordinator</v>
      </c>
      <c r="Q376" t="str">
        <f>_xlfn.CONCAT(Table3[[#This Row],[first_name]], " ",Table3[[#This Row],[last_name]])</f>
        <v>Janet Wagner</v>
      </c>
    </row>
    <row r="377" spans="1:17" hidden="1" x14ac:dyDescent="0.3">
      <c r="A377">
        <v>269</v>
      </c>
      <c r="B377" t="s">
        <v>239</v>
      </c>
      <c r="C377" t="s">
        <v>240</v>
      </c>
      <c r="D377" t="s">
        <v>241</v>
      </c>
      <c r="E377" t="s">
        <v>32</v>
      </c>
      <c r="F377" t="s">
        <v>17</v>
      </c>
      <c r="G377" s="1">
        <v>146</v>
      </c>
      <c r="H377" t="s">
        <v>34</v>
      </c>
      <c r="I377" s="2">
        <v>44029</v>
      </c>
      <c r="J377" t="s">
        <v>204</v>
      </c>
      <c r="K377" t="s">
        <v>242</v>
      </c>
      <c r="L377">
        <v>23203</v>
      </c>
      <c r="M377" t="s">
        <v>21</v>
      </c>
      <c r="N377" t="str">
        <f>VLOOKUP(A377, Data_Set_2!$A:$D,2,FALSE)</f>
        <v>jwagner7g</v>
      </c>
      <c r="O377" t="str">
        <f>VLOOKUP(A377, Data_Set_2!$A:$D,3,FALSE)</f>
        <v>Jabbercube</v>
      </c>
      <c r="P377" t="str">
        <f>VLOOKUP(A377, Data_Set_2!$A:$D,4,FALSE)</f>
        <v>Payment Adjustment Coordinator</v>
      </c>
      <c r="Q377" t="str">
        <f>_xlfn.CONCAT(Table3[[#This Row],[first_name]], " ",Table3[[#This Row],[last_name]])</f>
        <v>Janet Wagner</v>
      </c>
    </row>
    <row r="378" spans="1:17" hidden="1" x14ac:dyDescent="0.3">
      <c r="A378">
        <v>269</v>
      </c>
      <c r="B378" t="s">
        <v>239</v>
      </c>
      <c r="C378" t="s">
        <v>240</v>
      </c>
      <c r="D378" t="s">
        <v>241</v>
      </c>
      <c r="E378" t="s">
        <v>32</v>
      </c>
      <c r="F378" t="s">
        <v>17</v>
      </c>
      <c r="G378" s="1">
        <v>895</v>
      </c>
      <c r="H378" t="s">
        <v>34</v>
      </c>
      <c r="I378" s="2">
        <v>44054</v>
      </c>
      <c r="J378" t="s">
        <v>204</v>
      </c>
      <c r="K378" t="s">
        <v>242</v>
      </c>
      <c r="L378">
        <v>23203</v>
      </c>
      <c r="M378" t="s">
        <v>21</v>
      </c>
      <c r="N378" t="str">
        <f>VLOOKUP(A378, Data_Set_2!$A:$D,2,FALSE)</f>
        <v>jwagner7g</v>
      </c>
      <c r="O378" t="str">
        <f>VLOOKUP(A378, Data_Set_2!$A:$D,3,FALSE)</f>
        <v>Jabbercube</v>
      </c>
      <c r="P378" t="str">
        <f>VLOOKUP(A378, Data_Set_2!$A:$D,4,FALSE)</f>
        <v>Payment Adjustment Coordinator</v>
      </c>
      <c r="Q378" t="str">
        <f>_xlfn.CONCAT(Table3[[#This Row],[first_name]], " ",Table3[[#This Row],[last_name]])</f>
        <v>Janet Wagner</v>
      </c>
    </row>
    <row r="379" spans="1:17" hidden="1" x14ac:dyDescent="0.3">
      <c r="A379">
        <v>269</v>
      </c>
      <c r="B379" t="s">
        <v>239</v>
      </c>
      <c r="C379" t="s">
        <v>240</v>
      </c>
      <c r="D379" t="s">
        <v>241</v>
      </c>
      <c r="E379" t="s">
        <v>32</v>
      </c>
      <c r="F379" t="s">
        <v>17</v>
      </c>
      <c r="G379" s="1">
        <v>371</v>
      </c>
      <c r="H379" t="s">
        <v>34</v>
      </c>
      <c r="I379" s="2">
        <v>44130</v>
      </c>
      <c r="J379" t="s">
        <v>204</v>
      </c>
      <c r="K379" t="s">
        <v>242</v>
      </c>
      <c r="L379">
        <v>23203</v>
      </c>
      <c r="M379" t="s">
        <v>21</v>
      </c>
      <c r="N379" t="str">
        <f>VLOOKUP(A379, Data_Set_2!$A:$D,2,FALSE)</f>
        <v>jwagner7g</v>
      </c>
      <c r="O379" t="str">
        <f>VLOOKUP(A379, Data_Set_2!$A:$D,3,FALSE)</f>
        <v>Jabbercube</v>
      </c>
      <c r="P379" t="str">
        <f>VLOOKUP(A379, Data_Set_2!$A:$D,4,FALSE)</f>
        <v>Payment Adjustment Coordinator</v>
      </c>
      <c r="Q379" t="str">
        <f>_xlfn.CONCAT(Table3[[#This Row],[first_name]], " ",Table3[[#This Row],[last_name]])</f>
        <v>Janet Wagner</v>
      </c>
    </row>
    <row r="380" spans="1:17" hidden="1" x14ac:dyDescent="0.3">
      <c r="A380">
        <v>269</v>
      </c>
      <c r="B380" t="s">
        <v>239</v>
      </c>
      <c r="C380" t="s">
        <v>240</v>
      </c>
      <c r="D380" t="s">
        <v>241</v>
      </c>
      <c r="E380" t="s">
        <v>32</v>
      </c>
      <c r="F380" t="s">
        <v>17</v>
      </c>
      <c r="G380" s="1">
        <v>677</v>
      </c>
      <c r="H380" t="s">
        <v>34</v>
      </c>
      <c r="I380" s="2">
        <v>44176</v>
      </c>
      <c r="J380" t="s">
        <v>204</v>
      </c>
      <c r="K380" t="s">
        <v>242</v>
      </c>
      <c r="L380">
        <v>23203</v>
      </c>
      <c r="M380" t="s">
        <v>21</v>
      </c>
      <c r="N380" t="str">
        <f>VLOOKUP(A380, Data_Set_2!$A:$D,2,FALSE)</f>
        <v>jwagner7g</v>
      </c>
      <c r="O380" t="str">
        <f>VLOOKUP(A380, Data_Set_2!$A:$D,3,FALSE)</f>
        <v>Jabbercube</v>
      </c>
      <c r="P380" t="str">
        <f>VLOOKUP(A380, Data_Set_2!$A:$D,4,FALSE)</f>
        <v>Payment Adjustment Coordinator</v>
      </c>
      <c r="Q380" t="str">
        <f>_xlfn.CONCAT(Table3[[#This Row],[first_name]], " ",Table3[[#This Row],[last_name]])</f>
        <v>Janet Wagner</v>
      </c>
    </row>
    <row r="381" spans="1:17" hidden="1" x14ac:dyDescent="0.3">
      <c r="A381">
        <v>269</v>
      </c>
      <c r="B381" t="s">
        <v>239</v>
      </c>
      <c r="C381" t="s">
        <v>240</v>
      </c>
      <c r="D381" t="s">
        <v>241</v>
      </c>
      <c r="E381" t="s">
        <v>32</v>
      </c>
      <c r="F381" t="s">
        <v>17</v>
      </c>
      <c r="G381" s="1">
        <v>605</v>
      </c>
      <c r="H381" t="s">
        <v>34</v>
      </c>
      <c r="I381" s="2">
        <v>44515</v>
      </c>
      <c r="J381" t="s">
        <v>204</v>
      </c>
      <c r="K381" t="s">
        <v>242</v>
      </c>
      <c r="L381">
        <v>23203</v>
      </c>
      <c r="M381" t="s">
        <v>21</v>
      </c>
      <c r="N381" t="str">
        <f>VLOOKUP(A381, Data_Set_2!$A:$D,2,FALSE)</f>
        <v>jwagner7g</v>
      </c>
      <c r="O381" t="str">
        <f>VLOOKUP(A381, Data_Set_2!$A:$D,3,FALSE)</f>
        <v>Jabbercube</v>
      </c>
      <c r="P381" t="str">
        <f>VLOOKUP(A381, Data_Set_2!$A:$D,4,FALSE)</f>
        <v>Payment Adjustment Coordinator</v>
      </c>
      <c r="Q381" t="str">
        <f>_xlfn.CONCAT(Table3[[#This Row],[first_name]], " ",Table3[[#This Row],[last_name]])</f>
        <v>Janet Wagner</v>
      </c>
    </row>
    <row r="382" spans="1:17" hidden="1" x14ac:dyDescent="0.3">
      <c r="A382">
        <v>287</v>
      </c>
      <c r="B382" t="s">
        <v>420</v>
      </c>
      <c r="C382" t="s">
        <v>382</v>
      </c>
      <c r="D382" t="s">
        <v>421</v>
      </c>
      <c r="E382" t="s">
        <v>16</v>
      </c>
      <c r="F382" t="s">
        <v>51</v>
      </c>
      <c r="G382" s="1">
        <v>293</v>
      </c>
      <c r="H382" t="s">
        <v>62</v>
      </c>
      <c r="I382" s="2">
        <v>43300</v>
      </c>
      <c r="J382" t="s">
        <v>52</v>
      </c>
      <c r="K382" t="s">
        <v>53</v>
      </c>
      <c r="L382">
        <v>25721</v>
      </c>
      <c r="M382" t="s">
        <v>21</v>
      </c>
      <c r="N382" t="str">
        <f>VLOOKUP(A382, Data_Set_2!$A:$D,2,FALSE)</f>
        <v>astanley7y</v>
      </c>
      <c r="O382" t="str">
        <f>VLOOKUP(A382, Data_Set_2!$A:$D,3,FALSE)</f>
        <v>Quinu</v>
      </c>
      <c r="P382" t="str">
        <f>VLOOKUP(A382, Data_Set_2!$A:$D,4,FALSE)</f>
        <v>Staff Scientist</v>
      </c>
      <c r="Q382" t="str">
        <f>_xlfn.CONCAT(Table3[[#This Row],[first_name]], " ",Table3[[#This Row],[last_name]])</f>
        <v>Antonio Stanley</v>
      </c>
    </row>
    <row r="383" spans="1:17" hidden="1" x14ac:dyDescent="0.3">
      <c r="A383">
        <v>287</v>
      </c>
      <c r="B383" t="s">
        <v>420</v>
      </c>
      <c r="C383" t="s">
        <v>382</v>
      </c>
      <c r="D383" t="s">
        <v>421</v>
      </c>
      <c r="E383" t="s">
        <v>16</v>
      </c>
      <c r="F383" t="s">
        <v>51</v>
      </c>
      <c r="G383" s="1">
        <v>140</v>
      </c>
      <c r="H383" t="s">
        <v>62</v>
      </c>
      <c r="I383" s="2">
        <v>43327</v>
      </c>
      <c r="J383" t="s">
        <v>52</v>
      </c>
      <c r="K383" t="s">
        <v>53</v>
      </c>
      <c r="L383">
        <v>25721</v>
      </c>
      <c r="M383" t="s">
        <v>21</v>
      </c>
      <c r="N383" t="str">
        <f>VLOOKUP(A383, Data_Set_2!$A:$D,2,FALSE)</f>
        <v>astanley7y</v>
      </c>
      <c r="O383" t="str">
        <f>VLOOKUP(A383, Data_Set_2!$A:$D,3,FALSE)</f>
        <v>Quinu</v>
      </c>
      <c r="P383" t="str">
        <f>VLOOKUP(A383, Data_Set_2!$A:$D,4,FALSE)</f>
        <v>Staff Scientist</v>
      </c>
      <c r="Q383" t="str">
        <f>_xlfn.CONCAT(Table3[[#This Row],[first_name]], " ",Table3[[#This Row],[last_name]])</f>
        <v>Antonio Stanley</v>
      </c>
    </row>
    <row r="384" spans="1:17" hidden="1" x14ac:dyDescent="0.3">
      <c r="A384">
        <v>287</v>
      </c>
      <c r="B384" t="s">
        <v>420</v>
      </c>
      <c r="C384" t="s">
        <v>382</v>
      </c>
      <c r="D384" t="s">
        <v>421</v>
      </c>
      <c r="E384" t="s">
        <v>16</v>
      </c>
      <c r="F384" t="s">
        <v>51</v>
      </c>
      <c r="G384" s="1">
        <v>780</v>
      </c>
      <c r="H384" t="s">
        <v>62</v>
      </c>
      <c r="I384" s="2">
        <v>43541</v>
      </c>
      <c r="J384" t="s">
        <v>52</v>
      </c>
      <c r="K384" t="s">
        <v>53</v>
      </c>
      <c r="L384">
        <v>25721</v>
      </c>
      <c r="M384" t="s">
        <v>21</v>
      </c>
      <c r="N384" t="str">
        <f>VLOOKUP(A384, Data_Set_2!$A:$D,2,FALSE)</f>
        <v>astanley7y</v>
      </c>
      <c r="O384" t="str">
        <f>VLOOKUP(A384, Data_Set_2!$A:$D,3,FALSE)</f>
        <v>Quinu</v>
      </c>
      <c r="P384" t="str">
        <f>VLOOKUP(A384, Data_Set_2!$A:$D,4,FALSE)</f>
        <v>Staff Scientist</v>
      </c>
      <c r="Q384" t="str">
        <f>_xlfn.CONCAT(Table3[[#This Row],[first_name]], " ",Table3[[#This Row],[last_name]])</f>
        <v>Antonio Stanley</v>
      </c>
    </row>
    <row r="385" spans="1:17" hidden="1" x14ac:dyDescent="0.3">
      <c r="A385">
        <v>287</v>
      </c>
      <c r="B385" t="s">
        <v>420</v>
      </c>
      <c r="C385" t="s">
        <v>382</v>
      </c>
      <c r="D385" t="s">
        <v>421</v>
      </c>
      <c r="E385" t="s">
        <v>16</v>
      </c>
      <c r="F385" t="s">
        <v>51</v>
      </c>
      <c r="G385" s="1">
        <v>535</v>
      </c>
      <c r="H385" t="s">
        <v>62</v>
      </c>
      <c r="I385" s="2">
        <v>44173</v>
      </c>
      <c r="J385" t="s">
        <v>52</v>
      </c>
      <c r="K385" t="s">
        <v>53</v>
      </c>
      <c r="L385">
        <v>25721</v>
      </c>
      <c r="M385" t="s">
        <v>21</v>
      </c>
      <c r="N385" t="str">
        <f>VLOOKUP(A385, Data_Set_2!$A:$D,2,FALSE)</f>
        <v>astanley7y</v>
      </c>
      <c r="O385" t="str">
        <f>VLOOKUP(A385, Data_Set_2!$A:$D,3,FALSE)</f>
        <v>Quinu</v>
      </c>
      <c r="P385" t="str">
        <f>VLOOKUP(A385, Data_Set_2!$A:$D,4,FALSE)</f>
        <v>Staff Scientist</v>
      </c>
      <c r="Q385" t="str">
        <f>_xlfn.CONCAT(Table3[[#This Row],[first_name]], " ",Table3[[#This Row],[last_name]])</f>
        <v>Antonio Stanley</v>
      </c>
    </row>
    <row r="386" spans="1:17" hidden="1" x14ac:dyDescent="0.3">
      <c r="A386">
        <v>287</v>
      </c>
      <c r="B386" t="s">
        <v>420</v>
      </c>
      <c r="C386" t="s">
        <v>382</v>
      </c>
      <c r="D386" t="s">
        <v>421</v>
      </c>
      <c r="E386" t="s">
        <v>16</v>
      </c>
      <c r="F386" t="s">
        <v>51</v>
      </c>
      <c r="G386" s="1">
        <v>289</v>
      </c>
      <c r="H386" t="s">
        <v>62</v>
      </c>
      <c r="I386" s="2">
        <v>44288</v>
      </c>
      <c r="J386" t="s">
        <v>52</v>
      </c>
      <c r="K386" t="s">
        <v>53</v>
      </c>
      <c r="L386">
        <v>25721</v>
      </c>
      <c r="M386" t="s">
        <v>21</v>
      </c>
      <c r="N386" t="str">
        <f>VLOOKUP(A386, Data_Set_2!$A:$D,2,FALSE)</f>
        <v>astanley7y</v>
      </c>
      <c r="O386" t="str">
        <f>VLOOKUP(A386, Data_Set_2!$A:$D,3,FALSE)</f>
        <v>Quinu</v>
      </c>
      <c r="P386" t="str">
        <f>VLOOKUP(A386, Data_Set_2!$A:$D,4,FALSE)</f>
        <v>Staff Scientist</v>
      </c>
      <c r="Q386" t="str">
        <f>_xlfn.CONCAT(Table3[[#This Row],[first_name]], " ",Table3[[#This Row],[last_name]])</f>
        <v>Antonio Stanley</v>
      </c>
    </row>
    <row r="387" spans="1:17" hidden="1" x14ac:dyDescent="0.3">
      <c r="A387">
        <v>287</v>
      </c>
      <c r="B387" t="s">
        <v>420</v>
      </c>
      <c r="C387" t="s">
        <v>382</v>
      </c>
      <c r="D387" t="s">
        <v>421</v>
      </c>
      <c r="E387" t="s">
        <v>16</v>
      </c>
      <c r="F387" t="s">
        <v>51</v>
      </c>
      <c r="G387" s="1">
        <v>224</v>
      </c>
      <c r="H387" t="s">
        <v>62</v>
      </c>
      <c r="I387" s="2">
        <v>44406</v>
      </c>
      <c r="J387" t="s">
        <v>52</v>
      </c>
      <c r="K387" t="s">
        <v>53</v>
      </c>
      <c r="L387">
        <v>25721</v>
      </c>
      <c r="M387" t="s">
        <v>21</v>
      </c>
      <c r="N387" t="str">
        <f>VLOOKUP(A387, Data_Set_2!$A:$D,2,FALSE)</f>
        <v>astanley7y</v>
      </c>
      <c r="O387" t="str">
        <f>VLOOKUP(A387, Data_Set_2!$A:$D,3,FALSE)</f>
        <v>Quinu</v>
      </c>
      <c r="P387" t="str">
        <f>VLOOKUP(A387, Data_Set_2!$A:$D,4,FALSE)</f>
        <v>Staff Scientist</v>
      </c>
      <c r="Q387" t="str">
        <f>_xlfn.CONCAT(Table3[[#This Row],[first_name]], " ",Table3[[#This Row],[last_name]])</f>
        <v>Antonio Stanley</v>
      </c>
    </row>
    <row r="388" spans="1:17" hidden="1" x14ac:dyDescent="0.3">
      <c r="A388">
        <v>287</v>
      </c>
      <c r="B388" t="s">
        <v>420</v>
      </c>
      <c r="C388" t="s">
        <v>382</v>
      </c>
      <c r="D388" t="s">
        <v>421</v>
      </c>
      <c r="E388" t="s">
        <v>16</v>
      </c>
      <c r="F388" t="s">
        <v>51</v>
      </c>
      <c r="G388" s="1">
        <v>744</v>
      </c>
      <c r="H388" t="s">
        <v>62</v>
      </c>
      <c r="I388" s="2">
        <v>44457</v>
      </c>
      <c r="J388" t="s">
        <v>52</v>
      </c>
      <c r="K388" t="s">
        <v>53</v>
      </c>
      <c r="L388">
        <v>25721</v>
      </c>
      <c r="M388" t="s">
        <v>21</v>
      </c>
      <c r="N388" t="str">
        <f>VLOOKUP(A388, Data_Set_2!$A:$D,2,FALSE)</f>
        <v>astanley7y</v>
      </c>
      <c r="O388" t="str">
        <f>VLOOKUP(A388, Data_Set_2!$A:$D,3,FALSE)</f>
        <v>Quinu</v>
      </c>
      <c r="P388" t="str">
        <f>VLOOKUP(A388, Data_Set_2!$A:$D,4,FALSE)</f>
        <v>Staff Scientist</v>
      </c>
      <c r="Q388" t="str">
        <f>_xlfn.CONCAT(Table3[[#This Row],[first_name]], " ",Table3[[#This Row],[last_name]])</f>
        <v>Antonio Stanley</v>
      </c>
    </row>
    <row r="389" spans="1:17" hidden="1" x14ac:dyDescent="0.3">
      <c r="A389">
        <v>287</v>
      </c>
      <c r="B389" t="s">
        <v>420</v>
      </c>
      <c r="C389" t="s">
        <v>382</v>
      </c>
      <c r="D389" t="s">
        <v>421</v>
      </c>
      <c r="E389" t="s">
        <v>16</v>
      </c>
      <c r="F389" t="s">
        <v>51</v>
      </c>
      <c r="G389" s="1">
        <v>191</v>
      </c>
      <c r="H389" t="s">
        <v>62</v>
      </c>
      <c r="I389" s="2">
        <v>44458</v>
      </c>
      <c r="J389" t="s">
        <v>52</v>
      </c>
      <c r="K389" t="s">
        <v>53</v>
      </c>
      <c r="L389">
        <v>25721</v>
      </c>
      <c r="M389" t="s">
        <v>21</v>
      </c>
      <c r="N389" t="str">
        <f>VLOOKUP(A389, Data_Set_2!$A:$D,2,FALSE)</f>
        <v>astanley7y</v>
      </c>
      <c r="O389" t="str">
        <f>VLOOKUP(A389, Data_Set_2!$A:$D,3,FALSE)</f>
        <v>Quinu</v>
      </c>
      <c r="P389" t="str">
        <f>VLOOKUP(A389, Data_Set_2!$A:$D,4,FALSE)</f>
        <v>Staff Scientist</v>
      </c>
      <c r="Q389" t="str">
        <f>_xlfn.CONCAT(Table3[[#This Row],[first_name]], " ",Table3[[#This Row],[last_name]])</f>
        <v>Antonio Stanley</v>
      </c>
    </row>
    <row r="390" spans="1:17" hidden="1" x14ac:dyDescent="0.3">
      <c r="A390">
        <v>287</v>
      </c>
      <c r="B390" t="s">
        <v>420</v>
      </c>
      <c r="C390" t="s">
        <v>382</v>
      </c>
      <c r="D390" t="s">
        <v>421</v>
      </c>
      <c r="E390" t="s">
        <v>16</v>
      </c>
      <c r="F390" t="s">
        <v>51</v>
      </c>
      <c r="G390" s="1">
        <v>576</v>
      </c>
      <c r="H390" t="s">
        <v>62</v>
      </c>
      <c r="I390" s="2">
        <v>44503</v>
      </c>
      <c r="J390" t="s">
        <v>52</v>
      </c>
      <c r="K390" t="s">
        <v>53</v>
      </c>
      <c r="L390">
        <v>25721</v>
      </c>
      <c r="M390" t="s">
        <v>21</v>
      </c>
      <c r="N390" t="str">
        <f>VLOOKUP(A390, Data_Set_2!$A:$D,2,FALSE)</f>
        <v>astanley7y</v>
      </c>
      <c r="O390" t="str">
        <f>VLOOKUP(A390, Data_Set_2!$A:$D,3,FALSE)</f>
        <v>Quinu</v>
      </c>
      <c r="P390" t="str">
        <f>VLOOKUP(A390, Data_Set_2!$A:$D,4,FALSE)</f>
        <v>Staff Scientist</v>
      </c>
      <c r="Q390" t="str">
        <f>_xlfn.CONCAT(Table3[[#This Row],[first_name]], " ",Table3[[#This Row],[last_name]])</f>
        <v>Antonio Stanley</v>
      </c>
    </row>
    <row r="391" spans="1:17" hidden="1" x14ac:dyDescent="0.3">
      <c r="A391">
        <v>287</v>
      </c>
      <c r="B391" t="s">
        <v>420</v>
      </c>
      <c r="C391" t="s">
        <v>382</v>
      </c>
      <c r="D391" t="s">
        <v>421</v>
      </c>
      <c r="E391" t="s">
        <v>16</v>
      </c>
      <c r="F391" t="s">
        <v>51</v>
      </c>
      <c r="G391" s="1">
        <v>399</v>
      </c>
      <c r="H391" t="s">
        <v>62</v>
      </c>
      <c r="I391" s="2">
        <v>44633</v>
      </c>
      <c r="J391" t="s">
        <v>52</v>
      </c>
      <c r="K391" t="s">
        <v>53</v>
      </c>
      <c r="L391">
        <v>25721</v>
      </c>
      <c r="M391" t="s">
        <v>21</v>
      </c>
      <c r="N391" t="str">
        <f>VLOOKUP(A391, Data_Set_2!$A:$D,2,FALSE)</f>
        <v>astanley7y</v>
      </c>
      <c r="O391" t="str">
        <f>VLOOKUP(A391, Data_Set_2!$A:$D,3,FALSE)</f>
        <v>Quinu</v>
      </c>
      <c r="P391" t="str">
        <f>VLOOKUP(A391, Data_Set_2!$A:$D,4,FALSE)</f>
        <v>Staff Scientist</v>
      </c>
      <c r="Q391" t="str">
        <f>_xlfn.CONCAT(Table3[[#This Row],[first_name]], " ",Table3[[#This Row],[last_name]])</f>
        <v>Antonio Stanley</v>
      </c>
    </row>
    <row r="392" spans="1:17" hidden="1" x14ac:dyDescent="0.3">
      <c r="A392">
        <v>287</v>
      </c>
      <c r="B392" t="s">
        <v>420</v>
      </c>
      <c r="C392" t="s">
        <v>382</v>
      </c>
      <c r="D392" t="s">
        <v>421</v>
      </c>
      <c r="E392" t="s">
        <v>16</v>
      </c>
      <c r="F392" t="s">
        <v>51</v>
      </c>
      <c r="G392" s="1">
        <v>283</v>
      </c>
      <c r="H392" t="s">
        <v>62</v>
      </c>
      <c r="I392" s="2">
        <v>44674</v>
      </c>
      <c r="J392" t="s">
        <v>52</v>
      </c>
      <c r="K392" t="s">
        <v>53</v>
      </c>
      <c r="L392">
        <v>25721</v>
      </c>
      <c r="M392" t="s">
        <v>21</v>
      </c>
      <c r="N392" t="str">
        <f>VLOOKUP(A392, Data_Set_2!$A:$D,2,FALSE)</f>
        <v>astanley7y</v>
      </c>
      <c r="O392" t="str">
        <f>VLOOKUP(A392, Data_Set_2!$A:$D,3,FALSE)</f>
        <v>Quinu</v>
      </c>
      <c r="P392" t="str">
        <f>VLOOKUP(A392, Data_Set_2!$A:$D,4,FALSE)</f>
        <v>Staff Scientist</v>
      </c>
      <c r="Q392" t="str">
        <f>_xlfn.CONCAT(Table3[[#This Row],[first_name]], " ",Table3[[#This Row],[last_name]])</f>
        <v>Antonio Stanley</v>
      </c>
    </row>
    <row r="393" spans="1:17" hidden="1" x14ac:dyDescent="0.3">
      <c r="A393">
        <v>287</v>
      </c>
      <c r="B393" t="s">
        <v>420</v>
      </c>
      <c r="C393" t="s">
        <v>382</v>
      </c>
      <c r="D393" t="s">
        <v>421</v>
      </c>
      <c r="E393" t="s">
        <v>16</v>
      </c>
      <c r="F393" t="s">
        <v>51</v>
      </c>
      <c r="G393" s="1">
        <v>52</v>
      </c>
      <c r="H393" t="s">
        <v>62</v>
      </c>
      <c r="I393" s="2">
        <v>44845</v>
      </c>
      <c r="J393" t="s">
        <v>52</v>
      </c>
      <c r="K393" t="s">
        <v>53</v>
      </c>
      <c r="L393">
        <v>25721</v>
      </c>
      <c r="M393" t="s">
        <v>21</v>
      </c>
      <c r="N393" t="str">
        <f>VLOOKUP(A393, Data_Set_2!$A:$D,2,FALSE)</f>
        <v>astanley7y</v>
      </c>
      <c r="O393" t="str">
        <f>VLOOKUP(A393, Data_Set_2!$A:$D,3,FALSE)</f>
        <v>Quinu</v>
      </c>
      <c r="P393" t="str">
        <f>VLOOKUP(A393, Data_Set_2!$A:$D,4,FALSE)</f>
        <v>Staff Scientist</v>
      </c>
      <c r="Q393" t="str">
        <f>_xlfn.CONCAT(Table3[[#This Row],[first_name]], " ",Table3[[#This Row],[last_name]])</f>
        <v>Antonio Stanley</v>
      </c>
    </row>
    <row r="394" spans="1:17" hidden="1" x14ac:dyDescent="0.3">
      <c r="A394">
        <v>287</v>
      </c>
      <c r="B394" t="s">
        <v>420</v>
      </c>
      <c r="C394" t="s">
        <v>382</v>
      </c>
      <c r="D394" t="s">
        <v>421</v>
      </c>
      <c r="E394" t="s">
        <v>16</v>
      </c>
      <c r="F394" t="s">
        <v>51</v>
      </c>
      <c r="G394" s="1">
        <v>817</v>
      </c>
      <c r="H394" t="s">
        <v>62</v>
      </c>
      <c r="I394" s="2">
        <v>44865</v>
      </c>
      <c r="J394" t="s">
        <v>52</v>
      </c>
      <c r="K394" t="s">
        <v>53</v>
      </c>
      <c r="L394">
        <v>25721</v>
      </c>
      <c r="M394" t="s">
        <v>21</v>
      </c>
      <c r="N394" t="str">
        <f>VLOOKUP(A394, Data_Set_2!$A:$D,2,FALSE)</f>
        <v>astanley7y</v>
      </c>
      <c r="O394" t="str">
        <f>VLOOKUP(A394, Data_Set_2!$A:$D,3,FALSE)</f>
        <v>Quinu</v>
      </c>
      <c r="P394" t="str">
        <f>VLOOKUP(A394, Data_Set_2!$A:$D,4,FALSE)</f>
        <v>Staff Scientist</v>
      </c>
      <c r="Q394" t="str">
        <f>_xlfn.CONCAT(Table3[[#This Row],[first_name]], " ",Table3[[#This Row],[last_name]])</f>
        <v>Antonio Stanley</v>
      </c>
    </row>
    <row r="395" spans="1:17" hidden="1" x14ac:dyDescent="0.3">
      <c r="A395">
        <v>289</v>
      </c>
      <c r="B395" t="s">
        <v>336</v>
      </c>
      <c r="C395" t="s">
        <v>1000</v>
      </c>
      <c r="D395" t="s">
        <v>1267</v>
      </c>
      <c r="E395" t="s">
        <v>16</v>
      </c>
      <c r="F395" t="s">
        <v>33</v>
      </c>
      <c r="G395" s="1">
        <v>547</v>
      </c>
      <c r="H395" t="s">
        <v>341</v>
      </c>
      <c r="I395" s="2">
        <v>44907</v>
      </c>
      <c r="J395" t="s">
        <v>120</v>
      </c>
      <c r="K395" t="s">
        <v>1268</v>
      </c>
      <c r="L395">
        <v>70505</v>
      </c>
      <c r="M395" t="s">
        <v>21</v>
      </c>
      <c r="N395" t="str">
        <f>VLOOKUP(A395, Data_Set_2!$A:$D,2,FALSE)</f>
        <v>rreyes80</v>
      </c>
      <c r="O395" t="str">
        <f>VLOOKUP(A395, Data_Set_2!$A:$D,3,FALSE)</f>
        <v>Cogibox</v>
      </c>
      <c r="P395" t="str">
        <f>VLOOKUP(A395, Data_Set_2!$A:$D,4,FALSE)</f>
        <v>Compensation Analyst</v>
      </c>
      <c r="Q395" t="str">
        <f>_xlfn.CONCAT(Table3[[#This Row],[first_name]], " ",Table3[[#This Row],[last_name]])</f>
        <v>Ronald Reyes</v>
      </c>
    </row>
    <row r="396" spans="1:17" hidden="1" x14ac:dyDescent="0.3">
      <c r="A396">
        <v>307</v>
      </c>
      <c r="B396" t="s">
        <v>29</v>
      </c>
      <c r="C396" t="s">
        <v>44</v>
      </c>
      <c r="D396" t="s">
        <v>917</v>
      </c>
      <c r="E396" t="s">
        <v>32</v>
      </c>
      <c r="F396" t="s">
        <v>33</v>
      </c>
      <c r="G396" s="1">
        <v>236</v>
      </c>
      <c r="H396" t="s">
        <v>4034</v>
      </c>
      <c r="I396" s="2">
        <v>44047</v>
      </c>
      <c r="J396" t="s">
        <v>68</v>
      </c>
      <c r="K396" t="s">
        <v>234</v>
      </c>
      <c r="L396">
        <v>77293</v>
      </c>
      <c r="M396" t="s">
        <v>21</v>
      </c>
      <c r="N396" t="str">
        <f>VLOOKUP(A396, Data_Set_2!$A:$D,2,FALSE)</f>
        <v>thawkins8i</v>
      </c>
      <c r="O396" t="str">
        <f>VLOOKUP(A396, Data_Set_2!$A:$D,3,FALSE)</f>
        <v>Katz</v>
      </c>
      <c r="P396" t="str">
        <f>VLOOKUP(A396, Data_Set_2!$A:$D,4,FALSE)</f>
        <v>Physical Therapy Assistant</v>
      </c>
      <c r="Q396" t="str">
        <f>_xlfn.CONCAT(Table3[[#This Row],[first_name]], " ",Table3[[#This Row],[last_name]])</f>
        <v>Tina Hawkins</v>
      </c>
    </row>
    <row r="397" spans="1:17" hidden="1" x14ac:dyDescent="0.3">
      <c r="A397">
        <v>308</v>
      </c>
      <c r="B397" t="s">
        <v>495</v>
      </c>
      <c r="C397" t="s">
        <v>752</v>
      </c>
      <c r="D397" t="s">
        <v>1065</v>
      </c>
      <c r="E397" t="s">
        <v>32</v>
      </c>
      <c r="F397" t="s">
        <v>25</v>
      </c>
      <c r="G397" s="1">
        <v>679</v>
      </c>
      <c r="H397" t="s">
        <v>18</v>
      </c>
      <c r="I397" s="2">
        <v>44354</v>
      </c>
      <c r="J397" t="s">
        <v>287</v>
      </c>
      <c r="K397" t="s">
        <v>1066</v>
      </c>
      <c r="L397">
        <v>85219</v>
      </c>
      <c r="M397" t="s">
        <v>21</v>
      </c>
      <c r="N397" t="str">
        <f>VLOOKUP(A397, Data_Set_2!$A:$D,2,FALSE)</f>
        <v>ajenkins8j</v>
      </c>
      <c r="O397" t="str">
        <f>VLOOKUP(A397, Data_Set_2!$A:$D,3,FALSE)</f>
        <v>Gabtype</v>
      </c>
      <c r="P397" t="str">
        <f>VLOOKUP(A397, Data_Set_2!$A:$D,4,FALSE)</f>
        <v>Graphic Designer</v>
      </c>
      <c r="Q397" t="str">
        <f>_xlfn.CONCAT(Table3[[#This Row],[first_name]], " ",Table3[[#This Row],[last_name]])</f>
        <v>Amy Jenkins</v>
      </c>
    </row>
    <row r="398" spans="1:17" hidden="1" x14ac:dyDescent="0.3">
      <c r="A398">
        <v>325</v>
      </c>
      <c r="B398" t="s">
        <v>890</v>
      </c>
      <c r="C398" t="s">
        <v>86</v>
      </c>
      <c r="D398" t="s">
        <v>891</v>
      </c>
      <c r="E398" t="s">
        <v>32</v>
      </c>
      <c r="F398" t="s">
        <v>553</v>
      </c>
      <c r="G398" s="1">
        <v>773</v>
      </c>
      <c r="H398" t="s">
        <v>4035</v>
      </c>
      <c r="I398" s="2">
        <v>43962</v>
      </c>
      <c r="J398" t="s">
        <v>35</v>
      </c>
      <c r="K398" t="s">
        <v>892</v>
      </c>
      <c r="L398">
        <v>92717</v>
      </c>
      <c r="M398" t="s">
        <v>21</v>
      </c>
      <c r="N398" t="str">
        <f>VLOOKUP(A398, Data_Set_2!$A:$D,2,FALSE)</f>
        <v>jvasquez90</v>
      </c>
      <c r="O398" t="str">
        <f>VLOOKUP(A398, Data_Set_2!$A:$D,3,FALSE)</f>
        <v>Jabbertype</v>
      </c>
      <c r="P398" t="str">
        <f>VLOOKUP(A398, Data_Set_2!$A:$D,4,FALSE)</f>
        <v>Mechanical Systems Engineer</v>
      </c>
      <c r="Q398" t="str">
        <f>_xlfn.CONCAT(Table3[[#This Row],[first_name]], " ",Table3[[#This Row],[last_name]])</f>
        <v>Joyce Vasquez</v>
      </c>
    </row>
    <row r="399" spans="1:17" hidden="1" x14ac:dyDescent="0.3">
      <c r="A399">
        <v>326</v>
      </c>
      <c r="B399" t="s">
        <v>476</v>
      </c>
      <c r="C399" t="s">
        <v>455</v>
      </c>
      <c r="D399" t="s">
        <v>477</v>
      </c>
      <c r="E399" t="s">
        <v>32</v>
      </c>
      <c r="F399" t="s">
        <v>33</v>
      </c>
      <c r="G399" s="1">
        <v>267</v>
      </c>
      <c r="H399" t="s">
        <v>62</v>
      </c>
      <c r="I399" s="2">
        <v>43359</v>
      </c>
      <c r="J399" t="s">
        <v>230</v>
      </c>
      <c r="K399" t="s">
        <v>372</v>
      </c>
      <c r="L399">
        <v>27415</v>
      </c>
      <c r="M399" t="s">
        <v>21</v>
      </c>
      <c r="N399" t="str">
        <f>VLOOKUP(A399, Data_Set_2!$A:$D,2,FALSE)</f>
        <v>ghanson91</v>
      </c>
      <c r="O399" t="str">
        <f>VLOOKUP(A399, Data_Set_2!$A:$D,3,FALSE)</f>
        <v>Mymm</v>
      </c>
      <c r="P399" t="str">
        <f>VLOOKUP(A399, Data_Set_2!$A:$D,4,FALSE)</f>
        <v>Human Resources Manager</v>
      </c>
      <c r="Q399" t="str">
        <f>_xlfn.CONCAT(Table3[[#This Row],[first_name]], " ",Table3[[#This Row],[last_name]])</f>
        <v>Gloria Hanson</v>
      </c>
    </row>
    <row r="400" spans="1:17" hidden="1" x14ac:dyDescent="0.3">
      <c r="A400">
        <v>327</v>
      </c>
      <c r="B400" t="s">
        <v>320</v>
      </c>
      <c r="C400" t="s">
        <v>1040</v>
      </c>
      <c r="D400" t="s">
        <v>1148</v>
      </c>
      <c r="E400" t="s">
        <v>32</v>
      </c>
      <c r="F400" t="s">
        <v>17</v>
      </c>
      <c r="G400" s="1">
        <v>906</v>
      </c>
      <c r="H400" t="s">
        <v>26</v>
      </c>
      <c r="I400" s="2">
        <v>44592</v>
      </c>
      <c r="J400" t="s">
        <v>524</v>
      </c>
      <c r="K400" t="s">
        <v>815</v>
      </c>
      <c r="L400">
        <v>35215</v>
      </c>
      <c r="M400" t="s">
        <v>21</v>
      </c>
      <c r="N400" t="str">
        <f>VLOOKUP(A400, Data_Set_2!$A:$D,2,FALSE)</f>
        <v>jreynolds92</v>
      </c>
      <c r="O400" t="str">
        <f>VLOOKUP(A400, Data_Set_2!$A:$D,3,FALSE)</f>
        <v>Vinte</v>
      </c>
      <c r="P400" t="str">
        <f>VLOOKUP(A400, Data_Set_2!$A:$D,4,FALSE)</f>
        <v>Web Designer IV</v>
      </c>
      <c r="Q400" t="str">
        <f>_xlfn.CONCAT(Table3[[#This Row],[first_name]], " ",Table3[[#This Row],[last_name]])</f>
        <v>Julia Reynolds</v>
      </c>
    </row>
    <row r="401" spans="1:17" hidden="1" x14ac:dyDescent="0.3">
      <c r="A401">
        <v>328</v>
      </c>
      <c r="B401" t="s">
        <v>775</v>
      </c>
      <c r="C401" t="s">
        <v>1026</v>
      </c>
      <c r="D401" t="s">
        <v>1112</v>
      </c>
      <c r="E401" t="s">
        <v>16</v>
      </c>
      <c r="F401" t="s">
        <v>33</v>
      </c>
      <c r="G401" s="1">
        <v>874</v>
      </c>
      <c r="H401" t="s">
        <v>34</v>
      </c>
      <c r="I401" s="2">
        <v>44522</v>
      </c>
      <c r="J401" t="s">
        <v>110</v>
      </c>
      <c r="K401" t="s">
        <v>1113</v>
      </c>
      <c r="L401">
        <v>17121</v>
      </c>
      <c r="M401" t="s">
        <v>21</v>
      </c>
      <c r="N401" t="str">
        <f>VLOOKUP(A401, Data_Set_2!$A:$D,2,FALSE)</f>
        <v>jschmidt93</v>
      </c>
      <c r="O401" t="str">
        <f>VLOOKUP(A401, Data_Set_2!$A:$D,3,FALSE)</f>
        <v>Skidoo</v>
      </c>
      <c r="P401" t="str">
        <f>VLOOKUP(A401, Data_Set_2!$A:$D,4,FALSE)</f>
        <v>Mechanical Systems Engineer</v>
      </c>
      <c r="Q401" t="str">
        <f>_xlfn.CONCAT(Table3[[#This Row],[first_name]], " ",Table3[[#This Row],[last_name]])</f>
        <v>Jeffrey Schmidt</v>
      </c>
    </row>
    <row r="402" spans="1:17" hidden="1" x14ac:dyDescent="0.3">
      <c r="A402">
        <v>329</v>
      </c>
      <c r="B402" t="s">
        <v>186</v>
      </c>
      <c r="C402" t="s">
        <v>913</v>
      </c>
      <c r="D402" t="s">
        <v>914</v>
      </c>
      <c r="E402" t="s">
        <v>32</v>
      </c>
      <c r="F402" t="s">
        <v>33</v>
      </c>
      <c r="G402" s="1">
        <v>539</v>
      </c>
      <c r="H402" t="s">
        <v>26</v>
      </c>
      <c r="I402" s="2">
        <v>44042</v>
      </c>
      <c r="J402" t="s">
        <v>35</v>
      </c>
      <c r="K402" t="s">
        <v>915</v>
      </c>
      <c r="L402">
        <v>95973</v>
      </c>
      <c r="M402" t="s">
        <v>21</v>
      </c>
      <c r="N402" t="str">
        <f>VLOOKUP(A402, Data_Set_2!$A:$D,2,FALSE)</f>
        <v>jlarson94</v>
      </c>
      <c r="O402" t="str">
        <f>VLOOKUP(A402, Data_Set_2!$A:$D,3,FALSE)</f>
        <v>Skidoo</v>
      </c>
      <c r="P402" t="str">
        <f>VLOOKUP(A402, Data_Set_2!$A:$D,4,FALSE)</f>
        <v>Paralegal</v>
      </c>
      <c r="Q402" t="str">
        <f>_xlfn.CONCAT(Table3[[#This Row],[first_name]], " ",Table3[[#This Row],[last_name]])</f>
        <v>Judy Larson</v>
      </c>
    </row>
    <row r="403" spans="1:17" hidden="1" x14ac:dyDescent="0.3">
      <c r="A403">
        <v>330</v>
      </c>
      <c r="B403" t="s">
        <v>409</v>
      </c>
      <c r="C403" t="s">
        <v>410</v>
      </c>
      <c r="D403" t="s">
        <v>411</v>
      </c>
      <c r="E403" t="s">
        <v>16</v>
      </c>
      <c r="F403" t="s">
        <v>51</v>
      </c>
      <c r="G403" s="1">
        <v>275</v>
      </c>
      <c r="H403" t="s">
        <v>4037</v>
      </c>
      <c r="I403" s="2">
        <v>43294</v>
      </c>
      <c r="J403" t="s">
        <v>35</v>
      </c>
      <c r="K403" t="s">
        <v>412</v>
      </c>
      <c r="L403">
        <v>92505</v>
      </c>
      <c r="M403" t="s">
        <v>21</v>
      </c>
      <c r="N403" t="str">
        <f>VLOOKUP(A403, Data_Set_2!$A:$D,2,FALSE)</f>
        <v>emoreno95</v>
      </c>
      <c r="O403" t="str">
        <f>VLOOKUP(A403, Data_Set_2!$A:$D,3,FALSE)</f>
        <v>Thoughtsphere</v>
      </c>
      <c r="P403" t="str">
        <f>VLOOKUP(A403, Data_Set_2!$A:$D,4,FALSE)</f>
        <v>Administrative Officer</v>
      </c>
      <c r="Q403" t="str">
        <f>_xlfn.CONCAT(Table3[[#This Row],[first_name]], " ",Table3[[#This Row],[last_name]])</f>
        <v>Edward Moreno</v>
      </c>
    </row>
    <row r="404" spans="1:17" hidden="1" x14ac:dyDescent="0.3">
      <c r="A404">
        <v>330</v>
      </c>
      <c r="B404" t="s">
        <v>409</v>
      </c>
      <c r="C404" t="s">
        <v>410</v>
      </c>
      <c r="D404" t="s">
        <v>411</v>
      </c>
      <c r="E404" t="s">
        <v>16</v>
      </c>
      <c r="F404" t="s">
        <v>51</v>
      </c>
      <c r="G404" s="1">
        <v>572</v>
      </c>
      <c r="H404" t="s">
        <v>4037</v>
      </c>
      <c r="I404" s="2">
        <v>43563</v>
      </c>
      <c r="J404" t="s">
        <v>35</v>
      </c>
      <c r="K404" t="s">
        <v>412</v>
      </c>
      <c r="L404">
        <v>92505</v>
      </c>
      <c r="M404" t="s">
        <v>21</v>
      </c>
      <c r="N404" t="str">
        <f>VLOOKUP(A404, Data_Set_2!$A:$D,2,FALSE)</f>
        <v>emoreno95</v>
      </c>
      <c r="O404" t="str">
        <f>VLOOKUP(A404, Data_Set_2!$A:$D,3,FALSE)</f>
        <v>Thoughtsphere</v>
      </c>
      <c r="P404" t="str">
        <f>VLOOKUP(A404, Data_Set_2!$A:$D,4,FALSE)</f>
        <v>Administrative Officer</v>
      </c>
      <c r="Q404" t="str">
        <f>_xlfn.CONCAT(Table3[[#This Row],[first_name]], " ",Table3[[#This Row],[last_name]])</f>
        <v>Edward Moreno</v>
      </c>
    </row>
    <row r="405" spans="1:17" hidden="1" x14ac:dyDescent="0.3">
      <c r="A405">
        <v>330</v>
      </c>
      <c r="B405" t="s">
        <v>409</v>
      </c>
      <c r="C405" t="s">
        <v>410</v>
      </c>
      <c r="D405" t="s">
        <v>411</v>
      </c>
      <c r="E405" t="s">
        <v>16</v>
      </c>
      <c r="F405" t="s">
        <v>51</v>
      </c>
      <c r="G405" s="1">
        <v>385</v>
      </c>
      <c r="H405" t="s">
        <v>4037</v>
      </c>
      <c r="I405" s="2">
        <v>43571</v>
      </c>
      <c r="J405" t="s">
        <v>35</v>
      </c>
      <c r="K405" t="s">
        <v>412</v>
      </c>
      <c r="L405">
        <v>92505</v>
      </c>
      <c r="M405" t="s">
        <v>21</v>
      </c>
      <c r="N405" t="str">
        <f>VLOOKUP(A405, Data_Set_2!$A:$D,2,FALSE)</f>
        <v>emoreno95</v>
      </c>
      <c r="O405" t="str">
        <f>VLOOKUP(A405, Data_Set_2!$A:$D,3,FALSE)</f>
        <v>Thoughtsphere</v>
      </c>
      <c r="P405" t="str">
        <f>VLOOKUP(A405, Data_Set_2!$A:$D,4,FALSE)</f>
        <v>Administrative Officer</v>
      </c>
      <c r="Q405" t="str">
        <f>_xlfn.CONCAT(Table3[[#This Row],[first_name]], " ",Table3[[#This Row],[last_name]])</f>
        <v>Edward Moreno</v>
      </c>
    </row>
    <row r="406" spans="1:17" hidden="1" x14ac:dyDescent="0.3">
      <c r="A406">
        <v>330</v>
      </c>
      <c r="B406" t="s">
        <v>409</v>
      </c>
      <c r="C406" t="s">
        <v>410</v>
      </c>
      <c r="D406" t="s">
        <v>411</v>
      </c>
      <c r="E406" t="s">
        <v>16</v>
      </c>
      <c r="F406" t="s">
        <v>51</v>
      </c>
      <c r="G406" s="1">
        <v>548</v>
      </c>
      <c r="H406" t="s">
        <v>4037</v>
      </c>
      <c r="I406" s="2">
        <v>43671</v>
      </c>
      <c r="J406" t="s">
        <v>35</v>
      </c>
      <c r="K406" t="s">
        <v>412</v>
      </c>
      <c r="L406">
        <v>92505</v>
      </c>
      <c r="M406" t="s">
        <v>21</v>
      </c>
      <c r="N406" t="str">
        <f>VLOOKUP(A406, Data_Set_2!$A:$D,2,FALSE)</f>
        <v>emoreno95</v>
      </c>
      <c r="O406" t="str">
        <f>VLOOKUP(A406, Data_Set_2!$A:$D,3,FALSE)</f>
        <v>Thoughtsphere</v>
      </c>
      <c r="P406" t="str">
        <f>VLOOKUP(A406, Data_Set_2!$A:$D,4,FALSE)</f>
        <v>Administrative Officer</v>
      </c>
      <c r="Q406" t="str">
        <f>_xlfn.CONCAT(Table3[[#This Row],[first_name]], " ",Table3[[#This Row],[last_name]])</f>
        <v>Edward Moreno</v>
      </c>
    </row>
    <row r="407" spans="1:17" hidden="1" x14ac:dyDescent="0.3">
      <c r="A407">
        <v>330</v>
      </c>
      <c r="B407" t="s">
        <v>409</v>
      </c>
      <c r="C407" t="s">
        <v>410</v>
      </c>
      <c r="D407" t="s">
        <v>411</v>
      </c>
      <c r="E407" t="s">
        <v>16</v>
      </c>
      <c r="F407" t="s">
        <v>51</v>
      </c>
      <c r="G407" s="1">
        <v>659</v>
      </c>
      <c r="H407" t="s">
        <v>4037</v>
      </c>
      <c r="I407" s="2">
        <v>43730</v>
      </c>
      <c r="J407" t="s">
        <v>35</v>
      </c>
      <c r="K407" t="s">
        <v>412</v>
      </c>
      <c r="L407">
        <v>92505</v>
      </c>
      <c r="M407" t="s">
        <v>21</v>
      </c>
      <c r="N407" t="str">
        <f>VLOOKUP(A407, Data_Set_2!$A:$D,2,FALSE)</f>
        <v>emoreno95</v>
      </c>
      <c r="O407" t="str">
        <f>VLOOKUP(A407, Data_Set_2!$A:$D,3,FALSE)</f>
        <v>Thoughtsphere</v>
      </c>
      <c r="P407" t="str">
        <f>VLOOKUP(A407, Data_Set_2!$A:$D,4,FALSE)</f>
        <v>Administrative Officer</v>
      </c>
      <c r="Q407" t="str">
        <f>_xlfn.CONCAT(Table3[[#This Row],[first_name]], " ",Table3[[#This Row],[last_name]])</f>
        <v>Edward Moreno</v>
      </c>
    </row>
    <row r="408" spans="1:17" hidden="1" x14ac:dyDescent="0.3">
      <c r="A408">
        <v>330</v>
      </c>
      <c r="B408" t="s">
        <v>409</v>
      </c>
      <c r="C408" t="s">
        <v>410</v>
      </c>
      <c r="D408" t="s">
        <v>411</v>
      </c>
      <c r="E408" t="s">
        <v>16</v>
      </c>
      <c r="F408" t="s">
        <v>51</v>
      </c>
      <c r="G408" s="1">
        <v>669</v>
      </c>
      <c r="H408" t="s">
        <v>4037</v>
      </c>
      <c r="I408" s="2">
        <v>43946</v>
      </c>
      <c r="J408" t="s">
        <v>35</v>
      </c>
      <c r="K408" t="s">
        <v>412</v>
      </c>
      <c r="L408">
        <v>92505</v>
      </c>
      <c r="M408" t="s">
        <v>21</v>
      </c>
      <c r="N408" t="str">
        <f>VLOOKUP(A408, Data_Set_2!$A:$D,2,FALSE)</f>
        <v>emoreno95</v>
      </c>
      <c r="O408" t="str">
        <f>VLOOKUP(A408, Data_Set_2!$A:$D,3,FALSE)</f>
        <v>Thoughtsphere</v>
      </c>
      <c r="P408" t="str">
        <f>VLOOKUP(A408, Data_Set_2!$A:$D,4,FALSE)</f>
        <v>Administrative Officer</v>
      </c>
      <c r="Q408" t="str">
        <f>_xlfn.CONCAT(Table3[[#This Row],[first_name]], " ",Table3[[#This Row],[last_name]])</f>
        <v>Edward Moreno</v>
      </c>
    </row>
    <row r="409" spans="1:17" hidden="1" x14ac:dyDescent="0.3">
      <c r="A409">
        <v>330</v>
      </c>
      <c r="B409" t="s">
        <v>409</v>
      </c>
      <c r="C409" t="s">
        <v>410</v>
      </c>
      <c r="D409" t="s">
        <v>411</v>
      </c>
      <c r="E409" t="s">
        <v>16</v>
      </c>
      <c r="F409" t="s">
        <v>51</v>
      </c>
      <c r="G409" s="1">
        <v>75</v>
      </c>
      <c r="H409" t="s">
        <v>4037</v>
      </c>
      <c r="I409" s="2">
        <v>44050</v>
      </c>
      <c r="J409" t="s">
        <v>35</v>
      </c>
      <c r="K409" t="s">
        <v>412</v>
      </c>
      <c r="L409">
        <v>92505</v>
      </c>
      <c r="M409" t="s">
        <v>21</v>
      </c>
      <c r="N409" t="str">
        <f>VLOOKUP(A409, Data_Set_2!$A:$D,2,FALSE)</f>
        <v>emoreno95</v>
      </c>
      <c r="O409" t="str">
        <f>VLOOKUP(A409, Data_Set_2!$A:$D,3,FALSE)</f>
        <v>Thoughtsphere</v>
      </c>
      <c r="P409" t="str">
        <f>VLOOKUP(A409, Data_Set_2!$A:$D,4,FALSE)</f>
        <v>Administrative Officer</v>
      </c>
      <c r="Q409" t="str">
        <f>_xlfn.CONCAT(Table3[[#This Row],[first_name]], " ",Table3[[#This Row],[last_name]])</f>
        <v>Edward Moreno</v>
      </c>
    </row>
    <row r="410" spans="1:17" hidden="1" x14ac:dyDescent="0.3">
      <c r="A410">
        <v>330</v>
      </c>
      <c r="B410" t="s">
        <v>409</v>
      </c>
      <c r="C410" t="s">
        <v>410</v>
      </c>
      <c r="D410" t="s">
        <v>411</v>
      </c>
      <c r="E410" t="s">
        <v>16</v>
      </c>
      <c r="F410" t="s">
        <v>51</v>
      </c>
      <c r="G410" s="1">
        <v>819</v>
      </c>
      <c r="H410" t="s">
        <v>4037</v>
      </c>
      <c r="I410" s="2">
        <v>44141</v>
      </c>
      <c r="J410" t="s">
        <v>35</v>
      </c>
      <c r="K410" t="s">
        <v>412</v>
      </c>
      <c r="L410">
        <v>92505</v>
      </c>
      <c r="M410" t="s">
        <v>21</v>
      </c>
      <c r="N410" t="str">
        <f>VLOOKUP(A410, Data_Set_2!$A:$D,2,FALSE)</f>
        <v>emoreno95</v>
      </c>
      <c r="O410" t="str">
        <f>VLOOKUP(A410, Data_Set_2!$A:$D,3,FALSE)</f>
        <v>Thoughtsphere</v>
      </c>
      <c r="P410" t="str">
        <f>VLOOKUP(A410, Data_Set_2!$A:$D,4,FALSE)</f>
        <v>Administrative Officer</v>
      </c>
      <c r="Q410" t="str">
        <f>_xlfn.CONCAT(Table3[[#This Row],[first_name]], " ",Table3[[#This Row],[last_name]])</f>
        <v>Edward Moreno</v>
      </c>
    </row>
    <row r="411" spans="1:17" hidden="1" x14ac:dyDescent="0.3">
      <c r="A411">
        <v>330</v>
      </c>
      <c r="B411" t="s">
        <v>409</v>
      </c>
      <c r="C411" t="s">
        <v>410</v>
      </c>
      <c r="D411" t="s">
        <v>411</v>
      </c>
      <c r="E411" t="s">
        <v>16</v>
      </c>
      <c r="F411" t="s">
        <v>51</v>
      </c>
      <c r="G411" s="1">
        <v>230</v>
      </c>
      <c r="H411" t="s">
        <v>4037</v>
      </c>
      <c r="I411" s="2">
        <v>44498</v>
      </c>
      <c r="J411" t="s">
        <v>35</v>
      </c>
      <c r="K411" t="s">
        <v>412</v>
      </c>
      <c r="L411">
        <v>92505</v>
      </c>
      <c r="M411" t="s">
        <v>21</v>
      </c>
      <c r="N411" t="str">
        <f>VLOOKUP(A411, Data_Set_2!$A:$D,2,FALSE)</f>
        <v>emoreno95</v>
      </c>
      <c r="O411" t="str">
        <f>VLOOKUP(A411, Data_Set_2!$A:$D,3,FALSE)</f>
        <v>Thoughtsphere</v>
      </c>
      <c r="P411" t="str">
        <f>VLOOKUP(A411, Data_Set_2!$A:$D,4,FALSE)</f>
        <v>Administrative Officer</v>
      </c>
      <c r="Q411" t="str">
        <f>_xlfn.CONCAT(Table3[[#This Row],[first_name]], " ",Table3[[#This Row],[last_name]])</f>
        <v>Edward Moreno</v>
      </c>
    </row>
    <row r="412" spans="1:17" hidden="1" x14ac:dyDescent="0.3">
      <c r="A412">
        <v>330</v>
      </c>
      <c r="B412" t="s">
        <v>409</v>
      </c>
      <c r="C412" t="s">
        <v>410</v>
      </c>
      <c r="D412" t="s">
        <v>411</v>
      </c>
      <c r="E412" t="s">
        <v>16</v>
      </c>
      <c r="F412" t="s">
        <v>51</v>
      </c>
      <c r="G412" s="1">
        <v>322</v>
      </c>
      <c r="H412" t="s">
        <v>4037</v>
      </c>
      <c r="I412" s="2">
        <v>44616</v>
      </c>
      <c r="J412" t="s">
        <v>35</v>
      </c>
      <c r="K412" t="s">
        <v>412</v>
      </c>
      <c r="L412">
        <v>92505</v>
      </c>
      <c r="M412" t="s">
        <v>21</v>
      </c>
      <c r="N412" t="str">
        <f>VLOOKUP(A412, Data_Set_2!$A:$D,2,FALSE)</f>
        <v>emoreno95</v>
      </c>
      <c r="O412" t="str">
        <f>VLOOKUP(A412, Data_Set_2!$A:$D,3,FALSE)</f>
        <v>Thoughtsphere</v>
      </c>
      <c r="P412" t="str">
        <f>VLOOKUP(A412, Data_Set_2!$A:$D,4,FALSE)</f>
        <v>Administrative Officer</v>
      </c>
      <c r="Q412" t="str">
        <f>_xlfn.CONCAT(Table3[[#This Row],[first_name]], " ",Table3[[#This Row],[last_name]])</f>
        <v>Edward Moreno</v>
      </c>
    </row>
    <row r="413" spans="1:17" hidden="1" x14ac:dyDescent="0.3">
      <c r="A413">
        <v>330</v>
      </c>
      <c r="B413" t="s">
        <v>409</v>
      </c>
      <c r="C413" t="s">
        <v>410</v>
      </c>
      <c r="D413" t="s">
        <v>411</v>
      </c>
      <c r="E413" t="s">
        <v>16</v>
      </c>
      <c r="F413" t="s">
        <v>51</v>
      </c>
      <c r="G413" s="1">
        <v>366</v>
      </c>
      <c r="H413" t="s">
        <v>4037</v>
      </c>
      <c r="I413" s="2">
        <v>44795</v>
      </c>
      <c r="J413" t="s">
        <v>35</v>
      </c>
      <c r="K413" t="s">
        <v>412</v>
      </c>
      <c r="L413">
        <v>92505</v>
      </c>
      <c r="M413" t="s">
        <v>21</v>
      </c>
      <c r="N413" t="str">
        <f>VLOOKUP(A413, Data_Set_2!$A:$D,2,FALSE)</f>
        <v>emoreno95</v>
      </c>
      <c r="O413" t="str">
        <f>VLOOKUP(A413, Data_Set_2!$A:$D,3,FALSE)</f>
        <v>Thoughtsphere</v>
      </c>
      <c r="P413" t="str">
        <f>VLOOKUP(A413, Data_Set_2!$A:$D,4,FALSE)</f>
        <v>Administrative Officer</v>
      </c>
      <c r="Q413" t="str">
        <f>_xlfn.CONCAT(Table3[[#This Row],[first_name]], " ",Table3[[#This Row],[last_name]])</f>
        <v>Edward Moreno</v>
      </c>
    </row>
    <row r="414" spans="1:17" hidden="1" x14ac:dyDescent="0.3">
      <c r="A414">
        <v>331</v>
      </c>
      <c r="B414" t="s">
        <v>299</v>
      </c>
      <c r="C414" t="s">
        <v>240</v>
      </c>
      <c r="D414" t="s">
        <v>300</v>
      </c>
      <c r="E414" t="s">
        <v>32</v>
      </c>
      <c r="F414" t="s">
        <v>33</v>
      </c>
      <c r="G414" s="1">
        <v>708</v>
      </c>
      <c r="H414" t="s">
        <v>26</v>
      </c>
      <c r="I414" s="2">
        <v>43214</v>
      </c>
      <c r="J414" t="s">
        <v>301</v>
      </c>
      <c r="K414" t="s">
        <v>189</v>
      </c>
      <c r="L414">
        <v>29416</v>
      </c>
      <c r="M414" t="s">
        <v>21</v>
      </c>
      <c r="N414" t="str">
        <f>VLOOKUP(A414, Data_Set_2!$A:$D,2,FALSE)</f>
        <v>jwagner96</v>
      </c>
      <c r="O414" t="str">
        <f>VLOOKUP(A414, Data_Set_2!$A:$D,3,FALSE)</f>
        <v>Youspan</v>
      </c>
      <c r="P414" t="str">
        <f>VLOOKUP(A414, Data_Set_2!$A:$D,4,FALSE)</f>
        <v>VP Marketing</v>
      </c>
      <c r="Q414" t="str">
        <f>_xlfn.CONCAT(Table3[[#This Row],[first_name]], " ",Table3[[#This Row],[last_name]])</f>
        <v>Judith Wagner</v>
      </c>
    </row>
    <row r="415" spans="1:17" hidden="1" x14ac:dyDescent="0.3">
      <c r="A415">
        <v>331</v>
      </c>
      <c r="B415" t="s">
        <v>299</v>
      </c>
      <c r="C415" t="s">
        <v>240</v>
      </c>
      <c r="D415" t="s">
        <v>300</v>
      </c>
      <c r="E415" t="s">
        <v>32</v>
      </c>
      <c r="F415" t="s">
        <v>33</v>
      </c>
      <c r="G415" s="1">
        <v>657</v>
      </c>
      <c r="H415" t="s">
        <v>26</v>
      </c>
      <c r="I415" s="2">
        <v>43728</v>
      </c>
      <c r="J415" t="s">
        <v>301</v>
      </c>
      <c r="K415" t="s">
        <v>189</v>
      </c>
      <c r="L415">
        <v>29416</v>
      </c>
      <c r="M415" t="s">
        <v>21</v>
      </c>
      <c r="N415" t="str">
        <f>VLOOKUP(A415, Data_Set_2!$A:$D,2,FALSE)</f>
        <v>jwagner96</v>
      </c>
      <c r="O415" t="str">
        <f>VLOOKUP(A415, Data_Set_2!$A:$D,3,FALSE)</f>
        <v>Youspan</v>
      </c>
      <c r="P415" t="str">
        <f>VLOOKUP(A415, Data_Set_2!$A:$D,4,FALSE)</f>
        <v>VP Marketing</v>
      </c>
      <c r="Q415" t="str">
        <f>_xlfn.CONCAT(Table3[[#This Row],[first_name]], " ",Table3[[#This Row],[last_name]])</f>
        <v>Judith Wagner</v>
      </c>
    </row>
    <row r="416" spans="1:17" hidden="1" x14ac:dyDescent="0.3">
      <c r="A416">
        <v>331</v>
      </c>
      <c r="B416" t="s">
        <v>299</v>
      </c>
      <c r="C416" t="s">
        <v>240</v>
      </c>
      <c r="D416" t="s">
        <v>300</v>
      </c>
      <c r="E416" t="s">
        <v>32</v>
      </c>
      <c r="F416" t="s">
        <v>33</v>
      </c>
      <c r="G416" s="1">
        <v>484</v>
      </c>
      <c r="H416" t="s">
        <v>26</v>
      </c>
      <c r="I416" s="2">
        <v>43877</v>
      </c>
      <c r="J416" t="s">
        <v>301</v>
      </c>
      <c r="K416" t="s">
        <v>189</v>
      </c>
      <c r="L416">
        <v>29416</v>
      </c>
      <c r="M416" t="s">
        <v>21</v>
      </c>
      <c r="N416" t="str">
        <f>VLOOKUP(A416, Data_Set_2!$A:$D,2,FALSE)</f>
        <v>jwagner96</v>
      </c>
      <c r="O416" t="str">
        <f>VLOOKUP(A416, Data_Set_2!$A:$D,3,FALSE)</f>
        <v>Youspan</v>
      </c>
      <c r="P416" t="str">
        <f>VLOOKUP(A416, Data_Set_2!$A:$D,4,FALSE)</f>
        <v>VP Marketing</v>
      </c>
      <c r="Q416" t="str">
        <f>_xlfn.CONCAT(Table3[[#This Row],[first_name]], " ",Table3[[#This Row],[last_name]])</f>
        <v>Judith Wagner</v>
      </c>
    </row>
    <row r="417" spans="1:17" hidden="1" x14ac:dyDescent="0.3">
      <c r="A417">
        <v>331</v>
      </c>
      <c r="B417" t="s">
        <v>299</v>
      </c>
      <c r="C417" t="s">
        <v>240</v>
      </c>
      <c r="D417" t="s">
        <v>300</v>
      </c>
      <c r="E417" t="s">
        <v>32</v>
      </c>
      <c r="F417" t="s">
        <v>33</v>
      </c>
      <c r="G417" s="1">
        <v>368</v>
      </c>
      <c r="H417" t="s">
        <v>26</v>
      </c>
      <c r="I417" s="2">
        <v>44117</v>
      </c>
      <c r="J417" t="s">
        <v>301</v>
      </c>
      <c r="K417" t="s">
        <v>189</v>
      </c>
      <c r="L417">
        <v>29416</v>
      </c>
      <c r="M417" t="s">
        <v>21</v>
      </c>
      <c r="N417" t="str">
        <f>VLOOKUP(A417, Data_Set_2!$A:$D,2,FALSE)</f>
        <v>jwagner96</v>
      </c>
      <c r="O417" t="str">
        <f>VLOOKUP(A417, Data_Set_2!$A:$D,3,FALSE)</f>
        <v>Youspan</v>
      </c>
      <c r="P417" t="str">
        <f>VLOOKUP(A417, Data_Set_2!$A:$D,4,FALSE)</f>
        <v>VP Marketing</v>
      </c>
      <c r="Q417" t="str">
        <f>_xlfn.CONCAT(Table3[[#This Row],[first_name]], " ",Table3[[#This Row],[last_name]])</f>
        <v>Judith Wagner</v>
      </c>
    </row>
    <row r="418" spans="1:17" hidden="1" x14ac:dyDescent="0.3">
      <c r="A418">
        <v>331</v>
      </c>
      <c r="B418" t="s">
        <v>299</v>
      </c>
      <c r="C418" t="s">
        <v>240</v>
      </c>
      <c r="D418" t="s">
        <v>300</v>
      </c>
      <c r="E418" t="s">
        <v>32</v>
      </c>
      <c r="F418" t="s">
        <v>33</v>
      </c>
      <c r="G418" s="1">
        <v>161</v>
      </c>
      <c r="H418" t="s">
        <v>26</v>
      </c>
      <c r="I418" s="2">
        <v>44649</v>
      </c>
      <c r="J418" t="s">
        <v>301</v>
      </c>
      <c r="K418" t="s">
        <v>189</v>
      </c>
      <c r="L418">
        <v>29416</v>
      </c>
      <c r="M418" t="s">
        <v>21</v>
      </c>
      <c r="N418" t="str">
        <f>VLOOKUP(A418, Data_Set_2!$A:$D,2,FALSE)</f>
        <v>jwagner96</v>
      </c>
      <c r="O418" t="str">
        <f>VLOOKUP(A418, Data_Set_2!$A:$D,3,FALSE)</f>
        <v>Youspan</v>
      </c>
      <c r="P418" t="str">
        <f>VLOOKUP(A418, Data_Set_2!$A:$D,4,FALSE)</f>
        <v>VP Marketing</v>
      </c>
      <c r="Q418" t="str">
        <f>_xlfn.CONCAT(Table3[[#This Row],[first_name]], " ",Table3[[#This Row],[last_name]])</f>
        <v>Judith Wagner</v>
      </c>
    </row>
    <row r="419" spans="1:17" hidden="1" x14ac:dyDescent="0.3">
      <c r="A419">
        <v>331</v>
      </c>
      <c r="B419" t="s">
        <v>299</v>
      </c>
      <c r="C419" t="s">
        <v>240</v>
      </c>
      <c r="D419" t="s">
        <v>300</v>
      </c>
      <c r="E419" t="s">
        <v>32</v>
      </c>
      <c r="F419" t="s">
        <v>33</v>
      </c>
      <c r="G419" s="1">
        <v>62</v>
      </c>
      <c r="H419" t="s">
        <v>26</v>
      </c>
      <c r="I419" s="2">
        <v>44721</v>
      </c>
      <c r="J419" t="s">
        <v>301</v>
      </c>
      <c r="K419" t="s">
        <v>189</v>
      </c>
      <c r="L419">
        <v>29416</v>
      </c>
      <c r="M419" t="s">
        <v>21</v>
      </c>
      <c r="N419" t="str">
        <f>VLOOKUP(A419, Data_Set_2!$A:$D,2,FALSE)</f>
        <v>jwagner96</v>
      </c>
      <c r="O419" t="str">
        <f>VLOOKUP(A419, Data_Set_2!$A:$D,3,FALSE)</f>
        <v>Youspan</v>
      </c>
      <c r="P419" t="str">
        <f>VLOOKUP(A419, Data_Set_2!$A:$D,4,FALSE)</f>
        <v>VP Marketing</v>
      </c>
      <c r="Q419" t="str">
        <f>_xlfn.CONCAT(Table3[[#This Row],[first_name]], " ",Table3[[#This Row],[last_name]])</f>
        <v>Judith Wagner</v>
      </c>
    </row>
    <row r="420" spans="1:17" hidden="1" x14ac:dyDescent="0.3">
      <c r="A420">
        <v>332</v>
      </c>
      <c r="B420" t="s">
        <v>213</v>
      </c>
      <c r="C420" t="s">
        <v>272</v>
      </c>
      <c r="D420" t="s">
        <v>486</v>
      </c>
      <c r="E420" t="s">
        <v>16</v>
      </c>
      <c r="F420" t="s">
        <v>33</v>
      </c>
      <c r="G420" s="1">
        <v>643</v>
      </c>
      <c r="H420" t="s">
        <v>4037</v>
      </c>
      <c r="I420" s="2">
        <v>43363</v>
      </c>
      <c r="J420" t="s">
        <v>68</v>
      </c>
      <c r="K420" t="s">
        <v>487</v>
      </c>
      <c r="L420">
        <v>79415</v>
      </c>
      <c r="M420" t="s">
        <v>21</v>
      </c>
      <c r="N420" t="str">
        <f>VLOOKUP(A420, Data_Set_2!$A:$D,2,FALSE)</f>
        <v>aboyd97</v>
      </c>
      <c r="O420" t="str">
        <f>VLOOKUP(A420, Data_Set_2!$A:$D,3,FALSE)</f>
        <v>Kwimbee</v>
      </c>
      <c r="P420" t="str">
        <f>VLOOKUP(A420, Data_Set_2!$A:$D,4,FALSE)</f>
        <v>Nuclear Power Engineer</v>
      </c>
      <c r="Q420" t="str">
        <f>_xlfn.CONCAT(Table3[[#This Row],[first_name]], " ",Table3[[#This Row],[last_name]])</f>
        <v>Alan Boyd</v>
      </c>
    </row>
    <row r="421" spans="1:17" hidden="1" x14ac:dyDescent="0.3">
      <c r="A421">
        <v>332</v>
      </c>
      <c r="B421" t="s">
        <v>213</v>
      </c>
      <c r="C421" t="s">
        <v>272</v>
      </c>
      <c r="D421" t="s">
        <v>486</v>
      </c>
      <c r="E421" t="s">
        <v>16</v>
      </c>
      <c r="F421" t="s">
        <v>33</v>
      </c>
      <c r="G421" s="1">
        <v>338</v>
      </c>
      <c r="H421" t="s">
        <v>4037</v>
      </c>
      <c r="I421" s="2">
        <v>43609</v>
      </c>
      <c r="J421" t="s">
        <v>68</v>
      </c>
      <c r="K421" t="s">
        <v>487</v>
      </c>
      <c r="L421">
        <v>79415</v>
      </c>
      <c r="M421" t="s">
        <v>21</v>
      </c>
      <c r="N421" t="str">
        <f>VLOOKUP(A421, Data_Set_2!$A:$D,2,FALSE)</f>
        <v>aboyd97</v>
      </c>
      <c r="O421" t="str">
        <f>VLOOKUP(A421, Data_Set_2!$A:$D,3,FALSE)</f>
        <v>Kwimbee</v>
      </c>
      <c r="P421" t="str">
        <f>VLOOKUP(A421, Data_Set_2!$A:$D,4,FALSE)</f>
        <v>Nuclear Power Engineer</v>
      </c>
      <c r="Q421" t="str">
        <f>_xlfn.CONCAT(Table3[[#This Row],[first_name]], " ",Table3[[#This Row],[last_name]])</f>
        <v>Alan Boyd</v>
      </c>
    </row>
    <row r="422" spans="1:17" hidden="1" x14ac:dyDescent="0.3">
      <c r="A422">
        <v>332</v>
      </c>
      <c r="B422" t="s">
        <v>213</v>
      </c>
      <c r="C422" t="s">
        <v>272</v>
      </c>
      <c r="D422" t="s">
        <v>486</v>
      </c>
      <c r="E422" t="s">
        <v>16</v>
      </c>
      <c r="F422" t="s">
        <v>33</v>
      </c>
      <c r="G422" s="1">
        <v>25</v>
      </c>
      <c r="H422" t="s">
        <v>4037</v>
      </c>
      <c r="I422" s="2">
        <v>43805</v>
      </c>
      <c r="J422" t="s">
        <v>68</v>
      </c>
      <c r="K422" t="s">
        <v>487</v>
      </c>
      <c r="L422">
        <v>79415</v>
      </c>
      <c r="M422" t="s">
        <v>21</v>
      </c>
      <c r="N422" t="str">
        <f>VLOOKUP(A422, Data_Set_2!$A:$D,2,FALSE)</f>
        <v>aboyd97</v>
      </c>
      <c r="O422" t="str">
        <f>VLOOKUP(A422, Data_Set_2!$A:$D,3,FALSE)</f>
        <v>Kwimbee</v>
      </c>
      <c r="P422" t="str">
        <f>VLOOKUP(A422, Data_Set_2!$A:$D,4,FALSE)</f>
        <v>Nuclear Power Engineer</v>
      </c>
      <c r="Q422" t="str">
        <f>_xlfn.CONCAT(Table3[[#This Row],[first_name]], " ",Table3[[#This Row],[last_name]])</f>
        <v>Alan Boyd</v>
      </c>
    </row>
    <row r="423" spans="1:17" hidden="1" x14ac:dyDescent="0.3">
      <c r="A423">
        <v>332</v>
      </c>
      <c r="B423" t="s">
        <v>213</v>
      </c>
      <c r="C423" t="s">
        <v>272</v>
      </c>
      <c r="D423" t="s">
        <v>486</v>
      </c>
      <c r="E423" t="s">
        <v>16</v>
      </c>
      <c r="F423" t="s">
        <v>33</v>
      </c>
      <c r="G423" s="1">
        <v>687</v>
      </c>
      <c r="H423" t="s">
        <v>4037</v>
      </c>
      <c r="I423" s="2">
        <v>44233</v>
      </c>
      <c r="J423" t="s">
        <v>68</v>
      </c>
      <c r="K423" t="s">
        <v>487</v>
      </c>
      <c r="L423">
        <v>79415</v>
      </c>
      <c r="M423" t="s">
        <v>21</v>
      </c>
      <c r="N423" t="str">
        <f>VLOOKUP(A423, Data_Set_2!$A:$D,2,FALSE)</f>
        <v>aboyd97</v>
      </c>
      <c r="O423" t="str">
        <f>VLOOKUP(A423, Data_Set_2!$A:$D,3,FALSE)</f>
        <v>Kwimbee</v>
      </c>
      <c r="P423" t="str">
        <f>VLOOKUP(A423, Data_Set_2!$A:$D,4,FALSE)</f>
        <v>Nuclear Power Engineer</v>
      </c>
      <c r="Q423" t="str">
        <f>_xlfn.CONCAT(Table3[[#This Row],[first_name]], " ",Table3[[#This Row],[last_name]])</f>
        <v>Alan Boyd</v>
      </c>
    </row>
    <row r="424" spans="1:17" hidden="1" x14ac:dyDescent="0.3">
      <c r="A424">
        <v>332</v>
      </c>
      <c r="B424" t="s">
        <v>213</v>
      </c>
      <c r="C424" t="s">
        <v>272</v>
      </c>
      <c r="D424" t="s">
        <v>486</v>
      </c>
      <c r="E424" t="s">
        <v>16</v>
      </c>
      <c r="F424" t="s">
        <v>33</v>
      </c>
      <c r="G424" s="1">
        <v>234</v>
      </c>
      <c r="H424" t="s">
        <v>4037</v>
      </c>
      <c r="I424" s="2">
        <v>44389</v>
      </c>
      <c r="J424" t="s">
        <v>68</v>
      </c>
      <c r="K424" t="s">
        <v>487</v>
      </c>
      <c r="L424">
        <v>79415</v>
      </c>
      <c r="M424" t="s">
        <v>21</v>
      </c>
      <c r="N424" t="str">
        <f>VLOOKUP(A424, Data_Set_2!$A:$D,2,FALSE)</f>
        <v>aboyd97</v>
      </c>
      <c r="O424" t="str">
        <f>VLOOKUP(A424, Data_Set_2!$A:$D,3,FALSE)</f>
        <v>Kwimbee</v>
      </c>
      <c r="P424" t="str">
        <f>VLOOKUP(A424, Data_Set_2!$A:$D,4,FALSE)</f>
        <v>Nuclear Power Engineer</v>
      </c>
      <c r="Q424" t="str">
        <f>_xlfn.CONCAT(Table3[[#This Row],[first_name]], " ",Table3[[#This Row],[last_name]])</f>
        <v>Alan Boyd</v>
      </c>
    </row>
    <row r="425" spans="1:17" hidden="1" x14ac:dyDescent="0.3">
      <c r="A425">
        <v>333</v>
      </c>
      <c r="B425" t="s">
        <v>65</v>
      </c>
      <c r="C425" t="s">
        <v>66</v>
      </c>
      <c r="D425" t="s">
        <v>67</v>
      </c>
      <c r="E425" t="s">
        <v>16</v>
      </c>
      <c r="F425" t="s">
        <v>33</v>
      </c>
      <c r="G425" s="1">
        <v>313</v>
      </c>
      <c r="H425" t="s">
        <v>26</v>
      </c>
      <c r="I425" s="2">
        <v>43113</v>
      </c>
      <c r="J425" t="s">
        <v>68</v>
      </c>
      <c r="K425" t="s">
        <v>69</v>
      </c>
      <c r="L425">
        <v>78749</v>
      </c>
      <c r="M425" t="s">
        <v>21</v>
      </c>
      <c r="N425" t="str">
        <f>VLOOKUP(A425, Data_Set_2!$A:$D,2,FALSE)</f>
        <v>kperry98</v>
      </c>
      <c r="O425" t="str">
        <f>VLOOKUP(A425, Data_Set_2!$A:$D,3,FALSE)</f>
        <v>Blognation</v>
      </c>
      <c r="P425" t="str">
        <f>VLOOKUP(A425, Data_Set_2!$A:$D,4,FALSE)</f>
        <v>GIS Technical Architect</v>
      </c>
      <c r="Q425" t="str">
        <f>_xlfn.CONCAT(Table3[[#This Row],[first_name]], " ",Table3[[#This Row],[last_name]])</f>
        <v>Kenneth Perry</v>
      </c>
    </row>
    <row r="426" spans="1:17" hidden="1" x14ac:dyDescent="0.3">
      <c r="A426">
        <v>333</v>
      </c>
      <c r="B426" t="s">
        <v>65</v>
      </c>
      <c r="C426" t="s">
        <v>66</v>
      </c>
      <c r="D426" t="s">
        <v>67</v>
      </c>
      <c r="E426" t="s">
        <v>16</v>
      </c>
      <c r="F426" t="s">
        <v>33</v>
      </c>
      <c r="G426" s="1">
        <v>247</v>
      </c>
      <c r="H426" t="s">
        <v>26</v>
      </c>
      <c r="I426" s="2">
        <v>43125</v>
      </c>
      <c r="J426" t="s">
        <v>68</v>
      </c>
      <c r="K426" t="s">
        <v>69</v>
      </c>
      <c r="L426">
        <v>78749</v>
      </c>
      <c r="M426" t="s">
        <v>21</v>
      </c>
      <c r="N426" t="str">
        <f>VLOOKUP(A426, Data_Set_2!$A:$D,2,FALSE)</f>
        <v>kperry98</v>
      </c>
      <c r="O426" t="str">
        <f>VLOOKUP(A426, Data_Set_2!$A:$D,3,FALSE)</f>
        <v>Blognation</v>
      </c>
      <c r="P426" t="str">
        <f>VLOOKUP(A426, Data_Set_2!$A:$D,4,FALSE)</f>
        <v>GIS Technical Architect</v>
      </c>
      <c r="Q426" t="str">
        <f>_xlfn.CONCAT(Table3[[#This Row],[first_name]], " ",Table3[[#This Row],[last_name]])</f>
        <v>Kenneth Perry</v>
      </c>
    </row>
    <row r="427" spans="1:17" hidden="1" x14ac:dyDescent="0.3">
      <c r="A427">
        <v>333</v>
      </c>
      <c r="B427" t="s">
        <v>65</v>
      </c>
      <c r="C427" t="s">
        <v>66</v>
      </c>
      <c r="D427" t="s">
        <v>67</v>
      </c>
      <c r="E427" t="s">
        <v>16</v>
      </c>
      <c r="F427" t="s">
        <v>33</v>
      </c>
      <c r="G427" s="1">
        <v>716</v>
      </c>
      <c r="H427" t="s">
        <v>26</v>
      </c>
      <c r="I427" s="2">
        <v>43149</v>
      </c>
      <c r="J427" t="s">
        <v>68</v>
      </c>
      <c r="K427" t="s">
        <v>69</v>
      </c>
      <c r="L427">
        <v>78749</v>
      </c>
      <c r="M427" t="s">
        <v>21</v>
      </c>
      <c r="N427" t="str">
        <f>VLOOKUP(A427, Data_Set_2!$A:$D,2,FALSE)</f>
        <v>kperry98</v>
      </c>
      <c r="O427" t="str">
        <f>VLOOKUP(A427, Data_Set_2!$A:$D,3,FALSE)</f>
        <v>Blognation</v>
      </c>
      <c r="P427" t="str">
        <f>VLOOKUP(A427, Data_Set_2!$A:$D,4,FALSE)</f>
        <v>GIS Technical Architect</v>
      </c>
      <c r="Q427" t="str">
        <f>_xlfn.CONCAT(Table3[[#This Row],[first_name]], " ",Table3[[#This Row],[last_name]])</f>
        <v>Kenneth Perry</v>
      </c>
    </row>
    <row r="428" spans="1:17" hidden="1" x14ac:dyDescent="0.3">
      <c r="A428">
        <v>333</v>
      </c>
      <c r="B428" t="s">
        <v>65</v>
      </c>
      <c r="C428" t="s">
        <v>66</v>
      </c>
      <c r="D428" t="s">
        <v>67</v>
      </c>
      <c r="E428" t="s">
        <v>16</v>
      </c>
      <c r="F428" t="s">
        <v>33</v>
      </c>
      <c r="G428" s="1">
        <v>572</v>
      </c>
      <c r="H428" t="s">
        <v>26</v>
      </c>
      <c r="I428" s="2">
        <v>43164</v>
      </c>
      <c r="J428" t="s">
        <v>68</v>
      </c>
      <c r="K428" t="s">
        <v>69</v>
      </c>
      <c r="L428">
        <v>78749</v>
      </c>
      <c r="M428" t="s">
        <v>21</v>
      </c>
      <c r="N428" t="str">
        <f>VLOOKUP(A428, Data_Set_2!$A:$D,2,FALSE)</f>
        <v>kperry98</v>
      </c>
      <c r="O428" t="str">
        <f>VLOOKUP(A428, Data_Set_2!$A:$D,3,FALSE)</f>
        <v>Blognation</v>
      </c>
      <c r="P428" t="str">
        <f>VLOOKUP(A428, Data_Set_2!$A:$D,4,FALSE)</f>
        <v>GIS Technical Architect</v>
      </c>
      <c r="Q428" t="str">
        <f>_xlfn.CONCAT(Table3[[#This Row],[first_name]], " ",Table3[[#This Row],[last_name]])</f>
        <v>Kenneth Perry</v>
      </c>
    </row>
    <row r="429" spans="1:17" hidden="1" x14ac:dyDescent="0.3">
      <c r="A429">
        <v>333</v>
      </c>
      <c r="B429" t="s">
        <v>65</v>
      </c>
      <c r="C429" t="s">
        <v>66</v>
      </c>
      <c r="D429" t="s">
        <v>67</v>
      </c>
      <c r="E429" t="s">
        <v>16</v>
      </c>
      <c r="F429" t="s">
        <v>33</v>
      </c>
      <c r="G429" s="1">
        <v>533</v>
      </c>
      <c r="H429" t="s">
        <v>26</v>
      </c>
      <c r="I429" s="2">
        <v>43186</v>
      </c>
      <c r="J429" t="s">
        <v>68</v>
      </c>
      <c r="K429" t="s">
        <v>69</v>
      </c>
      <c r="L429">
        <v>78749</v>
      </c>
      <c r="M429" t="s">
        <v>21</v>
      </c>
      <c r="N429" t="str">
        <f>VLOOKUP(A429, Data_Set_2!$A:$D,2,FALSE)</f>
        <v>kperry98</v>
      </c>
      <c r="O429" t="str">
        <f>VLOOKUP(A429, Data_Set_2!$A:$D,3,FALSE)</f>
        <v>Blognation</v>
      </c>
      <c r="P429" t="str">
        <f>VLOOKUP(A429, Data_Set_2!$A:$D,4,FALSE)</f>
        <v>GIS Technical Architect</v>
      </c>
      <c r="Q429" t="str">
        <f>_xlfn.CONCAT(Table3[[#This Row],[first_name]], " ",Table3[[#This Row],[last_name]])</f>
        <v>Kenneth Perry</v>
      </c>
    </row>
    <row r="430" spans="1:17" hidden="1" x14ac:dyDescent="0.3">
      <c r="A430">
        <v>333</v>
      </c>
      <c r="B430" t="s">
        <v>65</v>
      </c>
      <c r="C430" t="s">
        <v>66</v>
      </c>
      <c r="D430" t="s">
        <v>67</v>
      </c>
      <c r="E430" t="s">
        <v>16</v>
      </c>
      <c r="F430" t="s">
        <v>33</v>
      </c>
      <c r="G430" s="1">
        <v>227</v>
      </c>
      <c r="H430" t="s">
        <v>26</v>
      </c>
      <c r="I430" s="2">
        <v>43189</v>
      </c>
      <c r="J430" t="s">
        <v>68</v>
      </c>
      <c r="K430" t="s">
        <v>69</v>
      </c>
      <c r="L430">
        <v>78749</v>
      </c>
      <c r="M430" t="s">
        <v>21</v>
      </c>
      <c r="N430" t="str">
        <f>VLOOKUP(A430, Data_Set_2!$A:$D,2,FALSE)</f>
        <v>kperry98</v>
      </c>
      <c r="O430" t="str">
        <f>VLOOKUP(A430, Data_Set_2!$A:$D,3,FALSE)</f>
        <v>Blognation</v>
      </c>
      <c r="P430" t="str">
        <f>VLOOKUP(A430, Data_Set_2!$A:$D,4,FALSE)</f>
        <v>GIS Technical Architect</v>
      </c>
      <c r="Q430" t="str">
        <f>_xlfn.CONCAT(Table3[[#This Row],[first_name]], " ",Table3[[#This Row],[last_name]])</f>
        <v>Kenneth Perry</v>
      </c>
    </row>
    <row r="431" spans="1:17" hidden="1" x14ac:dyDescent="0.3">
      <c r="A431">
        <v>333</v>
      </c>
      <c r="B431" t="s">
        <v>65</v>
      </c>
      <c r="C431" t="s">
        <v>66</v>
      </c>
      <c r="D431" t="s">
        <v>67</v>
      </c>
      <c r="E431" t="s">
        <v>16</v>
      </c>
      <c r="F431" t="s">
        <v>33</v>
      </c>
      <c r="G431" s="1">
        <v>101</v>
      </c>
      <c r="H431" t="s">
        <v>26</v>
      </c>
      <c r="I431" s="2">
        <v>43207</v>
      </c>
      <c r="J431" t="s">
        <v>68</v>
      </c>
      <c r="K431" t="s">
        <v>69</v>
      </c>
      <c r="L431">
        <v>78749</v>
      </c>
      <c r="M431" t="s">
        <v>21</v>
      </c>
      <c r="N431" t="str">
        <f>VLOOKUP(A431, Data_Set_2!$A:$D,2,FALSE)</f>
        <v>kperry98</v>
      </c>
      <c r="O431" t="str">
        <f>VLOOKUP(A431, Data_Set_2!$A:$D,3,FALSE)</f>
        <v>Blognation</v>
      </c>
      <c r="P431" t="str">
        <f>VLOOKUP(A431, Data_Set_2!$A:$D,4,FALSE)</f>
        <v>GIS Technical Architect</v>
      </c>
      <c r="Q431" t="str">
        <f>_xlfn.CONCAT(Table3[[#This Row],[first_name]], " ",Table3[[#This Row],[last_name]])</f>
        <v>Kenneth Perry</v>
      </c>
    </row>
    <row r="432" spans="1:17" hidden="1" x14ac:dyDescent="0.3">
      <c r="A432">
        <v>333</v>
      </c>
      <c r="B432" t="s">
        <v>65</v>
      </c>
      <c r="C432" t="s">
        <v>66</v>
      </c>
      <c r="D432" t="s">
        <v>67</v>
      </c>
      <c r="E432" t="s">
        <v>16</v>
      </c>
      <c r="F432" t="s">
        <v>33</v>
      </c>
      <c r="G432" s="1">
        <v>641</v>
      </c>
      <c r="H432" t="s">
        <v>26</v>
      </c>
      <c r="I432" s="2">
        <v>43212</v>
      </c>
      <c r="J432" t="s">
        <v>68</v>
      </c>
      <c r="K432" t="s">
        <v>69</v>
      </c>
      <c r="L432">
        <v>78749</v>
      </c>
      <c r="M432" t="s">
        <v>21</v>
      </c>
      <c r="N432" t="str">
        <f>VLOOKUP(A432, Data_Set_2!$A:$D,2,FALSE)</f>
        <v>kperry98</v>
      </c>
      <c r="O432" t="str">
        <f>VLOOKUP(A432, Data_Set_2!$A:$D,3,FALSE)</f>
        <v>Blognation</v>
      </c>
      <c r="P432" t="str">
        <f>VLOOKUP(A432, Data_Set_2!$A:$D,4,FALSE)</f>
        <v>GIS Technical Architect</v>
      </c>
      <c r="Q432" t="str">
        <f>_xlfn.CONCAT(Table3[[#This Row],[first_name]], " ",Table3[[#This Row],[last_name]])</f>
        <v>Kenneth Perry</v>
      </c>
    </row>
    <row r="433" spans="1:17" hidden="1" x14ac:dyDescent="0.3">
      <c r="A433">
        <v>333</v>
      </c>
      <c r="B433" t="s">
        <v>65</v>
      </c>
      <c r="C433" t="s">
        <v>66</v>
      </c>
      <c r="D433" t="s">
        <v>67</v>
      </c>
      <c r="E433" t="s">
        <v>16</v>
      </c>
      <c r="F433" t="s">
        <v>33</v>
      </c>
      <c r="G433" s="1">
        <v>85</v>
      </c>
      <c r="H433" t="s">
        <v>26</v>
      </c>
      <c r="I433" s="2">
        <v>43243</v>
      </c>
      <c r="J433" t="s">
        <v>68</v>
      </c>
      <c r="K433" t="s">
        <v>69</v>
      </c>
      <c r="L433">
        <v>78749</v>
      </c>
      <c r="M433" t="s">
        <v>21</v>
      </c>
      <c r="N433" t="str">
        <f>VLOOKUP(A433, Data_Set_2!$A:$D,2,FALSE)</f>
        <v>kperry98</v>
      </c>
      <c r="O433" t="str">
        <f>VLOOKUP(A433, Data_Set_2!$A:$D,3,FALSE)</f>
        <v>Blognation</v>
      </c>
      <c r="P433" t="str">
        <f>VLOOKUP(A433, Data_Set_2!$A:$D,4,FALSE)</f>
        <v>GIS Technical Architect</v>
      </c>
      <c r="Q433" t="str">
        <f>_xlfn.CONCAT(Table3[[#This Row],[first_name]], " ",Table3[[#This Row],[last_name]])</f>
        <v>Kenneth Perry</v>
      </c>
    </row>
    <row r="434" spans="1:17" hidden="1" x14ac:dyDescent="0.3">
      <c r="A434">
        <v>333</v>
      </c>
      <c r="B434" t="s">
        <v>65</v>
      </c>
      <c r="C434" t="s">
        <v>66</v>
      </c>
      <c r="D434" t="s">
        <v>67</v>
      </c>
      <c r="E434" t="s">
        <v>16</v>
      </c>
      <c r="F434" t="s">
        <v>33</v>
      </c>
      <c r="G434" s="1">
        <v>661</v>
      </c>
      <c r="H434" t="s">
        <v>26</v>
      </c>
      <c r="I434" s="2">
        <v>43254</v>
      </c>
      <c r="J434" t="s">
        <v>68</v>
      </c>
      <c r="K434" t="s">
        <v>69</v>
      </c>
      <c r="L434">
        <v>78749</v>
      </c>
      <c r="M434" t="s">
        <v>21</v>
      </c>
      <c r="N434" t="str">
        <f>VLOOKUP(A434, Data_Set_2!$A:$D,2,FALSE)</f>
        <v>kperry98</v>
      </c>
      <c r="O434" t="str">
        <f>VLOOKUP(A434, Data_Set_2!$A:$D,3,FALSE)</f>
        <v>Blognation</v>
      </c>
      <c r="P434" t="str">
        <f>VLOOKUP(A434, Data_Set_2!$A:$D,4,FALSE)</f>
        <v>GIS Technical Architect</v>
      </c>
      <c r="Q434" t="str">
        <f>_xlfn.CONCAT(Table3[[#This Row],[first_name]], " ",Table3[[#This Row],[last_name]])</f>
        <v>Kenneth Perry</v>
      </c>
    </row>
    <row r="435" spans="1:17" hidden="1" x14ac:dyDescent="0.3">
      <c r="A435">
        <v>333</v>
      </c>
      <c r="B435" t="s">
        <v>65</v>
      </c>
      <c r="C435" t="s">
        <v>66</v>
      </c>
      <c r="D435" t="s">
        <v>67</v>
      </c>
      <c r="E435" t="s">
        <v>16</v>
      </c>
      <c r="F435" t="s">
        <v>33</v>
      </c>
      <c r="G435" s="1">
        <v>475</v>
      </c>
      <c r="H435" t="s">
        <v>26</v>
      </c>
      <c r="I435" s="2">
        <v>43255</v>
      </c>
      <c r="J435" t="s">
        <v>68</v>
      </c>
      <c r="K435" t="s">
        <v>69</v>
      </c>
      <c r="L435">
        <v>78749</v>
      </c>
      <c r="M435" t="s">
        <v>21</v>
      </c>
      <c r="N435" t="str">
        <f>VLOOKUP(A435, Data_Set_2!$A:$D,2,FALSE)</f>
        <v>kperry98</v>
      </c>
      <c r="O435" t="str">
        <f>VLOOKUP(A435, Data_Set_2!$A:$D,3,FALSE)</f>
        <v>Blognation</v>
      </c>
      <c r="P435" t="str">
        <f>VLOOKUP(A435, Data_Set_2!$A:$D,4,FALSE)</f>
        <v>GIS Technical Architect</v>
      </c>
      <c r="Q435" t="str">
        <f>_xlfn.CONCAT(Table3[[#This Row],[first_name]], " ",Table3[[#This Row],[last_name]])</f>
        <v>Kenneth Perry</v>
      </c>
    </row>
    <row r="436" spans="1:17" hidden="1" x14ac:dyDescent="0.3">
      <c r="A436">
        <v>333</v>
      </c>
      <c r="B436" t="s">
        <v>65</v>
      </c>
      <c r="C436" t="s">
        <v>66</v>
      </c>
      <c r="D436" t="s">
        <v>67</v>
      </c>
      <c r="E436" t="s">
        <v>16</v>
      </c>
      <c r="F436" t="s">
        <v>33</v>
      </c>
      <c r="G436" s="1">
        <v>787</v>
      </c>
      <c r="H436" t="s">
        <v>26</v>
      </c>
      <c r="I436" s="2">
        <v>43310</v>
      </c>
      <c r="J436" t="s">
        <v>68</v>
      </c>
      <c r="K436" t="s">
        <v>69</v>
      </c>
      <c r="L436">
        <v>78749</v>
      </c>
      <c r="M436" t="s">
        <v>21</v>
      </c>
      <c r="N436" t="str">
        <f>VLOOKUP(A436, Data_Set_2!$A:$D,2,FALSE)</f>
        <v>kperry98</v>
      </c>
      <c r="O436" t="str">
        <f>VLOOKUP(A436, Data_Set_2!$A:$D,3,FALSE)</f>
        <v>Blognation</v>
      </c>
      <c r="P436" t="str">
        <f>VLOOKUP(A436, Data_Set_2!$A:$D,4,FALSE)</f>
        <v>GIS Technical Architect</v>
      </c>
      <c r="Q436" t="str">
        <f>_xlfn.CONCAT(Table3[[#This Row],[first_name]], " ",Table3[[#This Row],[last_name]])</f>
        <v>Kenneth Perry</v>
      </c>
    </row>
    <row r="437" spans="1:17" hidden="1" x14ac:dyDescent="0.3">
      <c r="A437">
        <v>333</v>
      </c>
      <c r="B437" t="s">
        <v>65</v>
      </c>
      <c r="C437" t="s">
        <v>66</v>
      </c>
      <c r="D437" t="s">
        <v>67</v>
      </c>
      <c r="E437" t="s">
        <v>16</v>
      </c>
      <c r="F437" t="s">
        <v>33</v>
      </c>
      <c r="G437" s="1">
        <v>228</v>
      </c>
      <c r="H437" t="s">
        <v>26</v>
      </c>
      <c r="I437" s="2">
        <v>43342</v>
      </c>
      <c r="J437" t="s">
        <v>68</v>
      </c>
      <c r="K437" t="s">
        <v>69</v>
      </c>
      <c r="L437">
        <v>78749</v>
      </c>
      <c r="M437" t="s">
        <v>21</v>
      </c>
      <c r="N437" t="str">
        <f>VLOOKUP(A437, Data_Set_2!$A:$D,2,FALSE)</f>
        <v>kperry98</v>
      </c>
      <c r="O437" t="str">
        <f>VLOOKUP(A437, Data_Set_2!$A:$D,3,FALSE)</f>
        <v>Blognation</v>
      </c>
      <c r="P437" t="str">
        <f>VLOOKUP(A437, Data_Set_2!$A:$D,4,FALSE)</f>
        <v>GIS Technical Architect</v>
      </c>
      <c r="Q437" t="str">
        <f>_xlfn.CONCAT(Table3[[#This Row],[first_name]], " ",Table3[[#This Row],[last_name]])</f>
        <v>Kenneth Perry</v>
      </c>
    </row>
    <row r="438" spans="1:17" hidden="1" x14ac:dyDescent="0.3">
      <c r="A438">
        <v>333</v>
      </c>
      <c r="B438" t="s">
        <v>65</v>
      </c>
      <c r="C438" t="s">
        <v>66</v>
      </c>
      <c r="D438" t="s">
        <v>67</v>
      </c>
      <c r="E438" t="s">
        <v>16</v>
      </c>
      <c r="F438" t="s">
        <v>33</v>
      </c>
      <c r="G438" s="1">
        <v>121</v>
      </c>
      <c r="H438" t="s">
        <v>26</v>
      </c>
      <c r="I438" s="2">
        <v>43347</v>
      </c>
      <c r="J438" t="s">
        <v>68</v>
      </c>
      <c r="K438" t="s">
        <v>69</v>
      </c>
      <c r="L438">
        <v>78749</v>
      </c>
      <c r="M438" t="s">
        <v>21</v>
      </c>
      <c r="N438" t="str">
        <f>VLOOKUP(A438, Data_Set_2!$A:$D,2,FALSE)</f>
        <v>kperry98</v>
      </c>
      <c r="O438" t="str">
        <f>VLOOKUP(A438, Data_Set_2!$A:$D,3,FALSE)</f>
        <v>Blognation</v>
      </c>
      <c r="P438" t="str">
        <f>VLOOKUP(A438, Data_Set_2!$A:$D,4,FALSE)</f>
        <v>GIS Technical Architect</v>
      </c>
      <c r="Q438" t="str">
        <f>_xlfn.CONCAT(Table3[[#This Row],[first_name]], " ",Table3[[#This Row],[last_name]])</f>
        <v>Kenneth Perry</v>
      </c>
    </row>
    <row r="439" spans="1:17" hidden="1" x14ac:dyDescent="0.3">
      <c r="A439">
        <v>333</v>
      </c>
      <c r="B439" t="s">
        <v>65</v>
      </c>
      <c r="C439" t="s">
        <v>66</v>
      </c>
      <c r="D439" t="s">
        <v>67</v>
      </c>
      <c r="E439" t="s">
        <v>16</v>
      </c>
      <c r="F439" t="s">
        <v>33</v>
      </c>
      <c r="G439" s="1">
        <v>403</v>
      </c>
      <c r="H439" t="s">
        <v>26</v>
      </c>
      <c r="I439" s="2">
        <v>43373</v>
      </c>
      <c r="J439" t="s">
        <v>68</v>
      </c>
      <c r="K439" t="s">
        <v>69</v>
      </c>
      <c r="L439">
        <v>78749</v>
      </c>
      <c r="M439" t="s">
        <v>21</v>
      </c>
      <c r="N439" t="str">
        <f>VLOOKUP(A439, Data_Set_2!$A:$D,2,FALSE)</f>
        <v>kperry98</v>
      </c>
      <c r="O439" t="str">
        <f>VLOOKUP(A439, Data_Set_2!$A:$D,3,FALSE)</f>
        <v>Blognation</v>
      </c>
      <c r="P439" t="str">
        <f>VLOOKUP(A439, Data_Set_2!$A:$D,4,FALSE)</f>
        <v>GIS Technical Architect</v>
      </c>
      <c r="Q439" t="str">
        <f>_xlfn.CONCAT(Table3[[#This Row],[first_name]], " ",Table3[[#This Row],[last_name]])</f>
        <v>Kenneth Perry</v>
      </c>
    </row>
    <row r="440" spans="1:17" hidden="1" x14ac:dyDescent="0.3">
      <c r="A440">
        <v>333</v>
      </c>
      <c r="B440" t="s">
        <v>65</v>
      </c>
      <c r="C440" t="s">
        <v>66</v>
      </c>
      <c r="D440" t="s">
        <v>67</v>
      </c>
      <c r="E440" t="s">
        <v>16</v>
      </c>
      <c r="F440" t="s">
        <v>33</v>
      </c>
      <c r="G440" s="1">
        <v>427</v>
      </c>
      <c r="H440" t="s">
        <v>26</v>
      </c>
      <c r="I440" s="2">
        <v>43401</v>
      </c>
      <c r="J440" t="s">
        <v>68</v>
      </c>
      <c r="K440" t="s">
        <v>69</v>
      </c>
      <c r="L440">
        <v>78749</v>
      </c>
      <c r="M440" t="s">
        <v>21</v>
      </c>
      <c r="N440" t="str">
        <f>VLOOKUP(A440, Data_Set_2!$A:$D,2,FALSE)</f>
        <v>kperry98</v>
      </c>
      <c r="O440" t="str">
        <f>VLOOKUP(A440, Data_Set_2!$A:$D,3,FALSE)</f>
        <v>Blognation</v>
      </c>
      <c r="P440" t="str">
        <f>VLOOKUP(A440, Data_Set_2!$A:$D,4,FALSE)</f>
        <v>GIS Technical Architect</v>
      </c>
      <c r="Q440" t="str">
        <f>_xlfn.CONCAT(Table3[[#This Row],[first_name]], " ",Table3[[#This Row],[last_name]])</f>
        <v>Kenneth Perry</v>
      </c>
    </row>
    <row r="441" spans="1:17" hidden="1" x14ac:dyDescent="0.3">
      <c r="A441">
        <v>333</v>
      </c>
      <c r="B441" t="s">
        <v>65</v>
      </c>
      <c r="C441" t="s">
        <v>66</v>
      </c>
      <c r="D441" t="s">
        <v>67</v>
      </c>
      <c r="E441" t="s">
        <v>16</v>
      </c>
      <c r="F441" t="s">
        <v>33</v>
      </c>
      <c r="G441" s="1">
        <v>700</v>
      </c>
      <c r="H441" t="s">
        <v>26</v>
      </c>
      <c r="I441" s="2">
        <v>43413</v>
      </c>
      <c r="J441" t="s">
        <v>68</v>
      </c>
      <c r="K441" t="s">
        <v>69</v>
      </c>
      <c r="L441">
        <v>78749</v>
      </c>
      <c r="M441" t="s">
        <v>21</v>
      </c>
      <c r="N441" t="str">
        <f>VLOOKUP(A441, Data_Set_2!$A:$D,2,FALSE)</f>
        <v>kperry98</v>
      </c>
      <c r="O441" t="str">
        <f>VLOOKUP(A441, Data_Set_2!$A:$D,3,FALSE)</f>
        <v>Blognation</v>
      </c>
      <c r="P441" t="str">
        <f>VLOOKUP(A441, Data_Set_2!$A:$D,4,FALSE)</f>
        <v>GIS Technical Architect</v>
      </c>
      <c r="Q441" t="str">
        <f>_xlfn.CONCAT(Table3[[#This Row],[first_name]], " ",Table3[[#This Row],[last_name]])</f>
        <v>Kenneth Perry</v>
      </c>
    </row>
    <row r="442" spans="1:17" hidden="1" x14ac:dyDescent="0.3">
      <c r="A442">
        <v>333</v>
      </c>
      <c r="B442" t="s">
        <v>65</v>
      </c>
      <c r="C442" t="s">
        <v>66</v>
      </c>
      <c r="D442" t="s">
        <v>67</v>
      </c>
      <c r="E442" t="s">
        <v>16</v>
      </c>
      <c r="F442" t="s">
        <v>33</v>
      </c>
      <c r="G442" s="1">
        <v>32</v>
      </c>
      <c r="H442" t="s">
        <v>26</v>
      </c>
      <c r="I442" s="2">
        <v>43426</v>
      </c>
      <c r="J442" t="s">
        <v>68</v>
      </c>
      <c r="K442" t="s">
        <v>69</v>
      </c>
      <c r="L442">
        <v>78749</v>
      </c>
      <c r="M442" t="s">
        <v>21</v>
      </c>
      <c r="N442" t="str">
        <f>VLOOKUP(A442, Data_Set_2!$A:$D,2,FALSE)</f>
        <v>kperry98</v>
      </c>
      <c r="O442" t="str">
        <f>VLOOKUP(A442, Data_Set_2!$A:$D,3,FALSE)</f>
        <v>Blognation</v>
      </c>
      <c r="P442" t="str">
        <f>VLOOKUP(A442, Data_Set_2!$A:$D,4,FALSE)</f>
        <v>GIS Technical Architect</v>
      </c>
      <c r="Q442" t="str">
        <f>_xlfn.CONCAT(Table3[[#This Row],[first_name]], " ",Table3[[#This Row],[last_name]])</f>
        <v>Kenneth Perry</v>
      </c>
    </row>
    <row r="443" spans="1:17" hidden="1" x14ac:dyDescent="0.3">
      <c r="A443">
        <v>333</v>
      </c>
      <c r="B443" t="s">
        <v>65</v>
      </c>
      <c r="C443" t="s">
        <v>66</v>
      </c>
      <c r="D443" t="s">
        <v>67</v>
      </c>
      <c r="E443" t="s">
        <v>16</v>
      </c>
      <c r="F443" t="s">
        <v>33</v>
      </c>
      <c r="G443" s="1">
        <v>702</v>
      </c>
      <c r="H443" t="s">
        <v>26</v>
      </c>
      <c r="I443" s="2">
        <v>43437</v>
      </c>
      <c r="J443" t="s">
        <v>68</v>
      </c>
      <c r="K443" t="s">
        <v>69</v>
      </c>
      <c r="L443">
        <v>78749</v>
      </c>
      <c r="M443" t="s">
        <v>21</v>
      </c>
      <c r="N443" t="str">
        <f>VLOOKUP(A443, Data_Set_2!$A:$D,2,FALSE)</f>
        <v>kperry98</v>
      </c>
      <c r="O443" t="str">
        <f>VLOOKUP(A443, Data_Set_2!$A:$D,3,FALSE)</f>
        <v>Blognation</v>
      </c>
      <c r="P443" t="str">
        <f>VLOOKUP(A443, Data_Set_2!$A:$D,4,FALSE)</f>
        <v>GIS Technical Architect</v>
      </c>
      <c r="Q443" t="str">
        <f>_xlfn.CONCAT(Table3[[#This Row],[first_name]], " ",Table3[[#This Row],[last_name]])</f>
        <v>Kenneth Perry</v>
      </c>
    </row>
    <row r="444" spans="1:17" hidden="1" x14ac:dyDescent="0.3">
      <c r="A444">
        <v>333</v>
      </c>
      <c r="B444" t="s">
        <v>65</v>
      </c>
      <c r="C444" t="s">
        <v>66</v>
      </c>
      <c r="D444" t="s">
        <v>67</v>
      </c>
      <c r="E444" t="s">
        <v>16</v>
      </c>
      <c r="F444" t="s">
        <v>33</v>
      </c>
      <c r="G444" s="1">
        <v>199</v>
      </c>
      <c r="H444" t="s">
        <v>26</v>
      </c>
      <c r="I444" s="2">
        <v>43443</v>
      </c>
      <c r="J444" t="s">
        <v>68</v>
      </c>
      <c r="K444" t="s">
        <v>69</v>
      </c>
      <c r="L444">
        <v>78749</v>
      </c>
      <c r="M444" t="s">
        <v>21</v>
      </c>
      <c r="N444" t="str">
        <f>VLOOKUP(A444, Data_Set_2!$A:$D,2,FALSE)</f>
        <v>kperry98</v>
      </c>
      <c r="O444" t="str">
        <f>VLOOKUP(A444, Data_Set_2!$A:$D,3,FALSE)</f>
        <v>Blognation</v>
      </c>
      <c r="P444" t="str">
        <f>VLOOKUP(A444, Data_Set_2!$A:$D,4,FALSE)</f>
        <v>GIS Technical Architect</v>
      </c>
      <c r="Q444" t="str">
        <f>_xlfn.CONCAT(Table3[[#This Row],[first_name]], " ",Table3[[#This Row],[last_name]])</f>
        <v>Kenneth Perry</v>
      </c>
    </row>
    <row r="445" spans="1:17" hidden="1" x14ac:dyDescent="0.3">
      <c r="A445">
        <v>333</v>
      </c>
      <c r="B445" t="s">
        <v>65</v>
      </c>
      <c r="C445" t="s">
        <v>66</v>
      </c>
      <c r="D445" t="s">
        <v>67</v>
      </c>
      <c r="E445" t="s">
        <v>16</v>
      </c>
      <c r="F445" t="s">
        <v>33</v>
      </c>
      <c r="G445" s="1">
        <v>911</v>
      </c>
      <c r="H445" t="s">
        <v>26</v>
      </c>
      <c r="I445" s="2">
        <v>43456</v>
      </c>
      <c r="J445" t="s">
        <v>68</v>
      </c>
      <c r="K445" t="s">
        <v>69</v>
      </c>
      <c r="L445">
        <v>78749</v>
      </c>
      <c r="M445" t="s">
        <v>21</v>
      </c>
      <c r="N445" t="str">
        <f>VLOOKUP(A445, Data_Set_2!$A:$D,2,FALSE)</f>
        <v>kperry98</v>
      </c>
      <c r="O445" t="str">
        <f>VLOOKUP(A445, Data_Set_2!$A:$D,3,FALSE)</f>
        <v>Blognation</v>
      </c>
      <c r="P445" t="str">
        <f>VLOOKUP(A445, Data_Set_2!$A:$D,4,FALSE)</f>
        <v>GIS Technical Architect</v>
      </c>
      <c r="Q445" t="str">
        <f>_xlfn.CONCAT(Table3[[#This Row],[first_name]], " ",Table3[[#This Row],[last_name]])</f>
        <v>Kenneth Perry</v>
      </c>
    </row>
    <row r="446" spans="1:17" hidden="1" x14ac:dyDescent="0.3">
      <c r="A446">
        <v>333</v>
      </c>
      <c r="B446" t="s">
        <v>65</v>
      </c>
      <c r="C446" t="s">
        <v>66</v>
      </c>
      <c r="D446" t="s">
        <v>67</v>
      </c>
      <c r="E446" t="s">
        <v>16</v>
      </c>
      <c r="F446" t="s">
        <v>33</v>
      </c>
      <c r="G446" s="1">
        <v>953</v>
      </c>
      <c r="H446" t="s">
        <v>26</v>
      </c>
      <c r="I446" s="2">
        <v>43490</v>
      </c>
      <c r="J446" t="s">
        <v>68</v>
      </c>
      <c r="K446" t="s">
        <v>69</v>
      </c>
      <c r="L446">
        <v>78749</v>
      </c>
      <c r="M446" t="s">
        <v>21</v>
      </c>
      <c r="N446" t="str">
        <f>VLOOKUP(A446, Data_Set_2!$A:$D,2,FALSE)</f>
        <v>kperry98</v>
      </c>
      <c r="O446" t="str">
        <f>VLOOKUP(A446, Data_Set_2!$A:$D,3,FALSE)</f>
        <v>Blognation</v>
      </c>
      <c r="P446" t="str">
        <f>VLOOKUP(A446, Data_Set_2!$A:$D,4,FALSE)</f>
        <v>GIS Technical Architect</v>
      </c>
      <c r="Q446" t="str">
        <f>_xlfn.CONCAT(Table3[[#This Row],[first_name]], " ",Table3[[#This Row],[last_name]])</f>
        <v>Kenneth Perry</v>
      </c>
    </row>
    <row r="447" spans="1:17" hidden="1" x14ac:dyDescent="0.3">
      <c r="A447">
        <v>333</v>
      </c>
      <c r="B447" t="s">
        <v>65</v>
      </c>
      <c r="C447" t="s">
        <v>66</v>
      </c>
      <c r="D447" t="s">
        <v>67</v>
      </c>
      <c r="E447" t="s">
        <v>16</v>
      </c>
      <c r="F447" t="s">
        <v>33</v>
      </c>
      <c r="G447" s="1">
        <v>925</v>
      </c>
      <c r="H447" t="s">
        <v>26</v>
      </c>
      <c r="I447" s="2">
        <v>43494</v>
      </c>
      <c r="J447" t="s">
        <v>68</v>
      </c>
      <c r="K447" t="s">
        <v>69</v>
      </c>
      <c r="L447">
        <v>78749</v>
      </c>
      <c r="M447" t="s">
        <v>21</v>
      </c>
      <c r="N447" t="str">
        <f>VLOOKUP(A447, Data_Set_2!$A:$D,2,FALSE)</f>
        <v>kperry98</v>
      </c>
      <c r="O447" t="str">
        <f>VLOOKUP(A447, Data_Set_2!$A:$D,3,FALSE)</f>
        <v>Blognation</v>
      </c>
      <c r="P447" t="str">
        <f>VLOOKUP(A447, Data_Set_2!$A:$D,4,FALSE)</f>
        <v>GIS Technical Architect</v>
      </c>
      <c r="Q447" t="str">
        <f>_xlfn.CONCAT(Table3[[#This Row],[first_name]], " ",Table3[[#This Row],[last_name]])</f>
        <v>Kenneth Perry</v>
      </c>
    </row>
    <row r="448" spans="1:17" hidden="1" x14ac:dyDescent="0.3">
      <c r="A448">
        <v>333</v>
      </c>
      <c r="B448" t="s">
        <v>65</v>
      </c>
      <c r="C448" t="s">
        <v>66</v>
      </c>
      <c r="D448" t="s">
        <v>67</v>
      </c>
      <c r="E448" t="s">
        <v>16</v>
      </c>
      <c r="F448" t="s">
        <v>33</v>
      </c>
      <c r="G448" s="1">
        <v>892</v>
      </c>
      <c r="H448" t="s">
        <v>26</v>
      </c>
      <c r="I448" s="2">
        <v>43495</v>
      </c>
      <c r="J448" t="s">
        <v>68</v>
      </c>
      <c r="K448" t="s">
        <v>69</v>
      </c>
      <c r="L448">
        <v>78749</v>
      </c>
      <c r="M448" t="s">
        <v>21</v>
      </c>
      <c r="N448" t="str">
        <f>VLOOKUP(A448, Data_Set_2!$A:$D,2,FALSE)</f>
        <v>kperry98</v>
      </c>
      <c r="O448" t="str">
        <f>VLOOKUP(A448, Data_Set_2!$A:$D,3,FALSE)</f>
        <v>Blognation</v>
      </c>
      <c r="P448" t="str">
        <f>VLOOKUP(A448, Data_Set_2!$A:$D,4,FALSE)</f>
        <v>GIS Technical Architect</v>
      </c>
      <c r="Q448" t="str">
        <f>_xlfn.CONCAT(Table3[[#This Row],[first_name]], " ",Table3[[#This Row],[last_name]])</f>
        <v>Kenneth Perry</v>
      </c>
    </row>
    <row r="449" spans="1:17" hidden="1" x14ac:dyDescent="0.3">
      <c r="A449">
        <v>333</v>
      </c>
      <c r="B449" t="s">
        <v>65</v>
      </c>
      <c r="C449" t="s">
        <v>66</v>
      </c>
      <c r="D449" t="s">
        <v>67</v>
      </c>
      <c r="E449" t="s">
        <v>16</v>
      </c>
      <c r="F449" t="s">
        <v>33</v>
      </c>
      <c r="G449" s="1">
        <v>457</v>
      </c>
      <c r="H449" t="s">
        <v>26</v>
      </c>
      <c r="I449" s="2">
        <v>43535</v>
      </c>
      <c r="J449" t="s">
        <v>68</v>
      </c>
      <c r="K449" t="s">
        <v>69</v>
      </c>
      <c r="L449">
        <v>78749</v>
      </c>
      <c r="M449" t="s">
        <v>21</v>
      </c>
      <c r="N449" t="str">
        <f>VLOOKUP(A449, Data_Set_2!$A:$D,2,FALSE)</f>
        <v>kperry98</v>
      </c>
      <c r="O449" t="str">
        <f>VLOOKUP(A449, Data_Set_2!$A:$D,3,FALSE)</f>
        <v>Blognation</v>
      </c>
      <c r="P449" t="str">
        <f>VLOOKUP(A449, Data_Set_2!$A:$D,4,FALSE)</f>
        <v>GIS Technical Architect</v>
      </c>
      <c r="Q449" t="str">
        <f>_xlfn.CONCAT(Table3[[#This Row],[first_name]], " ",Table3[[#This Row],[last_name]])</f>
        <v>Kenneth Perry</v>
      </c>
    </row>
    <row r="450" spans="1:17" hidden="1" x14ac:dyDescent="0.3">
      <c r="A450">
        <v>333</v>
      </c>
      <c r="B450" t="s">
        <v>65</v>
      </c>
      <c r="C450" t="s">
        <v>66</v>
      </c>
      <c r="D450" t="s">
        <v>67</v>
      </c>
      <c r="E450" t="s">
        <v>16</v>
      </c>
      <c r="F450" t="s">
        <v>33</v>
      </c>
      <c r="G450" s="1">
        <v>879</v>
      </c>
      <c r="H450" t="s">
        <v>26</v>
      </c>
      <c r="I450" s="2">
        <v>43536</v>
      </c>
      <c r="J450" t="s">
        <v>68</v>
      </c>
      <c r="K450" t="s">
        <v>69</v>
      </c>
      <c r="L450">
        <v>78749</v>
      </c>
      <c r="M450" t="s">
        <v>21</v>
      </c>
      <c r="N450" t="str">
        <f>VLOOKUP(A450, Data_Set_2!$A:$D,2,FALSE)</f>
        <v>kperry98</v>
      </c>
      <c r="O450" t="str">
        <f>VLOOKUP(A450, Data_Set_2!$A:$D,3,FALSE)</f>
        <v>Blognation</v>
      </c>
      <c r="P450" t="str">
        <f>VLOOKUP(A450, Data_Set_2!$A:$D,4,FALSE)</f>
        <v>GIS Technical Architect</v>
      </c>
      <c r="Q450" t="str">
        <f>_xlfn.CONCAT(Table3[[#This Row],[first_name]], " ",Table3[[#This Row],[last_name]])</f>
        <v>Kenneth Perry</v>
      </c>
    </row>
    <row r="451" spans="1:17" hidden="1" x14ac:dyDescent="0.3">
      <c r="A451">
        <v>333</v>
      </c>
      <c r="B451" t="s">
        <v>65</v>
      </c>
      <c r="C451" t="s">
        <v>66</v>
      </c>
      <c r="D451" t="s">
        <v>67</v>
      </c>
      <c r="E451" t="s">
        <v>16</v>
      </c>
      <c r="F451" t="s">
        <v>33</v>
      </c>
      <c r="G451" s="1">
        <v>47</v>
      </c>
      <c r="H451" t="s">
        <v>26</v>
      </c>
      <c r="I451" s="2">
        <v>43543</v>
      </c>
      <c r="J451" t="s">
        <v>68</v>
      </c>
      <c r="K451" t="s">
        <v>69</v>
      </c>
      <c r="L451">
        <v>78749</v>
      </c>
      <c r="M451" t="s">
        <v>21</v>
      </c>
      <c r="N451" t="str">
        <f>VLOOKUP(A451, Data_Set_2!$A:$D,2,FALSE)</f>
        <v>kperry98</v>
      </c>
      <c r="O451" t="str">
        <f>VLOOKUP(A451, Data_Set_2!$A:$D,3,FALSE)</f>
        <v>Blognation</v>
      </c>
      <c r="P451" t="str">
        <f>VLOOKUP(A451, Data_Set_2!$A:$D,4,FALSE)</f>
        <v>GIS Technical Architect</v>
      </c>
      <c r="Q451" t="str">
        <f>_xlfn.CONCAT(Table3[[#This Row],[first_name]], " ",Table3[[#This Row],[last_name]])</f>
        <v>Kenneth Perry</v>
      </c>
    </row>
    <row r="452" spans="1:17" hidden="1" x14ac:dyDescent="0.3">
      <c r="A452">
        <v>333</v>
      </c>
      <c r="B452" t="s">
        <v>65</v>
      </c>
      <c r="C452" t="s">
        <v>66</v>
      </c>
      <c r="D452" t="s">
        <v>67</v>
      </c>
      <c r="E452" t="s">
        <v>16</v>
      </c>
      <c r="F452" t="s">
        <v>33</v>
      </c>
      <c r="G452" s="1">
        <v>802</v>
      </c>
      <c r="H452" t="s">
        <v>26</v>
      </c>
      <c r="I452" s="2">
        <v>43555</v>
      </c>
      <c r="J452" t="s">
        <v>68</v>
      </c>
      <c r="K452" t="s">
        <v>69</v>
      </c>
      <c r="L452">
        <v>78749</v>
      </c>
      <c r="M452" t="s">
        <v>21</v>
      </c>
      <c r="N452" t="str">
        <f>VLOOKUP(A452, Data_Set_2!$A:$D,2,FALSE)</f>
        <v>kperry98</v>
      </c>
      <c r="O452" t="str">
        <f>VLOOKUP(A452, Data_Set_2!$A:$D,3,FALSE)</f>
        <v>Blognation</v>
      </c>
      <c r="P452" t="str">
        <f>VLOOKUP(A452, Data_Set_2!$A:$D,4,FALSE)</f>
        <v>GIS Technical Architect</v>
      </c>
      <c r="Q452" t="str">
        <f>_xlfn.CONCAT(Table3[[#This Row],[first_name]], " ",Table3[[#This Row],[last_name]])</f>
        <v>Kenneth Perry</v>
      </c>
    </row>
    <row r="453" spans="1:17" hidden="1" x14ac:dyDescent="0.3">
      <c r="A453">
        <v>333</v>
      </c>
      <c r="B453" t="s">
        <v>65</v>
      </c>
      <c r="C453" t="s">
        <v>66</v>
      </c>
      <c r="D453" t="s">
        <v>67</v>
      </c>
      <c r="E453" t="s">
        <v>16</v>
      </c>
      <c r="F453" t="s">
        <v>33</v>
      </c>
      <c r="G453" s="1">
        <v>327</v>
      </c>
      <c r="H453" t="s">
        <v>26</v>
      </c>
      <c r="I453" s="2">
        <v>43592</v>
      </c>
      <c r="J453" t="s">
        <v>68</v>
      </c>
      <c r="K453" t="s">
        <v>69</v>
      </c>
      <c r="L453">
        <v>78749</v>
      </c>
      <c r="M453" t="s">
        <v>21</v>
      </c>
      <c r="N453" t="str">
        <f>VLOOKUP(A453, Data_Set_2!$A:$D,2,FALSE)</f>
        <v>kperry98</v>
      </c>
      <c r="O453" t="str">
        <f>VLOOKUP(A453, Data_Set_2!$A:$D,3,FALSE)</f>
        <v>Blognation</v>
      </c>
      <c r="P453" t="str">
        <f>VLOOKUP(A453, Data_Set_2!$A:$D,4,FALSE)</f>
        <v>GIS Technical Architect</v>
      </c>
      <c r="Q453" t="str">
        <f>_xlfn.CONCAT(Table3[[#This Row],[first_name]], " ",Table3[[#This Row],[last_name]])</f>
        <v>Kenneth Perry</v>
      </c>
    </row>
    <row r="454" spans="1:17" hidden="1" x14ac:dyDescent="0.3">
      <c r="A454">
        <v>333</v>
      </c>
      <c r="B454" t="s">
        <v>65</v>
      </c>
      <c r="C454" t="s">
        <v>66</v>
      </c>
      <c r="D454" t="s">
        <v>67</v>
      </c>
      <c r="E454" t="s">
        <v>16</v>
      </c>
      <c r="F454" t="s">
        <v>33</v>
      </c>
      <c r="G454" s="1">
        <v>907</v>
      </c>
      <c r="H454" t="s">
        <v>26</v>
      </c>
      <c r="I454" s="2">
        <v>43604</v>
      </c>
      <c r="J454" t="s">
        <v>68</v>
      </c>
      <c r="K454" t="s">
        <v>69</v>
      </c>
      <c r="L454">
        <v>78749</v>
      </c>
      <c r="M454" t="s">
        <v>21</v>
      </c>
      <c r="N454" t="str">
        <f>VLOOKUP(A454, Data_Set_2!$A:$D,2,FALSE)</f>
        <v>kperry98</v>
      </c>
      <c r="O454" t="str">
        <f>VLOOKUP(A454, Data_Set_2!$A:$D,3,FALSE)</f>
        <v>Blognation</v>
      </c>
      <c r="P454" t="str">
        <f>VLOOKUP(A454, Data_Set_2!$A:$D,4,FALSE)</f>
        <v>GIS Technical Architect</v>
      </c>
      <c r="Q454" t="str">
        <f>_xlfn.CONCAT(Table3[[#This Row],[first_name]], " ",Table3[[#This Row],[last_name]])</f>
        <v>Kenneth Perry</v>
      </c>
    </row>
    <row r="455" spans="1:17" hidden="1" x14ac:dyDescent="0.3">
      <c r="A455">
        <v>333</v>
      </c>
      <c r="B455" t="s">
        <v>65</v>
      </c>
      <c r="C455" t="s">
        <v>66</v>
      </c>
      <c r="D455" t="s">
        <v>67</v>
      </c>
      <c r="E455" t="s">
        <v>16</v>
      </c>
      <c r="F455" t="s">
        <v>33</v>
      </c>
      <c r="G455" s="1">
        <v>633</v>
      </c>
      <c r="H455" t="s">
        <v>26</v>
      </c>
      <c r="I455" s="2">
        <v>43633</v>
      </c>
      <c r="J455" t="s">
        <v>68</v>
      </c>
      <c r="K455" t="s">
        <v>69</v>
      </c>
      <c r="L455">
        <v>78749</v>
      </c>
      <c r="M455" t="s">
        <v>21</v>
      </c>
      <c r="N455" t="str">
        <f>VLOOKUP(A455, Data_Set_2!$A:$D,2,FALSE)</f>
        <v>kperry98</v>
      </c>
      <c r="O455" t="str">
        <f>VLOOKUP(A455, Data_Set_2!$A:$D,3,FALSE)</f>
        <v>Blognation</v>
      </c>
      <c r="P455" t="str">
        <f>VLOOKUP(A455, Data_Set_2!$A:$D,4,FALSE)</f>
        <v>GIS Technical Architect</v>
      </c>
      <c r="Q455" t="str">
        <f>_xlfn.CONCAT(Table3[[#This Row],[first_name]], " ",Table3[[#This Row],[last_name]])</f>
        <v>Kenneth Perry</v>
      </c>
    </row>
    <row r="456" spans="1:17" hidden="1" x14ac:dyDescent="0.3">
      <c r="A456">
        <v>333</v>
      </c>
      <c r="B456" t="s">
        <v>65</v>
      </c>
      <c r="C456" t="s">
        <v>66</v>
      </c>
      <c r="D456" t="s">
        <v>67</v>
      </c>
      <c r="E456" t="s">
        <v>16</v>
      </c>
      <c r="F456" t="s">
        <v>33</v>
      </c>
      <c r="G456" s="1">
        <v>560</v>
      </c>
      <c r="H456" t="s">
        <v>26</v>
      </c>
      <c r="I456" s="2">
        <v>43638</v>
      </c>
      <c r="J456" t="s">
        <v>68</v>
      </c>
      <c r="K456" t="s">
        <v>69</v>
      </c>
      <c r="L456">
        <v>78749</v>
      </c>
      <c r="M456" t="s">
        <v>21</v>
      </c>
      <c r="N456" t="str">
        <f>VLOOKUP(A456, Data_Set_2!$A:$D,2,FALSE)</f>
        <v>kperry98</v>
      </c>
      <c r="O456" t="str">
        <f>VLOOKUP(A456, Data_Set_2!$A:$D,3,FALSE)</f>
        <v>Blognation</v>
      </c>
      <c r="P456" t="str">
        <f>VLOOKUP(A456, Data_Set_2!$A:$D,4,FALSE)</f>
        <v>GIS Technical Architect</v>
      </c>
      <c r="Q456" t="str">
        <f>_xlfn.CONCAT(Table3[[#This Row],[first_name]], " ",Table3[[#This Row],[last_name]])</f>
        <v>Kenneth Perry</v>
      </c>
    </row>
    <row r="457" spans="1:17" hidden="1" x14ac:dyDescent="0.3">
      <c r="A457">
        <v>333</v>
      </c>
      <c r="B457" t="s">
        <v>65</v>
      </c>
      <c r="C457" t="s">
        <v>66</v>
      </c>
      <c r="D457" t="s">
        <v>67</v>
      </c>
      <c r="E457" t="s">
        <v>16</v>
      </c>
      <c r="F457" t="s">
        <v>33</v>
      </c>
      <c r="G457" s="1">
        <v>570</v>
      </c>
      <c r="H457" t="s">
        <v>26</v>
      </c>
      <c r="I457" s="2">
        <v>43684</v>
      </c>
      <c r="J457" t="s">
        <v>68</v>
      </c>
      <c r="K457" t="s">
        <v>69</v>
      </c>
      <c r="L457">
        <v>78749</v>
      </c>
      <c r="M457" t="s">
        <v>21</v>
      </c>
      <c r="N457" t="str">
        <f>VLOOKUP(A457, Data_Set_2!$A:$D,2,FALSE)</f>
        <v>kperry98</v>
      </c>
      <c r="O457" t="str">
        <f>VLOOKUP(A457, Data_Set_2!$A:$D,3,FALSE)</f>
        <v>Blognation</v>
      </c>
      <c r="P457" t="str">
        <f>VLOOKUP(A457, Data_Set_2!$A:$D,4,FALSE)</f>
        <v>GIS Technical Architect</v>
      </c>
      <c r="Q457" t="str">
        <f>_xlfn.CONCAT(Table3[[#This Row],[first_name]], " ",Table3[[#This Row],[last_name]])</f>
        <v>Kenneth Perry</v>
      </c>
    </row>
    <row r="458" spans="1:17" hidden="1" x14ac:dyDescent="0.3">
      <c r="A458">
        <v>333</v>
      </c>
      <c r="B458" t="s">
        <v>65</v>
      </c>
      <c r="C458" t="s">
        <v>66</v>
      </c>
      <c r="D458" t="s">
        <v>67</v>
      </c>
      <c r="E458" t="s">
        <v>16</v>
      </c>
      <c r="F458" t="s">
        <v>33</v>
      </c>
      <c r="G458" s="1">
        <v>403</v>
      </c>
      <c r="H458" t="s">
        <v>26</v>
      </c>
      <c r="I458" s="2">
        <v>43692</v>
      </c>
      <c r="J458" t="s">
        <v>68</v>
      </c>
      <c r="K458" t="s">
        <v>69</v>
      </c>
      <c r="L458">
        <v>78749</v>
      </c>
      <c r="M458" t="s">
        <v>21</v>
      </c>
      <c r="N458" t="str">
        <f>VLOOKUP(A458, Data_Set_2!$A:$D,2,FALSE)</f>
        <v>kperry98</v>
      </c>
      <c r="O458" t="str">
        <f>VLOOKUP(A458, Data_Set_2!$A:$D,3,FALSE)</f>
        <v>Blognation</v>
      </c>
      <c r="P458" t="str">
        <f>VLOOKUP(A458, Data_Set_2!$A:$D,4,FALSE)</f>
        <v>GIS Technical Architect</v>
      </c>
      <c r="Q458" t="str">
        <f>_xlfn.CONCAT(Table3[[#This Row],[first_name]], " ",Table3[[#This Row],[last_name]])</f>
        <v>Kenneth Perry</v>
      </c>
    </row>
    <row r="459" spans="1:17" hidden="1" x14ac:dyDescent="0.3">
      <c r="A459">
        <v>333</v>
      </c>
      <c r="B459" t="s">
        <v>65</v>
      </c>
      <c r="C459" t="s">
        <v>66</v>
      </c>
      <c r="D459" t="s">
        <v>67</v>
      </c>
      <c r="E459" t="s">
        <v>16</v>
      </c>
      <c r="F459" t="s">
        <v>33</v>
      </c>
      <c r="G459" s="1">
        <v>41</v>
      </c>
      <c r="H459" t="s">
        <v>26</v>
      </c>
      <c r="I459" s="2">
        <v>43737</v>
      </c>
      <c r="J459" t="s">
        <v>68</v>
      </c>
      <c r="K459" t="s">
        <v>69</v>
      </c>
      <c r="L459">
        <v>78749</v>
      </c>
      <c r="M459" t="s">
        <v>21</v>
      </c>
      <c r="N459" t="str">
        <f>VLOOKUP(A459, Data_Set_2!$A:$D,2,FALSE)</f>
        <v>kperry98</v>
      </c>
      <c r="O459" t="str">
        <f>VLOOKUP(A459, Data_Set_2!$A:$D,3,FALSE)</f>
        <v>Blognation</v>
      </c>
      <c r="P459" t="str">
        <f>VLOOKUP(A459, Data_Set_2!$A:$D,4,FALSE)</f>
        <v>GIS Technical Architect</v>
      </c>
      <c r="Q459" t="str">
        <f>_xlfn.CONCAT(Table3[[#This Row],[first_name]], " ",Table3[[#This Row],[last_name]])</f>
        <v>Kenneth Perry</v>
      </c>
    </row>
    <row r="460" spans="1:17" hidden="1" x14ac:dyDescent="0.3">
      <c r="A460">
        <v>333</v>
      </c>
      <c r="B460" t="s">
        <v>65</v>
      </c>
      <c r="C460" t="s">
        <v>66</v>
      </c>
      <c r="D460" t="s">
        <v>67</v>
      </c>
      <c r="E460" t="s">
        <v>16</v>
      </c>
      <c r="F460" t="s">
        <v>33</v>
      </c>
      <c r="G460" s="1">
        <v>624</v>
      </c>
      <c r="H460" t="s">
        <v>26</v>
      </c>
      <c r="I460" s="2">
        <v>43751</v>
      </c>
      <c r="J460" t="s">
        <v>68</v>
      </c>
      <c r="K460" t="s">
        <v>69</v>
      </c>
      <c r="L460">
        <v>78749</v>
      </c>
      <c r="M460" t="s">
        <v>21</v>
      </c>
      <c r="N460" t="str">
        <f>VLOOKUP(A460, Data_Set_2!$A:$D,2,FALSE)</f>
        <v>kperry98</v>
      </c>
      <c r="O460" t="str">
        <f>VLOOKUP(A460, Data_Set_2!$A:$D,3,FALSE)</f>
        <v>Blognation</v>
      </c>
      <c r="P460" t="str">
        <f>VLOOKUP(A460, Data_Set_2!$A:$D,4,FALSE)</f>
        <v>GIS Technical Architect</v>
      </c>
      <c r="Q460" t="str">
        <f>_xlfn.CONCAT(Table3[[#This Row],[first_name]], " ",Table3[[#This Row],[last_name]])</f>
        <v>Kenneth Perry</v>
      </c>
    </row>
    <row r="461" spans="1:17" hidden="1" x14ac:dyDescent="0.3">
      <c r="A461">
        <v>333</v>
      </c>
      <c r="B461" t="s">
        <v>65</v>
      </c>
      <c r="C461" t="s">
        <v>66</v>
      </c>
      <c r="D461" t="s">
        <v>67</v>
      </c>
      <c r="E461" t="s">
        <v>16</v>
      </c>
      <c r="F461" t="s">
        <v>33</v>
      </c>
      <c r="G461" s="1">
        <v>593</v>
      </c>
      <c r="H461" t="s">
        <v>26</v>
      </c>
      <c r="I461" s="2">
        <v>43763</v>
      </c>
      <c r="J461" t="s">
        <v>68</v>
      </c>
      <c r="K461" t="s">
        <v>69</v>
      </c>
      <c r="L461">
        <v>78749</v>
      </c>
      <c r="M461" t="s">
        <v>21</v>
      </c>
      <c r="N461" t="str">
        <f>VLOOKUP(A461, Data_Set_2!$A:$D,2,FALSE)</f>
        <v>kperry98</v>
      </c>
      <c r="O461" t="str">
        <f>VLOOKUP(A461, Data_Set_2!$A:$D,3,FALSE)</f>
        <v>Blognation</v>
      </c>
      <c r="P461" t="str">
        <f>VLOOKUP(A461, Data_Set_2!$A:$D,4,FALSE)</f>
        <v>GIS Technical Architect</v>
      </c>
      <c r="Q461" t="str">
        <f>_xlfn.CONCAT(Table3[[#This Row],[first_name]], " ",Table3[[#This Row],[last_name]])</f>
        <v>Kenneth Perry</v>
      </c>
    </row>
    <row r="462" spans="1:17" hidden="1" x14ac:dyDescent="0.3">
      <c r="A462">
        <v>333</v>
      </c>
      <c r="B462" t="s">
        <v>65</v>
      </c>
      <c r="C462" t="s">
        <v>66</v>
      </c>
      <c r="D462" t="s">
        <v>67</v>
      </c>
      <c r="E462" t="s">
        <v>16</v>
      </c>
      <c r="F462" t="s">
        <v>33</v>
      </c>
      <c r="G462" s="1">
        <v>581</v>
      </c>
      <c r="H462" t="s">
        <v>26</v>
      </c>
      <c r="I462" s="2">
        <v>43782</v>
      </c>
      <c r="J462" t="s">
        <v>68</v>
      </c>
      <c r="K462" t="s">
        <v>69</v>
      </c>
      <c r="L462">
        <v>78749</v>
      </c>
      <c r="M462" t="s">
        <v>21</v>
      </c>
      <c r="N462" t="str">
        <f>VLOOKUP(A462, Data_Set_2!$A:$D,2,FALSE)</f>
        <v>kperry98</v>
      </c>
      <c r="O462" t="str">
        <f>VLOOKUP(A462, Data_Set_2!$A:$D,3,FALSE)</f>
        <v>Blognation</v>
      </c>
      <c r="P462" t="str">
        <f>VLOOKUP(A462, Data_Set_2!$A:$D,4,FALSE)</f>
        <v>GIS Technical Architect</v>
      </c>
      <c r="Q462" t="str">
        <f>_xlfn.CONCAT(Table3[[#This Row],[first_name]], " ",Table3[[#This Row],[last_name]])</f>
        <v>Kenneth Perry</v>
      </c>
    </row>
    <row r="463" spans="1:17" hidden="1" x14ac:dyDescent="0.3">
      <c r="A463">
        <v>333</v>
      </c>
      <c r="B463" t="s">
        <v>65</v>
      </c>
      <c r="C463" t="s">
        <v>66</v>
      </c>
      <c r="D463" t="s">
        <v>67</v>
      </c>
      <c r="E463" t="s">
        <v>16</v>
      </c>
      <c r="F463" t="s">
        <v>33</v>
      </c>
      <c r="G463" s="1">
        <v>59</v>
      </c>
      <c r="H463" t="s">
        <v>26</v>
      </c>
      <c r="I463" s="2">
        <v>43783</v>
      </c>
      <c r="J463" t="s">
        <v>68</v>
      </c>
      <c r="K463" t="s">
        <v>69</v>
      </c>
      <c r="L463">
        <v>78749</v>
      </c>
      <c r="M463" t="s">
        <v>21</v>
      </c>
      <c r="N463" t="str">
        <f>VLOOKUP(A463, Data_Set_2!$A:$D,2,FALSE)</f>
        <v>kperry98</v>
      </c>
      <c r="O463" t="str">
        <f>VLOOKUP(A463, Data_Set_2!$A:$D,3,FALSE)</f>
        <v>Blognation</v>
      </c>
      <c r="P463" t="str">
        <f>VLOOKUP(A463, Data_Set_2!$A:$D,4,FALSE)</f>
        <v>GIS Technical Architect</v>
      </c>
      <c r="Q463" t="str">
        <f>_xlfn.CONCAT(Table3[[#This Row],[first_name]], " ",Table3[[#This Row],[last_name]])</f>
        <v>Kenneth Perry</v>
      </c>
    </row>
    <row r="464" spans="1:17" hidden="1" x14ac:dyDescent="0.3">
      <c r="A464">
        <v>333</v>
      </c>
      <c r="B464" t="s">
        <v>65</v>
      </c>
      <c r="C464" t="s">
        <v>66</v>
      </c>
      <c r="D464" t="s">
        <v>67</v>
      </c>
      <c r="E464" t="s">
        <v>16</v>
      </c>
      <c r="F464" t="s">
        <v>33</v>
      </c>
      <c r="G464" s="1">
        <v>224</v>
      </c>
      <c r="H464" t="s">
        <v>26</v>
      </c>
      <c r="I464" s="2">
        <v>43806</v>
      </c>
      <c r="J464" t="s">
        <v>68</v>
      </c>
      <c r="K464" t="s">
        <v>69</v>
      </c>
      <c r="L464">
        <v>78749</v>
      </c>
      <c r="M464" t="s">
        <v>21</v>
      </c>
      <c r="N464" t="str">
        <f>VLOOKUP(A464, Data_Set_2!$A:$D,2,FALSE)</f>
        <v>kperry98</v>
      </c>
      <c r="O464" t="str">
        <f>VLOOKUP(A464, Data_Set_2!$A:$D,3,FALSE)</f>
        <v>Blognation</v>
      </c>
      <c r="P464" t="str">
        <f>VLOOKUP(A464, Data_Set_2!$A:$D,4,FALSE)</f>
        <v>GIS Technical Architect</v>
      </c>
      <c r="Q464" t="str">
        <f>_xlfn.CONCAT(Table3[[#This Row],[first_name]], " ",Table3[[#This Row],[last_name]])</f>
        <v>Kenneth Perry</v>
      </c>
    </row>
    <row r="465" spans="1:17" hidden="1" x14ac:dyDescent="0.3">
      <c r="A465">
        <v>333</v>
      </c>
      <c r="B465" t="s">
        <v>65</v>
      </c>
      <c r="C465" t="s">
        <v>66</v>
      </c>
      <c r="D465" t="s">
        <v>67</v>
      </c>
      <c r="E465" t="s">
        <v>16</v>
      </c>
      <c r="F465" t="s">
        <v>33</v>
      </c>
      <c r="G465" s="1">
        <v>213</v>
      </c>
      <c r="H465" t="s">
        <v>26</v>
      </c>
      <c r="I465" s="2">
        <v>43835</v>
      </c>
      <c r="J465" t="s">
        <v>68</v>
      </c>
      <c r="K465" t="s">
        <v>69</v>
      </c>
      <c r="L465">
        <v>78749</v>
      </c>
      <c r="M465" t="s">
        <v>21</v>
      </c>
      <c r="N465" t="str">
        <f>VLOOKUP(A465, Data_Set_2!$A:$D,2,FALSE)</f>
        <v>kperry98</v>
      </c>
      <c r="O465" t="str">
        <f>VLOOKUP(A465, Data_Set_2!$A:$D,3,FALSE)</f>
        <v>Blognation</v>
      </c>
      <c r="P465" t="str">
        <f>VLOOKUP(A465, Data_Set_2!$A:$D,4,FALSE)</f>
        <v>GIS Technical Architect</v>
      </c>
      <c r="Q465" t="str">
        <f>_xlfn.CONCAT(Table3[[#This Row],[first_name]], " ",Table3[[#This Row],[last_name]])</f>
        <v>Kenneth Perry</v>
      </c>
    </row>
    <row r="466" spans="1:17" hidden="1" x14ac:dyDescent="0.3">
      <c r="A466">
        <v>333</v>
      </c>
      <c r="B466" t="s">
        <v>65</v>
      </c>
      <c r="C466" t="s">
        <v>66</v>
      </c>
      <c r="D466" t="s">
        <v>67</v>
      </c>
      <c r="E466" t="s">
        <v>16</v>
      </c>
      <c r="F466" t="s">
        <v>33</v>
      </c>
      <c r="G466" s="1">
        <v>747</v>
      </c>
      <c r="H466" t="s">
        <v>26</v>
      </c>
      <c r="I466" s="2">
        <v>43840</v>
      </c>
      <c r="J466" t="s">
        <v>68</v>
      </c>
      <c r="K466" t="s">
        <v>69</v>
      </c>
      <c r="L466">
        <v>78749</v>
      </c>
      <c r="M466" t="s">
        <v>21</v>
      </c>
      <c r="N466" t="str">
        <f>VLOOKUP(A466, Data_Set_2!$A:$D,2,FALSE)</f>
        <v>kperry98</v>
      </c>
      <c r="O466" t="str">
        <f>VLOOKUP(A466, Data_Set_2!$A:$D,3,FALSE)</f>
        <v>Blognation</v>
      </c>
      <c r="P466" t="str">
        <f>VLOOKUP(A466, Data_Set_2!$A:$D,4,FALSE)</f>
        <v>GIS Technical Architect</v>
      </c>
      <c r="Q466" t="str">
        <f>_xlfn.CONCAT(Table3[[#This Row],[first_name]], " ",Table3[[#This Row],[last_name]])</f>
        <v>Kenneth Perry</v>
      </c>
    </row>
    <row r="467" spans="1:17" hidden="1" x14ac:dyDescent="0.3">
      <c r="A467">
        <v>333</v>
      </c>
      <c r="B467" t="s">
        <v>65</v>
      </c>
      <c r="C467" t="s">
        <v>66</v>
      </c>
      <c r="D467" t="s">
        <v>67</v>
      </c>
      <c r="E467" t="s">
        <v>16</v>
      </c>
      <c r="F467" t="s">
        <v>33</v>
      </c>
      <c r="G467" s="1">
        <v>761</v>
      </c>
      <c r="H467" t="s">
        <v>26</v>
      </c>
      <c r="I467" s="2">
        <v>43840</v>
      </c>
      <c r="J467" t="s">
        <v>68</v>
      </c>
      <c r="K467" t="s">
        <v>69</v>
      </c>
      <c r="L467">
        <v>78749</v>
      </c>
      <c r="M467" t="s">
        <v>21</v>
      </c>
      <c r="N467" t="str">
        <f>VLOOKUP(A467, Data_Set_2!$A:$D,2,FALSE)</f>
        <v>kperry98</v>
      </c>
      <c r="O467" t="str">
        <f>VLOOKUP(A467, Data_Set_2!$A:$D,3,FALSE)</f>
        <v>Blognation</v>
      </c>
      <c r="P467" t="str">
        <f>VLOOKUP(A467, Data_Set_2!$A:$D,4,FALSE)</f>
        <v>GIS Technical Architect</v>
      </c>
      <c r="Q467" t="str">
        <f>_xlfn.CONCAT(Table3[[#This Row],[first_name]], " ",Table3[[#This Row],[last_name]])</f>
        <v>Kenneth Perry</v>
      </c>
    </row>
    <row r="468" spans="1:17" hidden="1" x14ac:dyDescent="0.3">
      <c r="A468">
        <v>333</v>
      </c>
      <c r="B468" t="s">
        <v>65</v>
      </c>
      <c r="C468" t="s">
        <v>66</v>
      </c>
      <c r="D468" t="s">
        <v>67</v>
      </c>
      <c r="E468" t="s">
        <v>16</v>
      </c>
      <c r="F468" t="s">
        <v>33</v>
      </c>
      <c r="G468" s="1">
        <v>503</v>
      </c>
      <c r="H468" t="s">
        <v>26</v>
      </c>
      <c r="I468" s="2">
        <v>43843</v>
      </c>
      <c r="J468" t="s">
        <v>68</v>
      </c>
      <c r="K468" t="s">
        <v>69</v>
      </c>
      <c r="L468">
        <v>78749</v>
      </c>
      <c r="M468" t="s">
        <v>21</v>
      </c>
      <c r="N468" t="str">
        <f>VLOOKUP(A468, Data_Set_2!$A:$D,2,FALSE)</f>
        <v>kperry98</v>
      </c>
      <c r="O468" t="str">
        <f>VLOOKUP(A468, Data_Set_2!$A:$D,3,FALSE)</f>
        <v>Blognation</v>
      </c>
      <c r="P468" t="str">
        <f>VLOOKUP(A468, Data_Set_2!$A:$D,4,FALSE)</f>
        <v>GIS Technical Architect</v>
      </c>
      <c r="Q468" t="str">
        <f>_xlfn.CONCAT(Table3[[#This Row],[first_name]], " ",Table3[[#This Row],[last_name]])</f>
        <v>Kenneth Perry</v>
      </c>
    </row>
    <row r="469" spans="1:17" hidden="1" x14ac:dyDescent="0.3">
      <c r="A469">
        <v>333</v>
      </c>
      <c r="B469" t="s">
        <v>65</v>
      </c>
      <c r="C469" t="s">
        <v>66</v>
      </c>
      <c r="D469" t="s">
        <v>67</v>
      </c>
      <c r="E469" t="s">
        <v>16</v>
      </c>
      <c r="F469" t="s">
        <v>33</v>
      </c>
      <c r="G469" s="1">
        <v>347</v>
      </c>
      <c r="H469" t="s">
        <v>26</v>
      </c>
      <c r="I469" s="2">
        <v>43850</v>
      </c>
      <c r="J469" t="s">
        <v>68</v>
      </c>
      <c r="K469" t="s">
        <v>69</v>
      </c>
      <c r="L469">
        <v>78749</v>
      </c>
      <c r="M469" t="s">
        <v>21</v>
      </c>
      <c r="N469" t="str">
        <f>VLOOKUP(A469, Data_Set_2!$A:$D,2,FALSE)</f>
        <v>kperry98</v>
      </c>
      <c r="O469" t="str">
        <f>VLOOKUP(A469, Data_Set_2!$A:$D,3,FALSE)</f>
        <v>Blognation</v>
      </c>
      <c r="P469" t="str">
        <f>VLOOKUP(A469, Data_Set_2!$A:$D,4,FALSE)</f>
        <v>GIS Technical Architect</v>
      </c>
      <c r="Q469" t="str">
        <f>_xlfn.CONCAT(Table3[[#This Row],[first_name]], " ",Table3[[#This Row],[last_name]])</f>
        <v>Kenneth Perry</v>
      </c>
    </row>
    <row r="470" spans="1:17" hidden="1" x14ac:dyDescent="0.3">
      <c r="A470">
        <v>333</v>
      </c>
      <c r="B470" t="s">
        <v>65</v>
      </c>
      <c r="C470" t="s">
        <v>66</v>
      </c>
      <c r="D470" t="s">
        <v>67</v>
      </c>
      <c r="E470" t="s">
        <v>16</v>
      </c>
      <c r="F470" t="s">
        <v>33</v>
      </c>
      <c r="G470" s="1">
        <v>980</v>
      </c>
      <c r="H470" t="s">
        <v>26</v>
      </c>
      <c r="I470" s="2">
        <v>43855</v>
      </c>
      <c r="J470" t="s">
        <v>68</v>
      </c>
      <c r="K470" t="s">
        <v>69</v>
      </c>
      <c r="L470">
        <v>78749</v>
      </c>
      <c r="M470" t="s">
        <v>21</v>
      </c>
      <c r="N470" t="str">
        <f>VLOOKUP(A470, Data_Set_2!$A:$D,2,FALSE)</f>
        <v>kperry98</v>
      </c>
      <c r="O470" t="str">
        <f>VLOOKUP(A470, Data_Set_2!$A:$D,3,FALSE)</f>
        <v>Blognation</v>
      </c>
      <c r="P470" t="str">
        <f>VLOOKUP(A470, Data_Set_2!$A:$D,4,FALSE)</f>
        <v>GIS Technical Architect</v>
      </c>
      <c r="Q470" t="str">
        <f>_xlfn.CONCAT(Table3[[#This Row],[first_name]], " ",Table3[[#This Row],[last_name]])</f>
        <v>Kenneth Perry</v>
      </c>
    </row>
    <row r="471" spans="1:17" hidden="1" x14ac:dyDescent="0.3">
      <c r="A471">
        <v>333</v>
      </c>
      <c r="B471" t="s">
        <v>65</v>
      </c>
      <c r="C471" t="s">
        <v>66</v>
      </c>
      <c r="D471" t="s">
        <v>67</v>
      </c>
      <c r="E471" t="s">
        <v>16</v>
      </c>
      <c r="F471" t="s">
        <v>33</v>
      </c>
      <c r="G471" s="1">
        <v>920</v>
      </c>
      <c r="H471" t="s">
        <v>26</v>
      </c>
      <c r="I471" s="2">
        <v>43875</v>
      </c>
      <c r="J471" t="s">
        <v>68</v>
      </c>
      <c r="K471" t="s">
        <v>69</v>
      </c>
      <c r="L471">
        <v>78749</v>
      </c>
      <c r="M471" t="s">
        <v>21</v>
      </c>
      <c r="N471" t="str">
        <f>VLOOKUP(A471, Data_Set_2!$A:$D,2,FALSE)</f>
        <v>kperry98</v>
      </c>
      <c r="O471" t="str">
        <f>VLOOKUP(A471, Data_Set_2!$A:$D,3,FALSE)</f>
        <v>Blognation</v>
      </c>
      <c r="P471" t="str">
        <f>VLOOKUP(A471, Data_Set_2!$A:$D,4,FALSE)</f>
        <v>GIS Technical Architect</v>
      </c>
      <c r="Q471" t="str">
        <f>_xlfn.CONCAT(Table3[[#This Row],[first_name]], " ",Table3[[#This Row],[last_name]])</f>
        <v>Kenneth Perry</v>
      </c>
    </row>
    <row r="472" spans="1:17" hidden="1" x14ac:dyDescent="0.3">
      <c r="A472">
        <v>333</v>
      </c>
      <c r="B472" t="s">
        <v>65</v>
      </c>
      <c r="C472" t="s">
        <v>66</v>
      </c>
      <c r="D472" t="s">
        <v>67</v>
      </c>
      <c r="E472" t="s">
        <v>16</v>
      </c>
      <c r="F472" t="s">
        <v>33</v>
      </c>
      <c r="G472" s="1">
        <v>891</v>
      </c>
      <c r="H472" t="s">
        <v>26</v>
      </c>
      <c r="I472" s="2">
        <v>43893</v>
      </c>
      <c r="J472" t="s">
        <v>68</v>
      </c>
      <c r="K472" t="s">
        <v>69</v>
      </c>
      <c r="L472">
        <v>78749</v>
      </c>
      <c r="M472" t="s">
        <v>21</v>
      </c>
      <c r="N472" t="str">
        <f>VLOOKUP(A472, Data_Set_2!$A:$D,2,FALSE)</f>
        <v>kperry98</v>
      </c>
      <c r="O472" t="str">
        <f>VLOOKUP(A472, Data_Set_2!$A:$D,3,FALSE)</f>
        <v>Blognation</v>
      </c>
      <c r="P472" t="str">
        <f>VLOOKUP(A472, Data_Set_2!$A:$D,4,FALSE)</f>
        <v>GIS Technical Architect</v>
      </c>
      <c r="Q472" t="str">
        <f>_xlfn.CONCAT(Table3[[#This Row],[first_name]], " ",Table3[[#This Row],[last_name]])</f>
        <v>Kenneth Perry</v>
      </c>
    </row>
    <row r="473" spans="1:17" hidden="1" x14ac:dyDescent="0.3">
      <c r="A473">
        <v>333</v>
      </c>
      <c r="B473" t="s">
        <v>65</v>
      </c>
      <c r="C473" t="s">
        <v>66</v>
      </c>
      <c r="D473" t="s">
        <v>67</v>
      </c>
      <c r="E473" t="s">
        <v>16</v>
      </c>
      <c r="F473" t="s">
        <v>33</v>
      </c>
      <c r="G473" s="1">
        <v>718</v>
      </c>
      <c r="H473" t="s">
        <v>26</v>
      </c>
      <c r="I473" s="2">
        <v>43897</v>
      </c>
      <c r="J473" t="s">
        <v>68</v>
      </c>
      <c r="K473" t="s">
        <v>69</v>
      </c>
      <c r="L473">
        <v>78749</v>
      </c>
      <c r="M473" t="s">
        <v>21</v>
      </c>
      <c r="N473" t="str">
        <f>VLOOKUP(A473, Data_Set_2!$A:$D,2,FALSE)</f>
        <v>kperry98</v>
      </c>
      <c r="O473" t="str">
        <f>VLOOKUP(A473, Data_Set_2!$A:$D,3,FALSE)</f>
        <v>Blognation</v>
      </c>
      <c r="P473" t="str">
        <f>VLOOKUP(A473, Data_Set_2!$A:$D,4,FALSE)</f>
        <v>GIS Technical Architect</v>
      </c>
      <c r="Q473" t="str">
        <f>_xlfn.CONCAT(Table3[[#This Row],[first_name]], " ",Table3[[#This Row],[last_name]])</f>
        <v>Kenneth Perry</v>
      </c>
    </row>
    <row r="474" spans="1:17" hidden="1" x14ac:dyDescent="0.3">
      <c r="A474">
        <v>333</v>
      </c>
      <c r="B474" t="s">
        <v>65</v>
      </c>
      <c r="C474" t="s">
        <v>66</v>
      </c>
      <c r="D474" t="s">
        <v>67</v>
      </c>
      <c r="E474" t="s">
        <v>16</v>
      </c>
      <c r="F474" t="s">
        <v>33</v>
      </c>
      <c r="G474" s="1">
        <v>14</v>
      </c>
      <c r="H474" t="s">
        <v>26</v>
      </c>
      <c r="I474" s="2">
        <v>43930</v>
      </c>
      <c r="J474" t="s">
        <v>68</v>
      </c>
      <c r="K474" t="s">
        <v>69</v>
      </c>
      <c r="L474">
        <v>78749</v>
      </c>
      <c r="M474" t="s">
        <v>21</v>
      </c>
      <c r="N474" t="str">
        <f>VLOOKUP(A474, Data_Set_2!$A:$D,2,FALSE)</f>
        <v>kperry98</v>
      </c>
      <c r="O474" t="str">
        <f>VLOOKUP(A474, Data_Set_2!$A:$D,3,FALSE)</f>
        <v>Blognation</v>
      </c>
      <c r="P474" t="str">
        <f>VLOOKUP(A474, Data_Set_2!$A:$D,4,FALSE)</f>
        <v>GIS Technical Architect</v>
      </c>
      <c r="Q474" t="str">
        <f>_xlfn.CONCAT(Table3[[#This Row],[first_name]], " ",Table3[[#This Row],[last_name]])</f>
        <v>Kenneth Perry</v>
      </c>
    </row>
    <row r="475" spans="1:17" hidden="1" x14ac:dyDescent="0.3">
      <c r="A475">
        <v>333</v>
      </c>
      <c r="B475" t="s">
        <v>65</v>
      </c>
      <c r="C475" t="s">
        <v>66</v>
      </c>
      <c r="D475" t="s">
        <v>67</v>
      </c>
      <c r="E475" t="s">
        <v>16</v>
      </c>
      <c r="F475" t="s">
        <v>33</v>
      </c>
      <c r="G475" s="1">
        <v>924</v>
      </c>
      <c r="H475" t="s">
        <v>26</v>
      </c>
      <c r="I475" s="2">
        <v>43934</v>
      </c>
      <c r="J475" t="s">
        <v>68</v>
      </c>
      <c r="K475" t="s">
        <v>69</v>
      </c>
      <c r="L475">
        <v>78749</v>
      </c>
      <c r="M475" t="s">
        <v>21</v>
      </c>
      <c r="N475" t="str">
        <f>VLOOKUP(A475, Data_Set_2!$A:$D,2,FALSE)</f>
        <v>kperry98</v>
      </c>
      <c r="O475" t="str">
        <f>VLOOKUP(A475, Data_Set_2!$A:$D,3,FALSE)</f>
        <v>Blognation</v>
      </c>
      <c r="P475" t="str">
        <f>VLOOKUP(A475, Data_Set_2!$A:$D,4,FALSE)</f>
        <v>GIS Technical Architect</v>
      </c>
      <c r="Q475" t="str">
        <f>_xlfn.CONCAT(Table3[[#This Row],[first_name]], " ",Table3[[#This Row],[last_name]])</f>
        <v>Kenneth Perry</v>
      </c>
    </row>
    <row r="476" spans="1:17" hidden="1" x14ac:dyDescent="0.3">
      <c r="A476">
        <v>333</v>
      </c>
      <c r="B476" t="s">
        <v>65</v>
      </c>
      <c r="C476" t="s">
        <v>66</v>
      </c>
      <c r="D476" t="s">
        <v>67</v>
      </c>
      <c r="E476" t="s">
        <v>16</v>
      </c>
      <c r="F476" t="s">
        <v>33</v>
      </c>
      <c r="G476" s="1">
        <v>734</v>
      </c>
      <c r="H476" t="s">
        <v>26</v>
      </c>
      <c r="I476" s="2">
        <v>43946</v>
      </c>
      <c r="J476" t="s">
        <v>68</v>
      </c>
      <c r="K476" t="s">
        <v>69</v>
      </c>
      <c r="L476">
        <v>78749</v>
      </c>
      <c r="M476" t="s">
        <v>21</v>
      </c>
      <c r="N476" t="str">
        <f>VLOOKUP(A476, Data_Set_2!$A:$D,2,FALSE)</f>
        <v>kperry98</v>
      </c>
      <c r="O476" t="str">
        <f>VLOOKUP(A476, Data_Set_2!$A:$D,3,FALSE)</f>
        <v>Blognation</v>
      </c>
      <c r="P476" t="str">
        <f>VLOOKUP(A476, Data_Set_2!$A:$D,4,FALSE)</f>
        <v>GIS Technical Architect</v>
      </c>
      <c r="Q476" t="str">
        <f>_xlfn.CONCAT(Table3[[#This Row],[first_name]], " ",Table3[[#This Row],[last_name]])</f>
        <v>Kenneth Perry</v>
      </c>
    </row>
    <row r="477" spans="1:17" hidden="1" x14ac:dyDescent="0.3">
      <c r="A477">
        <v>333</v>
      </c>
      <c r="B477" t="s">
        <v>65</v>
      </c>
      <c r="C477" t="s">
        <v>66</v>
      </c>
      <c r="D477" t="s">
        <v>67</v>
      </c>
      <c r="E477" t="s">
        <v>16</v>
      </c>
      <c r="F477" t="s">
        <v>33</v>
      </c>
      <c r="G477" s="1">
        <v>203</v>
      </c>
      <c r="H477" t="s">
        <v>26</v>
      </c>
      <c r="I477" s="2">
        <v>43950</v>
      </c>
      <c r="J477" t="s">
        <v>68</v>
      </c>
      <c r="K477" t="s">
        <v>69</v>
      </c>
      <c r="L477">
        <v>78749</v>
      </c>
      <c r="M477" t="s">
        <v>21</v>
      </c>
      <c r="N477" t="str">
        <f>VLOOKUP(A477, Data_Set_2!$A:$D,2,FALSE)</f>
        <v>kperry98</v>
      </c>
      <c r="O477" t="str">
        <f>VLOOKUP(A477, Data_Set_2!$A:$D,3,FALSE)</f>
        <v>Blognation</v>
      </c>
      <c r="P477" t="str">
        <f>VLOOKUP(A477, Data_Set_2!$A:$D,4,FALSE)</f>
        <v>GIS Technical Architect</v>
      </c>
      <c r="Q477" t="str">
        <f>_xlfn.CONCAT(Table3[[#This Row],[first_name]], " ",Table3[[#This Row],[last_name]])</f>
        <v>Kenneth Perry</v>
      </c>
    </row>
    <row r="478" spans="1:17" hidden="1" x14ac:dyDescent="0.3">
      <c r="A478">
        <v>333</v>
      </c>
      <c r="B478" t="s">
        <v>65</v>
      </c>
      <c r="C478" t="s">
        <v>66</v>
      </c>
      <c r="D478" t="s">
        <v>67</v>
      </c>
      <c r="E478" t="s">
        <v>16</v>
      </c>
      <c r="F478" t="s">
        <v>33</v>
      </c>
      <c r="G478" s="1">
        <v>205</v>
      </c>
      <c r="H478" t="s">
        <v>26</v>
      </c>
      <c r="I478" s="2">
        <v>43957</v>
      </c>
      <c r="J478" t="s">
        <v>68</v>
      </c>
      <c r="K478" t="s">
        <v>69</v>
      </c>
      <c r="L478">
        <v>78749</v>
      </c>
      <c r="M478" t="s">
        <v>21</v>
      </c>
      <c r="N478" t="str">
        <f>VLOOKUP(A478, Data_Set_2!$A:$D,2,FALSE)</f>
        <v>kperry98</v>
      </c>
      <c r="O478" t="str">
        <f>VLOOKUP(A478, Data_Set_2!$A:$D,3,FALSE)</f>
        <v>Blognation</v>
      </c>
      <c r="P478" t="str">
        <f>VLOOKUP(A478, Data_Set_2!$A:$D,4,FALSE)</f>
        <v>GIS Technical Architect</v>
      </c>
      <c r="Q478" t="str">
        <f>_xlfn.CONCAT(Table3[[#This Row],[first_name]], " ",Table3[[#This Row],[last_name]])</f>
        <v>Kenneth Perry</v>
      </c>
    </row>
    <row r="479" spans="1:17" hidden="1" x14ac:dyDescent="0.3">
      <c r="A479">
        <v>333</v>
      </c>
      <c r="B479" t="s">
        <v>65</v>
      </c>
      <c r="C479" t="s">
        <v>66</v>
      </c>
      <c r="D479" t="s">
        <v>67</v>
      </c>
      <c r="E479" t="s">
        <v>16</v>
      </c>
      <c r="F479" t="s">
        <v>33</v>
      </c>
      <c r="G479" s="1">
        <v>128</v>
      </c>
      <c r="H479" t="s">
        <v>26</v>
      </c>
      <c r="I479" s="2">
        <v>43957</v>
      </c>
      <c r="J479" t="s">
        <v>68</v>
      </c>
      <c r="K479" t="s">
        <v>69</v>
      </c>
      <c r="L479">
        <v>78749</v>
      </c>
      <c r="M479" t="s">
        <v>21</v>
      </c>
      <c r="N479" t="str">
        <f>VLOOKUP(A479, Data_Set_2!$A:$D,2,FALSE)</f>
        <v>kperry98</v>
      </c>
      <c r="O479" t="str">
        <f>VLOOKUP(A479, Data_Set_2!$A:$D,3,FALSE)</f>
        <v>Blognation</v>
      </c>
      <c r="P479" t="str">
        <f>VLOOKUP(A479, Data_Set_2!$A:$D,4,FALSE)</f>
        <v>GIS Technical Architect</v>
      </c>
      <c r="Q479" t="str">
        <f>_xlfn.CONCAT(Table3[[#This Row],[first_name]], " ",Table3[[#This Row],[last_name]])</f>
        <v>Kenneth Perry</v>
      </c>
    </row>
    <row r="480" spans="1:17" hidden="1" x14ac:dyDescent="0.3">
      <c r="A480">
        <v>333</v>
      </c>
      <c r="B480" t="s">
        <v>65</v>
      </c>
      <c r="C480" t="s">
        <v>66</v>
      </c>
      <c r="D480" t="s">
        <v>67</v>
      </c>
      <c r="E480" t="s">
        <v>16</v>
      </c>
      <c r="F480" t="s">
        <v>33</v>
      </c>
      <c r="G480" s="1">
        <v>553</v>
      </c>
      <c r="H480" t="s">
        <v>26</v>
      </c>
      <c r="I480" s="2">
        <v>43967</v>
      </c>
      <c r="J480" t="s">
        <v>68</v>
      </c>
      <c r="K480" t="s">
        <v>69</v>
      </c>
      <c r="L480">
        <v>78749</v>
      </c>
      <c r="M480" t="s">
        <v>21</v>
      </c>
      <c r="N480" t="str">
        <f>VLOOKUP(A480, Data_Set_2!$A:$D,2,FALSE)</f>
        <v>kperry98</v>
      </c>
      <c r="O480" t="str">
        <f>VLOOKUP(A480, Data_Set_2!$A:$D,3,FALSE)</f>
        <v>Blognation</v>
      </c>
      <c r="P480" t="str">
        <f>VLOOKUP(A480, Data_Set_2!$A:$D,4,FALSE)</f>
        <v>GIS Technical Architect</v>
      </c>
      <c r="Q480" t="str">
        <f>_xlfn.CONCAT(Table3[[#This Row],[first_name]], " ",Table3[[#This Row],[last_name]])</f>
        <v>Kenneth Perry</v>
      </c>
    </row>
    <row r="481" spans="1:17" hidden="1" x14ac:dyDescent="0.3">
      <c r="A481">
        <v>333</v>
      </c>
      <c r="B481" t="s">
        <v>65</v>
      </c>
      <c r="C481" t="s">
        <v>66</v>
      </c>
      <c r="D481" t="s">
        <v>67</v>
      </c>
      <c r="E481" t="s">
        <v>16</v>
      </c>
      <c r="F481" t="s">
        <v>33</v>
      </c>
      <c r="G481" s="1">
        <v>325</v>
      </c>
      <c r="H481" t="s">
        <v>26</v>
      </c>
      <c r="I481" s="2">
        <v>43974</v>
      </c>
      <c r="J481" t="s">
        <v>68</v>
      </c>
      <c r="K481" t="s">
        <v>69</v>
      </c>
      <c r="L481">
        <v>78749</v>
      </c>
      <c r="M481" t="s">
        <v>21</v>
      </c>
      <c r="N481" t="str">
        <f>VLOOKUP(A481, Data_Set_2!$A:$D,2,FALSE)</f>
        <v>kperry98</v>
      </c>
      <c r="O481" t="str">
        <f>VLOOKUP(A481, Data_Set_2!$A:$D,3,FALSE)</f>
        <v>Blognation</v>
      </c>
      <c r="P481" t="str">
        <f>VLOOKUP(A481, Data_Set_2!$A:$D,4,FALSE)</f>
        <v>GIS Technical Architect</v>
      </c>
      <c r="Q481" t="str">
        <f>_xlfn.CONCAT(Table3[[#This Row],[first_name]], " ",Table3[[#This Row],[last_name]])</f>
        <v>Kenneth Perry</v>
      </c>
    </row>
    <row r="482" spans="1:17" hidden="1" x14ac:dyDescent="0.3">
      <c r="A482">
        <v>333</v>
      </c>
      <c r="B482" t="s">
        <v>65</v>
      </c>
      <c r="C482" t="s">
        <v>66</v>
      </c>
      <c r="D482" t="s">
        <v>67</v>
      </c>
      <c r="E482" t="s">
        <v>16</v>
      </c>
      <c r="F482" t="s">
        <v>33</v>
      </c>
      <c r="G482" s="1">
        <v>292</v>
      </c>
      <c r="H482" t="s">
        <v>26</v>
      </c>
      <c r="I482" s="2">
        <v>43983</v>
      </c>
      <c r="J482" t="s">
        <v>68</v>
      </c>
      <c r="K482" t="s">
        <v>69</v>
      </c>
      <c r="L482">
        <v>78749</v>
      </c>
      <c r="M482" t="s">
        <v>21</v>
      </c>
      <c r="N482" t="str">
        <f>VLOOKUP(A482, Data_Set_2!$A:$D,2,FALSE)</f>
        <v>kperry98</v>
      </c>
      <c r="O482" t="str">
        <f>VLOOKUP(A482, Data_Set_2!$A:$D,3,FALSE)</f>
        <v>Blognation</v>
      </c>
      <c r="P482" t="str">
        <f>VLOOKUP(A482, Data_Set_2!$A:$D,4,FALSE)</f>
        <v>GIS Technical Architect</v>
      </c>
      <c r="Q482" t="str">
        <f>_xlfn.CONCAT(Table3[[#This Row],[first_name]], " ",Table3[[#This Row],[last_name]])</f>
        <v>Kenneth Perry</v>
      </c>
    </row>
    <row r="483" spans="1:17" hidden="1" x14ac:dyDescent="0.3">
      <c r="A483">
        <v>333</v>
      </c>
      <c r="B483" t="s">
        <v>65</v>
      </c>
      <c r="C483" t="s">
        <v>66</v>
      </c>
      <c r="D483" t="s">
        <v>67</v>
      </c>
      <c r="E483" t="s">
        <v>16</v>
      </c>
      <c r="F483" t="s">
        <v>33</v>
      </c>
      <c r="G483" s="1">
        <v>275</v>
      </c>
      <c r="H483" t="s">
        <v>26</v>
      </c>
      <c r="I483" s="2">
        <v>43985</v>
      </c>
      <c r="J483" t="s">
        <v>68</v>
      </c>
      <c r="K483" t="s">
        <v>69</v>
      </c>
      <c r="L483">
        <v>78749</v>
      </c>
      <c r="M483" t="s">
        <v>21</v>
      </c>
      <c r="N483" t="str">
        <f>VLOOKUP(A483, Data_Set_2!$A:$D,2,FALSE)</f>
        <v>kperry98</v>
      </c>
      <c r="O483" t="str">
        <f>VLOOKUP(A483, Data_Set_2!$A:$D,3,FALSE)</f>
        <v>Blognation</v>
      </c>
      <c r="P483" t="str">
        <f>VLOOKUP(A483, Data_Set_2!$A:$D,4,FALSE)</f>
        <v>GIS Technical Architect</v>
      </c>
      <c r="Q483" t="str">
        <f>_xlfn.CONCAT(Table3[[#This Row],[first_name]], " ",Table3[[#This Row],[last_name]])</f>
        <v>Kenneth Perry</v>
      </c>
    </row>
    <row r="484" spans="1:17" hidden="1" x14ac:dyDescent="0.3">
      <c r="A484">
        <v>333</v>
      </c>
      <c r="B484" t="s">
        <v>65</v>
      </c>
      <c r="C484" t="s">
        <v>66</v>
      </c>
      <c r="D484" t="s">
        <v>67</v>
      </c>
      <c r="E484" t="s">
        <v>16</v>
      </c>
      <c r="F484" t="s">
        <v>33</v>
      </c>
      <c r="G484" s="1">
        <v>891</v>
      </c>
      <c r="H484" t="s">
        <v>26</v>
      </c>
      <c r="I484" s="2">
        <v>43986</v>
      </c>
      <c r="J484" t="s">
        <v>68</v>
      </c>
      <c r="K484" t="s">
        <v>69</v>
      </c>
      <c r="L484">
        <v>78749</v>
      </c>
      <c r="M484" t="s">
        <v>21</v>
      </c>
      <c r="N484" t="str">
        <f>VLOOKUP(A484, Data_Set_2!$A:$D,2,FALSE)</f>
        <v>kperry98</v>
      </c>
      <c r="O484" t="str">
        <f>VLOOKUP(A484, Data_Set_2!$A:$D,3,FALSE)</f>
        <v>Blognation</v>
      </c>
      <c r="P484" t="str">
        <f>VLOOKUP(A484, Data_Set_2!$A:$D,4,FALSE)</f>
        <v>GIS Technical Architect</v>
      </c>
      <c r="Q484" t="str">
        <f>_xlfn.CONCAT(Table3[[#This Row],[first_name]], " ",Table3[[#This Row],[last_name]])</f>
        <v>Kenneth Perry</v>
      </c>
    </row>
    <row r="485" spans="1:17" hidden="1" x14ac:dyDescent="0.3">
      <c r="A485">
        <v>333</v>
      </c>
      <c r="B485" t="s">
        <v>65</v>
      </c>
      <c r="C485" t="s">
        <v>66</v>
      </c>
      <c r="D485" t="s">
        <v>67</v>
      </c>
      <c r="E485" t="s">
        <v>16</v>
      </c>
      <c r="F485" t="s">
        <v>33</v>
      </c>
      <c r="G485" s="1">
        <v>369</v>
      </c>
      <c r="H485" t="s">
        <v>26</v>
      </c>
      <c r="I485" s="2">
        <v>44019</v>
      </c>
      <c r="J485" t="s">
        <v>68</v>
      </c>
      <c r="K485" t="s">
        <v>69</v>
      </c>
      <c r="L485">
        <v>78749</v>
      </c>
      <c r="M485" t="s">
        <v>21</v>
      </c>
      <c r="N485" t="str">
        <f>VLOOKUP(A485, Data_Set_2!$A:$D,2,FALSE)</f>
        <v>kperry98</v>
      </c>
      <c r="O485" t="str">
        <f>VLOOKUP(A485, Data_Set_2!$A:$D,3,FALSE)</f>
        <v>Blognation</v>
      </c>
      <c r="P485" t="str">
        <f>VLOOKUP(A485, Data_Set_2!$A:$D,4,FALSE)</f>
        <v>GIS Technical Architect</v>
      </c>
      <c r="Q485" t="str">
        <f>_xlfn.CONCAT(Table3[[#This Row],[first_name]], " ",Table3[[#This Row],[last_name]])</f>
        <v>Kenneth Perry</v>
      </c>
    </row>
    <row r="486" spans="1:17" hidden="1" x14ac:dyDescent="0.3">
      <c r="A486">
        <v>333</v>
      </c>
      <c r="B486" t="s">
        <v>65</v>
      </c>
      <c r="C486" t="s">
        <v>66</v>
      </c>
      <c r="D486" t="s">
        <v>67</v>
      </c>
      <c r="E486" t="s">
        <v>16</v>
      </c>
      <c r="F486" t="s">
        <v>33</v>
      </c>
      <c r="G486" s="1">
        <v>573</v>
      </c>
      <c r="H486" t="s">
        <v>26</v>
      </c>
      <c r="I486" s="2">
        <v>44020</v>
      </c>
      <c r="J486" t="s">
        <v>68</v>
      </c>
      <c r="K486" t="s">
        <v>69</v>
      </c>
      <c r="L486">
        <v>78749</v>
      </c>
      <c r="M486" t="s">
        <v>21</v>
      </c>
      <c r="N486" t="str">
        <f>VLOOKUP(A486, Data_Set_2!$A:$D,2,FALSE)</f>
        <v>kperry98</v>
      </c>
      <c r="O486" t="str">
        <f>VLOOKUP(A486, Data_Set_2!$A:$D,3,FALSE)</f>
        <v>Blognation</v>
      </c>
      <c r="P486" t="str">
        <f>VLOOKUP(A486, Data_Set_2!$A:$D,4,FALSE)</f>
        <v>GIS Technical Architect</v>
      </c>
      <c r="Q486" t="str">
        <f>_xlfn.CONCAT(Table3[[#This Row],[first_name]], " ",Table3[[#This Row],[last_name]])</f>
        <v>Kenneth Perry</v>
      </c>
    </row>
    <row r="487" spans="1:17" hidden="1" x14ac:dyDescent="0.3">
      <c r="A487">
        <v>333</v>
      </c>
      <c r="B487" t="s">
        <v>65</v>
      </c>
      <c r="C487" t="s">
        <v>66</v>
      </c>
      <c r="D487" t="s">
        <v>67</v>
      </c>
      <c r="E487" t="s">
        <v>16</v>
      </c>
      <c r="F487" t="s">
        <v>33</v>
      </c>
      <c r="G487" s="1">
        <v>950</v>
      </c>
      <c r="H487" t="s">
        <v>26</v>
      </c>
      <c r="I487" s="2">
        <v>44021</v>
      </c>
      <c r="J487" t="s">
        <v>68</v>
      </c>
      <c r="K487" t="s">
        <v>69</v>
      </c>
      <c r="L487">
        <v>78749</v>
      </c>
      <c r="M487" t="s">
        <v>21</v>
      </c>
      <c r="N487" t="str">
        <f>VLOOKUP(A487, Data_Set_2!$A:$D,2,FALSE)</f>
        <v>kperry98</v>
      </c>
      <c r="O487" t="str">
        <f>VLOOKUP(A487, Data_Set_2!$A:$D,3,FALSE)</f>
        <v>Blognation</v>
      </c>
      <c r="P487" t="str">
        <f>VLOOKUP(A487, Data_Set_2!$A:$D,4,FALSE)</f>
        <v>GIS Technical Architect</v>
      </c>
      <c r="Q487" t="str">
        <f>_xlfn.CONCAT(Table3[[#This Row],[first_name]], " ",Table3[[#This Row],[last_name]])</f>
        <v>Kenneth Perry</v>
      </c>
    </row>
    <row r="488" spans="1:17" hidden="1" x14ac:dyDescent="0.3">
      <c r="A488">
        <v>333</v>
      </c>
      <c r="B488" t="s">
        <v>65</v>
      </c>
      <c r="C488" t="s">
        <v>66</v>
      </c>
      <c r="D488" t="s">
        <v>67</v>
      </c>
      <c r="E488" t="s">
        <v>16</v>
      </c>
      <c r="F488" t="s">
        <v>33</v>
      </c>
      <c r="G488" s="1">
        <v>387</v>
      </c>
      <c r="H488" t="s">
        <v>26</v>
      </c>
      <c r="I488" s="2">
        <v>44025</v>
      </c>
      <c r="J488" t="s">
        <v>68</v>
      </c>
      <c r="K488" t="s">
        <v>69</v>
      </c>
      <c r="L488">
        <v>78749</v>
      </c>
      <c r="M488" t="s">
        <v>21</v>
      </c>
      <c r="N488" t="str">
        <f>VLOOKUP(A488, Data_Set_2!$A:$D,2,FALSE)</f>
        <v>kperry98</v>
      </c>
      <c r="O488" t="str">
        <f>VLOOKUP(A488, Data_Set_2!$A:$D,3,FALSE)</f>
        <v>Blognation</v>
      </c>
      <c r="P488" t="str">
        <f>VLOOKUP(A488, Data_Set_2!$A:$D,4,FALSE)</f>
        <v>GIS Technical Architect</v>
      </c>
      <c r="Q488" t="str">
        <f>_xlfn.CONCAT(Table3[[#This Row],[first_name]], " ",Table3[[#This Row],[last_name]])</f>
        <v>Kenneth Perry</v>
      </c>
    </row>
    <row r="489" spans="1:17" hidden="1" x14ac:dyDescent="0.3">
      <c r="A489">
        <v>333</v>
      </c>
      <c r="B489" t="s">
        <v>65</v>
      </c>
      <c r="C489" t="s">
        <v>66</v>
      </c>
      <c r="D489" t="s">
        <v>67</v>
      </c>
      <c r="E489" t="s">
        <v>16</v>
      </c>
      <c r="F489" t="s">
        <v>33</v>
      </c>
      <c r="G489" s="1">
        <v>185</v>
      </c>
      <c r="H489" t="s">
        <v>26</v>
      </c>
      <c r="I489" s="2">
        <v>44033</v>
      </c>
      <c r="J489" t="s">
        <v>68</v>
      </c>
      <c r="K489" t="s">
        <v>69</v>
      </c>
      <c r="L489">
        <v>78749</v>
      </c>
      <c r="M489" t="s">
        <v>21</v>
      </c>
      <c r="N489" t="str">
        <f>VLOOKUP(A489, Data_Set_2!$A:$D,2,FALSE)</f>
        <v>kperry98</v>
      </c>
      <c r="O489" t="str">
        <f>VLOOKUP(A489, Data_Set_2!$A:$D,3,FALSE)</f>
        <v>Blognation</v>
      </c>
      <c r="P489" t="str">
        <f>VLOOKUP(A489, Data_Set_2!$A:$D,4,FALSE)</f>
        <v>GIS Technical Architect</v>
      </c>
      <c r="Q489" t="str">
        <f>_xlfn.CONCAT(Table3[[#This Row],[first_name]], " ",Table3[[#This Row],[last_name]])</f>
        <v>Kenneth Perry</v>
      </c>
    </row>
    <row r="490" spans="1:17" hidden="1" x14ac:dyDescent="0.3">
      <c r="A490">
        <v>333</v>
      </c>
      <c r="B490" t="s">
        <v>65</v>
      </c>
      <c r="C490" t="s">
        <v>66</v>
      </c>
      <c r="D490" t="s">
        <v>67</v>
      </c>
      <c r="E490" t="s">
        <v>16</v>
      </c>
      <c r="F490" t="s">
        <v>33</v>
      </c>
      <c r="G490" s="1">
        <v>550</v>
      </c>
      <c r="H490" t="s">
        <v>26</v>
      </c>
      <c r="I490" s="2">
        <v>44073</v>
      </c>
      <c r="J490" t="s">
        <v>68</v>
      </c>
      <c r="K490" t="s">
        <v>69</v>
      </c>
      <c r="L490">
        <v>78749</v>
      </c>
      <c r="M490" t="s">
        <v>21</v>
      </c>
      <c r="N490" t="str">
        <f>VLOOKUP(A490, Data_Set_2!$A:$D,2,FALSE)</f>
        <v>kperry98</v>
      </c>
      <c r="O490" t="str">
        <f>VLOOKUP(A490, Data_Set_2!$A:$D,3,FALSE)</f>
        <v>Blognation</v>
      </c>
      <c r="P490" t="str">
        <f>VLOOKUP(A490, Data_Set_2!$A:$D,4,FALSE)</f>
        <v>GIS Technical Architect</v>
      </c>
      <c r="Q490" t="str">
        <f>_xlfn.CONCAT(Table3[[#This Row],[first_name]], " ",Table3[[#This Row],[last_name]])</f>
        <v>Kenneth Perry</v>
      </c>
    </row>
    <row r="491" spans="1:17" hidden="1" x14ac:dyDescent="0.3">
      <c r="A491">
        <v>333</v>
      </c>
      <c r="B491" t="s">
        <v>65</v>
      </c>
      <c r="C491" t="s">
        <v>66</v>
      </c>
      <c r="D491" t="s">
        <v>67</v>
      </c>
      <c r="E491" t="s">
        <v>16</v>
      </c>
      <c r="F491" t="s">
        <v>33</v>
      </c>
      <c r="G491" s="1">
        <v>171</v>
      </c>
      <c r="H491" t="s">
        <v>26</v>
      </c>
      <c r="I491" s="2">
        <v>44073</v>
      </c>
      <c r="J491" t="s">
        <v>68</v>
      </c>
      <c r="K491" t="s">
        <v>69</v>
      </c>
      <c r="L491">
        <v>78749</v>
      </c>
      <c r="M491" t="s">
        <v>21</v>
      </c>
      <c r="N491" t="str">
        <f>VLOOKUP(A491, Data_Set_2!$A:$D,2,FALSE)</f>
        <v>kperry98</v>
      </c>
      <c r="O491" t="str">
        <f>VLOOKUP(A491, Data_Set_2!$A:$D,3,FALSE)</f>
        <v>Blognation</v>
      </c>
      <c r="P491" t="str">
        <f>VLOOKUP(A491, Data_Set_2!$A:$D,4,FALSE)</f>
        <v>GIS Technical Architect</v>
      </c>
      <c r="Q491" t="str">
        <f>_xlfn.CONCAT(Table3[[#This Row],[first_name]], " ",Table3[[#This Row],[last_name]])</f>
        <v>Kenneth Perry</v>
      </c>
    </row>
    <row r="492" spans="1:17" hidden="1" x14ac:dyDescent="0.3">
      <c r="A492">
        <v>333</v>
      </c>
      <c r="B492" t="s">
        <v>65</v>
      </c>
      <c r="C492" t="s">
        <v>66</v>
      </c>
      <c r="D492" t="s">
        <v>67</v>
      </c>
      <c r="E492" t="s">
        <v>16</v>
      </c>
      <c r="F492" t="s">
        <v>33</v>
      </c>
      <c r="G492" s="1">
        <v>448</v>
      </c>
      <c r="H492" t="s">
        <v>26</v>
      </c>
      <c r="I492" s="2">
        <v>44077</v>
      </c>
      <c r="J492" t="s">
        <v>68</v>
      </c>
      <c r="K492" t="s">
        <v>69</v>
      </c>
      <c r="L492">
        <v>78749</v>
      </c>
      <c r="M492" t="s">
        <v>21</v>
      </c>
      <c r="N492" t="str">
        <f>VLOOKUP(A492, Data_Set_2!$A:$D,2,FALSE)</f>
        <v>kperry98</v>
      </c>
      <c r="O492" t="str">
        <f>VLOOKUP(A492, Data_Set_2!$A:$D,3,FALSE)</f>
        <v>Blognation</v>
      </c>
      <c r="P492" t="str">
        <f>VLOOKUP(A492, Data_Set_2!$A:$D,4,FALSE)</f>
        <v>GIS Technical Architect</v>
      </c>
      <c r="Q492" t="str">
        <f>_xlfn.CONCAT(Table3[[#This Row],[first_name]], " ",Table3[[#This Row],[last_name]])</f>
        <v>Kenneth Perry</v>
      </c>
    </row>
    <row r="493" spans="1:17" hidden="1" x14ac:dyDescent="0.3">
      <c r="A493">
        <v>333</v>
      </c>
      <c r="B493" t="s">
        <v>65</v>
      </c>
      <c r="C493" t="s">
        <v>66</v>
      </c>
      <c r="D493" t="s">
        <v>67</v>
      </c>
      <c r="E493" t="s">
        <v>16</v>
      </c>
      <c r="F493" t="s">
        <v>33</v>
      </c>
      <c r="G493" s="1">
        <v>714</v>
      </c>
      <c r="H493" t="s">
        <v>26</v>
      </c>
      <c r="I493" s="2">
        <v>44097</v>
      </c>
      <c r="J493" t="s">
        <v>68</v>
      </c>
      <c r="K493" t="s">
        <v>69</v>
      </c>
      <c r="L493">
        <v>78749</v>
      </c>
      <c r="M493" t="s">
        <v>21</v>
      </c>
      <c r="N493" t="str">
        <f>VLOOKUP(A493, Data_Set_2!$A:$D,2,FALSE)</f>
        <v>kperry98</v>
      </c>
      <c r="O493" t="str">
        <f>VLOOKUP(A493, Data_Set_2!$A:$D,3,FALSE)</f>
        <v>Blognation</v>
      </c>
      <c r="P493" t="str">
        <f>VLOOKUP(A493, Data_Set_2!$A:$D,4,FALSE)</f>
        <v>GIS Technical Architect</v>
      </c>
      <c r="Q493" t="str">
        <f>_xlfn.CONCAT(Table3[[#This Row],[first_name]], " ",Table3[[#This Row],[last_name]])</f>
        <v>Kenneth Perry</v>
      </c>
    </row>
    <row r="494" spans="1:17" hidden="1" x14ac:dyDescent="0.3">
      <c r="A494">
        <v>333</v>
      </c>
      <c r="B494" t="s">
        <v>65</v>
      </c>
      <c r="C494" t="s">
        <v>66</v>
      </c>
      <c r="D494" t="s">
        <v>67</v>
      </c>
      <c r="E494" t="s">
        <v>16</v>
      </c>
      <c r="F494" t="s">
        <v>33</v>
      </c>
      <c r="G494" s="1">
        <v>896</v>
      </c>
      <c r="H494" t="s">
        <v>26</v>
      </c>
      <c r="I494" s="2">
        <v>44147</v>
      </c>
      <c r="J494" t="s">
        <v>68</v>
      </c>
      <c r="K494" t="s">
        <v>69</v>
      </c>
      <c r="L494">
        <v>78749</v>
      </c>
      <c r="M494" t="s">
        <v>21</v>
      </c>
      <c r="N494" t="str">
        <f>VLOOKUP(A494, Data_Set_2!$A:$D,2,FALSE)</f>
        <v>kperry98</v>
      </c>
      <c r="O494" t="str">
        <f>VLOOKUP(A494, Data_Set_2!$A:$D,3,FALSE)</f>
        <v>Blognation</v>
      </c>
      <c r="P494" t="str">
        <f>VLOOKUP(A494, Data_Set_2!$A:$D,4,FALSE)</f>
        <v>GIS Technical Architect</v>
      </c>
      <c r="Q494" t="str">
        <f>_xlfn.CONCAT(Table3[[#This Row],[first_name]], " ",Table3[[#This Row],[last_name]])</f>
        <v>Kenneth Perry</v>
      </c>
    </row>
    <row r="495" spans="1:17" hidden="1" x14ac:dyDescent="0.3">
      <c r="A495">
        <v>333</v>
      </c>
      <c r="B495" t="s">
        <v>65</v>
      </c>
      <c r="C495" t="s">
        <v>66</v>
      </c>
      <c r="D495" t="s">
        <v>67</v>
      </c>
      <c r="E495" t="s">
        <v>16</v>
      </c>
      <c r="F495" t="s">
        <v>33</v>
      </c>
      <c r="G495" s="1">
        <v>192</v>
      </c>
      <c r="H495" t="s">
        <v>26</v>
      </c>
      <c r="I495" s="2">
        <v>44149</v>
      </c>
      <c r="J495" t="s">
        <v>68</v>
      </c>
      <c r="K495" t="s">
        <v>69</v>
      </c>
      <c r="L495">
        <v>78749</v>
      </c>
      <c r="M495" t="s">
        <v>21</v>
      </c>
      <c r="N495" t="str">
        <f>VLOOKUP(A495, Data_Set_2!$A:$D,2,FALSE)</f>
        <v>kperry98</v>
      </c>
      <c r="O495" t="str">
        <f>VLOOKUP(A495, Data_Set_2!$A:$D,3,FALSE)</f>
        <v>Blognation</v>
      </c>
      <c r="P495" t="str">
        <f>VLOOKUP(A495, Data_Set_2!$A:$D,4,FALSE)</f>
        <v>GIS Technical Architect</v>
      </c>
      <c r="Q495" t="str">
        <f>_xlfn.CONCAT(Table3[[#This Row],[first_name]], " ",Table3[[#This Row],[last_name]])</f>
        <v>Kenneth Perry</v>
      </c>
    </row>
    <row r="496" spans="1:17" hidden="1" x14ac:dyDescent="0.3">
      <c r="A496">
        <v>333</v>
      </c>
      <c r="B496" t="s">
        <v>65</v>
      </c>
      <c r="C496" t="s">
        <v>66</v>
      </c>
      <c r="D496" t="s">
        <v>67</v>
      </c>
      <c r="E496" t="s">
        <v>16</v>
      </c>
      <c r="F496" t="s">
        <v>33</v>
      </c>
      <c r="G496" s="1">
        <v>305</v>
      </c>
      <c r="H496" t="s">
        <v>26</v>
      </c>
      <c r="I496" s="2">
        <v>44165</v>
      </c>
      <c r="J496" t="s">
        <v>68</v>
      </c>
      <c r="K496" t="s">
        <v>69</v>
      </c>
      <c r="L496">
        <v>78749</v>
      </c>
      <c r="M496" t="s">
        <v>21</v>
      </c>
      <c r="N496" t="str">
        <f>VLOOKUP(A496, Data_Set_2!$A:$D,2,FALSE)</f>
        <v>kperry98</v>
      </c>
      <c r="O496" t="str">
        <f>VLOOKUP(A496, Data_Set_2!$A:$D,3,FALSE)</f>
        <v>Blognation</v>
      </c>
      <c r="P496" t="str">
        <f>VLOOKUP(A496, Data_Set_2!$A:$D,4,FALSE)</f>
        <v>GIS Technical Architect</v>
      </c>
      <c r="Q496" t="str">
        <f>_xlfn.CONCAT(Table3[[#This Row],[first_name]], " ",Table3[[#This Row],[last_name]])</f>
        <v>Kenneth Perry</v>
      </c>
    </row>
    <row r="497" spans="1:17" hidden="1" x14ac:dyDescent="0.3">
      <c r="A497">
        <v>333</v>
      </c>
      <c r="B497" t="s">
        <v>65</v>
      </c>
      <c r="C497" t="s">
        <v>66</v>
      </c>
      <c r="D497" t="s">
        <v>67</v>
      </c>
      <c r="E497" t="s">
        <v>16</v>
      </c>
      <c r="F497" t="s">
        <v>33</v>
      </c>
      <c r="G497" s="1">
        <v>876</v>
      </c>
      <c r="H497" t="s">
        <v>26</v>
      </c>
      <c r="I497" s="2">
        <v>44166</v>
      </c>
      <c r="J497" t="s">
        <v>68</v>
      </c>
      <c r="K497" t="s">
        <v>69</v>
      </c>
      <c r="L497">
        <v>78749</v>
      </c>
      <c r="M497" t="s">
        <v>21</v>
      </c>
      <c r="N497" t="str">
        <f>VLOOKUP(A497, Data_Set_2!$A:$D,2,FALSE)</f>
        <v>kperry98</v>
      </c>
      <c r="O497" t="str">
        <f>VLOOKUP(A497, Data_Set_2!$A:$D,3,FALSE)</f>
        <v>Blognation</v>
      </c>
      <c r="P497" t="str">
        <f>VLOOKUP(A497, Data_Set_2!$A:$D,4,FALSE)</f>
        <v>GIS Technical Architect</v>
      </c>
      <c r="Q497" t="str">
        <f>_xlfn.CONCAT(Table3[[#This Row],[first_name]], " ",Table3[[#This Row],[last_name]])</f>
        <v>Kenneth Perry</v>
      </c>
    </row>
    <row r="498" spans="1:17" hidden="1" x14ac:dyDescent="0.3">
      <c r="A498">
        <v>333</v>
      </c>
      <c r="B498" t="s">
        <v>65</v>
      </c>
      <c r="C498" t="s">
        <v>66</v>
      </c>
      <c r="D498" t="s">
        <v>67</v>
      </c>
      <c r="E498" t="s">
        <v>16</v>
      </c>
      <c r="F498" t="s">
        <v>33</v>
      </c>
      <c r="G498" s="1">
        <v>308</v>
      </c>
      <c r="H498" t="s">
        <v>26</v>
      </c>
      <c r="I498" s="2">
        <v>44185</v>
      </c>
      <c r="J498" t="s">
        <v>68</v>
      </c>
      <c r="K498" t="s">
        <v>69</v>
      </c>
      <c r="L498">
        <v>78749</v>
      </c>
      <c r="M498" t="s">
        <v>21</v>
      </c>
      <c r="N498" t="str">
        <f>VLOOKUP(A498, Data_Set_2!$A:$D,2,FALSE)</f>
        <v>kperry98</v>
      </c>
      <c r="O498" t="str">
        <f>VLOOKUP(A498, Data_Set_2!$A:$D,3,FALSE)</f>
        <v>Blognation</v>
      </c>
      <c r="P498" t="str">
        <f>VLOOKUP(A498, Data_Set_2!$A:$D,4,FALSE)</f>
        <v>GIS Technical Architect</v>
      </c>
      <c r="Q498" t="str">
        <f>_xlfn.CONCAT(Table3[[#This Row],[first_name]], " ",Table3[[#This Row],[last_name]])</f>
        <v>Kenneth Perry</v>
      </c>
    </row>
    <row r="499" spans="1:17" hidden="1" x14ac:dyDescent="0.3">
      <c r="A499">
        <v>333</v>
      </c>
      <c r="B499" t="s">
        <v>65</v>
      </c>
      <c r="C499" t="s">
        <v>66</v>
      </c>
      <c r="D499" t="s">
        <v>67</v>
      </c>
      <c r="E499" t="s">
        <v>16</v>
      </c>
      <c r="F499" t="s">
        <v>33</v>
      </c>
      <c r="G499" s="1">
        <v>790</v>
      </c>
      <c r="H499" t="s">
        <v>26</v>
      </c>
      <c r="I499" s="2">
        <v>44188</v>
      </c>
      <c r="J499" t="s">
        <v>68</v>
      </c>
      <c r="K499" t="s">
        <v>69</v>
      </c>
      <c r="L499">
        <v>78749</v>
      </c>
      <c r="M499" t="s">
        <v>21</v>
      </c>
      <c r="N499" t="str">
        <f>VLOOKUP(A499, Data_Set_2!$A:$D,2,FALSE)</f>
        <v>kperry98</v>
      </c>
      <c r="O499" t="str">
        <f>VLOOKUP(A499, Data_Set_2!$A:$D,3,FALSE)</f>
        <v>Blognation</v>
      </c>
      <c r="P499" t="str">
        <f>VLOOKUP(A499, Data_Set_2!$A:$D,4,FALSE)</f>
        <v>GIS Technical Architect</v>
      </c>
      <c r="Q499" t="str">
        <f>_xlfn.CONCAT(Table3[[#This Row],[first_name]], " ",Table3[[#This Row],[last_name]])</f>
        <v>Kenneth Perry</v>
      </c>
    </row>
    <row r="500" spans="1:17" hidden="1" x14ac:dyDescent="0.3">
      <c r="A500">
        <v>333</v>
      </c>
      <c r="B500" t="s">
        <v>65</v>
      </c>
      <c r="C500" t="s">
        <v>66</v>
      </c>
      <c r="D500" t="s">
        <v>67</v>
      </c>
      <c r="E500" t="s">
        <v>16</v>
      </c>
      <c r="F500" t="s">
        <v>33</v>
      </c>
      <c r="G500" s="1">
        <v>324</v>
      </c>
      <c r="H500" t="s">
        <v>26</v>
      </c>
      <c r="I500" s="2">
        <v>44195</v>
      </c>
      <c r="J500" t="s">
        <v>68</v>
      </c>
      <c r="K500" t="s">
        <v>69</v>
      </c>
      <c r="L500">
        <v>78749</v>
      </c>
      <c r="M500" t="s">
        <v>21</v>
      </c>
      <c r="N500" t="str">
        <f>VLOOKUP(A500, Data_Set_2!$A:$D,2,FALSE)</f>
        <v>kperry98</v>
      </c>
      <c r="O500" t="str">
        <f>VLOOKUP(A500, Data_Set_2!$A:$D,3,FALSE)</f>
        <v>Blognation</v>
      </c>
      <c r="P500" t="str">
        <f>VLOOKUP(A500, Data_Set_2!$A:$D,4,FALSE)</f>
        <v>GIS Technical Architect</v>
      </c>
      <c r="Q500" t="str">
        <f>_xlfn.CONCAT(Table3[[#This Row],[first_name]], " ",Table3[[#This Row],[last_name]])</f>
        <v>Kenneth Perry</v>
      </c>
    </row>
    <row r="501" spans="1:17" hidden="1" x14ac:dyDescent="0.3">
      <c r="A501">
        <v>333</v>
      </c>
      <c r="B501" t="s">
        <v>65</v>
      </c>
      <c r="C501" t="s">
        <v>66</v>
      </c>
      <c r="D501" t="s">
        <v>67</v>
      </c>
      <c r="E501" t="s">
        <v>16</v>
      </c>
      <c r="F501" t="s">
        <v>33</v>
      </c>
      <c r="G501" s="1">
        <v>297</v>
      </c>
      <c r="H501" t="s">
        <v>26</v>
      </c>
      <c r="I501" s="2">
        <v>44198</v>
      </c>
      <c r="J501" t="s">
        <v>68</v>
      </c>
      <c r="K501" t="s">
        <v>69</v>
      </c>
      <c r="L501">
        <v>78749</v>
      </c>
      <c r="M501" t="s">
        <v>21</v>
      </c>
      <c r="N501" t="str">
        <f>VLOOKUP(A501, Data_Set_2!$A:$D,2,FALSE)</f>
        <v>kperry98</v>
      </c>
      <c r="O501" t="str">
        <f>VLOOKUP(A501, Data_Set_2!$A:$D,3,FALSE)</f>
        <v>Blognation</v>
      </c>
      <c r="P501" t="str">
        <f>VLOOKUP(A501, Data_Set_2!$A:$D,4,FALSE)</f>
        <v>GIS Technical Architect</v>
      </c>
      <c r="Q501" t="str">
        <f>_xlfn.CONCAT(Table3[[#This Row],[first_name]], " ",Table3[[#This Row],[last_name]])</f>
        <v>Kenneth Perry</v>
      </c>
    </row>
    <row r="502" spans="1:17" hidden="1" x14ac:dyDescent="0.3">
      <c r="A502">
        <v>333</v>
      </c>
      <c r="B502" t="s">
        <v>65</v>
      </c>
      <c r="C502" t="s">
        <v>66</v>
      </c>
      <c r="D502" t="s">
        <v>67</v>
      </c>
      <c r="E502" t="s">
        <v>16</v>
      </c>
      <c r="F502" t="s">
        <v>33</v>
      </c>
      <c r="G502" s="1">
        <v>351</v>
      </c>
      <c r="H502" t="s">
        <v>26</v>
      </c>
      <c r="I502" s="2">
        <v>44212</v>
      </c>
      <c r="J502" t="s">
        <v>68</v>
      </c>
      <c r="K502" t="s">
        <v>69</v>
      </c>
      <c r="L502">
        <v>78749</v>
      </c>
      <c r="M502" t="s">
        <v>21</v>
      </c>
      <c r="N502" t="str">
        <f>VLOOKUP(A502, Data_Set_2!$A:$D,2,FALSE)</f>
        <v>kperry98</v>
      </c>
      <c r="O502" t="str">
        <f>VLOOKUP(A502, Data_Set_2!$A:$D,3,FALSE)</f>
        <v>Blognation</v>
      </c>
      <c r="P502" t="str">
        <f>VLOOKUP(A502, Data_Set_2!$A:$D,4,FALSE)</f>
        <v>GIS Technical Architect</v>
      </c>
      <c r="Q502" t="str">
        <f>_xlfn.CONCAT(Table3[[#This Row],[first_name]], " ",Table3[[#This Row],[last_name]])</f>
        <v>Kenneth Perry</v>
      </c>
    </row>
    <row r="503" spans="1:17" hidden="1" x14ac:dyDescent="0.3">
      <c r="A503">
        <v>333</v>
      </c>
      <c r="B503" t="s">
        <v>65</v>
      </c>
      <c r="C503" t="s">
        <v>66</v>
      </c>
      <c r="D503" t="s">
        <v>67</v>
      </c>
      <c r="E503" t="s">
        <v>16</v>
      </c>
      <c r="F503" t="s">
        <v>33</v>
      </c>
      <c r="G503" s="1">
        <v>126</v>
      </c>
      <c r="H503" t="s">
        <v>26</v>
      </c>
      <c r="I503" s="2">
        <v>44220</v>
      </c>
      <c r="J503" t="s">
        <v>68</v>
      </c>
      <c r="K503" t="s">
        <v>69</v>
      </c>
      <c r="L503">
        <v>78749</v>
      </c>
      <c r="M503" t="s">
        <v>21</v>
      </c>
      <c r="N503" t="str">
        <f>VLOOKUP(A503, Data_Set_2!$A:$D,2,FALSE)</f>
        <v>kperry98</v>
      </c>
      <c r="O503" t="str">
        <f>VLOOKUP(A503, Data_Set_2!$A:$D,3,FALSE)</f>
        <v>Blognation</v>
      </c>
      <c r="P503" t="str">
        <f>VLOOKUP(A503, Data_Set_2!$A:$D,4,FALSE)</f>
        <v>GIS Technical Architect</v>
      </c>
      <c r="Q503" t="str">
        <f>_xlfn.CONCAT(Table3[[#This Row],[first_name]], " ",Table3[[#This Row],[last_name]])</f>
        <v>Kenneth Perry</v>
      </c>
    </row>
    <row r="504" spans="1:17" hidden="1" x14ac:dyDescent="0.3">
      <c r="A504">
        <v>333</v>
      </c>
      <c r="B504" t="s">
        <v>65</v>
      </c>
      <c r="C504" t="s">
        <v>66</v>
      </c>
      <c r="D504" t="s">
        <v>67</v>
      </c>
      <c r="E504" t="s">
        <v>16</v>
      </c>
      <c r="F504" t="s">
        <v>33</v>
      </c>
      <c r="G504" s="1">
        <v>765</v>
      </c>
      <c r="H504" t="s">
        <v>26</v>
      </c>
      <c r="I504" s="2">
        <v>44231</v>
      </c>
      <c r="J504" t="s">
        <v>68</v>
      </c>
      <c r="K504" t="s">
        <v>69</v>
      </c>
      <c r="L504">
        <v>78749</v>
      </c>
      <c r="M504" t="s">
        <v>21</v>
      </c>
      <c r="N504" t="str">
        <f>VLOOKUP(A504, Data_Set_2!$A:$D,2,FALSE)</f>
        <v>kperry98</v>
      </c>
      <c r="O504" t="str">
        <f>VLOOKUP(A504, Data_Set_2!$A:$D,3,FALSE)</f>
        <v>Blognation</v>
      </c>
      <c r="P504" t="str">
        <f>VLOOKUP(A504, Data_Set_2!$A:$D,4,FALSE)</f>
        <v>GIS Technical Architect</v>
      </c>
      <c r="Q504" t="str">
        <f>_xlfn.CONCAT(Table3[[#This Row],[first_name]], " ",Table3[[#This Row],[last_name]])</f>
        <v>Kenneth Perry</v>
      </c>
    </row>
    <row r="505" spans="1:17" hidden="1" x14ac:dyDescent="0.3">
      <c r="A505">
        <v>333</v>
      </c>
      <c r="B505" t="s">
        <v>65</v>
      </c>
      <c r="C505" t="s">
        <v>66</v>
      </c>
      <c r="D505" t="s">
        <v>67</v>
      </c>
      <c r="E505" t="s">
        <v>16</v>
      </c>
      <c r="F505" t="s">
        <v>33</v>
      </c>
      <c r="G505" s="1">
        <v>992</v>
      </c>
      <c r="H505" t="s">
        <v>26</v>
      </c>
      <c r="I505" s="2">
        <v>44239</v>
      </c>
      <c r="J505" t="s">
        <v>68</v>
      </c>
      <c r="K505" t="s">
        <v>69</v>
      </c>
      <c r="L505">
        <v>78749</v>
      </c>
      <c r="M505" t="s">
        <v>21</v>
      </c>
      <c r="N505" t="str">
        <f>VLOOKUP(A505, Data_Set_2!$A:$D,2,FALSE)</f>
        <v>kperry98</v>
      </c>
      <c r="O505" t="str">
        <f>VLOOKUP(A505, Data_Set_2!$A:$D,3,FALSE)</f>
        <v>Blognation</v>
      </c>
      <c r="P505" t="str">
        <f>VLOOKUP(A505, Data_Set_2!$A:$D,4,FALSE)</f>
        <v>GIS Technical Architect</v>
      </c>
      <c r="Q505" t="str">
        <f>_xlfn.CONCAT(Table3[[#This Row],[first_name]], " ",Table3[[#This Row],[last_name]])</f>
        <v>Kenneth Perry</v>
      </c>
    </row>
    <row r="506" spans="1:17" hidden="1" x14ac:dyDescent="0.3">
      <c r="A506">
        <v>333</v>
      </c>
      <c r="B506" t="s">
        <v>65</v>
      </c>
      <c r="C506" t="s">
        <v>66</v>
      </c>
      <c r="D506" t="s">
        <v>67</v>
      </c>
      <c r="E506" t="s">
        <v>16</v>
      </c>
      <c r="F506" t="s">
        <v>33</v>
      </c>
      <c r="G506" s="1">
        <v>891</v>
      </c>
      <c r="H506" t="s">
        <v>26</v>
      </c>
      <c r="I506" s="2">
        <v>44254</v>
      </c>
      <c r="J506" t="s">
        <v>68</v>
      </c>
      <c r="K506" t="s">
        <v>69</v>
      </c>
      <c r="L506">
        <v>78749</v>
      </c>
      <c r="M506" t="s">
        <v>21</v>
      </c>
      <c r="N506" t="str">
        <f>VLOOKUP(A506, Data_Set_2!$A:$D,2,FALSE)</f>
        <v>kperry98</v>
      </c>
      <c r="O506" t="str">
        <f>VLOOKUP(A506, Data_Set_2!$A:$D,3,FALSE)</f>
        <v>Blognation</v>
      </c>
      <c r="P506" t="str">
        <f>VLOOKUP(A506, Data_Set_2!$A:$D,4,FALSE)</f>
        <v>GIS Technical Architect</v>
      </c>
      <c r="Q506" t="str">
        <f>_xlfn.CONCAT(Table3[[#This Row],[first_name]], " ",Table3[[#This Row],[last_name]])</f>
        <v>Kenneth Perry</v>
      </c>
    </row>
    <row r="507" spans="1:17" hidden="1" x14ac:dyDescent="0.3">
      <c r="A507">
        <v>333</v>
      </c>
      <c r="B507" t="s">
        <v>65</v>
      </c>
      <c r="C507" t="s">
        <v>66</v>
      </c>
      <c r="D507" t="s">
        <v>67</v>
      </c>
      <c r="E507" t="s">
        <v>16</v>
      </c>
      <c r="F507" t="s">
        <v>33</v>
      </c>
      <c r="G507" s="1">
        <v>886</v>
      </c>
      <c r="H507" t="s">
        <v>26</v>
      </c>
      <c r="I507" s="2">
        <v>44265</v>
      </c>
      <c r="J507" t="s">
        <v>68</v>
      </c>
      <c r="K507" t="s">
        <v>69</v>
      </c>
      <c r="L507">
        <v>78749</v>
      </c>
      <c r="M507" t="s">
        <v>21</v>
      </c>
      <c r="N507" t="str">
        <f>VLOOKUP(A507, Data_Set_2!$A:$D,2,FALSE)</f>
        <v>kperry98</v>
      </c>
      <c r="O507" t="str">
        <f>VLOOKUP(A507, Data_Set_2!$A:$D,3,FALSE)</f>
        <v>Blognation</v>
      </c>
      <c r="P507" t="str">
        <f>VLOOKUP(A507, Data_Set_2!$A:$D,4,FALSE)</f>
        <v>GIS Technical Architect</v>
      </c>
      <c r="Q507" t="str">
        <f>_xlfn.CONCAT(Table3[[#This Row],[first_name]], " ",Table3[[#This Row],[last_name]])</f>
        <v>Kenneth Perry</v>
      </c>
    </row>
    <row r="508" spans="1:17" hidden="1" x14ac:dyDescent="0.3">
      <c r="A508">
        <v>333</v>
      </c>
      <c r="B508" t="s">
        <v>65</v>
      </c>
      <c r="C508" t="s">
        <v>66</v>
      </c>
      <c r="D508" t="s">
        <v>67</v>
      </c>
      <c r="E508" t="s">
        <v>16</v>
      </c>
      <c r="F508" t="s">
        <v>33</v>
      </c>
      <c r="G508" s="1">
        <v>577</v>
      </c>
      <c r="H508" t="s">
        <v>26</v>
      </c>
      <c r="I508" s="2">
        <v>44274</v>
      </c>
      <c r="J508" t="s">
        <v>68</v>
      </c>
      <c r="K508" t="s">
        <v>69</v>
      </c>
      <c r="L508">
        <v>78749</v>
      </c>
      <c r="M508" t="s">
        <v>21</v>
      </c>
      <c r="N508" t="str">
        <f>VLOOKUP(A508, Data_Set_2!$A:$D,2,FALSE)</f>
        <v>kperry98</v>
      </c>
      <c r="O508" t="str">
        <f>VLOOKUP(A508, Data_Set_2!$A:$D,3,FALSE)</f>
        <v>Blognation</v>
      </c>
      <c r="P508" t="str">
        <f>VLOOKUP(A508, Data_Set_2!$A:$D,4,FALSE)</f>
        <v>GIS Technical Architect</v>
      </c>
      <c r="Q508" t="str">
        <f>_xlfn.CONCAT(Table3[[#This Row],[first_name]], " ",Table3[[#This Row],[last_name]])</f>
        <v>Kenneth Perry</v>
      </c>
    </row>
    <row r="509" spans="1:17" hidden="1" x14ac:dyDescent="0.3">
      <c r="A509">
        <v>333</v>
      </c>
      <c r="B509" t="s">
        <v>65</v>
      </c>
      <c r="C509" t="s">
        <v>66</v>
      </c>
      <c r="D509" t="s">
        <v>67</v>
      </c>
      <c r="E509" t="s">
        <v>16</v>
      </c>
      <c r="F509" t="s">
        <v>33</v>
      </c>
      <c r="G509" s="1">
        <v>630</v>
      </c>
      <c r="H509" t="s">
        <v>26</v>
      </c>
      <c r="I509" s="2">
        <v>44304</v>
      </c>
      <c r="J509" t="s">
        <v>68</v>
      </c>
      <c r="K509" t="s">
        <v>69</v>
      </c>
      <c r="L509">
        <v>78749</v>
      </c>
      <c r="M509" t="s">
        <v>21</v>
      </c>
      <c r="N509" t="str">
        <f>VLOOKUP(A509, Data_Set_2!$A:$D,2,FALSE)</f>
        <v>kperry98</v>
      </c>
      <c r="O509" t="str">
        <f>VLOOKUP(A509, Data_Set_2!$A:$D,3,FALSE)</f>
        <v>Blognation</v>
      </c>
      <c r="P509" t="str">
        <f>VLOOKUP(A509, Data_Set_2!$A:$D,4,FALSE)</f>
        <v>GIS Technical Architect</v>
      </c>
      <c r="Q509" t="str">
        <f>_xlfn.CONCAT(Table3[[#This Row],[first_name]], " ",Table3[[#This Row],[last_name]])</f>
        <v>Kenneth Perry</v>
      </c>
    </row>
    <row r="510" spans="1:17" hidden="1" x14ac:dyDescent="0.3">
      <c r="A510">
        <v>333</v>
      </c>
      <c r="B510" t="s">
        <v>65</v>
      </c>
      <c r="C510" t="s">
        <v>66</v>
      </c>
      <c r="D510" t="s">
        <v>67</v>
      </c>
      <c r="E510" t="s">
        <v>16</v>
      </c>
      <c r="F510" t="s">
        <v>33</v>
      </c>
      <c r="G510" s="1">
        <v>254</v>
      </c>
      <c r="H510" t="s">
        <v>26</v>
      </c>
      <c r="I510" s="2">
        <v>44307</v>
      </c>
      <c r="J510" t="s">
        <v>68</v>
      </c>
      <c r="K510" t="s">
        <v>69</v>
      </c>
      <c r="L510">
        <v>78749</v>
      </c>
      <c r="M510" t="s">
        <v>21</v>
      </c>
      <c r="N510" t="str">
        <f>VLOOKUP(A510, Data_Set_2!$A:$D,2,FALSE)</f>
        <v>kperry98</v>
      </c>
      <c r="O510" t="str">
        <f>VLOOKUP(A510, Data_Set_2!$A:$D,3,FALSE)</f>
        <v>Blognation</v>
      </c>
      <c r="P510" t="str">
        <f>VLOOKUP(A510, Data_Set_2!$A:$D,4,FALSE)</f>
        <v>GIS Technical Architect</v>
      </c>
      <c r="Q510" t="str">
        <f>_xlfn.CONCAT(Table3[[#This Row],[first_name]], " ",Table3[[#This Row],[last_name]])</f>
        <v>Kenneth Perry</v>
      </c>
    </row>
    <row r="511" spans="1:17" hidden="1" x14ac:dyDescent="0.3">
      <c r="A511">
        <v>333</v>
      </c>
      <c r="B511" t="s">
        <v>65</v>
      </c>
      <c r="C511" t="s">
        <v>66</v>
      </c>
      <c r="D511" t="s">
        <v>67</v>
      </c>
      <c r="E511" t="s">
        <v>16</v>
      </c>
      <c r="F511" t="s">
        <v>33</v>
      </c>
      <c r="G511" s="1">
        <v>974</v>
      </c>
      <c r="H511" t="s">
        <v>26</v>
      </c>
      <c r="I511" s="2">
        <v>44309</v>
      </c>
      <c r="J511" t="s">
        <v>68</v>
      </c>
      <c r="K511" t="s">
        <v>69</v>
      </c>
      <c r="L511">
        <v>78749</v>
      </c>
      <c r="M511" t="s">
        <v>21</v>
      </c>
      <c r="N511" t="str">
        <f>VLOOKUP(A511, Data_Set_2!$A:$D,2,FALSE)</f>
        <v>kperry98</v>
      </c>
      <c r="O511" t="str">
        <f>VLOOKUP(A511, Data_Set_2!$A:$D,3,FALSE)</f>
        <v>Blognation</v>
      </c>
      <c r="P511" t="str">
        <f>VLOOKUP(A511, Data_Set_2!$A:$D,4,FALSE)</f>
        <v>GIS Technical Architect</v>
      </c>
      <c r="Q511" t="str">
        <f>_xlfn.CONCAT(Table3[[#This Row],[first_name]], " ",Table3[[#This Row],[last_name]])</f>
        <v>Kenneth Perry</v>
      </c>
    </row>
    <row r="512" spans="1:17" hidden="1" x14ac:dyDescent="0.3">
      <c r="A512">
        <v>333</v>
      </c>
      <c r="B512" t="s">
        <v>65</v>
      </c>
      <c r="C512" t="s">
        <v>66</v>
      </c>
      <c r="D512" t="s">
        <v>67</v>
      </c>
      <c r="E512" t="s">
        <v>16</v>
      </c>
      <c r="F512" t="s">
        <v>33</v>
      </c>
      <c r="G512" s="1">
        <v>535</v>
      </c>
      <c r="H512" t="s">
        <v>26</v>
      </c>
      <c r="I512" s="2">
        <v>44318</v>
      </c>
      <c r="J512" t="s">
        <v>68</v>
      </c>
      <c r="K512" t="s">
        <v>69</v>
      </c>
      <c r="L512">
        <v>78749</v>
      </c>
      <c r="M512" t="s">
        <v>21</v>
      </c>
      <c r="N512" t="str">
        <f>VLOOKUP(A512, Data_Set_2!$A:$D,2,FALSE)</f>
        <v>kperry98</v>
      </c>
      <c r="O512" t="str">
        <f>VLOOKUP(A512, Data_Set_2!$A:$D,3,FALSE)</f>
        <v>Blognation</v>
      </c>
      <c r="P512" t="str">
        <f>VLOOKUP(A512, Data_Set_2!$A:$D,4,FALSE)</f>
        <v>GIS Technical Architect</v>
      </c>
      <c r="Q512" t="str">
        <f>_xlfn.CONCAT(Table3[[#This Row],[first_name]], " ",Table3[[#This Row],[last_name]])</f>
        <v>Kenneth Perry</v>
      </c>
    </row>
    <row r="513" spans="1:17" hidden="1" x14ac:dyDescent="0.3">
      <c r="A513">
        <v>333</v>
      </c>
      <c r="B513" t="s">
        <v>65</v>
      </c>
      <c r="C513" t="s">
        <v>66</v>
      </c>
      <c r="D513" t="s">
        <v>67</v>
      </c>
      <c r="E513" t="s">
        <v>16</v>
      </c>
      <c r="F513" t="s">
        <v>33</v>
      </c>
      <c r="G513" s="1">
        <v>900</v>
      </c>
      <c r="H513" t="s">
        <v>26</v>
      </c>
      <c r="I513" s="2">
        <v>44322</v>
      </c>
      <c r="J513" t="s">
        <v>68</v>
      </c>
      <c r="K513" t="s">
        <v>69</v>
      </c>
      <c r="L513">
        <v>78749</v>
      </c>
      <c r="M513" t="s">
        <v>21</v>
      </c>
      <c r="N513" t="str">
        <f>VLOOKUP(A513, Data_Set_2!$A:$D,2,FALSE)</f>
        <v>kperry98</v>
      </c>
      <c r="O513" t="str">
        <f>VLOOKUP(A513, Data_Set_2!$A:$D,3,FALSE)</f>
        <v>Blognation</v>
      </c>
      <c r="P513" t="str">
        <f>VLOOKUP(A513, Data_Set_2!$A:$D,4,FALSE)</f>
        <v>GIS Technical Architect</v>
      </c>
      <c r="Q513" t="str">
        <f>_xlfn.CONCAT(Table3[[#This Row],[first_name]], " ",Table3[[#This Row],[last_name]])</f>
        <v>Kenneth Perry</v>
      </c>
    </row>
    <row r="514" spans="1:17" hidden="1" x14ac:dyDescent="0.3">
      <c r="A514">
        <v>333</v>
      </c>
      <c r="B514" t="s">
        <v>65</v>
      </c>
      <c r="C514" t="s">
        <v>66</v>
      </c>
      <c r="D514" t="s">
        <v>67</v>
      </c>
      <c r="E514" t="s">
        <v>16</v>
      </c>
      <c r="F514" t="s">
        <v>33</v>
      </c>
      <c r="G514" s="1">
        <v>853</v>
      </c>
      <c r="H514" t="s">
        <v>26</v>
      </c>
      <c r="I514" s="2">
        <v>44325</v>
      </c>
      <c r="J514" t="s">
        <v>68</v>
      </c>
      <c r="K514" t="s">
        <v>69</v>
      </c>
      <c r="L514">
        <v>78749</v>
      </c>
      <c r="M514" t="s">
        <v>21</v>
      </c>
      <c r="N514" t="str">
        <f>VLOOKUP(A514, Data_Set_2!$A:$D,2,FALSE)</f>
        <v>kperry98</v>
      </c>
      <c r="O514" t="str">
        <f>VLOOKUP(A514, Data_Set_2!$A:$D,3,FALSE)</f>
        <v>Blognation</v>
      </c>
      <c r="P514" t="str">
        <f>VLOOKUP(A514, Data_Set_2!$A:$D,4,FALSE)</f>
        <v>GIS Technical Architect</v>
      </c>
      <c r="Q514" t="str">
        <f>_xlfn.CONCAT(Table3[[#This Row],[first_name]], " ",Table3[[#This Row],[last_name]])</f>
        <v>Kenneth Perry</v>
      </c>
    </row>
    <row r="515" spans="1:17" hidden="1" x14ac:dyDescent="0.3">
      <c r="A515">
        <v>333</v>
      </c>
      <c r="B515" t="s">
        <v>65</v>
      </c>
      <c r="C515" t="s">
        <v>66</v>
      </c>
      <c r="D515" t="s">
        <v>67</v>
      </c>
      <c r="E515" t="s">
        <v>16</v>
      </c>
      <c r="F515" t="s">
        <v>33</v>
      </c>
      <c r="G515" s="1">
        <v>855</v>
      </c>
      <c r="H515" t="s">
        <v>26</v>
      </c>
      <c r="I515" s="2">
        <v>44326</v>
      </c>
      <c r="J515" t="s">
        <v>68</v>
      </c>
      <c r="K515" t="s">
        <v>69</v>
      </c>
      <c r="L515">
        <v>78749</v>
      </c>
      <c r="M515" t="s">
        <v>21</v>
      </c>
      <c r="N515" t="str">
        <f>VLOOKUP(A515, Data_Set_2!$A:$D,2,FALSE)</f>
        <v>kperry98</v>
      </c>
      <c r="O515" t="str">
        <f>VLOOKUP(A515, Data_Set_2!$A:$D,3,FALSE)</f>
        <v>Blognation</v>
      </c>
      <c r="P515" t="str">
        <f>VLOOKUP(A515, Data_Set_2!$A:$D,4,FALSE)</f>
        <v>GIS Technical Architect</v>
      </c>
      <c r="Q515" t="str">
        <f>_xlfn.CONCAT(Table3[[#This Row],[first_name]], " ",Table3[[#This Row],[last_name]])</f>
        <v>Kenneth Perry</v>
      </c>
    </row>
    <row r="516" spans="1:17" hidden="1" x14ac:dyDescent="0.3">
      <c r="A516">
        <v>333</v>
      </c>
      <c r="B516" t="s">
        <v>65</v>
      </c>
      <c r="C516" t="s">
        <v>66</v>
      </c>
      <c r="D516" t="s">
        <v>67</v>
      </c>
      <c r="E516" t="s">
        <v>16</v>
      </c>
      <c r="F516" t="s">
        <v>33</v>
      </c>
      <c r="G516" s="1">
        <v>929</v>
      </c>
      <c r="H516" t="s">
        <v>26</v>
      </c>
      <c r="I516" s="2">
        <v>44328</v>
      </c>
      <c r="J516" t="s">
        <v>68</v>
      </c>
      <c r="K516" t="s">
        <v>69</v>
      </c>
      <c r="L516">
        <v>78749</v>
      </c>
      <c r="M516" t="s">
        <v>21</v>
      </c>
      <c r="N516" t="str">
        <f>VLOOKUP(A516, Data_Set_2!$A:$D,2,FALSE)</f>
        <v>kperry98</v>
      </c>
      <c r="O516" t="str">
        <f>VLOOKUP(A516, Data_Set_2!$A:$D,3,FALSE)</f>
        <v>Blognation</v>
      </c>
      <c r="P516" t="str">
        <f>VLOOKUP(A516, Data_Set_2!$A:$D,4,FALSE)</f>
        <v>GIS Technical Architect</v>
      </c>
      <c r="Q516" t="str">
        <f>_xlfn.CONCAT(Table3[[#This Row],[first_name]], " ",Table3[[#This Row],[last_name]])</f>
        <v>Kenneth Perry</v>
      </c>
    </row>
    <row r="517" spans="1:17" hidden="1" x14ac:dyDescent="0.3">
      <c r="A517">
        <v>333</v>
      </c>
      <c r="B517" t="s">
        <v>65</v>
      </c>
      <c r="C517" t="s">
        <v>66</v>
      </c>
      <c r="D517" t="s">
        <v>67</v>
      </c>
      <c r="E517" t="s">
        <v>16</v>
      </c>
      <c r="F517" t="s">
        <v>33</v>
      </c>
      <c r="G517" s="1">
        <v>854</v>
      </c>
      <c r="H517" t="s">
        <v>26</v>
      </c>
      <c r="I517" s="2">
        <v>44333</v>
      </c>
      <c r="J517" t="s">
        <v>68</v>
      </c>
      <c r="K517" t="s">
        <v>69</v>
      </c>
      <c r="L517">
        <v>78749</v>
      </c>
      <c r="M517" t="s">
        <v>21</v>
      </c>
      <c r="N517" t="str">
        <f>VLOOKUP(A517, Data_Set_2!$A:$D,2,FALSE)</f>
        <v>kperry98</v>
      </c>
      <c r="O517" t="str">
        <f>VLOOKUP(A517, Data_Set_2!$A:$D,3,FALSE)</f>
        <v>Blognation</v>
      </c>
      <c r="P517" t="str">
        <f>VLOOKUP(A517, Data_Set_2!$A:$D,4,FALSE)</f>
        <v>GIS Technical Architect</v>
      </c>
      <c r="Q517" t="str">
        <f>_xlfn.CONCAT(Table3[[#This Row],[first_name]], " ",Table3[[#This Row],[last_name]])</f>
        <v>Kenneth Perry</v>
      </c>
    </row>
    <row r="518" spans="1:17" hidden="1" x14ac:dyDescent="0.3">
      <c r="A518">
        <v>333</v>
      </c>
      <c r="B518" t="s">
        <v>65</v>
      </c>
      <c r="C518" t="s">
        <v>66</v>
      </c>
      <c r="D518" t="s">
        <v>67</v>
      </c>
      <c r="E518" t="s">
        <v>16</v>
      </c>
      <c r="F518" t="s">
        <v>33</v>
      </c>
      <c r="G518" s="1">
        <v>13</v>
      </c>
      <c r="H518" t="s">
        <v>26</v>
      </c>
      <c r="I518" s="2">
        <v>44334</v>
      </c>
      <c r="J518" t="s">
        <v>68</v>
      </c>
      <c r="K518" t="s">
        <v>69</v>
      </c>
      <c r="L518">
        <v>78749</v>
      </c>
      <c r="M518" t="s">
        <v>21</v>
      </c>
      <c r="N518" t="str">
        <f>VLOOKUP(A518, Data_Set_2!$A:$D,2,FALSE)</f>
        <v>kperry98</v>
      </c>
      <c r="O518" t="str">
        <f>VLOOKUP(A518, Data_Set_2!$A:$D,3,FALSE)</f>
        <v>Blognation</v>
      </c>
      <c r="P518" t="str">
        <f>VLOOKUP(A518, Data_Set_2!$A:$D,4,FALSE)</f>
        <v>GIS Technical Architect</v>
      </c>
      <c r="Q518" t="str">
        <f>_xlfn.CONCAT(Table3[[#This Row],[first_name]], " ",Table3[[#This Row],[last_name]])</f>
        <v>Kenneth Perry</v>
      </c>
    </row>
    <row r="519" spans="1:17" hidden="1" x14ac:dyDescent="0.3">
      <c r="A519">
        <v>333</v>
      </c>
      <c r="B519" t="s">
        <v>65</v>
      </c>
      <c r="C519" t="s">
        <v>66</v>
      </c>
      <c r="D519" t="s">
        <v>67</v>
      </c>
      <c r="E519" t="s">
        <v>16</v>
      </c>
      <c r="F519" t="s">
        <v>33</v>
      </c>
      <c r="G519" s="1">
        <v>74</v>
      </c>
      <c r="H519" t="s">
        <v>26</v>
      </c>
      <c r="I519" s="2">
        <v>44337</v>
      </c>
      <c r="J519" t="s">
        <v>68</v>
      </c>
      <c r="K519" t="s">
        <v>69</v>
      </c>
      <c r="L519">
        <v>78749</v>
      </c>
      <c r="M519" t="s">
        <v>21</v>
      </c>
      <c r="N519" t="str">
        <f>VLOOKUP(A519, Data_Set_2!$A:$D,2,FALSE)</f>
        <v>kperry98</v>
      </c>
      <c r="O519" t="str">
        <f>VLOOKUP(A519, Data_Set_2!$A:$D,3,FALSE)</f>
        <v>Blognation</v>
      </c>
      <c r="P519" t="str">
        <f>VLOOKUP(A519, Data_Set_2!$A:$D,4,FALSE)</f>
        <v>GIS Technical Architect</v>
      </c>
      <c r="Q519" t="str">
        <f>_xlfn.CONCAT(Table3[[#This Row],[first_name]], " ",Table3[[#This Row],[last_name]])</f>
        <v>Kenneth Perry</v>
      </c>
    </row>
    <row r="520" spans="1:17" hidden="1" x14ac:dyDescent="0.3">
      <c r="A520">
        <v>333</v>
      </c>
      <c r="B520" t="s">
        <v>65</v>
      </c>
      <c r="C520" t="s">
        <v>66</v>
      </c>
      <c r="D520" t="s">
        <v>67</v>
      </c>
      <c r="E520" t="s">
        <v>16</v>
      </c>
      <c r="F520" t="s">
        <v>33</v>
      </c>
      <c r="G520" s="1">
        <v>915</v>
      </c>
      <c r="H520" t="s">
        <v>26</v>
      </c>
      <c r="I520" s="2">
        <v>44347</v>
      </c>
      <c r="J520" t="s">
        <v>68</v>
      </c>
      <c r="K520" t="s">
        <v>69</v>
      </c>
      <c r="L520">
        <v>78749</v>
      </c>
      <c r="M520" t="s">
        <v>21</v>
      </c>
      <c r="N520" t="str">
        <f>VLOOKUP(A520, Data_Set_2!$A:$D,2,FALSE)</f>
        <v>kperry98</v>
      </c>
      <c r="O520" t="str">
        <f>VLOOKUP(A520, Data_Set_2!$A:$D,3,FALSE)</f>
        <v>Blognation</v>
      </c>
      <c r="P520" t="str">
        <f>VLOOKUP(A520, Data_Set_2!$A:$D,4,FALSE)</f>
        <v>GIS Technical Architect</v>
      </c>
      <c r="Q520" t="str">
        <f>_xlfn.CONCAT(Table3[[#This Row],[first_name]], " ",Table3[[#This Row],[last_name]])</f>
        <v>Kenneth Perry</v>
      </c>
    </row>
    <row r="521" spans="1:17" hidden="1" x14ac:dyDescent="0.3">
      <c r="A521">
        <v>333</v>
      </c>
      <c r="B521" t="s">
        <v>65</v>
      </c>
      <c r="C521" t="s">
        <v>66</v>
      </c>
      <c r="D521" t="s">
        <v>67</v>
      </c>
      <c r="E521" t="s">
        <v>16</v>
      </c>
      <c r="F521" t="s">
        <v>33</v>
      </c>
      <c r="G521" s="1">
        <v>111</v>
      </c>
      <c r="H521" t="s">
        <v>26</v>
      </c>
      <c r="I521" s="2">
        <v>44383</v>
      </c>
      <c r="J521" t="s">
        <v>68</v>
      </c>
      <c r="K521" t="s">
        <v>69</v>
      </c>
      <c r="L521">
        <v>78749</v>
      </c>
      <c r="M521" t="s">
        <v>21</v>
      </c>
      <c r="N521" t="str">
        <f>VLOOKUP(A521, Data_Set_2!$A:$D,2,FALSE)</f>
        <v>kperry98</v>
      </c>
      <c r="O521" t="str">
        <f>VLOOKUP(A521, Data_Set_2!$A:$D,3,FALSE)</f>
        <v>Blognation</v>
      </c>
      <c r="P521" t="str">
        <f>VLOOKUP(A521, Data_Set_2!$A:$D,4,FALSE)</f>
        <v>GIS Technical Architect</v>
      </c>
      <c r="Q521" t="str">
        <f>_xlfn.CONCAT(Table3[[#This Row],[first_name]], " ",Table3[[#This Row],[last_name]])</f>
        <v>Kenneth Perry</v>
      </c>
    </row>
    <row r="522" spans="1:17" hidden="1" x14ac:dyDescent="0.3">
      <c r="A522">
        <v>333</v>
      </c>
      <c r="B522" t="s">
        <v>65</v>
      </c>
      <c r="C522" t="s">
        <v>66</v>
      </c>
      <c r="D522" t="s">
        <v>67</v>
      </c>
      <c r="E522" t="s">
        <v>16</v>
      </c>
      <c r="F522" t="s">
        <v>33</v>
      </c>
      <c r="G522" s="1">
        <v>200</v>
      </c>
      <c r="H522" t="s">
        <v>26</v>
      </c>
      <c r="I522" s="2">
        <v>44384</v>
      </c>
      <c r="J522" t="s">
        <v>68</v>
      </c>
      <c r="K522" t="s">
        <v>69</v>
      </c>
      <c r="L522">
        <v>78749</v>
      </c>
      <c r="M522" t="s">
        <v>21</v>
      </c>
      <c r="N522" t="str">
        <f>VLOOKUP(A522, Data_Set_2!$A:$D,2,FALSE)</f>
        <v>kperry98</v>
      </c>
      <c r="O522" t="str">
        <f>VLOOKUP(A522, Data_Set_2!$A:$D,3,FALSE)</f>
        <v>Blognation</v>
      </c>
      <c r="P522" t="str">
        <f>VLOOKUP(A522, Data_Set_2!$A:$D,4,FALSE)</f>
        <v>GIS Technical Architect</v>
      </c>
      <c r="Q522" t="str">
        <f>_xlfn.CONCAT(Table3[[#This Row],[first_name]], " ",Table3[[#This Row],[last_name]])</f>
        <v>Kenneth Perry</v>
      </c>
    </row>
    <row r="523" spans="1:17" hidden="1" x14ac:dyDescent="0.3">
      <c r="A523">
        <v>333</v>
      </c>
      <c r="B523" t="s">
        <v>65</v>
      </c>
      <c r="C523" t="s">
        <v>66</v>
      </c>
      <c r="D523" t="s">
        <v>67</v>
      </c>
      <c r="E523" t="s">
        <v>16</v>
      </c>
      <c r="F523" t="s">
        <v>33</v>
      </c>
      <c r="G523" s="1">
        <v>329</v>
      </c>
      <c r="H523" t="s">
        <v>26</v>
      </c>
      <c r="I523" s="2">
        <v>44390</v>
      </c>
      <c r="J523" t="s">
        <v>68</v>
      </c>
      <c r="K523" t="s">
        <v>69</v>
      </c>
      <c r="L523">
        <v>78749</v>
      </c>
      <c r="M523" t="s">
        <v>21</v>
      </c>
      <c r="N523" t="str">
        <f>VLOOKUP(A523, Data_Set_2!$A:$D,2,FALSE)</f>
        <v>kperry98</v>
      </c>
      <c r="O523" t="str">
        <f>VLOOKUP(A523, Data_Set_2!$A:$D,3,FALSE)</f>
        <v>Blognation</v>
      </c>
      <c r="P523" t="str">
        <f>VLOOKUP(A523, Data_Set_2!$A:$D,4,FALSE)</f>
        <v>GIS Technical Architect</v>
      </c>
      <c r="Q523" t="str">
        <f>_xlfn.CONCAT(Table3[[#This Row],[first_name]], " ",Table3[[#This Row],[last_name]])</f>
        <v>Kenneth Perry</v>
      </c>
    </row>
    <row r="524" spans="1:17" hidden="1" x14ac:dyDescent="0.3">
      <c r="A524">
        <v>333</v>
      </c>
      <c r="B524" t="s">
        <v>65</v>
      </c>
      <c r="C524" t="s">
        <v>66</v>
      </c>
      <c r="D524" t="s">
        <v>67</v>
      </c>
      <c r="E524" t="s">
        <v>16</v>
      </c>
      <c r="F524" t="s">
        <v>33</v>
      </c>
      <c r="G524" s="1">
        <v>972</v>
      </c>
      <c r="H524" t="s">
        <v>26</v>
      </c>
      <c r="I524" s="2">
        <v>44396</v>
      </c>
      <c r="J524" t="s">
        <v>68</v>
      </c>
      <c r="K524" t="s">
        <v>69</v>
      </c>
      <c r="L524">
        <v>78749</v>
      </c>
      <c r="M524" t="s">
        <v>21</v>
      </c>
      <c r="N524" t="str">
        <f>VLOOKUP(A524, Data_Set_2!$A:$D,2,FALSE)</f>
        <v>kperry98</v>
      </c>
      <c r="O524" t="str">
        <f>VLOOKUP(A524, Data_Set_2!$A:$D,3,FALSE)</f>
        <v>Blognation</v>
      </c>
      <c r="P524" t="str">
        <f>VLOOKUP(A524, Data_Set_2!$A:$D,4,FALSE)</f>
        <v>GIS Technical Architect</v>
      </c>
      <c r="Q524" t="str">
        <f>_xlfn.CONCAT(Table3[[#This Row],[first_name]], " ",Table3[[#This Row],[last_name]])</f>
        <v>Kenneth Perry</v>
      </c>
    </row>
    <row r="525" spans="1:17" hidden="1" x14ac:dyDescent="0.3">
      <c r="A525">
        <v>333</v>
      </c>
      <c r="B525" t="s">
        <v>65</v>
      </c>
      <c r="C525" t="s">
        <v>66</v>
      </c>
      <c r="D525" t="s">
        <v>67</v>
      </c>
      <c r="E525" t="s">
        <v>16</v>
      </c>
      <c r="F525" t="s">
        <v>33</v>
      </c>
      <c r="G525" s="1">
        <v>808</v>
      </c>
      <c r="H525" t="s">
        <v>26</v>
      </c>
      <c r="I525" s="2">
        <v>44398</v>
      </c>
      <c r="J525" t="s">
        <v>68</v>
      </c>
      <c r="K525" t="s">
        <v>69</v>
      </c>
      <c r="L525">
        <v>78749</v>
      </c>
      <c r="M525" t="s">
        <v>21</v>
      </c>
      <c r="N525" t="str">
        <f>VLOOKUP(A525, Data_Set_2!$A:$D,2,FALSE)</f>
        <v>kperry98</v>
      </c>
      <c r="O525" t="str">
        <f>VLOOKUP(A525, Data_Set_2!$A:$D,3,FALSE)</f>
        <v>Blognation</v>
      </c>
      <c r="P525" t="str">
        <f>VLOOKUP(A525, Data_Set_2!$A:$D,4,FALSE)</f>
        <v>GIS Technical Architect</v>
      </c>
      <c r="Q525" t="str">
        <f>_xlfn.CONCAT(Table3[[#This Row],[first_name]], " ",Table3[[#This Row],[last_name]])</f>
        <v>Kenneth Perry</v>
      </c>
    </row>
    <row r="526" spans="1:17" hidden="1" x14ac:dyDescent="0.3">
      <c r="A526">
        <v>333</v>
      </c>
      <c r="B526" t="s">
        <v>65</v>
      </c>
      <c r="C526" t="s">
        <v>66</v>
      </c>
      <c r="D526" t="s">
        <v>67</v>
      </c>
      <c r="E526" t="s">
        <v>16</v>
      </c>
      <c r="F526" t="s">
        <v>33</v>
      </c>
      <c r="G526" s="1">
        <v>877</v>
      </c>
      <c r="H526" t="s">
        <v>26</v>
      </c>
      <c r="I526" s="2">
        <v>44430</v>
      </c>
      <c r="J526" t="s">
        <v>68</v>
      </c>
      <c r="K526" t="s">
        <v>69</v>
      </c>
      <c r="L526">
        <v>78749</v>
      </c>
      <c r="M526" t="s">
        <v>21</v>
      </c>
      <c r="N526" t="str">
        <f>VLOOKUP(A526, Data_Set_2!$A:$D,2,FALSE)</f>
        <v>kperry98</v>
      </c>
      <c r="O526" t="str">
        <f>VLOOKUP(A526, Data_Set_2!$A:$D,3,FALSE)</f>
        <v>Blognation</v>
      </c>
      <c r="P526" t="str">
        <f>VLOOKUP(A526, Data_Set_2!$A:$D,4,FALSE)</f>
        <v>GIS Technical Architect</v>
      </c>
      <c r="Q526" t="str">
        <f>_xlfn.CONCAT(Table3[[#This Row],[first_name]], " ",Table3[[#This Row],[last_name]])</f>
        <v>Kenneth Perry</v>
      </c>
    </row>
    <row r="527" spans="1:17" hidden="1" x14ac:dyDescent="0.3">
      <c r="A527">
        <v>333</v>
      </c>
      <c r="B527" t="s">
        <v>65</v>
      </c>
      <c r="C527" t="s">
        <v>66</v>
      </c>
      <c r="D527" t="s">
        <v>67</v>
      </c>
      <c r="E527" t="s">
        <v>16</v>
      </c>
      <c r="F527" t="s">
        <v>33</v>
      </c>
      <c r="G527" s="1">
        <v>183</v>
      </c>
      <c r="H527" t="s">
        <v>26</v>
      </c>
      <c r="I527" s="2">
        <v>44435</v>
      </c>
      <c r="J527" t="s">
        <v>68</v>
      </c>
      <c r="K527" t="s">
        <v>69</v>
      </c>
      <c r="L527">
        <v>78749</v>
      </c>
      <c r="M527" t="s">
        <v>21</v>
      </c>
      <c r="N527" t="str">
        <f>VLOOKUP(A527, Data_Set_2!$A:$D,2,FALSE)</f>
        <v>kperry98</v>
      </c>
      <c r="O527" t="str">
        <f>VLOOKUP(A527, Data_Set_2!$A:$D,3,FALSE)</f>
        <v>Blognation</v>
      </c>
      <c r="P527" t="str">
        <f>VLOOKUP(A527, Data_Set_2!$A:$D,4,FALSE)</f>
        <v>GIS Technical Architect</v>
      </c>
      <c r="Q527" t="str">
        <f>_xlfn.CONCAT(Table3[[#This Row],[first_name]], " ",Table3[[#This Row],[last_name]])</f>
        <v>Kenneth Perry</v>
      </c>
    </row>
    <row r="528" spans="1:17" hidden="1" x14ac:dyDescent="0.3">
      <c r="A528">
        <v>333</v>
      </c>
      <c r="B528" t="s">
        <v>65</v>
      </c>
      <c r="C528" t="s">
        <v>66</v>
      </c>
      <c r="D528" t="s">
        <v>67</v>
      </c>
      <c r="E528" t="s">
        <v>16</v>
      </c>
      <c r="F528" t="s">
        <v>33</v>
      </c>
      <c r="G528" s="1">
        <v>806</v>
      </c>
      <c r="H528" t="s">
        <v>26</v>
      </c>
      <c r="I528" s="2">
        <v>44458</v>
      </c>
      <c r="J528" t="s">
        <v>68</v>
      </c>
      <c r="K528" t="s">
        <v>69</v>
      </c>
      <c r="L528">
        <v>78749</v>
      </c>
      <c r="M528" t="s">
        <v>21</v>
      </c>
      <c r="N528" t="str">
        <f>VLOOKUP(A528, Data_Set_2!$A:$D,2,FALSE)</f>
        <v>kperry98</v>
      </c>
      <c r="O528" t="str">
        <f>VLOOKUP(A528, Data_Set_2!$A:$D,3,FALSE)</f>
        <v>Blognation</v>
      </c>
      <c r="P528" t="str">
        <f>VLOOKUP(A528, Data_Set_2!$A:$D,4,FALSE)</f>
        <v>GIS Technical Architect</v>
      </c>
      <c r="Q528" t="str">
        <f>_xlfn.CONCAT(Table3[[#This Row],[first_name]], " ",Table3[[#This Row],[last_name]])</f>
        <v>Kenneth Perry</v>
      </c>
    </row>
    <row r="529" spans="1:17" hidden="1" x14ac:dyDescent="0.3">
      <c r="A529">
        <v>333</v>
      </c>
      <c r="B529" t="s">
        <v>65</v>
      </c>
      <c r="C529" t="s">
        <v>66</v>
      </c>
      <c r="D529" t="s">
        <v>67</v>
      </c>
      <c r="E529" t="s">
        <v>16</v>
      </c>
      <c r="F529" t="s">
        <v>33</v>
      </c>
      <c r="G529" s="1">
        <v>198</v>
      </c>
      <c r="H529" t="s">
        <v>26</v>
      </c>
      <c r="I529" s="2">
        <v>44490</v>
      </c>
      <c r="J529" t="s">
        <v>68</v>
      </c>
      <c r="K529" t="s">
        <v>69</v>
      </c>
      <c r="L529">
        <v>78749</v>
      </c>
      <c r="M529" t="s">
        <v>21</v>
      </c>
      <c r="N529" t="str">
        <f>VLOOKUP(A529, Data_Set_2!$A:$D,2,FALSE)</f>
        <v>kperry98</v>
      </c>
      <c r="O529" t="str">
        <f>VLOOKUP(A529, Data_Set_2!$A:$D,3,FALSE)</f>
        <v>Blognation</v>
      </c>
      <c r="P529" t="str">
        <f>VLOOKUP(A529, Data_Set_2!$A:$D,4,FALSE)</f>
        <v>GIS Technical Architect</v>
      </c>
      <c r="Q529" t="str">
        <f>_xlfn.CONCAT(Table3[[#This Row],[first_name]], " ",Table3[[#This Row],[last_name]])</f>
        <v>Kenneth Perry</v>
      </c>
    </row>
    <row r="530" spans="1:17" hidden="1" x14ac:dyDescent="0.3">
      <c r="A530">
        <v>333</v>
      </c>
      <c r="B530" t="s">
        <v>65</v>
      </c>
      <c r="C530" t="s">
        <v>66</v>
      </c>
      <c r="D530" t="s">
        <v>67</v>
      </c>
      <c r="E530" t="s">
        <v>16</v>
      </c>
      <c r="F530" t="s">
        <v>33</v>
      </c>
      <c r="G530" s="1">
        <v>498</v>
      </c>
      <c r="H530" t="s">
        <v>26</v>
      </c>
      <c r="I530" s="2">
        <v>44495</v>
      </c>
      <c r="J530" t="s">
        <v>68</v>
      </c>
      <c r="K530" t="s">
        <v>69</v>
      </c>
      <c r="L530">
        <v>78749</v>
      </c>
      <c r="M530" t="s">
        <v>21</v>
      </c>
      <c r="N530" t="str">
        <f>VLOOKUP(A530, Data_Set_2!$A:$D,2,FALSE)</f>
        <v>kperry98</v>
      </c>
      <c r="O530" t="str">
        <f>VLOOKUP(A530, Data_Set_2!$A:$D,3,FALSE)</f>
        <v>Blognation</v>
      </c>
      <c r="P530" t="str">
        <f>VLOOKUP(A530, Data_Set_2!$A:$D,4,FALSE)</f>
        <v>GIS Technical Architect</v>
      </c>
      <c r="Q530" t="str">
        <f>_xlfn.CONCAT(Table3[[#This Row],[first_name]], " ",Table3[[#This Row],[last_name]])</f>
        <v>Kenneth Perry</v>
      </c>
    </row>
    <row r="531" spans="1:17" hidden="1" x14ac:dyDescent="0.3">
      <c r="A531">
        <v>333</v>
      </c>
      <c r="B531" t="s">
        <v>65</v>
      </c>
      <c r="C531" t="s">
        <v>66</v>
      </c>
      <c r="D531" t="s">
        <v>67</v>
      </c>
      <c r="E531" t="s">
        <v>16</v>
      </c>
      <c r="F531" t="s">
        <v>33</v>
      </c>
      <c r="G531" s="1">
        <v>111</v>
      </c>
      <c r="H531" t="s">
        <v>26</v>
      </c>
      <c r="I531" s="2">
        <v>44502</v>
      </c>
      <c r="J531" t="s">
        <v>68</v>
      </c>
      <c r="K531" t="s">
        <v>69</v>
      </c>
      <c r="L531">
        <v>78749</v>
      </c>
      <c r="M531" t="s">
        <v>21</v>
      </c>
      <c r="N531" t="str">
        <f>VLOOKUP(A531, Data_Set_2!$A:$D,2,FALSE)</f>
        <v>kperry98</v>
      </c>
      <c r="O531" t="str">
        <f>VLOOKUP(A531, Data_Set_2!$A:$D,3,FALSE)</f>
        <v>Blognation</v>
      </c>
      <c r="P531" t="str">
        <f>VLOOKUP(A531, Data_Set_2!$A:$D,4,FALSE)</f>
        <v>GIS Technical Architect</v>
      </c>
      <c r="Q531" t="str">
        <f>_xlfn.CONCAT(Table3[[#This Row],[first_name]], " ",Table3[[#This Row],[last_name]])</f>
        <v>Kenneth Perry</v>
      </c>
    </row>
    <row r="532" spans="1:17" hidden="1" x14ac:dyDescent="0.3">
      <c r="A532">
        <v>333</v>
      </c>
      <c r="B532" t="s">
        <v>65</v>
      </c>
      <c r="C532" t="s">
        <v>66</v>
      </c>
      <c r="D532" t="s">
        <v>67</v>
      </c>
      <c r="E532" t="s">
        <v>16</v>
      </c>
      <c r="F532" t="s">
        <v>33</v>
      </c>
      <c r="G532" s="1">
        <v>129</v>
      </c>
      <c r="H532" t="s">
        <v>26</v>
      </c>
      <c r="I532" s="2">
        <v>44513</v>
      </c>
      <c r="J532" t="s">
        <v>68</v>
      </c>
      <c r="K532" t="s">
        <v>69</v>
      </c>
      <c r="L532">
        <v>78749</v>
      </c>
      <c r="M532" t="s">
        <v>21</v>
      </c>
      <c r="N532" t="str">
        <f>VLOOKUP(A532, Data_Set_2!$A:$D,2,FALSE)</f>
        <v>kperry98</v>
      </c>
      <c r="O532" t="str">
        <f>VLOOKUP(A532, Data_Set_2!$A:$D,3,FALSE)</f>
        <v>Blognation</v>
      </c>
      <c r="P532" t="str">
        <f>VLOOKUP(A532, Data_Set_2!$A:$D,4,FALSE)</f>
        <v>GIS Technical Architect</v>
      </c>
      <c r="Q532" t="str">
        <f>_xlfn.CONCAT(Table3[[#This Row],[first_name]], " ",Table3[[#This Row],[last_name]])</f>
        <v>Kenneth Perry</v>
      </c>
    </row>
    <row r="533" spans="1:17" hidden="1" x14ac:dyDescent="0.3">
      <c r="A533">
        <v>333</v>
      </c>
      <c r="B533" t="s">
        <v>65</v>
      </c>
      <c r="C533" t="s">
        <v>66</v>
      </c>
      <c r="D533" t="s">
        <v>67</v>
      </c>
      <c r="E533" t="s">
        <v>16</v>
      </c>
      <c r="F533" t="s">
        <v>33</v>
      </c>
      <c r="G533" s="1">
        <v>977</v>
      </c>
      <c r="H533" t="s">
        <v>26</v>
      </c>
      <c r="I533" s="2">
        <v>44530</v>
      </c>
      <c r="J533" t="s">
        <v>68</v>
      </c>
      <c r="K533" t="s">
        <v>69</v>
      </c>
      <c r="L533">
        <v>78749</v>
      </c>
      <c r="M533" t="s">
        <v>21</v>
      </c>
      <c r="N533" t="str">
        <f>VLOOKUP(A533, Data_Set_2!$A:$D,2,FALSE)</f>
        <v>kperry98</v>
      </c>
      <c r="O533" t="str">
        <f>VLOOKUP(A533, Data_Set_2!$A:$D,3,FALSE)</f>
        <v>Blognation</v>
      </c>
      <c r="P533" t="str">
        <f>VLOOKUP(A533, Data_Set_2!$A:$D,4,FALSE)</f>
        <v>GIS Technical Architect</v>
      </c>
      <c r="Q533" t="str">
        <f>_xlfn.CONCAT(Table3[[#This Row],[first_name]], " ",Table3[[#This Row],[last_name]])</f>
        <v>Kenneth Perry</v>
      </c>
    </row>
    <row r="534" spans="1:17" hidden="1" x14ac:dyDescent="0.3">
      <c r="A534">
        <v>333</v>
      </c>
      <c r="B534" t="s">
        <v>65</v>
      </c>
      <c r="C534" t="s">
        <v>66</v>
      </c>
      <c r="D534" t="s">
        <v>67</v>
      </c>
      <c r="E534" t="s">
        <v>16</v>
      </c>
      <c r="F534" t="s">
        <v>33</v>
      </c>
      <c r="G534" s="1">
        <v>833</v>
      </c>
      <c r="H534" t="s">
        <v>26</v>
      </c>
      <c r="I534" s="2">
        <v>44546</v>
      </c>
      <c r="J534" t="s">
        <v>68</v>
      </c>
      <c r="K534" t="s">
        <v>69</v>
      </c>
      <c r="L534">
        <v>78749</v>
      </c>
      <c r="M534" t="s">
        <v>21</v>
      </c>
      <c r="N534" t="str">
        <f>VLOOKUP(A534, Data_Set_2!$A:$D,2,FALSE)</f>
        <v>kperry98</v>
      </c>
      <c r="O534" t="str">
        <f>VLOOKUP(A534, Data_Set_2!$A:$D,3,FALSE)</f>
        <v>Blognation</v>
      </c>
      <c r="P534" t="str">
        <f>VLOOKUP(A534, Data_Set_2!$A:$D,4,FALSE)</f>
        <v>GIS Technical Architect</v>
      </c>
      <c r="Q534" t="str">
        <f>_xlfn.CONCAT(Table3[[#This Row],[first_name]], " ",Table3[[#This Row],[last_name]])</f>
        <v>Kenneth Perry</v>
      </c>
    </row>
    <row r="535" spans="1:17" hidden="1" x14ac:dyDescent="0.3">
      <c r="A535">
        <v>333</v>
      </c>
      <c r="B535" t="s">
        <v>65</v>
      </c>
      <c r="C535" t="s">
        <v>66</v>
      </c>
      <c r="D535" t="s">
        <v>67</v>
      </c>
      <c r="E535" t="s">
        <v>16</v>
      </c>
      <c r="F535" t="s">
        <v>33</v>
      </c>
      <c r="G535" s="1">
        <v>972</v>
      </c>
      <c r="H535" t="s">
        <v>26</v>
      </c>
      <c r="I535" s="2">
        <v>44547</v>
      </c>
      <c r="J535" t="s">
        <v>68</v>
      </c>
      <c r="K535" t="s">
        <v>69</v>
      </c>
      <c r="L535">
        <v>78749</v>
      </c>
      <c r="M535" t="s">
        <v>21</v>
      </c>
      <c r="N535" t="str">
        <f>VLOOKUP(A535, Data_Set_2!$A:$D,2,FALSE)</f>
        <v>kperry98</v>
      </c>
      <c r="O535" t="str">
        <f>VLOOKUP(A535, Data_Set_2!$A:$D,3,FALSE)</f>
        <v>Blognation</v>
      </c>
      <c r="P535" t="str">
        <f>VLOOKUP(A535, Data_Set_2!$A:$D,4,FALSE)</f>
        <v>GIS Technical Architect</v>
      </c>
      <c r="Q535" t="str">
        <f>_xlfn.CONCAT(Table3[[#This Row],[first_name]], " ",Table3[[#This Row],[last_name]])</f>
        <v>Kenneth Perry</v>
      </c>
    </row>
    <row r="536" spans="1:17" hidden="1" x14ac:dyDescent="0.3">
      <c r="A536">
        <v>333</v>
      </c>
      <c r="B536" t="s">
        <v>65</v>
      </c>
      <c r="C536" t="s">
        <v>66</v>
      </c>
      <c r="D536" t="s">
        <v>67</v>
      </c>
      <c r="E536" t="s">
        <v>16</v>
      </c>
      <c r="F536" t="s">
        <v>33</v>
      </c>
      <c r="G536" s="1">
        <v>534</v>
      </c>
      <c r="H536" t="s">
        <v>26</v>
      </c>
      <c r="I536" s="2">
        <v>44548</v>
      </c>
      <c r="J536" t="s">
        <v>68</v>
      </c>
      <c r="K536" t="s">
        <v>69</v>
      </c>
      <c r="L536">
        <v>78749</v>
      </c>
      <c r="M536" t="s">
        <v>21</v>
      </c>
      <c r="N536" t="str">
        <f>VLOOKUP(A536, Data_Set_2!$A:$D,2,FALSE)</f>
        <v>kperry98</v>
      </c>
      <c r="O536" t="str">
        <f>VLOOKUP(A536, Data_Set_2!$A:$D,3,FALSE)</f>
        <v>Blognation</v>
      </c>
      <c r="P536" t="str">
        <f>VLOOKUP(A536, Data_Set_2!$A:$D,4,FALSE)</f>
        <v>GIS Technical Architect</v>
      </c>
      <c r="Q536" t="str">
        <f>_xlfn.CONCAT(Table3[[#This Row],[first_name]], " ",Table3[[#This Row],[last_name]])</f>
        <v>Kenneth Perry</v>
      </c>
    </row>
    <row r="537" spans="1:17" hidden="1" x14ac:dyDescent="0.3">
      <c r="A537">
        <v>333</v>
      </c>
      <c r="B537" t="s">
        <v>65</v>
      </c>
      <c r="C537" t="s">
        <v>66</v>
      </c>
      <c r="D537" t="s">
        <v>67</v>
      </c>
      <c r="E537" t="s">
        <v>16</v>
      </c>
      <c r="F537" t="s">
        <v>33</v>
      </c>
      <c r="G537" s="1">
        <v>589</v>
      </c>
      <c r="H537" t="s">
        <v>26</v>
      </c>
      <c r="I537" s="2">
        <v>44556</v>
      </c>
      <c r="J537" t="s">
        <v>68</v>
      </c>
      <c r="K537" t="s">
        <v>69</v>
      </c>
      <c r="L537">
        <v>78749</v>
      </c>
      <c r="M537" t="s">
        <v>21</v>
      </c>
      <c r="N537" t="str">
        <f>VLOOKUP(A537, Data_Set_2!$A:$D,2,FALSE)</f>
        <v>kperry98</v>
      </c>
      <c r="O537" t="str">
        <f>VLOOKUP(A537, Data_Set_2!$A:$D,3,FALSE)</f>
        <v>Blognation</v>
      </c>
      <c r="P537" t="str">
        <f>VLOOKUP(A537, Data_Set_2!$A:$D,4,FALSE)</f>
        <v>GIS Technical Architect</v>
      </c>
      <c r="Q537" t="str">
        <f>_xlfn.CONCAT(Table3[[#This Row],[first_name]], " ",Table3[[#This Row],[last_name]])</f>
        <v>Kenneth Perry</v>
      </c>
    </row>
    <row r="538" spans="1:17" hidden="1" x14ac:dyDescent="0.3">
      <c r="A538">
        <v>333</v>
      </c>
      <c r="B538" t="s">
        <v>65</v>
      </c>
      <c r="C538" t="s">
        <v>66</v>
      </c>
      <c r="D538" t="s">
        <v>67</v>
      </c>
      <c r="E538" t="s">
        <v>16</v>
      </c>
      <c r="F538" t="s">
        <v>33</v>
      </c>
      <c r="G538" s="1">
        <v>97</v>
      </c>
      <c r="H538" t="s">
        <v>26</v>
      </c>
      <c r="I538" s="2">
        <v>44558</v>
      </c>
      <c r="J538" t="s">
        <v>68</v>
      </c>
      <c r="K538" t="s">
        <v>69</v>
      </c>
      <c r="L538">
        <v>78749</v>
      </c>
      <c r="M538" t="s">
        <v>21</v>
      </c>
      <c r="N538" t="str">
        <f>VLOOKUP(A538, Data_Set_2!$A:$D,2,FALSE)</f>
        <v>kperry98</v>
      </c>
      <c r="O538" t="str">
        <f>VLOOKUP(A538, Data_Set_2!$A:$D,3,FALSE)</f>
        <v>Blognation</v>
      </c>
      <c r="P538" t="str">
        <f>VLOOKUP(A538, Data_Set_2!$A:$D,4,FALSE)</f>
        <v>GIS Technical Architect</v>
      </c>
      <c r="Q538" t="str">
        <f>_xlfn.CONCAT(Table3[[#This Row],[first_name]], " ",Table3[[#This Row],[last_name]])</f>
        <v>Kenneth Perry</v>
      </c>
    </row>
    <row r="539" spans="1:17" hidden="1" x14ac:dyDescent="0.3">
      <c r="A539">
        <v>333</v>
      </c>
      <c r="B539" t="s">
        <v>65</v>
      </c>
      <c r="C539" t="s">
        <v>66</v>
      </c>
      <c r="D539" t="s">
        <v>67</v>
      </c>
      <c r="E539" t="s">
        <v>16</v>
      </c>
      <c r="F539" t="s">
        <v>33</v>
      </c>
      <c r="G539" s="1">
        <v>491</v>
      </c>
      <c r="H539" t="s">
        <v>26</v>
      </c>
      <c r="I539" s="2">
        <v>44567</v>
      </c>
      <c r="J539" t="s">
        <v>68</v>
      </c>
      <c r="K539" t="s">
        <v>69</v>
      </c>
      <c r="L539">
        <v>78749</v>
      </c>
      <c r="M539" t="s">
        <v>21</v>
      </c>
      <c r="N539" t="str">
        <f>VLOOKUP(A539, Data_Set_2!$A:$D,2,FALSE)</f>
        <v>kperry98</v>
      </c>
      <c r="O539" t="str">
        <f>VLOOKUP(A539, Data_Set_2!$A:$D,3,FALSE)</f>
        <v>Blognation</v>
      </c>
      <c r="P539" t="str">
        <f>VLOOKUP(A539, Data_Set_2!$A:$D,4,FALSE)</f>
        <v>GIS Technical Architect</v>
      </c>
      <c r="Q539" t="str">
        <f>_xlfn.CONCAT(Table3[[#This Row],[first_name]], " ",Table3[[#This Row],[last_name]])</f>
        <v>Kenneth Perry</v>
      </c>
    </row>
    <row r="540" spans="1:17" hidden="1" x14ac:dyDescent="0.3">
      <c r="A540">
        <v>333</v>
      </c>
      <c r="B540" t="s">
        <v>65</v>
      </c>
      <c r="C540" t="s">
        <v>66</v>
      </c>
      <c r="D540" t="s">
        <v>67</v>
      </c>
      <c r="E540" t="s">
        <v>16</v>
      </c>
      <c r="F540" t="s">
        <v>33</v>
      </c>
      <c r="G540" s="1">
        <v>407</v>
      </c>
      <c r="H540" t="s">
        <v>26</v>
      </c>
      <c r="I540" s="2">
        <v>44571</v>
      </c>
      <c r="J540" t="s">
        <v>68</v>
      </c>
      <c r="K540" t="s">
        <v>69</v>
      </c>
      <c r="L540">
        <v>78749</v>
      </c>
      <c r="M540" t="s">
        <v>21</v>
      </c>
      <c r="N540" t="str">
        <f>VLOOKUP(A540, Data_Set_2!$A:$D,2,FALSE)</f>
        <v>kperry98</v>
      </c>
      <c r="O540" t="str">
        <f>VLOOKUP(A540, Data_Set_2!$A:$D,3,FALSE)</f>
        <v>Blognation</v>
      </c>
      <c r="P540" t="str">
        <f>VLOOKUP(A540, Data_Set_2!$A:$D,4,FALSE)</f>
        <v>GIS Technical Architect</v>
      </c>
      <c r="Q540" t="str">
        <f>_xlfn.CONCAT(Table3[[#This Row],[first_name]], " ",Table3[[#This Row],[last_name]])</f>
        <v>Kenneth Perry</v>
      </c>
    </row>
    <row r="541" spans="1:17" hidden="1" x14ac:dyDescent="0.3">
      <c r="A541">
        <v>333</v>
      </c>
      <c r="B541" t="s">
        <v>65</v>
      </c>
      <c r="C541" t="s">
        <v>66</v>
      </c>
      <c r="D541" t="s">
        <v>67</v>
      </c>
      <c r="E541" t="s">
        <v>16</v>
      </c>
      <c r="F541" t="s">
        <v>33</v>
      </c>
      <c r="G541" s="1">
        <v>12</v>
      </c>
      <c r="H541" t="s">
        <v>26</v>
      </c>
      <c r="I541" s="2">
        <v>44575</v>
      </c>
      <c r="J541" t="s">
        <v>68</v>
      </c>
      <c r="K541" t="s">
        <v>69</v>
      </c>
      <c r="L541">
        <v>78749</v>
      </c>
      <c r="M541" t="s">
        <v>21</v>
      </c>
      <c r="N541" t="str">
        <f>VLOOKUP(A541, Data_Set_2!$A:$D,2,FALSE)</f>
        <v>kperry98</v>
      </c>
      <c r="O541" t="str">
        <f>VLOOKUP(A541, Data_Set_2!$A:$D,3,FALSE)</f>
        <v>Blognation</v>
      </c>
      <c r="P541" t="str">
        <f>VLOOKUP(A541, Data_Set_2!$A:$D,4,FALSE)</f>
        <v>GIS Technical Architect</v>
      </c>
      <c r="Q541" t="str">
        <f>_xlfn.CONCAT(Table3[[#This Row],[first_name]], " ",Table3[[#This Row],[last_name]])</f>
        <v>Kenneth Perry</v>
      </c>
    </row>
    <row r="542" spans="1:17" hidden="1" x14ac:dyDescent="0.3">
      <c r="A542">
        <v>333</v>
      </c>
      <c r="B542" t="s">
        <v>65</v>
      </c>
      <c r="C542" t="s">
        <v>66</v>
      </c>
      <c r="D542" t="s">
        <v>67</v>
      </c>
      <c r="E542" t="s">
        <v>16</v>
      </c>
      <c r="F542" t="s">
        <v>33</v>
      </c>
      <c r="G542" s="1">
        <v>708</v>
      </c>
      <c r="H542" t="s">
        <v>26</v>
      </c>
      <c r="I542" s="2">
        <v>44586</v>
      </c>
      <c r="J542" t="s">
        <v>68</v>
      </c>
      <c r="K542" t="s">
        <v>69</v>
      </c>
      <c r="L542">
        <v>78749</v>
      </c>
      <c r="M542" t="s">
        <v>21</v>
      </c>
      <c r="N542" t="str">
        <f>VLOOKUP(A542, Data_Set_2!$A:$D,2,FALSE)</f>
        <v>kperry98</v>
      </c>
      <c r="O542" t="str">
        <f>VLOOKUP(A542, Data_Set_2!$A:$D,3,FALSE)</f>
        <v>Blognation</v>
      </c>
      <c r="P542" t="str">
        <f>VLOOKUP(A542, Data_Set_2!$A:$D,4,FALSE)</f>
        <v>GIS Technical Architect</v>
      </c>
      <c r="Q542" t="str">
        <f>_xlfn.CONCAT(Table3[[#This Row],[first_name]], " ",Table3[[#This Row],[last_name]])</f>
        <v>Kenneth Perry</v>
      </c>
    </row>
    <row r="543" spans="1:17" hidden="1" x14ac:dyDescent="0.3">
      <c r="A543">
        <v>333</v>
      </c>
      <c r="B543" t="s">
        <v>65</v>
      </c>
      <c r="C543" t="s">
        <v>66</v>
      </c>
      <c r="D543" t="s">
        <v>67</v>
      </c>
      <c r="E543" t="s">
        <v>16</v>
      </c>
      <c r="F543" t="s">
        <v>33</v>
      </c>
      <c r="G543" s="1">
        <v>719</v>
      </c>
      <c r="H543" t="s">
        <v>26</v>
      </c>
      <c r="I543" s="2">
        <v>44597</v>
      </c>
      <c r="J543" t="s">
        <v>68</v>
      </c>
      <c r="K543" t="s">
        <v>69</v>
      </c>
      <c r="L543">
        <v>78749</v>
      </c>
      <c r="M543" t="s">
        <v>21</v>
      </c>
      <c r="N543" t="str">
        <f>VLOOKUP(A543, Data_Set_2!$A:$D,2,FALSE)</f>
        <v>kperry98</v>
      </c>
      <c r="O543" t="str">
        <f>VLOOKUP(A543, Data_Set_2!$A:$D,3,FALSE)</f>
        <v>Blognation</v>
      </c>
      <c r="P543" t="str">
        <f>VLOOKUP(A543, Data_Set_2!$A:$D,4,FALSE)</f>
        <v>GIS Technical Architect</v>
      </c>
      <c r="Q543" t="str">
        <f>_xlfn.CONCAT(Table3[[#This Row],[first_name]], " ",Table3[[#This Row],[last_name]])</f>
        <v>Kenneth Perry</v>
      </c>
    </row>
    <row r="544" spans="1:17" hidden="1" x14ac:dyDescent="0.3">
      <c r="A544">
        <v>333</v>
      </c>
      <c r="B544" t="s">
        <v>65</v>
      </c>
      <c r="C544" t="s">
        <v>66</v>
      </c>
      <c r="D544" t="s">
        <v>67</v>
      </c>
      <c r="E544" t="s">
        <v>16</v>
      </c>
      <c r="F544" t="s">
        <v>33</v>
      </c>
      <c r="G544" s="1">
        <v>226</v>
      </c>
      <c r="H544" t="s">
        <v>26</v>
      </c>
      <c r="I544" s="2">
        <v>44617</v>
      </c>
      <c r="J544" t="s">
        <v>68</v>
      </c>
      <c r="K544" t="s">
        <v>69</v>
      </c>
      <c r="L544">
        <v>78749</v>
      </c>
      <c r="M544" t="s">
        <v>21</v>
      </c>
      <c r="N544" t="str">
        <f>VLOOKUP(A544, Data_Set_2!$A:$D,2,FALSE)</f>
        <v>kperry98</v>
      </c>
      <c r="O544" t="str">
        <f>VLOOKUP(A544, Data_Set_2!$A:$D,3,FALSE)</f>
        <v>Blognation</v>
      </c>
      <c r="P544" t="str">
        <f>VLOOKUP(A544, Data_Set_2!$A:$D,4,FALSE)</f>
        <v>GIS Technical Architect</v>
      </c>
      <c r="Q544" t="str">
        <f>_xlfn.CONCAT(Table3[[#This Row],[first_name]], " ",Table3[[#This Row],[last_name]])</f>
        <v>Kenneth Perry</v>
      </c>
    </row>
    <row r="545" spans="1:17" hidden="1" x14ac:dyDescent="0.3">
      <c r="A545">
        <v>333</v>
      </c>
      <c r="B545" t="s">
        <v>65</v>
      </c>
      <c r="C545" t="s">
        <v>66</v>
      </c>
      <c r="D545" t="s">
        <v>67</v>
      </c>
      <c r="E545" t="s">
        <v>16</v>
      </c>
      <c r="F545" t="s">
        <v>33</v>
      </c>
      <c r="G545" s="1">
        <v>217</v>
      </c>
      <c r="H545" t="s">
        <v>26</v>
      </c>
      <c r="I545" s="2">
        <v>44622</v>
      </c>
      <c r="J545" t="s">
        <v>68</v>
      </c>
      <c r="K545" t="s">
        <v>69</v>
      </c>
      <c r="L545">
        <v>78749</v>
      </c>
      <c r="M545" t="s">
        <v>21</v>
      </c>
      <c r="N545" t="str">
        <f>VLOOKUP(A545, Data_Set_2!$A:$D,2,FALSE)</f>
        <v>kperry98</v>
      </c>
      <c r="O545" t="str">
        <f>VLOOKUP(A545, Data_Set_2!$A:$D,3,FALSE)</f>
        <v>Blognation</v>
      </c>
      <c r="P545" t="str">
        <f>VLOOKUP(A545, Data_Set_2!$A:$D,4,FALSE)</f>
        <v>GIS Technical Architect</v>
      </c>
      <c r="Q545" t="str">
        <f>_xlfn.CONCAT(Table3[[#This Row],[first_name]], " ",Table3[[#This Row],[last_name]])</f>
        <v>Kenneth Perry</v>
      </c>
    </row>
    <row r="546" spans="1:17" hidden="1" x14ac:dyDescent="0.3">
      <c r="A546">
        <v>333</v>
      </c>
      <c r="B546" t="s">
        <v>65</v>
      </c>
      <c r="C546" t="s">
        <v>66</v>
      </c>
      <c r="D546" t="s">
        <v>67</v>
      </c>
      <c r="E546" t="s">
        <v>16</v>
      </c>
      <c r="F546" t="s">
        <v>33</v>
      </c>
      <c r="G546" s="1">
        <v>21</v>
      </c>
      <c r="H546" t="s">
        <v>26</v>
      </c>
      <c r="I546" s="2">
        <v>44632</v>
      </c>
      <c r="J546" t="s">
        <v>68</v>
      </c>
      <c r="K546" t="s">
        <v>69</v>
      </c>
      <c r="L546">
        <v>78749</v>
      </c>
      <c r="M546" t="s">
        <v>21</v>
      </c>
      <c r="N546" t="str">
        <f>VLOOKUP(A546, Data_Set_2!$A:$D,2,FALSE)</f>
        <v>kperry98</v>
      </c>
      <c r="O546" t="str">
        <f>VLOOKUP(A546, Data_Set_2!$A:$D,3,FALSE)</f>
        <v>Blognation</v>
      </c>
      <c r="P546" t="str">
        <f>VLOOKUP(A546, Data_Set_2!$A:$D,4,FALSE)</f>
        <v>GIS Technical Architect</v>
      </c>
      <c r="Q546" t="str">
        <f>_xlfn.CONCAT(Table3[[#This Row],[first_name]], " ",Table3[[#This Row],[last_name]])</f>
        <v>Kenneth Perry</v>
      </c>
    </row>
    <row r="547" spans="1:17" hidden="1" x14ac:dyDescent="0.3">
      <c r="A547">
        <v>333</v>
      </c>
      <c r="B547" t="s">
        <v>65</v>
      </c>
      <c r="C547" t="s">
        <v>66</v>
      </c>
      <c r="D547" t="s">
        <v>67</v>
      </c>
      <c r="E547" t="s">
        <v>16</v>
      </c>
      <c r="F547" t="s">
        <v>33</v>
      </c>
      <c r="G547" s="1">
        <v>96</v>
      </c>
      <c r="H547" t="s">
        <v>26</v>
      </c>
      <c r="I547" s="2">
        <v>44632</v>
      </c>
      <c r="J547" t="s">
        <v>68</v>
      </c>
      <c r="K547" t="s">
        <v>69</v>
      </c>
      <c r="L547">
        <v>78749</v>
      </c>
      <c r="M547" t="s">
        <v>21</v>
      </c>
      <c r="N547" t="str">
        <f>VLOOKUP(A547, Data_Set_2!$A:$D,2,FALSE)</f>
        <v>kperry98</v>
      </c>
      <c r="O547" t="str">
        <f>VLOOKUP(A547, Data_Set_2!$A:$D,3,FALSE)</f>
        <v>Blognation</v>
      </c>
      <c r="P547" t="str">
        <f>VLOOKUP(A547, Data_Set_2!$A:$D,4,FALSE)</f>
        <v>GIS Technical Architect</v>
      </c>
      <c r="Q547" t="str">
        <f>_xlfn.CONCAT(Table3[[#This Row],[first_name]], " ",Table3[[#This Row],[last_name]])</f>
        <v>Kenneth Perry</v>
      </c>
    </row>
    <row r="548" spans="1:17" hidden="1" x14ac:dyDescent="0.3">
      <c r="A548">
        <v>333</v>
      </c>
      <c r="B548" t="s">
        <v>65</v>
      </c>
      <c r="C548" t="s">
        <v>66</v>
      </c>
      <c r="D548" t="s">
        <v>67</v>
      </c>
      <c r="E548" t="s">
        <v>16</v>
      </c>
      <c r="F548" t="s">
        <v>33</v>
      </c>
      <c r="G548" s="1">
        <v>103</v>
      </c>
      <c r="H548" t="s">
        <v>26</v>
      </c>
      <c r="I548" s="2">
        <v>44635</v>
      </c>
      <c r="J548" t="s">
        <v>68</v>
      </c>
      <c r="K548" t="s">
        <v>69</v>
      </c>
      <c r="L548">
        <v>78749</v>
      </c>
      <c r="M548" t="s">
        <v>21</v>
      </c>
      <c r="N548" t="str">
        <f>VLOOKUP(A548, Data_Set_2!$A:$D,2,FALSE)</f>
        <v>kperry98</v>
      </c>
      <c r="O548" t="str">
        <f>VLOOKUP(A548, Data_Set_2!$A:$D,3,FALSE)</f>
        <v>Blognation</v>
      </c>
      <c r="P548" t="str">
        <f>VLOOKUP(A548, Data_Set_2!$A:$D,4,FALSE)</f>
        <v>GIS Technical Architect</v>
      </c>
      <c r="Q548" t="str">
        <f>_xlfn.CONCAT(Table3[[#This Row],[first_name]], " ",Table3[[#This Row],[last_name]])</f>
        <v>Kenneth Perry</v>
      </c>
    </row>
    <row r="549" spans="1:17" hidden="1" x14ac:dyDescent="0.3">
      <c r="A549">
        <v>333</v>
      </c>
      <c r="B549" t="s">
        <v>65</v>
      </c>
      <c r="C549" t="s">
        <v>66</v>
      </c>
      <c r="D549" t="s">
        <v>67</v>
      </c>
      <c r="E549" t="s">
        <v>16</v>
      </c>
      <c r="F549" t="s">
        <v>33</v>
      </c>
      <c r="G549" s="1">
        <v>745</v>
      </c>
      <c r="H549" t="s">
        <v>26</v>
      </c>
      <c r="I549" s="2">
        <v>44659</v>
      </c>
      <c r="J549" t="s">
        <v>68</v>
      </c>
      <c r="K549" t="s">
        <v>69</v>
      </c>
      <c r="L549">
        <v>78749</v>
      </c>
      <c r="M549" t="s">
        <v>21</v>
      </c>
      <c r="N549" t="str">
        <f>VLOOKUP(A549, Data_Set_2!$A:$D,2,FALSE)</f>
        <v>kperry98</v>
      </c>
      <c r="O549" t="str">
        <f>VLOOKUP(A549, Data_Set_2!$A:$D,3,FALSE)</f>
        <v>Blognation</v>
      </c>
      <c r="P549" t="str">
        <f>VLOOKUP(A549, Data_Set_2!$A:$D,4,FALSE)</f>
        <v>GIS Technical Architect</v>
      </c>
      <c r="Q549" t="str">
        <f>_xlfn.CONCAT(Table3[[#This Row],[first_name]], " ",Table3[[#This Row],[last_name]])</f>
        <v>Kenneth Perry</v>
      </c>
    </row>
    <row r="550" spans="1:17" hidden="1" x14ac:dyDescent="0.3">
      <c r="A550">
        <v>333</v>
      </c>
      <c r="B550" t="s">
        <v>65</v>
      </c>
      <c r="C550" t="s">
        <v>66</v>
      </c>
      <c r="D550" t="s">
        <v>67</v>
      </c>
      <c r="E550" t="s">
        <v>16</v>
      </c>
      <c r="F550" t="s">
        <v>33</v>
      </c>
      <c r="G550" s="1">
        <v>175</v>
      </c>
      <c r="H550" t="s">
        <v>26</v>
      </c>
      <c r="I550" s="2">
        <v>44677</v>
      </c>
      <c r="J550" t="s">
        <v>68</v>
      </c>
      <c r="K550" t="s">
        <v>69</v>
      </c>
      <c r="L550">
        <v>78749</v>
      </c>
      <c r="M550" t="s">
        <v>21</v>
      </c>
      <c r="N550" t="str">
        <f>VLOOKUP(A550, Data_Set_2!$A:$D,2,FALSE)</f>
        <v>kperry98</v>
      </c>
      <c r="O550" t="str">
        <f>VLOOKUP(A550, Data_Set_2!$A:$D,3,FALSE)</f>
        <v>Blognation</v>
      </c>
      <c r="P550" t="str">
        <f>VLOOKUP(A550, Data_Set_2!$A:$D,4,FALSE)</f>
        <v>GIS Technical Architect</v>
      </c>
      <c r="Q550" t="str">
        <f>_xlfn.CONCAT(Table3[[#This Row],[first_name]], " ",Table3[[#This Row],[last_name]])</f>
        <v>Kenneth Perry</v>
      </c>
    </row>
    <row r="551" spans="1:17" hidden="1" x14ac:dyDescent="0.3">
      <c r="A551">
        <v>333</v>
      </c>
      <c r="B551" t="s">
        <v>65</v>
      </c>
      <c r="C551" t="s">
        <v>66</v>
      </c>
      <c r="D551" t="s">
        <v>67</v>
      </c>
      <c r="E551" t="s">
        <v>16</v>
      </c>
      <c r="F551" t="s">
        <v>33</v>
      </c>
      <c r="G551" s="1">
        <v>242</v>
      </c>
      <c r="H551" t="s">
        <v>26</v>
      </c>
      <c r="I551" s="2">
        <v>44682</v>
      </c>
      <c r="J551" t="s">
        <v>68</v>
      </c>
      <c r="K551" t="s">
        <v>69</v>
      </c>
      <c r="L551">
        <v>78749</v>
      </c>
      <c r="M551" t="s">
        <v>21</v>
      </c>
      <c r="N551" t="str">
        <f>VLOOKUP(A551, Data_Set_2!$A:$D,2,FALSE)</f>
        <v>kperry98</v>
      </c>
      <c r="O551" t="str">
        <f>VLOOKUP(A551, Data_Set_2!$A:$D,3,FALSE)</f>
        <v>Blognation</v>
      </c>
      <c r="P551" t="str">
        <f>VLOOKUP(A551, Data_Set_2!$A:$D,4,FALSE)</f>
        <v>GIS Technical Architect</v>
      </c>
      <c r="Q551" t="str">
        <f>_xlfn.CONCAT(Table3[[#This Row],[first_name]], " ",Table3[[#This Row],[last_name]])</f>
        <v>Kenneth Perry</v>
      </c>
    </row>
    <row r="552" spans="1:17" hidden="1" x14ac:dyDescent="0.3">
      <c r="A552">
        <v>333</v>
      </c>
      <c r="B552" t="s">
        <v>65</v>
      </c>
      <c r="C552" t="s">
        <v>66</v>
      </c>
      <c r="D552" t="s">
        <v>67</v>
      </c>
      <c r="E552" t="s">
        <v>16</v>
      </c>
      <c r="F552" t="s">
        <v>33</v>
      </c>
      <c r="G552" s="1">
        <v>797</v>
      </c>
      <c r="H552" t="s">
        <v>26</v>
      </c>
      <c r="I552" s="2">
        <v>44694</v>
      </c>
      <c r="J552" t="s">
        <v>68</v>
      </c>
      <c r="K552" t="s">
        <v>69</v>
      </c>
      <c r="L552">
        <v>78749</v>
      </c>
      <c r="M552" t="s">
        <v>21</v>
      </c>
      <c r="N552" t="str">
        <f>VLOOKUP(A552, Data_Set_2!$A:$D,2,FALSE)</f>
        <v>kperry98</v>
      </c>
      <c r="O552" t="str">
        <f>VLOOKUP(A552, Data_Set_2!$A:$D,3,FALSE)</f>
        <v>Blognation</v>
      </c>
      <c r="P552" t="str">
        <f>VLOOKUP(A552, Data_Set_2!$A:$D,4,FALSE)</f>
        <v>GIS Technical Architect</v>
      </c>
      <c r="Q552" t="str">
        <f>_xlfn.CONCAT(Table3[[#This Row],[first_name]], " ",Table3[[#This Row],[last_name]])</f>
        <v>Kenneth Perry</v>
      </c>
    </row>
    <row r="553" spans="1:17" hidden="1" x14ac:dyDescent="0.3">
      <c r="A553">
        <v>333</v>
      </c>
      <c r="B553" t="s">
        <v>65</v>
      </c>
      <c r="C553" t="s">
        <v>66</v>
      </c>
      <c r="D553" t="s">
        <v>67</v>
      </c>
      <c r="E553" t="s">
        <v>16</v>
      </c>
      <c r="F553" t="s">
        <v>33</v>
      </c>
      <c r="G553" s="1">
        <v>954</v>
      </c>
      <c r="H553" t="s">
        <v>26</v>
      </c>
      <c r="I553" s="2">
        <v>44714</v>
      </c>
      <c r="J553" t="s">
        <v>68</v>
      </c>
      <c r="K553" t="s">
        <v>69</v>
      </c>
      <c r="L553">
        <v>78749</v>
      </c>
      <c r="M553" t="s">
        <v>21</v>
      </c>
      <c r="N553" t="str">
        <f>VLOOKUP(A553, Data_Set_2!$A:$D,2,FALSE)</f>
        <v>kperry98</v>
      </c>
      <c r="O553" t="str">
        <f>VLOOKUP(A553, Data_Set_2!$A:$D,3,FALSE)</f>
        <v>Blognation</v>
      </c>
      <c r="P553" t="str">
        <f>VLOOKUP(A553, Data_Set_2!$A:$D,4,FALSE)</f>
        <v>GIS Technical Architect</v>
      </c>
      <c r="Q553" t="str">
        <f>_xlfn.CONCAT(Table3[[#This Row],[first_name]], " ",Table3[[#This Row],[last_name]])</f>
        <v>Kenneth Perry</v>
      </c>
    </row>
    <row r="554" spans="1:17" hidden="1" x14ac:dyDescent="0.3">
      <c r="A554">
        <v>333</v>
      </c>
      <c r="B554" t="s">
        <v>65</v>
      </c>
      <c r="C554" t="s">
        <v>66</v>
      </c>
      <c r="D554" t="s">
        <v>67</v>
      </c>
      <c r="E554" t="s">
        <v>16</v>
      </c>
      <c r="F554" t="s">
        <v>33</v>
      </c>
      <c r="G554" s="1">
        <v>899</v>
      </c>
      <c r="H554" t="s">
        <v>26</v>
      </c>
      <c r="I554" s="2">
        <v>44719</v>
      </c>
      <c r="J554" t="s">
        <v>68</v>
      </c>
      <c r="K554" t="s">
        <v>69</v>
      </c>
      <c r="L554">
        <v>78749</v>
      </c>
      <c r="M554" t="s">
        <v>21</v>
      </c>
      <c r="N554" t="str">
        <f>VLOOKUP(A554, Data_Set_2!$A:$D,2,FALSE)</f>
        <v>kperry98</v>
      </c>
      <c r="O554" t="str">
        <f>VLOOKUP(A554, Data_Set_2!$A:$D,3,FALSE)</f>
        <v>Blognation</v>
      </c>
      <c r="P554" t="str">
        <f>VLOOKUP(A554, Data_Set_2!$A:$D,4,FALSE)</f>
        <v>GIS Technical Architect</v>
      </c>
      <c r="Q554" t="str">
        <f>_xlfn.CONCAT(Table3[[#This Row],[first_name]], " ",Table3[[#This Row],[last_name]])</f>
        <v>Kenneth Perry</v>
      </c>
    </row>
    <row r="555" spans="1:17" hidden="1" x14ac:dyDescent="0.3">
      <c r="A555">
        <v>333</v>
      </c>
      <c r="B555" t="s">
        <v>65</v>
      </c>
      <c r="C555" t="s">
        <v>66</v>
      </c>
      <c r="D555" t="s">
        <v>67</v>
      </c>
      <c r="E555" t="s">
        <v>16</v>
      </c>
      <c r="F555" t="s">
        <v>33</v>
      </c>
      <c r="G555" s="1">
        <v>676</v>
      </c>
      <c r="H555" t="s">
        <v>26</v>
      </c>
      <c r="I555" s="2">
        <v>44726</v>
      </c>
      <c r="J555" t="s">
        <v>68</v>
      </c>
      <c r="K555" t="s">
        <v>69</v>
      </c>
      <c r="L555">
        <v>78749</v>
      </c>
      <c r="M555" t="s">
        <v>21</v>
      </c>
      <c r="N555" t="str">
        <f>VLOOKUP(A555, Data_Set_2!$A:$D,2,FALSE)</f>
        <v>kperry98</v>
      </c>
      <c r="O555" t="str">
        <f>VLOOKUP(A555, Data_Set_2!$A:$D,3,FALSE)</f>
        <v>Blognation</v>
      </c>
      <c r="P555" t="str">
        <f>VLOOKUP(A555, Data_Set_2!$A:$D,4,FALSE)</f>
        <v>GIS Technical Architect</v>
      </c>
      <c r="Q555" t="str">
        <f>_xlfn.CONCAT(Table3[[#This Row],[first_name]], " ",Table3[[#This Row],[last_name]])</f>
        <v>Kenneth Perry</v>
      </c>
    </row>
    <row r="556" spans="1:17" hidden="1" x14ac:dyDescent="0.3">
      <c r="A556">
        <v>333</v>
      </c>
      <c r="B556" t="s">
        <v>65</v>
      </c>
      <c r="C556" t="s">
        <v>66</v>
      </c>
      <c r="D556" t="s">
        <v>67</v>
      </c>
      <c r="E556" t="s">
        <v>16</v>
      </c>
      <c r="F556" t="s">
        <v>33</v>
      </c>
      <c r="G556" s="1">
        <v>170</v>
      </c>
      <c r="H556" t="s">
        <v>26</v>
      </c>
      <c r="I556" s="2">
        <v>44753</v>
      </c>
      <c r="J556" t="s">
        <v>68</v>
      </c>
      <c r="K556" t="s">
        <v>69</v>
      </c>
      <c r="L556">
        <v>78749</v>
      </c>
      <c r="M556" t="s">
        <v>21</v>
      </c>
      <c r="N556" t="str">
        <f>VLOOKUP(A556, Data_Set_2!$A:$D,2,FALSE)</f>
        <v>kperry98</v>
      </c>
      <c r="O556" t="str">
        <f>VLOOKUP(A556, Data_Set_2!$A:$D,3,FALSE)</f>
        <v>Blognation</v>
      </c>
      <c r="P556" t="str">
        <f>VLOOKUP(A556, Data_Set_2!$A:$D,4,FALSE)</f>
        <v>GIS Technical Architect</v>
      </c>
      <c r="Q556" t="str">
        <f>_xlfn.CONCAT(Table3[[#This Row],[first_name]], " ",Table3[[#This Row],[last_name]])</f>
        <v>Kenneth Perry</v>
      </c>
    </row>
    <row r="557" spans="1:17" hidden="1" x14ac:dyDescent="0.3">
      <c r="A557">
        <v>333</v>
      </c>
      <c r="B557" t="s">
        <v>65</v>
      </c>
      <c r="C557" t="s">
        <v>66</v>
      </c>
      <c r="D557" t="s">
        <v>67</v>
      </c>
      <c r="E557" t="s">
        <v>16</v>
      </c>
      <c r="F557" t="s">
        <v>33</v>
      </c>
      <c r="G557" s="1">
        <v>676</v>
      </c>
      <c r="H557" t="s">
        <v>26</v>
      </c>
      <c r="I557" s="2">
        <v>44758</v>
      </c>
      <c r="J557" t="s">
        <v>68</v>
      </c>
      <c r="K557" t="s">
        <v>69</v>
      </c>
      <c r="L557">
        <v>78749</v>
      </c>
      <c r="M557" t="s">
        <v>21</v>
      </c>
      <c r="N557" t="str">
        <f>VLOOKUP(A557, Data_Set_2!$A:$D,2,FALSE)</f>
        <v>kperry98</v>
      </c>
      <c r="O557" t="str">
        <f>VLOOKUP(A557, Data_Set_2!$A:$D,3,FALSE)</f>
        <v>Blognation</v>
      </c>
      <c r="P557" t="str">
        <f>VLOOKUP(A557, Data_Set_2!$A:$D,4,FALSE)</f>
        <v>GIS Technical Architect</v>
      </c>
      <c r="Q557" t="str">
        <f>_xlfn.CONCAT(Table3[[#This Row],[first_name]], " ",Table3[[#This Row],[last_name]])</f>
        <v>Kenneth Perry</v>
      </c>
    </row>
    <row r="558" spans="1:17" hidden="1" x14ac:dyDescent="0.3">
      <c r="A558">
        <v>333</v>
      </c>
      <c r="B558" t="s">
        <v>65</v>
      </c>
      <c r="C558" t="s">
        <v>66</v>
      </c>
      <c r="D558" t="s">
        <v>67</v>
      </c>
      <c r="E558" t="s">
        <v>16</v>
      </c>
      <c r="F558" t="s">
        <v>33</v>
      </c>
      <c r="G558" s="1">
        <v>780</v>
      </c>
      <c r="H558" t="s">
        <v>26</v>
      </c>
      <c r="I558" s="2">
        <v>44773</v>
      </c>
      <c r="J558" t="s">
        <v>68</v>
      </c>
      <c r="K558" t="s">
        <v>69</v>
      </c>
      <c r="L558">
        <v>78749</v>
      </c>
      <c r="M558" t="s">
        <v>21</v>
      </c>
      <c r="N558" t="str">
        <f>VLOOKUP(A558, Data_Set_2!$A:$D,2,FALSE)</f>
        <v>kperry98</v>
      </c>
      <c r="O558" t="str">
        <f>VLOOKUP(A558, Data_Set_2!$A:$D,3,FALSE)</f>
        <v>Blognation</v>
      </c>
      <c r="P558" t="str">
        <f>VLOOKUP(A558, Data_Set_2!$A:$D,4,FALSE)</f>
        <v>GIS Technical Architect</v>
      </c>
      <c r="Q558" t="str">
        <f>_xlfn.CONCAT(Table3[[#This Row],[first_name]], " ",Table3[[#This Row],[last_name]])</f>
        <v>Kenneth Perry</v>
      </c>
    </row>
    <row r="559" spans="1:17" hidden="1" x14ac:dyDescent="0.3">
      <c r="A559">
        <v>333</v>
      </c>
      <c r="B559" t="s">
        <v>65</v>
      </c>
      <c r="C559" t="s">
        <v>66</v>
      </c>
      <c r="D559" t="s">
        <v>67</v>
      </c>
      <c r="E559" t="s">
        <v>16</v>
      </c>
      <c r="F559" t="s">
        <v>33</v>
      </c>
      <c r="G559" s="1">
        <v>840</v>
      </c>
      <c r="H559" t="s">
        <v>26</v>
      </c>
      <c r="I559" s="2">
        <v>44777</v>
      </c>
      <c r="J559" t="s">
        <v>68</v>
      </c>
      <c r="K559" t="s">
        <v>69</v>
      </c>
      <c r="L559">
        <v>78749</v>
      </c>
      <c r="M559" t="s">
        <v>21</v>
      </c>
      <c r="N559" t="str">
        <f>VLOOKUP(A559, Data_Set_2!$A:$D,2,FALSE)</f>
        <v>kperry98</v>
      </c>
      <c r="O559" t="str">
        <f>VLOOKUP(A559, Data_Set_2!$A:$D,3,FALSE)</f>
        <v>Blognation</v>
      </c>
      <c r="P559" t="str">
        <f>VLOOKUP(A559, Data_Set_2!$A:$D,4,FALSE)</f>
        <v>GIS Technical Architect</v>
      </c>
      <c r="Q559" t="str">
        <f>_xlfn.CONCAT(Table3[[#This Row],[first_name]], " ",Table3[[#This Row],[last_name]])</f>
        <v>Kenneth Perry</v>
      </c>
    </row>
    <row r="560" spans="1:17" hidden="1" x14ac:dyDescent="0.3">
      <c r="A560">
        <v>333</v>
      </c>
      <c r="B560" t="s">
        <v>65</v>
      </c>
      <c r="C560" t="s">
        <v>66</v>
      </c>
      <c r="D560" t="s">
        <v>67</v>
      </c>
      <c r="E560" t="s">
        <v>16</v>
      </c>
      <c r="F560" t="s">
        <v>33</v>
      </c>
      <c r="G560" s="1">
        <v>511</v>
      </c>
      <c r="H560" t="s">
        <v>26</v>
      </c>
      <c r="I560" s="2">
        <v>44782</v>
      </c>
      <c r="J560" t="s">
        <v>68</v>
      </c>
      <c r="K560" t="s">
        <v>69</v>
      </c>
      <c r="L560">
        <v>78749</v>
      </c>
      <c r="M560" t="s">
        <v>21</v>
      </c>
      <c r="N560" t="str">
        <f>VLOOKUP(A560, Data_Set_2!$A:$D,2,FALSE)</f>
        <v>kperry98</v>
      </c>
      <c r="O560" t="str">
        <f>VLOOKUP(A560, Data_Set_2!$A:$D,3,FALSE)</f>
        <v>Blognation</v>
      </c>
      <c r="P560" t="str">
        <f>VLOOKUP(A560, Data_Set_2!$A:$D,4,FALSE)</f>
        <v>GIS Technical Architect</v>
      </c>
      <c r="Q560" t="str">
        <f>_xlfn.CONCAT(Table3[[#This Row],[first_name]], " ",Table3[[#This Row],[last_name]])</f>
        <v>Kenneth Perry</v>
      </c>
    </row>
    <row r="561" spans="1:17" hidden="1" x14ac:dyDescent="0.3">
      <c r="A561">
        <v>333</v>
      </c>
      <c r="B561" t="s">
        <v>65</v>
      </c>
      <c r="C561" t="s">
        <v>66</v>
      </c>
      <c r="D561" t="s">
        <v>67</v>
      </c>
      <c r="E561" t="s">
        <v>16</v>
      </c>
      <c r="F561" t="s">
        <v>33</v>
      </c>
      <c r="G561" s="1">
        <v>704</v>
      </c>
      <c r="H561" t="s">
        <v>26</v>
      </c>
      <c r="I561" s="2">
        <v>44787</v>
      </c>
      <c r="J561" t="s">
        <v>68</v>
      </c>
      <c r="K561" t="s">
        <v>69</v>
      </c>
      <c r="L561">
        <v>78749</v>
      </c>
      <c r="M561" t="s">
        <v>21</v>
      </c>
      <c r="N561" t="str">
        <f>VLOOKUP(A561, Data_Set_2!$A:$D,2,FALSE)</f>
        <v>kperry98</v>
      </c>
      <c r="O561" t="str">
        <f>VLOOKUP(A561, Data_Set_2!$A:$D,3,FALSE)</f>
        <v>Blognation</v>
      </c>
      <c r="P561" t="str">
        <f>VLOOKUP(A561, Data_Set_2!$A:$D,4,FALSE)</f>
        <v>GIS Technical Architect</v>
      </c>
      <c r="Q561" t="str">
        <f>_xlfn.CONCAT(Table3[[#This Row],[first_name]], " ",Table3[[#This Row],[last_name]])</f>
        <v>Kenneth Perry</v>
      </c>
    </row>
    <row r="562" spans="1:17" hidden="1" x14ac:dyDescent="0.3">
      <c r="A562">
        <v>333</v>
      </c>
      <c r="B562" t="s">
        <v>65</v>
      </c>
      <c r="C562" t="s">
        <v>66</v>
      </c>
      <c r="D562" t="s">
        <v>67</v>
      </c>
      <c r="E562" t="s">
        <v>16</v>
      </c>
      <c r="F562" t="s">
        <v>33</v>
      </c>
      <c r="G562" s="1">
        <v>886</v>
      </c>
      <c r="H562" t="s">
        <v>26</v>
      </c>
      <c r="I562" s="2">
        <v>44806</v>
      </c>
      <c r="J562" t="s">
        <v>68</v>
      </c>
      <c r="K562" t="s">
        <v>69</v>
      </c>
      <c r="L562">
        <v>78749</v>
      </c>
      <c r="M562" t="s">
        <v>21</v>
      </c>
      <c r="N562" t="str">
        <f>VLOOKUP(A562, Data_Set_2!$A:$D,2,FALSE)</f>
        <v>kperry98</v>
      </c>
      <c r="O562" t="str">
        <f>VLOOKUP(A562, Data_Set_2!$A:$D,3,FALSE)</f>
        <v>Blognation</v>
      </c>
      <c r="P562" t="str">
        <f>VLOOKUP(A562, Data_Set_2!$A:$D,4,FALSE)</f>
        <v>GIS Technical Architect</v>
      </c>
      <c r="Q562" t="str">
        <f>_xlfn.CONCAT(Table3[[#This Row],[first_name]], " ",Table3[[#This Row],[last_name]])</f>
        <v>Kenneth Perry</v>
      </c>
    </row>
    <row r="563" spans="1:17" hidden="1" x14ac:dyDescent="0.3">
      <c r="A563">
        <v>333</v>
      </c>
      <c r="B563" t="s">
        <v>65</v>
      </c>
      <c r="C563" t="s">
        <v>66</v>
      </c>
      <c r="D563" t="s">
        <v>67</v>
      </c>
      <c r="E563" t="s">
        <v>16</v>
      </c>
      <c r="F563" t="s">
        <v>33</v>
      </c>
      <c r="G563" s="1">
        <v>832</v>
      </c>
      <c r="H563" t="s">
        <v>26</v>
      </c>
      <c r="I563" s="2">
        <v>44814</v>
      </c>
      <c r="J563" t="s">
        <v>68</v>
      </c>
      <c r="K563" t="s">
        <v>69</v>
      </c>
      <c r="L563">
        <v>78749</v>
      </c>
      <c r="M563" t="s">
        <v>21</v>
      </c>
      <c r="N563" t="str">
        <f>VLOOKUP(A563, Data_Set_2!$A:$D,2,FALSE)</f>
        <v>kperry98</v>
      </c>
      <c r="O563" t="str">
        <f>VLOOKUP(A563, Data_Set_2!$A:$D,3,FALSE)</f>
        <v>Blognation</v>
      </c>
      <c r="P563" t="str">
        <f>VLOOKUP(A563, Data_Set_2!$A:$D,4,FALSE)</f>
        <v>GIS Technical Architect</v>
      </c>
      <c r="Q563" t="str">
        <f>_xlfn.CONCAT(Table3[[#This Row],[first_name]], " ",Table3[[#This Row],[last_name]])</f>
        <v>Kenneth Perry</v>
      </c>
    </row>
    <row r="564" spans="1:17" hidden="1" x14ac:dyDescent="0.3">
      <c r="A564">
        <v>333</v>
      </c>
      <c r="B564" t="s">
        <v>65</v>
      </c>
      <c r="C564" t="s">
        <v>66</v>
      </c>
      <c r="D564" t="s">
        <v>67</v>
      </c>
      <c r="E564" t="s">
        <v>16</v>
      </c>
      <c r="F564" t="s">
        <v>33</v>
      </c>
      <c r="G564" s="1">
        <v>940</v>
      </c>
      <c r="H564" t="s">
        <v>26</v>
      </c>
      <c r="I564" s="2">
        <v>44822</v>
      </c>
      <c r="J564" t="s">
        <v>68</v>
      </c>
      <c r="K564" t="s">
        <v>69</v>
      </c>
      <c r="L564">
        <v>78749</v>
      </c>
      <c r="M564" t="s">
        <v>21</v>
      </c>
      <c r="N564" t="str">
        <f>VLOOKUP(A564, Data_Set_2!$A:$D,2,FALSE)</f>
        <v>kperry98</v>
      </c>
      <c r="O564" t="str">
        <f>VLOOKUP(A564, Data_Set_2!$A:$D,3,FALSE)</f>
        <v>Blognation</v>
      </c>
      <c r="P564" t="str">
        <f>VLOOKUP(A564, Data_Set_2!$A:$D,4,FALSE)</f>
        <v>GIS Technical Architect</v>
      </c>
      <c r="Q564" t="str">
        <f>_xlfn.CONCAT(Table3[[#This Row],[first_name]], " ",Table3[[#This Row],[last_name]])</f>
        <v>Kenneth Perry</v>
      </c>
    </row>
    <row r="565" spans="1:17" hidden="1" x14ac:dyDescent="0.3">
      <c r="A565">
        <v>333</v>
      </c>
      <c r="B565" t="s">
        <v>65</v>
      </c>
      <c r="C565" t="s">
        <v>66</v>
      </c>
      <c r="D565" t="s">
        <v>67</v>
      </c>
      <c r="E565" t="s">
        <v>16</v>
      </c>
      <c r="F565" t="s">
        <v>33</v>
      </c>
      <c r="G565" s="1">
        <v>239</v>
      </c>
      <c r="H565" t="s">
        <v>26</v>
      </c>
      <c r="I565" s="2">
        <v>44824</v>
      </c>
      <c r="J565" t="s">
        <v>68</v>
      </c>
      <c r="K565" t="s">
        <v>69</v>
      </c>
      <c r="L565">
        <v>78749</v>
      </c>
      <c r="M565" t="s">
        <v>21</v>
      </c>
      <c r="N565" t="str">
        <f>VLOOKUP(A565, Data_Set_2!$A:$D,2,FALSE)</f>
        <v>kperry98</v>
      </c>
      <c r="O565" t="str">
        <f>VLOOKUP(A565, Data_Set_2!$A:$D,3,FALSE)</f>
        <v>Blognation</v>
      </c>
      <c r="P565" t="str">
        <f>VLOOKUP(A565, Data_Set_2!$A:$D,4,FALSE)</f>
        <v>GIS Technical Architect</v>
      </c>
      <c r="Q565" t="str">
        <f>_xlfn.CONCAT(Table3[[#This Row],[first_name]], " ",Table3[[#This Row],[last_name]])</f>
        <v>Kenneth Perry</v>
      </c>
    </row>
    <row r="566" spans="1:17" hidden="1" x14ac:dyDescent="0.3">
      <c r="A566">
        <v>333</v>
      </c>
      <c r="B566" t="s">
        <v>65</v>
      </c>
      <c r="C566" t="s">
        <v>66</v>
      </c>
      <c r="D566" t="s">
        <v>67</v>
      </c>
      <c r="E566" t="s">
        <v>16</v>
      </c>
      <c r="F566" t="s">
        <v>33</v>
      </c>
      <c r="G566" s="1">
        <v>681</v>
      </c>
      <c r="H566" t="s">
        <v>26</v>
      </c>
      <c r="I566" s="2">
        <v>44826</v>
      </c>
      <c r="J566" t="s">
        <v>68</v>
      </c>
      <c r="K566" t="s">
        <v>69</v>
      </c>
      <c r="L566">
        <v>78749</v>
      </c>
      <c r="M566" t="s">
        <v>21</v>
      </c>
      <c r="N566" t="str">
        <f>VLOOKUP(A566, Data_Set_2!$A:$D,2,FALSE)</f>
        <v>kperry98</v>
      </c>
      <c r="O566" t="str">
        <f>VLOOKUP(A566, Data_Set_2!$A:$D,3,FALSE)</f>
        <v>Blognation</v>
      </c>
      <c r="P566" t="str">
        <f>VLOOKUP(A566, Data_Set_2!$A:$D,4,FALSE)</f>
        <v>GIS Technical Architect</v>
      </c>
      <c r="Q566" t="str">
        <f>_xlfn.CONCAT(Table3[[#This Row],[first_name]], " ",Table3[[#This Row],[last_name]])</f>
        <v>Kenneth Perry</v>
      </c>
    </row>
    <row r="567" spans="1:17" hidden="1" x14ac:dyDescent="0.3">
      <c r="A567">
        <v>333</v>
      </c>
      <c r="B567" t="s">
        <v>65</v>
      </c>
      <c r="C567" t="s">
        <v>66</v>
      </c>
      <c r="D567" t="s">
        <v>67</v>
      </c>
      <c r="E567" t="s">
        <v>16</v>
      </c>
      <c r="F567" t="s">
        <v>33</v>
      </c>
      <c r="G567" s="1">
        <v>458</v>
      </c>
      <c r="H567" t="s">
        <v>26</v>
      </c>
      <c r="I567" s="2">
        <v>44827</v>
      </c>
      <c r="J567" t="s">
        <v>68</v>
      </c>
      <c r="K567" t="s">
        <v>69</v>
      </c>
      <c r="L567">
        <v>78749</v>
      </c>
      <c r="M567" t="s">
        <v>21</v>
      </c>
      <c r="N567" t="str">
        <f>VLOOKUP(A567, Data_Set_2!$A:$D,2,FALSE)</f>
        <v>kperry98</v>
      </c>
      <c r="O567" t="str">
        <f>VLOOKUP(A567, Data_Set_2!$A:$D,3,FALSE)</f>
        <v>Blognation</v>
      </c>
      <c r="P567" t="str">
        <f>VLOOKUP(A567, Data_Set_2!$A:$D,4,FALSE)</f>
        <v>GIS Technical Architect</v>
      </c>
      <c r="Q567" t="str">
        <f>_xlfn.CONCAT(Table3[[#This Row],[first_name]], " ",Table3[[#This Row],[last_name]])</f>
        <v>Kenneth Perry</v>
      </c>
    </row>
    <row r="568" spans="1:17" hidden="1" x14ac:dyDescent="0.3">
      <c r="A568">
        <v>333</v>
      </c>
      <c r="B568" t="s">
        <v>65</v>
      </c>
      <c r="C568" t="s">
        <v>66</v>
      </c>
      <c r="D568" t="s">
        <v>67</v>
      </c>
      <c r="E568" t="s">
        <v>16</v>
      </c>
      <c r="F568" t="s">
        <v>33</v>
      </c>
      <c r="G568" s="1">
        <v>221</v>
      </c>
      <c r="H568" t="s">
        <v>26</v>
      </c>
      <c r="I568" s="2">
        <v>44832</v>
      </c>
      <c r="J568" t="s">
        <v>68</v>
      </c>
      <c r="K568" t="s">
        <v>69</v>
      </c>
      <c r="L568">
        <v>78749</v>
      </c>
      <c r="M568" t="s">
        <v>21</v>
      </c>
      <c r="N568" t="str">
        <f>VLOOKUP(A568, Data_Set_2!$A:$D,2,FALSE)</f>
        <v>kperry98</v>
      </c>
      <c r="O568" t="str">
        <f>VLOOKUP(A568, Data_Set_2!$A:$D,3,FALSE)</f>
        <v>Blognation</v>
      </c>
      <c r="P568" t="str">
        <f>VLOOKUP(A568, Data_Set_2!$A:$D,4,FALSE)</f>
        <v>GIS Technical Architect</v>
      </c>
      <c r="Q568" t="str">
        <f>_xlfn.CONCAT(Table3[[#This Row],[first_name]], " ",Table3[[#This Row],[last_name]])</f>
        <v>Kenneth Perry</v>
      </c>
    </row>
    <row r="569" spans="1:17" hidden="1" x14ac:dyDescent="0.3">
      <c r="A569">
        <v>333</v>
      </c>
      <c r="B569" t="s">
        <v>65</v>
      </c>
      <c r="C569" t="s">
        <v>66</v>
      </c>
      <c r="D569" t="s">
        <v>67</v>
      </c>
      <c r="E569" t="s">
        <v>16</v>
      </c>
      <c r="F569" t="s">
        <v>33</v>
      </c>
      <c r="G569" s="1">
        <v>636</v>
      </c>
      <c r="H569" t="s">
        <v>26</v>
      </c>
      <c r="I569" s="2">
        <v>44834</v>
      </c>
      <c r="J569" t="s">
        <v>68</v>
      </c>
      <c r="K569" t="s">
        <v>69</v>
      </c>
      <c r="L569">
        <v>78749</v>
      </c>
      <c r="M569" t="s">
        <v>21</v>
      </c>
      <c r="N569" t="str">
        <f>VLOOKUP(A569, Data_Set_2!$A:$D,2,FALSE)</f>
        <v>kperry98</v>
      </c>
      <c r="O569" t="str">
        <f>VLOOKUP(A569, Data_Set_2!$A:$D,3,FALSE)</f>
        <v>Blognation</v>
      </c>
      <c r="P569" t="str">
        <f>VLOOKUP(A569, Data_Set_2!$A:$D,4,FALSE)</f>
        <v>GIS Technical Architect</v>
      </c>
      <c r="Q569" t="str">
        <f>_xlfn.CONCAT(Table3[[#This Row],[first_name]], " ",Table3[[#This Row],[last_name]])</f>
        <v>Kenneth Perry</v>
      </c>
    </row>
    <row r="570" spans="1:17" hidden="1" x14ac:dyDescent="0.3">
      <c r="A570">
        <v>333</v>
      </c>
      <c r="B570" t="s">
        <v>65</v>
      </c>
      <c r="C570" t="s">
        <v>66</v>
      </c>
      <c r="D570" t="s">
        <v>67</v>
      </c>
      <c r="E570" t="s">
        <v>16</v>
      </c>
      <c r="F570" t="s">
        <v>33</v>
      </c>
      <c r="G570" s="1">
        <v>423</v>
      </c>
      <c r="H570" t="s">
        <v>26</v>
      </c>
      <c r="I570" s="2">
        <v>44877</v>
      </c>
      <c r="J570" t="s">
        <v>68</v>
      </c>
      <c r="K570" t="s">
        <v>69</v>
      </c>
      <c r="L570">
        <v>78749</v>
      </c>
      <c r="M570" t="s">
        <v>21</v>
      </c>
      <c r="N570" t="str">
        <f>VLOOKUP(A570, Data_Set_2!$A:$D,2,FALSE)</f>
        <v>kperry98</v>
      </c>
      <c r="O570" t="str">
        <f>VLOOKUP(A570, Data_Set_2!$A:$D,3,FALSE)</f>
        <v>Blognation</v>
      </c>
      <c r="P570" t="str">
        <f>VLOOKUP(A570, Data_Set_2!$A:$D,4,FALSE)</f>
        <v>GIS Technical Architect</v>
      </c>
      <c r="Q570" t="str">
        <f>_xlfn.CONCAT(Table3[[#This Row],[first_name]], " ",Table3[[#This Row],[last_name]])</f>
        <v>Kenneth Perry</v>
      </c>
    </row>
    <row r="571" spans="1:17" hidden="1" x14ac:dyDescent="0.3">
      <c r="A571">
        <v>333</v>
      </c>
      <c r="B571" t="s">
        <v>65</v>
      </c>
      <c r="C571" t="s">
        <v>66</v>
      </c>
      <c r="D571" t="s">
        <v>67</v>
      </c>
      <c r="E571" t="s">
        <v>16</v>
      </c>
      <c r="F571" t="s">
        <v>33</v>
      </c>
      <c r="G571" s="1">
        <v>818</v>
      </c>
      <c r="H571" t="s">
        <v>26</v>
      </c>
      <c r="I571" s="2">
        <v>44882</v>
      </c>
      <c r="J571" t="s">
        <v>68</v>
      </c>
      <c r="K571" t="s">
        <v>69</v>
      </c>
      <c r="L571">
        <v>78749</v>
      </c>
      <c r="M571" t="s">
        <v>21</v>
      </c>
      <c r="N571" t="str">
        <f>VLOOKUP(A571, Data_Set_2!$A:$D,2,FALSE)</f>
        <v>kperry98</v>
      </c>
      <c r="O571" t="str">
        <f>VLOOKUP(A571, Data_Set_2!$A:$D,3,FALSE)</f>
        <v>Blognation</v>
      </c>
      <c r="P571" t="str">
        <f>VLOOKUP(A571, Data_Set_2!$A:$D,4,FALSE)</f>
        <v>GIS Technical Architect</v>
      </c>
      <c r="Q571" t="str">
        <f>_xlfn.CONCAT(Table3[[#This Row],[first_name]], " ",Table3[[#This Row],[last_name]])</f>
        <v>Kenneth Perry</v>
      </c>
    </row>
    <row r="572" spans="1:17" hidden="1" x14ac:dyDescent="0.3">
      <c r="A572">
        <v>333</v>
      </c>
      <c r="B572" t="s">
        <v>65</v>
      </c>
      <c r="C572" t="s">
        <v>66</v>
      </c>
      <c r="D572" t="s">
        <v>67</v>
      </c>
      <c r="E572" t="s">
        <v>16</v>
      </c>
      <c r="F572" t="s">
        <v>33</v>
      </c>
      <c r="G572" s="1">
        <v>463</v>
      </c>
      <c r="H572" t="s">
        <v>26</v>
      </c>
      <c r="I572" s="2">
        <v>44915</v>
      </c>
      <c r="J572" t="s">
        <v>68</v>
      </c>
      <c r="K572" t="s">
        <v>69</v>
      </c>
      <c r="L572">
        <v>78749</v>
      </c>
      <c r="M572" t="s">
        <v>21</v>
      </c>
      <c r="N572" t="str">
        <f>VLOOKUP(A572, Data_Set_2!$A:$D,2,FALSE)</f>
        <v>kperry98</v>
      </c>
      <c r="O572" t="str">
        <f>VLOOKUP(A572, Data_Set_2!$A:$D,3,FALSE)</f>
        <v>Blognation</v>
      </c>
      <c r="P572" t="str">
        <f>VLOOKUP(A572, Data_Set_2!$A:$D,4,FALSE)</f>
        <v>GIS Technical Architect</v>
      </c>
      <c r="Q572" t="str">
        <f>_xlfn.CONCAT(Table3[[#This Row],[first_name]], " ",Table3[[#This Row],[last_name]])</f>
        <v>Kenneth Perry</v>
      </c>
    </row>
    <row r="573" spans="1:17" hidden="1" x14ac:dyDescent="0.3">
      <c r="A573">
        <v>333</v>
      </c>
      <c r="B573" t="s">
        <v>65</v>
      </c>
      <c r="C573" t="s">
        <v>66</v>
      </c>
      <c r="D573" t="s">
        <v>67</v>
      </c>
      <c r="E573" t="s">
        <v>16</v>
      </c>
      <c r="F573" t="s">
        <v>33</v>
      </c>
      <c r="G573" s="1">
        <v>304</v>
      </c>
      <c r="H573" t="s">
        <v>26</v>
      </c>
      <c r="I573" s="2">
        <v>44917</v>
      </c>
      <c r="J573" t="s">
        <v>68</v>
      </c>
      <c r="K573" t="s">
        <v>69</v>
      </c>
      <c r="L573">
        <v>78749</v>
      </c>
      <c r="M573" t="s">
        <v>21</v>
      </c>
      <c r="N573" t="str">
        <f>VLOOKUP(A573, Data_Set_2!$A:$D,2,FALSE)</f>
        <v>kperry98</v>
      </c>
      <c r="O573" t="str">
        <f>VLOOKUP(A573, Data_Set_2!$A:$D,3,FALSE)</f>
        <v>Blognation</v>
      </c>
      <c r="P573" t="str">
        <f>VLOOKUP(A573, Data_Set_2!$A:$D,4,FALSE)</f>
        <v>GIS Technical Architect</v>
      </c>
      <c r="Q573" t="str">
        <f>_xlfn.CONCAT(Table3[[#This Row],[first_name]], " ",Table3[[#This Row],[last_name]])</f>
        <v>Kenneth Perry</v>
      </c>
    </row>
    <row r="574" spans="1:17" hidden="1" x14ac:dyDescent="0.3">
      <c r="A574">
        <v>333</v>
      </c>
      <c r="B574" t="s">
        <v>65</v>
      </c>
      <c r="C574" t="s">
        <v>66</v>
      </c>
      <c r="D574" t="s">
        <v>67</v>
      </c>
      <c r="E574" t="s">
        <v>16</v>
      </c>
      <c r="F574" t="s">
        <v>33</v>
      </c>
      <c r="G574" s="1">
        <v>546</v>
      </c>
      <c r="H574" t="s">
        <v>26</v>
      </c>
      <c r="I574" s="2">
        <v>44918</v>
      </c>
      <c r="J574" t="s">
        <v>68</v>
      </c>
      <c r="K574" t="s">
        <v>69</v>
      </c>
      <c r="L574">
        <v>78749</v>
      </c>
      <c r="M574" t="s">
        <v>21</v>
      </c>
      <c r="N574" t="str">
        <f>VLOOKUP(A574, Data_Set_2!$A:$D,2,FALSE)</f>
        <v>kperry98</v>
      </c>
      <c r="O574" t="str">
        <f>VLOOKUP(A574, Data_Set_2!$A:$D,3,FALSE)</f>
        <v>Blognation</v>
      </c>
      <c r="P574" t="str">
        <f>VLOOKUP(A574, Data_Set_2!$A:$D,4,FALSE)</f>
        <v>GIS Technical Architect</v>
      </c>
      <c r="Q574" t="str">
        <f>_xlfn.CONCAT(Table3[[#This Row],[first_name]], " ",Table3[[#This Row],[last_name]])</f>
        <v>Kenneth Perry</v>
      </c>
    </row>
    <row r="575" spans="1:17" hidden="1" x14ac:dyDescent="0.3">
      <c r="A575">
        <v>334</v>
      </c>
      <c r="B575" t="s">
        <v>22</v>
      </c>
      <c r="C575" t="s">
        <v>23</v>
      </c>
      <c r="D575" t="s">
        <v>24</v>
      </c>
      <c r="E575" t="s">
        <v>16</v>
      </c>
      <c r="F575" t="s">
        <v>25</v>
      </c>
      <c r="G575" s="1">
        <v>680</v>
      </c>
      <c r="H575" t="s">
        <v>26</v>
      </c>
      <c r="I575" s="2">
        <v>43101</v>
      </c>
      <c r="J575" t="s">
        <v>27</v>
      </c>
      <c r="K575" t="s">
        <v>28</v>
      </c>
      <c r="L575">
        <v>80243</v>
      </c>
      <c r="M575" t="s">
        <v>21</v>
      </c>
      <c r="N575" t="str">
        <f>VLOOKUP(A575, Data_Set_2!$A:$D,2,FALSE)</f>
        <v>amurray99</v>
      </c>
      <c r="O575" t="str">
        <f>VLOOKUP(A575, Data_Set_2!$A:$D,3,FALSE)</f>
        <v>Yata</v>
      </c>
      <c r="P575" t="str">
        <f>VLOOKUP(A575, Data_Set_2!$A:$D,4,FALSE)</f>
        <v>General Manager</v>
      </c>
      <c r="Q575" t="str">
        <f>_xlfn.CONCAT(Table3[[#This Row],[first_name]], " ",Table3[[#This Row],[last_name]])</f>
        <v>Albert Murray</v>
      </c>
    </row>
    <row r="576" spans="1:17" hidden="1" x14ac:dyDescent="0.3">
      <c r="A576">
        <v>334</v>
      </c>
      <c r="B576" t="s">
        <v>22</v>
      </c>
      <c r="C576" t="s">
        <v>23</v>
      </c>
      <c r="D576" t="s">
        <v>24</v>
      </c>
      <c r="E576" t="s">
        <v>16</v>
      </c>
      <c r="F576" t="s">
        <v>25</v>
      </c>
      <c r="G576" s="1">
        <v>602</v>
      </c>
      <c r="H576" t="s">
        <v>26</v>
      </c>
      <c r="I576" s="2">
        <v>43739</v>
      </c>
      <c r="J576" t="s">
        <v>27</v>
      </c>
      <c r="K576" t="s">
        <v>28</v>
      </c>
      <c r="L576">
        <v>80243</v>
      </c>
      <c r="M576" t="s">
        <v>21</v>
      </c>
      <c r="N576" t="str">
        <f>VLOOKUP(A576, Data_Set_2!$A:$D,2,FALSE)</f>
        <v>amurray99</v>
      </c>
      <c r="O576" t="str">
        <f>VLOOKUP(A576, Data_Set_2!$A:$D,3,FALSE)</f>
        <v>Yata</v>
      </c>
      <c r="P576" t="str">
        <f>VLOOKUP(A576, Data_Set_2!$A:$D,4,FALSE)</f>
        <v>General Manager</v>
      </c>
      <c r="Q576" t="str">
        <f>_xlfn.CONCAT(Table3[[#This Row],[first_name]], " ",Table3[[#This Row],[last_name]])</f>
        <v>Albert Murray</v>
      </c>
    </row>
    <row r="577" spans="1:17" hidden="1" x14ac:dyDescent="0.3">
      <c r="A577">
        <v>334</v>
      </c>
      <c r="B577" t="s">
        <v>22</v>
      </c>
      <c r="C577" t="s">
        <v>23</v>
      </c>
      <c r="D577" t="s">
        <v>24</v>
      </c>
      <c r="E577" t="s">
        <v>16</v>
      </c>
      <c r="F577" t="s">
        <v>25</v>
      </c>
      <c r="G577" s="1">
        <v>550</v>
      </c>
      <c r="H577" t="s">
        <v>26</v>
      </c>
      <c r="I577" s="2">
        <v>44433</v>
      </c>
      <c r="J577" t="s">
        <v>27</v>
      </c>
      <c r="K577" t="s">
        <v>28</v>
      </c>
      <c r="L577">
        <v>80243</v>
      </c>
      <c r="M577" t="s">
        <v>21</v>
      </c>
      <c r="N577" t="str">
        <f>VLOOKUP(A577, Data_Set_2!$A:$D,2,FALSE)</f>
        <v>amurray99</v>
      </c>
      <c r="O577" t="str">
        <f>VLOOKUP(A577, Data_Set_2!$A:$D,3,FALSE)</f>
        <v>Yata</v>
      </c>
      <c r="P577" t="str">
        <f>VLOOKUP(A577, Data_Set_2!$A:$D,4,FALSE)</f>
        <v>General Manager</v>
      </c>
      <c r="Q577" t="str">
        <f>_xlfn.CONCAT(Table3[[#This Row],[first_name]], " ",Table3[[#This Row],[last_name]])</f>
        <v>Albert Murray</v>
      </c>
    </row>
    <row r="578" spans="1:17" x14ac:dyDescent="0.3">
      <c r="A578">
        <v>335</v>
      </c>
      <c r="B578" t="s">
        <v>346</v>
      </c>
      <c r="C578" t="s">
        <v>347</v>
      </c>
      <c r="D578" t="s">
        <v>348</v>
      </c>
      <c r="E578" t="s">
        <v>32</v>
      </c>
      <c r="F578" t="s">
        <v>25</v>
      </c>
      <c r="G578" s="1">
        <v>306</v>
      </c>
      <c r="H578" t="s">
        <v>95</v>
      </c>
      <c r="I578" s="2">
        <v>43254</v>
      </c>
      <c r="J578" t="s">
        <v>68</v>
      </c>
      <c r="K578" t="s">
        <v>234</v>
      </c>
      <c r="L578">
        <v>77293</v>
      </c>
      <c r="M578" t="s">
        <v>21</v>
      </c>
      <c r="N578" t="str">
        <f>VLOOKUP(A578, Data_Set_2!$A:$D,2,FALSE)</f>
        <v>jbrooks9a</v>
      </c>
      <c r="O578" t="str">
        <f>VLOOKUP(A578, Data_Set_2!$A:$D,3,FALSE)</f>
        <v>Realfire</v>
      </c>
      <c r="P578" t="str">
        <f>VLOOKUP(A578, Data_Set_2!$A:$D,4,FALSE)</f>
        <v>Social Worker</v>
      </c>
      <c r="Q578" t="str">
        <f>_xlfn.CONCAT(Table3[[#This Row],[first_name]], " ",Table3[[#This Row],[last_name]])</f>
        <v>Julie Brooks</v>
      </c>
    </row>
    <row r="579" spans="1:17" x14ac:dyDescent="0.3">
      <c r="A579">
        <v>335</v>
      </c>
      <c r="B579" t="s">
        <v>346</v>
      </c>
      <c r="C579" t="s">
        <v>347</v>
      </c>
      <c r="D579" t="s">
        <v>348</v>
      </c>
      <c r="E579" t="s">
        <v>32</v>
      </c>
      <c r="F579" t="s">
        <v>25</v>
      </c>
      <c r="G579" s="1">
        <v>955</v>
      </c>
      <c r="H579" t="s">
        <v>95</v>
      </c>
      <c r="I579" s="2">
        <v>43668</v>
      </c>
      <c r="J579" t="s">
        <v>68</v>
      </c>
      <c r="K579" t="s">
        <v>234</v>
      </c>
      <c r="L579">
        <v>77293</v>
      </c>
      <c r="M579" t="s">
        <v>21</v>
      </c>
      <c r="N579" t="str">
        <f>VLOOKUP(A579, Data_Set_2!$A:$D,2,FALSE)</f>
        <v>jbrooks9a</v>
      </c>
      <c r="O579" t="str">
        <f>VLOOKUP(A579, Data_Set_2!$A:$D,3,FALSE)</f>
        <v>Realfire</v>
      </c>
      <c r="P579" t="str">
        <f>VLOOKUP(A579, Data_Set_2!$A:$D,4,FALSE)</f>
        <v>Social Worker</v>
      </c>
      <c r="Q579" t="str">
        <f>_xlfn.CONCAT(Table3[[#This Row],[first_name]], " ",Table3[[#This Row],[last_name]])</f>
        <v>Julie Brooks</v>
      </c>
    </row>
    <row r="580" spans="1:17" x14ac:dyDescent="0.3">
      <c r="A580">
        <v>335</v>
      </c>
      <c r="B580" t="s">
        <v>346</v>
      </c>
      <c r="C580" t="s">
        <v>347</v>
      </c>
      <c r="D580" t="s">
        <v>348</v>
      </c>
      <c r="E580" t="s">
        <v>32</v>
      </c>
      <c r="F580" t="s">
        <v>25</v>
      </c>
      <c r="G580" s="1">
        <v>902</v>
      </c>
      <c r="H580" t="s">
        <v>95</v>
      </c>
      <c r="I580" s="2">
        <v>43710</v>
      </c>
      <c r="J580" t="s">
        <v>68</v>
      </c>
      <c r="K580" t="s">
        <v>234</v>
      </c>
      <c r="L580">
        <v>77293</v>
      </c>
      <c r="M580" t="s">
        <v>21</v>
      </c>
      <c r="N580" t="str">
        <f>VLOOKUP(A580, Data_Set_2!$A:$D,2,FALSE)</f>
        <v>jbrooks9a</v>
      </c>
      <c r="O580" t="str">
        <f>VLOOKUP(A580, Data_Set_2!$A:$D,3,FALSE)</f>
        <v>Realfire</v>
      </c>
      <c r="P580" t="str">
        <f>VLOOKUP(A580, Data_Set_2!$A:$D,4,FALSE)</f>
        <v>Social Worker</v>
      </c>
      <c r="Q580" t="str">
        <f>_xlfn.CONCAT(Table3[[#This Row],[first_name]], " ",Table3[[#This Row],[last_name]])</f>
        <v>Julie Brooks</v>
      </c>
    </row>
    <row r="581" spans="1:17" x14ac:dyDescent="0.3">
      <c r="A581">
        <v>335</v>
      </c>
      <c r="B581" t="s">
        <v>346</v>
      </c>
      <c r="C581" t="s">
        <v>347</v>
      </c>
      <c r="D581" t="s">
        <v>348</v>
      </c>
      <c r="E581" t="s">
        <v>32</v>
      </c>
      <c r="F581" t="s">
        <v>25</v>
      </c>
      <c r="G581" s="1">
        <v>421</v>
      </c>
      <c r="H581" t="s">
        <v>95</v>
      </c>
      <c r="I581" s="2">
        <v>44200</v>
      </c>
      <c r="J581" t="s">
        <v>68</v>
      </c>
      <c r="K581" t="s">
        <v>234</v>
      </c>
      <c r="L581">
        <v>77293</v>
      </c>
      <c r="M581" t="s">
        <v>21</v>
      </c>
      <c r="N581" t="str">
        <f>VLOOKUP(A581, Data_Set_2!$A:$D,2,FALSE)</f>
        <v>jbrooks9a</v>
      </c>
      <c r="O581" t="str">
        <f>VLOOKUP(A581, Data_Set_2!$A:$D,3,FALSE)</f>
        <v>Realfire</v>
      </c>
      <c r="P581" t="str">
        <f>VLOOKUP(A581, Data_Set_2!$A:$D,4,FALSE)</f>
        <v>Social Worker</v>
      </c>
      <c r="Q581" t="str">
        <f>_xlfn.CONCAT(Table3[[#This Row],[first_name]], " ",Table3[[#This Row],[last_name]])</f>
        <v>Julie Brooks</v>
      </c>
    </row>
    <row r="582" spans="1:17" x14ac:dyDescent="0.3">
      <c r="A582">
        <v>335</v>
      </c>
      <c r="B582" t="s">
        <v>346</v>
      </c>
      <c r="C582" t="s">
        <v>347</v>
      </c>
      <c r="D582" t="s">
        <v>348</v>
      </c>
      <c r="E582" t="s">
        <v>32</v>
      </c>
      <c r="F582" t="s">
        <v>25</v>
      </c>
      <c r="G582" s="1">
        <v>784</v>
      </c>
      <c r="H582" t="s">
        <v>95</v>
      </c>
      <c r="I582" s="2">
        <v>44513</v>
      </c>
      <c r="J582" t="s">
        <v>68</v>
      </c>
      <c r="K582" t="s">
        <v>234</v>
      </c>
      <c r="L582">
        <v>77293</v>
      </c>
      <c r="M582" t="s">
        <v>21</v>
      </c>
      <c r="N582" t="str">
        <f>VLOOKUP(A582, Data_Set_2!$A:$D,2,FALSE)</f>
        <v>jbrooks9a</v>
      </c>
      <c r="O582" t="str">
        <f>VLOOKUP(A582, Data_Set_2!$A:$D,3,FALSE)</f>
        <v>Realfire</v>
      </c>
      <c r="P582" t="str">
        <f>VLOOKUP(A582, Data_Set_2!$A:$D,4,FALSE)</f>
        <v>Social Worker</v>
      </c>
      <c r="Q582" t="str">
        <f>_xlfn.CONCAT(Table3[[#This Row],[first_name]], " ",Table3[[#This Row],[last_name]])</f>
        <v>Julie Brooks</v>
      </c>
    </row>
    <row r="583" spans="1:17" hidden="1" x14ac:dyDescent="0.3">
      <c r="A583">
        <v>336</v>
      </c>
      <c r="B583" t="s">
        <v>13</v>
      </c>
      <c r="C583" t="s">
        <v>766</v>
      </c>
      <c r="D583" t="s">
        <v>767</v>
      </c>
      <c r="E583" t="s">
        <v>16</v>
      </c>
      <c r="F583" t="s">
        <v>33</v>
      </c>
      <c r="G583" s="1">
        <v>941</v>
      </c>
      <c r="H583" t="s">
        <v>109</v>
      </c>
      <c r="I583" s="2">
        <v>43716</v>
      </c>
      <c r="J583" t="s">
        <v>125</v>
      </c>
      <c r="K583" t="s">
        <v>126</v>
      </c>
      <c r="L583">
        <v>63196</v>
      </c>
      <c r="M583" t="s">
        <v>21</v>
      </c>
      <c r="N583" t="str">
        <f>VLOOKUP(A583, Data_Set_2!$A:$D,2,FALSE)</f>
        <v>sknight9b</v>
      </c>
      <c r="O583" t="str">
        <f>VLOOKUP(A583, Data_Set_2!$A:$D,3,FALSE)</f>
        <v>Zoozzy</v>
      </c>
      <c r="P583" t="str">
        <f>VLOOKUP(A583, Data_Set_2!$A:$D,4,FALSE)</f>
        <v>Payment Adjustment Coordinator</v>
      </c>
      <c r="Q583" t="str">
        <f>_xlfn.CONCAT(Table3[[#This Row],[first_name]], " ",Table3[[#This Row],[last_name]])</f>
        <v>Shawn Knight</v>
      </c>
    </row>
    <row r="584" spans="1:17" hidden="1" x14ac:dyDescent="0.3">
      <c r="A584">
        <v>336</v>
      </c>
      <c r="B584" t="s">
        <v>13</v>
      </c>
      <c r="C584" t="s">
        <v>766</v>
      </c>
      <c r="D584" t="s">
        <v>767</v>
      </c>
      <c r="E584" t="s">
        <v>16</v>
      </c>
      <c r="F584" t="s">
        <v>33</v>
      </c>
      <c r="G584" s="1">
        <v>147</v>
      </c>
      <c r="H584" t="s">
        <v>109</v>
      </c>
      <c r="I584" s="2">
        <v>43776</v>
      </c>
      <c r="J584" t="s">
        <v>125</v>
      </c>
      <c r="K584" t="s">
        <v>126</v>
      </c>
      <c r="L584">
        <v>63196</v>
      </c>
      <c r="M584" t="s">
        <v>21</v>
      </c>
      <c r="N584" t="str">
        <f>VLOOKUP(A584, Data_Set_2!$A:$D,2,FALSE)</f>
        <v>sknight9b</v>
      </c>
      <c r="O584" t="str">
        <f>VLOOKUP(A584, Data_Set_2!$A:$D,3,FALSE)</f>
        <v>Zoozzy</v>
      </c>
      <c r="P584" t="str">
        <f>VLOOKUP(A584, Data_Set_2!$A:$D,4,FALSE)</f>
        <v>Payment Adjustment Coordinator</v>
      </c>
      <c r="Q584" t="str">
        <f>_xlfn.CONCAT(Table3[[#This Row],[first_name]], " ",Table3[[#This Row],[last_name]])</f>
        <v>Shawn Knight</v>
      </c>
    </row>
    <row r="585" spans="1:17" hidden="1" x14ac:dyDescent="0.3">
      <c r="A585">
        <v>336</v>
      </c>
      <c r="B585" t="s">
        <v>13</v>
      </c>
      <c r="C585" t="s">
        <v>766</v>
      </c>
      <c r="D585" t="s">
        <v>767</v>
      </c>
      <c r="E585" t="s">
        <v>16</v>
      </c>
      <c r="F585" t="s">
        <v>33</v>
      </c>
      <c r="G585" s="1">
        <v>583</v>
      </c>
      <c r="H585" t="s">
        <v>109</v>
      </c>
      <c r="I585" s="2">
        <v>44746</v>
      </c>
      <c r="J585" t="s">
        <v>125</v>
      </c>
      <c r="K585" t="s">
        <v>126</v>
      </c>
      <c r="L585">
        <v>63196</v>
      </c>
      <c r="M585" t="s">
        <v>21</v>
      </c>
      <c r="N585" t="str">
        <f>VLOOKUP(A585, Data_Set_2!$A:$D,2,FALSE)</f>
        <v>sknight9b</v>
      </c>
      <c r="O585" t="str">
        <f>VLOOKUP(A585, Data_Set_2!$A:$D,3,FALSE)</f>
        <v>Zoozzy</v>
      </c>
      <c r="P585" t="str">
        <f>VLOOKUP(A585, Data_Set_2!$A:$D,4,FALSE)</f>
        <v>Payment Adjustment Coordinator</v>
      </c>
      <c r="Q585" t="str">
        <f>_xlfn.CONCAT(Table3[[#This Row],[first_name]], " ",Table3[[#This Row],[last_name]])</f>
        <v>Shawn Knight</v>
      </c>
    </row>
    <row r="586" spans="1:17" hidden="1" x14ac:dyDescent="0.3">
      <c r="A586">
        <v>337</v>
      </c>
      <c r="B586" t="s">
        <v>174</v>
      </c>
      <c r="C586" t="s">
        <v>71</v>
      </c>
      <c r="D586" t="s">
        <v>175</v>
      </c>
      <c r="E586" t="s">
        <v>16</v>
      </c>
      <c r="F586" t="s">
        <v>51</v>
      </c>
      <c r="G586" s="1">
        <v>916</v>
      </c>
      <c r="H586" t="s">
        <v>26</v>
      </c>
      <c r="I586" s="2">
        <v>43148</v>
      </c>
      <c r="J586" t="s">
        <v>74</v>
      </c>
      <c r="K586" t="s">
        <v>75</v>
      </c>
      <c r="L586">
        <v>30386</v>
      </c>
      <c r="M586" t="s">
        <v>21</v>
      </c>
      <c r="N586" t="str">
        <f>VLOOKUP(A586, Data_Set_2!$A:$D,2,FALSE)</f>
        <v>psimpson9c</v>
      </c>
      <c r="O586" t="str">
        <f>VLOOKUP(A586, Data_Set_2!$A:$D,3,FALSE)</f>
        <v>Quatz</v>
      </c>
      <c r="P586" t="str">
        <f>VLOOKUP(A586, Data_Set_2!$A:$D,4,FALSE)</f>
        <v>Environmental Specialist</v>
      </c>
      <c r="Q586" t="str">
        <f>_xlfn.CONCAT(Table3[[#This Row],[first_name]], " ",Table3[[#This Row],[last_name]])</f>
        <v>Phillip Simpson</v>
      </c>
    </row>
    <row r="587" spans="1:17" hidden="1" x14ac:dyDescent="0.3">
      <c r="A587">
        <v>337</v>
      </c>
      <c r="B587" t="s">
        <v>174</v>
      </c>
      <c r="C587" t="s">
        <v>71</v>
      </c>
      <c r="D587" t="s">
        <v>175</v>
      </c>
      <c r="E587" t="s">
        <v>16</v>
      </c>
      <c r="F587" t="s">
        <v>51</v>
      </c>
      <c r="G587" s="1">
        <v>830</v>
      </c>
      <c r="H587" t="s">
        <v>26</v>
      </c>
      <c r="I587" s="2">
        <v>43336</v>
      </c>
      <c r="J587" t="s">
        <v>74</v>
      </c>
      <c r="K587" t="s">
        <v>75</v>
      </c>
      <c r="L587">
        <v>30386</v>
      </c>
      <c r="M587" t="s">
        <v>21</v>
      </c>
      <c r="N587" t="str">
        <f>VLOOKUP(A587, Data_Set_2!$A:$D,2,FALSE)</f>
        <v>psimpson9c</v>
      </c>
      <c r="O587" t="str">
        <f>VLOOKUP(A587, Data_Set_2!$A:$D,3,FALSE)</f>
        <v>Quatz</v>
      </c>
      <c r="P587" t="str">
        <f>VLOOKUP(A587, Data_Set_2!$A:$D,4,FALSE)</f>
        <v>Environmental Specialist</v>
      </c>
      <c r="Q587" t="str">
        <f>_xlfn.CONCAT(Table3[[#This Row],[first_name]], " ",Table3[[#This Row],[last_name]])</f>
        <v>Phillip Simpson</v>
      </c>
    </row>
    <row r="588" spans="1:17" hidden="1" x14ac:dyDescent="0.3">
      <c r="A588">
        <v>337</v>
      </c>
      <c r="B588" t="s">
        <v>174</v>
      </c>
      <c r="C588" t="s">
        <v>71</v>
      </c>
      <c r="D588" t="s">
        <v>175</v>
      </c>
      <c r="E588" t="s">
        <v>16</v>
      </c>
      <c r="F588" t="s">
        <v>51</v>
      </c>
      <c r="G588" s="1">
        <v>215</v>
      </c>
      <c r="H588" t="s">
        <v>26</v>
      </c>
      <c r="I588" s="2">
        <v>43348</v>
      </c>
      <c r="J588" t="s">
        <v>74</v>
      </c>
      <c r="K588" t="s">
        <v>75</v>
      </c>
      <c r="L588">
        <v>30386</v>
      </c>
      <c r="M588" t="s">
        <v>21</v>
      </c>
      <c r="N588" t="str">
        <f>VLOOKUP(A588, Data_Set_2!$A:$D,2,FALSE)</f>
        <v>psimpson9c</v>
      </c>
      <c r="O588" t="str">
        <f>VLOOKUP(A588, Data_Set_2!$A:$D,3,FALSE)</f>
        <v>Quatz</v>
      </c>
      <c r="P588" t="str">
        <f>VLOOKUP(A588, Data_Set_2!$A:$D,4,FALSE)</f>
        <v>Environmental Specialist</v>
      </c>
      <c r="Q588" t="str">
        <f>_xlfn.CONCAT(Table3[[#This Row],[first_name]], " ",Table3[[#This Row],[last_name]])</f>
        <v>Phillip Simpson</v>
      </c>
    </row>
    <row r="589" spans="1:17" hidden="1" x14ac:dyDescent="0.3">
      <c r="A589">
        <v>337</v>
      </c>
      <c r="B589" t="s">
        <v>174</v>
      </c>
      <c r="C589" t="s">
        <v>71</v>
      </c>
      <c r="D589" t="s">
        <v>175</v>
      </c>
      <c r="E589" t="s">
        <v>16</v>
      </c>
      <c r="F589" t="s">
        <v>51</v>
      </c>
      <c r="G589" s="1">
        <v>72</v>
      </c>
      <c r="H589" t="s">
        <v>26</v>
      </c>
      <c r="I589" s="2">
        <v>43388</v>
      </c>
      <c r="J589" t="s">
        <v>74</v>
      </c>
      <c r="K589" t="s">
        <v>75</v>
      </c>
      <c r="L589">
        <v>30386</v>
      </c>
      <c r="M589" t="s">
        <v>21</v>
      </c>
      <c r="N589" t="str">
        <f>VLOOKUP(A589, Data_Set_2!$A:$D,2,FALSE)</f>
        <v>psimpson9c</v>
      </c>
      <c r="O589" t="str">
        <f>VLOOKUP(A589, Data_Set_2!$A:$D,3,FALSE)</f>
        <v>Quatz</v>
      </c>
      <c r="P589" t="str">
        <f>VLOOKUP(A589, Data_Set_2!$A:$D,4,FALSE)</f>
        <v>Environmental Specialist</v>
      </c>
      <c r="Q589" t="str">
        <f>_xlfn.CONCAT(Table3[[#This Row],[first_name]], " ",Table3[[#This Row],[last_name]])</f>
        <v>Phillip Simpson</v>
      </c>
    </row>
    <row r="590" spans="1:17" hidden="1" x14ac:dyDescent="0.3">
      <c r="A590">
        <v>337</v>
      </c>
      <c r="B590" t="s">
        <v>174</v>
      </c>
      <c r="C590" t="s">
        <v>71</v>
      </c>
      <c r="D590" t="s">
        <v>175</v>
      </c>
      <c r="E590" t="s">
        <v>16</v>
      </c>
      <c r="F590" t="s">
        <v>51</v>
      </c>
      <c r="G590" s="1">
        <v>625</v>
      </c>
      <c r="H590" t="s">
        <v>26</v>
      </c>
      <c r="I590" s="2">
        <v>43487</v>
      </c>
      <c r="J590" t="s">
        <v>74</v>
      </c>
      <c r="K590" t="s">
        <v>75</v>
      </c>
      <c r="L590">
        <v>30386</v>
      </c>
      <c r="M590" t="s">
        <v>21</v>
      </c>
      <c r="N590" t="str">
        <f>VLOOKUP(A590, Data_Set_2!$A:$D,2,FALSE)</f>
        <v>psimpson9c</v>
      </c>
      <c r="O590" t="str">
        <f>VLOOKUP(A590, Data_Set_2!$A:$D,3,FALSE)</f>
        <v>Quatz</v>
      </c>
      <c r="P590" t="str">
        <f>VLOOKUP(A590, Data_Set_2!$A:$D,4,FALSE)</f>
        <v>Environmental Specialist</v>
      </c>
      <c r="Q590" t="str">
        <f>_xlfn.CONCAT(Table3[[#This Row],[first_name]], " ",Table3[[#This Row],[last_name]])</f>
        <v>Phillip Simpson</v>
      </c>
    </row>
    <row r="591" spans="1:17" hidden="1" x14ac:dyDescent="0.3">
      <c r="A591">
        <v>337</v>
      </c>
      <c r="B591" t="s">
        <v>174</v>
      </c>
      <c r="C591" t="s">
        <v>71</v>
      </c>
      <c r="D591" t="s">
        <v>175</v>
      </c>
      <c r="E591" t="s">
        <v>16</v>
      </c>
      <c r="F591" t="s">
        <v>51</v>
      </c>
      <c r="G591" s="1">
        <v>118</v>
      </c>
      <c r="H591" t="s">
        <v>26</v>
      </c>
      <c r="I591" s="2">
        <v>43495</v>
      </c>
      <c r="J591" t="s">
        <v>74</v>
      </c>
      <c r="K591" t="s">
        <v>75</v>
      </c>
      <c r="L591">
        <v>30386</v>
      </c>
      <c r="M591" t="s">
        <v>21</v>
      </c>
      <c r="N591" t="str">
        <f>VLOOKUP(A591, Data_Set_2!$A:$D,2,FALSE)</f>
        <v>psimpson9c</v>
      </c>
      <c r="O591" t="str">
        <f>VLOOKUP(A591, Data_Set_2!$A:$D,3,FALSE)</f>
        <v>Quatz</v>
      </c>
      <c r="P591" t="str">
        <f>VLOOKUP(A591, Data_Set_2!$A:$D,4,FALSE)</f>
        <v>Environmental Specialist</v>
      </c>
      <c r="Q591" t="str">
        <f>_xlfn.CONCAT(Table3[[#This Row],[first_name]], " ",Table3[[#This Row],[last_name]])</f>
        <v>Phillip Simpson</v>
      </c>
    </row>
    <row r="592" spans="1:17" hidden="1" x14ac:dyDescent="0.3">
      <c r="A592">
        <v>337</v>
      </c>
      <c r="B592" t="s">
        <v>174</v>
      </c>
      <c r="C592" t="s">
        <v>71</v>
      </c>
      <c r="D592" t="s">
        <v>175</v>
      </c>
      <c r="E592" t="s">
        <v>16</v>
      </c>
      <c r="F592" t="s">
        <v>51</v>
      </c>
      <c r="G592" s="1">
        <v>444</v>
      </c>
      <c r="H592" t="s">
        <v>26</v>
      </c>
      <c r="I592" s="2">
        <v>43503</v>
      </c>
      <c r="J592" t="s">
        <v>74</v>
      </c>
      <c r="K592" t="s">
        <v>75</v>
      </c>
      <c r="L592">
        <v>30386</v>
      </c>
      <c r="M592" t="s">
        <v>21</v>
      </c>
      <c r="N592" t="str">
        <f>VLOOKUP(A592, Data_Set_2!$A:$D,2,FALSE)</f>
        <v>psimpson9c</v>
      </c>
      <c r="O592" t="str">
        <f>VLOOKUP(A592, Data_Set_2!$A:$D,3,FALSE)</f>
        <v>Quatz</v>
      </c>
      <c r="P592" t="str">
        <f>VLOOKUP(A592, Data_Set_2!$A:$D,4,FALSE)</f>
        <v>Environmental Specialist</v>
      </c>
      <c r="Q592" t="str">
        <f>_xlfn.CONCAT(Table3[[#This Row],[first_name]], " ",Table3[[#This Row],[last_name]])</f>
        <v>Phillip Simpson</v>
      </c>
    </row>
    <row r="593" spans="1:17" hidden="1" x14ac:dyDescent="0.3">
      <c r="A593">
        <v>337</v>
      </c>
      <c r="B593" t="s">
        <v>174</v>
      </c>
      <c r="C593" t="s">
        <v>71</v>
      </c>
      <c r="D593" t="s">
        <v>175</v>
      </c>
      <c r="E593" t="s">
        <v>16</v>
      </c>
      <c r="F593" t="s">
        <v>51</v>
      </c>
      <c r="G593" s="1">
        <v>365</v>
      </c>
      <c r="H593" t="s">
        <v>26</v>
      </c>
      <c r="I593" s="2">
        <v>43652</v>
      </c>
      <c r="J593" t="s">
        <v>74</v>
      </c>
      <c r="K593" t="s">
        <v>75</v>
      </c>
      <c r="L593">
        <v>30386</v>
      </c>
      <c r="M593" t="s">
        <v>21</v>
      </c>
      <c r="N593" t="str">
        <f>VLOOKUP(A593, Data_Set_2!$A:$D,2,FALSE)</f>
        <v>psimpson9c</v>
      </c>
      <c r="O593" t="str">
        <f>VLOOKUP(A593, Data_Set_2!$A:$D,3,FALSE)</f>
        <v>Quatz</v>
      </c>
      <c r="P593" t="str">
        <f>VLOOKUP(A593, Data_Set_2!$A:$D,4,FALSE)</f>
        <v>Environmental Specialist</v>
      </c>
      <c r="Q593" t="str">
        <f>_xlfn.CONCAT(Table3[[#This Row],[first_name]], " ",Table3[[#This Row],[last_name]])</f>
        <v>Phillip Simpson</v>
      </c>
    </row>
    <row r="594" spans="1:17" hidden="1" x14ac:dyDescent="0.3">
      <c r="A594">
        <v>337</v>
      </c>
      <c r="B594" t="s">
        <v>174</v>
      </c>
      <c r="C594" t="s">
        <v>71</v>
      </c>
      <c r="D594" t="s">
        <v>175</v>
      </c>
      <c r="E594" t="s">
        <v>16</v>
      </c>
      <c r="F594" t="s">
        <v>51</v>
      </c>
      <c r="G594" s="1">
        <v>608</v>
      </c>
      <c r="H594" t="s">
        <v>26</v>
      </c>
      <c r="I594" s="2">
        <v>43692</v>
      </c>
      <c r="J594" t="s">
        <v>74</v>
      </c>
      <c r="K594" t="s">
        <v>75</v>
      </c>
      <c r="L594">
        <v>30386</v>
      </c>
      <c r="M594" t="s">
        <v>21</v>
      </c>
      <c r="N594" t="str">
        <f>VLOOKUP(A594, Data_Set_2!$A:$D,2,FALSE)</f>
        <v>psimpson9c</v>
      </c>
      <c r="O594" t="str">
        <f>VLOOKUP(A594, Data_Set_2!$A:$D,3,FALSE)</f>
        <v>Quatz</v>
      </c>
      <c r="P594" t="str">
        <f>VLOOKUP(A594, Data_Set_2!$A:$D,4,FALSE)</f>
        <v>Environmental Specialist</v>
      </c>
      <c r="Q594" t="str">
        <f>_xlfn.CONCAT(Table3[[#This Row],[first_name]], " ",Table3[[#This Row],[last_name]])</f>
        <v>Phillip Simpson</v>
      </c>
    </row>
    <row r="595" spans="1:17" hidden="1" x14ac:dyDescent="0.3">
      <c r="A595">
        <v>337</v>
      </c>
      <c r="B595" t="s">
        <v>174</v>
      </c>
      <c r="C595" t="s">
        <v>71</v>
      </c>
      <c r="D595" t="s">
        <v>175</v>
      </c>
      <c r="E595" t="s">
        <v>16</v>
      </c>
      <c r="F595" t="s">
        <v>51</v>
      </c>
      <c r="G595" s="1">
        <v>771</v>
      </c>
      <c r="H595" t="s">
        <v>26</v>
      </c>
      <c r="I595" s="2">
        <v>43840</v>
      </c>
      <c r="J595" t="s">
        <v>74</v>
      </c>
      <c r="K595" t="s">
        <v>75</v>
      </c>
      <c r="L595">
        <v>30386</v>
      </c>
      <c r="M595" t="s">
        <v>21</v>
      </c>
      <c r="N595" t="str">
        <f>VLOOKUP(A595, Data_Set_2!$A:$D,2,FALSE)</f>
        <v>psimpson9c</v>
      </c>
      <c r="O595" t="str">
        <f>VLOOKUP(A595, Data_Set_2!$A:$D,3,FALSE)</f>
        <v>Quatz</v>
      </c>
      <c r="P595" t="str">
        <f>VLOOKUP(A595, Data_Set_2!$A:$D,4,FALSE)</f>
        <v>Environmental Specialist</v>
      </c>
      <c r="Q595" t="str">
        <f>_xlfn.CONCAT(Table3[[#This Row],[first_name]], " ",Table3[[#This Row],[last_name]])</f>
        <v>Phillip Simpson</v>
      </c>
    </row>
    <row r="596" spans="1:17" hidden="1" x14ac:dyDescent="0.3">
      <c r="A596">
        <v>337</v>
      </c>
      <c r="B596" t="s">
        <v>174</v>
      </c>
      <c r="C596" t="s">
        <v>71</v>
      </c>
      <c r="D596" t="s">
        <v>175</v>
      </c>
      <c r="E596" t="s">
        <v>16</v>
      </c>
      <c r="F596" t="s">
        <v>51</v>
      </c>
      <c r="G596" s="1">
        <v>382</v>
      </c>
      <c r="H596" t="s">
        <v>26</v>
      </c>
      <c r="I596" s="2">
        <v>43993</v>
      </c>
      <c r="J596" t="s">
        <v>74</v>
      </c>
      <c r="K596" t="s">
        <v>75</v>
      </c>
      <c r="L596">
        <v>30386</v>
      </c>
      <c r="M596" t="s">
        <v>21</v>
      </c>
      <c r="N596" t="str">
        <f>VLOOKUP(A596, Data_Set_2!$A:$D,2,FALSE)</f>
        <v>psimpson9c</v>
      </c>
      <c r="O596" t="str">
        <f>VLOOKUP(A596, Data_Set_2!$A:$D,3,FALSE)</f>
        <v>Quatz</v>
      </c>
      <c r="P596" t="str">
        <f>VLOOKUP(A596, Data_Set_2!$A:$D,4,FALSE)</f>
        <v>Environmental Specialist</v>
      </c>
      <c r="Q596" t="str">
        <f>_xlfn.CONCAT(Table3[[#This Row],[first_name]], " ",Table3[[#This Row],[last_name]])</f>
        <v>Phillip Simpson</v>
      </c>
    </row>
    <row r="597" spans="1:17" hidden="1" x14ac:dyDescent="0.3">
      <c r="A597">
        <v>337</v>
      </c>
      <c r="B597" t="s">
        <v>174</v>
      </c>
      <c r="C597" t="s">
        <v>71</v>
      </c>
      <c r="D597" t="s">
        <v>175</v>
      </c>
      <c r="E597" t="s">
        <v>16</v>
      </c>
      <c r="F597" t="s">
        <v>51</v>
      </c>
      <c r="G597" s="1">
        <v>260</v>
      </c>
      <c r="H597" t="s">
        <v>26</v>
      </c>
      <c r="I597" s="2">
        <v>44146</v>
      </c>
      <c r="J597" t="s">
        <v>74</v>
      </c>
      <c r="K597" t="s">
        <v>75</v>
      </c>
      <c r="L597">
        <v>30386</v>
      </c>
      <c r="M597" t="s">
        <v>21</v>
      </c>
      <c r="N597" t="str">
        <f>VLOOKUP(A597, Data_Set_2!$A:$D,2,FALSE)</f>
        <v>psimpson9c</v>
      </c>
      <c r="O597" t="str">
        <f>VLOOKUP(A597, Data_Set_2!$A:$D,3,FALSE)</f>
        <v>Quatz</v>
      </c>
      <c r="P597" t="str">
        <f>VLOOKUP(A597, Data_Set_2!$A:$D,4,FALSE)</f>
        <v>Environmental Specialist</v>
      </c>
      <c r="Q597" t="str">
        <f>_xlfn.CONCAT(Table3[[#This Row],[first_name]], " ",Table3[[#This Row],[last_name]])</f>
        <v>Phillip Simpson</v>
      </c>
    </row>
    <row r="598" spans="1:17" hidden="1" x14ac:dyDescent="0.3">
      <c r="A598">
        <v>337</v>
      </c>
      <c r="B598" t="s">
        <v>174</v>
      </c>
      <c r="C598" t="s">
        <v>71</v>
      </c>
      <c r="D598" t="s">
        <v>175</v>
      </c>
      <c r="E598" t="s">
        <v>16</v>
      </c>
      <c r="F598" t="s">
        <v>51</v>
      </c>
      <c r="G598" s="1">
        <v>390</v>
      </c>
      <c r="H598" t="s">
        <v>26</v>
      </c>
      <c r="I598" s="2">
        <v>44162</v>
      </c>
      <c r="J598" t="s">
        <v>74</v>
      </c>
      <c r="K598" t="s">
        <v>75</v>
      </c>
      <c r="L598">
        <v>30386</v>
      </c>
      <c r="M598" t="s">
        <v>21</v>
      </c>
      <c r="N598" t="str">
        <f>VLOOKUP(A598, Data_Set_2!$A:$D,2,FALSE)</f>
        <v>psimpson9c</v>
      </c>
      <c r="O598" t="str">
        <f>VLOOKUP(A598, Data_Set_2!$A:$D,3,FALSE)</f>
        <v>Quatz</v>
      </c>
      <c r="P598" t="str">
        <f>VLOOKUP(A598, Data_Set_2!$A:$D,4,FALSE)</f>
        <v>Environmental Specialist</v>
      </c>
      <c r="Q598" t="str">
        <f>_xlfn.CONCAT(Table3[[#This Row],[first_name]], " ",Table3[[#This Row],[last_name]])</f>
        <v>Phillip Simpson</v>
      </c>
    </row>
    <row r="599" spans="1:17" hidden="1" x14ac:dyDescent="0.3">
      <c r="A599">
        <v>337</v>
      </c>
      <c r="B599" t="s">
        <v>174</v>
      </c>
      <c r="C599" t="s">
        <v>71</v>
      </c>
      <c r="D599" t="s">
        <v>175</v>
      </c>
      <c r="E599" t="s">
        <v>16</v>
      </c>
      <c r="F599" t="s">
        <v>51</v>
      </c>
      <c r="G599" s="1">
        <v>388</v>
      </c>
      <c r="H599" t="s">
        <v>26</v>
      </c>
      <c r="I599" s="2">
        <v>44225</v>
      </c>
      <c r="J599" t="s">
        <v>74</v>
      </c>
      <c r="K599" t="s">
        <v>75</v>
      </c>
      <c r="L599">
        <v>30386</v>
      </c>
      <c r="M599" t="s">
        <v>21</v>
      </c>
      <c r="N599" t="str">
        <f>VLOOKUP(A599, Data_Set_2!$A:$D,2,FALSE)</f>
        <v>psimpson9c</v>
      </c>
      <c r="O599" t="str">
        <f>VLOOKUP(A599, Data_Set_2!$A:$D,3,FALSE)</f>
        <v>Quatz</v>
      </c>
      <c r="P599" t="str">
        <f>VLOOKUP(A599, Data_Set_2!$A:$D,4,FALSE)</f>
        <v>Environmental Specialist</v>
      </c>
      <c r="Q599" t="str">
        <f>_xlfn.CONCAT(Table3[[#This Row],[first_name]], " ",Table3[[#This Row],[last_name]])</f>
        <v>Phillip Simpson</v>
      </c>
    </row>
    <row r="600" spans="1:17" hidden="1" x14ac:dyDescent="0.3">
      <c r="A600">
        <v>337</v>
      </c>
      <c r="B600" t="s">
        <v>174</v>
      </c>
      <c r="C600" t="s">
        <v>71</v>
      </c>
      <c r="D600" t="s">
        <v>175</v>
      </c>
      <c r="E600" t="s">
        <v>16</v>
      </c>
      <c r="F600" t="s">
        <v>51</v>
      </c>
      <c r="G600" s="1">
        <v>653</v>
      </c>
      <c r="H600" t="s">
        <v>26</v>
      </c>
      <c r="I600" s="2">
        <v>44380</v>
      </c>
      <c r="J600" t="s">
        <v>74</v>
      </c>
      <c r="K600" t="s">
        <v>75</v>
      </c>
      <c r="L600">
        <v>30386</v>
      </c>
      <c r="M600" t="s">
        <v>21</v>
      </c>
      <c r="N600" t="str">
        <f>VLOOKUP(A600, Data_Set_2!$A:$D,2,FALSE)</f>
        <v>psimpson9c</v>
      </c>
      <c r="O600" t="str">
        <f>VLOOKUP(A600, Data_Set_2!$A:$D,3,FALSE)</f>
        <v>Quatz</v>
      </c>
      <c r="P600" t="str">
        <f>VLOOKUP(A600, Data_Set_2!$A:$D,4,FALSE)</f>
        <v>Environmental Specialist</v>
      </c>
      <c r="Q600" t="str">
        <f>_xlfn.CONCAT(Table3[[#This Row],[first_name]], " ",Table3[[#This Row],[last_name]])</f>
        <v>Phillip Simpson</v>
      </c>
    </row>
    <row r="601" spans="1:17" hidden="1" x14ac:dyDescent="0.3">
      <c r="A601">
        <v>337</v>
      </c>
      <c r="B601" t="s">
        <v>174</v>
      </c>
      <c r="C601" t="s">
        <v>71</v>
      </c>
      <c r="D601" t="s">
        <v>175</v>
      </c>
      <c r="E601" t="s">
        <v>16</v>
      </c>
      <c r="F601" t="s">
        <v>51</v>
      </c>
      <c r="G601" s="1">
        <v>283</v>
      </c>
      <c r="H601" t="s">
        <v>26</v>
      </c>
      <c r="I601" s="2">
        <v>44406</v>
      </c>
      <c r="J601" t="s">
        <v>74</v>
      </c>
      <c r="K601" t="s">
        <v>75</v>
      </c>
      <c r="L601">
        <v>30386</v>
      </c>
      <c r="M601" t="s">
        <v>21</v>
      </c>
      <c r="N601" t="str">
        <f>VLOOKUP(A601, Data_Set_2!$A:$D,2,FALSE)</f>
        <v>psimpson9c</v>
      </c>
      <c r="O601" t="str">
        <f>VLOOKUP(A601, Data_Set_2!$A:$D,3,FALSE)</f>
        <v>Quatz</v>
      </c>
      <c r="P601" t="str">
        <f>VLOOKUP(A601, Data_Set_2!$A:$D,4,FALSE)</f>
        <v>Environmental Specialist</v>
      </c>
      <c r="Q601" t="str">
        <f>_xlfn.CONCAT(Table3[[#This Row],[first_name]], " ",Table3[[#This Row],[last_name]])</f>
        <v>Phillip Simpson</v>
      </c>
    </row>
    <row r="602" spans="1:17" hidden="1" x14ac:dyDescent="0.3">
      <c r="A602">
        <v>337</v>
      </c>
      <c r="B602" t="s">
        <v>174</v>
      </c>
      <c r="C602" t="s">
        <v>71</v>
      </c>
      <c r="D602" t="s">
        <v>175</v>
      </c>
      <c r="E602" t="s">
        <v>16</v>
      </c>
      <c r="F602" t="s">
        <v>51</v>
      </c>
      <c r="G602" s="1">
        <v>690</v>
      </c>
      <c r="H602" t="s">
        <v>26</v>
      </c>
      <c r="I602" s="2">
        <v>44480</v>
      </c>
      <c r="J602" t="s">
        <v>74</v>
      </c>
      <c r="K602" t="s">
        <v>75</v>
      </c>
      <c r="L602">
        <v>30386</v>
      </c>
      <c r="M602" t="s">
        <v>21</v>
      </c>
      <c r="N602" t="str">
        <f>VLOOKUP(A602, Data_Set_2!$A:$D,2,FALSE)</f>
        <v>psimpson9c</v>
      </c>
      <c r="O602" t="str">
        <f>VLOOKUP(A602, Data_Set_2!$A:$D,3,FALSE)</f>
        <v>Quatz</v>
      </c>
      <c r="P602" t="str">
        <f>VLOOKUP(A602, Data_Set_2!$A:$D,4,FALSE)</f>
        <v>Environmental Specialist</v>
      </c>
      <c r="Q602" t="str">
        <f>_xlfn.CONCAT(Table3[[#This Row],[first_name]], " ",Table3[[#This Row],[last_name]])</f>
        <v>Phillip Simpson</v>
      </c>
    </row>
    <row r="603" spans="1:17" hidden="1" x14ac:dyDescent="0.3">
      <c r="A603">
        <v>337</v>
      </c>
      <c r="B603" t="s">
        <v>174</v>
      </c>
      <c r="C603" t="s">
        <v>71</v>
      </c>
      <c r="D603" t="s">
        <v>175</v>
      </c>
      <c r="E603" t="s">
        <v>16</v>
      </c>
      <c r="F603" t="s">
        <v>51</v>
      </c>
      <c r="G603" s="1">
        <v>556</v>
      </c>
      <c r="H603" t="s">
        <v>26</v>
      </c>
      <c r="I603" s="2">
        <v>44504</v>
      </c>
      <c r="J603" t="s">
        <v>74</v>
      </c>
      <c r="K603" t="s">
        <v>75</v>
      </c>
      <c r="L603">
        <v>30386</v>
      </c>
      <c r="M603" t="s">
        <v>21</v>
      </c>
      <c r="N603" t="str">
        <f>VLOOKUP(A603, Data_Set_2!$A:$D,2,FALSE)</f>
        <v>psimpson9c</v>
      </c>
      <c r="O603" t="str">
        <f>VLOOKUP(A603, Data_Set_2!$A:$D,3,FALSE)</f>
        <v>Quatz</v>
      </c>
      <c r="P603" t="str">
        <f>VLOOKUP(A603, Data_Set_2!$A:$D,4,FALSE)</f>
        <v>Environmental Specialist</v>
      </c>
      <c r="Q603" t="str">
        <f>_xlfn.CONCAT(Table3[[#This Row],[first_name]], " ",Table3[[#This Row],[last_name]])</f>
        <v>Phillip Simpson</v>
      </c>
    </row>
    <row r="604" spans="1:17" hidden="1" x14ac:dyDescent="0.3">
      <c r="A604">
        <v>337</v>
      </c>
      <c r="B604" t="s">
        <v>174</v>
      </c>
      <c r="C604" t="s">
        <v>71</v>
      </c>
      <c r="D604" t="s">
        <v>175</v>
      </c>
      <c r="E604" t="s">
        <v>16</v>
      </c>
      <c r="F604" t="s">
        <v>51</v>
      </c>
      <c r="G604" s="1">
        <v>198</v>
      </c>
      <c r="H604" t="s">
        <v>26</v>
      </c>
      <c r="I604" s="2">
        <v>44691</v>
      </c>
      <c r="J604" t="s">
        <v>74</v>
      </c>
      <c r="K604" t="s">
        <v>75</v>
      </c>
      <c r="L604">
        <v>30386</v>
      </c>
      <c r="M604" t="s">
        <v>21</v>
      </c>
      <c r="N604" t="str">
        <f>VLOOKUP(A604, Data_Set_2!$A:$D,2,FALSE)</f>
        <v>psimpson9c</v>
      </c>
      <c r="O604" t="str">
        <f>VLOOKUP(A604, Data_Set_2!$A:$D,3,FALSE)</f>
        <v>Quatz</v>
      </c>
      <c r="P604" t="str">
        <f>VLOOKUP(A604, Data_Set_2!$A:$D,4,FALSE)</f>
        <v>Environmental Specialist</v>
      </c>
      <c r="Q604" t="str">
        <f>_xlfn.CONCAT(Table3[[#This Row],[first_name]], " ",Table3[[#This Row],[last_name]])</f>
        <v>Phillip Simpson</v>
      </c>
    </row>
    <row r="605" spans="1:17" hidden="1" x14ac:dyDescent="0.3">
      <c r="A605">
        <v>337</v>
      </c>
      <c r="B605" t="s">
        <v>174</v>
      </c>
      <c r="C605" t="s">
        <v>71</v>
      </c>
      <c r="D605" t="s">
        <v>175</v>
      </c>
      <c r="E605" t="s">
        <v>16</v>
      </c>
      <c r="F605" t="s">
        <v>51</v>
      </c>
      <c r="G605" s="1">
        <v>540</v>
      </c>
      <c r="H605" t="s">
        <v>26</v>
      </c>
      <c r="I605" s="2">
        <v>44716</v>
      </c>
      <c r="J605" t="s">
        <v>74</v>
      </c>
      <c r="K605" t="s">
        <v>75</v>
      </c>
      <c r="L605">
        <v>30386</v>
      </c>
      <c r="M605" t="s">
        <v>21</v>
      </c>
      <c r="N605" t="str">
        <f>VLOOKUP(A605, Data_Set_2!$A:$D,2,FALSE)</f>
        <v>psimpson9c</v>
      </c>
      <c r="O605" t="str">
        <f>VLOOKUP(A605, Data_Set_2!$A:$D,3,FALSE)</f>
        <v>Quatz</v>
      </c>
      <c r="P605" t="str">
        <f>VLOOKUP(A605, Data_Set_2!$A:$D,4,FALSE)</f>
        <v>Environmental Specialist</v>
      </c>
      <c r="Q605" t="str">
        <f>_xlfn.CONCAT(Table3[[#This Row],[first_name]], " ",Table3[[#This Row],[last_name]])</f>
        <v>Phillip Simpson</v>
      </c>
    </row>
    <row r="606" spans="1:17" hidden="1" x14ac:dyDescent="0.3">
      <c r="A606">
        <v>337</v>
      </c>
      <c r="B606" t="s">
        <v>174</v>
      </c>
      <c r="C606" t="s">
        <v>71</v>
      </c>
      <c r="D606" t="s">
        <v>175</v>
      </c>
      <c r="E606" t="s">
        <v>16</v>
      </c>
      <c r="F606" t="s">
        <v>51</v>
      </c>
      <c r="G606" s="1">
        <v>611</v>
      </c>
      <c r="H606" t="s">
        <v>26</v>
      </c>
      <c r="I606" s="2">
        <v>44781</v>
      </c>
      <c r="J606" t="s">
        <v>74</v>
      </c>
      <c r="K606" t="s">
        <v>75</v>
      </c>
      <c r="L606">
        <v>30386</v>
      </c>
      <c r="M606" t="s">
        <v>21</v>
      </c>
      <c r="N606" t="str">
        <f>VLOOKUP(A606, Data_Set_2!$A:$D,2,FALSE)</f>
        <v>psimpson9c</v>
      </c>
      <c r="O606" t="str">
        <f>VLOOKUP(A606, Data_Set_2!$A:$D,3,FALSE)</f>
        <v>Quatz</v>
      </c>
      <c r="P606" t="str">
        <f>VLOOKUP(A606, Data_Set_2!$A:$D,4,FALSE)</f>
        <v>Environmental Specialist</v>
      </c>
      <c r="Q606" t="str">
        <f>_xlfn.CONCAT(Table3[[#This Row],[first_name]], " ",Table3[[#This Row],[last_name]])</f>
        <v>Phillip Simpson</v>
      </c>
    </row>
    <row r="607" spans="1:17" hidden="1" x14ac:dyDescent="0.3">
      <c r="A607">
        <v>337</v>
      </c>
      <c r="B607" t="s">
        <v>174</v>
      </c>
      <c r="C607" t="s">
        <v>71</v>
      </c>
      <c r="D607" t="s">
        <v>175</v>
      </c>
      <c r="E607" t="s">
        <v>16</v>
      </c>
      <c r="F607" t="s">
        <v>51</v>
      </c>
      <c r="G607" s="1">
        <v>805</v>
      </c>
      <c r="H607" t="s">
        <v>26</v>
      </c>
      <c r="I607" s="2">
        <v>44905</v>
      </c>
      <c r="J607" t="s">
        <v>74</v>
      </c>
      <c r="K607" t="s">
        <v>75</v>
      </c>
      <c r="L607">
        <v>30386</v>
      </c>
      <c r="M607" t="s">
        <v>21</v>
      </c>
      <c r="N607" t="str">
        <f>VLOOKUP(A607, Data_Set_2!$A:$D,2,FALSE)</f>
        <v>psimpson9c</v>
      </c>
      <c r="O607" t="str">
        <f>VLOOKUP(A607, Data_Set_2!$A:$D,3,FALSE)</f>
        <v>Quatz</v>
      </c>
      <c r="P607" t="str">
        <f>VLOOKUP(A607, Data_Set_2!$A:$D,4,FALSE)</f>
        <v>Environmental Specialist</v>
      </c>
      <c r="Q607" t="str">
        <f>_xlfn.CONCAT(Table3[[#This Row],[first_name]], " ",Table3[[#This Row],[last_name]])</f>
        <v>Phillip Simpson</v>
      </c>
    </row>
    <row r="608" spans="1:17" hidden="1" x14ac:dyDescent="0.3">
      <c r="A608">
        <v>337</v>
      </c>
      <c r="B608" t="s">
        <v>174</v>
      </c>
      <c r="C608" t="s">
        <v>71</v>
      </c>
      <c r="D608" t="s">
        <v>175</v>
      </c>
      <c r="E608" t="s">
        <v>16</v>
      </c>
      <c r="F608" t="s">
        <v>51</v>
      </c>
      <c r="G608" s="1">
        <v>645</v>
      </c>
      <c r="H608" t="s">
        <v>26</v>
      </c>
      <c r="I608" s="2">
        <v>44924</v>
      </c>
      <c r="J608" t="s">
        <v>74</v>
      </c>
      <c r="K608" t="s">
        <v>75</v>
      </c>
      <c r="L608">
        <v>30386</v>
      </c>
      <c r="M608" t="s">
        <v>21</v>
      </c>
      <c r="N608" t="str">
        <f>VLOOKUP(A608, Data_Set_2!$A:$D,2,FALSE)</f>
        <v>psimpson9c</v>
      </c>
      <c r="O608" t="str">
        <f>VLOOKUP(A608, Data_Set_2!$A:$D,3,FALSE)</f>
        <v>Quatz</v>
      </c>
      <c r="P608" t="str">
        <f>VLOOKUP(A608, Data_Set_2!$A:$D,4,FALSE)</f>
        <v>Environmental Specialist</v>
      </c>
      <c r="Q608" t="str">
        <f>_xlfn.CONCAT(Table3[[#This Row],[first_name]], " ",Table3[[#This Row],[last_name]])</f>
        <v>Phillip Simpson</v>
      </c>
    </row>
    <row r="609" spans="1:17" hidden="1" x14ac:dyDescent="0.3">
      <c r="A609">
        <v>338</v>
      </c>
      <c r="B609" t="s">
        <v>1163</v>
      </c>
      <c r="C609" t="s">
        <v>505</v>
      </c>
      <c r="D609" t="s">
        <v>1164</v>
      </c>
      <c r="E609" t="s">
        <v>32</v>
      </c>
      <c r="F609" t="s">
        <v>33</v>
      </c>
      <c r="G609" s="1">
        <v>953</v>
      </c>
      <c r="H609" t="s">
        <v>416</v>
      </c>
      <c r="I609" s="2">
        <v>44639</v>
      </c>
      <c r="J609" t="s">
        <v>115</v>
      </c>
      <c r="K609" t="s">
        <v>1165</v>
      </c>
      <c r="L609">
        <v>33432</v>
      </c>
      <c r="M609" t="s">
        <v>21</v>
      </c>
      <c r="N609" t="str">
        <f>VLOOKUP(A609, Data_Set_2!$A:$D,2,FALSE)</f>
        <v>dmcdonald9d</v>
      </c>
      <c r="O609" t="str">
        <f>VLOOKUP(A609, Data_Set_2!$A:$D,3,FALSE)</f>
        <v>Topiczoom</v>
      </c>
      <c r="P609" t="str">
        <f>VLOOKUP(A609, Data_Set_2!$A:$D,4,FALSE)</f>
        <v>Marketing Manager</v>
      </c>
      <c r="Q609" t="str">
        <f>_xlfn.CONCAT(Table3[[#This Row],[first_name]], " ",Table3[[#This Row],[last_name]])</f>
        <v>Denise Mcdonald</v>
      </c>
    </row>
    <row r="610" spans="1:17" hidden="1" x14ac:dyDescent="0.3">
      <c r="A610">
        <v>339</v>
      </c>
      <c r="B610" t="s">
        <v>166</v>
      </c>
      <c r="C610" t="s">
        <v>167</v>
      </c>
      <c r="D610" t="s">
        <v>168</v>
      </c>
      <c r="E610" t="s">
        <v>32</v>
      </c>
      <c r="F610" t="s">
        <v>33</v>
      </c>
      <c r="G610" s="1">
        <v>669</v>
      </c>
      <c r="H610" t="s">
        <v>26</v>
      </c>
      <c r="I610" s="2">
        <v>43147</v>
      </c>
      <c r="J610" t="s">
        <v>68</v>
      </c>
      <c r="K610" t="s">
        <v>169</v>
      </c>
      <c r="L610">
        <v>79945</v>
      </c>
      <c r="M610" t="s">
        <v>21</v>
      </c>
      <c r="N610" t="str">
        <f>VLOOKUP(A610, Data_Set_2!$A:$D,2,FALSE)</f>
        <v>bmeyer9e</v>
      </c>
      <c r="O610" t="str">
        <f>VLOOKUP(A610, Data_Set_2!$A:$D,3,FALSE)</f>
        <v>Photobean</v>
      </c>
      <c r="P610" t="str">
        <f>VLOOKUP(A610, Data_Set_2!$A:$D,4,FALSE)</f>
        <v>Payment Adjustment Coordinator</v>
      </c>
      <c r="Q610" t="str">
        <f>_xlfn.CONCAT(Table3[[#This Row],[first_name]], " ",Table3[[#This Row],[last_name]])</f>
        <v>Brenda Meyer</v>
      </c>
    </row>
    <row r="611" spans="1:17" hidden="1" x14ac:dyDescent="0.3">
      <c r="A611">
        <v>339</v>
      </c>
      <c r="B611" t="s">
        <v>166</v>
      </c>
      <c r="C611" t="s">
        <v>167</v>
      </c>
      <c r="D611" t="s">
        <v>168</v>
      </c>
      <c r="E611" t="s">
        <v>32</v>
      </c>
      <c r="F611" t="s">
        <v>33</v>
      </c>
      <c r="G611" s="1">
        <v>210</v>
      </c>
      <c r="H611" t="s">
        <v>26</v>
      </c>
      <c r="I611" s="2">
        <v>43681</v>
      </c>
      <c r="J611" t="s">
        <v>68</v>
      </c>
      <c r="K611" t="s">
        <v>169</v>
      </c>
      <c r="L611">
        <v>79945</v>
      </c>
      <c r="M611" t="s">
        <v>21</v>
      </c>
      <c r="N611" t="str">
        <f>VLOOKUP(A611, Data_Set_2!$A:$D,2,FALSE)</f>
        <v>bmeyer9e</v>
      </c>
      <c r="O611" t="str">
        <f>VLOOKUP(A611, Data_Set_2!$A:$D,3,FALSE)</f>
        <v>Photobean</v>
      </c>
      <c r="P611" t="str">
        <f>VLOOKUP(A611, Data_Set_2!$A:$D,4,FALSE)</f>
        <v>Payment Adjustment Coordinator</v>
      </c>
      <c r="Q611" t="str">
        <f>_xlfn.CONCAT(Table3[[#This Row],[first_name]], " ",Table3[[#This Row],[last_name]])</f>
        <v>Brenda Meyer</v>
      </c>
    </row>
    <row r="612" spans="1:17" hidden="1" x14ac:dyDescent="0.3">
      <c r="A612">
        <v>339</v>
      </c>
      <c r="B612" t="s">
        <v>166</v>
      </c>
      <c r="C612" t="s">
        <v>167</v>
      </c>
      <c r="D612" t="s">
        <v>168</v>
      </c>
      <c r="E612" t="s">
        <v>32</v>
      </c>
      <c r="F612" t="s">
        <v>33</v>
      </c>
      <c r="G612" s="1">
        <v>863</v>
      </c>
      <c r="H612" t="s">
        <v>26</v>
      </c>
      <c r="I612" s="2">
        <v>43740</v>
      </c>
      <c r="J612" t="s">
        <v>68</v>
      </c>
      <c r="K612" t="s">
        <v>169</v>
      </c>
      <c r="L612">
        <v>79945</v>
      </c>
      <c r="M612" t="s">
        <v>21</v>
      </c>
      <c r="N612" t="str">
        <f>VLOOKUP(A612, Data_Set_2!$A:$D,2,FALSE)</f>
        <v>bmeyer9e</v>
      </c>
      <c r="O612" t="str">
        <f>VLOOKUP(A612, Data_Set_2!$A:$D,3,FALSE)</f>
        <v>Photobean</v>
      </c>
      <c r="P612" t="str">
        <f>VLOOKUP(A612, Data_Set_2!$A:$D,4,FALSE)</f>
        <v>Payment Adjustment Coordinator</v>
      </c>
      <c r="Q612" t="str">
        <f>_xlfn.CONCAT(Table3[[#This Row],[first_name]], " ",Table3[[#This Row],[last_name]])</f>
        <v>Brenda Meyer</v>
      </c>
    </row>
    <row r="613" spans="1:17" hidden="1" x14ac:dyDescent="0.3">
      <c r="A613">
        <v>339</v>
      </c>
      <c r="B613" t="s">
        <v>166</v>
      </c>
      <c r="C613" t="s">
        <v>167</v>
      </c>
      <c r="D613" t="s">
        <v>168</v>
      </c>
      <c r="E613" t="s">
        <v>32</v>
      </c>
      <c r="F613" t="s">
        <v>33</v>
      </c>
      <c r="G613" s="1">
        <v>315</v>
      </c>
      <c r="H613" t="s">
        <v>26</v>
      </c>
      <c r="I613" s="2">
        <v>43983</v>
      </c>
      <c r="J613" t="s">
        <v>68</v>
      </c>
      <c r="K613" t="s">
        <v>169</v>
      </c>
      <c r="L613">
        <v>79945</v>
      </c>
      <c r="M613" t="s">
        <v>21</v>
      </c>
      <c r="N613" t="str">
        <f>VLOOKUP(A613, Data_Set_2!$A:$D,2,FALSE)</f>
        <v>bmeyer9e</v>
      </c>
      <c r="O613" t="str">
        <f>VLOOKUP(A613, Data_Set_2!$A:$D,3,FALSE)</f>
        <v>Photobean</v>
      </c>
      <c r="P613" t="str">
        <f>VLOOKUP(A613, Data_Set_2!$A:$D,4,FALSE)</f>
        <v>Payment Adjustment Coordinator</v>
      </c>
      <c r="Q613" t="str">
        <f>_xlfn.CONCAT(Table3[[#This Row],[first_name]], " ",Table3[[#This Row],[last_name]])</f>
        <v>Brenda Meyer</v>
      </c>
    </row>
    <row r="614" spans="1:17" hidden="1" x14ac:dyDescent="0.3">
      <c r="A614">
        <v>339</v>
      </c>
      <c r="B614" t="s">
        <v>166</v>
      </c>
      <c r="C614" t="s">
        <v>167</v>
      </c>
      <c r="D614" t="s">
        <v>168</v>
      </c>
      <c r="E614" t="s">
        <v>32</v>
      </c>
      <c r="F614" t="s">
        <v>33</v>
      </c>
      <c r="G614" s="1">
        <v>124</v>
      </c>
      <c r="H614" t="s">
        <v>26</v>
      </c>
      <c r="I614" s="2">
        <v>44052</v>
      </c>
      <c r="J614" t="s">
        <v>68</v>
      </c>
      <c r="K614" t="s">
        <v>169</v>
      </c>
      <c r="L614">
        <v>79945</v>
      </c>
      <c r="M614" t="s">
        <v>21</v>
      </c>
      <c r="N614" t="str">
        <f>VLOOKUP(A614, Data_Set_2!$A:$D,2,FALSE)</f>
        <v>bmeyer9e</v>
      </c>
      <c r="O614" t="str">
        <f>VLOOKUP(A614, Data_Set_2!$A:$D,3,FALSE)</f>
        <v>Photobean</v>
      </c>
      <c r="P614" t="str">
        <f>VLOOKUP(A614, Data_Set_2!$A:$D,4,FALSE)</f>
        <v>Payment Adjustment Coordinator</v>
      </c>
      <c r="Q614" t="str">
        <f>_xlfn.CONCAT(Table3[[#This Row],[first_name]], " ",Table3[[#This Row],[last_name]])</f>
        <v>Brenda Meyer</v>
      </c>
    </row>
    <row r="615" spans="1:17" hidden="1" x14ac:dyDescent="0.3">
      <c r="A615">
        <v>339</v>
      </c>
      <c r="B615" t="s">
        <v>166</v>
      </c>
      <c r="C615" t="s">
        <v>167</v>
      </c>
      <c r="D615" t="s">
        <v>168</v>
      </c>
      <c r="E615" t="s">
        <v>32</v>
      </c>
      <c r="F615" t="s">
        <v>33</v>
      </c>
      <c r="G615" s="1">
        <v>600</v>
      </c>
      <c r="H615" t="s">
        <v>26</v>
      </c>
      <c r="I615" s="2">
        <v>44318</v>
      </c>
      <c r="J615" t="s">
        <v>68</v>
      </c>
      <c r="K615" t="s">
        <v>169</v>
      </c>
      <c r="L615">
        <v>79945</v>
      </c>
      <c r="M615" t="s">
        <v>21</v>
      </c>
      <c r="N615" t="str">
        <f>VLOOKUP(A615, Data_Set_2!$A:$D,2,FALSE)</f>
        <v>bmeyer9e</v>
      </c>
      <c r="O615" t="str">
        <f>VLOOKUP(A615, Data_Set_2!$A:$D,3,FALSE)</f>
        <v>Photobean</v>
      </c>
      <c r="P615" t="str">
        <f>VLOOKUP(A615, Data_Set_2!$A:$D,4,FALSE)</f>
        <v>Payment Adjustment Coordinator</v>
      </c>
      <c r="Q615" t="str">
        <f>_xlfn.CONCAT(Table3[[#This Row],[first_name]], " ",Table3[[#This Row],[last_name]])</f>
        <v>Brenda Meyer</v>
      </c>
    </row>
    <row r="616" spans="1:17" hidden="1" x14ac:dyDescent="0.3">
      <c r="A616">
        <v>339</v>
      </c>
      <c r="B616" t="s">
        <v>166</v>
      </c>
      <c r="C616" t="s">
        <v>167</v>
      </c>
      <c r="D616" t="s">
        <v>168</v>
      </c>
      <c r="E616" t="s">
        <v>32</v>
      </c>
      <c r="F616" t="s">
        <v>33</v>
      </c>
      <c r="G616" s="1">
        <v>654</v>
      </c>
      <c r="H616" t="s">
        <v>26</v>
      </c>
      <c r="I616" s="2">
        <v>44454</v>
      </c>
      <c r="J616" t="s">
        <v>68</v>
      </c>
      <c r="K616" t="s">
        <v>169</v>
      </c>
      <c r="L616">
        <v>79945</v>
      </c>
      <c r="M616" t="s">
        <v>21</v>
      </c>
      <c r="N616" t="str">
        <f>VLOOKUP(A616, Data_Set_2!$A:$D,2,FALSE)</f>
        <v>bmeyer9e</v>
      </c>
      <c r="O616" t="str">
        <f>VLOOKUP(A616, Data_Set_2!$A:$D,3,FALSE)</f>
        <v>Photobean</v>
      </c>
      <c r="P616" t="str">
        <f>VLOOKUP(A616, Data_Set_2!$A:$D,4,FALSE)</f>
        <v>Payment Adjustment Coordinator</v>
      </c>
      <c r="Q616" t="str">
        <f>_xlfn.CONCAT(Table3[[#This Row],[first_name]], " ",Table3[[#This Row],[last_name]])</f>
        <v>Brenda Meyer</v>
      </c>
    </row>
    <row r="617" spans="1:17" hidden="1" x14ac:dyDescent="0.3">
      <c r="A617">
        <v>339</v>
      </c>
      <c r="B617" t="s">
        <v>166</v>
      </c>
      <c r="C617" t="s">
        <v>167</v>
      </c>
      <c r="D617" t="s">
        <v>168</v>
      </c>
      <c r="E617" t="s">
        <v>32</v>
      </c>
      <c r="F617" t="s">
        <v>33</v>
      </c>
      <c r="G617" s="1">
        <v>256</v>
      </c>
      <c r="H617" t="s">
        <v>26</v>
      </c>
      <c r="I617" s="2">
        <v>44537</v>
      </c>
      <c r="J617" t="s">
        <v>68</v>
      </c>
      <c r="K617" t="s">
        <v>169</v>
      </c>
      <c r="L617">
        <v>79945</v>
      </c>
      <c r="M617" t="s">
        <v>21</v>
      </c>
      <c r="N617" t="str">
        <f>VLOOKUP(A617, Data_Set_2!$A:$D,2,FALSE)</f>
        <v>bmeyer9e</v>
      </c>
      <c r="O617" t="str">
        <f>VLOOKUP(A617, Data_Set_2!$A:$D,3,FALSE)</f>
        <v>Photobean</v>
      </c>
      <c r="P617" t="str">
        <f>VLOOKUP(A617, Data_Set_2!$A:$D,4,FALSE)</f>
        <v>Payment Adjustment Coordinator</v>
      </c>
      <c r="Q617" t="str">
        <f>_xlfn.CONCAT(Table3[[#This Row],[first_name]], " ",Table3[[#This Row],[last_name]])</f>
        <v>Brenda Meyer</v>
      </c>
    </row>
    <row r="618" spans="1:17" hidden="1" x14ac:dyDescent="0.3">
      <c r="A618">
        <v>339</v>
      </c>
      <c r="B618" t="s">
        <v>166</v>
      </c>
      <c r="C618" t="s">
        <v>167</v>
      </c>
      <c r="D618" t="s">
        <v>168</v>
      </c>
      <c r="E618" t="s">
        <v>32</v>
      </c>
      <c r="F618" t="s">
        <v>33</v>
      </c>
      <c r="G618" s="1">
        <v>249</v>
      </c>
      <c r="H618" t="s">
        <v>26</v>
      </c>
      <c r="I618" s="2">
        <v>44582</v>
      </c>
      <c r="J618" t="s">
        <v>68</v>
      </c>
      <c r="K618" t="s">
        <v>169</v>
      </c>
      <c r="L618">
        <v>79945</v>
      </c>
      <c r="M618" t="s">
        <v>21</v>
      </c>
      <c r="N618" t="str">
        <f>VLOOKUP(A618, Data_Set_2!$A:$D,2,FALSE)</f>
        <v>bmeyer9e</v>
      </c>
      <c r="O618" t="str">
        <f>VLOOKUP(A618, Data_Set_2!$A:$D,3,FALSE)</f>
        <v>Photobean</v>
      </c>
      <c r="P618" t="str">
        <f>VLOOKUP(A618, Data_Set_2!$A:$D,4,FALSE)</f>
        <v>Payment Adjustment Coordinator</v>
      </c>
      <c r="Q618" t="str">
        <f>_xlfn.CONCAT(Table3[[#This Row],[first_name]], " ",Table3[[#This Row],[last_name]])</f>
        <v>Brenda Meyer</v>
      </c>
    </row>
    <row r="619" spans="1:17" hidden="1" x14ac:dyDescent="0.3">
      <c r="A619">
        <v>340</v>
      </c>
      <c r="B619" t="s">
        <v>293</v>
      </c>
      <c r="C619" t="s">
        <v>825</v>
      </c>
      <c r="D619" t="s">
        <v>933</v>
      </c>
      <c r="E619" t="s">
        <v>16</v>
      </c>
      <c r="F619" t="s">
        <v>25</v>
      </c>
      <c r="G619" s="1">
        <v>913</v>
      </c>
      <c r="H619" t="s">
        <v>4034</v>
      </c>
      <c r="I619" s="2">
        <v>44074</v>
      </c>
      <c r="J619" t="s">
        <v>489</v>
      </c>
      <c r="K619" t="s">
        <v>667</v>
      </c>
      <c r="L619">
        <v>89519</v>
      </c>
      <c r="M619" t="s">
        <v>21</v>
      </c>
      <c r="N619" t="str">
        <f>VLOOKUP(A619, Data_Set_2!$A:$D,2,FALSE)</f>
        <v>tpeters9f</v>
      </c>
      <c r="O619" t="str">
        <f>VLOOKUP(A619, Data_Set_2!$A:$D,3,FALSE)</f>
        <v>Trudeo</v>
      </c>
      <c r="P619" t="str">
        <f>VLOOKUP(A619, Data_Set_2!$A:$D,4,FALSE)</f>
        <v>Geological Engineer</v>
      </c>
      <c r="Q619" t="str">
        <f>_xlfn.CONCAT(Table3[[#This Row],[first_name]], " ",Table3[[#This Row],[last_name]])</f>
        <v>Thomas Peters</v>
      </c>
    </row>
    <row r="620" spans="1:17" hidden="1" x14ac:dyDescent="0.3">
      <c r="A620">
        <v>349</v>
      </c>
      <c r="B620" t="s">
        <v>899</v>
      </c>
      <c r="C620" t="s">
        <v>264</v>
      </c>
      <c r="D620" t="s">
        <v>1269</v>
      </c>
      <c r="E620" t="s">
        <v>32</v>
      </c>
      <c r="F620" t="s">
        <v>33</v>
      </c>
      <c r="G620" s="1">
        <v>121</v>
      </c>
      <c r="H620" t="s">
        <v>26</v>
      </c>
      <c r="I620" s="2">
        <v>44908</v>
      </c>
      <c r="J620" t="s">
        <v>35</v>
      </c>
      <c r="K620" t="s">
        <v>438</v>
      </c>
      <c r="L620">
        <v>90071</v>
      </c>
      <c r="M620" t="s">
        <v>21</v>
      </c>
      <c r="N620" t="str">
        <f>VLOOKUP(A620, Data_Set_2!$A:$D,2,FALSE)</f>
        <v>ecarr9o</v>
      </c>
      <c r="O620" t="str">
        <f>VLOOKUP(A620, Data_Set_2!$A:$D,3,FALSE)</f>
        <v>Skivee</v>
      </c>
      <c r="P620" t="str">
        <f>VLOOKUP(A620, Data_Set_2!$A:$D,4,FALSE)</f>
        <v>Nurse Practicioner</v>
      </c>
      <c r="Q620" t="str">
        <f>_xlfn.CONCAT(Table3[[#This Row],[first_name]], " ",Table3[[#This Row],[last_name]])</f>
        <v>Elizabeth Carr</v>
      </c>
    </row>
    <row r="621" spans="1:17" hidden="1" x14ac:dyDescent="0.3">
      <c r="A621">
        <v>351</v>
      </c>
      <c r="B621" t="s">
        <v>204</v>
      </c>
      <c r="C621" t="s">
        <v>228</v>
      </c>
      <c r="D621" t="s">
        <v>807</v>
      </c>
      <c r="E621" t="s">
        <v>32</v>
      </c>
      <c r="F621" t="s">
        <v>25</v>
      </c>
      <c r="G621" s="1">
        <v>65</v>
      </c>
      <c r="H621" t="s">
        <v>416</v>
      </c>
      <c r="I621" s="2">
        <v>43783</v>
      </c>
      <c r="J621" t="s">
        <v>184</v>
      </c>
      <c r="K621" t="s">
        <v>808</v>
      </c>
      <c r="L621">
        <v>11436</v>
      </c>
      <c r="M621" t="s">
        <v>21</v>
      </c>
      <c r="N621" t="str">
        <f>VLOOKUP(A621, Data_Set_2!$A:$D,2,FALSE)</f>
        <v>vwatkins9q</v>
      </c>
      <c r="O621" t="str">
        <f>VLOOKUP(A621, Data_Set_2!$A:$D,3,FALSE)</f>
        <v>Einti</v>
      </c>
      <c r="P621" t="str">
        <f>VLOOKUP(A621, Data_Set_2!$A:$D,4,FALSE)</f>
        <v>Recruiter</v>
      </c>
      <c r="Q621" t="str">
        <f>_xlfn.CONCAT(Table3[[#This Row],[first_name]], " ",Table3[[#This Row],[last_name]])</f>
        <v>Virginia Watkins</v>
      </c>
    </row>
    <row r="622" spans="1:17" hidden="1" x14ac:dyDescent="0.3">
      <c r="A622">
        <v>351</v>
      </c>
      <c r="B622" t="s">
        <v>204</v>
      </c>
      <c r="C622" t="s">
        <v>228</v>
      </c>
      <c r="D622" t="s">
        <v>807</v>
      </c>
      <c r="E622" t="s">
        <v>32</v>
      </c>
      <c r="F622" t="s">
        <v>25</v>
      </c>
      <c r="G622" s="1">
        <v>140</v>
      </c>
      <c r="H622" t="s">
        <v>416</v>
      </c>
      <c r="I622" s="2">
        <v>43908</v>
      </c>
      <c r="J622" t="s">
        <v>184</v>
      </c>
      <c r="K622" t="s">
        <v>808</v>
      </c>
      <c r="L622">
        <v>11436</v>
      </c>
      <c r="M622" t="s">
        <v>21</v>
      </c>
      <c r="N622" t="str">
        <f>VLOOKUP(A622, Data_Set_2!$A:$D,2,FALSE)</f>
        <v>vwatkins9q</v>
      </c>
      <c r="O622" t="str">
        <f>VLOOKUP(A622, Data_Set_2!$A:$D,3,FALSE)</f>
        <v>Einti</v>
      </c>
      <c r="P622" t="str">
        <f>VLOOKUP(A622, Data_Set_2!$A:$D,4,FALSE)</f>
        <v>Recruiter</v>
      </c>
      <c r="Q622" t="str">
        <f>_xlfn.CONCAT(Table3[[#This Row],[first_name]], " ",Table3[[#This Row],[last_name]])</f>
        <v>Virginia Watkins</v>
      </c>
    </row>
    <row r="623" spans="1:17" hidden="1" x14ac:dyDescent="0.3">
      <c r="A623">
        <v>351</v>
      </c>
      <c r="B623" t="s">
        <v>204</v>
      </c>
      <c r="C623" t="s">
        <v>228</v>
      </c>
      <c r="D623" t="s">
        <v>807</v>
      </c>
      <c r="E623" t="s">
        <v>32</v>
      </c>
      <c r="F623" t="s">
        <v>25</v>
      </c>
      <c r="G623" s="1">
        <v>825</v>
      </c>
      <c r="H623" t="s">
        <v>416</v>
      </c>
      <c r="I623" s="2">
        <v>43946</v>
      </c>
      <c r="J623" t="s">
        <v>184</v>
      </c>
      <c r="K623" t="s">
        <v>808</v>
      </c>
      <c r="L623">
        <v>11436</v>
      </c>
      <c r="M623" t="s">
        <v>21</v>
      </c>
      <c r="N623" t="str">
        <f>VLOOKUP(A623, Data_Set_2!$A:$D,2,FALSE)</f>
        <v>vwatkins9q</v>
      </c>
      <c r="O623" t="str">
        <f>VLOOKUP(A623, Data_Set_2!$A:$D,3,FALSE)</f>
        <v>Einti</v>
      </c>
      <c r="P623" t="str">
        <f>VLOOKUP(A623, Data_Set_2!$A:$D,4,FALSE)</f>
        <v>Recruiter</v>
      </c>
      <c r="Q623" t="str">
        <f>_xlfn.CONCAT(Table3[[#This Row],[first_name]], " ",Table3[[#This Row],[last_name]])</f>
        <v>Virginia Watkins</v>
      </c>
    </row>
    <row r="624" spans="1:17" hidden="1" x14ac:dyDescent="0.3">
      <c r="A624">
        <v>351</v>
      </c>
      <c r="B624" t="s">
        <v>204</v>
      </c>
      <c r="C624" t="s">
        <v>228</v>
      </c>
      <c r="D624" t="s">
        <v>807</v>
      </c>
      <c r="E624" t="s">
        <v>32</v>
      </c>
      <c r="F624" t="s">
        <v>25</v>
      </c>
      <c r="G624" s="1">
        <v>963</v>
      </c>
      <c r="H624" t="s">
        <v>416</v>
      </c>
      <c r="I624" s="2">
        <v>44030</v>
      </c>
      <c r="J624" t="s">
        <v>184</v>
      </c>
      <c r="K624" t="s">
        <v>808</v>
      </c>
      <c r="L624">
        <v>11436</v>
      </c>
      <c r="M624" t="s">
        <v>21</v>
      </c>
      <c r="N624" t="str">
        <f>VLOOKUP(A624, Data_Set_2!$A:$D,2,FALSE)</f>
        <v>vwatkins9q</v>
      </c>
      <c r="O624" t="str">
        <f>VLOOKUP(A624, Data_Set_2!$A:$D,3,FALSE)</f>
        <v>Einti</v>
      </c>
      <c r="P624" t="str">
        <f>VLOOKUP(A624, Data_Set_2!$A:$D,4,FALSE)</f>
        <v>Recruiter</v>
      </c>
      <c r="Q624" t="str">
        <f>_xlfn.CONCAT(Table3[[#This Row],[first_name]], " ",Table3[[#This Row],[last_name]])</f>
        <v>Virginia Watkins</v>
      </c>
    </row>
    <row r="625" spans="1:17" hidden="1" x14ac:dyDescent="0.3">
      <c r="A625">
        <v>351</v>
      </c>
      <c r="B625" t="s">
        <v>204</v>
      </c>
      <c r="C625" t="s">
        <v>228</v>
      </c>
      <c r="D625" t="s">
        <v>807</v>
      </c>
      <c r="E625" t="s">
        <v>32</v>
      </c>
      <c r="F625" t="s">
        <v>25</v>
      </c>
      <c r="G625" s="1">
        <v>667</v>
      </c>
      <c r="H625" t="s">
        <v>416</v>
      </c>
      <c r="I625" s="2">
        <v>44153</v>
      </c>
      <c r="J625" t="s">
        <v>184</v>
      </c>
      <c r="K625" t="s">
        <v>808</v>
      </c>
      <c r="L625">
        <v>11436</v>
      </c>
      <c r="M625" t="s">
        <v>21</v>
      </c>
      <c r="N625" t="str">
        <f>VLOOKUP(A625, Data_Set_2!$A:$D,2,FALSE)</f>
        <v>vwatkins9q</v>
      </c>
      <c r="O625" t="str">
        <f>VLOOKUP(A625, Data_Set_2!$A:$D,3,FALSE)</f>
        <v>Einti</v>
      </c>
      <c r="P625" t="str">
        <f>VLOOKUP(A625, Data_Set_2!$A:$D,4,FALSE)</f>
        <v>Recruiter</v>
      </c>
      <c r="Q625" t="str">
        <f>_xlfn.CONCAT(Table3[[#This Row],[first_name]], " ",Table3[[#This Row],[last_name]])</f>
        <v>Virginia Watkins</v>
      </c>
    </row>
    <row r="626" spans="1:17" hidden="1" x14ac:dyDescent="0.3">
      <c r="A626">
        <v>351</v>
      </c>
      <c r="B626" t="s">
        <v>204</v>
      </c>
      <c r="C626" t="s">
        <v>228</v>
      </c>
      <c r="D626" t="s">
        <v>807</v>
      </c>
      <c r="E626" t="s">
        <v>32</v>
      </c>
      <c r="F626" t="s">
        <v>25</v>
      </c>
      <c r="G626" s="1">
        <v>127</v>
      </c>
      <c r="H626" t="s">
        <v>416</v>
      </c>
      <c r="I626" s="2">
        <v>44390</v>
      </c>
      <c r="J626" t="s">
        <v>184</v>
      </c>
      <c r="K626" t="s">
        <v>808</v>
      </c>
      <c r="L626">
        <v>11436</v>
      </c>
      <c r="M626" t="s">
        <v>21</v>
      </c>
      <c r="N626" t="str">
        <f>VLOOKUP(A626, Data_Set_2!$A:$D,2,FALSE)</f>
        <v>vwatkins9q</v>
      </c>
      <c r="O626" t="str">
        <f>VLOOKUP(A626, Data_Set_2!$A:$D,3,FALSE)</f>
        <v>Einti</v>
      </c>
      <c r="P626" t="str">
        <f>VLOOKUP(A626, Data_Set_2!$A:$D,4,FALSE)</f>
        <v>Recruiter</v>
      </c>
      <c r="Q626" t="str">
        <f>_xlfn.CONCAT(Table3[[#This Row],[first_name]], " ",Table3[[#This Row],[last_name]])</f>
        <v>Virginia Watkins</v>
      </c>
    </row>
    <row r="627" spans="1:17" hidden="1" x14ac:dyDescent="0.3">
      <c r="A627">
        <v>351</v>
      </c>
      <c r="B627" t="s">
        <v>204</v>
      </c>
      <c r="C627" t="s">
        <v>228</v>
      </c>
      <c r="D627" t="s">
        <v>807</v>
      </c>
      <c r="E627" t="s">
        <v>32</v>
      </c>
      <c r="F627" t="s">
        <v>25</v>
      </c>
      <c r="G627" s="1">
        <v>522</v>
      </c>
      <c r="H627" t="s">
        <v>416</v>
      </c>
      <c r="I627" s="2">
        <v>44425</v>
      </c>
      <c r="J627" t="s">
        <v>184</v>
      </c>
      <c r="K627" t="s">
        <v>808</v>
      </c>
      <c r="L627">
        <v>11436</v>
      </c>
      <c r="M627" t="s">
        <v>21</v>
      </c>
      <c r="N627" t="str">
        <f>VLOOKUP(A627, Data_Set_2!$A:$D,2,FALSE)</f>
        <v>vwatkins9q</v>
      </c>
      <c r="O627" t="str">
        <f>VLOOKUP(A627, Data_Set_2!$A:$D,3,FALSE)</f>
        <v>Einti</v>
      </c>
      <c r="P627" t="str">
        <f>VLOOKUP(A627, Data_Set_2!$A:$D,4,FALSE)</f>
        <v>Recruiter</v>
      </c>
      <c r="Q627" t="str">
        <f>_xlfn.CONCAT(Table3[[#This Row],[first_name]], " ",Table3[[#This Row],[last_name]])</f>
        <v>Virginia Watkins</v>
      </c>
    </row>
    <row r="628" spans="1:17" hidden="1" x14ac:dyDescent="0.3">
      <c r="A628">
        <v>351</v>
      </c>
      <c r="B628" t="s">
        <v>204</v>
      </c>
      <c r="C628" t="s">
        <v>228</v>
      </c>
      <c r="D628" t="s">
        <v>807</v>
      </c>
      <c r="E628" t="s">
        <v>32</v>
      </c>
      <c r="F628" t="s">
        <v>25</v>
      </c>
      <c r="G628" s="1">
        <v>851</v>
      </c>
      <c r="H628" t="s">
        <v>416</v>
      </c>
      <c r="I628" s="2">
        <v>44519</v>
      </c>
      <c r="J628" t="s">
        <v>184</v>
      </c>
      <c r="K628" t="s">
        <v>808</v>
      </c>
      <c r="L628">
        <v>11436</v>
      </c>
      <c r="M628" t="s">
        <v>21</v>
      </c>
      <c r="N628" t="str">
        <f>VLOOKUP(A628, Data_Set_2!$A:$D,2,FALSE)</f>
        <v>vwatkins9q</v>
      </c>
      <c r="O628" t="str">
        <f>VLOOKUP(A628, Data_Set_2!$A:$D,3,FALSE)</f>
        <v>Einti</v>
      </c>
      <c r="P628" t="str">
        <f>VLOOKUP(A628, Data_Set_2!$A:$D,4,FALSE)</f>
        <v>Recruiter</v>
      </c>
      <c r="Q628" t="str">
        <f>_xlfn.CONCAT(Table3[[#This Row],[first_name]], " ",Table3[[#This Row],[last_name]])</f>
        <v>Virginia Watkins</v>
      </c>
    </row>
    <row r="629" spans="1:17" hidden="1" x14ac:dyDescent="0.3">
      <c r="A629">
        <v>351</v>
      </c>
      <c r="B629" t="s">
        <v>204</v>
      </c>
      <c r="C629" t="s">
        <v>228</v>
      </c>
      <c r="D629" t="s">
        <v>807</v>
      </c>
      <c r="E629" t="s">
        <v>32</v>
      </c>
      <c r="F629" t="s">
        <v>25</v>
      </c>
      <c r="G629" s="1">
        <v>261</v>
      </c>
      <c r="H629" t="s">
        <v>416</v>
      </c>
      <c r="I629" s="2">
        <v>44788</v>
      </c>
      <c r="J629" t="s">
        <v>184</v>
      </c>
      <c r="K629" t="s">
        <v>808</v>
      </c>
      <c r="L629">
        <v>11436</v>
      </c>
      <c r="M629" t="s">
        <v>21</v>
      </c>
      <c r="N629" t="str">
        <f>VLOOKUP(A629, Data_Set_2!$A:$D,2,FALSE)</f>
        <v>vwatkins9q</v>
      </c>
      <c r="O629" t="str">
        <f>VLOOKUP(A629, Data_Set_2!$A:$D,3,FALSE)</f>
        <v>Einti</v>
      </c>
      <c r="P629" t="str">
        <f>VLOOKUP(A629, Data_Set_2!$A:$D,4,FALSE)</f>
        <v>Recruiter</v>
      </c>
      <c r="Q629" t="str">
        <f>_xlfn.CONCAT(Table3[[#This Row],[first_name]], " ",Table3[[#This Row],[last_name]])</f>
        <v>Virginia Watkins</v>
      </c>
    </row>
    <row r="630" spans="1:17" hidden="1" x14ac:dyDescent="0.3">
      <c r="A630">
        <v>354</v>
      </c>
      <c r="B630" t="s">
        <v>85</v>
      </c>
      <c r="C630" t="s">
        <v>127</v>
      </c>
      <c r="D630" t="s">
        <v>128</v>
      </c>
      <c r="E630" t="s">
        <v>32</v>
      </c>
      <c r="F630" t="s">
        <v>33</v>
      </c>
      <c r="G630" s="1">
        <v>330</v>
      </c>
      <c r="H630" t="s">
        <v>18</v>
      </c>
      <c r="I630" s="2">
        <v>43134</v>
      </c>
      <c r="J630" t="s">
        <v>35</v>
      </c>
      <c r="K630" t="s">
        <v>129</v>
      </c>
      <c r="L630">
        <v>93704</v>
      </c>
      <c r="M630" t="s">
        <v>21</v>
      </c>
      <c r="N630" t="str">
        <f>VLOOKUP(A630, Data_Set_2!$A:$D,2,FALSE)</f>
        <v>jray9t</v>
      </c>
      <c r="O630" t="str">
        <f>VLOOKUP(A630, Data_Set_2!$A:$D,3,FALSE)</f>
        <v>Shuffletag</v>
      </c>
      <c r="P630" t="str">
        <f>VLOOKUP(A630, Data_Set_2!$A:$D,4,FALSE)</f>
        <v>VP Accounting</v>
      </c>
      <c r="Q630" t="str">
        <f>_xlfn.CONCAT(Table3[[#This Row],[first_name]], " ",Table3[[#This Row],[last_name]])</f>
        <v>Janice Ray</v>
      </c>
    </row>
    <row r="631" spans="1:17" hidden="1" x14ac:dyDescent="0.3">
      <c r="A631">
        <v>355</v>
      </c>
      <c r="B631" t="s">
        <v>403</v>
      </c>
      <c r="C631" t="s">
        <v>293</v>
      </c>
      <c r="D631" t="s">
        <v>1015</v>
      </c>
      <c r="E631" t="s">
        <v>32</v>
      </c>
      <c r="F631" t="s">
        <v>33</v>
      </c>
      <c r="G631" s="1">
        <v>796</v>
      </c>
      <c r="H631" t="s">
        <v>34</v>
      </c>
      <c r="I631" s="2">
        <v>44262</v>
      </c>
      <c r="J631" t="s">
        <v>152</v>
      </c>
      <c r="K631" t="s">
        <v>281</v>
      </c>
      <c r="L631">
        <v>44485</v>
      </c>
      <c r="M631" t="s">
        <v>21</v>
      </c>
      <c r="N631" t="str">
        <f>VLOOKUP(A631, Data_Set_2!$A:$D,2,FALSE)</f>
        <v>jthomas9u</v>
      </c>
      <c r="O631" t="str">
        <f>VLOOKUP(A631, Data_Set_2!$A:$D,3,FALSE)</f>
        <v>Flipopia</v>
      </c>
      <c r="P631" t="str">
        <f>VLOOKUP(A631, Data_Set_2!$A:$D,4,FALSE)</f>
        <v>Librarian</v>
      </c>
      <c r="Q631" t="str">
        <f>_xlfn.CONCAT(Table3[[#This Row],[first_name]], " ",Table3[[#This Row],[last_name]])</f>
        <v>Jennifer Thomas</v>
      </c>
    </row>
    <row r="632" spans="1:17" hidden="1" x14ac:dyDescent="0.3">
      <c r="A632">
        <v>356</v>
      </c>
      <c r="B632" t="s">
        <v>803</v>
      </c>
      <c r="C632" t="s">
        <v>796</v>
      </c>
      <c r="D632" t="s">
        <v>804</v>
      </c>
      <c r="E632" t="s">
        <v>32</v>
      </c>
      <c r="F632" t="s">
        <v>51</v>
      </c>
      <c r="G632" s="1">
        <v>771</v>
      </c>
      <c r="H632" t="s">
        <v>26</v>
      </c>
      <c r="I632" s="2">
        <v>43777</v>
      </c>
      <c r="J632" t="s">
        <v>230</v>
      </c>
      <c r="K632" t="s">
        <v>260</v>
      </c>
      <c r="L632">
        <v>28289</v>
      </c>
      <c r="M632" t="s">
        <v>21</v>
      </c>
      <c r="N632" t="str">
        <f>VLOOKUP(A632, Data_Set_2!$A:$D,2,FALSE)</f>
        <v>dday9v</v>
      </c>
      <c r="O632" t="str">
        <f>VLOOKUP(A632, Data_Set_2!$A:$D,3,FALSE)</f>
        <v>Livetube</v>
      </c>
      <c r="P632" t="str">
        <f>VLOOKUP(A632, Data_Set_2!$A:$D,4,FALSE)</f>
        <v>VP Sales</v>
      </c>
      <c r="Q632" t="str">
        <f>_xlfn.CONCAT(Table3[[#This Row],[first_name]], " ",Table3[[#This Row],[last_name]])</f>
        <v>Diana Day</v>
      </c>
    </row>
    <row r="633" spans="1:17" hidden="1" x14ac:dyDescent="0.3">
      <c r="A633">
        <v>357</v>
      </c>
      <c r="B633" t="s">
        <v>403</v>
      </c>
      <c r="C633" t="s">
        <v>544</v>
      </c>
      <c r="D633" t="s">
        <v>691</v>
      </c>
      <c r="E633" t="s">
        <v>32</v>
      </c>
      <c r="F633" t="s">
        <v>25</v>
      </c>
      <c r="G633" s="1">
        <v>928</v>
      </c>
      <c r="H633" t="s">
        <v>26</v>
      </c>
      <c r="I633" s="2">
        <v>43619</v>
      </c>
      <c r="J633" t="s">
        <v>46</v>
      </c>
      <c r="K633" t="s">
        <v>692</v>
      </c>
      <c r="L633">
        <v>6922</v>
      </c>
      <c r="M633" t="s">
        <v>21</v>
      </c>
      <c r="N633" t="str">
        <f>VLOOKUP(A633, Data_Set_2!$A:$D,2,FALSE)</f>
        <v>jrobinson9w</v>
      </c>
      <c r="O633" t="str">
        <f>VLOOKUP(A633, Data_Set_2!$A:$D,3,FALSE)</f>
        <v>Brightbean</v>
      </c>
      <c r="P633" t="str">
        <f>VLOOKUP(A633, Data_Set_2!$A:$D,4,FALSE)</f>
        <v>Desktop Support Technician</v>
      </c>
      <c r="Q633" t="str">
        <f>_xlfn.CONCAT(Table3[[#This Row],[first_name]], " ",Table3[[#This Row],[last_name]])</f>
        <v>Jennifer Robinson</v>
      </c>
    </row>
    <row r="634" spans="1:17" x14ac:dyDescent="0.3">
      <c r="A634">
        <v>358</v>
      </c>
      <c r="B634" t="s">
        <v>621</v>
      </c>
      <c r="C634" t="s">
        <v>671</v>
      </c>
      <c r="D634" t="s">
        <v>1151</v>
      </c>
      <c r="E634" t="s">
        <v>16</v>
      </c>
      <c r="F634" t="s">
        <v>33</v>
      </c>
      <c r="G634" s="1">
        <v>113</v>
      </c>
      <c r="H634" t="s">
        <v>95</v>
      </c>
      <c r="I634" s="2">
        <v>44597</v>
      </c>
      <c r="J634" t="s">
        <v>68</v>
      </c>
      <c r="K634" t="s">
        <v>234</v>
      </c>
      <c r="L634">
        <v>77065</v>
      </c>
      <c r="M634" t="s">
        <v>21</v>
      </c>
      <c r="N634" t="str">
        <f>VLOOKUP(A634, Data_Set_2!$A:$D,2,FALSE)</f>
        <v>fellis9x</v>
      </c>
      <c r="O634" t="str">
        <f>VLOOKUP(A634, Data_Set_2!$A:$D,3,FALSE)</f>
        <v>Aimbo</v>
      </c>
      <c r="P634" t="str">
        <f>VLOOKUP(A634, Data_Set_2!$A:$D,4,FALSE)</f>
        <v>Technical Writer</v>
      </c>
      <c r="Q634" t="str">
        <f>_xlfn.CONCAT(Table3[[#This Row],[first_name]], " ",Table3[[#This Row],[last_name]])</f>
        <v>Frank Ellis</v>
      </c>
    </row>
    <row r="635" spans="1:17" hidden="1" x14ac:dyDescent="0.3">
      <c r="A635">
        <v>360</v>
      </c>
      <c r="B635" t="s">
        <v>409</v>
      </c>
      <c r="C635" t="s">
        <v>86</v>
      </c>
      <c r="D635" t="s">
        <v>1058</v>
      </c>
      <c r="E635" t="s">
        <v>16</v>
      </c>
      <c r="F635" t="s">
        <v>25</v>
      </c>
      <c r="G635" s="1">
        <v>665</v>
      </c>
      <c r="H635" t="s">
        <v>26</v>
      </c>
      <c r="I635" s="2">
        <v>44338</v>
      </c>
      <c r="J635" t="s">
        <v>287</v>
      </c>
      <c r="K635" t="s">
        <v>1059</v>
      </c>
      <c r="L635">
        <v>85246</v>
      </c>
      <c r="M635" t="s">
        <v>21</v>
      </c>
      <c r="N635" t="str">
        <f>VLOOKUP(A635, Data_Set_2!$A:$D,2,FALSE)</f>
        <v>evasquez9z</v>
      </c>
      <c r="O635" t="str">
        <f>VLOOKUP(A635, Data_Set_2!$A:$D,3,FALSE)</f>
        <v>Rhybox</v>
      </c>
      <c r="P635" t="str">
        <f>VLOOKUP(A635, Data_Set_2!$A:$D,4,FALSE)</f>
        <v>Compensation Analyst</v>
      </c>
      <c r="Q635" t="str">
        <f>_xlfn.CONCAT(Table3[[#This Row],[first_name]], " ",Table3[[#This Row],[last_name]])</f>
        <v>Edward Vasquez</v>
      </c>
    </row>
    <row r="636" spans="1:17" hidden="1" x14ac:dyDescent="0.3">
      <c r="A636">
        <v>361</v>
      </c>
      <c r="B636" t="s">
        <v>588</v>
      </c>
      <c r="C636" t="s">
        <v>511</v>
      </c>
      <c r="D636" t="s">
        <v>589</v>
      </c>
      <c r="E636" t="s">
        <v>16</v>
      </c>
      <c r="F636" t="s">
        <v>33</v>
      </c>
      <c r="G636" s="1">
        <v>822</v>
      </c>
      <c r="H636" t="s">
        <v>26</v>
      </c>
      <c r="I636" s="2">
        <v>43491</v>
      </c>
      <c r="J636" t="s">
        <v>230</v>
      </c>
      <c r="K636" t="s">
        <v>372</v>
      </c>
      <c r="L636">
        <v>27455</v>
      </c>
      <c r="M636" t="s">
        <v>21</v>
      </c>
      <c r="N636" t="str">
        <f>VLOOKUP(A636, Data_Set_2!$A:$D,2,FALSE)</f>
        <v>blonga0</v>
      </c>
      <c r="O636" t="str">
        <f>VLOOKUP(A636, Data_Set_2!$A:$D,3,FALSE)</f>
        <v>Fliptune</v>
      </c>
      <c r="P636" t="str">
        <f>VLOOKUP(A636, Data_Set_2!$A:$D,4,FALSE)</f>
        <v>Physical Therapy Assistant</v>
      </c>
      <c r="Q636" t="str">
        <f>_xlfn.CONCAT(Table3[[#This Row],[first_name]], " ",Table3[[#This Row],[last_name]])</f>
        <v>Brian Long</v>
      </c>
    </row>
    <row r="637" spans="1:17" hidden="1" x14ac:dyDescent="0.3">
      <c r="A637">
        <v>362</v>
      </c>
      <c r="B637" t="s">
        <v>621</v>
      </c>
      <c r="C637" t="s">
        <v>207</v>
      </c>
      <c r="D637" t="s">
        <v>984</v>
      </c>
      <c r="E637" t="s">
        <v>16</v>
      </c>
      <c r="F637" t="s">
        <v>33</v>
      </c>
      <c r="G637" s="1">
        <v>733</v>
      </c>
      <c r="H637" t="s">
        <v>26</v>
      </c>
      <c r="I637" s="2">
        <v>44171</v>
      </c>
      <c r="J637" t="s">
        <v>35</v>
      </c>
      <c r="K637" t="s">
        <v>438</v>
      </c>
      <c r="L637">
        <v>90025</v>
      </c>
      <c r="M637" t="s">
        <v>21</v>
      </c>
      <c r="N637" t="str">
        <f>VLOOKUP(A637, Data_Set_2!$A:$D,2,FALSE)</f>
        <v>fmartina1</v>
      </c>
      <c r="O637" t="str">
        <f>VLOOKUP(A637, Data_Set_2!$A:$D,3,FALSE)</f>
        <v>Chatterbridge</v>
      </c>
      <c r="P637" t="str">
        <f>VLOOKUP(A637, Data_Set_2!$A:$D,4,FALSE)</f>
        <v>Civil Engineer</v>
      </c>
      <c r="Q637" t="str">
        <f>_xlfn.CONCAT(Table3[[#This Row],[first_name]], " ",Table3[[#This Row],[last_name]])</f>
        <v>Frank Martin</v>
      </c>
    </row>
    <row r="638" spans="1:17" x14ac:dyDescent="0.3">
      <c r="A638">
        <v>371</v>
      </c>
      <c r="B638" t="s">
        <v>346</v>
      </c>
      <c r="C638" t="s">
        <v>433</v>
      </c>
      <c r="D638" t="s">
        <v>437</v>
      </c>
      <c r="E638" t="s">
        <v>32</v>
      </c>
      <c r="F638" t="s">
        <v>33</v>
      </c>
      <c r="G638" s="1">
        <v>731</v>
      </c>
      <c r="H638" t="s">
        <v>95</v>
      </c>
      <c r="I638" s="2">
        <v>43310</v>
      </c>
      <c r="J638" t="s">
        <v>35</v>
      </c>
      <c r="K638" t="s">
        <v>438</v>
      </c>
      <c r="L638">
        <v>90015</v>
      </c>
      <c r="M638" t="s">
        <v>21</v>
      </c>
      <c r="N638" t="str">
        <f>VLOOKUP(A638, Data_Set_2!$A:$D,2,FALSE)</f>
        <v>jcunninghamaa</v>
      </c>
      <c r="O638" t="str">
        <f>VLOOKUP(A638, Data_Set_2!$A:$D,3,FALSE)</f>
        <v>Twimm</v>
      </c>
      <c r="P638" t="str">
        <f>VLOOKUP(A638, Data_Set_2!$A:$D,4,FALSE)</f>
        <v>Help Desk Operator</v>
      </c>
      <c r="Q638" t="str">
        <f>_xlfn.CONCAT(Table3[[#This Row],[first_name]], " ",Table3[[#This Row],[last_name]])</f>
        <v>Julie Cunningham</v>
      </c>
    </row>
    <row r="639" spans="1:17" hidden="1" x14ac:dyDescent="0.3">
      <c r="A639">
        <v>380</v>
      </c>
      <c r="B639" t="s">
        <v>248</v>
      </c>
      <c r="C639" t="s">
        <v>249</v>
      </c>
      <c r="D639" t="s">
        <v>250</v>
      </c>
      <c r="E639" t="s">
        <v>16</v>
      </c>
      <c r="F639" t="s">
        <v>25</v>
      </c>
      <c r="G639" s="1">
        <v>486</v>
      </c>
      <c r="H639" t="s">
        <v>4035</v>
      </c>
      <c r="I639" s="2">
        <v>43193</v>
      </c>
      <c r="J639" t="s">
        <v>152</v>
      </c>
      <c r="K639" t="s">
        <v>251</v>
      </c>
      <c r="L639">
        <v>44310</v>
      </c>
      <c r="M639" t="s">
        <v>21</v>
      </c>
      <c r="N639" t="str">
        <f>VLOOKUP(A639, Data_Set_2!$A:$D,2,FALSE)</f>
        <v>bevansaj</v>
      </c>
      <c r="O639" t="str">
        <f>VLOOKUP(A639, Data_Set_2!$A:$D,3,FALSE)</f>
        <v>Edgepulse</v>
      </c>
      <c r="P639" t="str">
        <f>VLOOKUP(A639, Data_Set_2!$A:$D,4,FALSE)</f>
        <v>Staff Scientist</v>
      </c>
      <c r="Q639" t="str">
        <f>_xlfn.CONCAT(Table3[[#This Row],[first_name]], " ",Table3[[#This Row],[last_name]])</f>
        <v>Benjamin Evans</v>
      </c>
    </row>
    <row r="640" spans="1:17" hidden="1" x14ac:dyDescent="0.3">
      <c r="A640">
        <v>380</v>
      </c>
      <c r="B640" t="s">
        <v>248</v>
      </c>
      <c r="C640" t="s">
        <v>249</v>
      </c>
      <c r="D640" t="s">
        <v>250</v>
      </c>
      <c r="E640" t="s">
        <v>16</v>
      </c>
      <c r="F640" t="s">
        <v>25</v>
      </c>
      <c r="G640" s="1">
        <v>188</v>
      </c>
      <c r="H640" t="s">
        <v>4035</v>
      </c>
      <c r="I640" s="2">
        <v>43221</v>
      </c>
      <c r="J640" t="s">
        <v>152</v>
      </c>
      <c r="K640" t="s">
        <v>251</v>
      </c>
      <c r="L640">
        <v>44310</v>
      </c>
      <c r="M640" t="s">
        <v>21</v>
      </c>
      <c r="N640" t="str">
        <f>VLOOKUP(A640, Data_Set_2!$A:$D,2,FALSE)</f>
        <v>bevansaj</v>
      </c>
      <c r="O640" t="str">
        <f>VLOOKUP(A640, Data_Set_2!$A:$D,3,FALSE)</f>
        <v>Edgepulse</v>
      </c>
      <c r="P640" t="str">
        <f>VLOOKUP(A640, Data_Set_2!$A:$D,4,FALSE)</f>
        <v>Staff Scientist</v>
      </c>
      <c r="Q640" t="str">
        <f>_xlfn.CONCAT(Table3[[#This Row],[first_name]], " ",Table3[[#This Row],[last_name]])</f>
        <v>Benjamin Evans</v>
      </c>
    </row>
    <row r="641" spans="1:17" hidden="1" x14ac:dyDescent="0.3">
      <c r="A641">
        <v>380</v>
      </c>
      <c r="B641" t="s">
        <v>248</v>
      </c>
      <c r="C641" t="s">
        <v>249</v>
      </c>
      <c r="D641" t="s">
        <v>250</v>
      </c>
      <c r="E641" t="s">
        <v>16</v>
      </c>
      <c r="F641" t="s">
        <v>25</v>
      </c>
      <c r="G641" s="1">
        <v>667</v>
      </c>
      <c r="H641" t="s">
        <v>4035</v>
      </c>
      <c r="I641" s="2">
        <v>43245</v>
      </c>
      <c r="J641" t="s">
        <v>152</v>
      </c>
      <c r="K641" t="s">
        <v>251</v>
      </c>
      <c r="L641">
        <v>44310</v>
      </c>
      <c r="M641" t="s">
        <v>21</v>
      </c>
      <c r="N641" t="str">
        <f>VLOOKUP(A641, Data_Set_2!$A:$D,2,FALSE)</f>
        <v>bevansaj</v>
      </c>
      <c r="O641" t="str">
        <f>VLOOKUP(A641, Data_Set_2!$A:$D,3,FALSE)</f>
        <v>Edgepulse</v>
      </c>
      <c r="P641" t="str">
        <f>VLOOKUP(A641, Data_Set_2!$A:$D,4,FALSE)</f>
        <v>Staff Scientist</v>
      </c>
      <c r="Q641" t="str">
        <f>_xlfn.CONCAT(Table3[[#This Row],[first_name]], " ",Table3[[#This Row],[last_name]])</f>
        <v>Benjamin Evans</v>
      </c>
    </row>
    <row r="642" spans="1:17" hidden="1" x14ac:dyDescent="0.3">
      <c r="A642">
        <v>380</v>
      </c>
      <c r="B642" t="s">
        <v>248</v>
      </c>
      <c r="C642" t="s">
        <v>249</v>
      </c>
      <c r="D642" t="s">
        <v>250</v>
      </c>
      <c r="E642" t="s">
        <v>16</v>
      </c>
      <c r="F642" t="s">
        <v>25</v>
      </c>
      <c r="G642" s="1">
        <v>726</v>
      </c>
      <c r="H642" t="s">
        <v>4035</v>
      </c>
      <c r="I642" s="2">
        <v>43317</v>
      </c>
      <c r="J642" t="s">
        <v>152</v>
      </c>
      <c r="K642" t="s">
        <v>251</v>
      </c>
      <c r="L642">
        <v>44310</v>
      </c>
      <c r="M642" t="s">
        <v>21</v>
      </c>
      <c r="N642" t="str">
        <f>VLOOKUP(A642, Data_Set_2!$A:$D,2,FALSE)</f>
        <v>bevansaj</v>
      </c>
      <c r="O642" t="str">
        <f>VLOOKUP(A642, Data_Set_2!$A:$D,3,FALSE)</f>
        <v>Edgepulse</v>
      </c>
      <c r="P642" t="str">
        <f>VLOOKUP(A642, Data_Set_2!$A:$D,4,FALSE)</f>
        <v>Staff Scientist</v>
      </c>
      <c r="Q642" t="str">
        <f>_xlfn.CONCAT(Table3[[#This Row],[first_name]], " ",Table3[[#This Row],[last_name]])</f>
        <v>Benjamin Evans</v>
      </c>
    </row>
    <row r="643" spans="1:17" hidden="1" x14ac:dyDescent="0.3">
      <c r="A643">
        <v>380</v>
      </c>
      <c r="B643" t="s">
        <v>248</v>
      </c>
      <c r="C643" t="s">
        <v>249</v>
      </c>
      <c r="D643" t="s">
        <v>250</v>
      </c>
      <c r="E643" t="s">
        <v>16</v>
      </c>
      <c r="F643" t="s">
        <v>25</v>
      </c>
      <c r="G643" s="1">
        <v>624</v>
      </c>
      <c r="H643" t="s">
        <v>4035</v>
      </c>
      <c r="I643" s="2">
        <v>43328</v>
      </c>
      <c r="J643" t="s">
        <v>152</v>
      </c>
      <c r="K643" t="s">
        <v>251</v>
      </c>
      <c r="L643">
        <v>44310</v>
      </c>
      <c r="M643" t="s">
        <v>21</v>
      </c>
      <c r="N643" t="str">
        <f>VLOOKUP(A643, Data_Set_2!$A:$D,2,FALSE)</f>
        <v>bevansaj</v>
      </c>
      <c r="O643" t="str">
        <f>VLOOKUP(A643, Data_Set_2!$A:$D,3,FALSE)</f>
        <v>Edgepulse</v>
      </c>
      <c r="P643" t="str">
        <f>VLOOKUP(A643, Data_Set_2!$A:$D,4,FALSE)</f>
        <v>Staff Scientist</v>
      </c>
      <c r="Q643" t="str">
        <f>_xlfn.CONCAT(Table3[[#This Row],[first_name]], " ",Table3[[#This Row],[last_name]])</f>
        <v>Benjamin Evans</v>
      </c>
    </row>
    <row r="644" spans="1:17" hidden="1" x14ac:dyDescent="0.3">
      <c r="A644">
        <v>380</v>
      </c>
      <c r="B644" t="s">
        <v>248</v>
      </c>
      <c r="C644" t="s">
        <v>249</v>
      </c>
      <c r="D644" t="s">
        <v>250</v>
      </c>
      <c r="E644" t="s">
        <v>16</v>
      </c>
      <c r="F644" t="s">
        <v>25</v>
      </c>
      <c r="G644" s="1">
        <v>239</v>
      </c>
      <c r="H644" t="s">
        <v>4035</v>
      </c>
      <c r="I644" s="2">
        <v>43435</v>
      </c>
      <c r="J644" t="s">
        <v>152</v>
      </c>
      <c r="K644" t="s">
        <v>251</v>
      </c>
      <c r="L644">
        <v>44310</v>
      </c>
      <c r="M644" t="s">
        <v>21</v>
      </c>
      <c r="N644" t="str">
        <f>VLOOKUP(A644, Data_Set_2!$A:$D,2,FALSE)</f>
        <v>bevansaj</v>
      </c>
      <c r="O644" t="str">
        <f>VLOOKUP(A644, Data_Set_2!$A:$D,3,FALSE)</f>
        <v>Edgepulse</v>
      </c>
      <c r="P644" t="str">
        <f>VLOOKUP(A644, Data_Set_2!$A:$D,4,FALSE)</f>
        <v>Staff Scientist</v>
      </c>
      <c r="Q644" t="str">
        <f>_xlfn.CONCAT(Table3[[#This Row],[first_name]], " ",Table3[[#This Row],[last_name]])</f>
        <v>Benjamin Evans</v>
      </c>
    </row>
    <row r="645" spans="1:17" hidden="1" x14ac:dyDescent="0.3">
      <c r="A645">
        <v>380</v>
      </c>
      <c r="B645" t="s">
        <v>248</v>
      </c>
      <c r="C645" t="s">
        <v>249</v>
      </c>
      <c r="D645" t="s">
        <v>250</v>
      </c>
      <c r="E645" t="s">
        <v>16</v>
      </c>
      <c r="F645" t="s">
        <v>25</v>
      </c>
      <c r="G645" s="1">
        <v>779</v>
      </c>
      <c r="H645" t="s">
        <v>4035</v>
      </c>
      <c r="I645" s="2">
        <v>43515</v>
      </c>
      <c r="J645" t="s">
        <v>152</v>
      </c>
      <c r="K645" t="s">
        <v>251</v>
      </c>
      <c r="L645">
        <v>44310</v>
      </c>
      <c r="M645" t="s">
        <v>21</v>
      </c>
      <c r="N645" t="str">
        <f>VLOOKUP(A645, Data_Set_2!$A:$D,2,FALSE)</f>
        <v>bevansaj</v>
      </c>
      <c r="O645" t="str">
        <f>VLOOKUP(A645, Data_Set_2!$A:$D,3,FALSE)</f>
        <v>Edgepulse</v>
      </c>
      <c r="P645" t="str">
        <f>VLOOKUP(A645, Data_Set_2!$A:$D,4,FALSE)</f>
        <v>Staff Scientist</v>
      </c>
      <c r="Q645" t="str">
        <f>_xlfn.CONCAT(Table3[[#This Row],[first_name]], " ",Table3[[#This Row],[last_name]])</f>
        <v>Benjamin Evans</v>
      </c>
    </row>
    <row r="646" spans="1:17" hidden="1" x14ac:dyDescent="0.3">
      <c r="A646">
        <v>380</v>
      </c>
      <c r="B646" t="s">
        <v>248</v>
      </c>
      <c r="C646" t="s">
        <v>249</v>
      </c>
      <c r="D646" t="s">
        <v>250</v>
      </c>
      <c r="E646" t="s">
        <v>16</v>
      </c>
      <c r="F646" t="s">
        <v>25</v>
      </c>
      <c r="G646" s="1">
        <v>522</v>
      </c>
      <c r="H646" t="s">
        <v>4035</v>
      </c>
      <c r="I646" s="2">
        <v>43569</v>
      </c>
      <c r="J646" t="s">
        <v>152</v>
      </c>
      <c r="K646" t="s">
        <v>251</v>
      </c>
      <c r="L646">
        <v>44310</v>
      </c>
      <c r="M646" t="s">
        <v>21</v>
      </c>
      <c r="N646" t="str">
        <f>VLOOKUP(A646, Data_Set_2!$A:$D,2,FALSE)</f>
        <v>bevansaj</v>
      </c>
      <c r="O646" t="str">
        <f>VLOOKUP(A646, Data_Set_2!$A:$D,3,FALSE)</f>
        <v>Edgepulse</v>
      </c>
      <c r="P646" t="str">
        <f>VLOOKUP(A646, Data_Set_2!$A:$D,4,FALSE)</f>
        <v>Staff Scientist</v>
      </c>
      <c r="Q646" t="str">
        <f>_xlfn.CONCAT(Table3[[#This Row],[first_name]], " ",Table3[[#This Row],[last_name]])</f>
        <v>Benjamin Evans</v>
      </c>
    </row>
    <row r="647" spans="1:17" hidden="1" x14ac:dyDescent="0.3">
      <c r="A647">
        <v>380</v>
      </c>
      <c r="B647" t="s">
        <v>248</v>
      </c>
      <c r="C647" t="s">
        <v>249</v>
      </c>
      <c r="D647" t="s">
        <v>250</v>
      </c>
      <c r="E647" t="s">
        <v>16</v>
      </c>
      <c r="F647" t="s">
        <v>25</v>
      </c>
      <c r="G647" s="1">
        <v>710</v>
      </c>
      <c r="H647" t="s">
        <v>4035</v>
      </c>
      <c r="I647" s="2">
        <v>43729</v>
      </c>
      <c r="J647" t="s">
        <v>152</v>
      </c>
      <c r="K647" t="s">
        <v>251</v>
      </c>
      <c r="L647">
        <v>44310</v>
      </c>
      <c r="M647" t="s">
        <v>21</v>
      </c>
      <c r="N647" t="str">
        <f>VLOOKUP(A647, Data_Set_2!$A:$D,2,FALSE)</f>
        <v>bevansaj</v>
      </c>
      <c r="O647" t="str">
        <f>VLOOKUP(A647, Data_Set_2!$A:$D,3,FALSE)</f>
        <v>Edgepulse</v>
      </c>
      <c r="P647" t="str">
        <f>VLOOKUP(A647, Data_Set_2!$A:$D,4,FALSE)</f>
        <v>Staff Scientist</v>
      </c>
      <c r="Q647" t="str">
        <f>_xlfn.CONCAT(Table3[[#This Row],[first_name]], " ",Table3[[#This Row],[last_name]])</f>
        <v>Benjamin Evans</v>
      </c>
    </row>
    <row r="648" spans="1:17" hidden="1" x14ac:dyDescent="0.3">
      <c r="A648">
        <v>380</v>
      </c>
      <c r="B648" t="s">
        <v>248</v>
      </c>
      <c r="C648" t="s">
        <v>249</v>
      </c>
      <c r="D648" t="s">
        <v>250</v>
      </c>
      <c r="E648" t="s">
        <v>16</v>
      </c>
      <c r="F648" t="s">
        <v>25</v>
      </c>
      <c r="G648" s="1">
        <v>773</v>
      </c>
      <c r="H648" t="s">
        <v>4035</v>
      </c>
      <c r="I648" s="2">
        <v>43755</v>
      </c>
      <c r="J648" t="s">
        <v>152</v>
      </c>
      <c r="K648" t="s">
        <v>251</v>
      </c>
      <c r="L648">
        <v>44310</v>
      </c>
      <c r="M648" t="s">
        <v>21</v>
      </c>
      <c r="N648" t="str">
        <f>VLOOKUP(A648, Data_Set_2!$A:$D,2,FALSE)</f>
        <v>bevansaj</v>
      </c>
      <c r="O648" t="str">
        <f>VLOOKUP(A648, Data_Set_2!$A:$D,3,FALSE)</f>
        <v>Edgepulse</v>
      </c>
      <c r="P648" t="str">
        <f>VLOOKUP(A648, Data_Set_2!$A:$D,4,FALSE)</f>
        <v>Staff Scientist</v>
      </c>
      <c r="Q648" t="str">
        <f>_xlfn.CONCAT(Table3[[#This Row],[first_name]], " ",Table3[[#This Row],[last_name]])</f>
        <v>Benjamin Evans</v>
      </c>
    </row>
    <row r="649" spans="1:17" hidden="1" x14ac:dyDescent="0.3">
      <c r="A649">
        <v>380</v>
      </c>
      <c r="B649" t="s">
        <v>248</v>
      </c>
      <c r="C649" t="s">
        <v>249</v>
      </c>
      <c r="D649" t="s">
        <v>250</v>
      </c>
      <c r="E649" t="s">
        <v>16</v>
      </c>
      <c r="F649" t="s">
        <v>25</v>
      </c>
      <c r="G649" s="1">
        <v>500</v>
      </c>
      <c r="H649" t="s">
        <v>4035</v>
      </c>
      <c r="I649" s="2">
        <v>44371</v>
      </c>
      <c r="J649" t="s">
        <v>152</v>
      </c>
      <c r="K649" t="s">
        <v>251</v>
      </c>
      <c r="L649">
        <v>44310</v>
      </c>
      <c r="M649" t="s">
        <v>21</v>
      </c>
      <c r="N649" t="str">
        <f>VLOOKUP(A649, Data_Set_2!$A:$D,2,FALSE)</f>
        <v>bevansaj</v>
      </c>
      <c r="O649" t="str">
        <f>VLOOKUP(A649, Data_Set_2!$A:$D,3,FALSE)</f>
        <v>Edgepulse</v>
      </c>
      <c r="P649" t="str">
        <f>VLOOKUP(A649, Data_Set_2!$A:$D,4,FALSE)</f>
        <v>Staff Scientist</v>
      </c>
      <c r="Q649" t="str">
        <f>_xlfn.CONCAT(Table3[[#This Row],[first_name]], " ",Table3[[#This Row],[last_name]])</f>
        <v>Benjamin Evans</v>
      </c>
    </row>
    <row r="650" spans="1:17" hidden="1" x14ac:dyDescent="0.3">
      <c r="A650">
        <v>380</v>
      </c>
      <c r="B650" t="s">
        <v>248</v>
      </c>
      <c r="C650" t="s">
        <v>249</v>
      </c>
      <c r="D650" t="s">
        <v>250</v>
      </c>
      <c r="E650" t="s">
        <v>16</v>
      </c>
      <c r="F650" t="s">
        <v>25</v>
      </c>
      <c r="G650" s="1">
        <v>192</v>
      </c>
      <c r="H650" t="s">
        <v>4035</v>
      </c>
      <c r="I650" s="2">
        <v>44696</v>
      </c>
      <c r="J650" t="s">
        <v>152</v>
      </c>
      <c r="K650" t="s">
        <v>251</v>
      </c>
      <c r="L650">
        <v>44310</v>
      </c>
      <c r="M650" t="s">
        <v>21</v>
      </c>
      <c r="N650" t="str">
        <f>VLOOKUP(A650, Data_Set_2!$A:$D,2,FALSE)</f>
        <v>bevansaj</v>
      </c>
      <c r="O650" t="str">
        <f>VLOOKUP(A650, Data_Set_2!$A:$D,3,FALSE)</f>
        <v>Edgepulse</v>
      </c>
      <c r="P650" t="str">
        <f>VLOOKUP(A650, Data_Set_2!$A:$D,4,FALSE)</f>
        <v>Staff Scientist</v>
      </c>
      <c r="Q650" t="str">
        <f>_xlfn.CONCAT(Table3[[#This Row],[first_name]], " ",Table3[[#This Row],[last_name]])</f>
        <v>Benjamin Evans</v>
      </c>
    </row>
    <row r="651" spans="1:17" hidden="1" x14ac:dyDescent="0.3">
      <c r="A651">
        <v>380</v>
      </c>
      <c r="B651" t="s">
        <v>248</v>
      </c>
      <c r="C651" t="s">
        <v>249</v>
      </c>
      <c r="D651" t="s">
        <v>250</v>
      </c>
      <c r="E651" t="s">
        <v>16</v>
      </c>
      <c r="F651" t="s">
        <v>25</v>
      </c>
      <c r="G651" s="1">
        <v>248</v>
      </c>
      <c r="H651" t="s">
        <v>4035</v>
      </c>
      <c r="I651" s="2">
        <v>44757</v>
      </c>
      <c r="J651" t="s">
        <v>152</v>
      </c>
      <c r="K651" t="s">
        <v>251</v>
      </c>
      <c r="L651">
        <v>44310</v>
      </c>
      <c r="M651" t="s">
        <v>21</v>
      </c>
      <c r="N651" t="str">
        <f>VLOOKUP(A651, Data_Set_2!$A:$D,2,FALSE)</f>
        <v>bevansaj</v>
      </c>
      <c r="O651" t="str">
        <f>VLOOKUP(A651, Data_Set_2!$A:$D,3,FALSE)</f>
        <v>Edgepulse</v>
      </c>
      <c r="P651" t="str">
        <f>VLOOKUP(A651, Data_Set_2!$A:$D,4,FALSE)</f>
        <v>Staff Scientist</v>
      </c>
      <c r="Q651" t="str">
        <f>_xlfn.CONCAT(Table3[[#This Row],[first_name]], " ",Table3[[#This Row],[last_name]])</f>
        <v>Benjamin Evans</v>
      </c>
    </row>
    <row r="652" spans="1:17" hidden="1" x14ac:dyDescent="0.3">
      <c r="A652">
        <v>381</v>
      </c>
      <c r="B652" t="s">
        <v>609</v>
      </c>
      <c r="C652" t="s">
        <v>639</v>
      </c>
      <c r="D652" t="s">
        <v>709</v>
      </c>
      <c r="E652" t="s">
        <v>32</v>
      </c>
      <c r="F652" t="s">
        <v>33</v>
      </c>
      <c r="G652" s="1">
        <v>488</v>
      </c>
      <c r="H652" t="s">
        <v>34</v>
      </c>
      <c r="I652" s="2">
        <v>43648</v>
      </c>
      <c r="J652" t="s">
        <v>345</v>
      </c>
      <c r="K652" t="s">
        <v>220</v>
      </c>
      <c r="L652">
        <v>20010</v>
      </c>
      <c r="M652" t="s">
        <v>21</v>
      </c>
      <c r="N652" t="str">
        <f>VLOOKUP(A652, Data_Set_2!$A:$D,2,FALSE)</f>
        <v>nharrisak</v>
      </c>
      <c r="O652" t="str">
        <f>VLOOKUP(A652, Data_Set_2!$A:$D,3,FALSE)</f>
        <v>Roodel</v>
      </c>
      <c r="P652" t="str">
        <f>VLOOKUP(A652, Data_Set_2!$A:$D,4,FALSE)</f>
        <v>Technical Writer</v>
      </c>
      <c r="Q652" t="str">
        <f>_xlfn.CONCAT(Table3[[#This Row],[first_name]], " ",Table3[[#This Row],[last_name]])</f>
        <v>Nancy Harris</v>
      </c>
    </row>
    <row r="653" spans="1:17" hidden="1" x14ac:dyDescent="0.3">
      <c r="A653">
        <v>382</v>
      </c>
      <c r="B653" t="s">
        <v>316</v>
      </c>
      <c r="C653" t="s">
        <v>317</v>
      </c>
      <c r="D653" t="s">
        <v>318</v>
      </c>
      <c r="E653" t="s">
        <v>32</v>
      </c>
      <c r="F653" t="s">
        <v>25</v>
      </c>
      <c r="G653" s="1">
        <v>217</v>
      </c>
      <c r="H653" t="s">
        <v>26</v>
      </c>
      <c r="I653" s="2">
        <v>43235</v>
      </c>
      <c r="J653" t="s">
        <v>184</v>
      </c>
      <c r="K653" t="s">
        <v>319</v>
      </c>
      <c r="L653">
        <v>13505</v>
      </c>
      <c r="M653" t="s">
        <v>21</v>
      </c>
      <c r="N653" t="str">
        <f>VLOOKUP(A653, Data_Set_2!$A:$D,2,FALSE)</f>
        <v>krichardsonal</v>
      </c>
      <c r="O653" t="str">
        <f>VLOOKUP(A653, Data_Set_2!$A:$D,3,FALSE)</f>
        <v>Linktype</v>
      </c>
      <c r="P653" t="str">
        <f>VLOOKUP(A653, Data_Set_2!$A:$D,4,FALSE)</f>
        <v>Business Systems Development Analyst</v>
      </c>
      <c r="Q653" t="str">
        <f>_xlfn.CONCAT(Table3[[#This Row],[first_name]], " ",Table3[[#This Row],[last_name]])</f>
        <v>Katherine Richardson</v>
      </c>
    </row>
    <row r="654" spans="1:17" hidden="1" x14ac:dyDescent="0.3">
      <c r="A654">
        <v>383</v>
      </c>
      <c r="B654" t="s">
        <v>812</v>
      </c>
      <c r="C654" t="s">
        <v>426</v>
      </c>
      <c r="D654" t="s">
        <v>1172</v>
      </c>
      <c r="E654" t="s">
        <v>16</v>
      </c>
      <c r="F654" t="s">
        <v>33</v>
      </c>
      <c r="G654" s="1">
        <v>681</v>
      </c>
      <c r="H654" t="s">
        <v>26</v>
      </c>
      <c r="I654" s="2">
        <v>44662</v>
      </c>
      <c r="J654" t="s">
        <v>152</v>
      </c>
      <c r="K654" t="s">
        <v>153</v>
      </c>
      <c r="L654">
        <v>44505</v>
      </c>
      <c r="M654" t="s">
        <v>21</v>
      </c>
      <c r="N654" t="str">
        <f>VLOOKUP(A654, Data_Set_2!$A:$D,2,FALSE)</f>
        <v>bryanam</v>
      </c>
      <c r="O654" t="str">
        <f>VLOOKUP(A654, Data_Set_2!$A:$D,3,FALSE)</f>
        <v>Browsebug</v>
      </c>
      <c r="P654" t="str">
        <f>VLOOKUP(A654, Data_Set_2!$A:$D,4,FALSE)</f>
        <v>Programmer Analyst I</v>
      </c>
      <c r="Q654" t="str">
        <f>_xlfn.CONCAT(Table3[[#This Row],[first_name]], " ",Table3[[#This Row],[last_name]])</f>
        <v>Billy Ryan</v>
      </c>
    </row>
    <row r="655" spans="1:17" hidden="1" x14ac:dyDescent="0.3">
      <c r="A655">
        <v>384</v>
      </c>
      <c r="B655" t="s">
        <v>687</v>
      </c>
      <c r="C655" t="s">
        <v>930</v>
      </c>
      <c r="D655" t="s">
        <v>1085</v>
      </c>
      <c r="E655" t="s">
        <v>16</v>
      </c>
      <c r="F655" t="s">
        <v>33</v>
      </c>
      <c r="G655" s="1">
        <v>279</v>
      </c>
      <c r="H655" t="s">
        <v>34</v>
      </c>
      <c r="I655" s="2">
        <v>44440</v>
      </c>
      <c r="J655" t="s">
        <v>524</v>
      </c>
      <c r="K655" t="s">
        <v>815</v>
      </c>
      <c r="L655">
        <v>35205</v>
      </c>
      <c r="M655" t="s">
        <v>21</v>
      </c>
      <c r="N655" t="str">
        <f>VLOOKUP(A655, Data_Set_2!$A:$D,2,FALSE)</f>
        <v>rsmithan</v>
      </c>
      <c r="O655" t="str">
        <f>VLOOKUP(A655, Data_Set_2!$A:$D,3,FALSE)</f>
        <v>Twitterworks</v>
      </c>
      <c r="P655" t="str">
        <f>VLOOKUP(A655, Data_Set_2!$A:$D,4,FALSE)</f>
        <v>Help Desk Operator</v>
      </c>
      <c r="Q655" t="str">
        <f>_xlfn.CONCAT(Table3[[#This Row],[first_name]], " ",Table3[[#This Row],[last_name]])</f>
        <v>Robert Smith</v>
      </c>
    </row>
    <row r="656" spans="1:17" hidden="1" x14ac:dyDescent="0.3">
      <c r="A656">
        <v>385</v>
      </c>
      <c r="B656" t="s">
        <v>597</v>
      </c>
      <c r="C656" t="s">
        <v>641</v>
      </c>
      <c r="D656" t="s">
        <v>1084</v>
      </c>
      <c r="E656" t="s">
        <v>32</v>
      </c>
      <c r="F656" t="s">
        <v>17</v>
      </c>
      <c r="G656" s="1">
        <v>173</v>
      </c>
      <c r="H656" t="s">
        <v>18</v>
      </c>
      <c r="I656" s="2">
        <v>44438</v>
      </c>
      <c r="J656" t="s">
        <v>125</v>
      </c>
      <c r="K656" t="s">
        <v>126</v>
      </c>
      <c r="L656">
        <v>63196</v>
      </c>
      <c r="M656" t="s">
        <v>21</v>
      </c>
      <c r="N656" t="str">
        <f>VLOOKUP(A656, Data_Set_2!$A:$D,2,FALSE)</f>
        <v>cwalkerao</v>
      </c>
      <c r="O656" t="str">
        <f>VLOOKUP(A656, Data_Set_2!$A:$D,3,FALSE)</f>
        <v>Edgewire</v>
      </c>
      <c r="P656" t="str">
        <f>VLOOKUP(A656, Data_Set_2!$A:$D,4,FALSE)</f>
        <v>Engineer III</v>
      </c>
      <c r="Q656" t="str">
        <f>_xlfn.CONCAT(Table3[[#This Row],[first_name]], " ",Table3[[#This Row],[last_name]])</f>
        <v>Carolyn Walker</v>
      </c>
    </row>
    <row r="657" spans="1:17" hidden="1" x14ac:dyDescent="0.3">
      <c r="A657">
        <v>386</v>
      </c>
      <c r="B657" t="s">
        <v>327</v>
      </c>
      <c r="C657" t="s">
        <v>526</v>
      </c>
      <c r="D657" t="s">
        <v>527</v>
      </c>
      <c r="E657" t="s">
        <v>32</v>
      </c>
      <c r="F657" t="s">
        <v>17</v>
      </c>
      <c r="G657" s="1">
        <v>220</v>
      </c>
      <c r="H657" t="s">
        <v>26</v>
      </c>
      <c r="I657" s="2">
        <v>43414</v>
      </c>
      <c r="J657" t="s">
        <v>68</v>
      </c>
      <c r="K657" t="s">
        <v>169</v>
      </c>
      <c r="L657">
        <v>79999</v>
      </c>
      <c r="M657" t="s">
        <v>21</v>
      </c>
      <c r="N657" t="str">
        <f>VLOOKUP(A657, Data_Set_2!$A:$D,2,FALSE)</f>
        <v>klawsonap</v>
      </c>
      <c r="O657" t="str">
        <f>VLOOKUP(A657, Data_Set_2!$A:$D,3,FALSE)</f>
        <v>Voomm</v>
      </c>
      <c r="P657" t="str">
        <f>VLOOKUP(A657, Data_Set_2!$A:$D,4,FALSE)</f>
        <v>Safety Technician II</v>
      </c>
      <c r="Q657" t="str">
        <f>_xlfn.CONCAT(Table3[[#This Row],[first_name]], " ",Table3[[#This Row],[last_name]])</f>
        <v>Kathy Lawson</v>
      </c>
    </row>
    <row r="658" spans="1:17" hidden="1" x14ac:dyDescent="0.3">
      <c r="A658">
        <v>387</v>
      </c>
      <c r="B658" t="s">
        <v>920</v>
      </c>
      <c r="C658" t="s">
        <v>921</v>
      </c>
      <c r="D658" t="s">
        <v>922</v>
      </c>
      <c r="E658" t="s">
        <v>16</v>
      </c>
      <c r="F658" t="s">
        <v>33</v>
      </c>
      <c r="G658" s="1">
        <v>625</v>
      </c>
      <c r="H658" t="s">
        <v>26</v>
      </c>
      <c r="I658" s="2">
        <v>44049</v>
      </c>
      <c r="J658" t="s">
        <v>35</v>
      </c>
      <c r="K658" t="s">
        <v>599</v>
      </c>
      <c r="L658">
        <v>95865</v>
      </c>
      <c r="M658" t="s">
        <v>21</v>
      </c>
      <c r="N658" t="str">
        <f>VLOOKUP(A658, Data_Set_2!$A:$D,2,FALSE)</f>
        <v>bbellaq</v>
      </c>
      <c r="O658" t="str">
        <f>VLOOKUP(A658, Data_Set_2!$A:$D,3,FALSE)</f>
        <v>Wordpedia</v>
      </c>
      <c r="P658" t="str">
        <f>VLOOKUP(A658, Data_Set_2!$A:$D,4,FALSE)</f>
        <v>Mechanical Systems Engineer</v>
      </c>
      <c r="Q658" t="str">
        <f>_xlfn.CONCAT(Table3[[#This Row],[first_name]], " ",Table3[[#This Row],[last_name]])</f>
        <v>Bobby Bell</v>
      </c>
    </row>
    <row r="659" spans="1:17" hidden="1" x14ac:dyDescent="0.3">
      <c r="A659">
        <v>396</v>
      </c>
      <c r="B659" t="s">
        <v>293</v>
      </c>
      <c r="C659" t="s">
        <v>414</v>
      </c>
      <c r="D659" t="s">
        <v>831</v>
      </c>
      <c r="E659" t="s">
        <v>16</v>
      </c>
      <c r="F659" t="s">
        <v>33</v>
      </c>
      <c r="G659" s="1">
        <v>400</v>
      </c>
      <c r="H659" t="s">
        <v>26</v>
      </c>
      <c r="I659" s="2">
        <v>43831</v>
      </c>
      <c r="J659" t="s">
        <v>246</v>
      </c>
      <c r="K659" t="s">
        <v>339</v>
      </c>
      <c r="L659">
        <v>60663</v>
      </c>
      <c r="M659" t="s">
        <v>21</v>
      </c>
      <c r="N659" t="str">
        <f>VLOOKUP(A659, Data_Set_2!$A:$D,2,FALSE)</f>
        <v>tdiazaz</v>
      </c>
      <c r="O659" t="str">
        <f>VLOOKUP(A659, Data_Set_2!$A:$D,3,FALSE)</f>
        <v>Devbug</v>
      </c>
      <c r="P659" t="str">
        <f>VLOOKUP(A659, Data_Set_2!$A:$D,4,FALSE)</f>
        <v>Assistant Professor</v>
      </c>
      <c r="Q659" t="str">
        <f>_xlfn.CONCAT(Table3[[#This Row],[first_name]], " ",Table3[[#This Row],[last_name]])</f>
        <v>Thomas Diaz</v>
      </c>
    </row>
    <row r="660" spans="1:17" hidden="1" x14ac:dyDescent="0.3">
      <c r="A660">
        <v>397</v>
      </c>
      <c r="B660" t="s">
        <v>320</v>
      </c>
      <c r="C660" t="s">
        <v>321</v>
      </c>
      <c r="D660" t="s">
        <v>322</v>
      </c>
      <c r="E660" t="s">
        <v>32</v>
      </c>
      <c r="F660" t="s">
        <v>33</v>
      </c>
      <c r="G660" s="1">
        <v>479</v>
      </c>
      <c r="H660" t="s">
        <v>26</v>
      </c>
      <c r="I660" s="2">
        <v>43237</v>
      </c>
      <c r="J660" t="s">
        <v>46</v>
      </c>
      <c r="K660" t="s">
        <v>323</v>
      </c>
      <c r="L660">
        <v>6533</v>
      </c>
      <c r="M660" t="s">
        <v>21</v>
      </c>
      <c r="N660" t="str">
        <f>VLOOKUP(A660, Data_Set_2!$A:$D,2,FALSE)</f>
        <v>jcarterb0</v>
      </c>
      <c r="O660" t="str">
        <f>VLOOKUP(A660, Data_Set_2!$A:$D,3,FALSE)</f>
        <v>Oyoloo</v>
      </c>
      <c r="P660" t="str">
        <f>VLOOKUP(A660, Data_Set_2!$A:$D,4,FALSE)</f>
        <v>Nurse</v>
      </c>
      <c r="Q660" t="str">
        <f>_xlfn.CONCAT(Table3[[#This Row],[first_name]], " ",Table3[[#This Row],[last_name]])</f>
        <v>Julia Carter</v>
      </c>
    </row>
    <row r="661" spans="1:17" hidden="1" x14ac:dyDescent="0.3">
      <c r="A661">
        <v>397</v>
      </c>
      <c r="B661" t="s">
        <v>320</v>
      </c>
      <c r="C661" t="s">
        <v>321</v>
      </c>
      <c r="D661" t="s">
        <v>322</v>
      </c>
      <c r="E661" t="s">
        <v>32</v>
      </c>
      <c r="F661" t="s">
        <v>33</v>
      </c>
      <c r="G661" s="1">
        <v>420</v>
      </c>
      <c r="H661" t="s">
        <v>26</v>
      </c>
      <c r="I661" s="2">
        <v>43526</v>
      </c>
      <c r="J661" t="s">
        <v>46</v>
      </c>
      <c r="K661" t="s">
        <v>323</v>
      </c>
      <c r="L661">
        <v>6533</v>
      </c>
      <c r="M661" t="s">
        <v>21</v>
      </c>
      <c r="N661" t="str">
        <f>VLOOKUP(A661, Data_Set_2!$A:$D,2,FALSE)</f>
        <v>jcarterb0</v>
      </c>
      <c r="O661" t="str">
        <f>VLOOKUP(A661, Data_Set_2!$A:$D,3,FALSE)</f>
        <v>Oyoloo</v>
      </c>
      <c r="P661" t="str">
        <f>VLOOKUP(A661, Data_Set_2!$A:$D,4,FALSE)</f>
        <v>Nurse</v>
      </c>
      <c r="Q661" t="str">
        <f>_xlfn.CONCAT(Table3[[#This Row],[first_name]], " ",Table3[[#This Row],[last_name]])</f>
        <v>Julia Carter</v>
      </c>
    </row>
    <row r="662" spans="1:17" hidden="1" x14ac:dyDescent="0.3">
      <c r="A662">
        <v>398</v>
      </c>
      <c r="B662" t="s">
        <v>324</v>
      </c>
      <c r="C662" t="s">
        <v>90</v>
      </c>
      <c r="D662" t="s">
        <v>925</v>
      </c>
      <c r="E662" t="s">
        <v>32</v>
      </c>
      <c r="F662" t="s">
        <v>33</v>
      </c>
      <c r="G662" s="1">
        <v>279</v>
      </c>
      <c r="H662" t="s">
        <v>26</v>
      </c>
      <c r="I662" s="2">
        <v>44057</v>
      </c>
      <c r="J662" t="s">
        <v>192</v>
      </c>
      <c r="K662" t="s">
        <v>515</v>
      </c>
      <c r="L662">
        <v>55115</v>
      </c>
      <c r="M662" t="s">
        <v>21</v>
      </c>
      <c r="N662" t="str">
        <f>VLOOKUP(A662, Data_Set_2!$A:$D,2,FALSE)</f>
        <v>aromerob1</v>
      </c>
      <c r="O662" t="str">
        <f>VLOOKUP(A662, Data_Set_2!$A:$D,3,FALSE)</f>
        <v>Vitz</v>
      </c>
      <c r="P662" t="str">
        <f>VLOOKUP(A662, Data_Set_2!$A:$D,4,FALSE)</f>
        <v>Accountant I</v>
      </c>
      <c r="Q662" t="str">
        <f>_xlfn.CONCAT(Table3[[#This Row],[first_name]], " ",Table3[[#This Row],[last_name]])</f>
        <v>Alice Romero</v>
      </c>
    </row>
    <row r="663" spans="1:17" hidden="1" x14ac:dyDescent="0.3">
      <c r="A663">
        <v>398</v>
      </c>
      <c r="B663" t="s">
        <v>324</v>
      </c>
      <c r="C663" t="s">
        <v>90</v>
      </c>
      <c r="D663" t="s">
        <v>925</v>
      </c>
      <c r="E663" t="s">
        <v>32</v>
      </c>
      <c r="F663" t="s">
        <v>33</v>
      </c>
      <c r="G663" s="1">
        <v>785</v>
      </c>
      <c r="H663" t="s">
        <v>26</v>
      </c>
      <c r="I663" s="2">
        <v>44754</v>
      </c>
      <c r="J663" t="s">
        <v>192</v>
      </c>
      <c r="K663" t="s">
        <v>515</v>
      </c>
      <c r="L663">
        <v>55115</v>
      </c>
      <c r="M663" t="s">
        <v>21</v>
      </c>
      <c r="N663" t="str">
        <f>VLOOKUP(A663, Data_Set_2!$A:$D,2,FALSE)</f>
        <v>aromerob1</v>
      </c>
      <c r="O663" t="str">
        <f>VLOOKUP(A663, Data_Set_2!$A:$D,3,FALSE)</f>
        <v>Vitz</v>
      </c>
      <c r="P663" t="str">
        <f>VLOOKUP(A663, Data_Set_2!$A:$D,4,FALSE)</f>
        <v>Accountant I</v>
      </c>
      <c r="Q663" t="str">
        <f>_xlfn.CONCAT(Table3[[#This Row],[first_name]], " ",Table3[[#This Row],[last_name]])</f>
        <v>Alice Romero</v>
      </c>
    </row>
    <row r="664" spans="1:17" x14ac:dyDescent="0.3">
      <c r="A664">
        <v>399</v>
      </c>
      <c r="B664" t="s">
        <v>130</v>
      </c>
      <c r="C664" t="s">
        <v>38</v>
      </c>
      <c r="D664" t="s">
        <v>788</v>
      </c>
      <c r="E664" t="s">
        <v>32</v>
      </c>
      <c r="F664" t="s">
        <v>17</v>
      </c>
      <c r="G664" s="1">
        <v>686</v>
      </c>
      <c r="H664" t="s">
        <v>95</v>
      </c>
      <c r="I664" s="2">
        <v>43765</v>
      </c>
      <c r="J664" t="s">
        <v>41</v>
      </c>
      <c r="K664" t="s">
        <v>442</v>
      </c>
      <c r="L664">
        <v>40546</v>
      </c>
      <c r="M664" t="s">
        <v>21</v>
      </c>
      <c r="N664" t="str">
        <f>VLOOKUP(A664, Data_Set_2!$A:$D,2,FALSE)</f>
        <v>schapmanb2</v>
      </c>
      <c r="O664" t="str">
        <f>VLOOKUP(A664, Data_Set_2!$A:$D,3,FALSE)</f>
        <v>Jabberbean</v>
      </c>
      <c r="P664" t="str">
        <f>VLOOKUP(A664, Data_Set_2!$A:$D,4,FALSE)</f>
        <v>Nuclear Power Engineer</v>
      </c>
      <c r="Q664" t="str">
        <f>_xlfn.CONCAT(Table3[[#This Row],[first_name]], " ",Table3[[#This Row],[last_name]])</f>
        <v>Susan Chapman</v>
      </c>
    </row>
    <row r="665" spans="1:17" hidden="1" x14ac:dyDescent="0.3">
      <c r="A665">
        <v>400</v>
      </c>
      <c r="B665" t="s">
        <v>235</v>
      </c>
      <c r="C665" t="s">
        <v>455</v>
      </c>
      <c r="D665" t="s">
        <v>456</v>
      </c>
      <c r="E665" t="s">
        <v>32</v>
      </c>
      <c r="F665" t="s">
        <v>51</v>
      </c>
      <c r="G665" s="1">
        <v>845</v>
      </c>
      <c r="H665" t="s">
        <v>26</v>
      </c>
      <c r="I665" s="2">
        <v>43332</v>
      </c>
      <c r="J665" t="s">
        <v>96</v>
      </c>
      <c r="K665" t="s">
        <v>457</v>
      </c>
      <c r="L665">
        <v>46406</v>
      </c>
      <c r="M665" t="s">
        <v>21</v>
      </c>
      <c r="N665" t="str">
        <f>VLOOKUP(A665, Data_Set_2!$A:$D,2,FALSE)</f>
        <v>shansonb3</v>
      </c>
      <c r="O665" t="str">
        <f>VLOOKUP(A665, Data_Set_2!$A:$D,3,FALSE)</f>
        <v>Skajo</v>
      </c>
      <c r="P665" t="str">
        <f>VLOOKUP(A665, Data_Set_2!$A:$D,4,FALSE)</f>
        <v>VP Sales</v>
      </c>
      <c r="Q665" t="str">
        <f>_xlfn.CONCAT(Table3[[#This Row],[first_name]], " ",Table3[[#This Row],[last_name]])</f>
        <v>Sarah Hanson</v>
      </c>
    </row>
    <row r="666" spans="1:17" hidden="1" x14ac:dyDescent="0.3">
      <c r="A666">
        <v>400</v>
      </c>
      <c r="B666" t="s">
        <v>235</v>
      </c>
      <c r="C666" t="s">
        <v>455</v>
      </c>
      <c r="D666" t="s">
        <v>456</v>
      </c>
      <c r="E666" t="s">
        <v>32</v>
      </c>
      <c r="F666" t="s">
        <v>51</v>
      </c>
      <c r="G666" s="1">
        <v>534</v>
      </c>
      <c r="H666" t="s">
        <v>26</v>
      </c>
      <c r="I666" s="2">
        <v>43564</v>
      </c>
      <c r="J666" t="s">
        <v>96</v>
      </c>
      <c r="K666" t="s">
        <v>457</v>
      </c>
      <c r="L666">
        <v>46406</v>
      </c>
      <c r="M666" t="s">
        <v>21</v>
      </c>
      <c r="N666" t="str">
        <f>VLOOKUP(A666, Data_Set_2!$A:$D,2,FALSE)</f>
        <v>shansonb3</v>
      </c>
      <c r="O666" t="str">
        <f>VLOOKUP(A666, Data_Set_2!$A:$D,3,FALSE)</f>
        <v>Skajo</v>
      </c>
      <c r="P666" t="str">
        <f>VLOOKUP(A666, Data_Set_2!$A:$D,4,FALSE)</f>
        <v>VP Sales</v>
      </c>
      <c r="Q666" t="str">
        <f>_xlfn.CONCAT(Table3[[#This Row],[first_name]], " ",Table3[[#This Row],[last_name]])</f>
        <v>Sarah Hanson</v>
      </c>
    </row>
    <row r="667" spans="1:17" hidden="1" x14ac:dyDescent="0.3">
      <c r="A667">
        <v>401</v>
      </c>
      <c r="B667" t="s">
        <v>680</v>
      </c>
      <c r="C667" t="s">
        <v>264</v>
      </c>
      <c r="D667" t="s">
        <v>1014</v>
      </c>
      <c r="E667" t="s">
        <v>16</v>
      </c>
      <c r="F667" t="s">
        <v>33</v>
      </c>
      <c r="G667" s="1">
        <v>990</v>
      </c>
      <c r="H667" t="s">
        <v>26</v>
      </c>
      <c r="I667" s="2">
        <v>44258</v>
      </c>
      <c r="J667" t="s">
        <v>35</v>
      </c>
      <c r="K667" t="s">
        <v>540</v>
      </c>
      <c r="L667">
        <v>92648</v>
      </c>
      <c r="M667" t="s">
        <v>21</v>
      </c>
      <c r="N667" t="str">
        <f>VLOOKUP(A667, Data_Set_2!$A:$D,2,FALSE)</f>
        <v>jcarrb4</v>
      </c>
      <c r="O667" t="str">
        <f>VLOOKUP(A667, Data_Set_2!$A:$D,3,FALSE)</f>
        <v>BlogXS</v>
      </c>
      <c r="P667" t="str">
        <f>VLOOKUP(A667, Data_Set_2!$A:$D,4,FALSE)</f>
        <v>Automation Specialist IV</v>
      </c>
      <c r="Q667" t="str">
        <f>_xlfn.CONCAT(Table3[[#This Row],[first_name]], " ",Table3[[#This Row],[last_name]])</f>
        <v>John Carr</v>
      </c>
    </row>
    <row r="668" spans="1:17" hidden="1" x14ac:dyDescent="0.3">
      <c r="A668">
        <v>401</v>
      </c>
      <c r="B668" t="s">
        <v>680</v>
      </c>
      <c r="C668" t="s">
        <v>264</v>
      </c>
      <c r="D668" t="s">
        <v>1014</v>
      </c>
      <c r="E668" t="s">
        <v>16</v>
      </c>
      <c r="F668" t="s">
        <v>33</v>
      </c>
      <c r="G668" s="1">
        <v>31</v>
      </c>
      <c r="H668" t="s">
        <v>26</v>
      </c>
      <c r="I668" s="2">
        <v>44839</v>
      </c>
      <c r="J668" t="s">
        <v>35</v>
      </c>
      <c r="K668" t="s">
        <v>540</v>
      </c>
      <c r="L668">
        <v>92648</v>
      </c>
      <c r="M668" t="s">
        <v>21</v>
      </c>
      <c r="N668" t="str">
        <f>VLOOKUP(A668, Data_Set_2!$A:$D,2,FALSE)</f>
        <v>jcarrb4</v>
      </c>
      <c r="O668" t="str">
        <f>VLOOKUP(A668, Data_Set_2!$A:$D,3,FALSE)</f>
        <v>BlogXS</v>
      </c>
      <c r="P668" t="str">
        <f>VLOOKUP(A668, Data_Set_2!$A:$D,4,FALSE)</f>
        <v>Automation Specialist IV</v>
      </c>
      <c r="Q668" t="str">
        <f>_xlfn.CONCAT(Table3[[#This Row],[first_name]], " ",Table3[[#This Row],[last_name]])</f>
        <v>John Carr</v>
      </c>
    </row>
    <row r="669" spans="1:17" hidden="1" x14ac:dyDescent="0.3">
      <c r="A669">
        <v>402</v>
      </c>
      <c r="B669" t="s">
        <v>513</v>
      </c>
      <c r="C669" t="s">
        <v>496</v>
      </c>
      <c r="D669" t="s">
        <v>1222</v>
      </c>
      <c r="E669" t="s">
        <v>16</v>
      </c>
      <c r="F669" t="s">
        <v>17</v>
      </c>
      <c r="G669" s="1">
        <v>280</v>
      </c>
      <c r="H669" t="s">
        <v>4038</v>
      </c>
      <c r="I669" s="2">
        <v>44786</v>
      </c>
      <c r="J669" t="s">
        <v>19</v>
      </c>
      <c r="K669" t="s">
        <v>1223</v>
      </c>
      <c r="L669">
        <v>2472</v>
      </c>
      <c r="M669" t="s">
        <v>21</v>
      </c>
      <c r="N669" t="str">
        <f>VLOOKUP(A669, Data_Set_2!$A:$D,2,FALSE)</f>
        <v>lcruzb5</v>
      </c>
      <c r="O669" t="str">
        <f>VLOOKUP(A669, Data_Set_2!$A:$D,3,FALSE)</f>
        <v>Jetpulse</v>
      </c>
      <c r="P669" t="str">
        <f>VLOOKUP(A669, Data_Set_2!$A:$D,4,FALSE)</f>
        <v>Accounting Assistant IV</v>
      </c>
      <c r="Q669" t="str">
        <f>_xlfn.CONCAT(Table3[[#This Row],[first_name]], " ",Table3[[#This Row],[last_name]])</f>
        <v>Lawrence Cruz</v>
      </c>
    </row>
    <row r="670" spans="1:17" hidden="1" x14ac:dyDescent="0.3">
      <c r="A670">
        <v>403</v>
      </c>
      <c r="B670" t="s">
        <v>359</v>
      </c>
      <c r="C670" t="s">
        <v>526</v>
      </c>
      <c r="D670" t="s">
        <v>693</v>
      </c>
      <c r="E670" t="s">
        <v>32</v>
      </c>
      <c r="F670" t="s">
        <v>33</v>
      </c>
      <c r="G670" s="1">
        <v>405</v>
      </c>
      <c r="H670" t="s">
        <v>26</v>
      </c>
      <c r="I670" s="2">
        <v>43627</v>
      </c>
      <c r="J670" t="s">
        <v>115</v>
      </c>
      <c r="K670" t="s">
        <v>143</v>
      </c>
      <c r="L670">
        <v>33261</v>
      </c>
      <c r="M670" t="s">
        <v>21</v>
      </c>
      <c r="N670" t="str">
        <f>VLOOKUP(A670, Data_Set_2!$A:$D,2,FALSE)</f>
        <v>dlawsonb6</v>
      </c>
      <c r="O670" t="str">
        <f>VLOOKUP(A670, Data_Set_2!$A:$D,3,FALSE)</f>
        <v>Dabjam</v>
      </c>
      <c r="P670" t="str">
        <f>VLOOKUP(A670, Data_Set_2!$A:$D,4,FALSE)</f>
        <v>Registered Nurse</v>
      </c>
      <c r="Q670" t="str">
        <f>_xlfn.CONCAT(Table3[[#This Row],[first_name]], " ",Table3[[#This Row],[last_name]])</f>
        <v>Deborah Lawson</v>
      </c>
    </row>
    <row r="671" spans="1:17" hidden="1" x14ac:dyDescent="0.3">
      <c r="A671">
        <v>403</v>
      </c>
      <c r="B671" t="s">
        <v>359</v>
      </c>
      <c r="C671" t="s">
        <v>526</v>
      </c>
      <c r="D671" t="s">
        <v>693</v>
      </c>
      <c r="E671" t="s">
        <v>32</v>
      </c>
      <c r="F671" t="s">
        <v>33</v>
      </c>
      <c r="G671" s="1">
        <v>722</v>
      </c>
      <c r="H671" t="s">
        <v>26</v>
      </c>
      <c r="I671" s="2">
        <v>44142</v>
      </c>
      <c r="J671" t="s">
        <v>115</v>
      </c>
      <c r="K671" t="s">
        <v>143</v>
      </c>
      <c r="L671">
        <v>33261</v>
      </c>
      <c r="M671" t="s">
        <v>21</v>
      </c>
      <c r="N671" t="str">
        <f>VLOOKUP(A671, Data_Set_2!$A:$D,2,FALSE)</f>
        <v>dlawsonb6</v>
      </c>
      <c r="O671" t="str">
        <f>VLOOKUP(A671, Data_Set_2!$A:$D,3,FALSE)</f>
        <v>Dabjam</v>
      </c>
      <c r="P671" t="str">
        <f>VLOOKUP(A671, Data_Set_2!$A:$D,4,FALSE)</f>
        <v>Registered Nurse</v>
      </c>
      <c r="Q671" t="str">
        <f>_xlfn.CONCAT(Table3[[#This Row],[first_name]], " ",Table3[[#This Row],[last_name]])</f>
        <v>Deborah Lawson</v>
      </c>
    </row>
    <row r="672" spans="1:17" hidden="1" x14ac:dyDescent="0.3">
      <c r="A672">
        <v>412</v>
      </c>
      <c r="B672" t="s">
        <v>799</v>
      </c>
      <c r="C672" t="s">
        <v>800</v>
      </c>
      <c r="D672" t="s">
        <v>801</v>
      </c>
      <c r="E672" t="s">
        <v>16</v>
      </c>
      <c r="F672" t="s">
        <v>25</v>
      </c>
      <c r="G672" s="1">
        <v>943</v>
      </c>
      <c r="H672" t="s">
        <v>4036</v>
      </c>
      <c r="I672" s="2">
        <v>43774</v>
      </c>
      <c r="J672" t="s">
        <v>35</v>
      </c>
      <c r="K672" t="s">
        <v>802</v>
      </c>
      <c r="L672">
        <v>94302</v>
      </c>
      <c r="M672" t="s">
        <v>21</v>
      </c>
      <c r="N672" t="str">
        <f>VLOOKUP(A672, Data_Set_2!$A:$D,2,FALSE)</f>
        <v>dcoxbf</v>
      </c>
      <c r="O672" t="str">
        <f>VLOOKUP(A672, Data_Set_2!$A:$D,3,FALSE)</f>
        <v>Edgetag</v>
      </c>
      <c r="P672" t="str">
        <f>VLOOKUP(A672, Data_Set_2!$A:$D,4,FALSE)</f>
        <v>Database Administrator III</v>
      </c>
      <c r="Q672" t="str">
        <f>_xlfn.CONCAT(Table3[[#This Row],[first_name]], " ",Table3[[#This Row],[last_name]])</f>
        <v>Daniel Cox</v>
      </c>
    </row>
    <row r="673" spans="1:17" hidden="1" x14ac:dyDescent="0.3">
      <c r="A673">
        <v>413</v>
      </c>
      <c r="B673" t="s">
        <v>330</v>
      </c>
      <c r="C673" t="s">
        <v>272</v>
      </c>
      <c r="D673" t="s">
        <v>453</v>
      </c>
      <c r="E673" t="s">
        <v>32</v>
      </c>
      <c r="F673" t="s">
        <v>454</v>
      </c>
      <c r="G673" s="1">
        <v>614</v>
      </c>
      <c r="H673" t="s">
        <v>18</v>
      </c>
      <c r="I673" s="2">
        <v>43329</v>
      </c>
      <c r="J673" t="s">
        <v>125</v>
      </c>
      <c r="K673" t="s">
        <v>126</v>
      </c>
      <c r="L673">
        <v>63116</v>
      </c>
      <c r="M673" t="s">
        <v>21</v>
      </c>
      <c r="N673" t="str">
        <f>VLOOKUP(A673, Data_Set_2!$A:$D,2,FALSE)</f>
        <v>rboydbg</v>
      </c>
      <c r="O673" t="str">
        <f>VLOOKUP(A673, Data_Set_2!$A:$D,3,FALSE)</f>
        <v>Izio</v>
      </c>
      <c r="P673" t="str">
        <f>VLOOKUP(A673, Data_Set_2!$A:$D,4,FALSE)</f>
        <v>VP Accounting</v>
      </c>
      <c r="Q673" t="str">
        <f>_xlfn.CONCAT(Table3[[#This Row],[first_name]], " ",Table3[[#This Row],[last_name]])</f>
        <v>Robin Boyd</v>
      </c>
    </row>
    <row r="674" spans="1:17" hidden="1" x14ac:dyDescent="0.3">
      <c r="A674">
        <v>414</v>
      </c>
      <c r="B674" t="s">
        <v>243</v>
      </c>
      <c r="C674" t="s">
        <v>136</v>
      </c>
      <c r="D674" t="s">
        <v>258</v>
      </c>
      <c r="E674" t="s">
        <v>16</v>
      </c>
      <c r="F674" t="s">
        <v>33</v>
      </c>
      <c r="G674" s="1">
        <v>703</v>
      </c>
      <c r="H674" t="s">
        <v>4039</v>
      </c>
      <c r="I674" s="2">
        <v>43196</v>
      </c>
      <c r="J674" t="s">
        <v>230</v>
      </c>
      <c r="K674" t="s">
        <v>260</v>
      </c>
      <c r="L674">
        <v>28235</v>
      </c>
      <c r="M674" t="s">
        <v>21</v>
      </c>
      <c r="N674" t="str">
        <f>VLOOKUP(A674, Data_Set_2!$A:$D,2,FALSE)</f>
        <v>pfoxbh</v>
      </c>
      <c r="O674" t="str">
        <f>VLOOKUP(A674, Data_Set_2!$A:$D,3,FALSE)</f>
        <v>Wikivu</v>
      </c>
      <c r="P674" t="str">
        <f>VLOOKUP(A674, Data_Set_2!$A:$D,4,FALSE)</f>
        <v>Research Associate</v>
      </c>
      <c r="Q674" t="str">
        <f>_xlfn.CONCAT(Table3[[#This Row],[first_name]], " ",Table3[[#This Row],[last_name]])</f>
        <v>Peter Fox</v>
      </c>
    </row>
    <row r="675" spans="1:17" hidden="1" x14ac:dyDescent="0.3">
      <c r="A675">
        <v>415</v>
      </c>
      <c r="B675" t="s">
        <v>409</v>
      </c>
      <c r="C675" t="s">
        <v>855</v>
      </c>
      <c r="D675" t="s">
        <v>856</v>
      </c>
      <c r="E675" t="s">
        <v>16</v>
      </c>
      <c r="F675" t="s">
        <v>33</v>
      </c>
      <c r="G675" s="1">
        <v>80</v>
      </c>
      <c r="H675" t="s">
        <v>18</v>
      </c>
      <c r="I675" s="2">
        <v>43865</v>
      </c>
      <c r="J675" t="s">
        <v>152</v>
      </c>
      <c r="K675" t="s">
        <v>571</v>
      </c>
      <c r="L675">
        <v>44111</v>
      </c>
      <c r="M675" t="s">
        <v>21</v>
      </c>
      <c r="N675" t="str">
        <f>VLOOKUP(A675, Data_Set_2!$A:$D,2,FALSE)</f>
        <v>emorrisonbi</v>
      </c>
      <c r="O675" t="str">
        <f>VLOOKUP(A675, Data_Set_2!$A:$D,3,FALSE)</f>
        <v>Fivechat</v>
      </c>
      <c r="P675" t="str">
        <f>VLOOKUP(A675, Data_Set_2!$A:$D,4,FALSE)</f>
        <v>Assistant Professor</v>
      </c>
      <c r="Q675" t="str">
        <f>_xlfn.CONCAT(Table3[[#This Row],[first_name]], " ",Table3[[#This Row],[last_name]])</f>
        <v>Edward Morrison</v>
      </c>
    </row>
    <row r="676" spans="1:17" hidden="1" x14ac:dyDescent="0.3">
      <c r="A676">
        <v>416</v>
      </c>
      <c r="B676" t="s">
        <v>749</v>
      </c>
      <c r="C676" t="s">
        <v>750</v>
      </c>
      <c r="D676" t="s">
        <v>751</v>
      </c>
      <c r="E676" t="s">
        <v>32</v>
      </c>
      <c r="F676" t="s">
        <v>33</v>
      </c>
      <c r="G676" s="1">
        <v>260</v>
      </c>
      <c r="H676" t="s">
        <v>4035</v>
      </c>
      <c r="I676" s="2">
        <v>43701</v>
      </c>
      <c r="J676" t="s">
        <v>27</v>
      </c>
      <c r="K676" t="s">
        <v>690</v>
      </c>
      <c r="L676">
        <v>80015</v>
      </c>
      <c r="M676" t="s">
        <v>21</v>
      </c>
      <c r="N676" t="str">
        <f>VLOOKUP(A676, Data_Set_2!$A:$D,2,FALSE)</f>
        <v>dbaileybj</v>
      </c>
      <c r="O676" t="str">
        <f>VLOOKUP(A676, Data_Set_2!$A:$D,3,FALSE)</f>
        <v>Podcat</v>
      </c>
      <c r="P676" t="str">
        <f>VLOOKUP(A676, Data_Set_2!$A:$D,4,FALSE)</f>
        <v>Chemical Engineer</v>
      </c>
      <c r="Q676" t="str">
        <f>_xlfn.CONCAT(Table3[[#This Row],[first_name]], " ",Table3[[#This Row],[last_name]])</f>
        <v>Doris Bailey</v>
      </c>
    </row>
    <row r="677" spans="1:17" hidden="1" x14ac:dyDescent="0.3">
      <c r="A677">
        <v>424</v>
      </c>
      <c r="B677" t="s">
        <v>426</v>
      </c>
      <c r="C677" t="s">
        <v>427</v>
      </c>
      <c r="D677" t="s">
        <v>428</v>
      </c>
      <c r="E677" t="s">
        <v>16</v>
      </c>
      <c r="F677" t="s">
        <v>33</v>
      </c>
      <c r="G677" s="1">
        <v>650</v>
      </c>
      <c r="H677" t="s">
        <v>4037</v>
      </c>
      <c r="I677" s="2">
        <v>43302</v>
      </c>
      <c r="J677" t="s">
        <v>125</v>
      </c>
      <c r="K677" t="s">
        <v>419</v>
      </c>
      <c r="L677">
        <v>64199</v>
      </c>
      <c r="M677" t="s">
        <v>21</v>
      </c>
      <c r="N677" t="str">
        <f>VLOOKUP(A677, Data_Set_2!$A:$D,2,FALSE)</f>
        <v>randrewsbr</v>
      </c>
      <c r="O677" t="str">
        <f>VLOOKUP(A677, Data_Set_2!$A:$D,3,FALSE)</f>
        <v>Eadel</v>
      </c>
      <c r="P677" t="str">
        <f>VLOOKUP(A677, Data_Set_2!$A:$D,4,FALSE)</f>
        <v>Programmer Analyst IV</v>
      </c>
      <c r="Q677" t="str">
        <f>_xlfn.CONCAT(Table3[[#This Row],[first_name]], " ",Table3[[#This Row],[last_name]])</f>
        <v>Ryan Andrews</v>
      </c>
    </row>
    <row r="678" spans="1:17" hidden="1" x14ac:dyDescent="0.3">
      <c r="A678">
        <v>425</v>
      </c>
      <c r="B678" t="s">
        <v>384</v>
      </c>
      <c r="C678" t="s">
        <v>370</v>
      </c>
      <c r="D678" t="s">
        <v>1104</v>
      </c>
      <c r="E678" t="s">
        <v>16</v>
      </c>
      <c r="F678" t="s">
        <v>51</v>
      </c>
      <c r="G678" s="1">
        <v>799</v>
      </c>
      <c r="H678" t="s">
        <v>34</v>
      </c>
      <c r="I678" s="2">
        <v>44514</v>
      </c>
      <c r="J678" t="s">
        <v>184</v>
      </c>
      <c r="K678" t="s">
        <v>1105</v>
      </c>
      <c r="L678">
        <v>14205</v>
      </c>
      <c r="M678" t="s">
        <v>21</v>
      </c>
      <c r="N678" t="str">
        <f>VLOOKUP(A678, Data_Set_2!$A:$D,2,FALSE)</f>
        <v>hortizbs</v>
      </c>
      <c r="O678" t="str">
        <f>VLOOKUP(A678, Data_Set_2!$A:$D,3,FALSE)</f>
        <v>Kaymbo</v>
      </c>
      <c r="P678" t="str">
        <f>VLOOKUP(A678, Data_Set_2!$A:$D,4,FALSE)</f>
        <v>Quality Engineer</v>
      </c>
      <c r="Q678" t="str">
        <f>_xlfn.CONCAT(Table3[[#This Row],[first_name]], " ",Table3[[#This Row],[last_name]])</f>
        <v>Harold Ortiz</v>
      </c>
    </row>
    <row r="679" spans="1:17" hidden="1" x14ac:dyDescent="0.3">
      <c r="A679">
        <v>427</v>
      </c>
      <c r="B679" t="s">
        <v>161</v>
      </c>
      <c r="C679" t="s">
        <v>281</v>
      </c>
      <c r="D679" t="s">
        <v>282</v>
      </c>
      <c r="E679" t="s">
        <v>16</v>
      </c>
      <c r="F679" t="s">
        <v>33</v>
      </c>
      <c r="G679" s="1">
        <v>749</v>
      </c>
      <c r="H679" t="s">
        <v>83</v>
      </c>
      <c r="I679" s="2">
        <v>43207</v>
      </c>
      <c r="J679" t="s">
        <v>110</v>
      </c>
      <c r="K679" t="s">
        <v>283</v>
      </c>
      <c r="L679">
        <v>19058</v>
      </c>
      <c r="M679" t="s">
        <v>21</v>
      </c>
      <c r="N679" t="str">
        <f>VLOOKUP(A679, Data_Set_2!$A:$D,2,FALSE)</f>
        <v>mwarrenbu</v>
      </c>
      <c r="O679" t="str">
        <f>VLOOKUP(A679, Data_Set_2!$A:$D,3,FALSE)</f>
        <v>Agivu</v>
      </c>
      <c r="P679" t="str">
        <f>VLOOKUP(A679, Data_Set_2!$A:$D,4,FALSE)</f>
        <v>Sales Associate</v>
      </c>
      <c r="Q679" t="str">
        <f>_xlfn.CONCAT(Table3[[#This Row],[first_name]], " ",Table3[[#This Row],[last_name]])</f>
        <v>Michael Warren</v>
      </c>
    </row>
    <row r="680" spans="1:17" hidden="1" x14ac:dyDescent="0.3">
      <c r="A680">
        <v>428</v>
      </c>
      <c r="B680" t="s">
        <v>597</v>
      </c>
      <c r="C680" t="s">
        <v>228</v>
      </c>
      <c r="D680" t="s">
        <v>598</v>
      </c>
      <c r="E680" t="s">
        <v>32</v>
      </c>
      <c r="F680" t="s">
        <v>25</v>
      </c>
      <c r="G680" s="1">
        <v>590</v>
      </c>
      <c r="H680" t="s">
        <v>26</v>
      </c>
      <c r="I680" s="2">
        <v>43516</v>
      </c>
      <c r="J680" t="s">
        <v>35</v>
      </c>
      <c r="K680" t="s">
        <v>599</v>
      </c>
      <c r="L680">
        <v>95894</v>
      </c>
      <c r="M680" t="s">
        <v>21</v>
      </c>
      <c r="N680" t="str">
        <f>VLOOKUP(A680, Data_Set_2!$A:$D,2,FALSE)</f>
        <v>cwatkinsbv</v>
      </c>
      <c r="O680" t="str">
        <f>VLOOKUP(A680, Data_Set_2!$A:$D,3,FALSE)</f>
        <v>Meetz</v>
      </c>
      <c r="P680" t="str">
        <f>VLOOKUP(A680, Data_Set_2!$A:$D,4,FALSE)</f>
        <v>Registered Nurse</v>
      </c>
      <c r="Q680" t="str">
        <f>_xlfn.CONCAT(Table3[[#This Row],[first_name]], " ",Table3[[#This Row],[last_name]])</f>
        <v>Carolyn Watkins</v>
      </c>
    </row>
    <row r="681" spans="1:17" hidden="1" x14ac:dyDescent="0.3">
      <c r="A681">
        <v>429</v>
      </c>
      <c r="B681" t="s">
        <v>263</v>
      </c>
      <c r="C681" t="s">
        <v>264</v>
      </c>
      <c r="D681" t="s">
        <v>265</v>
      </c>
      <c r="E681" t="s">
        <v>16</v>
      </c>
      <c r="F681" t="s">
        <v>25</v>
      </c>
      <c r="G681" s="1">
        <v>536</v>
      </c>
      <c r="H681" t="s">
        <v>26</v>
      </c>
      <c r="I681" s="2">
        <v>43201</v>
      </c>
      <c r="J681" t="s">
        <v>35</v>
      </c>
      <c r="K681" t="s">
        <v>266</v>
      </c>
      <c r="L681">
        <v>91499</v>
      </c>
      <c r="M681" t="s">
        <v>21</v>
      </c>
      <c r="N681" t="str">
        <f>VLOOKUP(A681, Data_Set_2!$A:$D,2,FALSE)</f>
        <v>scarrbw</v>
      </c>
      <c r="O681" t="str">
        <f>VLOOKUP(A681, Data_Set_2!$A:$D,3,FALSE)</f>
        <v>Zoomcast</v>
      </c>
      <c r="P681" t="str">
        <f>VLOOKUP(A681, Data_Set_2!$A:$D,4,FALSE)</f>
        <v>Financial Analyst</v>
      </c>
      <c r="Q681" t="str">
        <f>_xlfn.CONCAT(Table3[[#This Row],[first_name]], " ",Table3[[#This Row],[last_name]])</f>
        <v>Steve Carr</v>
      </c>
    </row>
    <row r="682" spans="1:17" hidden="1" x14ac:dyDescent="0.3">
      <c r="A682">
        <v>429</v>
      </c>
      <c r="B682" t="s">
        <v>263</v>
      </c>
      <c r="C682" t="s">
        <v>264</v>
      </c>
      <c r="D682" t="s">
        <v>265</v>
      </c>
      <c r="E682" t="s">
        <v>16</v>
      </c>
      <c r="F682" t="s">
        <v>25</v>
      </c>
      <c r="G682" s="1">
        <v>853</v>
      </c>
      <c r="H682" t="s">
        <v>26</v>
      </c>
      <c r="I682" s="2">
        <v>43218</v>
      </c>
      <c r="J682" t="s">
        <v>35</v>
      </c>
      <c r="K682" t="s">
        <v>266</v>
      </c>
      <c r="L682">
        <v>91499</v>
      </c>
      <c r="M682" t="s">
        <v>21</v>
      </c>
      <c r="N682" t="str">
        <f>VLOOKUP(A682, Data_Set_2!$A:$D,2,FALSE)</f>
        <v>scarrbw</v>
      </c>
      <c r="O682" t="str">
        <f>VLOOKUP(A682, Data_Set_2!$A:$D,3,FALSE)</f>
        <v>Zoomcast</v>
      </c>
      <c r="P682" t="str">
        <f>VLOOKUP(A682, Data_Set_2!$A:$D,4,FALSE)</f>
        <v>Financial Analyst</v>
      </c>
      <c r="Q682" t="str">
        <f>_xlfn.CONCAT(Table3[[#This Row],[first_name]], " ",Table3[[#This Row],[last_name]])</f>
        <v>Steve Carr</v>
      </c>
    </row>
    <row r="683" spans="1:17" hidden="1" x14ac:dyDescent="0.3">
      <c r="A683">
        <v>429</v>
      </c>
      <c r="B683" t="s">
        <v>263</v>
      </c>
      <c r="C683" t="s">
        <v>264</v>
      </c>
      <c r="D683" t="s">
        <v>265</v>
      </c>
      <c r="E683" t="s">
        <v>16</v>
      </c>
      <c r="F683" t="s">
        <v>25</v>
      </c>
      <c r="G683" s="1">
        <v>904</v>
      </c>
      <c r="H683" t="s">
        <v>26</v>
      </c>
      <c r="I683" s="2">
        <v>43262</v>
      </c>
      <c r="J683" t="s">
        <v>35</v>
      </c>
      <c r="K683" t="s">
        <v>266</v>
      </c>
      <c r="L683">
        <v>91499</v>
      </c>
      <c r="M683" t="s">
        <v>21</v>
      </c>
      <c r="N683" t="str">
        <f>VLOOKUP(A683, Data_Set_2!$A:$D,2,FALSE)</f>
        <v>scarrbw</v>
      </c>
      <c r="O683" t="str">
        <f>VLOOKUP(A683, Data_Set_2!$A:$D,3,FALSE)</f>
        <v>Zoomcast</v>
      </c>
      <c r="P683" t="str">
        <f>VLOOKUP(A683, Data_Set_2!$A:$D,4,FALSE)</f>
        <v>Financial Analyst</v>
      </c>
      <c r="Q683" t="str">
        <f>_xlfn.CONCAT(Table3[[#This Row],[first_name]], " ",Table3[[#This Row],[last_name]])</f>
        <v>Steve Carr</v>
      </c>
    </row>
    <row r="684" spans="1:17" hidden="1" x14ac:dyDescent="0.3">
      <c r="A684">
        <v>429</v>
      </c>
      <c r="B684" t="s">
        <v>263</v>
      </c>
      <c r="C684" t="s">
        <v>264</v>
      </c>
      <c r="D684" t="s">
        <v>265</v>
      </c>
      <c r="E684" t="s">
        <v>16</v>
      </c>
      <c r="F684" t="s">
        <v>25</v>
      </c>
      <c r="G684" s="1">
        <v>383</v>
      </c>
      <c r="H684" t="s">
        <v>26</v>
      </c>
      <c r="I684" s="2">
        <v>43519</v>
      </c>
      <c r="J684" t="s">
        <v>35</v>
      </c>
      <c r="K684" t="s">
        <v>266</v>
      </c>
      <c r="L684">
        <v>91499</v>
      </c>
      <c r="M684" t="s">
        <v>21</v>
      </c>
      <c r="N684" t="str">
        <f>VLOOKUP(A684, Data_Set_2!$A:$D,2,FALSE)</f>
        <v>scarrbw</v>
      </c>
      <c r="O684" t="str">
        <f>VLOOKUP(A684, Data_Set_2!$A:$D,3,FALSE)</f>
        <v>Zoomcast</v>
      </c>
      <c r="P684" t="str">
        <f>VLOOKUP(A684, Data_Set_2!$A:$D,4,FALSE)</f>
        <v>Financial Analyst</v>
      </c>
      <c r="Q684" t="str">
        <f>_xlfn.CONCAT(Table3[[#This Row],[first_name]], " ",Table3[[#This Row],[last_name]])</f>
        <v>Steve Carr</v>
      </c>
    </row>
    <row r="685" spans="1:17" hidden="1" x14ac:dyDescent="0.3">
      <c r="A685">
        <v>429</v>
      </c>
      <c r="B685" t="s">
        <v>263</v>
      </c>
      <c r="C685" t="s">
        <v>264</v>
      </c>
      <c r="D685" t="s">
        <v>265</v>
      </c>
      <c r="E685" t="s">
        <v>16</v>
      </c>
      <c r="F685" t="s">
        <v>25</v>
      </c>
      <c r="G685" s="1">
        <v>44</v>
      </c>
      <c r="H685" t="s">
        <v>26</v>
      </c>
      <c r="I685" s="2">
        <v>43538</v>
      </c>
      <c r="J685" t="s">
        <v>35</v>
      </c>
      <c r="K685" t="s">
        <v>266</v>
      </c>
      <c r="L685">
        <v>91499</v>
      </c>
      <c r="M685" t="s">
        <v>21</v>
      </c>
      <c r="N685" t="str">
        <f>VLOOKUP(A685, Data_Set_2!$A:$D,2,FALSE)</f>
        <v>scarrbw</v>
      </c>
      <c r="O685" t="str">
        <f>VLOOKUP(A685, Data_Set_2!$A:$D,3,FALSE)</f>
        <v>Zoomcast</v>
      </c>
      <c r="P685" t="str">
        <f>VLOOKUP(A685, Data_Set_2!$A:$D,4,FALSE)</f>
        <v>Financial Analyst</v>
      </c>
      <c r="Q685" t="str">
        <f>_xlfn.CONCAT(Table3[[#This Row],[first_name]], " ",Table3[[#This Row],[last_name]])</f>
        <v>Steve Carr</v>
      </c>
    </row>
    <row r="686" spans="1:17" hidden="1" x14ac:dyDescent="0.3">
      <c r="A686">
        <v>429</v>
      </c>
      <c r="B686" t="s">
        <v>263</v>
      </c>
      <c r="C686" t="s">
        <v>264</v>
      </c>
      <c r="D686" t="s">
        <v>265</v>
      </c>
      <c r="E686" t="s">
        <v>16</v>
      </c>
      <c r="F686" t="s">
        <v>25</v>
      </c>
      <c r="G686" s="1">
        <v>992</v>
      </c>
      <c r="H686" t="s">
        <v>26</v>
      </c>
      <c r="I686" s="2">
        <v>43865</v>
      </c>
      <c r="J686" t="s">
        <v>35</v>
      </c>
      <c r="K686" t="s">
        <v>266</v>
      </c>
      <c r="L686">
        <v>91499</v>
      </c>
      <c r="M686" t="s">
        <v>21</v>
      </c>
      <c r="N686" t="str">
        <f>VLOOKUP(A686, Data_Set_2!$A:$D,2,FALSE)</f>
        <v>scarrbw</v>
      </c>
      <c r="O686" t="str">
        <f>VLOOKUP(A686, Data_Set_2!$A:$D,3,FALSE)</f>
        <v>Zoomcast</v>
      </c>
      <c r="P686" t="str">
        <f>VLOOKUP(A686, Data_Set_2!$A:$D,4,FALSE)</f>
        <v>Financial Analyst</v>
      </c>
      <c r="Q686" t="str">
        <f>_xlfn.CONCAT(Table3[[#This Row],[first_name]], " ",Table3[[#This Row],[last_name]])</f>
        <v>Steve Carr</v>
      </c>
    </row>
    <row r="687" spans="1:17" hidden="1" x14ac:dyDescent="0.3">
      <c r="A687">
        <v>429</v>
      </c>
      <c r="B687" t="s">
        <v>263</v>
      </c>
      <c r="C687" t="s">
        <v>264</v>
      </c>
      <c r="D687" t="s">
        <v>265</v>
      </c>
      <c r="E687" t="s">
        <v>16</v>
      </c>
      <c r="F687" t="s">
        <v>25</v>
      </c>
      <c r="G687" s="1">
        <v>674</v>
      </c>
      <c r="H687" t="s">
        <v>26</v>
      </c>
      <c r="I687" s="2">
        <v>43926</v>
      </c>
      <c r="J687" t="s">
        <v>35</v>
      </c>
      <c r="K687" t="s">
        <v>266</v>
      </c>
      <c r="L687">
        <v>91499</v>
      </c>
      <c r="M687" t="s">
        <v>21</v>
      </c>
      <c r="N687" t="str">
        <f>VLOOKUP(A687, Data_Set_2!$A:$D,2,FALSE)</f>
        <v>scarrbw</v>
      </c>
      <c r="O687" t="str">
        <f>VLOOKUP(A687, Data_Set_2!$A:$D,3,FALSE)</f>
        <v>Zoomcast</v>
      </c>
      <c r="P687" t="str">
        <f>VLOOKUP(A687, Data_Set_2!$A:$D,4,FALSE)</f>
        <v>Financial Analyst</v>
      </c>
      <c r="Q687" t="str">
        <f>_xlfn.CONCAT(Table3[[#This Row],[first_name]], " ",Table3[[#This Row],[last_name]])</f>
        <v>Steve Carr</v>
      </c>
    </row>
    <row r="688" spans="1:17" hidden="1" x14ac:dyDescent="0.3">
      <c r="A688">
        <v>429</v>
      </c>
      <c r="B688" t="s">
        <v>263</v>
      </c>
      <c r="C688" t="s">
        <v>264</v>
      </c>
      <c r="D688" t="s">
        <v>265</v>
      </c>
      <c r="E688" t="s">
        <v>16</v>
      </c>
      <c r="F688" t="s">
        <v>25</v>
      </c>
      <c r="G688" s="1">
        <v>467</v>
      </c>
      <c r="H688" t="s">
        <v>26</v>
      </c>
      <c r="I688" s="2">
        <v>44290</v>
      </c>
      <c r="J688" t="s">
        <v>35</v>
      </c>
      <c r="K688" t="s">
        <v>266</v>
      </c>
      <c r="L688">
        <v>91499</v>
      </c>
      <c r="M688" t="s">
        <v>21</v>
      </c>
      <c r="N688" t="str">
        <f>VLOOKUP(A688, Data_Set_2!$A:$D,2,FALSE)</f>
        <v>scarrbw</v>
      </c>
      <c r="O688" t="str">
        <f>VLOOKUP(A688, Data_Set_2!$A:$D,3,FALSE)</f>
        <v>Zoomcast</v>
      </c>
      <c r="P688" t="str">
        <f>VLOOKUP(A688, Data_Set_2!$A:$D,4,FALSE)</f>
        <v>Financial Analyst</v>
      </c>
      <c r="Q688" t="str">
        <f>_xlfn.CONCAT(Table3[[#This Row],[first_name]], " ",Table3[[#This Row],[last_name]])</f>
        <v>Steve Carr</v>
      </c>
    </row>
    <row r="689" spans="1:17" hidden="1" x14ac:dyDescent="0.3">
      <c r="A689">
        <v>429</v>
      </c>
      <c r="B689" t="s">
        <v>263</v>
      </c>
      <c r="C689" t="s">
        <v>264</v>
      </c>
      <c r="D689" t="s">
        <v>265</v>
      </c>
      <c r="E689" t="s">
        <v>16</v>
      </c>
      <c r="F689" t="s">
        <v>25</v>
      </c>
      <c r="G689" s="1">
        <v>40</v>
      </c>
      <c r="H689" t="s">
        <v>26</v>
      </c>
      <c r="I689" s="2">
        <v>44307</v>
      </c>
      <c r="J689" t="s">
        <v>35</v>
      </c>
      <c r="K689" t="s">
        <v>266</v>
      </c>
      <c r="L689">
        <v>91499</v>
      </c>
      <c r="M689" t="s">
        <v>21</v>
      </c>
      <c r="N689" t="str">
        <f>VLOOKUP(A689, Data_Set_2!$A:$D,2,FALSE)</f>
        <v>scarrbw</v>
      </c>
      <c r="O689" t="str">
        <f>VLOOKUP(A689, Data_Set_2!$A:$D,3,FALSE)</f>
        <v>Zoomcast</v>
      </c>
      <c r="P689" t="str">
        <f>VLOOKUP(A689, Data_Set_2!$A:$D,4,FALSE)</f>
        <v>Financial Analyst</v>
      </c>
      <c r="Q689" t="str">
        <f>_xlfn.CONCAT(Table3[[#This Row],[first_name]], " ",Table3[[#This Row],[last_name]])</f>
        <v>Steve Carr</v>
      </c>
    </row>
    <row r="690" spans="1:17" hidden="1" x14ac:dyDescent="0.3">
      <c r="A690">
        <v>429</v>
      </c>
      <c r="B690" t="s">
        <v>263</v>
      </c>
      <c r="C690" t="s">
        <v>264</v>
      </c>
      <c r="D690" t="s">
        <v>265</v>
      </c>
      <c r="E690" t="s">
        <v>16</v>
      </c>
      <c r="F690" t="s">
        <v>25</v>
      </c>
      <c r="G690" s="1">
        <v>777</v>
      </c>
      <c r="H690" t="s">
        <v>26</v>
      </c>
      <c r="I690" s="2">
        <v>44375</v>
      </c>
      <c r="J690" t="s">
        <v>35</v>
      </c>
      <c r="K690" t="s">
        <v>266</v>
      </c>
      <c r="L690">
        <v>91499</v>
      </c>
      <c r="M690" t="s">
        <v>21</v>
      </c>
      <c r="N690" t="str">
        <f>VLOOKUP(A690, Data_Set_2!$A:$D,2,FALSE)</f>
        <v>scarrbw</v>
      </c>
      <c r="O690" t="str">
        <f>VLOOKUP(A690, Data_Set_2!$A:$D,3,FALSE)</f>
        <v>Zoomcast</v>
      </c>
      <c r="P690" t="str">
        <f>VLOOKUP(A690, Data_Set_2!$A:$D,4,FALSE)</f>
        <v>Financial Analyst</v>
      </c>
      <c r="Q690" t="str">
        <f>_xlfn.CONCAT(Table3[[#This Row],[first_name]], " ",Table3[[#This Row],[last_name]])</f>
        <v>Steve Carr</v>
      </c>
    </row>
    <row r="691" spans="1:17" hidden="1" x14ac:dyDescent="0.3">
      <c r="A691">
        <v>429</v>
      </c>
      <c r="B691" t="s">
        <v>263</v>
      </c>
      <c r="C691" t="s">
        <v>264</v>
      </c>
      <c r="D691" t="s">
        <v>265</v>
      </c>
      <c r="E691" t="s">
        <v>16</v>
      </c>
      <c r="F691" t="s">
        <v>25</v>
      </c>
      <c r="G691" s="1">
        <v>745</v>
      </c>
      <c r="H691" t="s">
        <v>26</v>
      </c>
      <c r="I691" s="2">
        <v>44635</v>
      </c>
      <c r="J691" t="s">
        <v>35</v>
      </c>
      <c r="K691" t="s">
        <v>266</v>
      </c>
      <c r="L691">
        <v>91499</v>
      </c>
      <c r="M691" t="s">
        <v>21</v>
      </c>
      <c r="N691" t="str">
        <f>VLOOKUP(A691, Data_Set_2!$A:$D,2,FALSE)</f>
        <v>scarrbw</v>
      </c>
      <c r="O691" t="str">
        <f>VLOOKUP(A691, Data_Set_2!$A:$D,3,FALSE)</f>
        <v>Zoomcast</v>
      </c>
      <c r="P691" t="str">
        <f>VLOOKUP(A691, Data_Set_2!$A:$D,4,FALSE)</f>
        <v>Financial Analyst</v>
      </c>
      <c r="Q691" t="str">
        <f>_xlfn.CONCAT(Table3[[#This Row],[first_name]], " ",Table3[[#This Row],[last_name]])</f>
        <v>Steve Carr</v>
      </c>
    </row>
    <row r="692" spans="1:17" hidden="1" x14ac:dyDescent="0.3">
      <c r="A692">
        <v>429</v>
      </c>
      <c r="B692" t="s">
        <v>263</v>
      </c>
      <c r="C692" t="s">
        <v>264</v>
      </c>
      <c r="D692" t="s">
        <v>265</v>
      </c>
      <c r="E692" t="s">
        <v>16</v>
      </c>
      <c r="F692" t="s">
        <v>25</v>
      </c>
      <c r="G692" s="1">
        <v>723</v>
      </c>
      <c r="H692" t="s">
        <v>26</v>
      </c>
      <c r="I692" s="2">
        <v>44636</v>
      </c>
      <c r="J692" t="s">
        <v>35</v>
      </c>
      <c r="K692" t="s">
        <v>266</v>
      </c>
      <c r="L692">
        <v>91499</v>
      </c>
      <c r="M692" t="s">
        <v>21</v>
      </c>
      <c r="N692" t="str">
        <f>VLOOKUP(A692, Data_Set_2!$A:$D,2,FALSE)</f>
        <v>scarrbw</v>
      </c>
      <c r="O692" t="str">
        <f>VLOOKUP(A692, Data_Set_2!$A:$D,3,FALSE)</f>
        <v>Zoomcast</v>
      </c>
      <c r="P692" t="str">
        <f>VLOOKUP(A692, Data_Set_2!$A:$D,4,FALSE)</f>
        <v>Financial Analyst</v>
      </c>
      <c r="Q692" t="str">
        <f>_xlfn.CONCAT(Table3[[#This Row],[first_name]], " ",Table3[[#This Row],[last_name]])</f>
        <v>Steve Carr</v>
      </c>
    </row>
    <row r="693" spans="1:17" hidden="1" x14ac:dyDescent="0.3">
      <c r="A693">
        <v>429</v>
      </c>
      <c r="B693" t="s">
        <v>263</v>
      </c>
      <c r="C693" t="s">
        <v>264</v>
      </c>
      <c r="D693" t="s">
        <v>265</v>
      </c>
      <c r="E693" t="s">
        <v>16</v>
      </c>
      <c r="F693" t="s">
        <v>25</v>
      </c>
      <c r="G693" s="1">
        <v>617</v>
      </c>
      <c r="H693" t="s">
        <v>26</v>
      </c>
      <c r="I693" s="2">
        <v>44845</v>
      </c>
      <c r="J693" t="s">
        <v>35</v>
      </c>
      <c r="K693" t="s">
        <v>266</v>
      </c>
      <c r="L693">
        <v>91499</v>
      </c>
      <c r="M693" t="s">
        <v>21</v>
      </c>
      <c r="N693" t="str">
        <f>VLOOKUP(A693, Data_Set_2!$A:$D,2,FALSE)</f>
        <v>scarrbw</v>
      </c>
      <c r="O693" t="str">
        <f>VLOOKUP(A693, Data_Set_2!$A:$D,3,FALSE)</f>
        <v>Zoomcast</v>
      </c>
      <c r="P693" t="str">
        <f>VLOOKUP(A693, Data_Set_2!$A:$D,4,FALSE)</f>
        <v>Financial Analyst</v>
      </c>
      <c r="Q693" t="str">
        <f>_xlfn.CONCAT(Table3[[#This Row],[first_name]], " ",Table3[[#This Row],[last_name]])</f>
        <v>Steve Carr</v>
      </c>
    </row>
    <row r="694" spans="1:17" hidden="1" x14ac:dyDescent="0.3">
      <c r="A694">
        <v>429</v>
      </c>
      <c r="B694" t="s">
        <v>263</v>
      </c>
      <c r="C694" t="s">
        <v>264</v>
      </c>
      <c r="D694" t="s">
        <v>265</v>
      </c>
      <c r="E694" t="s">
        <v>16</v>
      </c>
      <c r="F694" t="s">
        <v>25</v>
      </c>
      <c r="G694" s="1">
        <v>83</v>
      </c>
      <c r="H694" t="s">
        <v>26</v>
      </c>
      <c r="I694" s="2">
        <v>44887</v>
      </c>
      <c r="J694" t="s">
        <v>35</v>
      </c>
      <c r="K694" t="s">
        <v>266</v>
      </c>
      <c r="L694">
        <v>91499</v>
      </c>
      <c r="M694" t="s">
        <v>21</v>
      </c>
      <c r="N694" t="str">
        <f>VLOOKUP(A694, Data_Set_2!$A:$D,2,FALSE)</f>
        <v>scarrbw</v>
      </c>
      <c r="O694" t="str">
        <f>VLOOKUP(A694, Data_Set_2!$A:$D,3,FALSE)</f>
        <v>Zoomcast</v>
      </c>
      <c r="P694" t="str">
        <f>VLOOKUP(A694, Data_Set_2!$A:$D,4,FALSE)</f>
        <v>Financial Analyst</v>
      </c>
      <c r="Q694" t="str">
        <f>_xlfn.CONCAT(Table3[[#This Row],[first_name]], " ",Table3[[#This Row],[last_name]])</f>
        <v>Steve Carr</v>
      </c>
    </row>
    <row r="695" spans="1:17" hidden="1" x14ac:dyDescent="0.3">
      <c r="A695">
        <v>430</v>
      </c>
      <c r="B695" t="s">
        <v>819</v>
      </c>
      <c r="C695" t="s">
        <v>141</v>
      </c>
      <c r="D695" t="s">
        <v>1092</v>
      </c>
      <c r="E695" t="s">
        <v>32</v>
      </c>
      <c r="F695" t="s">
        <v>33</v>
      </c>
      <c r="G695" s="1">
        <v>755</v>
      </c>
      <c r="H695" t="s">
        <v>26</v>
      </c>
      <c r="I695" s="2">
        <v>44474</v>
      </c>
      <c r="J695" t="s">
        <v>96</v>
      </c>
      <c r="K695" t="s">
        <v>329</v>
      </c>
      <c r="L695">
        <v>47747</v>
      </c>
      <c r="M695" t="s">
        <v>21</v>
      </c>
      <c r="N695" t="str">
        <f>VLOOKUP(A695, Data_Set_2!$A:$D,2,FALSE)</f>
        <v>mricebx</v>
      </c>
      <c r="O695" t="str">
        <f>VLOOKUP(A695, Data_Set_2!$A:$D,3,FALSE)</f>
        <v>Wikido</v>
      </c>
      <c r="P695" t="str">
        <f>VLOOKUP(A695, Data_Set_2!$A:$D,4,FALSE)</f>
        <v>VP Quality Control</v>
      </c>
      <c r="Q695" t="str">
        <f>_xlfn.CONCAT(Table3[[#This Row],[first_name]], " ",Table3[[#This Row],[last_name]])</f>
        <v>Margaret Rice</v>
      </c>
    </row>
    <row r="696" spans="1:17" hidden="1" x14ac:dyDescent="0.3">
      <c r="A696">
        <v>431</v>
      </c>
      <c r="B696" t="s">
        <v>313</v>
      </c>
      <c r="C696" t="s">
        <v>1045</v>
      </c>
      <c r="D696" t="s">
        <v>1232</v>
      </c>
      <c r="E696" t="s">
        <v>16</v>
      </c>
      <c r="F696" t="s">
        <v>33</v>
      </c>
      <c r="G696" s="1">
        <v>492</v>
      </c>
      <c r="H696" t="s">
        <v>18</v>
      </c>
      <c r="I696" s="2">
        <v>44834</v>
      </c>
      <c r="J696" t="s">
        <v>184</v>
      </c>
      <c r="K696" t="s">
        <v>1105</v>
      </c>
      <c r="L696">
        <v>14263</v>
      </c>
      <c r="M696" t="s">
        <v>21</v>
      </c>
      <c r="N696" t="str">
        <f>VLOOKUP(A696, Data_Set_2!$A:$D,2,FALSE)</f>
        <v>hbrownby</v>
      </c>
      <c r="O696" t="str">
        <f>VLOOKUP(A696, Data_Set_2!$A:$D,3,FALSE)</f>
        <v>Thoughtbridge</v>
      </c>
      <c r="P696" t="str">
        <f>VLOOKUP(A696, Data_Set_2!$A:$D,4,FALSE)</f>
        <v>Chief Design Engineer</v>
      </c>
      <c r="Q696" t="str">
        <f>_xlfn.CONCAT(Table3[[#This Row],[first_name]], " ",Table3[[#This Row],[last_name]])</f>
        <v>Henry Brown</v>
      </c>
    </row>
    <row r="697" spans="1:17" hidden="1" x14ac:dyDescent="0.3">
      <c r="A697">
        <v>432</v>
      </c>
      <c r="B697" t="s">
        <v>422</v>
      </c>
      <c r="C697" t="s">
        <v>423</v>
      </c>
      <c r="D697" t="s">
        <v>424</v>
      </c>
      <c r="E697" t="s">
        <v>16</v>
      </c>
      <c r="F697" t="s">
        <v>51</v>
      </c>
      <c r="G697" s="1">
        <v>275</v>
      </c>
      <c r="H697" t="s">
        <v>34</v>
      </c>
      <c r="I697" s="2">
        <v>43301</v>
      </c>
      <c r="J697" t="s">
        <v>96</v>
      </c>
      <c r="K697" t="s">
        <v>425</v>
      </c>
      <c r="L697">
        <v>46266</v>
      </c>
      <c r="M697" t="s">
        <v>21</v>
      </c>
      <c r="N697" t="str">
        <f>VLOOKUP(A697, Data_Set_2!$A:$D,2,FALSE)</f>
        <v>dhamiltonbz</v>
      </c>
      <c r="O697" t="str">
        <f>VLOOKUP(A697, Data_Set_2!$A:$D,3,FALSE)</f>
        <v>Pixope</v>
      </c>
      <c r="P697" t="str">
        <f>VLOOKUP(A697, Data_Set_2!$A:$D,4,FALSE)</f>
        <v>Staff Accountant III</v>
      </c>
      <c r="Q697" t="str">
        <f>_xlfn.CONCAT(Table3[[#This Row],[first_name]], " ",Table3[[#This Row],[last_name]])</f>
        <v>David Hamilton</v>
      </c>
    </row>
    <row r="698" spans="1:17" hidden="1" x14ac:dyDescent="0.3">
      <c r="A698">
        <v>432</v>
      </c>
      <c r="B698" t="s">
        <v>422</v>
      </c>
      <c r="C698" t="s">
        <v>423</v>
      </c>
      <c r="D698" t="s">
        <v>424</v>
      </c>
      <c r="E698" t="s">
        <v>16</v>
      </c>
      <c r="F698" t="s">
        <v>51</v>
      </c>
      <c r="G698" s="1">
        <v>786</v>
      </c>
      <c r="H698" t="s">
        <v>34</v>
      </c>
      <c r="I698" s="2">
        <v>43623</v>
      </c>
      <c r="J698" t="s">
        <v>96</v>
      </c>
      <c r="K698" t="s">
        <v>425</v>
      </c>
      <c r="L698">
        <v>46266</v>
      </c>
      <c r="M698" t="s">
        <v>21</v>
      </c>
      <c r="N698" t="str">
        <f>VLOOKUP(A698, Data_Set_2!$A:$D,2,FALSE)</f>
        <v>dhamiltonbz</v>
      </c>
      <c r="O698" t="str">
        <f>VLOOKUP(A698, Data_Set_2!$A:$D,3,FALSE)</f>
        <v>Pixope</v>
      </c>
      <c r="P698" t="str">
        <f>VLOOKUP(A698, Data_Set_2!$A:$D,4,FALSE)</f>
        <v>Staff Accountant III</v>
      </c>
      <c r="Q698" t="str">
        <f>_xlfn.CONCAT(Table3[[#This Row],[first_name]], " ",Table3[[#This Row],[last_name]])</f>
        <v>David Hamilton</v>
      </c>
    </row>
    <row r="699" spans="1:17" hidden="1" x14ac:dyDescent="0.3">
      <c r="A699">
        <v>432</v>
      </c>
      <c r="B699" t="s">
        <v>422</v>
      </c>
      <c r="C699" t="s">
        <v>423</v>
      </c>
      <c r="D699" t="s">
        <v>424</v>
      </c>
      <c r="E699" t="s">
        <v>16</v>
      </c>
      <c r="F699" t="s">
        <v>51</v>
      </c>
      <c r="G699" s="1">
        <v>497</v>
      </c>
      <c r="H699" t="s">
        <v>34</v>
      </c>
      <c r="I699" s="2">
        <v>43710</v>
      </c>
      <c r="J699" t="s">
        <v>96</v>
      </c>
      <c r="K699" t="s">
        <v>425</v>
      </c>
      <c r="L699">
        <v>46266</v>
      </c>
      <c r="M699" t="s">
        <v>21</v>
      </c>
      <c r="N699" t="str">
        <f>VLOOKUP(A699, Data_Set_2!$A:$D,2,FALSE)</f>
        <v>dhamiltonbz</v>
      </c>
      <c r="O699" t="str">
        <f>VLOOKUP(A699, Data_Set_2!$A:$D,3,FALSE)</f>
        <v>Pixope</v>
      </c>
      <c r="P699" t="str">
        <f>VLOOKUP(A699, Data_Set_2!$A:$D,4,FALSE)</f>
        <v>Staff Accountant III</v>
      </c>
      <c r="Q699" t="str">
        <f>_xlfn.CONCAT(Table3[[#This Row],[first_name]], " ",Table3[[#This Row],[last_name]])</f>
        <v>David Hamilton</v>
      </c>
    </row>
    <row r="700" spans="1:17" hidden="1" x14ac:dyDescent="0.3">
      <c r="A700">
        <v>432</v>
      </c>
      <c r="B700" t="s">
        <v>422</v>
      </c>
      <c r="C700" t="s">
        <v>423</v>
      </c>
      <c r="D700" t="s">
        <v>424</v>
      </c>
      <c r="E700" t="s">
        <v>16</v>
      </c>
      <c r="F700" t="s">
        <v>51</v>
      </c>
      <c r="G700" s="1">
        <v>973</v>
      </c>
      <c r="H700" t="s">
        <v>34</v>
      </c>
      <c r="I700" s="2">
        <v>43894</v>
      </c>
      <c r="J700" t="s">
        <v>96</v>
      </c>
      <c r="K700" t="s">
        <v>425</v>
      </c>
      <c r="L700">
        <v>46266</v>
      </c>
      <c r="M700" t="s">
        <v>21</v>
      </c>
      <c r="N700" t="str">
        <f>VLOOKUP(A700, Data_Set_2!$A:$D,2,FALSE)</f>
        <v>dhamiltonbz</v>
      </c>
      <c r="O700" t="str">
        <f>VLOOKUP(A700, Data_Set_2!$A:$D,3,FALSE)</f>
        <v>Pixope</v>
      </c>
      <c r="P700" t="str">
        <f>VLOOKUP(A700, Data_Set_2!$A:$D,4,FALSE)</f>
        <v>Staff Accountant III</v>
      </c>
      <c r="Q700" t="str">
        <f>_xlfn.CONCAT(Table3[[#This Row],[first_name]], " ",Table3[[#This Row],[last_name]])</f>
        <v>David Hamilton</v>
      </c>
    </row>
    <row r="701" spans="1:17" hidden="1" x14ac:dyDescent="0.3">
      <c r="A701">
        <v>432</v>
      </c>
      <c r="B701" t="s">
        <v>422</v>
      </c>
      <c r="C701" t="s">
        <v>423</v>
      </c>
      <c r="D701" t="s">
        <v>424</v>
      </c>
      <c r="E701" t="s">
        <v>16</v>
      </c>
      <c r="F701" t="s">
        <v>51</v>
      </c>
      <c r="G701" s="1">
        <v>839</v>
      </c>
      <c r="H701" t="s">
        <v>34</v>
      </c>
      <c r="I701" s="2">
        <v>43939</v>
      </c>
      <c r="J701" t="s">
        <v>96</v>
      </c>
      <c r="K701" t="s">
        <v>425</v>
      </c>
      <c r="L701">
        <v>46266</v>
      </c>
      <c r="M701" t="s">
        <v>21</v>
      </c>
      <c r="N701" t="str">
        <f>VLOOKUP(A701, Data_Set_2!$A:$D,2,FALSE)</f>
        <v>dhamiltonbz</v>
      </c>
      <c r="O701" t="str">
        <f>VLOOKUP(A701, Data_Set_2!$A:$D,3,FALSE)</f>
        <v>Pixope</v>
      </c>
      <c r="P701" t="str">
        <f>VLOOKUP(A701, Data_Set_2!$A:$D,4,FALSE)</f>
        <v>Staff Accountant III</v>
      </c>
      <c r="Q701" t="str">
        <f>_xlfn.CONCAT(Table3[[#This Row],[first_name]], " ",Table3[[#This Row],[last_name]])</f>
        <v>David Hamilton</v>
      </c>
    </row>
    <row r="702" spans="1:17" hidden="1" x14ac:dyDescent="0.3">
      <c r="A702">
        <v>432</v>
      </c>
      <c r="B702" t="s">
        <v>422</v>
      </c>
      <c r="C702" t="s">
        <v>423</v>
      </c>
      <c r="D702" t="s">
        <v>424</v>
      </c>
      <c r="E702" t="s">
        <v>16</v>
      </c>
      <c r="F702" t="s">
        <v>51</v>
      </c>
      <c r="G702" s="1">
        <v>503</v>
      </c>
      <c r="H702" t="s">
        <v>34</v>
      </c>
      <c r="I702" s="2">
        <v>44047</v>
      </c>
      <c r="J702" t="s">
        <v>96</v>
      </c>
      <c r="K702" t="s">
        <v>425</v>
      </c>
      <c r="L702">
        <v>46266</v>
      </c>
      <c r="M702" t="s">
        <v>21</v>
      </c>
      <c r="N702" t="str">
        <f>VLOOKUP(A702, Data_Set_2!$A:$D,2,FALSE)</f>
        <v>dhamiltonbz</v>
      </c>
      <c r="O702" t="str">
        <f>VLOOKUP(A702, Data_Set_2!$A:$D,3,FALSE)</f>
        <v>Pixope</v>
      </c>
      <c r="P702" t="str">
        <f>VLOOKUP(A702, Data_Set_2!$A:$D,4,FALSE)</f>
        <v>Staff Accountant III</v>
      </c>
      <c r="Q702" t="str">
        <f>_xlfn.CONCAT(Table3[[#This Row],[first_name]], " ",Table3[[#This Row],[last_name]])</f>
        <v>David Hamilton</v>
      </c>
    </row>
    <row r="703" spans="1:17" hidden="1" x14ac:dyDescent="0.3">
      <c r="A703">
        <v>432</v>
      </c>
      <c r="B703" t="s">
        <v>422</v>
      </c>
      <c r="C703" t="s">
        <v>423</v>
      </c>
      <c r="D703" t="s">
        <v>424</v>
      </c>
      <c r="E703" t="s">
        <v>16</v>
      </c>
      <c r="F703" t="s">
        <v>51</v>
      </c>
      <c r="G703" s="1">
        <v>933</v>
      </c>
      <c r="H703" t="s">
        <v>34</v>
      </c>
      <c r="I703" s="2">
        <v>44088</v>
      </c>
      <c r="J703" t="s">
        <v>96</v>
      </c>
      <c r="K703" t="s">
        <v>425</v>
      </c>
      <c r="L703">
        <v>46266</v>
      </c>
      <c r="M703" t="s">
        <v>21</v>
      </c>
      <c r="N703" t="str">
        <f>VLOOKUP(A703, Data_Set_2!$A:$D,2,FALSE)</f>
        <v>dhamiltonbz</v>
      </c>
      <c r="O703" t="str">
        <f>VLOOKUP(A703, Data_Set_2!$A:$D,3,FALSE)</f>
        <v>Pixope</v>
      </c>
      <c r="P703" t="str">
        <f>VLOOKUP(A703, Data_Set_2!$A:$D,4,FALSE)</f>
        <v>Staff Accountant III</v>
      </c>
      <c r="Q703" t="str">
        <f>_xlfn.CONCAT(Table3[[#This Row],[first_name]], " ",Table3[[#This Row],[last_name]])</f>
        <v>David Hamilton</v>
      </c>
    </row>
    <row r="704" spans="1:17" hidden="1" x14ac:dyDescent="0.3">
      <c r="A704">
        <v>432</v>
      </c>
      <c r="B704" t="s">
        <v>422</v>
      </c>
      <c r="C704" t="s">
        <v>423</v>
      </c>
      <c r="D704" t="s">
        <v>424</v>
      </c>
      <c r="E704" t="s">
        <v>16</v>
      </c>
      <c r="F704" t="s">
        <v>51</v>
      </c>
      <c r="G704" s="1">
        <v>169</v>
      </c>
      <c r="H704" t="s">
        <v>34</v>
      </c>
      <c r="I704" s="2">
        <v>44110</v>
      </c>
      <c r="J704" t="s">
        <v>96</v>
      </c>
      <c r="K704" t="s">
        <v>425</v>
      </c>
      <c r="L704">
        <v>46266</v>
      </c>
      <c r="M704" t="s">
        <v>21</v>
      </c>
      <c r="N704" t="str">
        <f>VLOOKUP(A704, Data_Set_2!$A:$D,2,FALSE)</f>
        <v>dhamiltonbz</v>
      </c>
      <c r="O704" t="str">
        <f>VLOOKUP(A704, Data_Set_2!$A:$D,3,FALSE)</f>
        <v>Pixope</v>
      </c>
      <c r="P704" t="str">
        <f>VLOOKUP(A704, Data_Set_2!$A:$D,4,FALSE)</f>
        <v>Staff Accountant III</v>
      </c>
      <c r="Q704" t="str">
        <f>_xlfn.CONCAT(Table3[[#This Row],[first_name]], " ",Table3[[#This Row],[last_name]])</f>
        <v>David Hamilton</v>
      </c>
    </row>
    <row r="705" spans="1:17" hidden="1" x14ac:dyDescent="0.3">
      <c r="A705">
        <v>432</v>
      </c>
      <c r="B705" t="s">
        <v>422</v>
      </c>
      <c r="C705" t="s">
        <v>423</v>
      </c>
      <c r="D705" t="s">
        <v>424</v>
      </c>
      <c r="E705" t="s">
        <v>16</v>
      </c>
      <c r="F705" t="s">
        <v>51</v>
      </c>
      <c r="G705" s="1">
        <v>70</v>
      </c>
      <c r="H705" t="s">
        <v>34</v>
      </c>
      <c r="I705" s="2">
        <v>44354</v>
      </c>
      <c r="J705" t="s">
        <v>96</v>
      </c>
      <c r="K705" t="s">
        <v>425</v>
      </c>
      <c r="L705">
        <v>46266</v>
      </c>
      <c r="M705" t="s">
        <v>21</v>
      </c>
      <c r="N705" t="str">
        <f>VLOOKUP(A705, Data_Set_2!$A:$D,2,FALSE)</f>
        <v>dhamiltonbz</v>
      </c>
      <c r="O705" t="str">
        <f>VLOOKUP(A705, Data_Set_2!$A:$D,3,FALSE)</f>
        <v>Pixope</v>
      </c>
      <c r="P705" t="str">
        <f>VLOOKUP(A705, Data_Set_2!$A:$D,4,FALSE)</f>
        <v>Staff Accountant III</v>
      </c>
      <c r="Q705" t="str">
        <f>_xlfn.CONCAT(Table3[[#This Row],[first_name]], " ",Table3[[#This Row],[last_name]])</f>
        <v>David Hamilton</v>
      </c>
    </row>
    <row r="706" spans="1:17" hidden="1" x14ac:dyDescent="0.3">
      <c r="A706">
        <v>432</v>
      </c>
      <c r="B706" t="s">
        <v>422</v>
      </c>
      <c r="C706" t="s">
        <v>423</v>
      </c>
      <c r="D706" t="s">
        <v>424</v>
      </c>
      <c r="E706" t="s">
        <v>16</v>
      </c>
      <c r="F706" t="s">
        <v>51</v>
      </c>
      <c r="G706" s="1">
        <v>724</v>
      </c>
      <c r="H706" t="s">
        <v>34</v>
      </c>
      <c r="I706" s="2">
        <v>44456</v>
      </c>
      <c r="J706" t="s">
        <v>96</v>
      </c>
      <c r="K706" t="s">
        <v>425</v>
      </c>
      <c r="L706">
        <v>46266</v>
      </c>
      <c r="M706" t="s">
        <v>21</v>
      </c>
      <c r="N706" t="str">
        <f>VLOOKUP(A706, Data_Set_2!$A:$D,2,FALSE)</f>
        <v>dhamiltonbz</v>
      </c>
      <c r="O706" t="str">
        <f>VLOOKUP(A706, Data_Set_2!$A:$D,3,FALSE)</f>
        <v>Pixope</v>
      </c>
      <c r="P706" t="str">
        <f>VLOOKUP(A706, Data_Set_2!$A:$D,4,FALSE)</f>
        <v>Staff Accountant III</v>
      </c>
      <c r="Q706" t="str">
        <f>_xlfn.CONCAT(Table3[[#This Row],[first_name]], " ",Table3[[#This Row],[last_name]])</f>
        <v>David Hamilton</v>
      </c>
    </row>
    <row r="707" spans="1:17" hidden="1" x14ac:dyDescent="0.3">
      <c r="A707">
        <v>432</v>
      </c>
      <c r="B707" t="s">
        <v>422</v>
      </c>
      <c r="C707" t="s">
        <v>423</v>
      </c>
      <c r="D707" t="s">
        <v>424</v>
      </c>
      <c r="E707" t="s">
        <v>16</v>
      </c>
      <c r="F707" t="s">
        <v>51</v>
      </c>
      <c r="G707" s="1">
        <v>722</v>
      </c>
      <c r="H707" t="s">
        <v>34</v>
      </c>
      <c r="I707" s="2">
        <v>44763</v>
      </c>
      <c r="J707" t="s">
        <v>96</v>
      </c>
      <c r="K707" t="s">
        <v>425</v>
      </c>
      <c r="L707">
        <v>46266</v>
      </c>
      <c r="M707" t="s">
        <v>21</v>
      </c>
      <c r="N707" t="str">
        <f>VLOOKUP(A707, Data_Set_2!$A:$D,2,FALSE)</f>
        <v>dhamiltonbz</v>
      </c>
      <c r="O707" t="str">
        <f>VLOOKUP(A707, Data_Set_2!$A:$D,3,FALSE)</f>
        <v>Pixope</v>
      </c>
      <c r="P707" t="str">
        <f>VLOOKUP(A707, Data_Set_2!$A:$D,4,FALSE)</f>
        <v>Staff Accountant III</v>
      </c>
      <c r="Q707" t="str">
        <f>_xlfn.CONCAT(Table3[[#This Row],[first_name]], " ",Table3[[#This Row],[last_name]])</f>
        <v>David Hamilton</v>
      </c>
    </row>
    <row r="708" spans="1:17" hidden="1" x14ac:dyDescent="0.3">
      <c r="A708">
        <v>433</v>
      </c>
      <c r="B708" t="s">
        <v>304</v>
      </c>
      <c r="C708" t="s">
        <v>249</v>
      </c>
      <c r="D708" t="s">
        <v>305</v>
      </c>
      <c r="E708" t="s">
        <v>32</v>
      </c>
      <c r="F708" t="s">
        <v>33</v>
      </c>
      <c r="G708" s="1">
        <v>782</v>
      </c>
      <c r="H708" t="s">
        <v>26</v>
      </c>
      <c r="I708" s="2">
        <v>43218</v>
      </c>
      <c r="J708" t="s">
        <v>204</v>
      </c>
      <c r="K708" t="s">
        <v>306</v>
      </c>
      <c r="L708">
        <v>23520</v>
      </c>
      <c r="M708" t="s">
        <v>21</v>
      </c>
      <c r="N708" t="str">
        <f>VLOOKUP(A708, Data_Set_2!$A:$D,2,FALSE)</f>
        <v>revansc0</v>
      </c>
      <c r="O708" t="str">
        <f>VLOOKUP(A708, Data_Set_2!$A:$D,3,FALSE)</f>
        <v>Zoovu</v>
      </c>
      <c r="P708" t="str">
        <f>VLOOKUP(A708, Data_Set_2!$A:$D,4,FALSE)</f>
        <v>General Manager</v>
      </c>
      <c r="Q708" t="str">
        <f>_xlfn.CONCAT(Table3[[#This Row],[first_name]], " ",Table3[[#This Row],[last_name]])</f>
        <v>Rebecca Evans</v>
      </c>
    </row>
    <row r="709" spans="1:17" hidden="1" x14ac:dyDescent="0.3">
      <c r="A709">
        <v>436</v>
      </c>
      <c r="B709" t="s">
        <v>654</v>
      </c>
      <c r="C709" t="s">
        <v>223</v>
      </c>
      <c r="D709" t="s">
        <v>655</v>
      </c>
      <c r="E709" t="s">
        <v>32</v>
      </c>
      <c r="F709" t="s">
        <v>25</v>
      </c>
      <c r="G709" s="1">
        <v>334</v>
      </c>
      <c r="H709" t="s">
        <v>416</v>
      </c>
      <c r="I709" s="2">
        <v>43568</v>
      </c>
      <c r="J709" t="s">
        <v>184</v>
      </c>
      <c r="K709" t="s">
        <v>656</v>
      </c>
      <c r="L709">
        <v>11231</v>
      </c>
      <c r="M709" t="s">
        <v>21</v>
      </c>
      <c r="N709" t="str">
        <f>VLOOKUP(A709, Data_Set_2!$A:$D,2,FALSE)</f>
        <v>lgonzalesc3</v>
      </c>
      <c r="O709" t="str">
        <f>VLOOKUP(A709, Data_Set_2!$A:$D,3,FALSE)</f>
        <v>Fiveclub</v>
      </c>
      <c r="P709" t="str">
        <f>VLOOKUP(A709, Data_Set_2!$A:$D,4,FALSE)</f>
        <v>Internal Auditor</v>
      </c>
      <c r="Q709" t="str">
        <f>_xlfn.CONCAT(Table3[[#This Row],[first_name]], " ",Table3[[#This Row],[last_name]])</f>
        <v>Lois Gonzales</v>
      </c>
    </row>
    <row r="710" spans="1:17" hidden="1" x14ac:dyDescent="0.3">
      <c r="A710">
        <v>438</v>
      </c>
      <c r="B710" t="s">
        <v>359</v>
      </c>
      <c r="C710" t="s">
        <v>353</v>
      </c>
      <c r="D710" t="s">
        <v>360</v>
      </c>
      <c r="E710" t="s">
        <v>32</v>
      </c>
      <c r="F710" t="s">
        <v>361</v>
      </c>
      <c r="G710" s="1">
        <v>710</v>
      </c>
      <c r="H710" t="s">
        <v>4037</v>
      </c>
      <c r="I710" s="2">
        <v>43266</v>
      </c>
      <c r="J710" t="s">
        <v>35</v>
      </c>
      <c r="K710" t="s">
        <v>362</v>
      </c>
      <c r="L710">
        <v>91606</v>
      </c>
      <c r="M710" t="s">
        <v>21</v>
      </c>
      <c r="N710" t="str">
        <f>VLOOKUP(A710, Data_Set_2!$A:$D,2,FALSE)</f>
        <v>dfowlerc5</v>
      </c>
      <c r="O710" t="str">
        <f>VLOOKUP(A710, Data_Set_2!$A:$D,3,FALSE)</f>
        <v>Dabtype</v>
      </c>
      <c r="P710" t="str">
        <f>VLOOKUP(A710, Data_Set_2!$A:$D,4,FALSE)</f>
        <v>Information Systems Manager</v>
      </c>
      <c r="Q710" t="str">
        <f>_xlfn.CONCAT(Table3[[#This Row],[first_name]], " ",Table3[[#This Row],[last_name]])</f>
        <v>Deborah Fowler</v>
      </c>
    </row>
    <row r="711" spans="1:17" hidden="1" x14ac:dyDescent="0.3">
      <c r="A711">
        <v>438</v>
      </c>
      <c r="B711" t="s">
        <v>359</v>
      </c>
      <c r="C711" t="s">
        <v>353</v>
      </c>
      <c r="D711" t="s">
        <v>360</v>
      </c>
      <c r="E711" t="s">
        <v>32</v>
      </c>
      <c r="F711" t="s">
        <v>361</v>
      </c>
      <c r="G711" s="1">
        <v>935</v>
      </c>
      <c r="H711" t="s">
        <v>4037</v>
      </c>
      <c r="I711" s="2">
        <v>43440</v>
      </c>
      <c r="J711" t="s">
        <v>35</v>
      </c>
      <c r="K711" t="s">
        <v>362</v>
      </c>
      <c r="L711">
        <v>91606</v>
      </c>
      <c r="M711" t="s">
        <v>21</v>
      </c>
      <c r="N711" t="str">
        <f>VLOOKUP(A711, Data_Set_2!$A:$D,2,FALSE)</f>
        <v>dfowlerc5</v>
      </c>
      <c r="O711" t="str">
        <f>VLOOKUP(A711, Data_Set_2!$A:$D,3,FALSE)</f>
        <v>Dabtype</v>
      </c>
      <c r="P711" t="str">
        <f>VLOOKUP(A711, Data_Set_2!$A:$D,4,FALSE)</f>
        <v>Information Systems Manager</v>
      </c>
      <c r="Q711" t="str">
        <f>_xlfn.CONCAT(Table3[[#This Row],[first_name]], " ",Table3[[#This Row],[last_name]])</f>
        <v>Deborah Fowler</v>
      </c>
    </row>
    <row r="712" spans="1:17" hidden="1" x14ac:dyDescent="0.3">
      <c r="A712">
        <v>438</v>
      </c>
      <c r="B712" t="s">
        <v>359</v>
      </c>
      <c r="C712" t="s">
        <v>353</v>
      </c>
      <c r="D712" t="s">
        <v>360</v>
      </c>
      <c r="E712" t="s">
        <v>32</v>
      </c>
      <c r="F712" t="s">
        <v>361</v>
      </c>
      <c r="G712" s="1">
        <v>564</v>
      </c>
      <c r="H712" t="s">
        <v>4037</v>
      </c>
      <c r="I712" s="2">
        <v>43512</v>
      </c>
      <c r="J712" t="s">
        <v>35</v>
      </c>
      <c r="K712" t="s">
        <v>362</v>
      </c>
      <c r="L712">
        <v>91606</v>
      </c>
      <c r="M712" t="s">
        <v>21</v>
      </c>
      <c r="N712" t="str">
        <f>VLOOKUP(A712, Data_Set_2!$A:$D,2,FALSE)</f>
        <v>dfowlerc5</v>
      </c>
      <c r="O712" t="str">
        <f>VLOOKUP(A712, Data_Set_2!$A:$D,3,FALSE)</f>
        <v>Dabtype</v>
      </c>
      <c r="P712" t="str">
        <f>VLOOKUP(A712, Data_Set_2!$A:$D,4,FALSE)</f>
        <v>Information Systems Manager</v>
      </c>
      <c r="Q712" t="str">
        <f>_xlfn.CONCAT(Table3[[#This Row],[first_name]], " ",Table3[[#This Row],[last_name]])</f>
        <v>Deborah Fowler</v>
      </c>
    </row>
    <row r="713" spans="1:17" hidden="1" x14ac:dyDescent="0.3">
      <c r="A713">
        <v>438</v>
      </c>
      <c r="B713" t="s">
        <v>359</v>
      </c>
      <c r="C713" t="s">
        <v>353</v>
      </c>
      <c r="D713" t="s">
        <v>360</v>
      </c>
      <c r="E713" t="s">
        <v>32</v>
      </c>
      <c r="F713" t="s">
        <v>361</v>
      </c>
      <c r="G713" s="1">
        <v>904</v>
      </c>
      <c r="H713" t="s">
        <v>4037</v>
      </c>
      <c r="I713" s="2">
        <v>43521</v>
      </c>
      <c r="J713" t="s">
        <v>35</v>
      </c>
      <c r="K713" t="s">
        <v>362</v>
      </c>
      <c r="L713">
        <v>91606</v>
      </c>
      <c r="M713" t="s">
        <v>21</v>
      </c>
      <c r="N713" t="str">
        <f>VLOOKUP(A713, Data_Set_2!$A:$D,2,FALSE)</f>
        <v>dfowlerc5</v>
      </c>
      <c r="O713" t="str">
        <f>VLOOKUP(A713, Data_Set_2!$A:$D,3,FALSE)</f>
        <v>Dabtype</v>
      </c>
      <c r="P713" t="str">
        <f>VLOOKUP(A713, Data_Set_2!$A:$D,4,FALSE)</f>
        <v>Information Systems Manager</v>
      </c>
      <c r="Q713" t="str">
        <f>_xlfn.CONCAT(Table3[[#This Row],[first_name]], " ",Table3[[#This Row],[last_name]])</f>
        <v>Deborah Fowler</v>
      </c>
    </row>
    <row r="714" spans="1:17" hidden="1" x14ac:dyDescent="0.3">
      <c r="A714">
        <v>438</v>
      </c>
      <c r="B714" t="s">
        <v>359</v>
      </c>
      <c r="C714" t="s">
        <v>353</v>
      </c>
      <c r="D714" t="s">
        <v>360</v>
      </c>
      <c r="E714" t="s">
        <v>32</v>
      </c>
      <c r="F714" t="s">
        <v>361</v>
      </c>
      <c r="G714" s="1">
        <v>757</v>
      </c>
      <c r="H714" t="s">
        <v>4037</v>
      </c>
      <c r="I714" s="2">
        <v>43553</v>
      </c>
      <c r="J714" t="s">
        <v>35</v>
      </c>
      <c r="K714" t="s">
        <v>362</v>
      </c>
      <c r="L714">
        <v>91606</v>
      </c>
      <c r="M714" t="s">
        <v>21</v>
      </c>
      <c r="N714" t="str">
        <f>VLOOKUP(A714, Data_Set_2!$A:$D,2,FALSE)</f>
        <v>dfowlerc5</v>
      </c>
      <c r="O714" t="str">
        <f>VLOOKUP(A714, Data_Set_2!$A:$D,3,FALSE)</f>
        <v>Dabtype</v>
      </c>
      <c r="P714" t="str">
        <f>VLOOKUP(A714, Data_Set_2!$A:$D,4,FALSE)</f>
        <v>Information Systems Manager</v>
      </c>
      <c r="Q714" t="str">
        <f>_xlfn.CONCAT(Table3[[#This Row],[first_name]], " ",Table3[[#This Row],[last_name]])</f>
        <v>Deborah Fowler</v>
      </c>
    </row>
    <row r="715" spans="1:17" hidden="1" x14ac:dyDescent="0.3">
      <c r="A715">
        <v>438</v>
      </c>
      <c r="B715" t="s">
        <v>359</v>
      </c>
      <c r="C715" t="s">
        <v>353</v>
      </c>
      <c r="D715" t="s">
        <v>360</v>
      </c>
      <c r="E715" t="s">
        <v>32</v>
      </c>
      <c r="F715" t="s">
        <v>361</v>
      </c>
      <c r="G715" s="1">
        <v>286</v>
      </c>
      <c r="H715" t="s">
        <v>4037</v>
      </c>
      <c r="I715" s="2">
        <v>43994</v>
      </c>
      <c r="J715" t="s">
        <v>35</v>
      </c>
      <c r="K715" t="s">
        <v>362</v>
      </c>
      <c r="L715">
        <v>91606</v>
      </c>
      <c r="M715" t="s">
        <v>21</v>
      </c>
      <c r="N715" t="str">
        <f>VLOOKUP(A715, Data_Set_2!$A:$D,2,FALSE)</f>
        <v>dfowlerc5</v>
      </c>
      <c r="O715" t="str">
        <f>VLOOKUP(A715, Data_Set_2!$A:$D,3,FALSE)</f>
        <v>Dabtype</v>
      </c>
      <c r="P715" t="str">
        <f>VLOOKUP(A715, Data_Set_2!$A:$D,4,FALSE)</f>
        <v>Information Systems Manager</v>
      </c>
      <c r="Q715" t="str">
        <f>_xlfn.CONCAT(Table3[[#This Row],[first_name]], " ",Table3[[#This Row],[last_name]])</f>
        <v>Deborah Fowler</v>
      </c>
    </row>
    <row r="716" spans="1:17" hidden="1" x14ac:dyDescent="0.3">
      <c r="A716">
        <v>438</v>
      </c>
      <c r="B716" t="s">
        <v>359</v>
      </c>
      <c r="C716" t="s">
        <v>353</v>
      </c>
      <c r="D716" t="s">
        <v>360</v>
      </c>
      <c r="E716" t="s">
        <v>32</v>
      </c>
      <c r="F716" t="s">
        <v>361</v>
      </c>
      <c r="G716" s="1">
        <v>234</v>
      </c>
      <c r="H716" t="s">
        <v>4037</v>
      </c>
      <c r="I716" s="2">
        <v>44008</v>
      </c>
      <c r="J716" t="s">
        <v>35</v>
      </c>
      <c r="K716" t="s">
        <v>362</v>
      </c>
      <c r="L716">
        <v>91606</v>
      </c>
      <c r="M716" t="s">
        <v>21</v>
      </c>
      <c r="N716" t="str">
        <f>VLOOKUP(A716, Data_Set_2!$A:$D,2,FALSE)</f>
        <v>dfowlerc5</v>
      </c>
      <c r="O716" t="str">
        <f>VLOOKUP(A716, Data_Set_2!$A:$D,3,FALSE)</f>
        <v>Dabtype</v>
      </c>
      <c r="P716" t="str">
        <f>VLOOKUP(A716, Data_Set_2!$A:$D,4,FALSE)</f>
        <v>Information Systems Manager</v>
      </c>
      <c r="Q716" t="str">
        <f>_xlfn.CONCAT(Table3[[#This Row],[first_name]], " ",Table3[[#This Row],[last_name]])</f>
        <v>Deborah Fowler</v>
      </c>
    </row>
    <row r="717" spans="1:17" hidden="1" x14ac:dyDescent="0.3">
      <c r="A717">
        <v>438</v>
      </c>
      <c r="B717" t="s">
        <v>359</v>
      </c>
      <c r="C717" t="s">
        <v>353</v>
      </c>
      <c r="D717" t="s">
        <v>360</v>
      </c>
      <c r="E717" t="s">
        <v>32</v>
      </c>
      <c r="F717" t="s">
        <v>361</v>
      </c>
      <c r="G717" s="1">
        <v>73</v>
      </c>
      <c r="H717" t="s">
        <v>4037</v>
      </c>
      <c r="I717" s="2">
        <v>44009</v>
      </c>
      <c r="J717" t="s">
        <v>35</v>
      </c>
      <c r="K717" t="s">
        <v>362</v>
      </c>
      <c r="L717">
        <v>91606</v>
      </c>
      <c r="M717" t="s">
        <v>21</v>
      </c>
      <c r="N717" t="str">
        <f>VLOOKUP(A717, Data_Set_2!$A:$D,2,FALSE)</f>
        <v>dfowlerc5</v>
      </c>
      <c r="O717" t="str">
        <f>VLOOKUP(A717, Data_Set_2!$A:$D,3,FALSE)</f>
        <v>Dabtype</v>
      </c>
      <c r="P717" t="str">
        <f>VLOOKUP(A717, Data_Set_2!$A:$D,4,FALSE)</f>
        <v>Information Systems Manager</v>
      </c>
      <c r="Q717" t="str">
        <f>_xlfn.CONCAT(Table3[[#This Row],[first_name]], " ",Table3[[#This Row],[last_name]])</f>
        <v>Deborah Fowler</v>
      </c>
    </row>
    <row r="718" spans="1:17" hidden="1" x14ac:dyDescent="0.3">
      <c r="A718">
        <v>438</v>
      </c>
      <c r="B718" t="s">
        <v>359</v>
      </c>
      <c r="C718" t="s">
        <v>353</v>
      </c>
      <c r="D718" t="s">
        <v>360</v>
      </c>
      <c r="E718" t="s">
        <v>32</v>
      </c>
      <c r="F718" t="s">
        <v>361</v>
      </c>
      <c r="G718" s="1">
        <v>732</v>
      </c>
      <c r="H718" t="s">
        <v>4037</v>
      </c>
      <c r="I718" s="2">
        <v>44114</v>
      </c>
      <c r="J718" t="s">
        <v>35</v>
      </c>
      <c r="K718" t="s">
        <v>362</v>
      </c>
      <c r="L718">
        <v>91606</v>
      </c>
      <c r="M718" t="s">
        <v>21</v>
      </c>
      <c r="N718" t="str">
        <f>VLOOKUP(A718, Data_Set_2!$A:$D,2,FALSE)</f>
        <v>dfowlerc5</v>
      </c>
      <c r="O718" t="str">
        <f>VLOOKUP(A718, Data_Set_2!$A:$D,3,FALSE)</f>
        <v>Dabtype</v>
      </c>
      <c r="P718" t="str">
        <f>VLOOKUP(A718, Data_Set_2!$A:$D,4,FALSE)</f>
        <v>Information Systems Manager</v>
      </c>
      <c r="Q718" t="str">
        <f>_xlfn.CONCAT(Table3[[#This Row],[first_name]], " ",Table3[[#This Row],[last_name]])</f>
        <v>Deborah Fowler</v>
      </c>
    </row>
    <row r="719" spans="1:17" hidden="1" x14ac:dyDescent="0.3">
      <c r="A719">
        <v>438</v>
      </c>
      <c r="B719" t="s">
        <v>359</v>
      </c>
      <c r="C719" t="s">
        <v>353</v>
      </c>
      <c r="D719" t="s">
        <v>360</v>
      </c>
      <c r="E719" t="s">
        <v>32</v>
      </c>
      <c r="F719" t="s">
        <v>361</v>
      </c>
      <c r="G719" s="1">
        <v>709</v>
      </c>
      <c r="H719" t="s">
        <v>4037</v>
      </c>
      <c r="I719" s="2">
        <v>44193</v>
      </c>
      <c r="J719" t="s">
        <v>35</v>
      </c>
      <c r="K719" t="s">
        <v>362</v>
      </c>
      <c r="L719">
        <v>91606</v>
      </c>
      <c r="M719" t="s">
        <v>21</v>
      </c>
      <c r="N719" t="str">
        <f>VLOOKUP(A719, Data_Set_2!$A:$D,2,FALSE)</f>
        <v>dfowlerc5</v>
      </c>
      <c r="O719" t="str">
        <f>VLOOKUP(A719, Data_Set_2!$A:$D,3,FALSE)</f>
        <v>Dabtype</v>
      </c>
      <c r="P719" t="str">
        <f>VLOOKUP(A719, Data_Set_2!$A:$D,4,FALSE)</f>
        <v>Information Systems Manager</v>
      </c>
      <c r="Q719" t="str">
        <f>_xlfn.CONCAT(Table3[[#This Row],[first_name]], " ",Table3[[#This Row],[last_name]])</f>
        <v>Deborah Fowler</v>
      </c>
    </row>
    <row r="720" spans="1:17" hidden="1" x14ac:dyDescent="0.3">
      <c r="A720">
        <v>438</v>
      </c>
      <c r="B720" t="s">
        <v>359</v>
      </c>
      <c r="C720" t="s">
        <v>353</v>
      </c>
      <c r="D720" t="s">
        <v>360</v>
      </c>
      <c r="E720" t="s">
        <v>32</v>
      </c>
      <c r="F720" t="s">
        <v>361</v>
      </c>
      <c r="G720" s="1">
        <v>343</v>
      </c>
      <c r="H720" t="s">
        <v>4037</v>
      </c>
      <c r="I720" s="2">
        <v>44216</v>
      </c>
      <c r="J720" t="s">
        <v>35</v>
      </c>
      <c r="K720" t="s">
        <v>362</v>
      </c>
      <c r="L720">
        <v>91606</v>
      </c>
      <c r="M720" t="s">
        <v>21</v>
      </c>
      <c r="N720" t="str">
        <f>VLOOKUP(A720, Data_Set_2!$A:$D,2,FALSE)</f>
        <v>dfowlerc5</v>
      </c>
      <c r="O720" t="str">
        <f>VLOOKUP(A720, Data_Set_2!$A:$D,3,FALSE)</f>
        <v>Dabtype</v>
      </c>
      <c r="P720" t="str">
        <f>VLOOKUP(A720, Data_Set_2!$A:$D,4,FALSE)</f>
        <v>Information Systems Manager</v>
      </c>
      <c r="Q720" t="str">
        <f>_xlfn.CONCAT(Table3[[#This Row],[first_name]], " ",Table3[[#This Row],[last_name]])</f>
        <v>Deborah Fowler</v>
      </c>
    </row>
    <row r="721" spans="1:17" hidden="1" x14ac:dyDescent="0.3">
      <c r="A721">
        <v>438</v>
      </c>
      <c r="B721" t="s">
        <v>359</v>
      </c>
      <c r="C721" t="s">
        <v>353</v>
      </c>
      <c r="D721" t="s">
        <v>360</v>
      </c>
      <c r="E721" t="s">
        <v>32</v>
      </c>
      <c r="F721" t="s">
        <v>361</v>
      </c>
      <c r="G721" s="1">
        <v>872</v>
      </c>
      <c r="H721" t="s">
        <v>4037</v>
      </c>
      <c r="I721" s="2">
        <v>44232</v>
      </c>
      <c r="J721" t="s">
        <v>35</v>
      </c>
      <c r="K721" t="s">
        <v>362</v>
      </c>
      <c r="L721">
        <v>91606</v>
      </c>
      <c r="M721" t="s">
        <v>21</v>
      </c>
      <c r="N721" t="str">
        <f>VLOOKUP(A721, Data_Set_2!$A:$D,2,FALSE)</f>
        <v>dfowlerc5</v>
      </c>
      <c r="O721" t="str">
        <f>VLOOKUP(A721, Data_Set_2!$A:$D,3,FALSE)</f>
        <v>Dabtype</v>
      </c>
      <c r="P721" t="str">
        <f>VLOOKUP(A721, Data_Set_2!$A:$D,4,FALSE)</f>
        <v>Information Systems Manager</v>
      </c>
      <c r="Q721" t="str">
        <f>_xlfn.CONCAT(Table3[[#This Row],[first_name]], " ",Table3[[#This Row],[last_name]])</f>
        <v>Deborah Fowler</v>
      </c>
    </row>
    <row r="722" spans="1:17" hidden="1" x14ac:dyDescent="0.3">
      <c r="A722">
        <v>438</v>
      </c>
      <c r="B722" t="s">
        <v>359</v>
      </c>
      <c r="C722" t="s">
        <v>353</v>
      </c>
      <c r="D722" t="s">
        <v>360</v>
      </c>
      <c r="E722" t="s">
        <v>32</v>
      </c>
      <c r="F722" t="s">
        <v>361</v>
      </c>
      <c r="G722" s="1">
        <v>211</v>
      </c>
      <c r="H722" t="s">
        <v>4037</v>
      </c>
      <c r="I722" s="2">
        <v>44284</v>
      </c>
      <c r="J722" t="s">
        <v>35</v>
      </c>
      <c r="K722" t="s">
        <v>362</v>
      </c>
      <c r="L722">
        <v>91606</v>
      </c>
      <c r="M722" t="s">
        <v>21</v>
      </c>
      <c r="N722" t="str">
        <f>VLOOKUP(A722, Data_Set_2!$A:$D,2,FALSE)</f>
        <v>dfowlerc5</v>
      </c>
      <c r="O722" t="str">
        <f>VLOOKUP(A722, Data_Set_2!$A:$D,3,FALSE)</f>
        <v>Dabtype</v>
      </c>
      <c r="P722" t="str">
        <f>VLOOKUP(A722, Data_Set_2!$A:$D,4,FALSE)</f>
        <v>Information Systems Manager</v>
      </c>
      <c r="Q722" t="str">
        <f>_xlfn.CONCAT(Table3[[#This Row],[first_name]], " ",Table3[[#This Row],[last_name]])</f>
        <v>Deborah Fowler</v>
      </c>
    </row>
    <row r="723" spans="1:17" hidden="1" x14ac:dyDescent="0.3">
      <c r="A723">
        <v>438</v>
      </c>
      <c r="B723" t="s">
        <v>359</v>
      </c>
      <c r="C723" t="s">
        <v>353</v>
      </c>
      <c r="D723" t="s">
        <v>360</v>
      </c>
      <c r="E723" t="s">
        <v>32</v>
      </c>
      <c r="F723" t="s">
        <v>361</v>
      </c>
      <c r="G723" s="1">
        <v>408</v>
      </c>
      <c r="H723" t="s">
        <v>4037</v>
      </c>
      <c r="I723" s="2">
        <v>44330</v>
      </c>
      <c r="J723" t="s">
        <v>35</v>
      </c>
      <c r="K723" t="s">
        <v>362</v>
      </c>
      <c r="L723">
        <v>91606</v>
      </c>
      <c r="M723" t="s">
        <v>21</v>
      </c>
      <c r="N723" t="str">
        <f>VLOOKUP(A723, Data_Set_2!$A:$D,2,FALSE)</f>
        <v>dfowlerc5</v>
      </c>
      <c r="O723" t="str">
        <f>VLOOKUP(A723, Data_Set_2!$A:$D,3,FALSE)</f>
        <v>Dabtype</v>
      </c>
      <c r="P723" t="str">
        <f>VLOOKUP(A723, Data_Set_2!$A:$D,4,FALSE)</f>
        <v>Information Systems Manager</v>
      </c>
      <c r="Q723" t="str">
        <f>_xlfn.CONCAT(Table3[[#This Row],[first_name]], " ",Table3[[#This Row],[last_name]])</f>
        <v>Deborah Fowler</v>
      </c>
    </row>
    <row r="724" spans="1:17" hidden="1" x14ac:dyDescent="0.3">
      <c r="A724">
        <v>438</v>
      </c>
      <c r="B724" t="s">
        <v>359</v>
      </c>
      <c r="C724" t="s">
        <v>353</v>
      </c>
      <c r="D724" t="s">
        <v>360</v>
      </c>
      <c r="E724" t="s">
        <v>32</v>
      </c>
      <c r="F724" t="s">
        <v>361</v>
      </c>
      <c r="G724" s="1">
        <v>213</v>
      </c>
      <c r="H724" t="s">
        <v>4037</v>
      </c>
      <c r="I724" s="2">
        <v>44642</v>
      </c>
      <c r="J724" t="s">
        <v>35</v>
      </c>
      <c r="K724" t="s">
        <v>362</v>
      </c>
      <c r="L724">
        <v>91606</v>
      </c>
      <c r="M724" t="s">
        <v>21</v>
      </c>
      <c r="N724" t="str">
        <f>VLOOKUP(A724, Data_Set_2!$A:$D,2,FALSE)</f>
        <v>dfowlerc5</v>
      </c>
      <c r="O724" t="str">
        <f>VLOOKUP(A724, Data_Set_2!$A:$D,3,FALSE)</f>
        <v>Dabtype</v>
      </c>
      <c r="P724" t="str">
        <f>VLOOKUP(A724, Data_Set_2!$A:$D,4,FALSE)</f>
        <v>Information Systems Manager</v>
      </c>
      <c r="Q724" t="str">
        <f>_xlfn.CONCAT(Table3[[#This Row],[first_name]], " ",Table3[[#This Row],[last_name]])</f>
        <v>Deborah Fowler</v>
      </c>
    </row>
    <row r="725" spans="1:17" hidden="1" x14ac:dyDescent="0.3">
      <c r="A725">
        <v>438</v>
      </c>
      <c r="B725" t="s">
        <v>359</v>
      </c>
      <c r="C725" t="s">
        <v>353</v>
      </c>
      <c r="D725" t="s">
        <v>360</v>
      </c>
      <c r="E725" t="s">
        <v>32</v>
      </c>
      <c r="F725" t="s">
        <v>361</v>
      </c>
      <c r="G725" s="1">
        <v>155</v>
      </c>
      <c r="H725" t="s">
        <v>4037</v>
      </c>
      <c r="I725" s="2">
        <v>44663</v>
      </c>
      <c r="J725" t="s">
        <v>35</v>
      </c>
      <c r="K725" t="s">
        <v>362</v>
      </c>
      <c r="L725">
        <v>91606</v>
      </c>
      <c r="M725" t="s">
        <v>21</v>
      </c>
      <c r="N725" t="str">
        <f>VLOOKUP(A725, Data_Set_2!$A:$D,2,FALSE)</f>
        <v>dfowlerc5</v>
      </c>
      <c r="O725" t="str">
        <f>VLOOKUP(A725, Data_Set_2!$A:$D,3,FALSE)</f>
        <v>Dabtype</v>
      </c>
      <c r="P725" t="str">
        <f>VLOOKUP(A725, Data_Set_2!$A:$D,4,FALSE)</f>
        <v>Information Systems Manager</v>
      </c>
      <c r="Q725" t="str">
        <f>_xlfn.CONCAT(Table3[[#This Row],[first_name]], " ",Table3[[#This Row],[last_name]])</f>
        <v>Deborah Fowler</v>
      </c>
    </row>
    <row r="726" spans="1:17" hidden="1" x14ac:dyDescent="0.3">
      <c r="A726">
        <v>438</v>
      </c>
      <c r="B726" t="s">
        <v>359</v>
      </c>
      <c r="C726" t="s">
        <v>353</v>
      </c>
      <c r="D726" t="s">
        <v>360</v>
      </c>
      <c r="E726" t="s">
        <v>32</v>
      </c>
      <c r="F726" t="s">
        <v>361</v>
      </c>
      <c r="G726" s="1">
        <v>397</v>
      </c>
      <c r="H726" t="s">
        <v>4037</v>
      </c>
      <c r="I726" s="2">
        <v>44862</v>
      </c>
      <c r="J726" t="s">
        <v>35</v>
      </c>
      <c r="K726" t="s">
        <v>362</v>
      </c>
      <c r="L726">
        <v>91606</v>
      </c>
      <c r="M726" t="s">
        <v>21</v>
      </c>
      <c r="N726" t="str">
        <f>VLOOKUP(A726, Data_Set_2!$A:$D,2,FALSE)</f>
        <v>dfowlerc5</v>
      </c>
      <c r="O726" t="str">
        <f>VLOOKUP(A726, Data_Set_2!$A:$D,3,FALSE)</f>
        <v>Dabtype</v>
      </c>
      <c r="P726" t="str">
        <f>VLOOKUP(A726, Data_Set_2!$A:$D,4,FALSE)</f>
        <v>Information Systems Manager</v>
      </c>
      <c r="Q726" t="str">
        <f>_xlfn.CONCAT(Table3[[#This Row],[first_name]], " ",Table3[[#This Row],[last_name]])</f>
        <v>Deborah Fowler</v>
      </c>
    </row>
    <row r="727" spans="1:17" hidden="1" x14ac:dyDescent="0.3">
      <c r="A727">
        <v>439</v>
      </c>
      <c r="B727" t="s">
        <v>495</v>
      </c>
      <c r="C727" t="s">
        <v>496</v>
      </c>
      <c r="D727" t="s">
        <v>497</v>
      </c>
      <c r="E727" t="s">
        <v>32</v>
      </c>
      <c r="F727" t="s">
        <v>17</v>
      </c>
      <c r="G727" s="1">
        <v>511</v>
      </c>
      <c r="H727" t="s">
        <v>4034</v>
      </c>
      <c r="I727" s="2">
        <v>43378</v>
      </c>
      <c r="J727" t="s">
        <v>68</v>
      </c>
      <c r="K727" t="s">
        <v>498</v>
      </c>
      <c r="L727">
        <v>76310</v>
      </c>
      <c r="M727" t="s">
        <v>21</v>
      </c>
      <c r="N727" t="str">
        <f>VLOOKUP(A727, Data_Set_2!$A:$D,2,FALSE)</f>
        <v>acruzc6</v>
      </c>
      <c r="O727" t="str">
        <f>VLOOKUP(A727, Data_Set_2!$A:$D,3,FALSE)</f>
        <v>Roombo</v>
      </c>
      <c r="P727" t="str">
        <f>VLOOKUP(A727, Data_Set_2!$A:$D,4,FALSE)</f>
        <v>Technical Writer</v>
      </c>
      <c r="Q727" t="str">
        <f>_xlfn.CONCAT(Table3[[#This Row],[first_name]], " ",Table3[[#This Row],[last_name]])</f>
        <v>Amy Cruz</v>
      </c>
    </row>
    <row r="728" spans="1:17" hidden="1" x14ac:dyDescent="0.3">
      <c r="A728">
        <v>440</v>
      </c>
      <c r="B728" t="s">
        <v>65</v>
      </c>
      <c r="C728" t="s">
        <v>507</v>
      </c>
      <c r="D728" t="s">
        <v>956</v>
      </c>
      <c r="E728" t="s">
        <v>16</v>
      </c>
      <c r="F728" t="s">
        <v>17</v>
      </c>
      <c r="G728" s="1">
        <v>114</v>
      </c>
      <c r="H728" t="s">
        <v>73</v>
      </c>
      <c r="I728" s="2">
        <v>44110</v>
      </c>
      <c r="J728" t="s">
        <v>78</v>
      </c>
      <c r="K728" t="s">
        <v>105</v>
      </c>
      <c r="L728">
        <v>48224</v>
      </c>
      <c r="M728" t="s">
        <v>21</v>
      </c>
      <c r="N728" t="str">
        <f>VLOOKUP(A728, Data_Set_2!$A:$D,2,FALSE)</f>
        <v>kcastilloc7</v>
      </c>
      <c r="O728" t="str">
        <f>VLOOKUP(A728, Data_Set_2!$A:$D,3,FALSE)</f>
        <v>Realfire</v>
      </c>
      <c r="P728" t="str">
        <f>VLOOKUP(A728, Data_Set_2!$A:$D,4,FALSE)</f>
        <v>Media Manager IV</v>
      </c>
      <c r="Q728" t="str">
        <f>_xlfn.CONCAT(Table3[[#This Row],[first_name]], " ",Table3[[#This Row],[last_name]])</f>
        <v>Kenneth Castillo</v>
      </c>
    </row>
    <row r="729" spans="1:17" hidden="1" x14ac:dyDescent="0.3">
      <c r="A729">
        <v>441</v>
      </c>
      <c r="B729" t="s">
        <v>745</v>
      </c>
      <c r="C729" t="s">
        <v>44</v>
      </c>
      <c r="D729" t="s">
        <v>746</v>
      </c>
      <c r="E729" t="s">
        <v>16</v>
      </c>
      <c r="F729" t="s">
        <v>33</v>
      </c>
      <c r="G729" s="1">
        <v>905</v>
      </c>
      <c r="H729" t="s">
        <v>62</v>
      </c>
      <c r="I729" s="2">
        <v>43694</v>
      </c>
      <c r="J729" t="s">
        <v>246</v>
      </c>
      <c r="K729" t="s">
        <v>339</v>
      </c>
      <c r="L729">
        <v>60619</v>
      </c>
      <c r="M729" t="s">
        <v>21</v>
      </c>
      <c r="N729" t="str">
        <f>VLOOKUP(A729, Data_Set_2!$A:$D,2,FALSE)</f>
        <v>hhawkinsc8</v>
      </c>
      <c r="O729" t="str">
        <f>VLOOKUP(A729, Data_Set_2!$A:$D,3,FALSE)</f>
        <v>Dazzlesphere</v>
      </c>
      <c r="P729" t="str">
        <f>VLOOKUP(A729, Data_Set_2!$A:$D,4,FALSE)</f>
        <v>Librarian</v>
      </c>
      <c r="Q729" t="str">
        <f>_xlfn.CONCAT(Table3[[#This Row],[first_name]], " ",Table3[[#This Row],[last_name]])</f>
        <v>Harry Hawkins</v>
      </c>
    </row>
    <row r="730" spans="1:17" hidden="1" x14ac:dyDescent="0.3">
      <c r="A730">
        <v>443</v>
      </c>
      <c r="B730" t="s">
        <v>89</v>
      </c>
      <c r="C730" t="s">
        <v>289</v>
      </c>
      <c r="D730" t="s">
        <v>392</v>
      </c>
      <c r="E730" t="s">
        <v>16</v>
      </c>
      <c r="F730" t="s">
        <v>33</v>
      </c>
      <c r="G730" s="1">
        <v>754</v>
      </c>
      <c r="H730" t="s">
        <v>62</v>
      </c>
      <c r="I730" s="2">
        <v>43282</v>
      </c>
      <c r="J730" t="s">
        <v>393</v>
      </c>
      <c r="K730" t="s">
        <v>394</v>
      </c>
      <c r="L730">
        <v>37939</v>
      </c>
      <c r="M730" t="s">
        <v>21</v>
      </c>
      <c r="N730" t="str">
        <f>VLOOKUP(A730, Data_Set_2!$A:$D,2,FALSE)</f>
        <v>sgeorgeca</v>
      </c>
      <c r="O730" t="str">
        <f>VLOOKUP(A730, Data_Set_2!$A:$D,3,FALSE)</f>
        <v>Wikizz</v>
      </c>
      <c r="P730" t="str">
        <f>VLOOKUP(A730, Data_Set_2!$A:$D,4,FALSE)</f>
        <v>Developer I</v>
      </c>
      <c r="Q730" t="str">
        <f>_xlfn.CONCAT(Table3[[#This Row],[first_name]], " ",Table3[[#This Row],[last_name]])</f>
        <v>Stephen George</v>
      </c>
    </row>
    <row r="731" spans="1:17" hidden="1" x14ac:dyDescent="0.3">
      <c r="A731">
        <v>443</v>
      </c>
      <c r="B731" t="s">
        <v>89</v>
      </c>
      <c r="C731" t="s">
        <v>289</v>
      </c>
      <c r="D731" t="s">
        <v>392</v>
      </c>
      <c r="E731" t="s">
        <v>16</v>
      </c>
      <c r="F731" t="s">
        <v>33</v>
      </c>
      <c r="G731" s="1">
        <v>927</v>
      </c>
      <c r="H731" t="s">
        <v>62</v>
      </c>
      <c r="I731" s="2">
        <v>44170</v>
      </c>
      <c r="J731" t="s">
        <v>393</v>
      </c>
      <c r="K731" t="s">
        <v>394</v>
      </c>
      <c r="L731">
        <v>37939</v>
      </c>
      <c r="M731" t="s">
        <v>21</v>
      </c>
      <c r="N731" t="str">
        <f>VLOOKUP(A731, Data_Set_2!$A:$D,2,FALSE)</f>
        <v>sgeorgeca</v>
      </c>
      <c r="O731" t="str">
        <f>VLOOKUP(A731, Data_Set_2!$A:$D,3,FALSE)</f>
        <v>Wikizz</v>
      </c>
      <c r="P731" t="str">
        <f>VLOOKUP(A731, Data_Set_2!$A:$D,4,FALSE)</f>
        <v>Developer I</v>
      </c>
      <c r="Q731" t="str">
        <f>_xlfn.CONCAT(Table3[[#This Row],[first_name]], " ",Table3[[#This Row],[last_name]])</f>
        <v>Stephen George</v>
      </c>
    </row>
    <row r="732" spans="1:17" hidden="1" x14ac:dyDescent="0.3">
      <c r="A732">
        <v>444</v>
      </c>
      <c r="B732" t="s">
        <v>135</v>
      </c>
      <c r="C732" t="s">
        <v>136</v>
      </c>
      <c r="D732" t="s">
        <v>137</v>
      </c>
      <c r="E732" t="s">
        <v>32</v>
      </c>
      <c r="F732" t="s">
        <v>17</v>
      </c>
      <c r="G732" s="1">
        <v>237</v>
      </c>
      <c r="H732" t="s">
        <v>26</v>
      </c>
      <c r="I732" s="2">
        <v>43137</v>
      </c>
      <c r="J732" t="s">
        <v>138</v>
      </c>
      <c r="K732" t="s">
        <v>139</v>
      </c>
      <c r="L732">
        <v>97201</v>
      </c>
      <c r="M732" t="s">
        <v>21</v>
      </c>
      <c r="N732" t="str">
        <f>VLOOKUP(A732, Data_Set_2!$A:$D,2,FALSE)</f>
        <v>cfoxcb</v>
      </c>
      <c r="O732" t="str">
        <f>VLOOKUP(A732, Data_Set_2!$A:$D,3,FALSE)</f>
        <v>Voomm</v>
      </c>
      <c r="P732" t="str">
        <f>VLOOKUP(A732, Data_Set_2!$A:$D,4,FALSE)</f>
        <v>Account Coordinator</v>
      </c>
      <c r="Q732" t="str">
        <f>_xlfn.CONCAT(Table3[[#This Row],[first_name]], " ",Table3[[#This Row],[last_name]])</f>
        <v>Christina Fox</v>
      </c>
    </row>
    <row r="733" spans="1:17" hidden="1" x14ac:dyDescent="0.3">
      <c r="A733">
        <v>444</v>
      </c>
      <c r="B733" t="s">
        <v>135</v>
      </c>
      <c r="C733" t="s">
        <v>136</v>
      </c>
      <c r="D733" t="s">
        <v>137</v>
      </c>
      <c r="E733" t="s">
        <v>32</v>
      </c>
      <c r="F733" t="s">
        <v>17</v>
      </c>
      <c r="G733" s="1">
        <v>107</v>
      </c>
      <c r="H733" t="s">
        <v>26</v>
      </c>
      <c r="I733" s="2">
        <v>43154</v>
      </c>
      <c r="J733" t="s">
        <v>138</v>
      </c>
      <c r="K733" t="s">
        <v>139</v>
      </c>
      <c r="L733">
        <v>97201</v>
      </c>
      <c r="M733" t="s">
        <v>21</v>
      </c>
      <c r="N733" t="str">
        <f>VLOOKUP(A733, Data_Set_2!$A:$D,2,FALSE)</f>
        <v>cfoxcb</v>
      </c>
      <c r="O733" t="str">
        <f>VLOOKUP(A733, Data_Set_2!$A:$D,3,FALSE)</f>
        <v>Voomm</v>
      </c>
      <c r="P733" t="str">
        <f>VLOOKUP(A733, Data_Set_2!$A:$D,4,FALSE)</f>
        <v>Account Coordinator</v>
      </c>
      <c r="Q733" t="str">
        <f>_xlfn.CONCAT(Table3[[#This Row],[first_name]], " ",Table3[[#This Row],[last_name]])</f>
        <v>Christina Fox</v>
      </c>
    </row>
    <row r="734" spans="1:17" hidden="1" x14ac:dyDescent="0.3">
      <c r="A734">
        <v>444</v>
      </c>
      <c r="B734" t="s">
        <v>135</v>
      </c>
      <c r="C734" t="s">
        <v>136</v>
      </c>
      <c r="D734" t="s">
        <v>137</v>
      </c>
      <c r="E734" t="s">
        <v>32</v>
      </c>
      <c r="F734" t="s">
        <v>17</v>
      </c>
      <c r="G734" s="1">
        <v>983</v>
      </c>
      <c r="H734" t="s">
        <v>26</v>
      </c>
      <c r="I734" s="2">
        <v>44397</v>
      </c>
      <c r="J734" t="s">
        <v>138</v>
      </c>
      <c r="K734" t="s">
        <v>139</v>
      </c>
      <c r="L734">
        <v>97201</v>
      </c>
      <c r="M734" t="s">
        <v>21</v>
      </c>
      <c r="N734" t="str">
        <f>VLOOKUP(A734, Data_Set_2!$A:$D,2,FALSE)</f>
        <v>cfoxcb</v>
      </c>
      <c r="O734" t="str">
        <f>VLOOKUP(A734, Data_Set_2!$A:$D,3,FALSE)</f>
        <v>Voomm</v>
      </c>
      <c r="P734" t="str">
        <f>VLOOKUP(A734, Data_Set_2!$A:$D,4,FALSE)</f>
        <v>Account Coordinator</v>
      </c>
      <c r="Q734" t="str">
        <f>_xlfn.CONCAT(Table3[[#This Row],[first_name]], " ",Table3[[#This Row],[last_name]])</f>
        <v>Christina Fox</v>
      </c>
    </row>
    <row r="735" spans="1:17" hidden="1" x14ac:dyDescent="0.3">
      <c r="A735">
        <v>444</v>
      </c>
      <c r="B735" t="s">
        <v>135</v>
      </c>
      <c r="C735" t="s">
        <v>136</v>
      </c>
      <c r="D735" t="s">
        <v>137</v>
      </c>
      <c r="E735" t="s">
        <v>32</v>
      </c>
      <c r="F735" t="s">
        <v>17</v>
      </c>
      <c r="G735" s="1">
        <v>323</v>
      </c>
      <c r="H735" t="s">
        <v>26</v>
      </c>
      <c r="I735" s="2">
        <v>44470</v>
      </c>
      <c r="J735" t="s">
        <v>138</v>
      </c>
      <c r="K735" t="s">
        <v>139</v>
      </c>
      <c r="L735">
        <v>97201</v>
      </c>
      <c r="M735" t="s">
        <v>21</v>
      </c>
      <c r="N735" t="str">
        <f>VLOOKUP(A735, Data_Set_2!$A:$D,2,FALSE)</f>
        <v>cfoxcb</v>
      </c>
      <c r="O735" t="str">
        <f>VLOOKUP(A735, Data_Set_2!$A:$D,3,FALSE)</f>
        <v>Voomm</v>
      </c>
      <c r="P735" t="str">
        <f>VLOOKUP(A735, Data_Set_2!$A:$D,4,FALSE)</f>
        <v>Account Coordinator</v>
      </c>
      <c r="Q735" t="str">
        <f>_xlfn.CONCAT(Table3[[#This Row],[first_name]], " ",Table3[[#This Row],[last_name]])</f>
        <v>Christina Fox</v>
      </c>
    </row>
    <row r="736" spans="1:17" hidden="1" x14ac:dyDescent="0.3">
      <c r="A736">
        <v>445</v>
      </c>
      <c r="B736" t="s">
        <v>627</v>
      </c>
      <c r="C736" t="s">
        <v>1028</v>
      </c>
      <c r="D736" t="s">
        <v>1029</v>
      </c>
      <c r="E736" t="s">
        <v>16</v>
      </c>
      <c r="F736" t="s">
        <v>33</v>
      </c>
      <c r="G736" s="1">
        <v>693</v>
      </c>
      <c r="H736" t="s">
        <v>4035</v>
      </c>
      <c r="I736" s="2">
        <v>44290</v>
      </c>
      <c r="J736" t="s">
        <v>115</v>
      </c>
      <c r="K736" t="s">
        <v>1030</v>
      </c>
      <c r="L736">
        <v>32610</v>
      </c>
      <c r="M736" t="s">
        <v>21</v>
      </c>
      <c r="N736" t="str">
        <f>VLOOKUP(A736, Data_Set_2!$A:$D,2,FALSE)</f>
        <v>chuntercc</v>
      </c>
      <c r="O736" t="str">
        <f>VLOOKUP(A736, Data_Set_2!$A:$D,3,FALSE)</f>
        <v>Eidel</v>
      </c>
      <c r="P736" t="str">
        <f>VLOOKUP(A736, Data_Set_2!$A:$D,4,FALSE)</f>
        <v>Budget/Accounting Analyst III</v>
      </c>
      <c r="Q736" t="str">
        <f>_xlfn.CONCAT(Table3[[#This Row],[first_name]], " ",Table3[[#This Row],[last_name]])</f>
        <v>Christopher Hunter</v>
      </c>
    </row>
    <row r="737" spans="1:17" hidden="1" x14ac:dyDescent="0.3">
      <c r="A737">
        <v>445</v>
      </c>
      <c r="B737" t="s">
        <v>627</v>
      </c>
      <c r="C737" t="s">
        <v>1028</v>
      </c>
      <c r="D737" t="s">
        <v>1029</v>
      </c>
      <c r="E737" t="s">
        <v>16</v>
      </c>
      <c r="F737" t="s">
        <v>33</v>
      </c>
      <c r="G737" s="1">
        <v>539</v>
      </c>
      <c r="H737" t="s">
        <v>4035</v>
      </c>
      <c r="I737" s="2">
        <v>44795</v>
      </c>
      <c r="J737" t="s">
        <v>115</v>
      </c>
      <c r="K737" t="s">
        <v>1030</v>
      </c>
      <c r="L737">
        <v>32610</v>
      </c>
      <c r="M737" t="s">
        <v>21</v>
      </c>
      <c r="N737" t="str">
        <f>VLOOKUP(A737, Data_Set_2!$A:$D,2,FALSE)</f>
        <v>chuntercc</v>
      </c>
      <c r="O737" t="str">
        <f>VLOOKUP(A737, Data_Set_2!$A:$D,3,FALSE)</f>
        <v>Eidel</v>
      </c>
      <c r="P737" t="str">
        <f>VLOOKUP(A737, Data_Set_2!$A:$D,4,FALSE)</f>
        <v>Budget/Accounting Analyst III</v>
      </c>
      <c r="Q737" t="str">
        <f>_xlfn.CONCAT(Table3[[#This Row],[first_name]], " ",Table3[[#This Row],[last_name]])</f>
        <v>Christopher Hunter</v>
      </c>
    </row>
    <row r="738" spans="1:17" hidden="1" x14ac:dyDescent="0.3">
      <c r="A738">
        <v>446</v>
      </c>
      <c r="B738" t="s">
        <v>271</v>
      </c>
      <c r="C738" t="s">
        <v>612</v>
      </c>
      <c r="D738" t="s">
        <v>613</v>
      </c>
      <c r="E738" t="s">
        <v>16</v>
      </c>
      <c r="F738" t="s">
        <v>17</v>
      </c>
      <c r="G738" s="1">
        <v>795</v>
      </c>
      <c r="H738" t="s">
        <v>26</v>
      </c>
      <c r="I738" s="2">
        <v>43534</v>
      </c>
      <c r="J738" t="s">
        <v>125</v>
      </c>
      <c r="K738" t="s">
        <v>419</v>
      </c>
      <c r="L738">
        <v>64136</v>
      </c>
      <c r="M738" t="s">
        <v>21</v>
      </c>
      <c r="N738" t="str">
        <f>VLOOKUP(A738, Data_Set_2!$A:$D,2,FALSE)</f>
        <v>jgonzalezcd</v>
      </c>
      <c r="O738" t="str">
        <f>VLOOKUP(A738, Data_Set_2!$A:$D,3,FALSE)</f>
        <v>Rhyloo</v>
      </c>
      <c r="P738" t="str">
        <f>VLOOKUP(A738, Data_Set_2!$A:$D,4,FALSE)</f>
        <v>Accountant III</v>
      </c>
      <c r="Q738" t="str">
        <f>_xlfn.CONCAT(Table3[[#This Row],[first_name]], " ",Table3[[#This Row],[last_name]])</f>
        <v>Jimmy Gonzalez</v>
      </c>
    </row>
    <row r="739" spans="1:17" hidden="1" x14ac:dyDescent="0.3">
      <c r="A739">
        <v>446</v>
      </c>
      <c r="B739" t="s">
        <v>271</v>
      </c>
      <c r="C739" t="s">
        <v>612</v>
      </c>
      <c r="D739" t="s">
        <v>613</v>
      </c>
      <c r="E739" t="s">
        <v>16</v>
      </c>
      <c r="F739" t="s">
        <v>17</v>
      </c>
      <c r="G739" s="1">
        <v>108</v>
      </c>
      <c r="H739" t="s">
        <v>26</v>
      </c>
      <c r="I739" s="2">
        <v>44228</v>
      </c>
      <c r="J739" t="s">
        <v>125</v>
      </c>
      <c r="K739" t="s">
        <v>419</v>
      </c>
      <c r="L739">
        <v>64136</v>
      </c>
      <c r="M739" t="s">
        <v>21</v>
      </c>
      <c r="N739" t="str">
        <f>VLOOKUP(A739, Data_Set_2!$A:$D,2,FALSE)</f>
        <v>jgonzalezcd</v>
      </c>
      <c r="O739" t="str">
        <f>VLOOKUP(A739, Data_Set_2!$A:$D,3,FALSE)</f>
        <v>Rhyloo</v>
      </c>
      <c r="P739" t="str">
        <f>VLOOKUP(A739, Data_Set_2!$A:$D,4,FALSE)</f>
        <v>Accountant III</v>
      </c>
      <c r="Q739" t="str">
        <f>_xlfn.CONCAT(Table3[[#This Row],[first_name]], " ",Table3[[#This Row],[last_name]])</f>
        <v>Jimmy Gonzalez</v>
      </c>
    </row>
    <row r="740" spans="1:17" hidden="1" x14ac:dyDescent="0.3">
      <c r="A740">
        <v>446</v>
      </c>
      <c r="B740" t="s">
        <v>271</v>
      </c>
      <c r="C740" t="s">
        <v>612</v>
      </c>
      <c r="D740" t="s">
        <v>613</v>
      </c>
      <c r="E740" t="s">
        <v>16</v>
      </c>
      <c r="F740" t="s">
        <v>17</v>
      </c>
      <c r="G740" s="1">
        <v>571</v>
      </c>
      <c r="H740" t="s">
        <v>26</v>
      </c>
      <c r="I740" s="2">
        <v>44248</v>
      </c>
      <c r="J740" t="s">
        <v>125</v>
      </c>
      <c r="K740" t="s">
        <v>419</v>
      </c>
      <c r="L740">
        <v>64136</v>
      </c>
      <c r="M740" t="s">
        <v>21</v>
      </c>
      <c r="N740" t="str">
        <f>VLOOKUP(A740, Data_Set_2!$A:$D,2,FALSE)</f>
        <v>jgonzalezcd</v>
      </c>
      <c r="O740" t="str">
        <f>VLOOKUP(A740, Data_Set_2!$A:$D,3,FALSE)</f>
        <v>Rhyloo</v>
      </c>
      <c r="P740" t="str">
        <f>VLOOKUP(A740, Data_Set_2!$A:$D,4,FALSE)</f>
        <v>Accountant III</v>
      </c>
      <c r="Q740" t="str">
        <f>_xlfn.CONCAT(Table3[[#This Row],[first_name]], " ",Table3[[#This Row],[last_name]])</f>
        <v>Jimmy Gonzalez</v>
      </c>
    </row>
    <row r="741" spans="1:17" hidden="1" x14ac:dyDescent="0.3">
      <c r="A741">
        <v>446</v>
      </c>
      <c r="B741" t="s">
        <v>271</v>
      </c>
      <c r="C741" t="s">
        <v>612</v>
      </c>
      <c r="D741" t="s">
        <v>613</v>
      </c>
      <c r="E741" t="s">
        <v>16</v>
      </c>
      <c r="F741" t="s">
        <v>17</v>
      </c>
      <c r="G741" s="1">
        <v>723</v>
      </c>
      <c r="H741" t="s">
        <v>26</v>
      </c>
      <c r="I741" s="2">
        <v>44740</v>
      </c>
      <c r="J741" t="s">
        <v>125</v>
      </c>
      <c r="K741" t="s">
        <v>419</v>
      </c>
      <c r="L741">
        <v>64136</v>
      </c>
      <c r="M741" t="s">
        <v>21</v>
      </c>
      <c r="N741" t="str">
        <f>VLOOKUP(A741, Data_Set_2!$A:$D,2,FALSE)</f>
        <v>jgonzalezcd</v>
      </c>
      <c r="O741" t="str">
        <f>VLOOKUP(A741, Data_Set_2!$A:$D,3,FALSE)</f>
        <v>Rhyloo</v>
      </c>
      <c r="P741" t="str">
        <f>VLOOKUP(A741, Data_Set_2!$A:$D,4,FALSE)</f>
        <v>Accountant III</v>
      </c>
      <c r="Q741" t="str">
        <f>_xlfn.CONCAT(Table3[[#This Row],[first_name]], " ",Table3[[#This Row],[last_name]])</f>
        <v>Jimmy Gonzalez</v>
      </c>
    </row>
    <row r="742" spans="1:17" hidden="1" x14ac:dyDescent="0.3">
      <c r="A742">
        <v>447</v>
      </c>
      <c r="B742" t="s">
        <v>837</v>
      </c>
      <c r="C742" t="s">
        <v>934</v>
      </c>
      <c r="D742" t="s">
        <v>935</v>
      </c>
      <c r="E742" t="s">
        <v>16</v>
      </c>
      <c r="F742" t="s">
        <v>51</v>
      </c>
      <c r="G742" s="1">
        <v>401</v>
      </c>
      <c r="H742" t="s">
        <v>26</v>
      </c>
      <c r="I742" s="2">
        <v>44080</v>
      </c>
      <c r="J742" t="s">
        <v>35</v>
      </c>
      <c r="K742" t="s">
        <v>599</v>
      </c>
      <c r="L742">
        <v>94263</v>
      </c>
      <c r="M742" t="s">
        <v>21</v>
      </c>
      <c r="N742" t="str">
        <f>VLOOKUP(A742, Data_Set_2!$A:$D,2,FALSE)</f>
        <v>cmartinezce</v>
      </c>
      <c r="O742" t="str">
        <f>VLOOKUP(A742, Data_Set_2!$A:$D,3,FALSE)</f>
        <v>Fatz</v>
      </c>
      <c r="P742" t="str">
        <f>VLOOKUP(A742, Data_Set_2!$A:$D,4,FALSE)</f>
        <v>Nuclear Power Engineer</v>
      </c>
      <c r="Q742" t="str">
        <f>_xlfn.CONCAT(Table3[[#This Row],[first_name]], " ",Table3[[#This Row],[last_name]])</f>
        <v>Charles Martinez</v>
      </c>
    </row>
    <row r="743" spans="1:17" hidden="1" x14ac:dyDescent="0.3">
      <c r="A743">
        <v>447</v>
      </c>
      <c r="B743" t="s">
        <v>837</v>
      </c>
      <c r="C743" t="s">
        <v>934</v>
      </c>
      <c r="D743" t="s">
        <v>935</v>
      </c>
      <c r="E743" t="s">
        <v>16</v>
      </c>
      <c r="F743" t="s">
        <v>51</v>
      </c>
      <c r="G743" s="1">
        <v>70</v>
      </c>
      <c r="H743" t="s">
        <v>26</v>
      </c>
      <c r="I743" s="2">
        <v>44214</v>
      </c>
      <c r="J743" t="s">
        <v>35</v>
      </c>
      <c r="K743" t="s">
        <v>599</v>
      </c>
      <c r="L743">
        <v>94263</v>
      </c>
      <c r="M743" t="s">
        <v>21</v>
      </c>
      <c r="N743" t="str">
        <f>VLOOKUP(A743, Data_Set_2!$A:$D,2,FALSE)</f>
        <v>cmartinezce</v>
      </c>
      <c r="O743" t="str">
        <f>VLOOKUP(A743, Data_Set_2!$A:$D,3,FALSE)</f>
        <v>Fatz</v>
      </c>
      <c r="P743" t="str">
        <f>VLOOKUP(A743, Data_Set_2!$A:$D,4,FALSE)</f>
        <v>Nuclear Power Engineer</v>
      </c>
      <c r="Q743" t="str">
        <f>_xlfn.CONCAT(Table3[[#This Row],[first_name]], " ",Table3[[#This Row],[last_name]])</f>
        <v>Charles Martinez</v>
      </c>
    </row>
    <row r="744" spans="1:17" hidden="1" x14ac:dyDescent="0.3">
      <c r="A744">
        <v>448</v>
      </c>
      <c r="B744" t="s">
        <v>181</v>
      </c>
      <c r="C744" t="s">
        <v>379</v>
      </c>
      <c r="D744" t="s">
        <v>1100</v>
      </c>
      <c r="E744" t="s">
        <v>32</v>
      </c>
      <c r="F744" t="s">
        <v>33</v>
      </c>
      <c r="G744" s="1">
        <v>467</v>
      </c>
      <c r="H744" t="s">
        <v>4037</v>
      </c>
      <c r="I744" s="2">
        <v>44503</v>
      </c>
      <c r="J744" t="s">
        <v>184</v>
      </c>
      <c r="K744" t="s">
        <v>771</v>
      </c>
      <c r="L744">
        <v>13205</v>
      </c>
      <c r="M744" t="s">
        <v>21</v>
      </c>
      <c r="N744" t="str">
        <f>VLOOKUP(A744, Data_Set_2!$A:$D,2,FALSE)</f>
        <v>dsimmonscf</v>
      </c>
      <c r="O744" t="str">
        <f>VLOOKUP(A744, Data_Set_2!$A:$D,3,FALSE)</f>
        <v>Youbridge</v>
      </c>
      <c r="P744" t="str">
        <f>VLOOKUP(A744, Data_Set_2!$A:$D,4,FALSE)</f>
        <v>Engineer II</v>
      </c>
      <c r="Q744" t="str">
        <f>_xlfn.CONCAT(Table3[[#This Row],[first_name]], " ",Table3[[#This Row],[last_name]])</f>
        <v>Debra Simmons</v>
      </c>
    </row>
    <row r="745" spans="1:17" hidden="1" x14ac:dyDescent="0.3">
      <c r="A745">
        <v>449</v>
      </c>
      <c r="B745" t="s">
        <v>650</v>
      </c>
      <c r="C745" t="s">
        <v>1133</v>
      </c>
      <c r="D745" t="s">
        <v>1134</v>
      </c>
      <c r="E745" t="s">
        <v>16</v>
      </c>
      <c r="F745" t="s">
        <v>33</v>
      </c>
      <c r="G745" s="1">
        <v>110</v>
      </c>
      <c r="H745" t="s">
        <v>34</v>
      </c>
      <c r="I745" s="2">
        <v>44552</v>
      </c>
      <c r="J745" t="s">
        <v>204</v>
      </c>
      <c r="K745" t="s">
        <v>1135</v>
      </c>
      <c r="L745">
        <v>23663</v>
      </c>
      <c r="M745" t="s">
        <v>21</v>
      </c>
      <c r="N745" t="str">
        <f>VLOOKUP(A745, Data_Set_2!$A:$D,2,FALSE)</f>
        <v>rharrisoncg</v>
      </c>
      <c r="O745" t="str">
        <f>VLOOKUP(A745, Data_Set_2!$A:$D,3,FALSE)</f>
        <v>Browsecat</v>
      </c>
      <c r="P745" t="str">
        <f>VLOOKUP(A745, Data_Set_2!$A:$D,4,FALSE)</f>
        <v>Marketing Assistant</v>
      </c>
      <c r="Q745" t="str">
        <f>_xlfn.CONCAT(Table3[[#This Row],[first_name]], " ",Table3[[#This Row],[last_name]])</f>
        <v>Russell Harrison</v>
      </c>
    </row>
    <row r="746" spans="1:17" hidden="1" x14ac:dyDescent="0.3">
      <c r="A746">
        <v>455</v>
      </c>
      <c r="B746" t="s">
        <v>144</v>
      </c>
      <c r="C746" t="s">
        <v>302</v>
      </c>
      <c r="D746" t="s">
        <v>303</v>
      </c>
      <c r="E746" t="s">
        <v>32</v>
      </c>
      <c r="F746" t="s">
        <v>33</v>
      </c>
      <c r="G746" s="1">
        <v>892</v>
      </c>
      <c r="H746" t="s">
        <v>26</v>
      </c>
      <c r="I746" s="2">
        <v>43215</v>
      </c>
      <c r="J746" t="s">
        <v>301</v>
      </c>
      <c r="K746" t="s">
        <v>189</v>
      </c>
      <c r="L746">
        <v>29416</v>
      </c>
      <c r="M746" t="s">
        <v>21</v>
      </c>
      <c r="N746" t="str">
        <f>VLOOKUP(A746, Data_Set_2!$A:$D,2,FALSE)</f>
        <v>nmitchellcm</v>
      </c>
      <c r="O746" t="str">
        <f>VLOOKUP(A746, Data_Set_2!$A:$D,3,FALSE)</f>
        <v>Mybuzz</v>
      </c>
      <c r="P746" t="str">
        <f>VLOOKUP(A746, Data_Set_2!$A:$D,4,FALSE)</f>
        <v>Internal Auditor</v>
      </c>
      <c r="Q746" t="str">
        <f>_xlfn.CONCAT(Table3[[#This Row],[first_name]], " ",Table3[[#This Row],[last_name]])</f>
        <v>Nicole Mitchell</v>
      </c>
    </row>
    <row r="747" spans="1:17" hidden="1" x14ac:dyDescent="0.3">
      <c r="A747">
        <v>466</v>
      </c>
      <c r="B747" t="s">
        <v>721</v>
      </c>
      <c r="C747" t="s">
        <v>722</v>
      </c>
      <c r="D747" t="s">
        <v>723</v>
      </c>
      <c r="E747" t="s">
        <v>16</v>
      </c>
      <c r="F747" t="s">
        <v>33</v>
      </c>
      <c r="G747" s="1">
        <v>321</v>
      </c>
      <c r="H747" t="s">
        <v>26</v>
      </c>
      <c r="I747" s="2">
        <v>43658</v>
      </c>
      <c r="J747" t="s">
        <v>41</v>
      </c>
      <c r="K747" t="s">
        <v>42</v>
      </c>
      <c r="L747">
        <v>40256</v>
      </c>
      <c r="M747" t="s">
        <v>21</v>
      </c>
      <c r="N747" t="str">
        <f>VLOOKUP(A747, Data_Set_2!$A:$D,2,FALSE)</f>
        <v>jlopezcx</v>
      </c>
      <c r="O747" t="str">
        <f>VLOOKUP(A747, Data_Set_2!$A:$D,3,FALSE)</f>
        <v>Photobug</v>
      </c>
      <c r="P747" t="str">
        <f>VLOOKUP(A747, Data_Set_2!$A:$D,4,FALSE)</f>
        <v>Junior Executive</v>
      </c>
      <c r="Q747" t="str">
        <f>_xlfn.CONCAT(Table3[[#This Row],[first_name]], " ",Table3[[#This Row],[last_name]])</f>
        <v>Juan Lopez</v>
      </c>
    </row>
    <row r="748" spans="1:17" hidden="1" x14ac:dyDescent="0.3">
      <c r="A748">
        <v>467</v>
      </c>
      <c r="B748" t="s">
        <v>699</v>
      </c>
      <c r="C748" t="s">
        <v>760</v>
      </c>
      <c r="D748" t="s">
        <v>1231</v>
      </c>
      <c r="E748" t="s">
        <v>16</v>
      </c>
      <c r="F748" t="s">
        <v>25</v>
      </c>
      <c r="G748" s="1">
        <v>689</v>
      </c>
      <c r="H748" t="s">
        <v>26</v>
      </c>
      <c r="I748" s="2">
        <v>44825</v>
      </c>
      <c r="J748" t="s">
        <v>230</v>
      </c>
      <c r="K748" t="s">
        <v>963</v>
      </c>
      <c r="L748">
        <v>27110</v>
      </c>
      <c r="M748" t="s">
        <v>21</v>
      </c>
      <c r="N748" t="str">
        <f>VLOOKUP(A748, Data_Set_2!$A:$D,2,FALSE)</f>
        <v>dandersoncy</v>
      </c>
      <c r="O748" t="str">
        <f>VLOOKUP(A748, Data_Set_2!$A:$D,3,FALSE)</f>
        <v>Tagcat</v>
      </c>
      <c r="P748" t="str">
        <f>VLOOKUP(A748, Data_Set_2!$A:$D,4,FALSE)</f>
        <v>Professor</v>
      </c>
      <c r="Q748" t="str">
        <f>_xlfn.CONCAT(Table3[[#This Row],[first_name]], " ",Table3[[#This Row],[last_name]])</f>
        <v>Douglas Anderson</v>
      </c>
    </row>
    <row r="749" spans="1:17" hidden="1" x14ac:dyDescent="0.3">
      <c r="A749">
        <v>468</v>
      </c>
      <c r="B749" t="s">
        <v>630</v>
      </c>
      <c r="C749" t="s">
        <v>272</v>
      </c>
      <c r="D749" t="s">
        <v>631</v>
      </c>
      <c r="E749" t="s">
        <v>32</v>
      </c>
      <c r="F749" t="s">
        <v>17</v>
      </c>
      <c r="G749" s="1">
        <v>152</v>
      </c>
      <c r="H749" t="s">
        <v>26</v>
      </c>
      <c r="I749" s="2">
        <v>43547</v>
      </c>
      <c r="J749" t="s">
        <v>58</v>
      </c>
      <c r="K749" t="s">
        <v>632</v>
      </c>
      <c r="L749">
        <v>66215</v>
      </c>
      <c r="M749" t="s">
        <v>21</v>
      </c>
      <c r="N749" t="str">
        <f>VLOOKUP(A749, Data_Set_2!$A:$D,2,FALSE)</f>
        <v>kboydcz</v>
      </c>
      <c r="O749" t="str">
        <f>VLOOKUP(A749, Data_Set_2!$A:$D,3,FALSE)</f>
        <v>Leexo</v>
      </c>
      <c r="P749" t="str">
        <f>VLOOKUP(A749, Data_Set_2!$A:$D,4,FALSE)</f>
        <v>Executive Secretary</v>
      </c>
      <c r="Q749" t="str">
        <f>_xlfn.CONCAT(Table3[[#This Row],[first_name]], " ",Table3[[#This Row],[last_name]])</f>
        <v>Karen Boyd</v>
      </c>
    </row>
    <row r="750" spans="1:17" hidden="1" x14ac:dyDescent="0.3">
      <c r="A750">
        <v>469</v>
      </c>
      <c r="B750" t="s">
        <v>389</v>
      </c>
      <c r="C750" t="s">
        <v>614</v>
      </c>
      <c r="D750" t="s">
        <v>615</v>
      </c>
      <c r="E750" t="s">
        <v>32</v>
      </c>
      <c r="F750" t="s">
        <v>33</v>
      </c>
      <c r="G750" s="1">
        <v>875</v>
      </c>
      <c r="H750" t="s">
        <v>62</v>
      </c>
      <c r="I750" s="2">
        <v>43537</v>
      </c>
      <c r="J750" t="s">
        <v>74</v>
      </c>
      <c r="K750" t="s">
        <v>75</v>
      </c>
      <c r="L750">
        <v>30368</v>
      </c>
      <c r="M750" t="s">
        <v>21</v>
      </c>
      <c r="N750" t="str">
        <f>VLOOKUP(A750, Data_Set_2!$A:$D,2,FALSE)</f>
        <v>istoned0</v>
      </c>
      <c r="O750" t="str">
        <f>VLOOKUP(A750, Data_Set_2!$A:$D,3,FALSE)</f>
        <v>Riffpedia</v>
      </c>
      <c r="P750" t="str">
        <f>VLOOKUP(A750, Data_Set_2!$A:$D,4,FALSE)</f>
        <v>Director of Sales</v>
      </c>
      <c r="Q750" t="str">
        <f>_xlfn.CONCAT(Table3[[#This Row],[first_name]], " ",Table3[[#This Row],[last_name]])</f>
        <v>Irene Stone</v>
      </c>
    </row>
    <row r="751" spans="1:17" hidden="1" x14ac:dyDescent="0.3">
      <c r="A751">
        <v>470</v>
      </c>
      <c r="B751" t="s">
        <v>920</v>
      </c>
      <c r="C751" t="s">
        <v>641</v>
      </c>
      <c r="D751" t="s">
        <v>1125</v>
      </c>
      <c r="E751" t="s">
        <v>16</v>
      </c>
      <c r="F751" t="s">
        <v>25</v>
      </c>
      <c r="G751" s="1">
        <v>425</v>
      </c>
      <c r="H751" t="s">
        <v>4035</v>
      </c>
      <c r="I751" s="2">
        <v>44539</v>
      </c>
      <c r="J751" t="s">
        <v>345</v>
      </c>
      <c r="K751" t="s">
        <v>220</v>
      </c>
      <c r="L751">
        <v>20005</v>
      </c>
      <c r="M751" t="s">
        <v>21</v>
      </c>
      <c r="N751" t="str">
        <f>VLOOKUP(A751, Data_Set_2!$A:$D,2,FALSE)</f>
        <v>bwalkerd1</v>
      </c>
      <c r="O751" t="str">
        <f>VLOOKUP(A751, Data_Set_2!$A:$D,3,FALSE)</f>
        <v>Photobug</v>
      </c>
      <c r="P751" t="str">
        <f>VLOOKUP(A751, Data_Set_2!$A:$D,4,FALSE)</f>
        <v>Occupational Therapist</v>
      </c>
      <c r="Q751" t="str">
        <f>_xlfn.CONCAT(Table3[[#This Row],[first_name]], " ",Table3[[#This Row],[last_name]])</f>
        <v>Bobby Walker</v>
      </c>
    </row>
    <row r="752" spans="1:17" hidden="1" x14ac:dyDescent="0.3">
      <c r="A752">
        <v>472</v>
      </c>
      <c r="B752" t="s">
        <v>13</v>
      </c>
      <c r="C752" t="s">
        <v>357</v>
      </c>
      <c r="D752" t="s">
        <v>485</v>
      </c>
      <c r="E752" t="s">
        <v>16</v>
      </c>
      <c r="F752" t="s">
        <v>51</v>
      </c>
      <c r="G752" s="1">
        <v>605</v>
      </c>
      <c r="H752" t="s">
        <v>4035</v>
      </c>
      <c r="I752" s="2">
        <v>43362</v>
      </c>
      <c r="J752" t="s">
        <v>41</v>
      </c>
      <c r="K752" t="s">
        <v>42</v>
      </c>
      <c r="L752">
        <v>40256</v>
      </c>
      <c r="M752" t="s">
        <v>21</v>
      </c>
      <c r="N752" t="str">
        <f>VLOOKUP(A752, Data_Set_2!$A:$D,2,FALSE)</f>
        <v>staylord3</v>
      </c>
      <c r="O752" t="str">
        <f>VLOOKUP(A752, Data_Set_2!$A:$D,3,FALSE)</f>
        <v>Rhynyx</v>
      </c>
      <c r="P752" t="str">
        <f>VLOOKUP(A752, Data_Set_2!$A:$D,4,FALSE)</f>
        <v>Graphic Designer</v>
      </c>
      <c r="Q752" t="str">
        <f>_xlfn.CONCAT(Table3[[#This Row],[first_name]], " ",Table3[[#This Row],[last_name]])</f>
        <v>Shawn Taylor</v>
      </c>
    </row>
    <row r="753" spans="1:17" hidden="1" x14ac:dyDescent="0.3">
      <c r="A753">
        <v>473</v>
      </c>
      <c r="B753" t="s">
        <v>218</v>
      </c>
      <c r="C753" t="s">
        <v>113</v>
      </c>
      <c r="D753" t="s">
        <v>219</v>
      </c>
      <c r="E753" t="s">
        <v>16</v>
      </c>
      <c r="F753" t="s">
        <v>33</v>
      </c>
      <c r="G753" s="1">
        <v>809</v>
      </c>
      <c r="H753" t="s">
        <v>62</v>
      </c>
      <c r="I753" s="2">
        <v>43183</v>
      </c>
      <c r="J753" t="s">
        <v>220</v>
      </c>
      <c r="K753" t="s">
        <v>221</v>
      </c>
      <c r="L753">
        <v>98442</v>
      </c>
      <c r="M753" t="s">
        <v>21</v>
      </c>
      <c r="N753" t="str">
        <f>VLOOKUP(A753, Data_Set_2!$A:$D,2,FALSE)</f>
        <v>acooperd4</v>
      </c>
      <c r="O753" t="str">
        <f>VLOOKUP(A753, Data_Set_2!$A:$D,3,FALSE)</f>
        <v>Aibox</v>
      </c>
      <c r="P753" t="str">
        <f>VLOOKUP(A753, Data_Set_2!$A:$D,4,FALSE)</f>
        <v>Data Coordiator</v>
      </c>
      <c r="Q753" t="str">
        <f>_xlfn.CONCAT(Table3[[#This Row],[first_name]], " ",Table3[[#This Row],[last_name]])</f>
        <v>Arthur Cooper</v>
      </c>
    </row>
    <row r="754" spans="1:17" hidden="1" x14ac:dyDescent="0.3">
      <c r="A754">
        <v>473</v>
      </c>
      <c r="B754" t="s">
        <v>218</v>
      </c>
      <c r="C754" t="s">
        <v>113</v>
      </c>
      <c r="D754" t="s">
        <v>219</v>
      </c>
      <c r="E754" t="s">
        <v>16</v>
      </c>
      <c r="F754" t="s">
        <v>33</v>
      </c>
      <c r="G754" s="1">
        <v>396</v>
      </c>
      <c r="H754" t="s">
        <v>62</v>
      </c>
      <c r="I754" s="2">
        <v>44498</v>
      </c>
      <c r="J754" t="s">
        <v>220</v>
      </c>
      <c r="K754" t="s">
        <v>221</v>
      </c>
      <c r="L754">
        <v>98442</v>
      </c>
      <c r="M754" t="s">
        <v>21</v>
      </c>
      <c r="N754" t="str">
        <f>VLOOKUP(A754, Data_Set_2!$A:$D,2,FALSE)</f>
        <v>acooperd4</v>
      </c>
      <c r="O754" t="str">
        <f>VLOOKUP(A754, Data_Set_2!$A:$D,3,FALSE)</f>
        <v>Aibox</v>
      </c>
      <c r="P754" t="str">
        <f>VLOOKUP(A754, Data_Set_2!$A:$D,4,FALSE)</f>
        <v>Data Coordiator</v>
      </c>
      <c r="Q754" t="str">
        <f>_xlfn.CONCAT(Table3[[#This Row],[first_name]], " ",Table3[[#This Row],[last_name]])</f>
        <v>Arthur Cooper</v>
      </c>
    </row>
    <row r="755" spans="1:17" hidden="1" x14ac:dyDescent="0.3">
      <c r="A755">
        <v>474</v>
      </c>
      <c r="B755" t="s">
        <v>565</v>
      </c>
      <c r="C755" t="s">
        <v>69</v>
      </c>
      <c r="D755" t="s">
        <v>902</v>
      </c>
      <c r="E755" t="s">
        <v>16</v>
      </c>
      <c r="F755" t="s">
        <v>33</v>
      </c>
      <c r="G755" s="1">
        <v>723</v>
      </c>
      <c r="H755" t="s">
        <v>26</v>
      </c>
      <c r="I755" s="2">
        <v>44012</v>
      </c>
      <c r="J755" t="s">
        <v>35</v>
      </c>
      <c r="K755" t="s">
        <v>903</v>
      </c>
      <c r="L755">
        <v>93305</v>
      </c>
      <c r="M755" t="s">
        <v>21</v>
      </c>
      <c r="N755" t="str">
        <f>VLOOKUP(A755, Data_Set_2!$A:$D,2,FALSE)</f>
        <v>paustind5</v>
      </c>
      <c r="O755" t="str">
        <f>VLOOKUP(A755, Data_Set_2!$A:$D,3,FALSE)</f>
        <v>InnoZ</v>
      </c>
      <c r="P755" t="str">
        <f>VLOOKUP(A755, Data_Set_2!$A:$D,4,FALSE)</f>
        <v>Dental Hygienist</v>
      </c>
      <c r="Q755" t="str">
        <f>_xlfn.CONCAT(Table3[[#This Row],[first_name]], " ",Table3[[#This Row],[last_name]])</f>
        <v>Patrick Austin</v>
      </c>
    </row>
    <row r="756" spans="1:17" x14ac:dyDescent="0.3">
      <c r="A756">
        <v>475</v>
      </c>
      <c r="B756" t="s">
        <v>422</v>
      </c>
      <c r="C756" t="s">
        <v>511</v>
      </c>
      <c r="D756" t="s">
        <v>512</v>
      </c>
      <c r="E756" t="s">
        <v>16</v>
      </c>
      <c r="F756" t="s">
        <v>33</v>
      </c>
      <c r="G756" s="1">
        <v>496</v>
      </c>
      <c r="H756" t="s">
        <v>95</v>
      </c>
      <c r="I756" s="2">
        <v>43403</v>
      </c>
      <c r="J756" t="s">
        <v>78</v>
      </c>
      <c r="K756" t="s">
        <v>281</v>
      </c>
      <c r="L756">
        <v>48092</v>
      </c>
      <c r="M756" t="s">
        <v>21</v>
      </c>
      <c r="N756" t="str">
        <f>VLOOKUP(A756, Data_Set_2!$A:$D,2,FALSE)</f>
        <v>dlongd6</v>
      </c>
      <c r="O756" t="str">
        <f>VLOOKUP(A756, Data_Set_2!$A:$D,3,FALSE)</f>
        <v>Meembee</v>
      </c>
      <c r="P756" t="str">
        <f>VLOOKUP(A756, Data_Set_2!$A:$D,4,FALSE)</f>
        <v>Senior Developer</v>
      </c>
      <c r="Q756" t="str">
        <f>_xlfn.CONCAT(Table3[[#This Row],[first_name]], " ",Table3[[#This Row],[last_name]])</f>
        <v>David Long</v>
      </c>
    </row>
    <row r="757" spans="1:17" x14ac:dyDescent="0.3">
      <c r="A757">
        <v>475</v>
      </c>
      <c r="B757" t="s">
        <v>422</v>
      </c>
      <c r="C757" t="s">
        <v>511</v>
      </c>
      <c r="D757" t="s">
        <v>512</v>
      </c>
      <c r="E757" t="s">
        <v>16</v>
      </c>
      <c r="F757" t="s">
        <v>33</v>
      </c>
      <c r="G757" s="1">
        <v>460</v>
      </c>
      <c r="H757" t="s">
        <v>95</v>
      </c>
      <c r="I757" s="2">
        <v>43639</v>
      </c>
      <c r="J757" t="s">
        <v>78</v>
      </c>
      <c r="K757" t="s">
        <v>281</v>
      </c>
      <c r="L757">
        <v>48092</v>
      </c>
      <c r="M757" t="s">
        <v>21</v>
      </c>
      <c r="N757" t="str">
        <f>VLOOKUP(A757, Data_Set_2!$A:$D,2,FALSE)</f>
        <v>dlongd6</v>
      </c>
      <c r="O757" t="str">
        <f>VLOOKUP(A757, Data_Set_2!$A:$D,3,FALSE)</f>
        <v>Meembee</v>
      </c>
      <c r="P757" t="str">
        <f>VLOOKUP(A757, Data_Set_2!$A:$D,4,FALSE)</f>
        <v>Senior Developer</v>
      </c>
      <c r="Q757" t="str">
        <f>_xlfn.CONCAT(Table3[[#This Row],[first_name]], " ",Table3[[#This Row],[last_name]])</f>
        <v>David Long</v>
      </c>
    </row>
    <row r="758" spans="1:17" hidden="1" x14ac:dyDescent="0.3">
      <c r="A758">
        <v>476</v>
      </c>
      <c r="B758" t="s">
        <v>549</v>
      </c>
      <c r="C758" t="s">
        <v>313</v>
      </c>
      <c r="D758" t="s">
        <v>550</v>
      </c>
      <c r="E758" t="s">
        <v>32</v>
      </c>
      <c r="F758" t="s">
        <v>454</v>
      </c>
      <c r="G758" s="1">
        <v>699</v>
      </c>
      <c r="H758" t="s">
        <v>4035</v>
      </c>
      <c r="I758" s="2">
        <v>43452</v>
      </c>
      <c r="J758" t="s">
        <v>74</v>
      </c>
      <c r="K758" t="s">
        <v>551</v>
      </c>
      <c r="L758">
        <v>31422</v>
      </c>
      <c r="M758" t="s">
        <v>21</v>
      </c>
      <c r="N758" t="str">
        <f>VLOOKUP(A758, Data_Set_2!$A:$D,2,FALSE)</f>
        <v>jhenryd7</v>
      </c>
      <c r="O758" t="str">
        <f>VLOOKUP(A758, Data_Set_2!$A:$D,3,FALSE)</f>
        <v>Fivechat</v>
      </c>
      <c r="P758" t="str">
        <f>VLOOKUP(A758, Data_Set_2!$A:$D,4,FALSE)</f>
        <v>Chief Design Engineer</v>
      </c>
      <c r="Q758" t="str">
        <f>_xlfn.CONCAT(Table3[[#This Row],[first_name]], " ",Table3[[#This Row],[last_name]])</f>
        <v>Jane Henry</v>
      </c>
    </row>
    <row r="759" spans="1:17" hidden="1" x14ac:dyDescent="0.3">
      <c r="A759">
        <v>476</v>
      </c>
      <c r="B759" t="s">
        <v>549</v>
      </c>
      <c r="C759" t="s">
        <v>313</v>
      </c>
      <c r="D759" t="s">
        <v>550</v>
      </c>
      <c r="E759" t="s">
        <v>32</v>
      </c>
      <c r="F759" t="s">
        <v>454</v>
      </c>
      <c r="G759" s="1">
        <v>821</v>
      </c>
      <c r="H759" t="s">
        <v>4035</v>
      </c>
      <c r="I759" s="2">
        <v>44403</v>
      </c>
      <c r="J759" t="s">
        <v>74</v>
      </c>
      <c r="K759" t="s">
        <v>551</v>
      </c>
      <c r="L759">
        <v>31422</v>
      </c>
      <c r="M759" t="s">
        <v>21</v>
      </c>
      <c r="N759" t="str">
        <f>VLOOKUP(A759, Data_Set_2!$A:$D,2,FALSE)</f>
        <v>jhenryd7</v>
      </c>
      <c r="O759" t="str">
        <f>VLOOKUP(A759, Data_Set_2!$A:$D,3,FALSE)</f>
        <v>Fivechat</v>
      </c>
      <c r="P759" t="str">
        <f>VLOOKUP(A759, Data_Set_2!$A:$D,4,FALSE)</f>
        <v>Chief Design Engineer</v>
      </c>
      <c r="Q759" t="str">
        <f>_xlfn.CONCAT(Table3[[#This Row],[first_name]], " ",Table3[[#This Row],[last_name]])</f>
        <v>Jane Henry</v>
      </c>
    </row>
    <row r="760" spans="1:17" hidden="1" x14ac:dyDescent="0.3">
      <c r="A760">
        <v>477</v>
      </c>
      <c r="B760" t="s">
        <v>29</v>
      </c>
      <c r="C760" t="s">
        <v>30</v>
      </c>
      <c r="D760" t="s">
        <v>31</v>
      </c>
      <c r="E760" t="s">
        <v>32</v>
      </c>
      <c r="F760" t="s">
        <v>33</v>
      </c>
      <c r="G760" s="1">
        <v>671</v>
      </c>
      <c r="H760" t="s">
        <v>34</v>
      </c>
      <c r="I760" s="2">
        <v>43101</v>
      </c>
      <c r="J760" t="s">
        <v>35</v>
      </c>
      <c r="K760" t="s">
        <v>36</v>
      </c>
      <c r="L760">
        <v>91210</v>
      </c>
      <c r="M760" t="s">
        <v>21</v>
      </c>
      <c r="N760" t="str">
        <f>VLOOKUP(A760, Data_Set_2!$A:$D,2,FALSE)</f>
        <v>tmccoyd8</v>
      </c>
      <c r="O760" t="str">
        <f>VLOOKUP(A760, Data_Set_2!$A:$D,3,FALSE)</f>
        <v>Twiyo</v>
      </c>
      <c r="P760" t="str">
        <f>VLOOKUP(A760, Data_Set_2!$A:$D,4,FALSE)</f>
        <v>Systems Administrator I</v>
      </c>
      <c r="Q760" t="str">
        <f>_xlfn.CONCAT(Table3[[#This Row],[first_name]], " ",Table3[[#This Row],[last_name]])</f>
        <v>Tina Mccoy</v>
      </c>
    </row>
    <row r="761" spans="1:17" hidden="1" x14ac:dyDescent="0.3">
      <c r="A761">
        <v>477</v>
      </c>
      <c r="B761" t="s">
        <v>29</v>
      </c>
      <c r="C761" t="s">
        <v>30</v>
      </c>
      <c r="D761" t="s">
        <v>31</v>
      </c>
      <c r="E761" t="s">
        <v>32</v>
      </c>
      <c r="F761" t="s">
        <v>33</v>
      </c>
      <c r="G761" s="1">
        <v>457</v>
      </c>
      <c r="H761" t="s">
        <v>34</v>
      </c>
      <c r="I761" s="2">
        <v>43230</v>
      </c>
      <c r="J761" t="s">
        <v>35</v>
      </c>
      <c r="K761" t="s">
        <v>36</v>
      </c>
      <c r="L761">
        <v>91210</v>
      </c>
      <c r="M761" t="s">
        <v>21</v>
      </c>
      <c r="N761" t="str">
        <f>VLOOKUP(A761, Data_Set_2!$A:$D,2,FALSE)</f>
        <v>tmccoyd8</v>
      </c>
      <c r="O761" t="str">
        <f>VLOOKUP(A761, Data_Set_2!$A:$D,3,FALSE)</f>
        <v>Twiyo</v>
      </c>
      <c r="P761" t="str">
        <f>VLOOKUP(A761, Data_Set_2!$A:$D,4,FALSE)</f>
        <v>Systems Administrator I</v>
      </c>
      <c r="Q761" t="str">
        <f>_xlfn.CONCAT(Table3[[#This Row],[first_name]], " ",Table3[[#This Row],[last_name]])</f>
        <v>Tina Mccoy</v>
      </c>
    </row>
    <row r="762" spans="1:17" hidden="1" x14ac:dyDescent="0.3">
      <c r="A762">
        <v>478</v>
      </c>
      <c r="B762" t="s">
        <v>190</v>
      </c>
      <c r="C762" t="s">
        <v>69</v>
      </c>
      <c r="D762" t="s">
        <v>191</v>
      </c>
      <c r="E762" t="s">
        <v>16</v>
      </c>
      <c r="F762" t="s">
        <v>25</v>
      </c>
      <c r="G762" s="1">
        <v>179</v>
      </c>
      <c r="H762" t="s">
        <v>26</v>
      </c>
      <c r="I762" s="2">
        <v>43157</v>
      </c>
      <c r="J762" t="s">
        <v>192</v>
      </c>
      <c r="K762" t="s">
        <v>193</v>
      </c>
      <c r="L762">
        <v>55428</v>
      </c>
      <c r="M762" t="s">
        <v>21</v>
      </c>
      <c r="N762" t="str">
        <f>VLOOKUP(A762, Data_Set_2!$A:$D,2,FALSE)</f>
        <v>jaustind9</v>
      </c>
      <c r="O762" t="str">
        <f>VLOOKUP(A762, Data_Set_2!$A:$D,3,FALSE)</f>
        <v>Yotz</v>
      </c>
      <c r="P762" t="str">
        <f>VLOOKUP(A762, Data_Set_2!$A:$D,4,FALSE)</f>
        <v>Account Representative III</v>
      </c>
      <c r="Q762" t="str">
        <f>_xlfn.CONCAT(Table3[[#This Row],[first_name]], " ",Table3[[#This Row],[last_name]])</f>
        <v>Johnny Austin</v>
      </c>
    </row>
    <row r="763" spans="1:17" hidden="1" x14ac:dyDescent="0.3">
      <c r="A763">
        <v>478</v>
      </c>
      <c r="B763" t="s">
        <v>190</v>
      </c>
      <c r="C763" t="s">
        <v>69</v>
      </c>
      <c r="D763" t="s">
        <v>191</v>
      </c>
      <c r="E763" t="s">
        <v>16</v>
      </c>
      <c r="F763" t="s">
        <v>25</v>
      </c>
      <c r="G763" s="1">
        <v>458</v>
      </c>
      <c r="H763" t="s">
        <v>26</v>
      </c>
      <c r="I763" s="2">
        <v>43437</v>
      </c>
      <c r="J763" t="s">
        <v>192</v>
      </c>
      <c r="K763" t="s">
        <v>193</v>
      </c>
      <c r="L763">
        <v>55428</v>
      </c>
      <c r="M763" t="s">
        <v>21</v>
      </c>
      <c r="N763" t="str">
        <f>VLOOKUP(A763, Data_Set_2!$A:$D,2,FALSE)</f>
        <v>jaustind9</v>
      </c>
      <c r="O763" t="str">
        <f>VLOOKUP(A763, Data_Set_2!$A:$D,3,FALSE)</f>
        <v>Yotz</v>
      </c>
      <c r="P763" t="str">
        <f>VLOOKUP(A763, Data_Set_2!$A:$D,4,FALSE)</f>
        <v>Account Representative III</v>
      </c>
      <c r="Q763" t="str">
        <f>_xlfn.CONCAT(Table3[[#This Row],[first_name]], " ",Table3[[#This Row],[last_name]])</f>
        <v>Johnny Austin</v>
      </c>
    </row>
    <row r="764" spans="1:17" hidden="1" x14ac:dyDescent="0.3">
      <c r="A764">
        <v>478</v>
      </c>
      <c r="B764" t="s">
        <v>190</v>
      </c>
      <c r="C764" t="s">
        <v>69</v>
      </c>
      <c r="D764" t="s">
        <v>191</v>
      </c>
      <c r="E764" t="s">
        <v>16</v>
      </c>
      <c r="F764" t="s">
        <v>25</v>
      </c>
      <c r="G764" s="1">
        <v>807</v>
      </c>
      <c r="H764" t="s">
        <v>26</v>
      </c>
      <c r="I764" s="2">
        <v>43570</v>
      </c>
      <c r="J764" t="s">
        <v>192</v>
      </c>
      <c r="K764" t="s">
        <v>193</v>
      </c>
      <c r="L764">
        <v>55428</v>
      </c>
      <c r="M764" t="s">
        <v>21</v>
      </c>
      <c r="N764" t="str">
        <f>VLOOKUP(A764, Data_Set_2!$A:$D,2,FALSE)</f>
        <v>jaustind9</v>
      </c>
      <c r="O764" t="str">
        <f>VLOOKUP(A764, Data_Set_2!$A:$D,3,FALSE)</f>
        <v>Yotz</v>
      </c>
      <c r="P764" t="str">
        <f>VLOOKUP(A764, Data_Set_2!$A:$D,4,FALSE)</f>
        <v>Account Representative III</v>
      </c>
      <c r="Q764" t="str">
        <f>_xlfn.CONCAT(Table3[[#This Row],[first_name]], " ",Table3[[#This Row],[last_name]])</f>
        <v>Johnny Austin</v>
      </c>
    </row>
    <row r="765" spans="1:17" hidden="1" x14ac:dyDescent="0.3">
      <c r="A765">
        <v>478</v>
      </c>
      <c r="B765" t="s">
        <v>190</v>
      </c>
      <c r="C765" t="s">
        <v>69</v>
      </c>
      <c r="D765" t="s">
        <v>191</v>
      </c>
      <c r="E765" t="s">
        <v>16</v>
      </c>
      <c r="F765" t="s">
        <v>25</v>
      </c>
      <c r="G765" s="1">
        <v>295</v>
      </c>
      <c r="H765" t="s">
        <v>26</v>
      </c>
      <c r="I765" s="2">
        <v>43611</v>
      </c>
      <c r="J765" t="s">
        <v>192</v>
      </c>
      <c r="K765" t="s">
        <v>193</v>
      </c>
      <c r="L765">
        <v>55428</v>
      </c>
      <c r="M765" t="s">
        <v>21</v>
      </c>
      <c r="N765" t="str">
        <f>VLOOKUP(A765, Data_Set_2!$A:$D,2,FALSE)</f>
        <v>jaustind9</v>
      </c>
      <c r="O765" t="str">
        <f>VLOOKUP(A765, Data_Set_2!$A:$D,3,FALSE)</f>
        <v>Yotz</v>
      </c>
      <c r="P765" t="str">
        <f>VLOOKUP(A765, Data_Set_2!$A:$D,4,FALSE)</f>
        <v>Account Representative III</v>
      </c>
      <c r="Q765" t="str">
        <f>_xlfn.CONCAT(Table3[[#This Row],[first_name]], " ",Table3[[#This Row],[last_name]])</f>
        <v>Johnny Austin</v>
      </c>
    </row>
    <row r="766" spans="1:17" hidden="1" x14ac:dyDescent="0.3">
      <c r="A766">
        <v>478</v>
      </c>
      <c r="B766" t="s">
        <v>190</v>
      </c>
      <c r="C766" t="s">
        <v>69</v>
      </c>
      <c r="D766" t="s">
        <v>191</v>
      </c>
      <c r="E766" t="s">
        <v>16</v>
      </c>
      <c r="F766" t="s">
        <v>25</v>
      </c>
      <c r="G766" s="1">
        <v>96</v>
      </c>
      <c r="H766" t="s">
        <v>26</v>
      </c>
      <c r="I766" s="2">
        <v>43961</v>
      </c>
      <c r="J766" t="s">
        <v>192</v>
      </c>
      <c r="K766" t="s">
        <v>193</v>
      </c>
      <c r="L766">
        <v>55428</v>
      </c>
      <c r="M766" t="s">
        <v>21</v>
      </c>
      <c r="N766" t="str">
        <f>VLOOKUP(A766, Data_Set_2!$A:$D,2,FALSE)</f>
        <v>jaustind9</v>
      </c>
      <c r="O766" t="str">
        <f>VLOOKUP(A766, Data_Set_2!$A:$D,3,FALSE)</f>
        <v>Yotz</v>
      </c>
      <c r="P766" t="str">
        <f>VLOOKUP(A766, Data_Set_2!$A:$D,4,FALSE)</f>
        <v>Account Representative III</v>
      </c>
      <c r="Q766" t="str">
        <f>_xlfn.CONCAT(Table3[[#This Row],[first_name]], " ",Table3[[#This Row],[last_name]])</f>
        <v>Johnny Austin</v>
      </c>
    </row>
    <row r="767" spans="1:17" hidden="1" x14ac:dyDescent="0.3">
      <c r="A767">
        <v>478</v>
      </c>
      <c r="B767" t="s">
        <v>190</v>
      </c>
      <c r="C767" t="s">
        <v>69</v>
      </c>
      <c r="D767" t="s">
        <v>191</v>
      </c>
      <c r="E767" t="s">
        <v>16</v>
      </c>
      <c r="F767" t="s">
        <v>25</v>
      </c>
      <c r="G767" s="1">
        <v>928</v>
      </c>
      <c r="H767" t="s">
        <v>26</v>
      </c>
      <c r="I767" s="2">
        <v>44141</v>
      </c>
      <c r="J767" t="s">
        <v>192</v>
      </c>
      <c r="K767" t="s">
        <v>193</v>
      </c>
      <c r="L767">
        <v>55428</v>
      </c>
      <c r="M767" t="s">
        <v>21</v>
      </c>
      <c r="N767" t="str">
        <f>VLOOKUP(A767, Data_Set_2!$A:$D,2,FALSE)</f>
        <v>jaustind9</v>
      </c>
      <c r="O767" t="str">
        <f>VLOOKUP(A767, Data_Set_2!$A:$D,3,FALSE)</f>
        <v>Yotz</v>
      </c>
      <c r="P767" t="str">
        <f>VLOOKUP(A767, Data_Set_2!$A:$D,4,FALSE)</f>
        <v>Account Representative III</v>
      </c>
      <c r="Q767" t="str">
        <f>_xlfn.CONCAT(Table3[[#This Row],[first_name]], " ",Table3[[#This Row],[last_name]])</f>
        <v>Johnny Austin</v>
      </c>
    </row>
    <row r="768" spans="1:17" hidden="1" x14ac:dyDescent="0.3">
      <c r="A768">
        <v>478</v>
      </c>
      <c r="B768" t="s">
        <v>190</v>
      </c>
      <c r="C768" t="s">
        <v>69</v>
      </c>
      <c r="D768" t="s">
        <v>191</v>
      </c>
      <c r="E768" t="s">
        <v>16</v>
      </c>
      <c r="F768" t="s">
        <v>25</v>
      </c>
      <c r="G768" s="1">
        <v>740</v>
      </c>
      <c r="H768" t="s">
        <v>26</v>
      </c>
      <c r="I768" s="2">
        <v>44146</v>
      </c>
      <c r="J768" t="s">
        <v>192</v>
      </c>
      <c r="K768" t="s">
        <v>193</v>
      </c>
      <c r="L768">
        <v>55428</v>
      </c>
      <c r="M768" t="s">
        <v>21</v>
      </c>
      <c r="N768" t="str">
        <f>VLOOKUP(A768, Data_Set_2!$A:$D,2,FALSE)</f>
        <v>jaustind9</v>
      </c>
      <c r="O768" t="str">
        <f>VLOOKUP(A768, Data_Set_2!$A:$D,3,FALSE)</f>
        <v>Yotz</v>
      </c>
      <c r="P768" t="str">
        <f>VLOOKUP(A768, Data_Set_2!$A:$D,4,FALSE)</f>
        <v>Account Representative III</v>
      </c>
      <c r="Q768" t="str">
        <f>_xlfn.CONCAT(Table3[[#This Row],[first_name]], " ",Table3[[#This Row],[last_name]])</f>
        <v>Johnny Austin</v>
      </c>
    </row>
    <row r="769" spans="1:17" hidden="1" x14ac:dyDescent="0.3">
      <c r="A769">
        <v>478</v>
      </c>
      <c r="B769" t="s">
        <v>190</v>
      </c>
      <c r="C769" t="s">
        <v>69</v>
      </c>
      <c r="D769" t="s">
        <v>191</v>
      </c>
      <c r="E769" t="s">
        <v>16</v>
      </c>
      <c r="F769" t="s">
        <v>25</v>
      </c>
      <c r="G769" s="1">
        <v>425</v>
      </c>
      <c r="H769" t="s">
        <v>26</v>
      </c>
      <c r="I769" s="2">
        <v>44208</v>
      </c>
      <c r="J769" t="s">
        <v>192</v>
      </c>
      <c r="K769" t="s">
        <v>193</v>
      </c>
      <c r="L769">
        <v>55428</v>
      </c>
      <c r="M769" t="s">
        <v>21</v>
      </c>
      <c r="N769" t="str">
        <f>VLOOKUP(A769, Data_Set_2!$A:$D,2,FALSE)</f>
        <v>jaustind9</v>
      </c>
      <c r="O769" t="str">
        <f>VLOOKUP(A769, Data_Set_2!$A:$D,3,FALSE)</f>
        <v>Yotz</v>
      </c>
      <c r="P769" t="str">
        <f>VLOOKUP(A769, Data_Set_2!$A:$D,4,FALSE)</f>
        <v>Account Representative III</v>
      </c>
      <c r="Q769" t="str">
        <f>_xlfn.CONCAT(Table3[[#This Row],[first_name]], " ",Table3[[#This Row],[last_name]])</f>
        <v>Johnny Austin</v>
      </c>
    </row>
    <row r="770" spans="1:17" hidden="1" x14ac:dyDescent="0.3">
      <c r="A770">
        <v>478</v>
      </c>
      <c r="B770" t="s">
        <v>190</v>
      </c>
      <c r="C770" t="s">
        <v>69</v>
      </c>
      <c r="D770" t="s">
        <v>191</v>
      </c>
      <c r="E770" t="s">
        <v>16</v>
      </c>
      <c r="F770" t="s">
        <v>25</v>
      </c>
      <c r="G770" s="1">
        <v>298</v>
      </c>
      <c r="H770" t="s">
        <v>26</v>
      </c>
      <c r="I770" s="2">
        <v>44512</v>
      </c>
      <c r="J770" t="s">
        <v>192</v>
      </c>
      <c r="K770" t="s">
        <v>193</v>
      </c>
      <c r="L770">
        <v>55428</v>
      </c>
      <c r="M770" t="s">
        <v>21</v>
      </c>
      <c r="N770" t="str">
        <f>VLOOKUP(A770, Data_Set_2!$A:$D,2,FALSE)</f>
        <v>jaustind9</v>
      </c>
      <c r="O770" t="str">
        <f>VLOOKUP(A770, Data_Set_2!$A:$D,3,FALSE)</f>
        <v>Yotz</v>
      </c>
      <c r="P770" t="str">
        <f>VLOOKUP(A770, Data_Set_2!$A:$D,4,FALSE)</f>
        <v>Account Representative III</v>
      </c>
      <c r="Q770" t="str">
        <f>_xlfn.CONCAT(Table3[[#This Row],[first_name]], " ",Table3[[#This Row],[last_name]])</f>
        <v>Johnny Austin</v>
      </c>
    </row>
    <row r="771" spans="1:17" hidden="1" x14ac:dyDescent="0.3">
      <c r="A771">
        <v>478</v>
      </c>
      <c r="B771" t="s">
        <v>190</v>
      </c>
      <c r="C771" t="s">
        <v>69</v>
      </c>
      <c r="D771" t="s">
        <v>191</v>
      </c>
      <c r="E771" t="s">
        <v>16</v>
      </c>
      <c r="F771" t="s">
        <v>25</v>
      </c>
      <c r="G771" s="1">
        <v>974</v>
      </c>
      <c r="H771" t="s">
        <v>26</v>
      </c>
      <c r="I771" s="2">
        <v>44592</v>
      </c>
      <c r="J771" t="s">
        <v>192</v>
      </c>
      <c r="K771" t="s">
        <v>193</v>
      </c>
      <c r="L771">
        <v>55428</v>
      </c>
      <c r="M771" t="s">
        <v>21</v>
      </c>
      <c r="N771" t="str">
        <f>VLOOKUP(A771, Data_Set_2!$A:$D,2,FALSE)</f>
        <v>jaustind9</v>
      </c>
      <c r="O771" t="str">
        <f>VLOOKUP(A771, Data_Set_2!$A:$D,3,FALSE)</f>
        <v>Yotz</v>
      </c>
      <c r="P771" t="str">
        <f>VLOOKUP(A771, Data_Set_2!$A:$D,4,FALSE)</f>
        <v>Account Representative III</v>
      </c>
      <c r="Q771" t="str">
        <f>_xlfn.CONCAT(Table3[[#This Row],[first_name]], " ",Table3[[#This Row],[last_name]])</f>
        <v>Johnny Austin</v>
      </c>
    </row>
    <row r="772" spans="1:17" hidden="1" x14ac:dyDescent="0.3">
      <c r="A772">
        <v>478</v>
      </c>
      <c r="B772" t="s">
        <v>190</v>
      </c>
      <c r="C772" t="s">
        <v>69</v>
      </c>
      <c r="D772" t="s">
        <v>191</v>
      </c>
      <c r="E772" t="s">
        <v>16</v>
      </c>
      <c r="F772" t="s">
        <v>25</v>
      </c>
      <c r="G772" s="1">
        <v>1000</v>
      </c>
      <c r="H772" t="s">
        <v>26</v>
      </c>
      <c r="I772" s="2">
        <v>44641</v>
      </c>
      <c r="J772" t="s">
        <v>192</v>
      </c>
      <c r="K772" t="s">
        <v>193</v>
      </c>
      <c r="L772">
        <v>55428</v>
      </c>
      <c r="M772" t="s">
        <v>21</v>
      </c>
      <c r="N772" t="str">
        <f>VLOOKUP(A772, Data_Set_2!$A:$D,2,FALSE)</f>
        <v>jaustind9</v>
      </c>
      <c r="O772" t="str">
        <f>VLOOKUP(A772, Data_Set_2!$A:$D,3,FALSE)</f>
        <v>Yotz</v>
      </c>
      <c r="P772" t="str">
        <f>VLOOKUP(A772, Data_Set_2!$A:$D,4,FALSE)</f>
        <v>Account Representative III</v>
      </c>
      <c r="Q772" t="str">
        <f>_xlfn.CONCAT(Table3[[#This Row],[first_name]], " ",Table3[[#This Row],[last_name]])</f>
        <v>Johnny Austin</v>
      </c>
    </row>
    <row r="773" spans="1:17" hidden="1" x14ac:dyDescent="0.3">
      <c r="A773">
        <v>478</v>
      </c>
      <c r="B773" t="s">
        <v>190</v>
      </c>
      <c r="C773" t="s">
        <v>69</v>
      </c>
      <c r="D773" t="s">
        <v>191</v>
      </c>
      <c r="E773" t="s">
        <v>16</v>
      </c>
      <c r="F773" t="s">
        <v>25</v>
      </c>
      <c r="G773" s="1">
        <v>718</v>
      </c>
      <c r="H773" t="s">
        <v>26</v>
      </c>
      <c r="I773" s="2">
        <v>44806</v>
      </c>
      <c r="J773" t="s">
        <v>192</v>
      </c>
      <c r="K773" t="s">
        <v>193</v>
      </c>
      <c r="L773">
        <v>55428</v>
      </c>
      <c r="M773" t="s">
        <v>21</v>
      </c>
      <c r="N773" t="str">
        <f>VLOOKUP(A773, Data_Set_2!$A:$D,2,FALSE)</f>
        <v>jaustind9</v>
      </c>
      <c r="O773" t="str">
        <f>VLOOKUP(A773, Data_Set_2!$A:$D,3,FALSE)</f>
        <v>Yotz</v>
      </c>
      <c r="P773" t="str">
        <f>VLOOKUP(A773, Data_Set_2!$A:$D,4,FALSE)</f>
        <v>Account Representative III</v>
      </c>
      <c r="Q773" t="str">
        <f>_xlfn.CONCAT(Table3[[#This Row],[first_name]], " ",Table3[[#This Row],[last_name]])</f>
        <v>Johnny Austin</v>
      </c>
    </row>
    <row r="774" spans="1:17" hidden="1" x14ac:dyDescent="0.3">
      <c r="A774">
        <v>478</v>
      </c>
      <c r="B774" t="s">
        <v>190</v>
      </c>
      <c r="C774" t="s">
        <v>69</v>
      </c>
      <c r="D774" t="s">
        <v>191</v>
      </c>
      <c r="E774" t="s">
        <v>16</v>
      </c>
      <c r="F774" t="s">
        <v>25</v>
      </c>
      <c r="G774" s="1">
        <v>264</v>
      </c>
      <c r="H774" t="s">
        <v>26</v>
      </c>
      <c r="I774" s="2">
        <v>44880</v>
      </c>
      <c r="J774" t="s">
        <v>192</v>
      </c>
      <c r="K774" t="s">
        <v>193</v>
      </c>
      <c r="L774">
        <v>55428</v>
      </c>
      <c r="M774" t="s">
        <v>21</v>
      </c>
      <c r="N774" t="str">
        <f>VLOOKUP(A774, Data_Set_2!$A:$D,2,FALSE)</f>
        <v>jaustind9</v>
      </c>
      <c r="O774" t="str">
        <f>VLOOKUP(A774, Data_Set_2!$A:$D,3,FALSE)</f>
        <v>Yotz</v>
      </c>
      <c r="P774" t="str">
        <f>VLOOKUP(A774, Data_Set_2!$A:$D,4,FALSE)</f>
        <v>Account Representative III</v>
      </c>
      <c r="Q774" t="str">
        <f>_xlfn.CONCAT(Table3[[#This Row],[first_name]], " ",Table3[[#This Row],[last_name]])</f>
        <v>Johnny Austin</v>
      </c>
    </row>
    <row r="775" spans="1:17" hidden="1" x14ac:dyDescent="0.3">
      <c r="A775">
        <v>479</v>
      </c>
      <c r="B775" t="s">
        <v>386</v>
      </c>
      <c r="C775" t="s">
        <v>387</v>
      </c>
      <c r="D775" t="s">
        <v>388</v>
      </c>
      <c r="E775" t="s">
        <v>16</v>
      </c>
      <c r="F775" t="s">
        <v>25</v>
      </c>
      <c r="G775" s="1">
        <v>28</v>
      </c>
      <c r="H775" t="s">
        <v>73</v>
      </c>
      <c r="I775" s="2">
        <v>43280</v>
      </c>
      <c r="J775" t="s">
        <v>184</v>
      </c>
      <c r="K775" t="s">
        <v>185</v>
      </c>
      <c r="L775">
        <v>10459</v>
      </c>
      <c r="M775" t="s">
        <v>21</v>
      </c>
      <c r="N775" t="str">
        <f>VLOOKUP(A775, Data_Set_2!$A:$D,2,FALSE)</f>
        <v>apattersonda</v>
      </c>
      <c r="O775" t="str">
        <f>VLOOKUP(A775, Data_Set_2!$A:$D,3,FALSE)</f>
        <v>Edgeclub</v>
      </c>
      <c r="P775" t="str">
        <f>VLOOKUP(A775, Data_Set_2!$A:$D,4,FALSE)</f>
        <v>Health Coach IV</v>
      </c>
      <c r="Q775" t="str">
        <f>_xlfn.CONCAT(Table3[[#This Row],[first_name]], " ",Table3[[#This Row],[last_name]])</f>
        <v>Aaron Patterson</v>
      </c>
    </row>
    <row r="776" spans="1:17" hidden="1" x14ac:dyDescent="0.3">
      <c r="A776">
        <v>479</v>
      </c>
      <c r="B776" t="s">
        <v>386</v>
      </c>
      <c r="C776" t="s">
        <v>387</v>
      </c>
      <c r="D776" t="s">
        <v>388</v>
      </c>
      <c r="E776" t="s">
        <v>16</v>
      </c>
      <c r="F776" t="s">
        <v>25</v>
      </c>
      <c r="G776" s="1">
        <v>875</v>
      </c>
      <c r="H776" t="s">
        <v>73</v>
      </c>
      <c r="I776" s="2">
        <v>44595</v>
      </c>
      <c r="J776" t="s">
        <v>184</v>
      </c>
      <c r="K776" t="s">
        <v>185</v>
      </c>
      <c r="L776">
        <v>10459</v>
      </c>
      <c r="M776" t="s">
        <v>21</v>
      </c>
      <c r="N776" t="str">
        <f>VLOOKUP(A776, Data_Set_2!$A:$D,2,FALSE)</f>
        <v>apattersonda</v>
      </c>
      <c r="O776" t="str">
        <f>VLOOKUP(A776, Data_Set_2!$A:$D,3,FALSE)</f>
        <v>Edgeclub</v>
      </c>
      <c r="P776" t="str">
        <f>VLOOKUP(A776, Data_Set_2!$A:$D,4,FALSE)</f>
        <v>Health Coach IV</v>
      </c>
      <c r="Q776" t="str">
        <f>_xlfn.CONCAT(Table3[[#This Row],[first_name]], " ",Table3[[#This Row],[last_name]])</f>
        <v>Aaron Patterson</v>
      </c>
    </row>
    <row r="777" spans="1:17" hidden="1" x14ac:dyDescent="0.3">
      <c r="A777">
        <v>480</v>
      </c>
      <c r="B777" t="s">
        <v>726</v>
      </c>
      <c r="C777" t="s">
        <v>954</v>
      </c>
      <c r="D777" t="s">
        <v>1010</v>
      </c>
      <c r="E777" t="s">
        <v>16</v>
      </c>
      <c r="F777" t="s">
        <v>33</v>
      </c>
      <c r="G777" s="1">
        <v>945</v>
      </c>
      <c r="H777" t="s">
        <v>4035</v>
      </c>
      <c r="I777" s="2">
        <v>44248</v>
      </c>
      <c r="J777" t="s">
        <v>35</v>
      </c>
      <c r="K777" t="s">
        <v>266</v>
      </c>
      <c r="L777">
        <v>91411</v>
      </c>
      <c r="M777" t="s">
        <v>21</v>
      </c>
      <c r="N777" t="str">
        <f>VLOOKUP(A777, Data_Set_2!$A:$D,2,FALSE)</f>
        <v>cmasondb</v>
      </c>
      <c r="O777" t="str">
        <f>VLOOKUP(A777, Data_Set_2!$A:$D,3,FALSE)</f>
        <v>Yodo</v>
      </c>
      <c r="P777" t="str">
        <f>VLOOKUP(A777, Data_Set_2!$A:$D,4,FALSE)</f>
        <v>Help Desk Technician</v>
      </c>
      <c r="Q777" t="str">
        <f>_xlfn.CONCAT(Table3[[#This Row],[first_name]], " ",Table3[[#This Row],[last_name]])</f>
        <v>Clarence Mason</v>
      </c>
    </row>
    <row r="778" spans="1:17" hidden="1" x14ac:dyDescent="0.3">
      <c r="A778">
        <v>480</v>
      </c>
      <c r="B778" t="s">
        <v>726</v>
      </c>
      <c r="C778" t="s">
        <v>954</v>
      </c>
      <c r="D778" t="s">
        <v>1010</v>
      </c>
      <c r="E778" t="s">
        <v>16</v>
      </c>
      <c r="F778" t="s">
        <v>33</v>
      </c>
      <c r="G778" s="1">
        <v>779</v>
      </c>
      <c r="H778" t="s">
        <v>4035</v>
      </c>
      <c r="I778" s="2">
        <v>44625</v>
      </c>
      <c r="J778" t="s">
        <v>35</v>
      </c>
      <c r="K778" t="s">
        <v>266</v>
      </c>
      <c r="L778">
        <v>91411</v>
      </c>
      <c r="M778" t="s">
        <v>21</v>
      </c>
      <c r="N778" t="str">
        <f>VLOOKUP(A778, Data_Set_2!$A:$D,2,FALSE)</f>
        <v>cmasondb</v>
      </c>
      <c r="O778" t="str">
        <f>VLOOKUP(A778, Data_Set_2!$A:$D,3,FALSE)</f>
        <v>Yodo</v>
      </c>
      <c r="P778" t="str">
        <f>VLOOKUP(A778, Data_Set_2!$A:$D,4,FALSE)</f>
        <v>Help Desk Technician</v>
      </c>
      <c r="Q778" t="str">
        <f>_xlfn.CONCAT(Table3[[#This Row],[first_name]], " ",Table3[[#This Row],[last_name]])</f>
        <v>Clarence Mason</v>
      </c>
    </row>
    <row r="779" spans="1:17" hidden="1" x14ac:dyDescent="0.3">
      <c r="A779">
        <v>481</v>
      </c>
      <c r="B779" t="s">
        <v>899</v>
      </c>
      <c r="C779" t="s">
        <v>816</v>
      </c>
      <c r="D779" t="s">
        <v>1111</v>
      </c>
      <c r="E779" t="s">
        <v>32</v>
      </c>
      <c r="F779" t="s">
        <v>33</v>
      </c>
      <c r="G779" s="1">
        <v>138</v>
      </c>
      <c r="H779" t="s">
        <v>26</v>
      </c>
      <c r="I779" s="2">
        <v>44522</v>
      </c>
      <c r="J779" t="s">
        <v>115</v>
      </c>
      <c r="K779" t="s">
        <v>536</v>
      </c>
      <c r="L779">
        <v>33064</v>
      </c>
      <c r="M779" t="s">
        <v>21</v>
      </c>
      <c r="N779" t="str">
        <f>VLOOKUP(A779, Data_Set_2!$A:$D,2,FALSE)</f>
        <v>efreemandc</v>
      </c>
      <c r="O779" t="str">
        <f>VLOOKUP(A779, Data_Set_2!$A:$D,3,FALSE)</f>
        <v>Kazu</v>
      </c>
      <c r="P779" t="str">
        <f>VLOOKUP(A779, Data_Set_2!$A:$D,4,FALSE)</f>
        <v>GIS Technical Architect</v>
      </c>
      <c r="Q779" t="str">
        <f>_xlfn.CONCAT(Table3[[#This Row],[first_name]], " ",Table3[[#This Row],[last_name]])</f>
        <v>Elizabeth Freeman</v>
      </c>
    </row>
    <row r="780" spans="1:17" hidden="1" x14ac:dyDescent="0.3">
      <c r="A780">
        <v>490</v>
      </c>
      <c r="B780" t="s">
        <v>157</v>
      </c>
      <c r="C780" t="s">
        <v>158</v>
      </c>
      <c r="D780" t="s">
        <v>159</v>
      </c>
      <c r="E780" t="s">
        <v>16</v>
      </c>
      <c r="F780" t="s">
        <v>33</v>
      </c>
      <c r="G780" s="1">
        <v>636</v>
      </c>
      <c r="H780" t="s">
        <v>4035</v>
      </c>
      <c r="I780" s="2">
        <v>43146</v>
      </c>
      <c r="J780" t="s">
        <v>110</v>
      </c>
      <c r="K780" t="s">
        <v>160</v>
      </c>
      <c r="L780">
        <v>19131</v>
      </c>
      <c r="M780" t="s">
        <v>21</v>
      </c>
      <c r="N780" t="str">
        <f>VLOOKUP(A780, Data_Set_2!$A:$D,2,FALSE)</f>
        <v>edavisdl</v>
      </c>
      <c r="O780" t="str">
        <f>VLOOKUP(A780, Data_Set_2!$A:$D,3,FALSE)</f>
        <v>Wordware</v>
      </c>
      <c r="P780" t="str">
        <f>VLOOKUP(A780, Data_Set_2!$A:$D,4,FALSE)</f>
        <v>VP Marketing</v>
      </c>
      <c r="Q780" t="str">
        <f>_xlfn.CONCAT(Table3[[#This Row],[first_name]], " ",Table3[[#This Row],[last_name]])</f>
        <v>Eric Davis</v>
      </c>
    </row>
    <row r="781" spans="1:17" x14ac:dyDescent="0.3">
      <c r="A781">
        <v>491</v>
      </c>
      <c r="B781" t="s">
        <v>623</v>
      </c>
      <c r="C781" t="s">
        <v>707</v>
      </c>
      <c r="D781" t="s">
        <v>1020</v>
      </c>
      <c r="E781" t="s">
        <v>16</v>
      </c>
      <c r="F781" t="s">
        <v>25</v>
      </c>
      <c r="G781" s="1">
        <v>748</v>
      </c>
      <c r="H781" t="s">
        <v>95</v>
      </c>
      <c r="I781" s="2">
        <v>44274</v>
      </c>
      <c r="J781" t="s">
        <v>35</v>
      </c>
      <c r="K781" t="s">
        <v>1021</v>
      </c>
      <c r="L781">
        <v>96154</v>
      </c>
      <c r="M781" t="s">
        <v>21</v>
      </c>
      <c r="N781" t="str">
        <f>VLOOKUP(A781, Data_Set_2!$A:$D,2,FALSE)</f>
        <v>jforddm</v>
      </c>
      <c r="O781" t="str">
        <f>VLOOKUP(A781, Data_Set_2!$A:$D,3,FALSE)</f>
        <v>Devify</v>
      </c>
      <c r="P781" t="str">
        <f>VLOOKUP(A781, Data_Set_2!$A:$D,4,FALSE)</f>
        <v>Chief Design Engineer</v>
      </c>
      <c r="Q781" t="str">
        <f>_xlfn.CONCAT(Table3[[#This Row],[first_name]], " ",Table3[[#This Row],[last_name]])</f>
        <v>Jose Ford</v>
      </c>
    </row>
    <row r="782" spans="1:17" hidden="1" x14ac:dyDescent="0.3">
      <c r="A782">
        <v>492</v>
      </c>
      <c r="B782" t="s">
        <v>154</v>
      </c>
      <c r="C782" t="s">
        <v>93</v>
      </c>
      <c r="D782" t="s">
        <v>155</v>
      </c>
      <c r="E782" t="s">
        <v>16</v>
      </c>
      <c r="F782" t="s">
        <v>17</v>
      </c>
      <c r="G782" s="1">
        <v>166</v>
      </c>
      <c r="H782" t="s">
        <v>26</v>
      </c>
      <c r="I782" s="2">
        <v>43144</v>
      </c>
      <c r="J782" t="s">
        <v>115</v>
      </c>
      <c r="K782" t="s">
        <v>156</v>
      </c>
      <c r="L782">
        <v>32964</v>
      </c>
      <c r="M782" t="s">
        <v>21</v>
      </c>
      <c r="N782" t="str">
        <f>VLOOKUP(A782, Data_Set_2!$A:$D,2,FALSE)</f>
        <v>woliverdn</v>
      </c>
      <c r="O782" t="str">
        <f>VLOOKUP(A782, Data_Set_2!$A:$D,3,FALSE)</f>
        <v>Wikizz</v>
      </c>
      <c r="P782" t="str">
        <f>VLOOKUP(A782, Data_Set_2!$A:$D,4,FALSE)</f>
        <v>Research Associate</v>
      </c>
      <c r="Q782" t="str">
        <f>_xlfn.CONCAT(Table3[[#This Row],[first_name]], " ",Table3[[#This Row],[last_name]])</f>
        <v>Wayne Oliver</v>
      </c>
    </row>
    <row r="783" spans="1:17" hidden="1" x14ac:dyDescent="0.3">
      <c r="A783">
        <v>492</v>
      </c>
      <c r="B783" t="s">
        <v>154</v>
      </c>
      <c r="C783" t="s">
        <v>93</v>
      </c>
      <c r="D783" t="s">
        <v>155</v>
      </c>
      <c r="E783" t="s">
        <v>16</v>
      </c>
      <c r="F783" t="s">
        <v>17</v>
      </c>
      <c r="G783" s="1">
        <v>706</v>
      </c>
      <c r="H783" t="s">
        <v>26</v>
      </c>
      <c r="I783" s="2">
        <v>43755</v>
      </c>
      <c r="J783" t="s">
        <v>115</v>
      </c>
      <c r="K783" t="s">
        <v>156</v>
      </c>
      <c r="L783">
        <v>32964</v>
      </c>
      <c r="M783" t="s">
        <v>21</v>
      </c>
      <c r="N783" t="str">
        <f>VLOOKUP(A783, Data_Set_2!$A:$D,2,FALSE)</f>
        <v>woliverdn</v>
      </c>
      <c r="O783" t="str">
        <f>VLOOKUP(A783, Data_Set_2!$A:$D,3,FALSE)</f>
        <v>Wikizz</v>
      </c>
      <c r="P783" t="str">
        <f>VLOOKUP(A783, Data_Set_2!$A:$D,4,FALSE)</f>
        <v>Research Associate</v>
      </c>
      <c r="Q783" t="str">
        <f>_xlfn.CONCAT(Table3[[#This Row],[first_name]], " ",Table3[[#This Row],[last_name]])</f>
        <v>Wayne Oliver</v>
      </c>
    </row>
    <row r="784" spans="1:17" hidden="1" x14ac:dyDescent="0.3">
      <c r="A784">
        <v>494</v>
      </c>
      <c r="B784" t="s">
        <v>181</v>
      </c>
      <c r="C784" t="s">
        <v>544</v>
      </c>
      <c r="D784" t="s">
        <v>545</v>
      </c>
      <c r="E784" t="s">
        <v>32</v>
      </c>
      <c r="F784" t="s">
        <v>25</v>
      </c>
      <c r="G784" s="1">
        <v>891</v>
      </c>
      <c r="H784" t="s">
        <v>62</v>
      </c>
      <c r="I784" s="2">
        <v>43446</v>
      </c>
      <c r="J784" t="s">
        <v>115</v>
      </c>
      <c r="K784" t="s">
        <v>546</v>
      </c>
      <c r="L784">
        <v>33023</v>
      </c>
      <c r="M784" t="s">
        <v>21</v>
      </c>
      <c r="N784" t="str">
        <f>VLOOKUP(A784, Data_Set_2!$A:$D,2,FALSE)</f>
        <v>drobinsondp</v>
      </c>
      <c r="O784" t="str">
        <f>VLOOKUP(A784, Data_Set_2!$A:$D,3,FALSE)</f>
        <v>Edgeify</v>
      </c>
      <c r="P784" t="str">
        <f>VLOOKUP(A784, Data_Set_2!$A:$D,4,FALSE)</f>
        <v>Programmer II</v>
      </c>
      <c r="Q784" t="str">
        <f>_xlfn.CONCAT(Table3[[#This Row],[first_name]], " ",Table3[[#This Row],[last_name]])</f>
        <v>Debra Robinson</v>
      </c>
    </row>
    <row r="785" spans="1:17" hidden="1" x14ac:dyDescent="0.3">
      <c r="A785">
        <v>495</v>
      </c>
      <c r="B785" t="s">
        <v>284</v>
      </c>
      <c r="C785" t="s">
        <v>978</v>
      </c>
      <c r="D785" t="s">
        <v>979</v>
      </c>
      <c r="E785" t="s">
        <v>32</v>
      </c>
      <c r="F785" t="s">
        <v>17</v>
      </c>
      <c r="G785" s="1">
        <v>204</v>
      </c>
      <c r="H785" t="s">
        <v>26</v>
      </c>
      <c r="I785" s="2">
        <v>44167</v>
      </c>
      <c r="J785" t="s">
        <v>489</v>
      </c>
      <c r="K785" t="s">
        <v>490</v>
      </c>
      <c r="L785">
        <v>89145</v>
      </c>
      <c r="M785" t="s">
        <v>21</v>
      </c>
      <c r="N785" t="str">
        <f>VLOOKUP(A785, Data_Set_2!$A:$D,2,FALSE)</f>
        <v>awallacedq</v>
      </c>
      <c r="O785" t="str">
        <f>VLOOKUP(A785, Data_Set_2!$A:$D,3,FALSE)</f>
        <v>Skalith</v>
      </c>
      <c r="P785" t="str">
        <f>VLOOKUP(A785, Data_Set_2!$A:$D,4,FALSE)</f>
        <v>Professor</v>
      </c>
      <c r="Q785" t="str">
        <f>_xlfn.CONCAT(Table3[[#This Row],[first_name]], " ",Table3[[#This Row],[last_name]])</f>
        <v>Ann Wallace</v>
      </c>
    </row>
    <row r="786" spans="1:17" hidden="1" x14ac:dyDescent="0.3">
      <c r="A786">
        <v>495</v>
      </c>
      <c r="B786" t="s">
        <v>284</v>
      </c>
      <c r="C786" t="s">
        <v>978</v>
      </c>
      <c r="D786" t="s">
        <v>979</v>
      </c>
      <c r="E786" t="s">
        <v>32</v>
      </c>
      <c r="F786" t="s">
        <v>17</v>
      </c>
      <c r="G786" s="1">
        <v>288</v>
      </c>
      <c r="H786" t="s">
        <v>26</v>
      </c>
      <c r="I786" s="2">
        <v>44788</v>
      </c>
      <c r="J786" t="s">
        <v>489</v>
      </c>
      <c r="K786" t="s">
        <v>490</v>
      </c>
      <c r="L786">
        <v>89145</v>
      </c>
      <c r="M786" t="s">
        <v>21</v>
      </c>
      <c r="N786" t="str">
        <f>VLOOKUP(A786, Data_Set_2!$A:$D,2,FALSE)</f>
        <v>awallacedq</v>
      </c>
      <c r="O786" t="str">
        <f>VLOOKUP(A786, Data_Set_2!$A:$D,3,FALSE)</f>
        <v>Skalith</v>
      </c>
      <c r="P786" t="str">
        <f>VLOOKUP(A786, Data_Set_2!$A:$D,4,FALSE)</f>
        <v>Professor</v>
      </c>
      <c r="Q786" t="str">
        <f>_xlfn.CONCAT(Table3[[#This Row],[first_name]], " ",Table3[[#This Row],[last_name]])</f>
        <v>Ann Wallace</v>
      </c>
    </row>
    <row r="787" spans="1:17" hidden="1" x14ac:dyDescent="0.3">
      <c r="A787">
        <v>496</v>
      </c>
      <c r="B787" t="s">
        <v>198</v>
      </c>
      <c r="C787" t="s">
        <v>293</v>
      </c>
      <c r="D787" t="s">
        <v>294</v>
      </c>
      <c r="E787" t="s">
        <v>16</v>
      </c>
      <c r="F787" t="s">
        <v>33</v>
      </c>
      <c r="G787" s="1">
        <v>296</v>
      </c>
      <c r="H787" t="s">
        <v>18</v>
      </c>
      <c r="I787" s="2">
        <v>43210</v>
      </c>
      <c r="J787" t="s">
        <v>220</v>
      </c>
      <c r="K787" t="s">
        <v>295</v>
      </c>
      <c r="L787">
        <v>98195</v>
      </c>
      <c r="M787" t="s">
        <v>21</v>
      </c>
      <c r="N787" t="str">
        <f>VLOOKUP(A787, Data_Set_2!$A:$D,2,FALSE)</f>
        <v>athomasdr</v>
      </c>
      <c r="O787" t="str">
        <f>VLOOKUP(A787, Data_Set_2!$A:$D,3,FALSE)</f>
        <v>Realmix</v>
      </c>
      <c r="P787" t="str">
        <f>VLOOKUP(A787, Data_Set_2!$A:$D,4,FALSE)</f>
        <v>Sales Associate</v>
      </c>
      <c r="Q787" t="str">
        <f>_xlfn.CONCAT(Table3[[#This Row],[first_name]], " ",Table3[[#This Row],[last_name]])</f>
        <v>Anthony Thomas</v>
      </c>
    </row>
    <row r="788" spans="1:17" hidden="1" x14ac:dyDescent="0.3">
      <c r="A788">
        <v>498</v>
      </c>
      <c r="B788" t="s">
        <v>565</v>
      </c>
      <c r="C788" t="s">
        <v>682</v>
      </c>
      <c r="D788" t="s">
        <v>1224</v>
      </c>
      <c r="E788" t="s">
        <v>16</v>
      </c>
      <c r="F788" t="s">
        <v>33</v>
      </c>
      <c r="G788" s="1">
        <v>592</v>
      </c>
      <c r="H788" t="s">
        <v>73</v>
      </c>
      <c r="I788" s="2">
        <v>44787</v>
      </c>
      <c r="J788" t="s">
        <v>246</v>
      </c>
      <c r="K788" t="s">
        <v>339</v>
      </c>
      <c r="L788">
        <v>60686</v>
      </c>
      <c r="M788" t="s">
        <v>21</v>
      </c>
      <c r="N788" t="str">
        <f>VLOOKUP(A788, Data_Set_2!$A:$D,2,FALSE)</f>
        <v>pmendozadt</v>
      </c>
      <c r="O788" t="str">
        <f>VLOOKUP(A788, Data_Set_2!$A:$D,3,FALSE)</f>
        <v>Wordpedia</v>
      </c>
      <c r="P788" t="str">
        <f>VLOOKUP(A788, Data_Set_2!$A:$D,4,FALSE)</f>
        <v>Project Manager</v>
      </c>
      <c r="Q788" t="str">
        <f>_xlfn.CONCAT(Table3[[#This Row],[first_name]], " ",Table3[[#This Row],[last_name]])</f>
        <v>Patrick Mendoza</v>
      </c>
    </row>
    <row r="789" spans="1:17" hidden="1" x14ac:dyDescent="0.3">
      <c r="A789">
        <v>499</v>
      </c>
      <c r="B789" t="s">
        <v>893</v>
      </c>
      <c r="C789" t="s">
        <v>353</v>
      </c>
      <c r="D789" t="s">
        <v>894</v>
      </c>
      <c r="E789" t="s">
        <v>32</v>
      </c>
      <c r="F789" t="s">
        <v>33</v>
      </c>
      <c r="G789" s="1">
        <v>715</v>
      </c>
      <c r="H789" t="s">
        <v>83</v>
      </c>
      <c r="I789" s="2">
        <v>43963</v>
      </c>
      <c r="J789" t="s">
        <v>152</v>
      </c>
      <c r="K789" t="s">
        <v>153</v>
      </c>
      <c r="L789">
        <v>44555</v>
      </c>
      <c r="M789" t="s">
        <v>21</v>
      </c>
      <c r="N789" t="str">
        <f>VLOOKUP(A789, Data_Set_2!$A:$D,2,FALSE)</f>
        <v>pfowlerdu</v>
      </c>
      <c r="O789" t="str">
        <f>VLOOKUP(A789, Data_Set_2!$A:$D,3,FALSE)</f>
        <v>Skyba</v>
      </c>
      <c r="P789" t="str">
        <f>VLOOKUP(A789, Data_Set_2!$A:$D,4,FALSE)</f>
        <v>Product Engineer</v>
      </c>
      <c r="Q789" t="str">
        <f>_xlfn.CONCAT(Table3[[#This Row],[first_name]], " ",Table3[[#This Row],[last_name]])</f>
        <v>Paula Fowler</v>
      </c>
    </row>
    <row r="790" spans="1:17" hidden="1" x14ac:dyDescent="0.3">
      <c r="A790">
        <v>499</v>
      </c>
      <c r="B790" t="s">
        <v>893</v>
      </c>
      <c r="C790" t="s">
        <v>353</v>
      </c>
      <c r="D790" t="s">
        <v>894</v>
      </c>
      <c r="E790" t="s">
        <v>32</v>
      </c>
      <c r="F790" t="s">
        <v>33</v>
      </c>
      <c r="G790" s="1">
        <v>750</v>
      </c>
      <c r="H790" t="s">
        <v>83</v>
      </c>
      <c r="I790" s="2">
        <v>44477</v>
      </c>
      <c r="J790" t="s">
        <v>152</v>
      </c>
      <c r="K790" t="s">
        <v>153</v>
      </c>
      <c r="L790">
        <v>44555</v>
      </c>
      <c r="M790" t="s">
        <v>21</v>
      </c>
      <c r="N790" t="str">
        <f>VLOOKUP(A790, Data_Set_2!$A:$D,2,FALSE)</f>
        <v>pfowlerdu</v>
      </c>
      <c r="O790" t="str">
        <f>VLOOKUP(A790, Data_Set_2!$A:$D,3,FALSE)</f>
        <v>Skyba</v>
      </c>
      <c r="P790" t="str">
        <f>VLOOKUP(A790, Data_Set_2!$A:$D,4,FALSE)</f>
        <v>Product Engineer</v>
      </c>
      <c r="Q790" t="str">
        <f>_xlfn.CONCAT(Table3[[#This Row],[first_name]], " ",Table3[[#This Row],[last_name]])</f>
        <v>Paula Fowler</v>
      </c>
    </row>
    <row r="791" spans="1:17" hidden="1" x14ac:dyDescent="0.3">
      <c r="A791">
        <v>500</v>
      </c>
      <c r="B791" t="s">
        <v>712</v>
      </c>
      <c r="C791" t="s">
        <v>713</v>
      </c>
      <c r="D791" t="s">
        <v>714</v>
      </c>
      <c r="E791" t="s">
        <v>32</v>
      </c>
      <c r="F791" t="s">
        <v>33</v>
      </c>
      <c r="G791" s="1">
        <v>500</v>
      </c>
      <c r="H791" t="s">
        <v>26</v>
      </c>
      <c r="I791" s="2">
        <v>43652</v>
      </c>
      <c r="J791" t="s">
        <v>524</v>
      </c>
      <c r="K791" t="s">
        <v>715</v>
      </c>
      <c r="L791">
        <v>36605</v>
      </c>
      <c r="M791" t="s">
        <v>21</v>
      </c>
      <c r="N791" t="str">
        <f>VLOOKUP(A791, Data_Set_2!$A:$D,2,FALSE)</f>
        <v>jmorrisdv</v>
      </c>
      <c r="O791" t="str">
        <f>VLOOKUP(A791, Data_Set_2!$A:$D,3,FALSE)</f>
        <v>Tekfly</v>
      </c>
      <c r="P791" t="str">
        <f>VLOOKUP(A791, Data_Set_2!$A:$D,4,FALSE)</f>
        <v>Senior Cost Accountant</v>
      </c>
      <c r="Q791" t="str">
        <f>_xlfn.CONCAT(Table3[[#This Row],[first_name]], " ",Table3[[#This Row],[last_name]])</f>
        <v>Joan Morris</v>
      </c>
    </row>
    <row r="792" spans="1:17" hidden="1" x14ac:dyDescent="0.3">
      <c r="A792">
        <v>500</v>
      </c>
      <c r="B792" t="s">
        <v>712</v>
      </c>
      <c r="C792" t="s">
        <v>713</v>
      </c>
      <c r="D792" t="s">
        <v>714</v>
      </c>
      <c r="E792" t="s">
        <v>32</v>
      </c>
      <c r="F792" t="s">
        <v>33</v>
      </c>
      <c r="G792" s="1">
        <v>761</v>
      </c>
      <c r="H792" t="s">
        <v>26</v>
      </c>
      <c r="I792" s="2">
        <v>44575</v>
      </c>
      <c r="J792" t="s">
        <v>524</v>
      </c>
      <c r="K792" t="s">
        <v>715</v>
      </c>
      <c r="L792">
        <v>36605</v>
      </c>
      <c r="M792" t="s">
        <v>21</v>
      </c>
      <c r="N792" t="str">
        <f>VLOOKUP(A792, Data_Set_2!$A:$D,2,FALSE)</f>
        <v>jmorrisdv</v>
      </c>
      <c r="O792" t="str">
        <f>VLOOKUP(A792, Data_Set_2!$A:$D,3,FALSE)</f>
        <v>Tekfly</v>
      </c>
      <c r="P792" t="str">
        <f>VLOOKUP(A792, Data_Set_2!$A:$D,4,FALSE)</f>
        <v>Senior Cost Accountant</v>
      </c>
      <c r="Q792" t="str">
        <f>_xlfn.CONCAT(Table3[[#This Row],[first_name]], " ",Table3[[#This Row],[last_name]])</f>
        <v>Joan Morris</v>
      </c>
    </row>
    <row r="793" spans="1:17" hidden="1" x14ac:dyDescent="0.3">
      <c r="A793">
        <v>501</v>
      </c>
      <c r="B793" t="s">
        <v>336</v>
      </c>
      <c r="C793" t="s">
        <v>430</v>
      </c>
      <c r="D793" t="s">
        <v>912</v>
      </c>
      <c r="E793" t="s">
        <v>16</v>
      </c>
      <c r="F793" t="s">
        <v>33</v>
      </c>
      <c r="G793" s="1">
        <v>999</v>
      </c>
      <c r="H793" t="s">
        <v>4038</v>
      </c>
      <c r="I793" s="2">
        <v>44041</v>
      </c>
      <c r="J793" t="s">
        <v>58</v>
      </c>
      <c r="K793" t="s">
        <v>632</v>
      </c>
      <c r="L793">
        <v>66220</v>
      </c>
      <c r="M793" t="s">
        <v>21</v>
      </c>
      <c r="N793" t="str">
        <f>VLOOKUP(A793, Data_Set_2!$A:$D,2,FALSE)</f>
        <v>rmooredw</v>
      </c>
      <c r="O793" t="str">
        <f>VLOOKUP(A793, Data_Set_2!$A:$D,3,FALSE)</f>
        <v>Quire</v>
      </c>
      <c r="P793" t="str">
        <f>VLOOKUP(A793, Data_Set_2!$A:$D,4,FALSE)</f>
        <v>Environmental Specialist</v>
      </c>
      <c r="Q793" t="str">
        <f>_xlfn.CONCAT(Table3[[#This Row],[first_name]], " ",Table3[[#This Row],[last_name]])</f>
        <v>Ronald Moore</v>
      </c>
    </row>
    <row r="794" spans="1:17" hidden="1" x14ac:dyDescent="0.3">
      <c r="A794">
        <v>501</v>
      </c>
      <c r="B794" t="s">
        <v>336</v>
      </c>
      <c r="C794" t="s">
        <v>430</v>
      </c>
      <c r="D794" t="s">
        <v>912</v>
      </c>
      <c r="E794" t="s">
        <v>16</v>
      </c>
      <c r="F794" t="s">
        <v>33</v>
      </c>
      <c r="G794" s="1">
        <v>11</v>
      </c>
      <c r="H794" t="s">
        <v>4038</v>
      </c>
      <c r="I794" s="2">
        <v>44057</v>
      </c>
      <c r="J794" t="s">
        <v>58</v>
      </c>
      <c r="K794" t="s">
        <v>632</v>
      </c>
      <c r="L794">
        <v>66220</v>
      </c>
      <c r="M794" t="s">
        <v>21</v>
      </c>
      <c r="N794" t="str">
        <f>VLOOKUP(A794, Data_Set_2!$A:$D,2,FALSE)</f>
        <v>rmooredw</v>
      </c>
      <c r="O794" t="str">
        <f>VLOOKUP(A794, Data_Set_2!$A:$D,3,FALSE)</f>
        <v>Quire</v>
      </c>
      <c r="P794" t="str">
        <f>VLOOKUP(A794, Data_Set_2!$A:$D,4,FALSE)</f>
        <v>Environmental Specialist</v>
      </c>
      <c r="Q794" t="str">
        <f>_xlfn.CONCAT(Table3[[#This Row],[first_name]], " ",Table3[[#This Row],[last_name]])</f>
        <v>Ronald Moore</v>
      </c>
    </row>
    <row r="795" spans="1:17" x14ac:dyDescent="0.3">
      <c r="A795">
        <v>502</v>
      </c>
      <c r="B795" t="s">
        <v>324</v>
      </c>
      <c r="C795" t="s">
        <v>750</v>
      </c>
      <c r="D795" t="s">
        <v>1259</v>
      </c>
      <c r="E795" t="s">
        <v>32</v>
      </c>
      <c r="F795" t="s">
        <v>17</v>
      </c>
      <c r="G795" s="1">
        <v>623</v>
      </c>
      <c r="H795" t="s">
        <v>95</v>
      </c>
      <c r="I795" s="2">
        <v>44891</v>
      </c>
      <c r="J795" t="s">
        <v>254</v>
      </c>
      <c r="K795" t="s">
        <v>1169</v>
      </c>
      <c r="L795">
        <v>52410</v>
      </c>
      <c r="M795" t="s">
        <v>21</v>
      </c>
      <c r="N795" t="str">
        <f>VLOOKUP(A795, Data_Set_2!$A:$D,2,FALSE)</f>
        <v>abaileydx</v>
      </c>
      <c r="O795" t="str">
        <f>VLOOKUP(A795, Data_Set_2!$A:$D,3,FALSE)</f>
        <v>Meeveo</v>
      </c>
      <c r="P795" t="str">
        <f>VLOOKUP(A795, Data_Set_2!$A:$D,4,FALSE)</f>
        <v>Administrative Officer</v>
      </c>
      <c r="Q795" t="str">
        <f>_xlfn.CONCAT(Table3[[#This Row],[first_name]], " ",Table3[[#This Row],[last_name]])</f>
        <v>Alice Bailey</v>
      </c>
    </row>
    <row r="796" spans="1:17" hidden="1" x14ac:dyDescent="0.3">
      <c r="A796">
        <v>503</v>
      </c>
      <c r="B796" t="s">
        <v>445</v>
      </c>
      <c r="C796" t="s">
        <v>446</v>
      </c>
      <c r="D796" t="s">
        <v>447</v>
      </c>
      <c r="E796" t="s">
        <v>32</v>
      </c>
      <c r="F796" t="s">
        <v>25</v>
      </c>
      <c r="G796" s="1">
        <v>613</v>
      </c>
      <c r="H796" t="s">
        <v>34</v>
      </c>
      <c r="I796" s="2">
        <v>43323</v>
      </c>
      <c r="J796" t="s">
        <v>63</v>
      </c>
      <c r="K796" t="s">
        <v>448</v>
      </c>
      <c r="L796">
        <v>68505</v>
      </c>
      <c r="M796" t="s">
        <v>21</v>
      </c>
      <c r="N796" t="str">
        <f>VLOOKUP(A796, Data_Set_2!$A:$D,2,FALSE)</f>
        <v>tfullerdy</v>
      </c>
      <c r="O796" t="str">
        <f>VLOOKUP(A796, Data_Set_2!$A:$D,3,FALSE)</f>
        <v>Zoonoodle</v>
      </c>
      <c r="P796" t="str">
        <f>VLOOKUP(A796, Data_Set_2!$A:$D,4,FALSE)</f>
        <v>Junior Executive</v>
      </c>
      <c r="Q796" t="str">
        <f>_xlfn.CONCAT(Table3[[#This Row],[first_name]], " ",Table3[[#This Row],[last_name]])</f>
        <v>Teresa Fuller</v>
      </c>
    </row>
    <row r="797" spans="1:17" hidden="1" x14ac:dyDescent="0.3">
      <c r="A797">
        <v>503</v>
      </c>
      <c r="B797" t="s">
        <v>445</v>
      </c>
      <c r="C797" t="s">
        <v>446</v>
      </c>
      <c r="D797" t="s">
        <v>447</v>
      </c>
      <c r="E797" t="s">
        <v>32</v>
      </c>
      <c r="F797" t="s">
        <v>25</v>
      </c>
      <c r="G797" s="1">
        <v>641</v>
      </c>
      <c r="H797" t="s">
        <v>34</v>
      </c>
      <c r="I797" s="2">
        <v>44307</v>
      </c>
      <c r="J797" t="s">
        <v>63</v>
      </c>
      <c r="K797" t="s">
        <v>448</v>
      </c>
      <c r="L797">
        <v>68505</v>
      </c>
      <c r="M797" t="s">
        <v>21</v>
      </c>
      <c r="N797" t="str">
        <f>VLOOKUP(A797, Data_Set_2!$A:$D,2,FALSE)</f>
        <v>tfullerdy</v>
      </c>
      <c r="O797" t="str">
        <f>VLOOKUP(A797, Data_Set_2!$A:$D,3,FALSE)</f>
        <v>Zoonoodle</v>
      </c>
      <c r="P797" t="str">
        <f>VLOOKUP(A797, Data_Set_2!$A:$D,4,FALSE)</f>
        <v>Junior Executive</v>
      </c>
      <c r="Q797" t="str">
        <f>_xlfn.CONCAT(Table3[[#This Row],[first_name]], " ",Table3[[#This Row],[last_name]])</f>
        <v>Teresa Fuller</v>
      </c>
    </row>
    <row r="798" spans="1:17" hidden="1" x14ac:dyDescent="0.3">
      <c r="A798">
        <v>518</v>
      </c>
      <c r="B798" t="s">
        <v>547</v>
      </c>
      <c r="C798" t="s">
        <v>347</v>
      </c>
      <c r="D798" t="s">
        <v>548</v>
      </c>
      <c r="E798" t="s">
        <v>32</v>
      </c>
      <c r="F798" t="s">
        <v>33</v>
      </c>
      <c r="G798" s="1">
        <v>622</v>
      </c>
      <c r="H798" t="s">
        <v>4036</v>
      </c>
      <c r="I798" s="2">
        <v>43448</v>
      </c>
      <c r="J798" t="s">
        <v>480</v>
      </c>
      <c r="K798" t="s">
        <v>481</v>
      </c>
      <c r="L798">
        <v>7195</v>
      </c>
      <c r="M798" t="s">
        <v>21</v>
      </c>
      <c r="N798" t="str">
        <f>VLOOKUP(A798, Data_Set_2!$A:$D,2,FALSE)</f>
        <v>pbrooksed</v>
      </c>
      <c r="O798" t="str">
        <f>VLOOKUP(A798, Data_Set_2!$A:$D,3,FALSE)</f>
        <v>DabZ</v>
      </c>
      <c r="P798" t="str">
        <f>VLOOKUP(A798, Data_Set_2!$A:$D,4,FALSE)</f>
        <v>Analyst Programmer</v>
      </c>
      <c r="Q798" t="str">
        <f>_xlfn.CONCAT(Table3[[#This Row],[first_name]], " ",Table3[[#This Row],[last_name]])</f>
        <v>Patricia Brooks</v>
      </c>
    </row>
    <row r="799" spans="1:17" hidden="1" x14ac:dyDescent="0.3">
      <c r="A799">
        <v>519</v>
      </c>
      <c r="B799" t="s">
        <v>609</v>
      </c>
      <c r="C799" t="s">
        <v>1077</v>
      </c>
      <c r="D799" t="s">
        <v>1078</v>
      </c>
      <c r="E799" t="s">
        <v>32</v>
      </c>
      <c r="F799" t="s">
        <v>17</v>
      </c>
      <c r="G799" s="1">
        <v>837</v>
      </c>
      <c r="H799" t="s">
        <v>4039</v>
      </c>
      <c r="I799" s="2">
        <v>44406</v>
      </c>
      <c r="J799" t="s">
        <v>74</v>
      </c>
      <c r="K799" t="s">
        <v>75</v>
      </c>
      <c r="L799">
        <v>30368</v>
      </c>
      <c r="M799" t="s">
        <v>21</v>
      </c>
      <c r="N799" t="str">
        <f>VLOOKUP(A799, Data_Set_2!$A:$D,2,FALSE)</f>
        <v>nallenee</v>
      </c>
      <c r="O799" t="str">
        <f>VLOOKUP(A799, Data_Set_2!$A:$D,3,FALSE)</f>
        <v>Dynabox</v>
      </c>
      <c r="P799" t="str">
        <f>VLOOKUP(A799, Data_Set_2!$A:$D,4,FALSE)</f>
        <v>Software Test Engineer I</v>
      </c>
      <c r="Q799" t="str">
        <f>_xlfn.CONCAT(Table3[[#This Row],[first_name]], " ",Table3[[#This Row],[last_name]])</f>
        <v>Nancy Allen</v>
      </c>
    </row>
    <row r="800" spans="1:17" hidden="1" x14ac:dyDescent="0.3">
      <c r="A800">
        <v>520</v>
      </c>
      <c r="B800" t="s">
        <v>122</v>
      </c>
      <c r="C800" t="s">
        <v>764</v>
      </c>
      <c r="D800" t="s">
        <v>1192</v>
      </c>
      <c r="E800" t="s">
        <v>32</v>
      </c>
      <c r="F800" t="s">
        <v>33</v>
      </c>
      <c r="G800" s="1">
        <v>73</v>
      </c>
      <c r="H800" t="s">
        <v>26</v>
      </c>
      <c r="I800" s="2">
        <v>44698</v>
      </c>
      <c r="J800" t="s">
        <v>204</v>
      </c>
      <c r="K800" t="s">
        <v>1193</v>
      </c>
      <c r="L800">
        <v>24503</v>
      </c>
      <c r="M800" t="s">
        <v>21</v>
      </c>
      <c r="N800" t="str">
        <f>VLOOKUP(A800, Data_Set_2!$A:$D,2,FALSE)</f>
        <v>atuckeref</v>
      </c>
      <c r="O800" t="str">
        <f>VLOOKUP(A800, Data_Set_2!$A:$D,3,FALSE)</f>
        <v>Voonte</v>
      </c>
      <c r="P800" t="str">
        <f>VLOOKUP(A800, Data_Set_2!$A:$D,4,FALSE)</f>
        <v>Associate Professor</v>
      </c>
      <c r="Q800" t="str">
        <f>_xlfn.CONCAT(Table3[[#This Row],[first_name]], " ",Table3[[#This Row],[last_name]])</f>
        <v>Andrea Tucker</v>
      </c>
    </row>
    <row r="801" spans="1:17" hidden="1" x14ac:dyDescent="0.3">
      <c r="A801">
        <v>521</v>
      </c>
      <c r="B801" t="s">
        <v>1106</v>
      </c>
      <c r="C801" t="s">
        <v>357</v>
      </c>
      <c r="D801" t="s">
        <v>1221</v>
      </c>
      <c r="E801" t="s">
        <v>16</v>
      </c>
      <c r="F801" t="s">
        <v>33</v>
      </c>
      <c r="G801" s="1">
        <v>785</v>
      </c>
      <c r="H801" t="s">
        <v>4038</v>
      </c>
      <c r="I801" s="2">
        <v>44785</v>
      </c>
      <c r="J801" t="s">
        <v>68</v>
      </c>
      <c r="K801" t="s">
        <v>827</v>
      </c>
      <c r="L801">
        <v>76011</v>
      </c>
      <c r="M801" t="s">
        <v>21</v>
      </c>
      <c r="N801" t="str">
        <f>VLOOKUP(A801, Data_Set_2!$A:$D,2,FALSE)</f>
        <v>stayloreg</v>
      </c>
      <c r="O801" t="str">
        <f>VLOOKUP(A801, Data_Set_2!$A:$D,3,FALSE)</f>
        <v>Jabbercube</v>
      </c>
      <c r="P801" t="str">
        <f>VLOOKUP(A801, Data_Set_2!$A:$D,4,FALSE)</f>
        <v>Social Worker</v>
      </c>
      <c r="Q801" t="str">
        <f>_xlfn.CONCAT(Table3[[#This Row],[first_name]], " ",Table3[[#This Row],[last_name]])</f>
        <v>Samuel Taylor</v>
      </c>
    </row>
    <row r="802" spans="1:17" hidden="1" x14ac:dyDescent="0.3">
      <c r="A802">
        <v>522</v>
      </c>
      <c r="B802" t="s">
        <v>652</v>
      </c>
      <c r="C802" t="s">
        <v>317</v>
      </c>
      <c r="D802" t="s">
        <v>995</v>
      </c>
      <c r="E802" t="s">
        <v>32</v>
      </c>
      <c r="F802" t="s">
        <v>33</v>
      </c>
      <c r="G802" s="1">
        <v>593</v>
      </c>
      <c r="H802" t="s">
        <v>26</v>
      </c>
      <c r="I802" s="2">
        <v>44205</v>
      </c>
      <c r="J802" t="s">
        <v>435</v>
      </c>
      <c r="K802" t="s">
        <v>996</v>
      </c>
      <c r="L802">
        <v>88006</v>
      </c>
      <c r="M802" t="s">
        <v>21</v>
      </c>
      <c r="N802" t="str">
        <f>VLOOKUP(A802, Data_Set_2!$A:$D,2,FALSE)</f>
        <v>krichardsoneh</v>
      </c>
      <c r="O802" t="str">
        <f>VLOOKUP(A802, Data_Set_2!$A:$D,3,FALSE)</f>
        <v>Twitterbridge</v>
      </c>
      <c r="P802" t="str">
        <f>VLOOKUP(A802, Data_Set_2!$A:$D,4,FALSE)</f>
        <v>Pharmacist</v>
      </c>
      <c r="Q802" t="str">
        <f>_xlfn.CONCAT(Table3[[#This Row],[first_name]], " ",Table3[[#This Row],[last_name]])</f>
        <v>Kelly Richardson</v>
      </c>
    </row>
    <row r="803" spans="1:17" hidden="1" x14ac:dyDescent="0.3">
      <c r="A803">
        <v>523</v>
      </c>
      <c r="B803" t="s">
        <v>235</v>
      </c>
      <c r="C803" t="s">
        <v>641</v>
      </c>
      <c r="D803" t="s">
        <v>1049</v>
      </c>
      <c r="E803" t="s">
        <v>32</v>
      </c>
      <c r="F803" t="s">
        <v>33</v>
      </c>
      <c r="G803" s="1">
        <v>344</v>
      </c>
      <c r="H803" t="s">
        <v>26</v>
      </c>
      <c r="I803" s="2">
        <v>44321</v>
      </c>
      <c r="J803" t="s">
        <v>110</v>
      </c>
      <c r="K803" t="s">
        <v>160</v>
      </c>
      <c r="L803">
        <v>19120</v>
      </c>
      <c r="M803" t="s">
        <v>21</v>
      </c>
      <c r="N803" t="str">
        <f>VLOOKUP(A803, Data_Set_2!$A:$D,2,FALSE)</f>
        <v>swalkerei</v>
      </c>
      <c r="O803" t="str">
        <f>VLOOKUP(A803, Data_Set_2!$A:$D,3,FALSE)</f>
        <v>Dynabox</v>
      </c>
      <c r="P803" t="str">
        <f>VLOOKUP(A803, Data_Set_2!$A:$D,4,FALSE)</f>
        <v>Associate Professor</v>
      </c>
      <c r="Q803" t="str">
        <f>_xlfn.CONCAT(Table3[[#This Row],[first_name]], " ",Table3[[#This Row],[last_name]])</f>
        <v>Sarah Walker</v>
      </c>
    </row>
    <row r="804" spans="1:17" hidden="1" x14ac:dyDescent="0.3">
      <c r="A804">
        <v>523</v>
      </c>
      <c r="B804" t="s">
        <v>235</v>
      </c>
      <c r="C804" t="s">
        <v>641</v>
      </c>
      <c r="D804" t="s">
        <v>1049</v>
      </c>
      <c r="E804" t="s">
        <v>32</v>
      </c>
      <c r="F804" t="s">
        <v>33</v>
      </c>
      <c r="G804" s="1">
        <v>788</v>
      </c>
      <c r="H804" t="s">
        <v>26</v>
      </c>
      <c r="I804" s="2">
        <v>44402</v>
      </c>
      <c r="J804" t="s">
        <v>110</v>
      </c>
      <c r="K804" t="s">
        <v>160</v>
      </c>
      <c r="L804">
        <v>19120</v>
      </c>
      <c r="M804" t="s">
        <v>21</v>
      </c>
      <c r="N804" t="str">
        <f>VLOOKUP(A804, Data_Set_2!$A:$D,2,FALSE)</f>
        <v>swalkerei</v>
      </c>
      <c r="O804" t="str">
        <f>VLOOKUP(A804, Data_Set_2!$A:$D,3,FALSE)</f>
        <v>Dynabox</v>
      </c>
      <c r="P804" t="str">
        <f>VLOOKUP(A804, Data_Set_2!$A:$D,4,FALSE)</f>
        <v>Associate Professor</v>
      </c>
      <c r="Q804" t="str">
        <f>_xlfn.CONCAT(Table3[[#This Row],[first_name]], " ",Table3[[#This Row],[last_name]])</f>
        <v>Sarah Walker</v>
      </c>
    </row>
    <row r="805" spans="1:17" hidden="1" x14ac:dyDescent="0.3">
      <c r="A805">
        <v>523</v>
      </c>
      <c r="B805" t="s">
        <v>235</v>
      </c>
      <c r="C805" t="s">
        <v>641</v>
      </c>
      <c r="D805" t="s">
        <v>1049</v>
      </c>
      <c r="E805" t="s">
        <v>32</v>
      </c>
      <c r="F805" t="s">
        <v>33</v>
      </c>
      <c r="G805" s="1">
        <v>242</v>
      </c>
      <c r="H805" t="s">
        <v>26</v>
      </c>
      <c r="I805" s="2">
        <v>44509</v>
      </c>
      <c r="J805" t="s">
        <v>110</v>
      </c>
      <c r="K805" t="s">
        <v>160</v>
      </c>
      <c r="L805">
        <v>19120</v>
      </c>
      <c r="M805" t="s">
        <v>21</v>
      </c>
      <c r="N805" t="str">
        <f>VLOOKUP(A805, Data_Set_2!$A:$D,2,FALSE)</f>
        <v>swalkerei</v>
      </c>
      <c r="O805" t="str">
        <f>VLOOKUP(A805, Data_Set_2!$A:$D,3,FALSE)</f>
        <v>Dynabox</v>
      </c>
      <c r="P805" t="str">
        <f>VLOOKUP(A805, Data_Set_2!$A:$D,4,FALSE)</f>
        <v>Associate Professor</v>
      </c>
      <c r="Q805" t="str">
        <f>_xlfn.CONCAT(Table3[[#This Row],[first_name]], " ",Table3[[#This Row],[last_name]])</f>
        <v>Sarah Walker</v>
      </c>
    </row>
    <row r="806" spans="1:17" hidden="1" x14ac:dyDescent="0.3">
      <c r="A806">
        <v>523</v>
      </c>
      <c r="B806" t="s">
        <v>235</v>
      </c>
      <c r="C806" t="s">
        <v>641</v>
      </c>
      <c r="D806" t="s">
        <v>1049</v>
      </c>
      <c r="E806" t="s">
        <v>32</v>
      </c>
      <c r="F806" t="s">
        <v>33</v>
      </c>
      <c r="G806" s="1">
        <v>964</v>
      </c>
      <c r="H806" t="s">
        <v>26</v>
      </c>
      <c r="I806" s="2">
        <v>44698</v>
      </c>
      <c r="J806" t="s">
        <v>110</v>
      </c>
      <c r="K806" t="s">
        <v>160</v>
      </c>
      <c r="L806">
        <v>19120</v>
      </c>
      <c r="M806" t="s">
        <v>21</v>
      </c>
      <c r="N806" t="str">
        <f>VLOOKUP(A806, Data_Set_2!$A:$D,2,FALSE)</f>
        <v>swalkerei</v>
      </c>
      <c r="O806" t="str">
        <f>VLOOKUP(A806, Data_Set_2!$A:$D,3,FALSE)</f>
        <v>Dynabox</v>
      </c>
      <c r="P806" t="str">
        <f>VLOOKUP(A806, Data_Set_2!$A:$D,4,FALSE)</f>
        <v>Associate Professor</v>
      </c>
      <c r="Q806" t="str">
        <f>_xlfn.CONCAT(Table3[[#This Row],[first_name]], " ",Table3[[#This Row],[last_name]])</f>
        <v>Sarah Walker</v>
      </c>
    </row>
    <row r="807" spans="1:17" hidden="1" x14ac:dyDescent="0.3">
      <c r="A807">
        <v>523</v>
      </c>
      <c r="B807" t="s">
        <v>235</v>
      </c>
      <c r="C807" t="s">
        <v>641</v>
      </c>
      <c r="D807" t="s">
        <v>1049</v>
      </c>
      <c r="E807" t="s">
        <v>32</v>
      </c>
      <c r="F807" t="s">
        <v>33</v>
      </c>
      <c r="G807" s="1">
        <v>759</v>
      </c>
      <c r="H807" t="s">
        <v>26</v>
      </c>
      <c r="I807" s="2">
        <v>44924</v>
      </c>
      <c r="J807" t="s">
        <v>110</v>
      </c>
      <c r="K807" t="s">
        <v>160</v>
      </c>
      <c r="L807">
        <v>19120</v>
      </c>
      <c r="M807" t="s">
        <v>21</v>
      </c>
      <c r="N807" t="str">
        <f>VLOOKUP(A807, Data_Set_2!$A:$D,2,FALSE)</f>
        <v>swalkerei</v>
      </c>
      <c r="O807" t="str">
        <f>VLOOKUP(A807, Data_Set_2!$A:$D,3,FALSE)</f>
        <v>Dynabox</v>
      </c>
      <c r="P807" t="str">
        <f>VLOOKUP(A807, Data_Set_2!$A:$D,4,FALSE)</f>
        <v>Associate Professor</v>
      </c>
      <c r="Q807" t="str">
        <f>_xlfn.CONCAT(Table3[[#This Row],[first_name]], " ",Table3[[#This Row],[last_name]])</f>
        <v>Sarah Walker</v>
      </c>
    </row>
    <row r="808" spans="1:17" hidden="1" x14ac:dyDescent="0.3">
      <c r="A808">
        <v>524</v>
      </c>
      <c r="B808" t="s">
        <v>112</v>
      </c>
      <c r="C808" t="s">
        <v>187</v>
      </c>
      <c r="D808" t="s">
        <v>261</v>
      </c>
      <c r="E808" t="s">
        <v>32</v>
      </c>
      <c r="F808" t="s">
        <v>33</v>
      </c>
      <c r="G808" s="1">
        <v>792</v>
      </c>
      <c r="H808" t="s">
        <v>26</v>
      </c>
      <c r="I808" s="2">
        <v>43199</v>
      </c>
      <c r="J808" t="s">
        <v>184</v>
      </c>
      <c r="K808" t="s">
        <v>262</v>
      </c>
      <c r="L808">
        <v>14652</v>
      </c>
      <c r="M808" t="s">
        <v>21</v>
      </c>
      <c r="N808" t="str">
        <f>VLOOKUP(A808, Data_Set_2!$A:$D,2,FALSE)</f>
        <v>ncarpenterej</v>
      </c>
      <c r="O808" t="str">
        <f>VLOOKUP(A808, Data_Set_2!$A:$D,3,FALSE)</f>
        <v>Quinu</v>
      </c>
      <c r="P808" t="str">
        <f>VLOOKUP(A808, Data_Set_2!$A:$D,4,FALSE)</f>
        <v>Design Engineer</v>
      </c>
      <c r="Q808" t="str">
        <f>_xlfn.CONCAT(Table3[[#This Row],[first_name]], " ",Table3[[#This Row],[last_name]])</f>
        <v>Norma Carpenter</v>
      </c>
    </row>
    <row r="809" spans="1:17" hidden="1" x14ac:dyDescent="0.3">
      <c r="A809">
        <v>524</v>
      </c>
      <c r="B809" t="s">
        <v>112</v>
      </c>
      <c r="C809" t="s">
        <v>187</v>
      </c>
      <c r="D809" t="s">
        <v>261</v>
      </c>
      <c r="E809" t="s">
        <v>32</v>
      </c>
      <c r="F809" t="s">
        <v>33</v>
      </c>
      <c r="G809" s="1">
        <v>909</v>
      </c>
      <c r="H809" t="s">
        <v>26</v>
      </c>
      <c r="I809" s="2">
        <v>43200</v>
      </c>
      <c r="J809" t="s">
        <v>184</v>
      </c>
      <c r="K809" t="s">
        <v>262</v>
      </c>
      <c r="L809">
        <v>14652</v>
      </c>
      <c r="M809" t="s">
        <v>21</v>
      </c>
      <c r="N809" t="str">
        <f>VLOOKUP(A809, Data_Set_2!$A:$D,2,FALSE)</f>
        <v>ncarpenterej</v>
      </c>
      <c r="O809" t="str">
        <f>VLOOKUP(A809, Data_Set_2!$A:$D,3,FALSE)</f>
        <v>Quinu</v>
      </c>
      <c r="P809" t="str">
        <f>VLOOKUP(A809, Data_Set_2!$A:$D,4,FALSE)</f>
        <v>Design Engineer</v>
      </c>
      <c r="Q809" t="str">
        <f>_xlfn.CONCAT(Table3[[#This Row],[first_name]], " ",Table3[[#This Row],[last_name]])</f>
        <v>Norma Carpenter</v>
      </c>
    </row>
    <row r="810" spans="1:17" hidden="1" x14ac:dyDescent="0.3">
      <c r="A810">
        <v>524</v>
      </c>
      <c r="B810" t="s">
        <v>112</v>
      </c>
      <c r="C810" t="s">
        <v>187</v>
      </c>
      <c r="D810" t="s">
        <v>261</v>
      </c>
      <c r="E810" t="s">
        <v>32</v>
      </c>
      <c r="F810" t="s">
        <v>33</v>
      </c>
      <c r="G810" s="1">
        <v>745</v>
      </c>
      <c r="H810" t="s">
        <v>26</v>
      </c>
      <c r="I810" s="2">
        <v>43410</v>
      </c>
      <c r="J810" t="s">
        <v>184</v>
      </c>
      <c r="K810" t="s">
        <v>262</v>
      </c>
      <c r="L810">
        <v>14652</v>
      </c>
      <c r="M810" t="s">
        <v>21</v>
      </c>
      <c r="N810" t="str">
        <f>VLOOKUP(A810, Data_Set_2!$A:$D,2,FALSE)</f>
        <v>ncarpenterej</v>
      </c>
      <c r="O810" t="str">
        <f>VLOOKUP(A810, Data_Set_2!$A:$D,3,FALSE)</f>
        <v>Quinu</v>
      </c>
      <c r="P810" t="str">
        <f>VLOOKUP(A810, Data_Set_2!$A:$D,4,FALSE)</f>
        <v>Design Engineer</v>
      </c>
      <c r="Q810" t="str">
        <f>_xlfn.CONCAT(Table3[[#This Row],[first_name]], " ",Table3[[#This Row],[last_name]])</f>
        <v>Norma Carpenter</v>
      </c>
    </row>
    <row r="811" spans="1:17" hidden="1" x14ac:dyDescent="0.3">
      <c r="A811">
        <v>524</v>
      </c>
      <c r="B811" t="s">
        <v>112</v>
      </c>
      <c r="C811" t="s">
        <v>187</v>
      </c>
      <c r="D811" t="s">
        <v>261</v>
      </c>
      <c r="E811" t="s">
        <v>32</v>
      </c>
      <c r="F811" t="s">
        <v>33</v>
      </c>
      <c r="G811" s="1">
        <v>406</v>
      </c>
      <c r="H811" t="s">
        <v>26</v>
      </c>
      <c r="I811" s="2">
        <v>43534</v>
      </c>
      <c r="J811" t="s">
        <v>184</v>
      </c>
      <c r="K811" t="s">
        <v>262</v>
      </c>
      <c r="L811">
        <v>14652</v>
      </c>
      <c r="M811" t="s">
        <v>21</v>
      </c>
      <c r="N811" t="str">
        <f>VLOOKUP(A811, Data_Set_2!$A:$D,2,FALSE)</f>
        <v>ncarpenterej</v>
      </c>
      <c r="O811" t="str">
        <f>VLOOKUP(A811, Data_Set_2!$A:$D,3,FALSE)</f>
        <v>Quinu</v>
      </c>
      <c r="P811" t="str">
        <f>VLOOKUP(A811, Data_Set_2!$A:$D,4,FALSE)</f>
        <v>Design Engineer</v>
      </c>
      <c r="Q811" t="str">
        <f>_xlfn.CONCAT(Table3[[#This Row],[first_name]], " ",Table3[[#This Row],[last_name]])</f>
        <v>Norma Carpenter</v>
      </c>
    </row>
    <row r="812" spans="1:17" hidden="1" x14ac:dyDescent="0.3">
      <c r="A812">
        <v>524</v>
      </c>
      <c r="B812" t="s">
        <v>112</v>
      </c>
      <c r="C812" t="s">
        <v>187</v>
      </c>
      <c r="D812" t="s">
        <v>261</v>
      </c>
      <c r="E812" t="s">
        <v>32</v>
      </c>
      <c r="F812" t="s">
        <v>33</v>
      </c>
      <c r="G812" s="1">
        <v>635</v>
      </c>
      <c r="H812" t="s">
        <v>26</v>
      </c>
      <c r="I812" s="2">
        <v>44011</v>
      </c>
      <c r="J812" t="s">
        <v>184</v>
      </c>
      <c r="K812" t="s">
        <v>262</v>
      </c>
      <c r="L812">
        <v>14652</v>
      </c>
      <c r="M812" t="s">
        <v>21</v>
      </c>
      <c r="N812" t="str">
        <f>VLOOKUP(A812, Data_Set_2!$A:$D,2,FALSE)</f>
        <v>ncarpenterej</v>
      </c>
      <c r="O812" t="str">
        <f>VLOOKUP(A812, Data_Set_2!$A:$D,3,FALSE)</f>
        <v>Quinu</v>
      </c>
      <c r="P812" t="str">
        <f>VLOOKUP(A812, Data_Set_2!$A:$D,4,FALSE)</f>
        <v>Design Engineer</v>
      </c>
      <c r="Q812" t="str">
        <f>_xlfn.CONCAT(Table3[[#This Row],[first_name]], " ",Table3[[#This Row],[last_name]])</f>
        <v>Norma Carpenter</v>
      </c>
    </row>
    <row r="813" spans="1:17" hidden="1" x14ac:dyDescent="0.3">
      <c r="A813">
        <v>525</v>
      </c>
      <c r="B813" t="s">
        <v>13</v>
      </c>
      <c r="C813" t="s">
        <v>14</v>
      </c>
      <c r="D813" t="s">
        <v>15</v>
      </c>
      <c r="E813" t="s">
        <v>16</v>
      </c>
      <c r="F813" t="s">
        <v>17</v>
      </c>
      <c r="G813" s="1">
        <v>381</v>
      </c>
      <c r="H813" t="s">
        <v>18</v>
      </c>
      <c r="I813" s="2">
        <v>43101</v>
      </c>
      <c r="J813" t="s">
        <v>19</v>
      </c>
      <c r="K813" t="s">
        <v>20</v>
      </c>
      <c r="L813">
        <v>1610</v>
      </c>
      <c r="M813" t="s">
        <v>21</v>
      </c>
      <c r="N813" t="str">
        <f>VLOOKUP(A813, Data_Set_2!$A:$D,2,FALSE)</f>
        <v>sedwardsek</v>
      </c>
      <c r="O813" t="str">
        <f>VLOOKUP(A813, Data_Set_2!$A:$D,3,FALSE)</f>
        <v>Eadel</v>
      </c>
      <c r="P813" t="str">
        <f>VLOOKUP(A813, Data_Set_2!$A:$D,4,FALSE)</f>
        <v>Web Developer I</v>
      </c>
      <c r="Q813" t="str">
        <f>_xlfn.CONCAT(Table3[[#This Row],[first_name]], " ",Table3[[#This Row],[last_name]])</f>
        <v>Shawn Edwards</v>
      </c>
    </row>
    <row r="814" spans="1:17" hidden="1" x14ac:dyDescent="0.3">
      <c r="A814">
        <v>525</v>
      </c>
      <c r="B814" t="s">
        <v>13</v>
      </c>
      <c r="C814" t="s">
        <v>14</v>
      </c>
      <c r="D814" t="s">
        <v>15</v>
      </c>
      <c r="E814" t="s">
        <v>16</v>
      </c>
      <c r="F814" t="s">
        <v>17</v>
      </c>
      <c r="G814" s="1">
        <v>48</v>
      </c>
      <c r="H814" t="s">
        <v>18</v>
      </c>
      <c r="I814" s="2">
        <v>43139</v>
      </c>
      <c r="J814" t="s">
        <v>19</v>
      </c>
      <c r="K814" t="s">
        <v>20</v>
      </c>
      <c r="L814">
        <v>1610</v>
      </c>
      <c r="M814" t="s">
        <v>21</v>
      </c>
      <c r="N814" t="str">
        <f>VLOOKUP(A814, Data_Set_2!$A:$D,2,FALSE)</f>
        <v>sedwardsek</v>
      </c>
      <c r="O814" t="str">
        <f>VLOOKUP(A814, Data_Set_2!$A:$D,3,FALSE)</f>
        <v>Eadel</v>
      </c>
      <c r="P814" t="str">
        <f>VLOOKUP(A814, Data_Set_2!$A:$D,4,FALSE)</f>
        <v>Web Developer I</v>
      </c>
      <c r="Q814" t="str">
        <f>_xlfn.CONCAT(Table3[[#This Row],[first_name]], " ",Table3[[#This Row],[last_name]])</f>
        <v>Shawn Edwards</v>
      </c>
    </row>
    <row r="815" spans="1:17" hidden="1" x14ac:dyDescent="0.3">
      <c r="A815">
        <v>525</v>
      </c>
      <c r="B815" t="s">
        <v>13</v>
      </c>
      <c r="C815" t="s">
        <v>14</v>
      </c>
      <c r="D815" t="s">
        <v>15</v>
      </c>
      <c r="E815" t="s">
        <v>16</v>
      </c>
      <c r="F815" t="s">
        <v>17</v>
      </c>
      <c r="G815" s="1">
        <v>90</v>
      </c>
      <c r="H815" t="s">
        <v>18</v>
      </c>
      <c r="I815" s="2">
        <v>43242</v>
      </c>
      <c r="J815" t="s">
        <v>19</v>
      </c>
      <c r="K815" t="s">
        <v>20</v>
      </c>
      <c r="L815">
        <v>1610</v>
      </c>
      <c r="M815" t="s">
        <v>21</v>
      </c>
      <c r="N815" t="str">
        <f>VLOOKUP(A815, Data_Set_2!$A:$D,2,FALSE)</f>
        <v>sedwardsek</v>
      </c>
      <c r="O815" t="str">
        <f>VLOOKUP(A815, Data_Set_2!$A:$D,3,FALSE)</f>
        <v>Eadel</v>
      </c>
      <c r="P815" t="str">
        <f>VLOOKUP(A815, Data_Set_2!$A:$D,4,FALSE)</f>
        <v>Web Developer I</v>
      </c>
      <c r="Q815" t="str">
        <f>_xlfn.CONCAT(Table3[[#This Row],[first_name]], " ",Table3[[#This Row],[last_name]])</f>
        <v>Shawn Edwards</v>
      </c>
    </row>
    <row r="816" spans="1:17" hidden="1" x14ac:dyDescent="0.3">
      <c r="A816">
        <v>525</v>
      </c>
      <c r="B816" t="s">
        <v>13</v>
      </c>
      <c r="C816" t="s">
        <v>14</v>
      </c>
      <c r="D816" t="s">
        <v>15</v>
      </c>
      <c r="E816" t="s">
        <v>16</v>
      </c>
      <c r="F816" t="s">
        <v>17</v>
      </c>
      <c r="G816" s="1">
        <v>501</v>
      </c>
      <c r="H816" t="s">
        <v>18</v>
      </c>
      <c r="I816" s="2">
        <v>43269</v>
      </c>
      <c r="J816" t="s">
        <v>19</v>
      </c>
      <c r="K816" t="s">
        <v>20</v>
      </c>
      <c r="L816">
        <v>1610</v>
      </c>
      <c r="M816" t="s">
        <v>21</v>
      </c>
      <c r="N816" t="str">
        <f>VLOOKUP(A816, Data_Set_2!$A:$D,2,FALSE)</f>
        <v>sedwardsek</v>
      </c>
      <c r="O816" t="str">
        <f>VLOOKUP(A816, Data_Set_2!$A:$D,3,FALSE)</f>
        <v>Eadel</v>
      </c>
      <c r="P816" t="str">
        <f>VLOOKUP(A816, Data_Set_2!$A:$D,4,FALSE)</f>
        <v>Web Developer I</v>
      </c>
      <c r="Q816" t="str">
        <f>_xlfn.CONCAT(Table3[[#This Row],[first_name]], " ",Table3[[#This Row],[last_name]])</f>
        <v>Shawn Edwards</v>
      </c>
    </row>
    <row r="817" spans="1:17" hidden="1" x14ac:dyDescent="0.3">
      <c r="A817">
        <v>525</v>
      </c>
      <c r="B817" t="s">
        <v>13</v>
      </c>
      <c r="C817" t="s">
        <v>14</v>
      </c>
      <c r="D817" t="s">
        <v>15</v>
      </c>
      <c r="E817" t="s">
        <v>16</v>
      </c>
      <c r="F817" t="s">
        <v>17</v>
      </c>
      <c r="G817" s="1">
        <v>157</v>
      </c>
      <c r="H817" t="s">
        <v>18</v>
      </c>
      <c r="I817" s="2">
        <v>43549</v>
      </c>
      <c r="J817" t="s">
        <v>19</v>
      </c>
      <c r="K817" t="s">
        <v>20</v>
      </c>
      <c r="L817">
        <v>1610</v>
      </c>
      <c r="M817" t="s">
        <v>21</v>
      </c>
      <c r="N817" t="str">
        <f>VLOOKUP(A817, Data_Set_2!$A:$D,2,FALSE)</f>
        <v>sedwardsek</v>
      </c>
      <c r="O817" t="str">
        <f>VLOOKUP(A817, Data_Set_2!$A:$D,3,FALSE)</f>
        <v>Eadel</v>
      </c>
      <c r="P817" t="str">
        <f>VLOOKUP(A817, Data_Set_2!$A:$D,4,FALSE)</f>
        <v>Web Developer I</v>
      </c>
      <c r="Q817" t="str">
        <f>_xlfn.CONCAT(Table3[[#This Row],[first_name]], " ",Table3[[#This Row],[last_name]])</f>
        <v>Shawn Edwards</v>
      </c>
    </row>
    <row r="818" spans="1:17" hidden="1" x14ac:dyDescent="0.3">
      <c r="A818">
        <v>525</v>
      </c>
      <c r="B818" t="s">
        <v>13</v>
      </c>
      <c r="C818" t="s">
        <v>14</v>
      </c>
      <c r="D818" t="s">
        <v>15</v>
      </c>
      <c r="E818" t="s">
        <v>16</v>
      </c>
      <c r="F818" t="s">
        <v>17</v>
      </c>
      <c r="G818" s="1">
        <v>188</v>
      </c>
      <c r="H818" t="s">
        <v>18</v>
      </c>
      <c r="I818" s="2">
        <v>43702</v>
      </c>
      <c r="J818" t="s">
        <v>19</v>
      </c>
      <c r="K818" t="s">
        <v>20</v>
      </c>
      <c r="L818">
        <v>1610</v>
      </c>
      <c r="M818" t="s">
        <v>21</v>
      </c>
      <c r="N818" t="str">
        <f>VLOOKUP(A818, Data_Set_2!$A:$D,2,FALSE)</f>
        <v>sedwardsek</v>
      </c>
      <c r="O818" t="str">
        <f>VLOOKUP(A818, Data_Set_2!$A:$D,3,FALSE)</f>
        <v>Eadel</v>
      </c>
      <c r="P818" t="str">
        <f>VLOOKUP(A818, Data_Set_2!$A:$D,4,FALSE)</f>
        <v>Web Developer I</v>
      </c>
      <c r="Q818" t="str">
        <f>_xlfn.CONCAT(Table3[[#This Row],[first_name]], " ",Table3[[#This Row],[last_name]])</f>
        <v>Shawn Edwards</v>
      </c>
    </row>
    <row r="819" spans="1:17" hidden="1" x14ac:dyDescent="0.3">
      <c r="A819">
        <v>525</v>
      </c>
      <c r="B819" t="s">
        <v>13</v>
      </c>
      <c r="C819" t="s">
        <v>14</v>
      </c>
      <c r="D819" t="s">
        <v>15</v>
      </c>
      <c r="E819" t="s">
        <v>16</v>
      </c>
      <c r="F819" t="s">
        <v>17</v>
      </c>
      <c r="G819" s="1">
        <v>786</v>
      </c>
      <c r="H819" t="s">
        <v>18</v>
      </c>
      <c r="I819" s="2">
        <v>43741</v>
      </c>
      <c r="J819" t="s">
        <v>19</v>
      </c>
      <c r="K819" t="s">
        <v>20</v>
      </c>
      <c r="L819">
        <v>1610</v>
      </c>
      <c r="M819" t="s">
        <v>21</v>
      </c>
      <c r="N819" t="str">
        <f>VLOOKUP(A819, Data_Set_2!$A:$D,2,FALSE)</f>
        <v>sedwardsek</v>
      </c>
      <c r="O819" t="str">
        <f>VLOOKUP(A819, Data_Set_2!$A:$D,3,FALSE)</f>
        <v>Eadel</v>
      </c>
      <c r="P819" t="str">
        <f>VLOOKUP(A819, Data_Set_2!$A:$D,4,FALSE)</f>
        <v>Web Developer I</v>
      </c>
      <c r="Q819" t="str">
        <f>_xlfn.CONCAT(Table3[[#This Row],[first_name]], " ",Table3[[#This Row],[last_name]])</f>
        <v>Shawn Edwards</v>
      </c>
    </row>
    <row r="820" spans="1:17" hidden="1" x14ac:dyDescent="0.3">
      <c r="A820">
        <v>525</v>
      </c>
      <c r="B820" t="s">
        <v>13</v>
      </c>
      <c r="C820" t="s">
        <v>14</v>
      </c>
      <c r="D820" t="s">
        <v>15</v>
      </c>
      <c r="E820" t="s">
        <v>16</v>
      </c>
      <c r="F820" t="s">
        <v>17</v>
      </c>
      <c r="G820" s="1">
        <v>165</v>
      </c>
      <c r="H820" t="s">
        <v>18</v>
      </c>
      <c r="I820" s="2">
        <v>43764</v>
      </c>
      <c r="J820" t="s">
        <v>19</v>
      </c>
      <c r="K820" t="s">
        <v>20</v>
      </c>
      <c r="L820">
        <v>1610</v>
      </c>
      <c r="M820" t="s">
        <v>21</v>
      </c>
      <c r="N820" t="str">
        <f>VLOOKUP(A820, Data_Set_2!$A:$D,2,FALSE)</f>
        <v>sedwardsek</v>
      </c>
      <c r="O820" t="str">
        <f>VLOOKUP(A820, Data_Set_2!$A:$D,3,FALSE)</f>
        <v>Eadel</v>
      </c>
      <c r="P820" t="str">
        <f>VLOOKUP(A820, Data_Set_2!$A:$D,4,FALSE)</f>
        <v>Web Developer I</v>
      </c>
      <c r="Q820" t="str">
        <f>_xlfn.CONCAT(Table3[[#This Row],[first_name]], " ",Table3[[#This Row],[last_name]])</f>
        <v>Shawn Edwards</v>
      </c>
    </row>
    <row r="821" spans="1:17" hidden="1" x14ac:dyDescent="0.3">
      <c r="A821">
        <v>525</v>
      </c>
      <c r="B821" t="s">
        <v>13</v>
      </c>
      <c r="C821" t="s">
        <v>14</v>
      </c>
      <c r="D821" t="s">
        <v>15</v>
      </c>
      <c r="E821" t="s">
        <v>16</v>
      </c>
      <c r="F821" t="s">
        <v>17</v>
      </c>
      <c r="G821" s="1">
        <v>469</v>
      </c>
      <c r="H821" t="s">
        <v>18</v>
      </c>
      <c r="I821" s="2">
        <v>43938</v>
      </c>
      <c r="J821" t="s">
        <v>19</v>
      </c>
      <c r="K821" t="s">
        <v>20</v>
      </c>
      <c r="L821">
        <v>1610</v>
      </c>
      <c r="M821" t="s">
        <v>21</v>
      </c>
      <c r="N821" t="str">
        <f>VLOOKUP(A821, Data_Set_2!$A:$D,2,FALSE)</f>
        <v>sedwardsek</v>
      </c>
      <c r="O821" t="str">
        <f>VLOOKUP(A821, Data_Set_2!$A:$D,3,FALSE)</f>
        <v>Eadel</v>
      </c>
      <c r="P821" t="str">
        <f>VLOOKUP(A821, Data_Set_2!$A:$D,4,FALSE)</f>
        <v>Web Developer I</v>
      </c>
      <c r="Q821" t="str">
        <f>_xlfn.CONCAT(Table3[[#This Row],[first_name]], " ",Table3[[#This Row],[last_name]])</f>
        <v>Shawn Edwards</v>
      </c>
    </row>
    <row r="822" spans="1:17" hidden="1" x14ac:dyDescent="0.3">
      <c r="A822">
        <v>525</v>
      </c>
      <c r="B822" t="s">
        <v>13</v>
      </c>
      <c r="C822" t="s">
        <v>14</v>
      </c>
      <c r="D822" t="s">
        <v>15</v>
      </c>
      <c r="E822" t="s">
        <v>16</v>
      </c>
      <c r="F822" t="s">
        <v>17</v>
      </c>
      <c r="G822" s="1">
        <v>377</v>
      </c>
      <c r="H822" t="s">
        <v>18</v>
      </c>
      <c r="I822" s="2">
        <v>44121</v>
      </c>
      <c r="J822" t="s">
        <v>19</v>
      </c>
      <c r="K822" t="s">
        <v>20</v>
      </c>
      <c r="L822">
        <v>1610</v>
      </c>
      <c r="M822" t="s">
        <v>21</v>
      </c>
      <c r="N822" t="str">
        <f>VLOOKUP(A822, Data_Set_2!$A:$D,2,FALSE)</f>
        <v>sedwardsek</v>
      </c>
      <c r="O822" t="str">
        <f>VLOOKUP(A822, Data_Set_2!$A:$D,3,FALSE)</f>
        <v>Eadel</v>
      </c>
      <c r="P822" t="str">
        <f>VLOOKUP(A822, Data_Set_2!$A:$D,4,FALSE)</f>
        <v>Web Developer I</v>
      </c>
      <c r="Q822" t="str">
        <f>_xlfn.CONCAT(Table3[[#This Row],[first_name]], " ",Table3[[#This Row],[last_name]])</f>
        <v>Shawn Edwards</v>
      </c>
    </row>
    <row r="823" spans="1:17" hidden="1" x14ac:dyDescent="0.3">
      <c r="A823">
        <v>525</v>
      </c>
      <c r="B823" t="s">
        <v>13</v>
      </c>
      <c r="C823" t="s">
        <v>14</v>
      </c>
      <c r="D823" t="s">
        <v>15</v>
      </c>
      <c r="E823" t="s">
        <v>16</v>
      </c>
      <c r="F823" t="s">
        <v>17</v>
      </c>
      <c r="G823" s="1">
        <v>31</v>
      </c>
      <c r="H823" t="s">
        <v>18</v>
      </c>
      <c r="I823" s="2">
        <v>44242</v>
      </c>
      <c r="J823" t="s">
        <v>19</v>
      </c>
      <c r="K823" t="s">
        <v>20</v>
      </c>
      <c r="L823">
        <v>1610</v>
      </c>
      <c r="M823" t="s">
        <v>21</v>
      </c>
      <c r="N823" t="str">
        <f>VLOOKUP(A823, Data_Set_2!$A:$D,2,FALSE)</f>
        <v>sedwardsek</v>
      </c>
      <c r="O823" t="str">
        <f>VLOOKUP(A823, Data_Set_2!$A:$D,3,FALSE)</f>
        <v>Eadel</v>
      </c>
      <c r="P823" t="str">
        <f>VLOOKUP(A823, Data_Set_2!$A:$D,4,FALSE)</f>
        <v>Web Developer I</v>
      </c>
      <c r="Q823" t="str">
        <f>_xlfn.CONCAT(Table3[[#This Row],[first_name]], " ",Table3[[#This Row],[last_name]])</f>
        <v>Shawn Edwards</v>
      </c>
    </row>
    <row r="824" spans="1:17" hidden="1" x14ac:dyDescent="0.3">
      <c r="A824">
        <v>525</v>
      </c>
      <c r="B824" t="s">
        <v>13</v>
      </c>
      <c r="C824" t="s">
        <v>14</v>
      </c>
      <c r="D824" t="s">
        <v>15</v>
      </c>
      <c r="E824" t="s">
        <v>16</v>
      </c>
      <c r="F824" t="s">
        <v>17</v>
      </c>
      <c r="G824" s="1">
        <v>844</v>
      </c>
      <c r="H824" t="s">
        <v>18</v>
      </c>
      <c r="I824" s="2">
        <v>44282</v>
      </c>
      <c r="J824" t="s">
        <v>19</v>
      </c>
      <c r="K824" t="s">
        <v>20</v>
      </c>
      <c r="L824">
        <v>1610</v>
      </c>
      <c r="M824" t="s">
        <v>21</v>
      </c>
      <c r="N824" t="str">
        <f>VLOOKUP(A824, Data_Set_2!$A:$D,2,FALSE)</f>
        <v>sedwardsek</v>
      </c>
      <c r="O824" t="str">
        <f>VLOOKUP(A824, Data_Set_2!$A:$D,3,FALSE)</f>
        <v>Eadel</v>
      </c>
      <c r="P824" t="str">
        <f>VLOOKUP(A824, Data_Set_2!$A:$D,4,FALSE)</f>
        <v>Web Developer I</v>
      </c>
      <c r="Q824" t="str">
        <f>_xlfn.CONCAT(Table3[[#This Row],[first_name]], " ",Table3[[#This Row],[last_name]])</f>
        <v>Shawn Edwards</v>
      </c>
    </row>
    <row r="825" spans="1:17" hidden="1" x14ac:dyDescent="0.3">
      <c r="A825">
        <v>525</v>
      </c>
      <c r="B825" t="s">
        <v>13</v>
      </c>
      <c r="C825" t="s">
        <v>14</v>
      </c>
      <c r="D825" t="s">
        <v>15</v>
      </c>
      <c r="E825" t="s">
        <v>16</v>
      </c>
      <c r="F825" t="s">
        <v>17</v>
      </c>
      <c r="G825" s="1">
        <v>740</v>
      </c>
      <c r="H825" t="s">
        <v>18</v>
      </c>
      <c r="I825" s="2">
        <v>44405</v>
      </c>
      <c r="J825" t="s">
        <v>19</v>
      </c>
      <c r="K825" t="s">
        <v>20</v>
      </c>
      <c r="L825">
        <v>1610</v>
      </c>
      <c r="M825" t="s">
        <v>21</v>
      </c>
      <c r="N825" t="str">
        <f>VLOOKUP(A825, Data_Set_2!$A:$D,2,FALSE)</f>
        <v>sedwardsek</v>
      </c>
      <c r="O825" t="str">
        <f>VLOOKUP(A825, Data_Set_2!$A:$D,3,FALSE)</f>
        <v>Eadel</v>
      </c>
      <c r="P825" t="str">
        <f>VLOOKUP(A825, Data_Set_2!$A:$D,4,FALSE)</f>
        <v>Web Developer I</v>
      </c>
      <c r="Q825" t="str">
        <f>_xlfn.CONCAT(Table3[[#This Row],[first_name]], " ",Table3[[#This Row],[last_name]])</f>
        <v>Shawn Edwards</v>
      </c>
    </row>
    <row r="826" spans="1:17" hidden="1" x14ac:dyDescent="0.3">
      <c r="A826">
        <v>525</v>
      </c>
      <c r="B826" t="s">
        <v>13</v>
      </c>
      <c r="C826" t="s">
        <v>14</v>
      </c>
      <c r="D826" t="s">
        <v>15</v>
      </c>
      <c r="E826" t="s">
        <v>16</v>
      </c>
      <c r="F826" t="s">
        <v>17</v>
      </c>
      <c r="G826" s="1">
        <v>48</v>
      </c>
      <c r="H826" t="s">
        <v>18</v>
      </c>
      <c r="I826" s="2">
        <v>44459</v>
      </c>
      <c r="J826" t="s">
        <v>19</v>
      </c>
      <c r="K826" t="s">
        <v>20</v>
      </c>
      <c r="L826">
        <v>1610</v>
      </c>
      <c r="M826" t="s">
        <v>21</v>
      </c>
      <c r="N826" t="str">
        <f>VLOOKUP(A826, Data_Set_2!$A:$D,2,FALSE)</f>
        <v>sedwardsek</v>
      </c>
      <c r="O826" t="str">
        <f>VLOOKUP(A826, Data_Set_2!$A:$D,3,FALSE)</f>
        <v>Eadel</v>
      </c>
      <c r="P826" t="str">
        <f>VLOOKUP(A826, Data_Set_2!$A:$D,4,FALSE)</f>
        <v>Web Developer I</v>
      </c>
      <c r="Q826" t="str">
        <f>_xlfn.CONCAT(Table3[[#This Row],[first_name]], " ",Table3[[#This Row],[last_name]])</f>
        <v>Shawn Edwards</v>
      </c>
    </row>
    <row r="827" spans="1:17" hidden="1" x14ac:dyDescent="0.3">
      <c r="A827">
        <v>525</v>
      </c>
      <c r="B827" t="s">
        <v>13</v>
      </c>
      <c r="C827" t="s">
        <v>14</v>
      </c>
      <c r="D827" t="s">
        <v>15</v>
      </c>
      <c r="E827" t="s">
        <v>16</v>
      </c>
      <c r="F827" t="s">
        <v>17</v>
      </c>
      <c r="G827" s="1">
        <v>755</v>
      </c>
      <c r="H827" t="s">
        <v>18</v>
      </c>
      <c r="I827" s="2">
        <v>44537</v>
      </c>
      <c r="J827" t="s">
        <v>19</v>
      </c>
      <c r="K827" t="s">
        <v>20</v>
      </c>
      <c r="L827">
        <v>1610</v>
      </c>
      <c r="M827" t="s">
        <v>21</v>
      </c>
      <c r="N827" t="str">
        <f>VLOOKUP(A827, Data_Set_2!$A:$D,2,FALSE)</f>
        <v>sedwardsek</v>
      </c>
      <c r="O827" t="str">
        <f>VLOOKUP(A827, Data_Set_2!$A:$D,3,FALSE)</f>
        <v>Eadel</v>
      </c>
      <c r="P827" t="str">
        <f>VLOOKUP(A827, Data_Set_2!$A:$D,4,FALSE)</f>
        <v>Web Developer I</v>
      </c>
      <c r="Q827" t="str">
        <f>_xlfn.CONCAT(Table3[[#This Row],[first_name]], " ",Table3[[#This Row],[last_name]])</f>
        <v>Shawn Edwards</v>
      </c>
    </row>
    <row r="828" spans="1:17" hidden="1" x14ac:dyDescent="0.3">
      <c r="A828">
        <v>525</v>
      </c>
      <c r="B828" t="s">
        <v>13</v>
      </c>
      <c r="C828" t="s">
        <v>14</v>
      </c>
      <c r="D828" t="s">
        <v>15</v>
      </c>
      <c r="E828" t="s">
        <v>16</v>
      </c>
      <c r="F828" t="s">
        <v>17</v>
      </c>
      <c r="G828" s="1">
        <v>30</v>
      </c>
      <c r="H828" t="s">
        <v>18</v>
      </c>
      <c r="I828" s="2">
        <v>44584</v>
      </c>
      <c r="J828" t="s">
        <v>19</v>
      </c>
      <c r="K828" t="s">
        <v>20</v>
      </c>
      <c r="L828">
        <v>1610</v>
      </c>
      <c r="M828" t="s">
        <v>21</v>
      </c>
      <c r="N828" t="str">
        <f>VLOOKUP(A828, Data_Set_2!$A:$D,2,FALSE)</f>
        <v>sedwardsek</v>
      </c>
      <c r="O828" t="str">
        <f>VLOOKUP(A828, Data_Set_2!$A:$D,3,FALSE)</f>
        <v>Eadel</v>
      </c>
      <c r="P828" t="str">
        <f>VLOOKUP(A828, Data_Set_2!$A:$D,4,FALSE)</f>
        <v>Web Developer I</v>
      </c>
      <c r="Q828" t="str">
        <f>_xlfn.CONCAT(Table3[[#This Row],[first_name]], " ",Table3[[#This Row],[last_name]])</f>
        <v>Shawn Edwards</v>
      </c>
    </row>
    <row r="829" spans="1:17" hidden="1" x14ac:dyDescent="0.3">
      <c r="A829">
        <v>525</v>
      </c>
      <c r="B829" t="s">
        <v>13</v>
      </c>
      <c r="C829" t="s">
        <v>14</v>
      </c>
      <c r="D829" t="s">
        <v>15</v>
      </c>
      <c r="E829" t="s">
        <v>16</v>
      </c>
      <c r="F829" t="s">
        <v>17</v>
      </c>
      <c r="G829" s="1">
        <v>215</v>
      </c>
      <c r="H829" t="s">
        <v>18</v>
      </c>
      <c r="I829" s="2">
        <v>44603</v>
      </c>
      <c r="J829" t="s">
        <v>19</v>
      </c>
      <c r="K829" t="s">
        <v>20</v>
      </c>
      <c r="L829">
        <v>1610</v>
      </c>
      <c r="M829" t="s">
        <v>21</v>
      </c>
      <c r="N829" t="str">
        <f>VLOOKUP(A829, Data_Set_2!$A:$D,2,FALSE)</f>
        <v>sedwardsek</v>
      </c>
      <c r="O829" t="str">
        <f>VLOOKUP(A829, Data_Set_2!$A:$D,3,FALSE)</f>
        <v>Eadel</v>
      </c>
      <c r="P829" t="str">
        <f>VLOOKUP(A829, Data_Set_2!$A:$D,4,FALSE)</f>
        <v>Web Developer I</v>
      </c>
      <c r="Q829" t="str">
        <f>_xlfn.CONCAT(Table3[[#This Row],[first_name]], " ",Table3[[#This Row],[last_name]])</f>
        <v>Shawn Edwards</v>
      </c>
    </row>
    <row r="830" spans="1:17" hidden="1" x14ac:dyDescent="0.3">
      <c r="A830">
        <v>526</v>
      </c>
      <c r="B830" t="s">
        <v>176</v>
      </c>
      <c r="C830" t="s">
        <v>835</v>
      </c>
      <c r="D830" t="s">
        <v>836</v>
      </c>
      <c r="E830" t="s">
        <v>32</v>
      </c>
      <c r="F830" t="s">
        <v>51</v>
      </c>
      <c r="G830" s="1">
        <v>779</v>
      </c>
      <c r="H830" t="s">
        <v>26</v>
      </c>
      <c r="I830" s="2">
        <v>43834</v>
      </c>
      <c r="J830" t="s">
        <v>115</v>
      </c>
      <c r="K830" t="s">
        <v>143</v>
      </c>
      <c r="L830">
        <v>33233</v>
      </c>
      <c r="M830" t="s">
        <v>21</v>
      </c>
      <c r="N830" t="str">
        <f>VLOOKUP(A830, Data_Set_2!$A:$D,2,FALSE)</f>
        <v>shernandezel</v>
      </c>
      <c r="O830" t="str">
        <f>VLOOKUP(A830, Data_Set_2!$A:$D,3,FALSE)</f>
        <v>Skivee</v>
      </c>
      <c r="P830" t="str">
        <f>VLOOKUP(A830, Data_Set_2!$A:$D,4,FALSE)</f>
        <v>Editor</v>
      </c>
      <c r="Q830" t="str">
        <f>_xlfn.CONCAT(Table3[[#This Row],[first_name]], " ",Table3[[#This Row],[last_name]])</f>
        <v>Shirley Hernandez</v>
      </c>
    </row>
    <row r="831" spans="1:17" hidden="1" x14ac:dyDescent="0.3">
      <c r="A831">
        <v>526</v>
      </c>
      <c r="B831" t="s">
        <v>176</v>
      </c>
      <c r="C831" t="s">
        <v>835</v>
      </c>
      <c r="D831" t="s">
        <v>836</v>
      </c>
      <c r="E831" t="s">
        <v>32</v>
      </c>
      <c r="F831" t="s">
        <v>51</v>
      </c>
      <c r="G831" s="1">
        <v>673</v>
      </c>
      <c r="H831" t="s">
        <v>26</v>
      </c>
      <c r="I831" s="2">
        <v>43946</v>
      </c>
      <c r="J831" t="s">
        <v>115</v>
      </c>
      <c r="K831" t="s">
        <v>143</v>
      </c>
      <c r="L831">
        <v>33233</v>
      </c>
      <c r="M831" t="s">
        <v>21</v>
      </c>
      <c r="N831" t="str">
        <f>VLOOKUP(A831, Data_Set_2!$A:$D,2,FALSE)</f>
        <v>shernandezel</v>
      </c>
      <c r="O831" t="str">
        <f>VLOOKUP(A831, Data_Set_2!$A:$D,3,FALSE)</f>
        <v>Skivee</v>
      </c>
      <c r="P831" t="str">
        <f>VLOOKUP(A831, Data_Set_2!$A:$D,4,FALSE)</f>
        <v>Editor</v>
      </c>
      <c r="Q831" t="str">
        <f>_xlfn.CONCAT(Table3[[#This Row],[first_name]], " ",Table3[[#This Row],[last_name]])</f>
        <v>Shirley Hernandez</v>
      </c>
    </row>
    <row r="832" spans="1:17" hidden="1" x14ac:dyDescent="0.3">
      <c r="A832">
        <v>526</v>
      </c>
      <c r="B832" t="s">
        <v>176</v>
      </c>
      <c r="C832" t="s">
        <v>835</v>
      </c>
      <c r="D832" t="s">
        <v>836</v>
      </c>
      <c r="E832" t="s">
        <v>32</v>
      </c>
      <c r="F832" t="s">
        <v>51</v>
      </c>
      <c r="G832" s="1">
        <v>632</v>
      </c>
      <c r="H832" t="s">
        <v>26</v>
      </c>
      <c r="I832" s="2">
        <v>44154</v>
      </c>
      <c r="J832" t="s">
        <v>115</v>
      </c>
      <c r="K832" t="s">
        <v>143</v>
      </c>
      <c r="L832">
        <v>33233</v>
      </c>
      <c r="M832" t="s">
        <v>21</v>
      </c>
      <c r="N832" t="str">
        <f>VLOOKUP(A832, Data_Set_2!$A:$D,2,FALSE)</f>
        <v>shernandezel</v>
      </c>
      <c r="O832" t="str">
        <f>VLOOKUP(A832, Data_Set_2!$A:$D,3,FALSE)</f>
        <v>Skivee</v>
      </c>
      <c r="P832" t="str">
        <f>VLOOKUP(A832, Data_Set_2!$A:$D,4,FALSE)</f>
        <v>Editor</v>
      </c>
      <c r="Q832" t="str">
        <f>_xlfn.CONCAT(Table3[[#This Row],[first_name]], " ",Table3[[#This Row],[last_name]])</f>
        <v>Shirley Hernandez</v>
      </c>
    </row>
    <row r="833" spans="1:17" hidden="1" x14ac:dyDescent="0.3">
      <c r="A833">
        <v>527</v>
      </c>
      <c r="B833" t="s">
        <v>198</v>
      </c>
      <c r="C833" t="s">
        <v>743</v>
      </c>
      <c r="D833" t="s">
        <v>772</v>
      </c>
      <c r="E833" t="s">
        <v>16</v>
      </c>
      <c r="F833" t="s">
        <v>33</v>
      </c>
      <c r="G833" s="1">
        <v>293</v>
      </c>
      <c r="H833" t="s">
        <v>26</v>
      </c>
      <c r="I833" s="2">
        <v>43722</v>
      </c>
      <c r="J833" t="s">
        <v>68</v>
      </c>
      <c r="K833" t="s">
        <v>518</v>
      </c>
      <c r="L833">
        <v>78245</v>
      </c>
      <c r="M833" t="s">
        <v>21</v>
      </c>
      <c r="N833" t="str">
        <f>VLOOKUP(A833, Data_Set_2!$A:$D,2,FALSE)</f>
        <v>aperkinsem</v>
      </c>
      <c r="O833" t="str">
        <f>VLOOKUP(A833, Data_Set_2!$A:$D,3,FALSE)</f>
        <v>Twitternation</v>
      </c>
      <c r="P833" t="str">
        <f>VLOOKUP(A833, Data_Set_2!$A:$D,4,FALSE)</f>
        <v>Technical Writer</v>
      </c>
      <c r="Q833" t="str">
        <f>_xlfn.CONCAT(Table3[[#This Row],[first_name]], " ",Table3[[#This Row],[last_name]])</f>
        <v>Anthony Perkins</v>
      </c>
    </row>
    <row r="834" spans="1:17" hidden="1" x14ac:dyDescent="0.3">
      <c r="A834">
        <v>527</v>
      </c>
      <c r="B834" t="s">
        <v>198</v>
      </c>
      <c r="C834" t="s">
        <v>743</v>
      </c>
      <c r="D834" t="s">
        <v>772</v>
      </c>
      <c r="E834" t="s">
        <v>16</v>
      </c>
      <c r="F834" t="s">
        <v>33</v>
      </c>
      <c r="G834" s="1">
        <v>929</v>
      </c>
      <c r="H834" t="s">
        <v>26</v>
      </c>
      <c r="I834" s="2">
        <v>44219</v>
      </c>
      <c r="J834" t="s">
        <v>68</v>
      </c>
      <c r="K834" t="s">
        <v>518</v>
      </c>
      <c r="L834">
        <v>78245</v>
      </c>
      <c r="M834" t="s">
        <v>21</v>
      </c>
      <c r="N834" t="str">
        <f>VLOOKUP(A834, Data_Set_2!$A:$D,2,FALSE)</f>
        <v>aperkinsem</v>
      </c>
      <c r="O834" t="str">
        <f>VLOOKUP(A834, Data_Set_2!$A:$D,3,FALSE)</f>
        <v>Twitternation</v>
      </c>
      <c r="P834" t="str">
        <f>VLOOKUP(A834, Data_Set_2!$A:$D,4,FALSE)</f>
        <v>Technical Writer</v>
      </c>
      <c r="Q834" t="str">
        <f>_xlfn.CONCAT(Table3[[#This Row],[first_name]], " ",Table3[[#This Row],[last_name]])</f>
        <v>Anthony Perkins</v>
      </c>
    </row>
    <row r="835" spans="1:17" hidden="1" x14ac:dyDescent="0.3">
      <c r="A835">
        <v>527</v>
      </c>
      <c r="B835" t="s">
        <v>198</v>
      </c>
      <c r="C835" t="s">
        <v>743</v>
      </c>
      <c r="D835" t="s">
        <v>772</v>
      </c>
      <c r="E835" t="s">
        <v>16</v>
      </c>
      <c r="F835" t="s">
        <v>33</v>
      </c>
      <c r="G835" s="1">
        <v>536</v>
      </c>
      <c r="H835" t="s">
        <v>26</v>
      </c>
      <c r="I835" s="2">
        <v>44406</v>
      </c>
      <c r="J835" t="s">
        <v>68</v>
      </c>
      <c r="K835" t="s">
        <v>518</v>
      </c>
      <c r="L835">
        <v>78245</v>
      </c>
      <c r="M835" t="s">
        <v>21</v>
      </c>
      <c r="N835" t="str">
        <f>VLOOKUP(A835, Data_Set_2!$A:$D,2,FALSE)</f>
        <v>aperkinsem</v>
      </c>
      <c r="O835" t="str">
        <f>VLOOKUP(A835, Data_Set_2!$A:$D,3,FALSE)</f>
        <v>Twitternation</v>
      </c>
      <c r="P835" t="str">
        <f>VLOOKUP(A835, Data_Set_2!$A:$D,4,FALSE)</f>
        <v>Technical Writer</v>
      </c>
      <c r="Q835" t="str">
        <f>_xlfn.CONCAT(Table3[[#This Row],[first_name]], " ",Table3[[#This Row],[last_name]])</f>
        <v>Anthony Perkins</v>
      </c>
    </row>
    <row r="836" spans="1:17" hidden="1" x14ac:dyDescent="0.3">
      <c r="A836">
        <v>527</v>
      </c>
      <c r="B836" t="s">
        <v>198</v>
      </c>
      <c r="C836" t="s">
        <v>743</v>
      </c>
      <c r="D836" t="s">
        <v>772</v>
      </c>
      <c r="E836" t="s">
        <v>16</v>
      </c>
      <c r="F836" t="s">
        <v>33</v>
      </c>
      <c r="G836" s="1">
        <v>183</v>
      </c>
      <c r="H836" t="s">
        <v>26</v>
      </c>
      <c r="I836" s="2">
        <v>44682</v>
      </c>
      <c r="J836" t="s">
        <v>68</v>
      </c>
      <c r="K836" t="s">
        <v>518</v>
      </c>
      <c r="L836">
        <v>78245</v>
      </c>
      <c r="M836" t="s">
        <v>21</v>
      </c>
      <c r="N836" t="str">
        <f>VLOOKUP(A836, Data_Set_2!$A:$D,2,FALSE)</f>
        <v>aperkinsem</v>
      </c>
      <c r="O836" t="str">
        <f>VLOOKUP(A836, Data_Set_2!$A:$D,3,FALSE)</f>
        <v>Twitternation</v>
      </c>
      <c r="P836" t="str">
        <f>VLOOKUP(A836, Data_Set_2!$A:$D,4,FALSE)</f>
        <v>Technical Writer</v>
      </c>
      <c r="Q836" t="str">
        <f>_xlfn.CONCAT(Table3[[#This Row],[first_name]], " ",Table3[[#This Row],[last_name]])</f>
        <v>Anthony Perkins</v>
      </c>
    </row>
    <row r="837" spans="1:17" hidden="1" x14ac:dyDescent="0.3">
      <c r="A837">
        <v>527</v>
      </c>
      <c r="B837" t="s">
        <v>198</v>
      </c>
      <c r="C837" t="s">
        <v>743</v>
      </c>
      <c r="D837" t="s">
        <v>772</v>
      </c>
      <c r="E837" t="s">
        <v>16</v>
      </c>
      <c r="F837" t="s">
        <v>33</v>
      </c>
      <c r="G837" s="1">
        <v>124</v>
      </c>
      <c r="H837" t="s">
        <v>26</v>
      </c>
      <c r="I837" s="2">
        <v>44834</v>
      </c>
      <c r="J837" t="s">
        <v>68</v>
      </c>
      <c r="K837" t="s">
        <v>518</v>
      </c>
      <c r="L837">
        <v>78245</v>
      </c>
      <c r="M837" t="s">
        <v>21</v>
      </c>
      <c r="N837" t="str">
        <f>VLOOKUP(A837, Data_Set_2!$A:$D,2,FALSE)</f>
        <v>aperkinsem</v>
      </c>
      <c r="O837" t="str">
        <f>VLOOKUP(A837, Data_Set_2!$A:$D,3,FALSE)</f>
        <v>Twitternation</v>
      </c>
      <c r="P837" t="str">
        <f>VLOOKUP(A837, Data_Set_2!$A:$D,4,FALSE)</f>
        <v>Technical Writer</v>
      </c>
      <c r="Q837" t="str">
        <f>_xlfn.CONCAT(Table3[[#This Row],[first_name]], " ",Table3[[#This Row],[last_name]])</f>
        <v>Anthony Perkins</v>
      </c>
    </row>
    <row r="838" spans="1:17" hidden="1" x14ac:dyDescent="0.3">
      <c r="A838">
        <v>527</v>
      </c>
      <c r="B838" t="s">
        <v>198</v>
      </c>
      <c r="C838" t="s">
        <v>743</v>
      </c>
      <c r="D838" t="s">
        <v>772</v>
      </c>
      <c r="E838" t="s">
        <v>16</v>
      </c>
      <c r="F838" t="s">
        <v>33</v>
      </c>
      <c r="G838" s="1">
        <v>692</v>
      </c>
      <c r="H838" t="s">
        <v>26</v>
      </c>
      <c r="I838" s="2">
        <v>44913</v>
      </c>
      <c r="J838" t="s">
        <v>68</v>
      </c>
      <c r="K838" t="s">
        <v>518</v>
      </c>
      <c r="L838">
        <v>78245</v>
      </c>
      <c r="M838" t="s">
        <v>21</v>
      </c>
      <c r="N838" t="str">
        <f>VLOOKUP(A838, Data_Set_2!$A:$D,2,FALSE)</f>
        <v>aperkinsem</v>
      </c>
      <c r="O838" t="str">
        <f>VLOOKUP(A838, Data_Set_2!$A:$D,3,FALSE)</f>
        <v>Twitternation</v>
      </c>
      <c r="P838" t="str">
        <f>VLOOKUP(A838, Data_Set_2!$A:$D,4,FALSE)</f>
        <v>Technical Writer</v>
      </c>
      <c r="Q838" t="str">
        <f>_xlfn.CONCAT(Table3[[#This Row],[first_name]], " ",Table3[[#This Row],[last_name]])</f>
        <v>Anthony Perkins</v>
      </c>
    </row>
    <row r="839" spans="1:17" hidden="1" x14ac:dyDescent="0.3">
      <c r="A839">
        <v>528</v>
      </c>
      <c r="B839" t="s">
        <v>140</v>
      </c>
      <c r="C839" t="s">
        <v>796</v>
      </c>
      <c r="D839" t="s">
        <v>896</v>
      </c>
      <c r="E839" t="s">
        <v>32</v>
      </c>
      <c r="F839" t="s">
        <v>33</v>
      </c>
      <c r="G839" s="1">
        <v>838</v>
      </c>
      <c r="H839" t="s">
        <v>4037</v>
      </c>
      <c r="I839" s="2">
        <v>43965</v>
      </c>
      <c r="J839" t="s">
        <v>35</v>
      </c>
      <c r="K839" t="s">
        <v>897</v>
      </c>
      <c r="L839">
        <v>92019</v>
      </c>
      <c r="M839" t="s">
        <v>21</v>
      </c>
      <c r="N839" t="str">
        <f>VLOOKUP(A839, Data_Set_2!$A:$D,2,FALSE)</f>
        <v>jdayen</v>
      </c>
      <c r="O839" t="str">
        <f>VLOOKUP(A839, Data_Set_2!$A:$D,3,FALSE)</f>
        <v>Minyx</v>
      </c>
      <c r="P839" t="str">
        <f>VLOOKUP(A839, Data_Set_2!$A:$D,4,FALSE)</f>
        <v>Assistant Professor</v>
      </c>
      <c r="Q839" t="str">
        <f>_xlfn.CONCAT(Table3[[#This Row],[first_name]], " ",Table3[[#This Row],[last_name]])</f>
        <v>Jessica Day</v>
      </c>
    </row>
    <row r="840" spans="1:17" hidden="1" x14ac:dyDescent="0.3">
      <c r="A840">
        <v>534</v>
      </c>
      <c r="B840" t="s">
        <v>293</v>
      </c>
      <c r="C840" t="s">
        <v>522</v>
      </c>
      <c r="D840" t="s">
        <v>523</v>
      </c>
      <c r="E840" t="s">
        <v>16</v>
      </c>
      <c r="F840" t="s">
        <v>33</v>
      </c>
      <c r="G840" s="1">
        <v>549</v>
      </c>
      <c r="H840" t="s">
        <v>34</v>
      </c>
      <c r="I840" s="2">
        <v>43413</v>
      </c>
      <c r="J840" t="s">
        <v>524</v>
      </c>
      <c r="K840" t="s">
        <v>525</v>
      </c>
      <c r="L840">
        <v>36205</v>
      </c>
      <c r="M840" t="s">
        <v>21</v>
      </c>
      <c r="N840" t="str">
        <f>VLOOKUP(A840, Data_Set_2!$A:$D,2,FALSE)</f>
        <v>talvarezet</v>
      </c>
      <c r="O840" t="str">
        <f>VLOOKUP(A840, Data_Set_2!$A:$D,3,FALSE)</f>
        <v>Jamia</v>
      </c>
      <c r="P840" t="str">
        <f>VLOOKUP(A840, Data_Set_2!$A:$D,4,FALSE)</f>
        <v>VP Quality Control</v>
      </c>
      <c r="Q840" t="str">
        <f>_xlfn.CONCAT(Table3[[#This Row],[first_name]], " ",Table3[[#This Row],[last_name]])</f>
        <v>Thomas Alvarez</v>
      </c>
    </row>
    <row r="841" spans="1:17" hidden="1" x14ac:dyDescent="0.3">
      <c r="A841">
        <v>541</v>
      </c>
      <c r="B841" t="s">
        <v>293</v>
      </c>
      <c r="C841" t="s">
        <v>942</v>
      </c>
      <c r="D841" t="s">
        <v>943</v>
      </c>
      <c r="E841" t="s">
        <v>16</v>
      </c>
      <c r="F841" t="s">
        <v>51</v>
      </c>
      <c r="G841" s="1">
        <v>698</v>
      </c>
      <c r="H841" t="s">
        <v>34</v>
      </c>
      <c r="I841" s="2">
        <v>44092</v>
      </c>
      <c r="J841" t="s">
        <v>152</v>
      </c>
      <c r="K841" t="s">
        <v>251</v>
      </c>
      <c r="L841">
        <v>44329</v>
      </c>
      <c r="M841" t="s">
        <v>21</v>
      </c>
      <c r="N841" t="str">
        <f>VLOOKUP(A841, Data_Set_2!$A:$D,2,FALSE)</f>
        <v>twestf0</v>
      </c>
      <c r="O841" t="str">
        <f>VLOOKUP(A841, Data_Set_2!$A:$D,3,FALSE)</f>
        <v>Kimia</v>
      </c>
      <c r="P841" t="str">
        <f>VLOOKUP(A841, Data_Set_2!$A:$D,4,FALSE)</f>
        <v>Payment Adjustment Coordinator</v>
      </c>
      <c r="Q841" t="str">
        <f>_xlfn.CONCAT(Table3[[#This Row],[first_name]], " ",Table3[[#This Row],[last_name]])</f>
        <v>Thomas West</v>
      </c>
    </row>
    <row r="842" spans="1:17" hidden="1" x14ac:dyDescent="0.3">
      <c r="A842">
        <v>542</v>
      </c>
      <c r="B842" t="s">
        <v>417</v>
      </c>
      <c r="C842" t="s">
        <v>674</v>
      </c>
      <c r="D842" t="s">
        <v>675</v>
      </c>
      <c r="E842" t="s">
        <v>16</v>
      </c>
      <c r="F842" t="s">
        <v>33</v>
      </c>
      <c r="G842" s="1">
        <v>327</v>
      </c>
      <c r="H842" t="s">
        <v>26</v>
      </c>
      <c r="I842" s="2">
        <v>43597</v>
      </c>
      <c r="J842" t="s">
        <v>41</v>
      </c>
      <c r="K842" t="s">
        <v>42</v>
      </c>
      <c r="L842">
        <v>40280</v>
      </c>
      <c r="M842" t="s">
        <v>21</v>
      </c>
      <c r="N842" t="str">
        <f>VLOOKUP(A842, Data_Set_2!$A:$D,2,FALSE)</f>
        <v>wpricef1</v>
      </c>
      <c r="O842" t="str">
        <f>VLOOKUP(A842, Data_Set_2!$A:$D,3,FALSE)</f>
        <v>Meemm</v>
      </c>
      <c r="P842" t="str">
        <f>VLOOKUP(A842, Data_Set_2!$A:$D,4,FALSE)</f>
        <v>Associate Professor</v>
      </c>
      <c r="Q842" t="str">
        <f>_xlfn.CONCAT(Table3[[#This Row],[first_name]], " ",Table3[[#This Row],[last_name]])</f>
        <v>Willie Price</v>
      </c>
    </row>
    <row r="843" spans="1:17" hidden="1" x14ac:dyDescent="0.3">
      <c r="A843">
        <v>543</v>
      </c>
      <c r="B843" t="s">
        <v>460</v>
      </c>
      <c r="C843" t="s">
        <v>1199</v>
      </c>
      <c r="D843" t="s">
        <v>1200</v>
      </c>
      <c r="E843" t="s">
        <v>32</v>
      </c>
      <c r="F843" t="s">
        <v>33</v>
      </c>
      <c r="G843" s="1">
        <v>669</v>
      </c>
      <c r="H843" t="s">
        <v>26</v>
      </c>
      <c r="I843" s="2">
        <v>44709</v>
      </c>
      <c r="J843" t="s">
        <v>133</v>
      </c>
      <c r="K843" t="s">
        <v>134</v>
      </c>
      <c r="L843">
        <v>96835</v>
      </c>
      <c r="M843" t="s">
        <v>21</v>
      </c>
      <c r="N843" t="str">
        <f>VLOOKUP(A843, Data_Set_2!$A:$D,2,FALSE)</f>
        <v>lwoodsf2</v>
      </c>
      <c r="O843" t="str">
        <f>VLOOKUP(A843, Data_Set_2!$A:$D,3,FALSE)</f>
        <v>Zoovu</v>
      </c>
      <c r="P843" t="str">
        <f>VLOOKUP(A843, Data_Set_2!$A:$D,4,FALSE)</f>
        <v>Actuary</v>
      </c>
      <c r="Q843" t="str">
        <f>_xlfn.CONCAT(Table3[[#This Row],[first_name]], " ",Table3[[#This Row],[last_name]])</f>
        <v>Lillian Woods</v>
      </c>
    </row>
    <row r="844" spans="1:17" hidden="1" x14ac:dyDescent="0.3">
      <c r="A844">
        <v>545</v>
      </c>
      <c r="B844" t="s">
        <v>235</v>
      </c>
      <c r="C844" t="s">
        <v>232</v>
      </c>
      <c r="D844" t="s">
        <v>997</v>
      </c>
      <c r="E844" t="s">
        <v>32</v>
      </c>
      <c r="F844" t="s">
        <v>17</v>
      </c>
      <c r="G844" s="1">
        <v>596</v>
      </c>
      <c r="H844" t="s">
        <v>4035</v>
      </c>
      <c r="I844" s="2">
        <v>44207</v>
      </c>
      <c r="J844" t="s">
        <v>35</v>
      </c>
      <c r="K844" t="s">
        <v>620</v>
      </c>
      <c r="L844">
        <v>94164</v>
      </c>
      <c r="M844" t="s">
        <v>21</v>
      </c>
      <c r="N844" t="str">
        <f>VLOOKUP(A844, Data_Set_2!$A:$D,2,FALSE)</f>
        <v>swardf4</v>
      </c>
      <c r="O844" t="str">
        <f>VLOOKUP(A844, Data_Set_2!$A:$D,3,FALSE)</f>
        <v>Quaxo</v>
      </c>
      <c r="P844" t="str">
        <f>VLOOKUP(A844, Data_Set_2!$A:$D,4,FALSE)</f>
        <v>Budget/Accounting Analyst IV</v>
      </c>
      <c r="Q844" t="str">
        <f>_xlfn.CONCAT(Table3[[#This Row],[first_name]], " ",Table3[[#This Row],[last_name]])</f>
        <v>Sarah Ward</v>
      </c>
    </row>
    <row r="845" spans="1:17" hidden="1" x14ac:dyDescent="0.3">
      <c r="A845">
        <v>546</v>
      </c>
      <c r="B845" t="s">
        <v>600</v>
      </c>
      <c r="C845" t="s">
        <v>722</v>
      </c>
      <c r="D845" t="s">
        <v>1079</v>
      </c>
      <c r="E845" t="s">
        <v>32</v>
      </c>
      <c r="F845" t="s">
        <v>33</v>
      </c>
      <c r="G845" s="1">
        <v>493</v>
      </c>
      <c r="H845" t="s">
        <v>26</v>
      </c>
      <c r="I845" s="2">
        <v>44419</v>
      </c>
      <c r="J845" t="s">
        <v>74</v>
      </c>
      <c r="K845" t="s">
        <v>75</v>
      </c>
      <c r="L845">
        <v>31136</v>
      </c>
      <c r="M845" t="s">
        <v>21</v>
      </c>
      <c r="N845" t="str">
        <f>VLOOKUP(A845, Data_Set_2!$A:$D,2,FALSE)</f>
        <v>llopezf5</v>
      </c>
      <c r="O845" t="str">
        <f>VLOOKUP(A845, Data_Set_2!$A:$D,3,FALSE)</f>
        <v>Fivechat</v>
      </c>
      <c r="P845" t="str">
        <f>VLOOKUP(A845, Data_Set_2!$A:$D,4,FALSE)</f>
        <v>Mechanical Systems Engineer</v>
      </c>
      <c r="Q845" t="str">
        <f>_xlfn.CONCAT(Table3[[#This Row],[first_name]], " ",Table3[[#This Row],[last_name]])</f>
        <v>Louise Lopez</v>
      </c>
    </row>
    <row r="846" spans="1:17" hidden="1" x14ac:dyDescent="0.3">
      <c r="A846">
        <v>547</v>
      </c>
      <c r="B846" t="s">
        <v>182</v>
      </c>
      <c r="C846" t="s">
        <v>876</v>
      </c>
      <c r="D846" t="s">
        <v>877</v>
      </c>
      <c r="E846" t="s">
        <v>16</v>
      </c>
      <c r="F846" t="s">
        <v>17</v>
      </c>
      <c r="G846" s="1">
        <v>426</v>
      </c>
      <c r="H846" t="s">
        <v>26</v>
      </c>
      <c r="I846" s="2">
        <v>43927</v>
      </c>
      <c r="J846" t="s">
        <v>63</v>
      </c>
      <c r="K846" t="s">
        <v>448</v>
      </c>
      <c r="L846">
        <v>68510</v>
      </c>
      <c r="M846" t="s">
        <v>21</v>
      </c>
      <c r="N846" t="str">
        <f>VLOOKUP(A846, Data_Set_2!$A:$D,2,FALSE)</f>
        <v>jfranklinf6</v>
      </c>
      <c r="O846" t="str">
        <f>VLOOKUP(A846, Data_Set_2!$A:$D,3,FALSE)</f>
        <v>Jabbertype</v>
      </c>
      <c r="P846" t="str">
        <f>VLOOKUP(A846, Data_Set_2!$A:$D,4,FALSE)</f>
        <v>Cost Accountant</v>
      </c>
      <c r="Q846" t="str">
        <f>_xlfn.CONCAT(Table3[[#This Row],[first_name]], " ",Table3[[#This Row],[last_name]])</f>
        <v>James Franklin</v>
      </c>
    </row>
    <row r="847" spans="1:17" hidden="1" x14ac:dyDescent="0.3">
      <c r="A847">
        <v>548</v>
      </c>
      <c r="B847" t="s">
        <v>363</v>
      </c>
      <c r="C847" t="s">
        <v>99</v>
      </c>
      <c r="D847" t="s">
        <v>488</v>
      </c>
      <c r="E847" t="s">
        <v>16</v>
      </c>
      <c r="F847" t="s">
        <v>33</v>
      </c>
      <c r="G847" s="1">
        <v>975</v>
      </c>
      <c r="H847" t="s">
        <v>109</v>
      </c>
      <c r="I847" s="2">
        <v>43366</v>
      </c>
      <c r="J847" t="s">
        <v>489</v>
      </c>
      <c r="K847" t="s">
        <v>490</v>
      </c>
      <c r="L847">
        <v>89120</v>
      </c>
      <c r="M847" t="s">
        <v>21</v>
      </c>
      <c r="N847" t="str">
        <f>VLOOKUP(A847, Data_Set_2!$A:$D,2,FALSE)</f>
        <v>hpetersonf7</v>
      </c>
      <c r="O847" t="str">
        <f>VLOOKUP(A847, Data_Set_2!$A:$D,3,FALSE)</f>
        <v>Centizu</v>
      </c>
      <c r="P847" t="str">
        <f>VLOOKUP(A847, Data_Set_2!$A:$D,4,FALSE)</f>
        <v>Accounting Assistant II</v>
      </c>
      <c r="Q847" t="str">
        <f>_xlfn.CONCAT(Table3[[#This Row],[first_name]], " ",Table3[[#This Row],[last_name]])</f>
        <v>Howard Peterson</v>
      </c>
    </row>
    <row r="848" spans="1:17" hidden="1" x14ac:dyDescent="0.3">
      <c r="A848">
        <v>560</v>
      </c>
      <c r="B848" t="s">
        <v>602</v>
      </c>
      <c r="C848" t="s">
        <v>387</v>
      </c>
      <c r="D848" t="s">
        <v>1153</v>
      </c>
      <c r="E848" t="s">
        <v>32</v>
      </c>
      <c r="F848" t="s">
        <v>33</v>
      </c>
      <c r="G848" s="1">
        <v>883</v>
      </c>
      <c r="H848" t="s">
        <v>4038</v>
      </c>
      <c r="I848" s="2">
        <v>44609</v>
      </c>
      <c r="J848" t="s">
        <v>246</v>
      </c>
      <c r="K848" t="s">
        <v>339</v>
      </c>
      <c r="L848">
        <v>60663</v>
      </c>
      <c r="M848" t="s">
        <v>21</v>
      </c>
      <c r="N848" t="str">
        <f>VLOOKUP(A848, Data_Set_2!$A:$D,2,FALSE)</f>
        <v>dpattersonfj</v>
      </c>
      <c r="O848" t="str">
        <f>VLOOKUP(A848, Data_Set_2!$A:$D,3,FALSE)</f>
        <v>Fivespan</v>
      </c>
      <c r="P848" t="str">
        <f>VLOOKUP(A848, Data_Set_2!$A:$D,4,FALSE)</f>
        <v>Engineer IV</v>
      </c>
      <c r="Q848" t="str">
        <f>_xlfn.CONCAT(Table3[[#This Row],[first_name]], " ",Table3[[#This Row],[last_name]])</f>
        <v>Diane Patterson</v>
      </c>
    </row>
    <row r="849" spans="1:17" hidden="1" x14ac:dyDescent="0.3">
      <c r="A849">
        <v>561</v>
      </c>
      <c r="B849" t="s">
        <v>795</v>
      </c>
      <c r="C849" t="s">
        <v>363</v>
      </c>
      <c r="D849" t="s">
        <v>1249</v>
      </c>
      <c r="E849" t="s">
        <v>32</v>
      </c>
      <c r="F849" t="s">
        <v>33</v>
      </c>
      <c r="G849" s="1">
        <v>289</v>
      </c>
      <c r="H849" t="s">
        <v>26</v>
      </c>
      <c r="I849" s="2">
        <v>44888</v>
      </c>
      <c r="J849" t="s">
        <v>35</v>
      </c>
      <c r="K849" t="s">
        <v>1250</v>
      </c>
      <c r="L849">
        <v>90310</v>
      </c>
      <c r="M849" t="s">
        <v>21</v>
      </c>
      <c r="N849" t="str">
        <f>VLOOKUP(A849, Data_Set_2!$A:$D,2,FALSE)</f>
        <v>ahowardfk</v>
      </c>
      <c r="O849" t="str">
        <f>VLOOKUP(A849, Data_Set_2!$A:$D,3,FALSE)</f>
        <v>Gigabox</v>
      </c>
      <c r="P849" t="str">
        <f>VLOOKUP(A849, Data_Set_2!$A:$D,4,FALSE)</f>
        <v>Recruiting Manager</v>
      </c>
      <c r="Q849" t="str">
        <f>_xlfn.CONCAT(Table3[[#This Row],[first_name]], " ",Table3[[#This Row],[last_name]])</f>
        <v>Anne Howard</v>
      </c>
    </row>
    <row r="850" spans="1:17" hidden="1" x14ac:dyDescent="0.3">
      <c r="A850">
        <v>562</v>
      </c>
      <c r="B850" t="s">
        <v>252</v>
      </c>
      <c r="C850" t="s">
        <v>272</v>
      </c>
      <c r="D850" t="s">
        <v>342</v>
      </c>
      <c r="E850" t="s">
        <v>16</v>
      </c>
      <c r="F850" t="s">
        <v>33</v>
      </c>
      <c r="G850" s="1">
        <v>464</v>
      </c>
      <c r="H850" t="s">
        <v>26</v>
      </c>
      <c r="I850" s="2">
        <v>43248</v>
      </c>
      <c r="J850" t="s">
        <v>230</v>
      </c>
      <c r="K850" t="s">
        <v>231</v>
      </c>
      <c r="L850">
        <v>27615</v>
      </c>
      <c r="M850" t="s">
        <v>21</v>
      </c>
      <c r="N850" t="str">
        <f>VLOOKUP(A850, Data_Set_2!$A:$D,2,FALSE)</f>
        <v>jboydfl</v>
      </c>
      <c r="O850" t="str">
        <f>VLOOKUP(A850, Data_Set_2!$A:$D,3,FALSE)</f>
        <v>Riffpath</v>
      </c>
      <c r="P850" t="str">
        <f>VLOOKUP(A850, Data_Set_2!$A:$D,4,FALSE)</f>
        <v>Database Administrator II</v>
      </c>
      <c r="Q850" t="str">
        <f>_xlfn.CONCAT(Table3[[#This Row],[first_name]], " ",Table3[[#This Row],[last_name]])</f>
        <v>Joshua Boyd</v>
      </c>
    </row>
    <row r="851" spans="1:17" hidden="1" x14ac:dyDescent="0.3">
      <c r="A851">
        <v>563</v>
      </c>
      <c r="B851" t="s">
        <v>726</v>
      </c>
      <c r="C851" t="s">
        <v>883</v>
      </c>
      <c r="D851" t="s">
        <v>884</v>
      </c>
      <c r="E851" t="s">
        <v>16</v>
      </c>
      <c r="F851" t="s">
        <v>17</v>
      </c>
      <c r="G851" s="1">
        <v>583</v>
      </c>
      <c r="H851" t="s">
        <v>26</v>
      </c>
      <c r="I851" s="2">
        <v>43946</v>
      </c>
      <c r="J851" t="s">
        <v>220</v>
      </c>
      <c r="K851" t="s">
        <v>295</v>
      </c>
      <c r="L851">
        <v>98127</v>
      </c>
      <c r="M851" t="s">
        <v>21</v>
      </c>
      <c r="N851" t="str">
        <f>VLOOKUP(A851, Data_Set_2!$A:$D,2,FALSE)</f>
        <v>crobertsfm</v>
      </c>
      <c r="O851" t="str">
        <f>VLOOKUP(A851, Data_Set_2!$A:$D,3,FALSE)</f>
        <v>Twiyo</v>
      </c>
      <c r="P851" t="str">
        <f>VLOOKUP(A851, Data_Set_2!$A:$D,4,FALSE)</f>
        <v>Research Nurse</v>
      </c>
      <c r="Q851" t="str">
        <f>_xlfn.CONCAT(Table3[[#This Row],[first_name]], " ",Table3[[#This Row],[last_name]])</f>
        <v>Clarence Roberts</v>
      </c>
    </row>
    <row r="852" spans="1:17" hidden="1" x14ac:dyDescent="0.3">
      <c r="A852">
        <v>564</v>
      </c>
      <c r="B852" t="s">
        <v>13</v>
      </c>
      <c r="C852" t="s">
        <v>357</v>
      </c>
      <c r="D852" t="s">
        <v>952</v>
      </c>
      <c r="E852" t="s">
        <v>16</v>
      </c>
      <c r="F852" t="s">
        <v>17</v>
      </c>
      <c r="G852" s="1">
        <v>11</v>
      </c>
      <c r="H852" t="s">
        <v>26</v>
      </c>
      <c r="I852" s="2">
        <v>44102</v>
      </c>
      <c r="J852" t="s">
        <v>68</v>
      </c>
      <c r="K852" t="s">
        <v>953</v>
      </c>
      <c r="L852">
        <v>75185</v>
      </c>
      <c r="M852" t="s">
        <v>21</v>
      </c>
      <c r="N852" t="str">
        <f>VLOOKUP(A852, Data_Set_2!$A:$D,2,FALSE)</f>
        <v>staylorfn</v>
      </c>
      <c r="O852" t="str">
        <f>VLOOKUP(A852, Data_Set_2!$A:$D,3,FALSE)</f>
        <v>Centizu</v>
      </c>
      <c r="P852" t="str">
        <f>VLOOKUP(A852, Data_Set_2!$A:$D,4,FALSE)</f>
        <v>Senior Quality Engineer</v>
      </c>
      <c r="Q852" t="str">
        <f>_xlfn.CONCAT(Table3[[#This Row],[first_name]], " ",Table3[[#This Row],[last_name]])</f>
        <v>Shawn Taylor</v>
      </c>
    </row>
    <row r="853" spans="1:17" hidden="1" x14ac:dyDescent="0.3">
      <c r="A853">
        <v>565</v>
      </c>
      <c r="B853" t="s">
        <v>194</v>
      </c>
      <c r="C853" t="s">
        <v>202</v>
      </c>
      <c r="D853" t="s">
        <v>203</v>
      </c>
      <c r="E853" t="s">
        <v>32</v>
      </c>
      <c r="F853" t="s">
        <v>33</v>
      </c>
      <c r="G853" s="1">
        <v>245</v>
      </c>
      <c r="H853" t="s">
        <v>62</v>
      </c>
      <c r="I853" s="2">
        <v>43165</v>
      </c>
      <c r="J853" t="s">
        <v>204</v>
      </c>
      <c r="K853" t="s">
        <v>205</v>
      </c>
      <c r="L853">
        <v>22405</v>
      </c>
      <c r="M853" t="s">
        <v>21</v>
      </c>
      <c r="N853" t="str">
        <f>VLOOKUP(A853, Data_Set_2!$A:$D,2,FALSE)</f>
        <v>ekennedyfo</v>
      </c>
      <c r="O853" t="str">
        <f>VLOOKUP(A853, Data_Set_2!$A:$D,3,FALSE)</f>
        <v>Photojam</v>
      </c>
      <c r="P853" t="str">
        <f>VLOOKUP(A853, Data_Set_2!$A:$D,4,FALSE)</f>
        <v>Structural Engineer</v>
      </c>
      <c r="Q853" t="str">
        <f>_xlfn.CONCAT(Table3[[#This Row],[first_name]], " ",Table3[[#This Row],[last_name]])</f>
        <v>Evelyn Kennedy</v>
      </c>
    </row>
    <row r="854" spans="1:17" hidden="1" x14ac:dyDescent="0.3">
      <c r="A854">
        <v>566</v>
      </c>
      <c r="B854" t="s">
        <v>235</v>
      </c>
      <c r="C854" t="s">
        <v>800</v>
      </c>
      <c r="D854" t="s">
        <v>957</v>
      </c>
      <c r="E854" t="s">
        <v>32</v>
      </c>
      <c r="F854" t="s">
        <v>17</v>
      </c>
      <c r="G854" s="1">
        <v>327</v>
      </c>
      <c r="H854" t="s">
        <v>4036</v>
      </c>
      <c r="I854" s="2">
        <v>44118</v>
      </c>
      <c r="J854" t="s">
        <v>58</v>
      </c>
      <c r="K854" t="s">
        <v>632</v>
      </c>
      <c r="L854">
        <v>66276</v>
      </c>
      <c r="M854" t="s">
        <v>21</v>
      </c>
      <c r="N854" t="str">
        <f>VLOOKUP(A854, Data_Set_2!$A:$D,2,FALSE)</f>
        <v>scoxfp</v>
      </c>
      <c r="O854" t="str">
        <f>VLOOKUP(A854, Data_Set_2!$A:$D,3,FALSE)</f>
        <v>Quimm</v>
      </c>
      <c r="P854" t="str">
        <f>VLOOKUP(A854, Data_Set_2!$A:$D,4,FALSE)</f>
        <v>Structural Engineer</v>
      </c>
      <c r="Q854" t="str">
        <f>_xlfn.CONCAT(Table3[[#This Row],[first_name]], " ",Table3[[#This Row],[last_name]])</f>
        <v>Sarah Cox</v>
      </c>
    </row>
    <row r="855" spans="1:17" hidden="1" x14ac:dyDescent="0.3">
      <c r="A855">
        <v>567</v>
      </c>
      <c r="B855" t="s">
        <v>395</v>
      </c>
      <c r="C855" t="s">
        <v>396</v>
      </c>
      <c r="D855" t="s">
        <v>397</v>
      </c>
      <c r="E855" t="s">
        <v>32</v>
      </c>
      <c r="F855" t="s">
        <v>25</v>
      </c>
      <c r="G855" s="1">
        <v>331</v>
      </c>
      <c r="H855" t="s">
        <v>4036</v>
      </c>
      <c r="I855" s="2">
        <v>43285</v>
      </c>
      <c r="J855" t="s">
        <v>27</v>
      </c>
      <c r="K855" t="s">
        <v>398</v>
      </c>
      <c r="L855">
        <v>80126</v>
      </c>
      <c r="M855" t="s">
        <v>21</v>
      </c>
      <c r="N855" t="str">
        <f>VLOOKUP(A855, Data_Set_2!$A:$D,2,FALSE)</f>
        <v>egordonfq</v>
      </c>
      <c r="O855" t="str">
        <f>VLOOKUP(A855, Data_Set_2!$A:$D,3,FALSE)</f>
        <v>Kanoodle</v>
      </c>
      <c r="P855" t="str">
        <f>VLOOKUP(A855, Data_Set_2!$A:$D,4,FALSE)</f>
        <v>Social Worker</v>
      </c>
      <c r="Q855" t="str">
        <f>_xlfn.CONCAT(Table3[[#This Row],[first_name]], " ",Table3[[#This Row],[last_name]])</f>
        <v>Emily Gordon</v>
      </c>
    </row>
    <row r="856" spans="1:17" hidden="1" x14ac:dyDescent="0.3">
      <c r="A856">
        <v>568</v>
      </c>
      <c r="B856" t="s">
        <v>22</v>
      </c>
      <c r="C856" t="s">
        <v>127</v>
      </c>
      <c r="D856" t="s">
        <v>458</v>
      </c>
      <c r="E856" t="s">
        <v>16</v>
      </c>
      <c r="F856" t="s">
        <v>454</v>
      </c>
      <c r="G856" s="1">
        <v>197</v>
      </c>
      <c r="H856" t="s">
        <v>26</v>
      </c>
      <c r="I856" s="2">
        <v>43337</v>
      </c>
      <c r="J856" t="s">
        <v>393</v>
      </c>
      <c r="K856" t="s">
        <v>459</v>
      </c>
      <c r="L856">
        <v>37228</v>
      </c>
      <c r="M856" t="s">
        <v>21</v>
      </c>
      <c r="N856" t="str">
        <f>VLOOKUP(A856, Data_Set_2!$A:$D,2,FALSE)</f>
        <v>arayfr</v>
      </c>
      <c r="O856" t="str">
        <f>VLOOKUP(A856, Data_Set_2!$A:$D,3,FALSE)</f>
        <v>Innojam</v>
      </c>
      <c r="P856" t="str">
        <f>VLOOKUP(A856, Data_Set_2!$A:$D,4,FALSE)</f>
        <v>Database Administrator III</v>
      </c>
      <c r="Q856" t="str">
        <f>_xlfn.CONCAT(Table3[[#This Row],[first_name]], " ",Table3[[#This Row],[last_name]])</f>
        <v>Albert Ray</v>
      </c>
    </row>
    <row r="857" spans="1:17" hidden="1" x14ac:dyDescent="0.3">
      <c r="A857">
        <v>574</v>
      </c>
      <c r="B857" t="s">
        <v>403</v>
      </c>
      <c r="C857" t="s">
        <v>404</v>
      </c>
      <c r="D857" t="s">
        <v>405</v>
      </c>
      <c r="E857" t="s">
        <v>32</v>
      </c>
      <c r="F857" t="s">
        <v>406</v>
      </c>
      <c r="G857" s="1">
        <v>888</v>
      </c>
      <c r="H857" t="s">
        <v>26</v>
      </c>
      <c r="I857" s="2">
        <v>43292</v>
      </c>
      <c r="J857" t="s">
        <v>138</v>
      </c>
      <c r="K857" t="s">
        <v>139</v>
      </c>
      <c r="L857">
        <v>97206</v>
      </c>
      <c r="M857" t="s">
        <v>21</v>
      </c>
      <c r="N857" t="str">
        <f>VLOOKUP(A857, Data_Set_2!$A:$D,2,FALSE)</f>
        <v>jbennettfx</v>
      </c>
      <c r="O857" t="str">
        <f>VLOOKUP(A857, Data_Set_2!$A:$D,3,FALSE)</f>
        <v>Quinu</v>
      </c>
      <c r="P857" t="str">
        <f>VLOOKUP(A857, Data_Set_2!$A:$D,4,FALSE)</f>
        <v>VP Accounting</v>
      </c>
      <c r="Q857" t="str">
        <f>_xlfn.CONCAT(Table3[[#This Row],[first_name]], " ",Table3[[#This Row],[last_name]])</f>
        <v>Jennifer Bennett</v>
      </c>
    </row>
    <row r="858" spans="1:17" hidden="1" x14ac:dyDescent="0.3">
      <c r="A858">
        <v>576</v>
      </c>
      <c r="B858" t="s">
        <v>277</v>
      </c>
      <c r="C858" t="s">
        <v>278</v>
      </c>
      <c r="D858" t="s">
        <v>279</v>
      </c>
      <c r="E858" t="s">
        <v>16</v>
      </c>
      <c r="F858" t="s">
        <v>280</v>
      </c>
      <c r="G858" s="1">
        <v>380</v>
      </c>
      <c r="H858" t="s">
        <v>83</v>
      </c>
      <c r="I858" s="2">
        <v>43207</v>
      </c>
      <c r="J858" t="s">
        <v>19</v>
      </c>
      <c r="K858" t="s">
        <v>247</v>
      </c>
      <c r="L858">
        <v>1129</v>
      </c>
      <c r="M858" t="s">
        <v>21</v>
      </c>
      <c r="N858" t="str">
        <f>VLOOKUP(A858, Data_Set_2!$A:$D,2,FALSE)</f>
        <v>jhayesfz</v>
      </c>
      <c r="O858" t="str">
        <f>VLOOKUP(A858, Data_Set_2!$A:$D,3,FALSE)</f>
        <v>Photobean</v>
      </c>
      <c r="P858" t="str">
        <f>VLOOKUP(A858, Data_Set_2!$A:$D,4,FALSE)</f>
        <v>Engineer I</v>
      </c>
      <c r="Q858" t="str">
        <f>_xlfn.CONCAT(Table3[[#This Row],[first_name]], " ",Table3[[#This Row],[last_name]])</f>
        <v>Joe Hayes</v>
      </c>
    </row>
    <row r="859" spans="1:17" hidden="1" x14ac:dyDescent="0.3">
      <c r="A859">
        <v>576</v>
      </c>
      <c r="B859" t="s">
        <v>277</v>
      </c>
      <c r="C859" t="s">
        <v>278</v>
      </c>
      <c r="D859" t="s">
        <v>279</v>
      </c>
      <c r="E859" t="s">
        <v>16</v>
      </c>
      <c r="F859" t="s">
        <v>280</v>
      </c>
      <c r="G859" s="1">
        <v>732</v>
      </c>
      <c r="H859" t="s">
        <v>83</v>
      </c>
      <c r="I859" s="2">
        <v>43317</v>
      </c>
      <c r="J859" t="s">
        <v>19</v>
      </c>
      <c r="K859" t="s">
        <v>247</v>
      </c>
      <c r="L859">
        <v>1129</v>
      </c>
      <c r="M859" t="s">
        <v>21</v>
      </c>
      <c r="N859" t="str">
        <f>VLOOKUP(A859, Data_Set_2!$A:$D,2,FALSE)</f>
        <v>jhayesfz</v>
      </c>
      <c r="O859" t="str">
        <f>VLOOKUP(A859, Data_Set_2!$A:$D,3,FALSE)</f>
        <v>Photobean</v>
      </c>
      <c r="P859" t="str">
        <f>VLOOKUP(A859, Data_Set_2!$A:$D,4,FALSE)</f>
        <v>Engineer I</v>
      </c>
      <c r="Q859" t="str">
        <f>_xlfn.CONCAT(Table3[[#This Row],[first_name]], " ",Table3[[#This Row],[last_name]])</f>
        <v>Joe Hayes</v>
      </c>
    </row>
    <row r="860" spans="1:17" hidden="1" x14ac:dyDescent="0.3">
      <c r="A860">
        <v>576</v>
      </c>
      <c r="B860" t="s">
        <v>277</v>
      </c>
      <c r="C860" t="s">
        <v>278</v>
      </c>
      <c r="D860" t="s">
        <v>279</v>
      </c>
      <c r="E860" t="s">
        <v>16</v>
      </c>
      <c r="F860" t="s">
        <v>280</v>
      </c>
      <c r="G860" s="1">
        <v>588</v>
      </c>
      <c r="H860" t="s">
        <v>83</v>
      </c>
      <c r="I860" s="2">
        <v>43596</v>
      </c>
      <c r="J860" t="s">
        <v>19</v>
      </c>
      <c r="K860" t="s">
        <v>247</v>
      </c>
      <c r="L860">
        <v>1129</v>
      </c>
      <c r="M860" t="s">
        <v>21</v>
      </c>
      <c r="N860" t="str">
        <f>VLOOKUP(A860, Data_Set_2!$A:$D,2,FALSE)</f>
        <v>jhayesfz</v>
      </c>
      <c r="O860" t="str">
        <f>VLOOKUP(A860, Data_Set_2!$A:$D,3,FALSE)</f>
        <v>Photobean</v>
      </c>
      <c r="P860" t="str">
        <f>VLOOKUP(A860, Data_Set_2!$A:$D,4,FALSE)</f>
        <v>Engineer I</v>
      </c>
      <c r="Q860" t="str">
        <f>_xlfn.CONCAT(Table3[[#This Row],[first_name]], " ",Table3[[#This Row],[last_name]])</f>
        <v>Joe Hayes</v>
      </c>
    </row>
    <row r="861" spans="1:17" hidden="1" x14ac:dyDescent="0.3">
      <c r="A861">
        <v>576</v>
      </c>
      <c r="B861" t="s">
        <v>277</v>
      </c>
      <c r="C861" t="s">
        <v>278</v>
      </c>
      <c r="D861" t="s">
        <v>279</v>
      </c>
      <c r="E861" t="s">
        <v>16</v>
      </c>
      <c r="F861" t="s">
        <v>280</v>
      </c>
      <c r="G861" s="1">
        <v>46</v>
      </c>
      <c r="H861" t="s">
        <v>83</v>
      </c>
      <c r="I861" s="2">
        <v>43731</v>
      </c>
      <c r="J861" t="s">
        <v>19</v>
      </c>
      <c r="K861" t="s">
        <v>247</v>
      </c>
      <c r="L861">
        <v>1129</v>
      </c>
      <c r="M861" t="s">
        <v>21</v>
      </c>
      <c r="N861" t="str">
        <f>VLOOKUP(A861, Data_Set_2!$A:$D,2,FALSE)</f>
        <v>jhayesfz</v>
      </c>
      <c r="O861" t="str">
        <f>VLOOKUP(A861, Data_Set_2!$A:$D,3,FALSE)</f>
        <v>Photobean</v>
      </c>
      <c r="P861" t="str">
        <f>VLOOKUP(A861, Data_Set_2!$A:$D,4,FALSE)</f>
        <v>Engineer I</v>
      </c>
      <c r="Q861" t="str">
        <f>_xlfn.CONCAT(Table3[[#This Row],[first_name]], " ",Table3[[#This Row],[last_name]])</f>
        <v>Joe Hayes</v>
      </c>
    </row>
    <row r="862" spans="1:17" hidden="1" x14ac:dyDescent="0.3">
      <c r="A862">
        <v>576</v>
      </c>
      <c r="B862" t="s">
        <v>277</v>
      </c>
      <c r="C862" t="s">
        <v>278</v>
      </c>
      <c r="D862" t="s">
        <v>279</v>
      </c>
      <c r="E862" t="s">
        <v>16</v>
      </c>
      <c r="F862" t="s">
        <v>280</v>
      </c>
      <c r="G862" s="1">
        <v>669</v>
      </c>
      <c r="H862" t="s">
        <v>83</v>
      </c>
      <c r="I862" s="2">
        <v>44759</v>
      </c>
      <c r="J862" t="s">
        <v>19</v>
      </c>
      <c r="K862" t="s">
        <v>247</v>
      </c>
      <c r="L862">
        <v>1129</v>
      </c>
      <c r="M862" t="s">
        <v>21</v>
      </c>
      <c r="N862" t="str">
        <f>VLOOKUP(A862, Data_Set_2!$A:$D,2,FALSE)</f>
        <v>jhayesfz</v>
      </c>
      <c r="O862" t="str">
        <f>VLOOKUP(A862, Data_Set_2!$A:$D,3,FALSE)</f>
        <v>Photobean</v>
      </c>
      <c r="P862" t="str">
        <f>VLOOKUP(A862, Data_Set_2!$A:$D,4,FALSE)</f>
        <v>Engineer I</v>
      </c>
      <c r="Q862" t="str">
        <f>_xlfn.CONCAT(Table3[[#This Row],[first_name]], " ",Table3[[#This Row],[last_name]])</f>
        <v>Joe Hayes</v>
      </c>
    </row>
    <row r="863" spans="1:17" hidden="1" x14ac:dyDescent="0.3">
      <c r="A863">
        <v>576</v>
      </c>
      <c r="B863" t="s">
        <v>277</v>
      </c>
      <c r="C863" t="s">
        <v>278</v>
      </c>
      <c r="D863" t="s">
        <v>279</v>
      </c>
      <c r="E863" t="s">
        <v>16</v>
      </c>
      <c r="F863" t="s">
        <v>280</v>
      </c>
      <c r="G863" s="1">
        <v>447</v>
      </c>
      <c r="H863" t="s">
        <v>83</v>
      </c>
      <c r="I863" s="2">
        <v>44802</v>
      </c>
      <c r="J863" t="s">
        <v>19</v>
      </c>
      <c r="K863" t="s">
        <v>247</v>
      </c>
      <c r="L863">
        <v>1129</v>
      </c>
      <c r="M863" t="s">
        <v>21</v>
      </c>
      <c r="N863" t="str">
        <f>VLOOKUP(A863, Data_Set_2!$A:$D,2,FALSE)</f>
        <v>jhayesfz</v>
      </c>
      <c r="O863" t="str">
        <f>VLOOKUP(A863, Data_Set_2!$A:$D,3,FALSE)</f>
        <v>Photobean</v>
      </c>
      <c r="P863" t="str">
        <f>VLOOKUP(A863, Data_Set_2!$A:$D,4,FALSE)</f>
        <v>Engineer I</v>
      </c>
      <c r="Q863" t="str">
        <f>_xlfn.CONCAT(Table3[[#This Row],[first_name]], " ",Table3[[#This Row],[last_name]])</f>
        <v>Joe Hayes</v>
      </c>
    </row>
    <row r="864" spans="1:17" hidden="1" x14ac:dyDescent="0.3">
      <c r="A864">
        <v>576</v>
      </c>
      <c r="B864" t="s">
        <v>277</v>
      </c>
      <c r="C864" t="s">
        <v>278</v>
      </c>
      <c r="D864" t="s">
        <v>279</v>
      </c>
      <c r="E864" t="s">
        <v>16</v>
      </c>
      <c r="F864" t="s">
        <v>280</v>
      </c>
      <c r="G864" s="1">
        <v>687</v>
      </c>
      <c r="H864" t="s">
        <v>83</v>
      </c>
      <c r="I864" s="2">
        <v>44873</v>
      </c>
      <c r="J864" t="s">
        <v>19</v>
      </c>
      <c r="K864" t="s">
        <v>247</v>
      </c>
      <c r="L864">
        <v>1129</v>
      </c>
      <c r="M864" t="s">
        <v>21</v>
      </c>
      <c r="N864" t="str">
        <f>VLOOKUP(A864, Data_Set_2!$A:$D,2,FALSE)</f>
        <v>jhayesfz</v>
      </c>
      <c r="O864" t="str">
        <f>VLOOKUP(A864, Data_Set_2!$A:$D,3,FALSE)</f>
        <v>Photobean</v>
      </c>
      <c r="P864" t="str">
        <f>VLOOKUP(A864, Data_Set_2!$A:$D,4,FALSE)</f>
        <v>Engineer I</v>
      </c>
      <c r="Q864" t="str">
        <f>_xlfn.CONCAT(Table3[[#This Row],[first_name]], " ",Table3[[#This Row],[last_name]])</f>
        <v>Joe Hayes</v>
      </c>
    </row>
    <row r="865" spans="1:17" hidden="1" x14ac:dyDescent="0.3">
      <c r="A865">
        <v>577</v>
      </c>
      <c r="B865" t="s">
        <v>680</v>
      </c>
      <c r="C865" t="s">
        <v>433</v>
      </c>
      <c r="D865" t="s">
        <v>962</v>
      </c>
      <c r="E865" t="s">
        <v>16</v>
      </c>
      <c r="F865" t="s">
        <v>33</v>
      </c>
      <c r="G865" s="1">
        <v>832</v>
      </c>
      <c r="H865" t="s">
        <v>26</v>
      </c>
      <c r="I865" s="2">
        <v>44129</v>
      </c>
      <c r="J865" t="s">
        <v>230</v>
      </c>
      <c r="K865" t="s">
        <v>963</v>
      </c>
      <c r="L865">
        <v>27150</v>
      </c>
      <c r="M865" t="s">
        <v>21</v>
      </c>
      <c r="N865" t="str">
        <f>VLOOKUP(A865, Data_Set_2!$A:$D,2,FALSE)</f>
        <v>jcunninghamg0</v>
      </c>
      <c r="O865" t="str">
        <f>VLOOKUP(A865, Data_Set_2!$A:$D,3,FALSE)</f>
        <v>Dazzlesphere</v>
      </c>
      <c r="P865" t="str">
        <f>VLOOKUP(A865, Data_Set_2!$A:$D,4,FALSE)</f>
        <v>Computer Systems Analyst II</v>
      </c>
      <c r="Q865" t="str">
        <f>_xlfn.CONCAT(Table3[[#This Row],[first_name]], " ",Table3[[#This Row],[last_name]])</f>
        <v>John Cunningham</v>
      </c>
    </row>
    <row r="866" spans="1:17" hidden="1" x14ac:dyDescent="0.3">
      <c r="A866">
        <v>579</v>
      </c>
      <c r="B866" t="s">
        <v>198</v>
      </c>
      <c r="C866" t="s">
        <v>199</v>
      </c>
      <c r="D866" t="s">
        <v>200</v>
      </c>
      <c r="E866" t="s">
        <v>16</v>
      </c>
      <c r="F866" t="s">
        <v>51</v>
      </c>
      <c r="G866" s="1">
        <v>508</v>
      </c>
      <c r="H866" t="s">
        <v>26</v>
      </c>
      <c r="I866" s="2">
        <v>43163</v>
      </c>
      <c r="J866" t="s">
        <v>74</v>
      </c>
      <c r="K866" t="s">
        <v>201</v>
      </c>
      <c r="L866">
        <v>30610</v>
      </c>
      <c r="M866" t="s">
        <v>21</v>
      </c>
      <c r="N866" t="str">
        <f>VLOOKUP(A866, Data_Set_2!$A:$D,2,FALSE)</f>
        <v>afrazierg2</v>
      </c>
      <c r="O866" t="str">
        <f>VLOOKUP(A866, Data_Set_2!$A:$D,3,FALSE)</f>
        <v>Fliptune</v>
      </c>
      <c r="P866" t="str">
        <f>VLOOKUP(A866, Data_Set_2!$A:$D,4,FALSE)</f>
        <v>Cost Accountant</v>
      </c>
      <c r="Q866" t="str">
        <f>_xlfn.CONCAT(Table3[[#This Row],[first_name]], " ",Table3[[#This Row],[last_name]])</f>
        <v>Anthony Frazier</v>
      </c>
    </row>
    <row r="867" spans="1:17" hidden="1" x14ac:dyDescent="0.3">
      <c r="A867">
        <v>579</v>
      </c>
      <c r="B867" t="s">
        <v>198</v>
      </c>
      <c r="C867" t="s">
        <v>199</v>
      </c>
      <c r="D867" t="s">
        <v>200</v>
      </c>
      <c r="E867" t="s">
        <v>16</v>
      </c>
      <c r="F867" t="s">
        <v>51</v>
      </c>
      <c r="G867" s="1">
        <v>998</v>
      </c>
      <c r="H867" t="s">
        <v>26</v>
      </c>
      <c r="I867" s="2">
        <v>43243</v>
      </c>
      <c r="J867" t="s">
        <v>74</v>
      </c>
      <c r="K867" t="s">
        <v>201</v>
      </c>
      <c r="L867">
        <v>30610</v>
      </c>
      <c r="M867" t="s">
        <v>21</v>
      </c>
      <c r="N867" t="str">
        <f>VLOOKUP(A867, Data_Set_2!$A:$D,2,FALSE)</f>
        <v>afrazierg2</v>
      </c>
      <c r="O867" t="str">
        <f>VLOOKUP(A867, Data_Set_2!$A:$D,3,FALSE)</f>
        <v>Fliptune</v>
      </c>
      <c r="P867" t="str">
        <f>VLOOKUP(A867, Data_Set_2!$A:$D,4,FALSE)</f>
        <v>Cost Accountant</v>
      </c>
      <c r="Q867" t="str">
        <f>_xlfn.CONCAT(Table3[[#This Row],[first_name]], " ",Table3[[#This Row],[last_name]])</f>
        <v>Anthony Frazier</v>
      </c>
    </row>
    <row r="868" spans="1:17" hidden="1" x14ac:dyDescent="0.3">
      <c r="A868">
        <v>579</v>
      </c>
      <c r="B868" t="s">
        <v>198</v>
      </c>
      <c r="C868" t="s">
        <v>199</v>
      </c>
      <c r="D868" t="s">
        <v>200</v>
      </c>
      <c r="E868" t="s">
        <v>16</v>
      </c>
      <c r="F868" t="s">
        <v>51</v>
      </c>
      <c r="G868" s="1">
        <v>192</v>
      </c>
      <c r="H868" t="s">
        <v>26</v>
      </c>
      <c r="I868" s="2">
        <v>44607</v>
      </c>
      <c r="J868" t="s">
        <v>74</v>
      </c>
      <c r="K868" t="s">
        <v>201</v>
      </c>
      <c r="L868">
        <v>30610</v>
      </c>
      <c r="M868" t="s">
        <v>21</v>
      </c>
      <c r="N868" t="str">
        <f>VLOOKUP(A868, Data_Set_2!$A:$D,2,FALSE)</f>
        <v>afrazierg2</v>
      </c>
      <c r="O868" t="str">
        <f>VLOOKUP(A868, Data_Set_2!$A:$D,3,FALSE)</f>
        <v>Fliptune</v>
      </c>
      <c r="P868" t="str">
        <f>VLOOKUP(A868, Data_Set_2!$A:$D,4,FALSE)</f>
        <v>Cost Accountant</v>
      </c>
      <c r="Q868" t="str">
        <f>_xlfn.CONCAT(Table3[[#This Row],[first_name]], " ",Table3[[#This Row],[last_name]])</f>
        <v>Anthony Frazier</v>
      </c>
    </row>
    <row r="869" spans="1:17" hidden="1" x14ac:dyDescent="0.3">
      <c r="A869">
        <v>579</v>
      </c>
      <c r="B869" t="s">
        <v>198</v>
      </c>
      <c r="C869" t="s">
        <v>199</v>
      </c>
      <c r="D869" t="s">
        <v>200</v>
      </c>
      <c r="E869" t="s">
        <v>16</v>
      </c>
      <c r="F869" t="s">
        <v>51</v>
      </c>
      <c r="G869" s="1">
        <v>265</v>
      </c>
      <c r="H869" t="s">
        <v>26</v>
      </c>
      <c r="I869" s="2">
        <v>44780</v>
      </c>
      <c r="J869" t="s">
        <v>74</v>
      </c>
      <c r="K869" t="s">
        <v>201</v>
      </c>
      <c r="L869">
        <v>30610</v>
      </c>
      <c r="M869" t="s">
        <v>21</v>
      </c>
      <c r="N869" t="str">
        <f>VLOOKUP(A869, Data_Set_2!$A:$D,2,FALSE)</f>
        <v>afrazierg2</v>
      </c>
      <c r="O869" t="str">
        <f>VLOOKUP(A869, Data_Set_2!$A:$D,3,FALSE)</f>
        <v>Fliptune</v>
      </c>
      <c r="P869" t="str">
        <f>VLOOKUP(A869, Data_Set_2!$A:$D,4,FALSE)</f>
        <v>Cost Accountant</v>
      </c>
      <c r="Q869" t="str">
        <f>_xlfn.CONCAT(Table3[[#This Row],[first_name]], " ",Table3[[#This Row],[last_name]])</f>
        <v>Anthony Frazier</v>
      </c>
    </row>
    <row r="870" spans="1:17" hidden="1" x14ac:dyDescent="0.3">
      <c r="A870">
        <v>580</v>
      </c>
      <c r="B870" t="s">
        <v>154</v>
      </c>
      <c r="C870" t="s">
        <v>496</v>
      </c>
      <c r="D870" t="s">
        <v>901</v>
      </c>
      <c r="E870" t="s">
        <v>16</v>
      </c>
      <c r="F870" t="s">
        <v>25</v>
      </c>
      <c r="G870" s="1">
        <v>521</v>
      </c>
      <c r="H870" t="s">
        <v>109</v>
      </c>
      <c r="I870" s="2">
        <v>44006</v>
      </c>
      <c r="J870" t="s">
        <v>152</v>
      </c>
      <c r="K870" t="s">
        <v>571</v>
      </c>
      <c r="L870">
        <v>44185</v>
      </c>
      <c r="M870" t="s">
        <v>21</v>
      </c>
      <c r="N870" t="str">
        <f>VLOOKUP(A870, Data_Set_2!$A:$D,2,FALSE)</f>
        <v>wcruzg3</v>
      </c>
      <c r="O870" t="str">
        <f>VLOOKUP(A870, Data_Set_2!$A:$D,3,FALSE)</f>
        <v>Twinte</v>
      </c>
      <c r="P870" t="str">
        <f>VLOOKUP(A870, Data_Set_2!$A:$D,4,FALSE)</f>
        <v>Pharmacist</v>
      </c>
      <c r="Q870" t="str">
        <f>_xlfn.CONCAT(Table3[[#This Row],[first_name]], " ",Table3[[#This Row],[last_name]])</f>
        <v>Wayne Cruz</v>
      </c>
    </row>
    <row r="871" spans="1:17" hidden="1" x14ac:dyDescent="0.3">
      <c r="A871">
        <v>580</v>
      </c>
      <c r="B871" t="s">
        <v>154</v>
      </c>
      <c r="C871" t="s">
        <v>496</v>
      </c>
      <c r="D871" t="s">
        <v>901</v>
      </c>
      <c r="E871" t="s">
        <v>16</v>
      </c>
      <c r="F871" t="s">
        <v>25</v>
      </c>
      <c r="G871" s="1">
        <v>634</v>
      </c>
      <c r="H871" t="s">
        <v>109</v>
      </c>
      <c r="I871" s="2">
        <v>44334</v>
      </c>
      <c r="J871" t="s">
        <v>152</v>
      </c>
      <c r="K871" t="s">
        <v>571</v>
      </c>
      <c r="L871">
        <v>44185</v>
      </c>
      <c r="M871" t="s">
        <v>21</v>
      </c>
      <c r="N871" t="str">
        <f>VLOOKUP(A871, Data_Set_2!$A:$D,2,FALSE)</f>
        <v>wcruzg3</v>
      </c>
      <c r="O871" t="str">
        <f>VLOOKUP(A871, Data_Set_2!$A:$D,3,FALSE)</f>
        <v>Twinte</v>
      </c>
      <c r="P871" t="str">
        <f>VLOOKUP(A871, Data_Set_2!$A:$D,4,FALSE)</f>
        <v>Pharmacist</v>
      </c>
      <c r="Q871" t="str">
        <f>_xlfn.CONCAT(Table3[[#This Row],[first_name]], " ",Table3[[#This Row],[last_name]])</f>
        <v>Wayne Cruz</v>
      </c>
    </row>
    <row r="872" spans="1:17" hidden="1" x14ac:dyDescent="0.3">
      <c r="A872">
        <v>581</v>
      </c>
      <c r="B872" t="s">
        <v>356</v>
      </c>
      <c r="C872" t="s">
        <v>754</v>
      </c>
      <c r="D872" t="s">
        <v>755</v>
      </c>
      <c r="E872" t="s">
        <v>32</v>
      </c>
      <c r="F872" t="s">
        <v>33</v>
      </c>
      <c r="G872" s="1">
        <v>803</v>
      </c>
      <c r="H872" t="s">
        <v>26</v>
      </c>
      <c r="I872" s="2">
        <v>43704</v>
      </c>
      <c r="J872" t="s">
        <v>563</v>
      </c>
      <c r="K872" t="s">
        <v>564</v>
      </c>
      <c r="L872">
        <v>83716</v>
      </c>
      <c r="M872" t="s">
        <v>21</v>
      </c>
      <c r="N872" t="str">
        <f>VLOOKUP(A872, Data_Set_2!$A:$D,2,FALSE)</f>
        <v>arodriguezg4</v>
      </c>
      <c r="O872" t="str">
        <f>VLOOKUP(A872, Data_Set_2!$A:$D,3,FALSE)</f>
        <v>Rhycero</v>
      </c>
      <c r="P872" t="str">
        <f>VLOOKUP(A872, Data_Set_2!$A:$D,4,FALSE)</f>
        <v>Staff Accountant II</v>
      </c>
      <c r="Q872" t="str">
        <f>_xlfn.CONCAT(Table3[[#This Row],[first_name]], " ",Table3[[#This Row],[last_name]])</f>
        <v>Ashley Rodriguez</v>
      </c>
    </row>
    <row r="873" spans="1:17" hidden="1" x14ac:dyDescent="0.3">
      <c r="A873">
        <v>581</v>
      </c>
      <c r="B873" t="s">
        <v>356</v>
      </c>
      <c r="C873" t="s">
        <v>754</v>
      </c>
      <c r="D873" t="s">
        <v>755</v>
      </c>
      <c r="E873" t="s">
        <v>32</v>
      </c>
      <c r="F873" t="s">
        <v>33</v>
      </c>
      <c r="G873" s="1">
        <v>259</v>
      </c>
      <c r="H873" t="s">
        <v>26</v>
      </c>
      <c r="I873" s="2">
        <v>44147</v>
      </c>
      <c r="J873" t="s">
        <v>563</v>
      </c>
      <c r="K873" t="s">
        <v>564</v>
      </c>
      <c r="L873">
        <v>83716</v>
      </c>
      <c r="M873" t="s">
        <v>21</v>
      </c>
      <c r="N873" t="str">
        <f>VLOOKUP(A873, Data_Set_2!$A:$D,2,FALSE)</f>
        <v>arodriguezg4</v>
      </c>
      <c r="O873" t="str">
        <f>VLOOKUP(A873, Data_Set_2!$A:$D,3,FALSE)</f>
        <v>Rhycero</v>
      </c>
      <c r="P873" t="str">
        <f>VLOOKUP(A873, Data_Set_2!$A:$D,4,FALSE)</f>
        <v>Staff Accountant II</v>
      </c>
      <c r="Q873" t="str">
        <f>_xlfn.CONCAT(Table3[[#This Row],[first_name]], " ",Table3[[#This Row],[last_name]])</f>
        <v>Ashley Rodriguez</v>
      </c>
    </row>
    <row r="874" spans="1:17" hidden="1" x14ac:dyDescent="0.3">
      <c r="A874">
        <v>581</v>
      </c>
      <c r="B874" t="s">
        <v>356</v>
      </c>
      <c r="C874" t="s">
        <v>754</v>
      </c>
      <c r="D874" t="s">
        <v>755</v>
      </c>
      <c r="E874" t="s">
        <v>32</v>
      </c>
      <c r="F874" t="s">
        <v>33</v>
      </c>
      <c r="G874" s="1">
        <v>282</v>
      </c>
      <c r="H874" t="s">
        <v>26</v>
      </c>
      <c r="I874" s="2">
        <v>44773</v>
      </c>
      <c r="J874" t="s">
        <v>563</v>
      </c>
      <c r="K874" t="s">
        <v>564</v>
      </c>
      <c r="L874">
        <v>83716</v>
      </c>
      <c r="M874" t="s">
        <v>21</v>
      </c>
      <c r="N874" t="str">
        <f>VLOOKUP(A874, Data_Set_2!$A:$D,2,FALSE)</f>
        <v>arodriguezg4</v>
      </c>
      <c r="O874" t="str">
        <f>VLOOKUP(A874, Data_Set_2!$A:$D,3,FALSE)</f>
        <v>Rhycero</v>
      </c>
      <c r="P874" t="str">
        <f>VLOOKUP(A874, Data_Set_2!$A:$D,4,FALSE)</f>
        <v>Staff Accountant II</v>
      </c>
      <c r="Q874" t="str">
        <f>_xlfn.CONCAT(Table3[[#This Row],[first_name]], " ",Table3[[#This Row],[last_name]])</f>
        <v>Ashley Rodriguez</v>
      </c>
    </row>
    <row r="875" spans="1:17" hidden="1" x14ac:dyDescent="0.3">
      <c r="A875">
        <v>582</v>
      </c>
      <c r="B875" t="s">
        <v>106</v>
      </c>
      <c r="C875" t="s">
        <v>886</v>
      </c>
      <c r="D875" t="s">
        <v>1035</v>
      </c>
      <c r="E875" t="s">
        <v>32</v>
      </c>
      <c r="F875" t="s">
        <v>51</v>
      </c>
      <c r="G875" s="1">
        <v>146</v>
      </c>
      <c r="H875" t="s">
        <v>4034</v>
      </c>
      <c r="I875" s="2">
        <v>44300</v>
      </c>
      <c r="J875" t="s">
        <v>115</v>
      </c>
      <c r="K875" t="s">
        <v>864</v>
      </c>
      <c r="L875">
        <v>33615</v>
      </c>
      <c r="M875" t="s">
        <v>21</v>
      </c>
      <c r="N875" t="str">
        <f>VLOOKUP(A875, Data_Set_2!$A:$D,2,FALSE)</f>
        <v>wdanielsg5</v>
      </c>
      <c r="O875" t="str">
        <f>VLOOKUP(A875, Data_Set_2!$A:$D,3,FALSE)</f>
        <v>Topicstorm</v>
      </c>
      <c r="P875" t="str">
        <f>VLOOKUP(A875, Data_Set_2!$A:$D,4,FALSE)</f>
        <v>Account Coordinator</v>
      </c>
      <c r="Q875" t="str">
        <f>_xlfn.CONCAT(Table3[[#This Row],[first_name]], " ",Table3[[#This Row],[last_name]])</f>
        <v>Wanda Daniels</v>
      </c>
    </row>
    <row r="876" spans="1:17" hidden="1" x14ac:dyDescent="0.3">
      <c r="A876">
        <v>582</v>
      </c>
      <c r="B876" t="s">
        <v>106</v>
      </c>
      <c r="C876" t="s">
        <v>886</v>
      </c>
      <c r="D876" t="s">
        <v>1035</v>
      </c>
      <c r="E876" t="s">
        <v>32</v>
      </c>
      <c r="F876" t="s">
        <v>51</v>
      </c>
      <c r="G876" s="1">
        <v>701</v>
      </c>
      <c r="H876" t="s">
        <v>4034</v>
      </c>
      <c r="I876" s="2">
        <v>44388</v>
      </c>
      <c r="J876" t="s">
        <v>115</v>
      </c>
      <c r="K876" t="s">
        <v>864</v>
      </c>
      <c r="L876">
        <v>33615</v>
      </c>
      <c r="M876" t="s">
        <v>21</v>
      </c>
      <c r="N876" t="str">
        <f>VLOOKUP(A876, Data_Set_2!$A:$D,2,FALSE)</f>
        <v>wdanielsg5</v>
      </c>
      <c r="O876" t="str">
        <f>VLOOKUP(A876, Data_Set_2!$A:$D,3,FALSE)</f>
        <v>Topicstorm</v>
      </c>
      <c r="P876" t="str">
        <f>VLOOKUP(A876, Data_Set_2!$A:$D,4,FALSE)</f>
        <v>Account Coordinator</v>
      </c>
      <c r="Q876" t="str">
        <f>_xlfn.CONCAT(Table3[[#This Row],[first_name]], " ",Table3[[#This Row],[last_name]])</f>
        <v>Wanda Daniels</v>
      </c>
    </row>
    <row r="877" spans="1:17" hidden="1" x14ac:dyDescent="0.3">
      <c r="A877">
        <v>583</v>
      </c>
      <c r="B877" t="s">
        <v>499</v>
      </c>
      <c r="C877" t="s">
        <v>764</v>
      </c>
      <c r="D877" t="s">
        <v>765</v>
      </c>
      <c r="E877" t="s">
        <v>16</v>
      </c>
      <c r="F877" t="s">
        <v>25</v>
      </c>
      <c r="G877" s="1">
        <v>687</v>
      </c>
      <c r="H877" t="s">
        <v>26</v>
      </c>
      <c r="I877" s="2">
        <v>43713</v>
      </c>
      <c r="J877" t="s">
        <v>345</v>
      </c>
      <c r="K877" t="s">
        <v>220</v>
      </c>
      <c r="L877">
        <v>20546</v>
      </c>
      <c r="M877" t="s">
        <v>21</v>
      </c>
      <c r="N877" t="str">
        <f>VLOOKUP(A877, Data_Set_2!$A:$D,2,FALSE)</f>
        <v>jtuckerg6</v>
      </c>
      <c r="O877" t="str">
        <f>VLOOKUP(A877, Data_Set_2!$A:$D,3,FALSE)</f>
        <v>Jabbersphere</v>
      </c>
      <c r="P877" t="str">
        <f>VLOOKUP(A877, Data_Set_2!$A:$D,4,FALSE)</f>
        <v>Media Manager III</v>
      </c>
      <c r="Q877" t="str">
        <f>_xlfn.CONCAT(Table3[[#This Row],[first_name]], " ",Table3[[#This Row],[last_name]])</f>
        <v>Jason Tucker</v>
      </c>
    </row>
    <row r="878" spans="1:17" hidden="1" x14ac:dyDescent="0.3">
      <c r="A878">
        <v>583</v>
      </c>
      <c r="B878" t="s">
        <v>499</v>
      </c>
      <c r="C878" t="s">
        <v>764</v>
      </c>
      <c r="D878" t="s">
        <v>765</v>
      </c>
      <c r="E878" t="s">
        <v>16</v>
      </c>
      <c r="F878" t="s">
        <v>25</v>
      </c>
      <c r="G878" s="1">
        <v>570</v>
      </c>
      <c r="H878" t="s">
        <v>26</v>
      </c>
      <c r="I878" s="2">
        <v>43925</v>
      </c>
      <c r="J878" t="s">
        <v>345</v>
      </c>
      <c r="K878" t="s">
        <v>220</v>
      </c>
      <c r="L878">
        <v>20546</v>
      </c>
      <c r="M878" t="s">
        <v>21</v>
      </c>
      <c r="N878" t="str">
        <f>VLOOKUP(A878, Data_Set_2!$A:$D,2,FALSE)</f>
        <v>jtuckerg6</v>
      </c>
      <c r="O878" t="str">
        <f>VLOOKUP(A878, Data_Set_2!$A:$D,3,FALSE)</f>
        <v>Jabbersphere</v>
      </c>
      <c r="P878" t="str">
        <f>VLOOKUP(A878, Data_Set_2!$A:$D,4,FALSE)</f>
        <v>Media Manager III</v>
      </c>
      <c r="Q878" t="str">
        <f>_xlfn.CONCAT(Table3[[#This Row],[first_name]], " ",Table3[[#This Row],[last_name]])</f>
        <v>Jason Tucker</v>
      </c>
    </row>
    <row r="879" spans="1:17" hidden="1" x14ac:dyDescent="0.3">
      <c r="A879">
        <v>583</v>
      </c>
      <c r="B879" t="s">
        <v>499</v>
      </c>
      <c r="C879" t="s">
        <v>764</v>
      </c>
      <c r="D879" t="s">
        <v>765</v>
      </c>
      <c r="E879" t="s">
        <v>16</v>
      </c>
      <c r="F879" t="s">
        <v>25</v>
      </c>
      <c r="G879" s="1">
        <v>191</v>
      </c>
      <c r="H879" t="s">
        <v>26</v>
      </c>
      <c r="I879" s="2">
        <v>44847</v>
      </c>
      <c r="J879" t="s">
        <v>345</v>
      </c>
      <c r="K879" t="s">
        <v>220</v>
      </c>
      <c r="L879">
        <v>20546</v>
      </c>
      <c r="M879" t="s">
        <v>21</v>
      </c>
      <c r="N879" t="str">
        <f>VLOOKUP(A879, Data_Set_2!$A:$D,2,FALSE)</f>
        <v>jtuckerg6</v>
      </c>
      <c r="O879" t="str">
        <f>VLOOKUP(A879, Data_Set_2!$A:$D,3,FALSE)</f>
        <v>Jabbersphere</v>
      </c>
      <c r="P879" t="str">
        <f>VLOOKUP(A879, Data_Set_2!$A:$D,4,FALSE)</f>
        <v>Media Manager III</v>
      </c>
      <c r="Q879" t="str">
        <f>_xlfn.CONCAT(Table3[[#This Row],[first_name]], " ",Table3[[#This Row],[last_name]])</f>
        <v>Jason Tucker</v>
      </c>
    </row>
    <row r="880" spans="1:17" hidden="1" x14ac:dyDescent="0.3">
      <c r="A880">
        <v>584</v>
      </c>
      <c r="B880" t="s">
        <v>352</v>
      </c>
      <c r="C880" t="s">
        <v>401</v>
      </c>
      <c r="D880" t="s">
        <v>591</v>
      </c>
      <c r="E880" t="s">
        <v>32</v>
      </c>
      <c r="F880" t="s">
        <v>17</v>
      </c>
      <c r="G880" s="1">
        <v>804</v>
      </c>
      <c r="H880" t="s">
        <v>26</v>
      </c>
      <c r="I880" s="2">
        <v>43497</v>
      </c>
      <c r="J880" t="s">
        <v>393</v>
      </c>
      <c r="K880" t="s">
        <v>521</v>
      </c>
      <c r="L880">
        <v>37410</v>
      </c>
      <c r="M880" t="s">
        <v>21</v>
      </c>
      <c r="N880" t="str">
        <f>VLOOKUP(A880, Data_Set_2!$A:$D,2,FALSE)</f>
        <v>rarmstrongg7</v>
      </c>
      <c r="O880" t="str">
        <f>VLOOKUP(A880, Data_Set_2!$A:$D,3,FALSE)</f>
        <v>Browseblab</v>
      </c>
      <c r="P880" t="str">
        <f>VLOOKUP(A880, Data_Set_2!$A:$D,4,FALSE)</f>
        <v>Community Outreach Specialist</v>
      </c>
      <c r="Q880" t="str">
        <f>_xlfn.CONCAT(Table3[[#This Row],[first_name]], " ",Table3[[#This Row],[last_name]])</f>
        <v>Rachel Armstrong</v>
      </c>
    </row>
    <row r="881" spans="1:17" hidden="1" x14ac:dyDescent="0.3">
      <c r="A881">
        <v>584</v>
      </c>
      <c r="B881" t="s">
        <v>352</v>
      </c>
      <c r="C881" t="s">
        <v>401</v>
      </c>
      <c r="D881" t="s">
        <v>591</v>
      </c>
      <c r="E881" t="s">
        <v>32</v>
      </c>
      <c r="F881" t="s">
        <v>17</v>
      </c>
      <c r="G881" s="1">
        <v>891</v>
      </c>
      <c r="H881" t="s">
        <v>26</v>
      </c>
      <c r="I881" s="2">
        <v>43684</v>
      </c>
      <c r="J881" t="s">
        <v>393</v>
      </c>
      <c r="K881" t="s">
        <v>521</v>
      </c>
      <c r="L881">
        <v>37410</v>
      </c>
      <c r="M881" t="s">
        <v>21</v>
      </c>
      <c r="N881" t="str">
        <f>VLOOKUP(A881, Data_Set_2!$A:$D,2,FALSE)</f>
        <v>rarmstrongg7</v>
      </c>
      <c r="O881" t="str">
        <f>VLOOKUP(A881, Data_Set_2!$A:$D,3,FALSE)</f>
        <v>Browseblab</v>
      </c>
      <c r="P881" t="str">
        <f>VLOOKUP(A881, Data_Set_2!$A:$D,4,FALSE)</f>
        <v>Community Outreach Specialist</v>
      </c>
      <c r="Q881" t="str">
        <f>_xlfn.CONCAT(Table3[[#This Row],[first_name]], " ",Table3[[#This Row],[last_name]])</f>
        <v>Rachel Armstrong</v>
      </c>
    </row>
    <row r="882" spans="1:17" hidden="1" x14ac:dyDescent="0.3">
      <c r="A882">
        <v>584</v>
      </c>
      <c r="B882" t="s">
        <v>352</v>
      </c>
      <c r="C882" t="s">
        <v>401</v>
      </c>
      <c r="D882" t="s">
        <v>591</v>
      </c>
      <c r="E882" t="s">
        <v>32</v>
      </c>
      <c r="F882" t="s">
        <v>17</v>
      </c>
      <c r="G882" s="1">
        <v>513</v>
      </c>
      <c r="H882" t="s">
        <v>26</v>
      </c>
      <c r="I882" s="2">
        <v>44300</v>
      </c>
      <c r="J882" t="s">
        <v>393</v>
      </c>
      <c r="K882" t="s">
        <v>521</v>
      </c>
      <c r="L882">
        <v>37410</v>
      </c>
      <c r="M882" t="s">
        <v>21</v>
      </c>
      <c r="N882" t="str">
        <f>VLOOKUP(A882, Data_Set_2!$A:$D,2,FALSE)</f>
        <v>rarmstrongg7</v>
      </c>
      <c r="O882" t="str">
        <f>VLOOKUP(A882, Data_Set_2!$A:$D,3,FALSE)</f>
        <v>Browseblab</v>
      </c>
      <c r="P882" t="str">
        <f>VLOOKUP(A882, Data_Set_2!$A:$D,4,FALSE)</f>
        <v>Community Outreach Specialist</v>
      </c>
      <c r="Q882" t="str">
        <f>_xlfn.CONCAT(Table3[[#This Row],[first_name]], " ",Table3[[#This Row],[last_name]])</f>
        <v>Rachel Armstrong</v>
      </c>
    </row>
    <row r="883" spans="1:17" hidden="1" x14ac:dyDescent="0.3">
      <c r="A883">
        <v>584</v>
      </c>
      <c r="B883" t="s">
        <v>352</v>
      </c>
      <c r="C883" t="s">
        <v>401</v>
      </c>
      <c r="D883" t="s">
        <v>591</v>
      </c>
      <c r="E883" t="s">
        <v>32</v>
      </c>
      <c r="F883" t="s">
        <v>17</v>
      </c>
      <c r="G883" s="1">
        <v>652</v>
      </c>
      <c r="H883" t="s">
        <v>26</v>
      </c>
      <c r="I883" s="2">
        <v>44612</v>
      </c>
      <c r="J883" t="s">
        <v>393</v>
      </c>
      <c r="K883" t="s">
        <v>521</v>
      </c>
      <c r="L883">
        <v>37410</v>
      </c>
      <c r="M883" t="s">
        <v>21</v>
      </c>
      <c r="N883" t="str">
        <f>VLOOKUP(A883, Data_Set_2!$A:$D,2,FALSE)</f>
        <v>rarmstrongg7</v>
      </c>
      <c r="O883" t="str">
        <f>VLOOKUP(A883, Data_Set_2!$A:$D,3,FALSE)</f>
        <v>Browseblab</v>
      </c>
      <c r="P883" t="str">
        <f>VLOOKUP(A883, Data_Set_2!$A:$D,4,FALSE)</f>
        <v>Community Outreach Specialist</v>
      </c>
      <c r="Q883" t="str">
        <f>_xlfn.CONCAT(Table3[[#This Row],[first_name]], " ",Table3[[#This Row],[last_name]])</f>
        <v>Rachel Armstrong</v>
      </c>
    </row>
    <row r="884" spans="1:17" hidden="1" x14ac:dyDescent="0.3">
      <c r="A884">
        <v>585</v>
      </c>
      <c r="B884" t="s">
        <v>565</v>
      </c>
      <c r="C884" t="s">
        <v>430</v>
      </c>
      <c r="D884" t="s">
        <v>566</v>
      </c>
      <c r="E884" t="s">
        <v>16</v>
      </c>
      <c r="F884" t="s">
        <v>553</v>
      </c>
      <c r="G884" s="1">
        <v>195</v>
      </c>
      <c r="H884" t="s">
        <v>34</v>
      </c>
      <c r="I884" s="2">
        <v>43464</v>
      </c>
      <c r="J884" t="s">
        <v>287</v>
      </c>
      <c r="K884" t="s">
        <v>288</v>
      </c>
      <c r="L884">
        <v>85748</v>
      </c>
      <c r="M884" t="s">
        <v>21</v>
      </c>
      <c r="N884" t="str">
        <f>VLOOKUP(A884, Data_Set_2!$A:$D,2,FALSE)</f>
        <v>pmooreg8</v>
      </c>
      <c r="O884" t="str">
        <f>VLOOKUP(A884, Data_Set_2!$A:$D,3,FALSE)</f>
        <v>Roombo</v>
      </c>
      <c r="P884" t="str">
        <f>VLOOKUP(A884, Data_Set_2!$A:$D,4,FALSE)</f>
        <v>Information Systems Manager</v>
      </c>
      <c r="Q884" t="str">
        <f>_xlfn.CONCAT(Table3[[#This Row],[first_name]], " ",Table3[[#This Row],[last_name]])</f>
        <v>Patrick Moore</v>
      </c>
    </row>
    <row r="885" spans="1:17" hidden="1" x14ac:dyDescent="0.3">
      <c r="A885">
        <v>585</v>
      </c>
      <c r="B885" t="s">
        <v>565</v>
      </c>
      <c r="C885" t="s">
        <v>430</v>
      </c>
      <c r="D885" t="s">
        <v>566</v>
      </c>
      <c r="E885" t="s">
        <v>16</v>
      </c>
      <c r="F885" t="s">
        <v>553</v>
      </c>
      <c r="G885" s="1">
        <v>586</v>
      </c>
      <c r="H885" t="s">
        <v>34</v>
      </c>
      <c r="I885" s="2">
        <v>43604</v>
      </c>
      <c r="J885" t="s">
        <v>287</v>
      </c>
      <c r="K885" t="s">
        <v>288</v>
      </c>
      <c r="L885">
        <v>85748</v>
      </c>
      <c r="M885" t="s">
        <v>21</v>
      </c>
      <c r="N885" t="str">
        <f>VLOOKUP(A885, Data_Set_2!$A:$D,2,FALSE)</f>
        <v>pmooreg8</v>
      </c>
      <c r="O885" t="str">
        <f>VLOOKUP(A885, Data_Set_2!$A:$D,3,FALSE)</f>
        <v>Roombo</v>
      </c>
      <c r="P885" t="str">
        <f>VLOOKUP(A885, Data_Set_2!$A:$D,4,FALSE)</f>
        <v>Information Systems Manager</v>
      </c>
      <c r="Q885" t="str">
        <f>_xlfn.CONCAT(Table3[[#This Row],[first_name]], " ",Table3[[#This Row],[last_name]])</f>
        <v>Patrick Moore</v>
      </c>
    </row>
    <row r="886" spans="1:17" hidden="1" x14ac:dyDescent="0.3">
      <c r="A886">
        <v>585</v>
      </c>
      <c r="B886" t="s">
        <v>565</v>
      </c>
      <c r="C886" t="s">
        <v>430</v>
      </c>
      <c r="D886" t="s">
        <v>566</v>
      </c>
      <c r="E886" t="s">
        <v>16</v>
      </c>
      <c r="F886" t="s">
        <v>553</v>
      </c>
      <c r="G886" s="1">
        <v>952</v>
      </c>
      <c r="H886" t="s">
        <v>34</v>
      </c>
      <c r="I886" s="2">
        <v>44243</v>
      </c>
      <c r="J886" t="s">
        <v>287</v>
      </c>
      <c r="K886" t="s">
        <v>288</v>
      </c>
      <c r="L886">
        <v>85748</v>
      </c>
      <c r="M886" t="s">
        <v>21</v>
      </c>
      <c r="N886" t="str">
        <f>VLOOKUP(A886, Data_Set_2!$A:$D,2,FALSE)</f>
        <v>pmooreg8</v>
      </c>
      <c r="O886" t="str">
        <f>VLOOKUP(A886, Data_Set_2!$A:$D,3,FALSE)</f>
        <v>Roombo</v>
      </c>
      <c r="P886" t="str">
        <f>VLOOKUP(A886, Data_Set_2!$A:$D,4,FALSE)</f>
        <v>Information Systems Manager</v>
      </c>
      <c r="Q886" t="str">
        <f>_xlfn.CONCAT(Table3[[#This Row],[first_name]], " ",Table3[[#This Row],[last_name]])</f>
        <v>Patrick Moore</v>
      </c>
    </row>
    <row r="887" spans="1:17" hidden="1" x14ac:dyDescent="0.3">
      <c r="A887">
        <v>586</v>
      </c>
      <c r="B887" t="s">
        <v>909</v>
      </c>
      <c r="C887" t="s">
        <v>426</v>
      </c>
      <c r="D887" t="s">
        <v>1009</v>
      </c>
      <c r="E887" t="s">
        <v>32</v>
      </c>
      <c r="F887" t="s">
        <v>17</v>
      </c>
      <c r="G887" s="1">
        <v>42</v>
      </c>
      <c r="H887" t="s">
        <v>26</v>
      </c>
      <c r="I887" s="2">
        <v>44245</v>
      </c>
      <c r="J887" t="s">
        <v>35</v>
      </c>
      <c r="K887" t="s">
        <v>438</v>
      </c>
      <c r="L887">
        <v>90076</v>
      </c>
      <c r="M887" t="s">
        <v>21</v>
      </c>
      <c r="N887" t="str">
        <f>VLOOKUP(A887, Data_Set_2!$A:$D,2,FALSE)</f>
        <v>mryang9</v>
      </c>
      <c r="O887" t="str">
        <f>VLOOKUP(A887, Data_Set_2!$A:$D,3,FALSE)</f>
        <v>Latz</v>
      </c>
      <c r="P887" t="str">
        <f>VLOOKUP(A887, Data_Set_2!$A:$D,4,FALSE)</f>
        <v>Nurse Practicioner</v>
      </c>
      <c r="Q887" t="str">
        <f>_xlfn.CONCAT(Table3[[#This Row],[first_name]], " ",Table3[[#This Row],[last_name]])</f>
        <v>Maria Ryan</v>
      </c>
    </row>
    <row r="888" spans="1:17" hidden="1" x14ac:dyDescent="0.3">
      <c r="A888">
        <v>586</v>
      </c>
      <c r="B888" t="s">
        <v>909</v>
      </c>
      <c r="C888" t="s">
        <v>426</v>
      </c>
      <c r="D888" t="s">
        <v>1009</v>
      </c>
      <c r="E888" t="s">
        <v>32</v>
      </c>
      <c r="F888" t="s">
        <v>17</v>
      </c>
      <c r="G888" s="1">
        <v>678</v>
      </c>
      <c r="H888" t="s">
        <v>26</v>
      </c>
      <c r="I888" s="2">
        <v>44542</v>
      </c>
      <c r="J888" t="s">
        <v>35</v>
      </c>
      <c r="K888" t="s">
        <v>438</v>
      </c>
      <c r="L888">
        <v>90076</v>
      </c>
      <c r="M888" t="s">
        <v>21</v>
      </c>
      <c r="N888" t="str">
        <f>VLOOKUP(A888, Data_Set_2!$A:$D,2,FALSE)</f>
        <v>mryang9</v>
      </c>
      <c r="O888" t="str">
        <f>VLOOKUP(A888, Data_Set_2!$A:$D,3,FALSE)</f>
        <v>Latz</v>
      </c>
      <c r="P888" t="str">
        <f>VLOOKUP(A888, Data_Set_2!$A:$D,4,FALSE)</f>
        <v>Nurse Practicioner</v>
      </c>
      <c r="Q888" t="str">
        <f>_xlfn.CONCAT(Table3[[#This Row],[first_name]], " ",Table3[[#This Row],[last_name]])</f>
        <v>Maria Ryan</v>
      </c>
    </row>
    <row r="889" spans="1:17" hidden="1" x14ac:dyDescent="0.3">
      <c r="A889">
        <v>587</v>
      </c>
      <c r="B889" t="s">
        <v>721</v>
      </c>
      <c r="C889" t="s">
        <v>838</v>
      </c>
      <c r="D889" t="s">
        <v>879</v>
      </c>
      <c r="E889" t="s">
        <v>16</v>
      </c>
      <c r="F889" t="s">
        <v>17</v>
      </c>
      <c r="G889" s="1">
        <v>794</v>
      </c>
      <c r="H889" t="s">
        <v>34</v>
      </c>
      <c r="I889" s="2">
        <v>43929</v>
      </c>
      <c r="J889" t="s">
        <v>52</v>
      </c>
      <c r="K889" t="s">
        <v>53</v>
      </c>
      <c r="L889">
        <v>25709</v>
      </c>
      <c r="M889" t="s">
        <v>21</v>
      </c>
      <c r="N889" t="str">
        <f>VLOOKUP(A889, Data_Set_2!$A:$D,2,FALSE)</f>
        <v>jarnoldga</v>
      </c>
      <c r="O889" t="str">
        <f>VLOOKUP(A889, Data_Set_2!$A:$D,3,FALSE)</f>
        <v>Vinder</v>
      </c>
      <c r="P889" t="str">
        <f>VLOOKUP(A889, Data_Set_2!$A:$D,4,FALSE)</f>
        <v>Statistician III</v>
      </c>
      <c r="Q889" t="str">
        <f>_xlfn.CONCAT(Table3[[#This Row],[first_name]], " ",Table3[[#This Row],[last_name]])</f>
        <v>Juan Arnold</v>
      </c>
    </row>
    <row r="890" spans="1:17" hidden="1" x14ac:dyDescent="0.3">
      <c r="A890">
        <v>587</v>
      </c>
      <c r="B890" t="s">
        <v>721</v>
      </c>
      <c r="C890" t="s">
        <v>838</v>
      </c>
      <c r="D890" t="s">
        <v>879</v>
      </c>
      <c r="E890" t="s">
        <v>16</v>
      </c>
      <c r="F890" t="s">
        <v>17</v>
      </c>
      <c r="G890" s="1">
        <v>768</v>
      </c>
      <c r="H890" t="s">
        <v>34</v>
      </c>
      <c r="I890" s="2">
        <v>44365</v>
      </c>
      <c r="J890" t="s">
        <v>52</v>
      </c>
      <c r="K890" t="s">
        <v>53</v>
      </c>
      <c r="L890">
        <v>25709</v>
      </c>
      <c r="M890" t="s">
        <v>21</v>
      </c>
      <c r="N890" t="str">
        <f>VLOOKUP(A890, Data_Set_2!$A:$D,2,FALSE)</f>
        <v>jarnoldga</v>
      </c>
      <c r="O890" t="str">
        <f>VLOOKUP(A890, Data_Set_2!$A:$D,3,FALSE)</f>
        <v>Vinder</v>
      </c>
      <c r="P890" t="str">
        <f>VLOOKUP(A890, Data_Set_2!$A:$D,4,FALSE)</f>
        <v>Statistician III</v>
      </c>
      <c r="Q890" t="str">
        <f>_xlfn.CONCAT(Table3[[#This Row],[first_name]], " ",Table3[[#This Row],[last_name]])</f>
        <v>Juan Arnold</v>
      </c>
    </row>
    <row r="891" spans="1:17" hidden="1" x14ac:dyDescent="0.3">
      <c r="A891">
        <v>588</v>
      </c>
      <c r="B891" t="s">
        <v>429</v>
      </c>
      <c r="C891" t="s">
        <v>430</v>
      </c>
      <c r="D891" t="s">
        <v>431</v>
      </c>
      <c r="E891" t="s">
        <v>16</v>
      </c>
      <c r="F891" t="s">
        <v>17</v>
      </c>
      <c r="G891" s="1">
        <v>65</v>
      </c>
      <c r="H891" t="s">
        <v>34</v>
      </c>
      <c r="I891" s="2">
        <v>43305</v>
      </c>
      <c r="J891" t="s">
        <v>115</v>
      </c>
      <c r="K891" t="s">
        <v>298</v>
      </c>
      <c r="L891">
        <v>33972</v>
      </c>
      <c r="M891" t="s">
        <v>21</v>
      </c>
      <c r="N891" t="str">
        <f>VLOOKUP(A891, Data_Set_2!$A:$D,2,FALSE)</f>
        <v>cmooregb</v>
      </c>
      <c r="O891" t="str">
        <f>VLOOKUP(A891, Data_Set_2!$A:$D,3,FALSE)</f>
        <v>Brainlounge</v>
      </c>
      <c r="P891" t="str">
        <f>VLOOKUP(A891, Data_Set_2!$A:$D,4,FALSE)</f>
        <v>Chemical Engineer</v>
      </c>
      <c r="Q891" t="str">
        <f>_xlfn.CONCAT(Table3[[#This Row],[first_name]], " ",Table3[[#This Row],[last_name]])</f>
        <v>Chris Moore</v>
      </c>
    </row>
    <row r="892" spans="1:17" hidden="1" x14ac:dyDescent="0.3">
      <c r="A892">
        <v>588</v>
      </c>
      <c r="B892" t="s">
        <v>429</v>
      </c>
      <c r="C892" t="s">
        <v>430</v>
      </c>
      <c r="D892" t="s">
        <v>431</v>
      </c>
      <c r="E892" t="s">
        <v>16</v>
      </c>
      <c r="F892" t="s">
        <v>17</v>
      </c>
      <c r="G892" s="1">
        <v>98</v>
      </c>
      <c r="H892" t="s">
        <v>34</v>
      </c>
      <c r="I892" s="2">
        <v>43413</v>
      </c>
      <c r="J892" t="s">
        <v>115</v>
      </c>
      <c r="K892" t="s">
        <v>298</v>
      </c>
      <c r="L892">
        <v>33972</v>
      </c>
      <c r="M892" t="s">
        <v>21</v>
      </c>
      <c r="N892" t="str">
        <f>VLOOKUP(A892, Data_Set_2!$A:$D,2,FALSE)</f>
        <v>cmooregb</v>
      </c>
      <c r="O892" t="str">
        <f>VLOOKUP(A892, Data_Set_2!$A:$D,3,FALSE)</f>
        <v>Brainlounge</v>
      </c>
      <c r="P892" t="str">
        <f>VLOOKUP(A892, Data_Set_2!$A:$D,4,FALSE)</f>
        <v>Chemical Engineer</v>
      </c>
      <c r="Q892" t="str">
        <f>_xlfn.CONCAT(Table3[[#This Row],[first_name]], " ",Table3[[#This Row],[last_name]])</f>
        <v>Chris Moore</v>
      </c>
    </row>
    <row r="893" spans="1:17" hidden="1" x14ac:dyDescent="0.3">
      <c r="A893">
        <v>588</v>
      </c>
      <c r="B893" t="s">
        <v>429</v>
      </c>
      <c r="C893" t="s">
        <v>430</v>
      </c>
      <c r="D893" t="s">
        <v>431</v>
      </c>
      <c r="E893" t="s">
        <v>16</v>
      </c>
      <c r="F893" t="s">
        <v>17</v>
      </c>
      <c r="G893" s="1">
        <v>227</v>
      </c>
      <c r="H893" t="s">
        <v>34</v>
      </c>
      <c r="I893" s="2">
        <v>43439</v>
      </c>
      <c r="J893" t="s">
        <v>115</v>
      </c>
      <c r="K893" t="s">
        <v>298</v>
      </c>
      <c r="L893">
        <v>33972</v>
      </c>
      <c r="M893" t="s">
        <v>21</v>
      </c>
      <c r="N893" t="str">
        <f>VLOOKUP(A893, Data_Set_2!$A:$D,2,FALSE)</f>
        <v>cmooregb</v>
      </c>
      <c r="O893" t="str">
        <f>VLOOKUP(A893, Data_Set_2!$A:$D,3,FALSE)</f>
        <v>Brainlounge</v>
      </c>
      <c r="P893" t="str">
        <f>VLOOKUP(A893, Data_Set_2!$A:$D,4,FALSE)</f>
        <v>Chemical Engineer</v>
      </c>
      <c r="Q893" t="str">
        <f>_xlfn.CONCAT(Table3[[#This Row],[first_name]], " ",Table3[[#This Row],[last_name]])</f>
        <v>Chris Moore</v>
      </c>
    </row>
    <row r="894" spans="1:17" hidden="1" x14ac:dyDescent="0.3">
      <c r="A894">
        <v>588</v>
      </c>
      <c r="B894" t="s">
        <v>429</v>
      </c>
      <c r="C894" t="s">
        <v>430</v>
      </c>
      <c r="D894" t="s">
        <v>431</v>
      </c>
      <c r="E894" t="s">
        <v>16</v>
      </c>
      <c r="F894" t="s">
        <v>17</v>
      </c>
      <c r="G894" s="1">
        <v>420</v>
      </c>
      <c r="H894" t="s">
        <v>34</v>
      </c>
      <c r="I894" s="2">
        <v>43452</v>
      </c>
      <c r="J894" t="s">
        <v>115</v>
      </c>
      <c r="K894" t="s">
        <v>298</v>
      </c>
      <c r="L894">
        <v>33972</v>
      </c>
      <c r="M894" t="s">
        <v>21</v>
      </c>
      <c r="N894" t="str">
        <f>VLOOKUP(A894, Data_Set_2!$A:$D,2,FALSE)</f>
        <v>cmooregb</v>
      </c>
      <c r="O894" t="str">
        <f>VLOOKUP(A894, Data_Set_2!$A:$D,3,FALSE)</f>
        <v>Brainlounge</v>
      </c>
      <c r="P894" t="str">
        <f>VLOOKUP(A894, Data_Set_2!$A:$D,4,FALSE)</f>
        <v>Chemical Engineer</v>
      </c>
      <c r="Q894" t="str">
        <f>_xlfn.CONCAT(Table3[[#This Row],[first_name]], " ",Table3[[#This Row],[last_name]])</f>
        <v>Chris Moore</v>
      </c>
    </row>
    <row r="895" spans="1:17" hidden="1" x14ac:dyDescent="0.3">
      <c r="A895">
        <v>588</v>
      </c>
      <c r="B895" t="s">
        <v>429</v>
      </c>
      <c r="C895" t="s">
        <v>430</v>
      </c>
      <c r="D895" t="s">
        <v>431</v>
      </c>
      <c r="E895" t="s">
        <v>16</v>
      </c>
      <c r="F895" t="s">
        <v>17</v>
      </c>
      <c r="G895" s="1">
        <v>812</v>
      </c>
      <c r="H895" t="s">
        <v>34</v>
      </c>
      <c r="I895" s="2">
        <v>43598</v>
      </c>
      <c r="J895" t="s">
        <v>115</v>
      </c>
      <c r="K895" t="s">
        <v>298</v>
      </c>
      <c r="L895">
        <v>33972</v>
      </c>
      <c r="M895" t="s">
        <v>21</v>
      </c>
      <c r="N895" t="str">
        <f>VLOOKUP(A895, Data_Set_2!$A:$D,2,FALSE)</f>
        <v>cmooregb</v>
      </c>
      <c r="O895" t="str">
        <f>VLOOKUP(A895, Data_Set_2!$A:$D,3,FALSE)</f>
        <v>Brainlounge</v>
      </c>
      <c r="P895" t="str">
        <f>VLOOKUP(A895, Data_Set_2!$A:$D,4,FALSE)</f>
        <v>Chemical Engineer</v>
      </c>
      <c r="Q895" t="str">
        <f>_xlfn.CONCAT(Table3[[#This Row],[first_name]], " ",Table3[[#This Row],[last_name]])</f>
        <v>Chris Moore</v>
      </c>
    </row>
    <row r="896" spans="1:17" hidden="1" x14ac:dyDescent="0.3">
      <c r="A896">
        <v>588</v>
      </c>
      <c r="B896" t="s">
        <v>429</v>
      </c>
      <c r="C896" t="s">
        <v>430</v>
      </c>
      <c r="D896" t="s">
        <v>431</v>
      </c>
      <c r="E896" t="s">
        <v>16</v>
      </c>
      <c r="F896" t="s">
        <v>17</v>
      </c>
      <c r="G896" s="1">
        <v>871</v>
      </c>
      <c r="H896" t="s">
        <v>34</v>
      </c>
      <c r="I896" s="2">
        <v>43614</v>
      </c>
      <c r="J896" t="s">
        <v>115</v>
      </c>
      <c r="K896" t="s">
        <v>298</v>
      </c>
      <c r="L896">
        <v>33972</v>
      </c>
      <c r="M896" t="s">
        <v>21</v>
      </c>
      <c r="N896" t="str">
        <f>VLOOKUP(A896, Data_Set_2!$A:$D,2,FALSE)</f>
        <v>cmooregb</v>
      </c>
      <c r="O896" t="str">
        <f>VLOOKUP(A896, Data_Set_2!$A:$D,3,FALSE)</f>
        <v>Brainlounge</v>
      </c>
      <c r="P896" t="str">
        <f>VLOOKUP(A896, Data_Set_2!$A:$D,4,FALSE)</f>
        <v>Chemical Engineer</v>
      </c>
      <c r="Q896" t="str">
        <f>_xlfn.CONCAT(Table3[[#This Row],[first_name]], " ",Table3[[#This Row],[last_name]])</f>
        <v>Chris Moore</v>
      </c>
    </row>
    <row r="897" spans="1:17" hidden="1" x14ac:dyDescent="0.3">
      <c r="A897">
        <v>588</v>
      </c>
      <c r="B897" t="s">
        <v>429</v>
      </c>
      <c r="C897" t="s">
        <v>430</v>
      </c>
      <c r="D897" t="s">
        <v>431</v>
      </c>
      <c r="E897" t="s">
        <v>16</v>
      </c>
      <c r="F897" t="s">
        <v>17</v>
      </c>
      <c r="G897" s="1">
        <v>378</v>
      </c>
      <c r="H897" t="s">
        <v>34</v>
      </c>
      <c r="I897" s="2">
        <v>43719</v>
      </c>
      <c r="J897" t="s">
        <v>115</v>
      </c>
      <c r="K897" t="s">
        <v>298</v>
      </c>
      <c r="L897">
        <v>33972</v>
      </c>
      <c r="M897" t="s">
        <v>21</v>
      </c>
      <c r="N897" t="str">
        <f>VLOOKUP(A897, Data_Set_2!$A:$D,2,FALSE)</f>
        <v>cmooregb</v>
      </c>
      <c r="O897" t="str">
        <f>VLOOKUP(A897, Data_Set_2!$A:$D,3,FALSE)</f>
        <v>Brainlounge</v>
      </c>
      <c r="P897" t="str">
        <f>VLOOKUP(A897, Data_Set_2!$A:$D,4,FALSE)</f>
        <v>Chemical Engineer</v>
      </c>
      <c r="Q897" t="str">
        <f>_xlfn.CONCAT(Table3[[#This Row],[first_name]], " ",Table3[[#This Row],[last_name]])</f>
        <v>Chris Moore</v>
      </c>
    </row>
    <row r="898" spans="1:17" hidden="1" x14ac:dyDescent="0.3">
      <c r="A898">
        <v>588</v>
      </c>
      <c r="B898" t="s">
        <v>429</v>
      </c>
      <c r="C898" t="s">
        <v>430</v>
      </c>
      <c r="D898" t="s">
        <v>431</v>
      </c>
      <c r="E898" t="s">
        <v>16</v>
      </c>
      <c r="F898" t="s">
        <v>17</v>
      </c>
      <c r="G898" s="1">
        <v>143</v>
      </c>
      <c r="H898" t="s">
        <v>34</v>
      </c>
      <c r="I898" s="2">
        <v>43810</v>
      </c>
      <c r="J898" t="s">
        <v>115</v>
      </c>
      <c r="K898" t="s">
        <v>298</v>
      </c>
      <c r="L898">
        <v>33972</v>
      </c>
      <c r="M898" t="s">
        <v>21</v>
      </c>
      <c r="N898" t="str">
        <f>VLOOKUP(A898, Data_Set_2!$A:$D,2,FALSE)</f>
        <v>cmooregb</v>
      </c>
      <c r="O898" t="str">
        <f>VLOOKUP(A898, Data_Set_2!$A:$D,3,FALSE)</f>
        <v>Brainlounge</v>
      </c>
      <c r="P898" t="str">
        <f>VLOOKUP(A898, Data_Set_2!$A:$D,4,FALSE)</f>
        <v>Chemical Engineer</v>
      </c>
      <c r="Q898" t="str">
        <f>_xlfn.CONCAT(Table3[[#This Row],[first_name]], " ",Table3[[#This Row],[last_name]])</f>
        <v>Chris Moore</v>
      </c>
    </row>
    <row r="899" spans="1:17" hidden="1" x14ac:dyDescent="0.3">
      <c r="A899">
        <v>588</v>
      </c>
      <c r="B899" t="s">
        <v>429</v>
      </c>
      <c r="C899" t="s">
        <v>430</v>
      </c>
      <c r="D899" t="s">
        <v>431</v>
      </c>
      <c r="E899" t="s">
        <v>16</v>
      </c>
      <c r="F899" t="s">
        <v>17</v>
      </c>
      <c r="G899" s="1">
        <v>564</v>
      </c>
      <c r="H899" t="s">
        <v>34</v>
      </c>
      <c r="I899" s="2">
        <v>44086</v>
      </c>
      <c r="J899" t="s">
        <v>115</v>
      </c>
      <c r="K899" t="s">
        <v>298</v>
      </c>
      <c r="L899">
        <v>33972</v>
      </c>
      <c r="M899" t="s">
        <v>21</v>
      </c>
      <c r="N899" t="str">
        <f>VLOOKUP(A899, Data_Set_2!$A:$D,2,FALSE)</f>
        <v>cmooregb</v>
      </c>
      <c r="O899" t="str">
        <f>VLOOKUP(A899, Data_Set_2!$A:$D,3,FALSE)</f>
        <v>Brainlounge</v>
      </c>
      <c r="P899" t="str">
        <f>VLOOKUP(A899, Data_Set_2!$A:$D,4,FALSE)</f>
        <v>Chemical Engineer</v>
      </c>
      <c r="Q899" t="str">
        <f>_xlfn.CONCAT(Table3[[#This Row],[first_name]], " ",Table3[[#This Row],[last_name]])</f>
        <v>Chris Moore</v>
      </c>
    </row>
    <row r="900" spans="1:17" hidden="1" x14ac:dyDescent="0.3">
      <c r="A900">
        <v>588</v>
      </c>
      <c r="B900" t="s">
        <v>429</v>
      </c>
      <c r="C900" t="s">
        <v>430</v>
      </c>
      <c r="D900" t="s">
        <v>431</v>
      </c>
      <c r="E900" t="s">
        <v>16</v>
      </c>
      <c r="F900" t="s">
        <v>17</v>
      </c>
      <c r="G900" s="1">
        <v>890</v>
      </c>
      <c r="H900" t="s">
        <v>34</v>
      </c>
      <c r="I900" s="2">
        <v>44229</v>
      </c>
      <c r="J900" t="s">
        <v>115</v>
      </c>
      <c r="K900" t="s">
        <v>298</v>
      </c>
      <c r="L900">
        <v>33972</v>
      </c>
      <c r="M900" t="s">
        <v>21</v>
      </c>
      <c r="N900" t="str">
        <f>VLOOKUP(A900, Data_Set_2!$A:$D,2,FALSE)</f>
        <v>cmooregb</v>
      </c>
      <c r="O900" t="str">
        <f>VLOOKUP(A900, Data_Set_2!$A:$D,3,FALSE)</f>
        <v>Brainlounge</v>
      </c>
      <c r="P900" t="str">
        <f>VLOOKUP(A900, Data_Set_2!$A:$D,4,FALSE)</f>
        <v>Chemical Engineer</v>
      </c>
      <c r="Q900" t="str">
        <f>_xlfn.CONCAT(Table3[[#This Row],[first_name]], " ",Table3[[#This Row],[last_name]])</f>
        <v>Chris Moore</v>
      </c>
    </row>
    <row r="901" spans="1:17" hidden="1" x14ac:dyDescent="0.3">
      <c r="A901">
        <v>588</v>
      </c>
      <c r="B901" t="s">
        <v>429</v>
      </c>
      <c r="C901" t="s">
        <v>430</v>
      </c>
      <c r="D901" t="s">
        <v>431</v>
      </c>
      <c r="E901" t="s">
        <v>16</v>
      </c>
      <c r="F901" t="s">
        <v>17</v>
      </c>
      <c r="G901" s="1">
        <v>703</v>
      </c>
      <c r="H901" t="s">
        <v>34</v>
      </c>
      <c r="I901" s="2">
        <v>44270</v>
      </c>
      <c r="J901" t="s">
        <v>115</v>
      </c>
      <c r="K901" t="s">
        <v>298</v>
      </c>
      <c r="L901">
        <v>33972</v>
      </c>
      <c r="M901" t="s">
        <v>21</v>
      </c>
      <c r="N901" t="str">
        <f>VLOOKUP(A901, Data_Set_2!$A:$D,2,FALSE)</f>
        <v>cmooregb</v>
      </c>
      <c r="O901" t="str">
        <f>VLOOKUP(A901, Data_Set_2!$A:$D,3,FALSE)</f>
        <v>Brainlounge</v>
      </c>
      <c r="P901" t="str">
        <f>VLOOKUP(A901, Data_Set_2!$A:$D,4,FALSE)</f>
        <v>Chemical Engineer</v>
      </c>
      <c r="Q901" t="str">
        <f>_xlfn.CONCAT(Table3[[#This Row],[first_name]], " ",Table3[[#This Row],[last_name]])</f>
        <v>Chris Moore</v>
      </c>
    </row>
    <row r="902" spans="1:17" hidden="1" x14ac:dyDescent="0.3">
      <c r="A902">
        <v>588</v>
      </c>
      <c r="B902" t="s">
        <v>429</v>
      </c>
      <c r="C902" t="s">
        <v>430</v>
      </c>
      <c r="D902" t="s">
        <v>431</v>
      </c>
      <c r="E902" t="s">
        <v>16</v>
      </c>
      <c r="F902" t="s">
        <v>17</v>
      </c>
      <c r="G902" s="1">
        <v>586</v>
      </c>
      <c r="H902" t="s">
        <v>34</v>
      </c>
      <c r="I902" s="2">
        <v>44395</v>
      </c>
      <c r="J902" t="s">
        <v>115</v>
      </c>
      <c r="K902" t="s">
        <v>298</v>
      </c>
      <c r="L902">
        <v>33972</v>
      </c>
      <c r="M902" t="s">
        <v>21</v>
      </c>
      <c r="N902" t="str">
        <f>VLOOKUP(A902, Data_Set_2!$A:$D,2,FALSE)</f>
        <v>cmooregb</v>
      </c>
      <c r="O902" t="str">
        <f>VLOOKUP(A902, Data_Set_2!$A:$D,3,FALSE)</f>
        <v>Brainlounge</v>
      </c>
      <c r="P902" t="str">
        <f>VLOOKUP(A902, Data_Set_2!$A:$D,4,FALSE)</f>
        <v>Chemical Engineer</v>
      </c>
      <c r="Q902" t="str">
        <f>_xlfn.CONCAT(Table3[[#This Row],[first_name]], " ",Table3[[#This Row],[last_name]])</f>
        <v>Chris Moore</v>
      </c>
    </row>
    <row r="903" spans="1:17" hidden="1" x14ac:dyDescent="0.3">
      <c r="A903">
        <v>588</v>
      </c>
      <c r="B903" t="s">
        <v>429</v>
      </c>
      <c r="C903" t="s">
        <v>430</v>
      </c>
      <c r="D903" t="s">
        <v>431</v>
      </c>
      <c r="E903" t="s">
        <v>16</v>
      </c>
      <c r="F903" t="s">
        <v>17</v>
      </c>
      <c r="G903" s="1">
        <v>13</v>
      </c>
      <c r="H903" t="s">
        <v>34</v>
      </c>
      <c r="I903" s="2">
        <v>44496</v>
      </c>
      <c r="J903" t="s">
        <v>115</v>
      </c>
      <c r="K903" t="s">
        <v>298</v>
      </c>
      <c r="L903">
        <v>33972</v>
      </c>
      <c r="M903" t="s">
        <v>21</v>
      </c>
      <c r="N903" t="str">
        <f>VLOOKUP(A903, Data_Set_2!$A:$D,2,FALSE)</f>
        <v>cmooregb</v>
      </c>
      <c r="O903" t="str">
        <f>VLOOKUP(A903, Data_Set_2!$A:$D,3,FALSE)</f>
        <v>Brainlounge</v>
      </c>
      <c r="P903" t="str">
        <f>VLOOKUP(A903, Data_Set_2!$A:$D,4,FALSE)</f>
        <v>Chemical Engineer</v>
      </c>
      <c r="Q903" t="str">
        <f>_xlfn.CONCAT(Table3[[#This Row],[first_name]], " ",Table3[[#This Row],[last_name]])</f>
        <v>Chris Moore</v>
      </c>
    </row>
    <row r="904" spans="1:17" hidden="1" x14ac:dyDescent="0.3">
      <c r="A904">
        <v>588</v>
      </c>
      <c r="B904" t="s">
        <v>429</v>
      </c>
      <c r="C904" t="s">
        <v>430</v>
      </c>
      <c r="D904" t="s">
        <v>431</v>
      </c>
      <c r="E904" t="s">
        <v>16</v>
      </c>
      <c r="F904" t="s">
        <v>17</v>
      </c>
      <c r="G904" s="1">
        <v>226</v>
      </c>
      <c r="H904" t="s">
        <v>34</v>
      </c>
      <c r="I904" s="2">
        <v>44689</v>
      </c>
      <c r="J904" t="s">
        <v>115</v>
      </c>
      <c r="K904" t="s">
        <v>298</v>
      </c>
      <c r="L904">
        <v>33972</v>
      </c>
      <c r="M904" t="s">
        <v>21</v>
      </c>
      <c r="N904" t="str">
        <f>VLOOKUP(A904, Data_Set_2!$A:$D,2,FALSE)</f>
        <v>cmooregb</v>
      </c>
      <c r="O904" t="str">
        <f>VLOOKUP(A904, Data_Set_2!$A:$D,3,FALSE)</f>
        <v>Brainlounge</v>
      </c>
      <c r="P904" t="str">
        <f>VLOOKUP(A904, Data_Set_2!$A:$D,4,FALSE)</f>
        <v>Chemical Engineer</v>
      </c>
      <c r="Q904" t="str">
        <f>_xlfn.CONCAT(Table3[[#This Row],[first_name]], " ",Table3[[#This Row],[last_name]])</f>
        <v>Chris Moore</v>
      </c>
    </row>
    <row r="905" spans="1:17" hidden="1" x14ac:dyDescent="0.3">
      <c r="A905">
        <v>588</v>
      </c>
      <c r="B905" t="s">
        <v>429</v>
      </c>
      <c r="C905" t="s">
        <v>430</v>
      </c>
      <c r="D905" t="s">
        <v>431</v>
      </c>
      <c r="E905" t="s">
        <v>16</v>
      </c>
      <c r="F905" t="s">
        <v>17</v>
      </c>
      <c r="G905" s="1">
        <v>584</v>
      </c>
      <c r="H905" t="s">
        <v>34</v>
      </c>
      <c r="I905" s="2">
        <v>44734</v>
      </c>
      <c r="J905" t="s">
        <v>115</v>
      </c>
      <c r="K905" t="s">
        <v>298</v>
      </c>
      <c r="L905">
        <v>33972</v>
      </c>
      <c r="M905" t="s">
        <v>21</v>
      </c>
      <c r="N905" t="str">
        <f>VLOOKUP(A905, Data_Set_2!$A:$D,2,FALSE)</f>
        <v>cmooregb</v>
      </c>
      <c r="O905" t="str">
        <f>VLOOKUP(A905, Data_Set_2!$A:$D,3,FALSE)</f>
        <v>Brainlounge</v>
      </c>
      <c r="P905" t="str">
        <f>VLOOKUP(A905, Data_Set_2!$A:$D,4,FALSE)</f>
        <v>Chemical Engineer</v>
      </c>
      <c r="Q905" t="str">
        <f>_xlfn.CONCAT(Table3[[#This Row],[first_name]], " ",Table3[[#This Row],[last_name]])</f>
        <v>Chris Moore</v>
      </c>
    </row>
    <row r="906" spans="1:17" hidden="1" x14ac:dyDescent="0.3">
      <c r="A906">
        <v>588</v>
      </c>
      <c r="B906" t="s">
        <v>429</v>
      </c>
      <c r="C906" t="s">
        <v>430</v>
      </c>
      <c r="D906" t="s">
        <v>431</v>
      </c>
      <c r="E906" t="s">
        <v>16</v>
      </c>
      <c r="F906" t="s">
        <v>17</v>
      </c>
      <c r="G906" s="1">
        <v>310</v>
      </c>
      <c r="H906" t="s">
        <v>34</v>
      </c>
      <c r="I906" s="2">
        <v>44796</v>
      </c>
      <c r="J906" t="s">
        <v>115</v>
      </c>
      <c r="K906" t="s">
        <v>298</v>
      </c>
      <c r="L906">
        <v>33972</v>
      </c>
      <c r="M906" t="s">
        <v>21</v>
      </c>
      <c r="N906" t="str">
        <f>VLOOKUP(A906, Data_Set_2!$A:$D,2,FALSE)</f>
        <v>cmooregb</v>
      </c>
      <c r="O906" t="str">
        <f>VLOOKUP(A906, Data_Set_2!$A:$D,3,FALSE)</f>
        <v>Brainlounge</v>
      </c>
      <c r="P906" t="str">
        <f>VLOOKUP(A906, Data_Set_2!$A:$D,4,FALSE)</f>
        <v>Chemical Engineer</v>
      </c>
      <c r="Q906" t="str">
        <f>_xlfn.CONCAT(Table3[[#This Row],[first_name]], " ",Table3[[#This Row],[last_name]])</f>
        <v>Chris Moore</v>
      </c>
    </row>
    <row r="907" spans="1:17" hidden="1" x14ac:dyDescent="0.3">
      <c r="A907">
        <v>588</v>
      </c>
      <c r="B907" t="s">
        <v>429</v>
      </c>
      <c r="C907" t="s">
        <v>430</v>
      </c>
      <c r="D907" t="s">
        <v>431</v>
      </c>
      <c r="E907" t="s">
        <v>16</v>
      </c>
      <c r="F907" t="s">
        <v>17</v>
      </c>
      <c r="G907" s="1">
        <v>574</v>
      </c>
      <c r="H907" t="s">
        <v>34</v>
      </c>
      <c r="I907" s="2">
        <v>44812</v>
      </c>
      <c r="J907" t="s">
        <v>115</v>
      </c>
      <c r="K907" t="s">
        <v>298</v>
      </c>
      <c r="L907">
        <v>33972</v>
      </c>
      <c r="M907" t="s">
        <v>21</v>
      </c>
      <c r="N907" t="str">
        <f>VLOOKUP(A907, Data_Set_2!$A:$D,2,FALSE)</f>
        <v>cmooregb</v>
      </c>
      <c r="O907" t="str">
        <f>VLOOKUP(A907, Data_Set_2!$A:$D,3,FALSE)</f>
        <v>Brainlounge</v>
      </c>
      <c r="P907" t="str">
        <f>VLOOKUP(A907, Data_Set_2!$A:$D,4,FALSE)</f>
        <v>Chemical Engineer</v>
      </c>
      <c r="Q907" t="str">
        <f>_xlfn.CONCAT(Table3[[#This Row],[first_name]], " ",Table3[[#This Row],[last_name]])</f>
        <v>Chris Moore</v>
      </c>
    </row>
    <row r="908" spans="1:17" hidden="1" x14ac:dyDescent="0.3">
      <c r="A908">
        <v>588</v>
      </c>
      <c r="B908" t="s">
        <v>429</v>
      </c>
      <c r="C908" t="s">
        <v>430</v>
      </c>
      <c r="D908" t="s">
        <v>431</v>
      </c>
      <c r="E908" t="s">
        <v>16</v>
      </c>
      <c r="F908" t="s">
        <v>17</v>
      </c>
      <c r="G908" s="1">
        <v>859</v>
      </c>
      <c r="H908" t="s">
        <v>34</v>
      </c>
      <c r="I908" s="2">
        <v>44876</v>
      </c>
      <c r="J908" t="s">
        <v>115</v>
      </c>
      <c r="K908" t="s">
        <v>298</v>
      </c>
      <c r="L908">
        <v>33972</v>
      </c>
      <c r="M908" t="s">
        <v>21</v>
      </c>
      <c r="N908" t="str">
        <f>VLOOKUP(A908, Data_Set_2!$A:$D,2,FALSE)</f>
        <v>cmooregb</v>
      </c>
      <c r="O908" t="str">
        <f>VLOOKUP(A908, Data_Set_2!$A:$D,3,FALSE)</f>
        <v>Brainlounge</v>
      </c>
      <c r="P908" t="str">
        <f>VLOOKUP(A908, Data_Set_2!$A:$D,4,FALSE)</f>
        <v>Chemical Engineer</v>
      </c>
      <c r="Q908" t="str">
        <f>_xlfn.CONCAT(Table3[[#This Row],[first_name]], " ",Table3[[#This Row],[last_name]])</f>
        <v>Chris Moore</v>
      </c>
    </row>
    <row r="909" spans="1:17" hidden="1" x14ac:dyDescent="0.3">
      <c r="A909">
        <v>601</v>
      </c>
      <c r="B909" t="s">
        <v>161</v>
      </c>
      <c r="C909" t="s">
        <v>90</v>
      </c>
      <c r="D909" t="s">
        <v>936</v>
      </c>
      <c r="E909" t="s">
        <v>16</v>
      </c>
      <c r="F909" t="s">
        <v>33</v>
      </c>
      <c r="G909" s="1">
        <v>698</v>
      </c>
      <c r="H909" t="s">
        <v>26</v>
      </c>
      <c r="I909" s="2">
        <v>44082</v>
      </c>
      <c r="J909" t="s">
        <v>152</v>
      </c>
      <c r="K909" t="s">
        <v>484</v>
      </c>
      <c r="L909">
        <v>45440</v>
      </c>
      <c r="M909" t="s">
        <v>21</v>
      </c>
      <c r="N909" t="str">
        <f>VLOOKUP(A909, Data_Set_2!$A:$D,2,FALSE)</f>
        <v>mromerogo</v>
      </c>
      <c r="O909" t="str">
        <f>VLOOKUP(A909, Data_Set_2!$A:$D,3,FALSE)</f>
        <v>Jazzy</v>
      </c>
      <c r="P909" t="str">
        <f>VLOOKUP(A909, Data_Set_2!$A:$D,4,FALSE)</f>
        <v>Structural Analysis Engineer</v>
      </c>
      <c r="Q909" t="str">
        <f>_xlfn.CONCAT(Table3[[#This Row],[first_name]], " ",Table3[[#This Row],[last_name]])</f>
        <v>Michael Romero</v>
      </c>
    </row>
    <row r="910" spans="1:17" hidden="1" x14ac:dyDescent="0.3">
      <c r="A910">
        <v>602</v>
      </c>
      <c r="B910" t="s">
        <v>499</v>
      </c>
      <c r="C910" t="s">
        <v>684</v>
      </c>
      <c r="D910" t="s">
        <v>1161</v>
      </c>
      <c r="E910" t="s">
        <v>16</v>
      </c>
      <c r="F910" t="s">
        <v>33</v>
      </c>
      <c r="G910" s="1">
        <v>645</v>
      </c>
      <c r="H910" t="s">
        <v>83</v>
      </c>
      <c r="I910" s="2">
        <v>44635</v>
      </c>
      <c r="J910" t="s">
        <v>58</v>
      </c>
      <c r="K910" t="s">
        <v>59</v>
      </c>
      <c r="L910">
        <v>67220</v>
      </c>
      <c r="M910" t="s">
        <v>21</v>
      </c>
      <c r="N910" t="str">
        <f>VLOOKUP(A910, Data_Set_2!$A:$D,2,FALSE)</f>
        <v>jfishergp</v>
      </c>
      <c r="O910" t="str">
        <f>VLOOKUP(A910, Data_Set_2!$A:$D,3,FALSE)</f>
        <v>Yozio</v>
      </c>
      <c r="P910" t="str">
        <f>VLOOKUP(A910, Data_Set_2!$A:$D,4,FALSE)</f>
        <v>Analyst Programmer</v>
      </c>
      <c r="Q910" t="str">
        <f>_xlfn.CONCAT(Table3[[#This Row],[first_name]], " ",Table3[[#This Row],[last_name]])</f>
        <v>Jason Fisher</v>
      </c>
    </row>
    <row r="911" spans="1:17" hidden="1" x14ac:dyDescent="0.3">
      <c r="A911">
        <v>604</v>
      </c>
      <c r="B911" t="s">
        <v>761</v>
      </c>
      <c r="C911" t="s">
        <v>30</v>
      </c>
      <c r="D911" t="s">
        <v>857</v>
      </c>
      <c r="E911" t="s">
        <v>16</v>
      </c>
      <c r="F911" t="s">
        <v>17</v>
      </c>
      <c r="G911" s="1">
        <v>839</v>
      </c>
      <c r="H911" t="s">
        <v>62</v>
      </c>
      <c r="I911" s="2">
        <v>43868</v>
      </c>
      <c r="J911" t="s">
        <v>246</v>
      </c>
      <c r="K911" t="s">
        <v>339</v>
      </c>
      <c r="L911">
        <v>60636</v>
      </c>
      <c r="M911" t="s">
        <v>21</v>
      </c>
      <c r="N911" t="str">
        <f>VLOOKUP(A911, Data_Set_2!$A:$D,2,FALSE)</f>
        <v>lmccoygr</v>
      </c>
      <c r="O911" t="str">
        <f>VLOOKUP(A911, Data_Set_2!$A:$D,3,FALSE)</f>
        <v>Topicstorm</v>
      </c>
      <c r="P911" t="str">
        <f>VLOOKUP(A911, Data_Set_2!$A:$D,4,FALSE)</f>
        <v>GIS Technical Architect</v>
      </c>
      <c r="Q911" t="str">
        <f>_xlfn.CONCAT(Table3[[#This Row],[first_name]], " ",Table3[[#This Row],[last_name]])</f>
        <v>Louis Mccoy</v>
      </c>
    </row>
    <row r="912" spans="1:17" x14ac:dyDescent="0.3">
      <c r="A912">
        <v>605</v>
      </c>
      <c r="B912" t="s">
        <v>905</v>
      </c>
      <c r="C912" t="s">
        <v>906</v>
      </c>
      <c r="D912" t="s">
        <v>907</v>
      </c>
      <c r="E912" t="s">
        <v>16</v>
      </c>
      <c r="F912" t="s">
        <v>33</v>
      </c>
      <c r="G912" s="1">
        <v>924</v>
      </c>
      <c r="H912" t="s">
        <v>95</v>
      </c>
      <c r="I912" s="2">
        <v>44012</v>
      </c>
      <c r="J912" t="s">
        <v>35</v>
      </c>
      <c r="K912" t="s">
        <v>908</v>
      </c>
      <c r="L912">
        <v>92127</v>
      </c>
      <c r="M912" t="s">
        <v>21</v>
      </c>
      <c r="N912" t="str">
        <f>VLOOKUP(A912, Data_Set_2!$A:$D,2,FALSE)</f>
        <v>clewisgs</v>
      </c>
      <c r="O912" t="str">
        <f>VLOOKUP(A912, Data_Set_2!$A:$D,3,FALSE)</f>
        <v>Innotype</v>
      </c>
      <c r="P912" t="str">
        <f>VLOOKUP(A912, Data_Set_2!$A:$D,4,FALSE)</f>
        <v>Research Nurse</v>
      </c>
      <c r="Q912" t="str">
        <f>_xlfn.CONCAT(Table3[[#This Row],[first_name]], " ",Table3[[#This Row],[last_name]])</f>
        <v>Carl Lewis</v>
      </c>
    </row>
    <row r="913" spans="1:17" hidden="1" x14ac:dyDescent="0.3">
      <c r="A913">
        <v>606</v>
      </c>
      <c r="B913" t="s">
        <v>782</v>
      </c>
      <c r="C913" t="s">
        <v>187</v>
      </c>
      <c r="D913" t="s">
        <v>1138</v>
      </c>
      <c r="E913" t="s">
        <v>32</v>
      </c>
      <c r="F913" t="s">
        <v>17</v>
      </c>
      <c r="G913" s="1">
        <v>12</v>
      </c>
      <c r="H913" t="s">
        <v>26</v>
      </c>
      <c r="I913" s="2">
        <v>44561</v>
      </c>
      <c r="J913" t="s">
        <v>35</v>
      </c>
      <c r="K913" t="s">
        <v>1139</v>
      </c>
      <c r="L913">
        <v>91797</v>
      </c>
      <c r="M913" t="s">
        <v>21</v>
      </c>
      <c r="N913" t="str">
        <f>VLOOKUP(A913, Data_Set_2!$A:$D,2,FALSE)</f>
        <v>tcarpentergt</v>
      </c>
      <c r="O913" t="str">
        <f>VLOOKUP(A913, Data_Set_2!$A:$D,3,FALSE)</f>
        <v>Mynte</v>
      </c>
      <c r="P913" t="str">
        <f>VLOOKUP(A913, Data_Set_2!$A:$D,4,FALSE)</f>
        <v>Web Designer I</v>
      </c>
      <c r="Q913" t="str">
        <f>_xlfn.CONCAT(Table3[[#This Row],[first_name]], " ",Table3[[#This Row],[last_name]])</f>
        <v>Tammy Carpenter</v>
      </c>
    </row>
    <row r="914" spans="1:17" hidden="1" x14ac:dyDescent="0.3">
      <c r="A914">
        <v>607</v>
      </c>
      <c r="B914" t="s">
        <v>207</v>
      </c>
      <c r="C914" t="s">
        <v>334</v>
      </c>
      <c r="D914" t="s">
        <v>664</v>
      </c>
      <c r="E914" t="s">
        <v>16</v>
      </c>
      <c r="F914" t="s">
        <v>33</v>
      </c>
      <c r="G914" s="1">
        <v>484</v>
      </c>
      <c r="H914" t="s">
        <v>26</v>
      </c>
      <c r="I914" s="2">
        <v>43586</v>
      </c>
      <c r="J914" t="s">
        <v>246</v>
      </c>
      <c r="K914" t="s">
        <v>339</v>
      </c>
      <c r="L914">
        <v>60686</v>
      </c>
      <c r="M914" t="s">
        <v>21</v>
      </c>
      <c r="N914" t="str">
        <f>VLOOKUP(A914, Data_Set_2!$A:$D,2,FALSE)</f>
        <v>mshawgu</v>
      </c>
      <c r="O914" t="str">
        <f>VLOOKUP(A914, Data_Set_2!$A:$D,3,FALSE)</f>
        <v>Edgeify</v>
      </c>
      <c r="P914" t="str">
        <f>VLOOKUP(A914, Data_Set_2!$A:$D,4,FALSE)</f>
        <v>Help Desk Technician</v>
      </c>
      <c r="Q914" t="str">
        <f>_xlfn.CONCAT(Table3[[#This Row],[first_name]], " ",Table3[[#This Row],[last_name]])</f>
        <v>Martin Shaw</v>
      </c>
    </row>
    <row r="915" spans="1:17" hidden="1" x14ac:dyDescent="0.3">
      <c r="A915">
        <v>608</v>
      </c>
      <c r="B915" t="s">
        <v>467</v>
      </c>
      <c r="C915" t="s">
        <v>468</v>
      </c>
      <c r="D915" t="s">
        <v>469</v>
      </c>
      <c r="E915" t="s">
        <v>16</v>
      </c>
      <c r="F915" t="s">
        <v>33</v>
      </c>
      <c r="G915" s="1">
        <v>622</v>
      </c>
      <c r="H915" t="s">
        <v>34</v>
      </c>
      <c r="I915" s="2">
        <v>43351</v>
      </c>
      <c r="J915" t="s">
        <v>393</v>
      </c>
      <c r="K915" t="s">
        <v>470</v>
      </c>
      <c r="L915">
        <v>37131</v>
      </c>
      <c r="M915" t="s">
        <v>21</v>
      </c>
      <c r="N915" t="str">
        <f>VLOOKUP(A915, Data_Set_2!$A:$D,2,FALSE)</f>
        <v>dbishopgv</v>
      </c>
      <c r="O915" t="str">
        <f>VLOOKUP(A915, Data_Set_2!$A:$D,3,FALSE)</f>
        <v>Mybuzz</v>
      </c>
      <c r="P915" t="str">
        <f>VLOOKUP(A915, Data_Set_2!$A:$D,4,FALSE)</f>
        <v>Physical Therapy Assistant</v>
      </c>
      <c r="Q915" t="str">
        <f>_xlfn.CONCAT(Table3[[#This Row],[first_name]], " ",Table3[[#This Row],[last_name]])</f>
        <v>Donald Bishop</v>
      </c>
    </row>
    <row r="916" spans="1:17" hidden="1" x14ac:dyDescent="0.3">
      <c r="A916">
        <v>609</v>
      </c>
      <c r="B916" t="s">
        <v>218</v>
      </c>
      <c r="C916" t="s">
        <v>49</v>
      </c>
      <c r="D916" t="s">
        <v>1068</v>
      </c>
      <c r="E916" t="s">
        <v>16</v>
      </c>
      <c r="F916" t="s">
        <v>553</v>
      </c>
      <c r="G916" s="1">
        <v>425</v>
      </c>
      <c r="H916" t="s">
        <v>109</v>
      </c>
      <c r="I916" s="2">
        <v>44366</v>
      </c>
      <c r="J916" t="s">
        <v>451</v>
      </c>
      <c r="K916" t="s">
        <v>823</v>
      </c>
      <c r="L916">
        <v>84135</v>
      </c>
      <c r="M916" t="s">
        <v>21</v>
      </c>
      <c r="N916" t="str">
        <f>VLOOKUP(A916, Data_Set_2!$A:$D,2,FALSE)</f>
        <v>ahartgw</v>
      </c>
      <c r="O916" t="str">
        <f>VLOOKUP(A916, Data_Set_2!$A:$D,3,FALSE)</f>
        <v>Dabtype</v>
      </c>
      <c r="P916" t="str">
        <f>VLOOKUP(A916, Data_Set_2!$A:$D,4,FALSE)</f>
        <v>Project Manager</v>
      </c>
      <c r="Q916" t="str">
        <f>_xlfn.CONCAT(Table3[[#This Row],[first_name]], " ",Table3[[#This Row],[last_name]])</f>
        <v>Arthur Hart</v>
      </c>
    </row>
    <row r="917" spans="1:17" hidden="1" x14ac:dyDescent="0.3">
      <c r="A917">
        <v>611</v>
      </c>
      <c r="B917" t="s">
        <v>54</v>
      </c>
      <c r="C917" t="s">
        <v>55</v>
      </c>
      <c r="D917" t="s">
        <v>56</v>
      </c>
      <c r="E917" t="s">
        <v>32</v>
      </c>
      <c r="F917" t="s">
        <v>33</v>
      </c>
      <c r="G917" s="1">
        <v>235</v>
      </c>
      <c r="H917" t="s">
        <v>4034</v>
      </c>
      <c r="I917" s="2">
        <v>43109</v>
      </c>
      <c r="J917" t="s">
        <v>58</v>
      </c>
      <c r="K917" t="s">
        <v>59</v>
      </c>
      <c r="L917">
        <v>67260</v>
      </c>
      <c r="M917" t="s">
        <v>21</v>
      </c>
      <c r="N917" t="str">
        <f>VLOOKUP(A917, Data_Set_2!$A:$D,2,FALSE)</f>
        <v>bhicksgy</v>
      </c>
      <c r="O917" t="str">
        <f>VLOOKUP(A917, Data_Set_2!$A:$D,3,FALSE)</f>
        <v>Feedfire</v>
      </c>
      <c r="P917" t="str">
        <f>VLOOKUP(A917, Data_Set_2!$A:$D,4,FALSE)</f>
        <v>Staff Scientist</v>
      </c>
      <c r="Q917" t="str">
        <f>_xlfn.CONCAT(Table3[[#This Row],[first_name]], " ",Table3[[#This Row],[last_name]])</f>
        <v>Barbara Hicks</v>
      </c>
    </row>
    <row r="918" spans="1:17" hidden="1" x14ac:dyDescent="0.3">
      <c r="A918">
        <v>612</v>
      </c>
      <c r="B918" t="s">
        <v>687</v>
      </c>
      <c r="C918" t="s">
        <v>684</v>
      </c>
      <c r="D918" t="s">
        <v>688</v>
      </c>
      <c r="E918" t="s">
        <v>16</v>
      </c>
      <c r="F918" t="s">
        <v>33</v>
      </c>
      <c r="G918" s="1">
        <v>940</v>
      </c>
      <c r="H918" t="s">
        <v>4038</v>
      </c>
      <c r="I918" s="2">
        <v>43615</v>
      </c>
      <c r="J918" t="s">
        <v>27</v>
      </c>
      <c r="K918" t="s">
        <v>28</v>
      </c>
      <c r="L918">
        <v>80291</v>
      </c>
      <c r="M918" t="s">
        <v>21</v>
      </c>
      <c r="N918" t="str">
        <f>VLOOKUP(A918, Data_Set_2!$A:$D,2,FALSE)</f>
        <v>rfishergz</v>
      </c>
      <c r="O918" t="str">
        <f>VLOOKUP(A918, Data_Set_2!$A:$D,3,FALSE)</f>
        <v>Skiba</v>
      </c>
      <c r="P918" t="str">
        <f>VLOOKUP(A918, Data_Set_2!$A:$D,4,FALSE)</f>
        <v>Accountant II</v>
      </c>
      <c r="Q918" t="str">
        <f>_xlfn.CONCAT(Table3[[#This Row],[first_name]], " ",Table3[[#This Row],[last_name]])</f>
        <v>Robert Fisher</v>
      </c>
    </row>
    <row r="919" spans="1:17" hidden="1" x14ac:dyDescent="0.3">
      <c r="A919">
        <v>613</v>
      </c>
      <c r="B919" t="s">
        <v>235</v>
      </c>
      <c r="C919" t="s">
        <v>641</v>
      </c>
      <c r="D919" t="s">
        <v>642</v>
      </c>
      <c r="E919" t="s">
        <v>32</v>
      </c>
      <c r="F919" t="s">
        <v>33</v>
      </c>
      <c r="G919" s="1">
        <v>507</v>
      </c>
      <c r="H919" t="s">
        <v>26</v>
      </c>
      <c r="I919" s="2">
        <v>43559</v>
      </c>
      <c r="J919" t="s">
        <v>152</v>
      </c>
      <c r="K919" t="s">
        <v>643</v>
      </c>
      <c r="L919">
        <v>43226</v>
      </c>
      <c r="M919" t="s">
        <v>21</v>
      </c>
      <c r="N919" t="str">
        <f>VLOOKUP(A919, Data_Set_2!$A:$D,2,FALSE)</f>
        <v>swalkerh0</v>
      </c>
      <c r="O919" t="str">
        <f>VLOOKUP(A919, Data_Set_2!$A:$D,3,FALSE)</f>
        <v>Oba</v>
      </c>
      <c r="P919" t="str">
        <f>VLOOKUP(A919, Data_Set_2!$A:$D,4,FALSE)</f>
        <v>Physical Therapy Assistant</v>
      </c>
      <c r="Q919" t="str">
        <f>_xlfn.CONCAT(Table3[[#This Row],[first_name]], " ",Table3[[#This Row],[last_name]])</f>
        <v>Sarah Walker</v>
      </c>
    </row>
    <row r="920" spans="1:17" hidden="1" x14ac:dyDescent="0.3">
      <c r="A920">
        <v>639</v>
      </c>
      <c r="B920" t="s">
        <v>851</v>
      </c>
      <c r="C920" t="s">
        <v>810</v>
      </c>
      <c r="D920" t="s">
        <v>852</v>
      </c>
      <c r="E920" t="s">
        <v>16</v>
      </c>
      <c r="F920" t="s">
        <v>17</v>
      </c>
      <c r="G920" s="1">
        <v>81</v>
      </c>
      <c r="H920" t="s">
        <v>26</v>
      </c>
      <c r="I920" s="2">
        <v>43856</v>
      </c>
      <c r="J920" t="s">
        <v>74</v>
      </c>
      <c r="K920" t="s">
        <v>551</v>
      </c>
      <c r="L920">
        <v>31405</v>
      </c>
      <c r="M920" t="s">
        <v>21</v>
      </c>
      <c r="N920" t="str">
        <f>VLOOKUP(A920, Data_Set_2!$A:$D,2,FALSE)</f>
        <v>kmillerhq</v>
      </c>
      <c r="O920" t="str">
        <f>VLOOKUP(A920, Data_Set_2!$A:$D,3,FALSE)</f>
        <v>Shuffledrive</v>
      </c>
      <c r="P920" t="str">
        <f>VLOOKUP(A920, Data_Set_2!$A:$D,4,FALSE)</f>
        <v>Assistant Professor</v>
      </c>
      <c r="Q920" t="str">
        <f>_xlfn.CONCAT(Table3[[#This Row],[first_name]], " ",Table3[[#This Row],[last_name]])</f>
        <v>Keith Miller</v>
      </c>
    </row>
    <row r="921" spans="1:17" hidden="1" x14ac:dyDescent="0.3">
      <c r="A921">
        <v>640</v>
      </c>
      <c r="B921" t="s">
        <v>166</v>
      </c>
      <c r="C921" t="s">
        <v>581</v>
      </c>
      <c r="D921" t="s">
        <v>582</v>
      </c>
      <c r="E921" t="s">
        <v>32</v>
      </c>
      <c r="F921" t="s">
        <v>33</v>
      </c>
      <c r="G921" s="1">
        <v>700</v>
      </c>
      <c r="H921" t="s">
        <v>34</v>
      </c>
      <c r="I921" s="2">
        <v>43482</v>
      </c>
      <c r="J921" t="s">
        <v>35</v>
      </c>
      <c r="K921" t="s">
        <v>583</v>
      </c>
      <c r="L921">
        <v>93150</v>
      </c>
      <c r="M921" t="s">
        <v>21</v>
      </c>
      <c r="N921" t="str">
        <f>VLOOKUP(A921, Data_Set_2!$A:$D,2,FALSE)</f>
        <v>bharveyhr</v>
      </c>
      <c r="O921" t="str">
        <f>VLOOKUP(A921, Data_Set_2!$A:$D,3,FALSE)</f>
        <v>Voomm</v>
      </c>
      <c r="P921" t="str">
        <f>VLOOKUP(A921, Data_Set_2!$A:$D,4,FALSE)</f>
        <v>Engineer IV</v>
      </c>
      <c r="Q921" t="str">
        <f>_xlfn.CONCAT(Table3[[#This Row],[first_name]], " ",Table3[[#This Row],[last_name]])</f>
        <v>Brenda Harvey</v>
      </c>
    </row>
    <row r="922" spans="1:17" x14ac:dyDescent="0.3">
      <c r="A922">
        <v>642</v>
      </c>
      <c r="B922" t="s">
        <v>293</v>
      </c>
      <c r="C922" t="s">
        <v>71</v>
      </c>
      <c r="D922" t="s">
        <v>853</v>
      </c>
      <c r="E922" t="s">
        <v>16</v>
      </c>
      <c r="F922" t="s">
        <v>33</v>
      </c>
      <c r="G922" s="1">
        <v>222</v>
      </c>
      <c r="H922" t="s">
        <v>95</v>
      </c>
      <c r="I922" s="2">
        <v>43859</v>
      </c>
      <c r="J922" t="s">
        <v>230</v>
      </c>
      <c r="K922" t="s">
        <v>260</v>
      </c>
      <c r="L922">
        <v>28220</v>
      </c>
      <c r="M922" t="s">
        <v>21</v>
      </c>
      <c r="N922" t="str">
        <f>VLOOKUP(A922, Data_Set_2!$A:$D,2,FALSE)</f>
        <v>tsimpsonht</v>
      </c>
      <c r="O922" t="str">
        <f>VLOOKUP(A922, Data_Set_2!$A:$D,3,FALSE)</f>
        <v>Edgeclub</v>
      </c>
      <c r="P922" t="str">
        <f>VLOOKUP(A922, Data_Set_2!$A:$D,4,FALSE)</f>
        <v>Automation Specialist II</v>
      </c>
      <c r="Q922" t="str">
        <f>_xlfn.CONCAT(Table3[[#This Row],[first_name]], " ",Table3[[#This Row],[last_name]])</f>
        <v>Thomas Simpson</v>
      </c>
    </row>
    <row r="923" spans="1:17" x14ac:dyDescent="0.3">
      <c r="A923">
        <v>642</v>
      </c>
      <c r="B923" t="s">
        <v>293</v>
      </c>
      <c r="C923" t="s">
        <v>71</v>
      </c>
      <c r="D923" t="s">
        <v>853</v>
      </c>
      <c r="E923" t="s">
        <v>16</v>
      </c>
      <c r="F923" t="s">
        <v>33</v>
      </c>
      <c r="G923" s="1">
        <v>527</v>
      </c>
      <c r="H923" t="s">
        <v>95</v>
      </c>
      <c r="I923" s="2">
        <v>44400</v>
      </c>
      <c r="J923" t="s">
        <v>230</v>
      </c>
      <c r="K923" t="s">
        <v>260</v>
      </c>
      <c r="L923">
        <v>28220</v>
      </c>
      <c r="M923" t="s">
        <v>21</v>
      </c>
      <c r="N923" t="str">
        <f>VLOOKUP(A923, Data_Set_2!$A:$D,2,FALSE)</f>
        <v>tsimpsonht</v>
      </c>
      <c r="O923" t="str">
        <f>VLOOKUP(A923, Data_Set_2!$A:$D,3,FALSE)</f>
        <v>Edgeclub</v>
      </c>
      <c r="P923" t="str">
        <f>VLOOKUP(A923, Data_Set_2!$A:$D,4,FALSE)</f>
        <v>Automation Specialist II</v>
      </c>
      <c r="Q923" t="str">
        <f>_xlfn.CONCAT(Table3[[#This Row],[first_name]], " ",Table3[[#This Row],[last_name]])</f>
        <v>Thomas Simpson</v>
      </c>
    </row>
    <row r="924" spans="1:17" hidden="1" x14ac:dyDescent="0.3">
      <c r="A924">
        <v>643</v>
      </c>
      <c r="B924" t="s">
        <v>775</v>
      </c>
      <c r="C924" t="s">
        <v>182</v>
      </c>
      <c r="D924" t="s">
        <v>785</v>
      </c>
      <c r="E924" t="s">
        <v>16</v>
      </c>
      <c r="F924" t="s">
        <v>33</v>
      </c>
      <c r="G924" s="1">
        <v>481</v>
      </c>
      <c r="H924" t="s">
        <v>26</v>
      </c>
      <c r="I924" s="2">
        <v>43752</v>
      </c>
      <c r="J924" t="s">
        <v>27</v>
      </c>
      <c r="K924" t="s">
        <v>28</v>
      </c>
      <c r="L924">
        <v>80255</v>
      </c>
      <c r="M924" t="s">
        <v>21</v>
      </c>
      <c r="N924" t="str">
        <f>VLOOKUP(A924, Data_Set_2!$A:$D,2,FALSE)</f>
        <v>jjameshu</v>
      </c>
      <c r="O924" t="str">
        <f>VLOOKUP(A924, Data_Set_2!$A:$D,3,FALSE)</f>
        <v>Photobean</v>
      </c>
      <c r="P924" t="str">
        <f>VLOOKUP(A924, Data_Set_2!$A:$D,4,FALSE)</f>
        <v>Environmental Specialist</v>
      </c>
      <c r="Q924" t="str">
        <f>_xlfn.CONCAT(Table3[[#This Row],[first_name]], " ",Table3[[#This Row],[last_name]])</f>
        <v>Jeffrey James</v>
      </c>
    </row>
    <row r="925" spans="1:17" hidden="1" x14ac:dyDescent="0.3">
      <c r="A925">
        <v>643</v>
      </c>
      <c r="B925" t="s">
        <v>775</v>
      </c>
      <c r="C925" t="s">
        <v>182</v>
      </c>
      <c r="D925" t="s">
        <v>785</v>
      </c>
      <c r="E925" t="s">
        <v>16</v>
      </c>
      <c r="F925" t="s">
        <v>33</v>
      </c>
      <c r="G925" s="1">
        <v>762</v>
      </c>
      <c r="H925" t="s">
        <v>26</v>
      </c>
      <c r="I925" s="2">
        <v>44360</v>
      </c>
      <c r="J925" t="s">
        <v>27</v>
      </c>
      <c r="K925" t="s">
        <v>28</v>
      </c>
      <c r="L925">
        <v>80255</v>
      </c>
      <c r="M925" t="s">
        <v>21</v>
      </c>
      <c r="N925" t="str">
        <f>VLOOKUP(A925, Data_Set_2!$A:$D,2,FALSE)</f>
        <v>jjameshu</v>
      </c>
      <c r="O925" t="str">
        <f>VLOOKUP(A925, Data_Set_2!$A:$D,3,FALSE)</f>
        <v>Photobean</v>
      </c>
      <c r="P925" t="str">
        <f>VLOOKUP(A925, Data_Set_2!$A:$D,4,FALSE)</f>
        <v>Environmental Specialist</v>
      </c>
      <c r="Q925" t="str">
        <f>_xlfn.CONCAT(Table3[[#This Row],[first_name]], " ",Table3[[#This Row],[last_name]])</f>
        <v>Jeffrey James</v>
      </c>
    </row>
    <row r="926" spans="1:17" hidden="1" x14ac:dyDescent="0.3">
      <c r="A926">
        <v>644</v>
      </c>
      <c r="B926" t="s">
        <v>252</v>
      </c>
      <c r="C926" t="s">
        <v>69</v>
      </c>
      <c r="D926" t="s">
        <v>253</v>
      </c>
      <c r="E926" t="s">
        <v>16</v>
      </c>
      <c r="F926" t="s">
        <v>33</v>
      </c>
      <c r="G926" s="1">
        <v>708</v>
      </c>
      <c r="H926" t="s">
        <v>26</v>
      </c>
      <c r="I926" s="2">
        <v>43195</v>
      </c>
      <c r="J926" t="s">
        <v>254</v>
      </c>
      <c r="K926" t="s">
        <v>255</v>
      </c>
      <c r="L926">
        <v>50981</v>
      </c>
      <c r="M926" t="s">
        <v>21</v>
      </c>
      <c r="N926" t="str">
        <f>VLOOKUP(A926, Data_Set_2!$A:$D,2,FALSE)</f>
        <v>jaustinhv</v>
      </c>
      <c r="O926" t="str">
        <f>VLOOKUP(A926, Data_Set_2!$A:$D,3,FALSE)</f>
        <v>Realfire</v>
      </c>
      <c r="P926" t="str">
        <f>VLOOKUP(A926, Data_Set_2!$A:$D,4,FALSE)</f>
        <v>Accounting Assistant III</v>
      </c>
      <c r="Q926" t="str">
        <f>_xlfn.CONCAT(Table3[[#This Row],[first_name]], " ",Table3[[#This Row],[last_name]])</f>
        <v>Joshua Austin</v>
      </c>
    </row>
    <row r="927" spans="1:17" hidden="1" x14ac:dyDescent="0.3">
      <c r="A927">
        <v>644</v>
      </c>
      <c r="B927" t="s">
        <v>252</v>
      </c>
      <c r="C927" t="s">
        <v>69</v>
      </c>
      <c r="D927" t="s">
        <v>253</v>
      </c>
      <c r="E927" t="s">
        <v>16</v>
      </c>
      <c r="F927" t="s">
        <v>33</v>
      </c>
      <c r="G927" s="1">
        <v>358</v>
      </c>
      <c r="H927" t="s">
        <v>26</v>
      </c>
      <c r="I927" s="2">
        <v>43522</v>
      </c>
      <c r="J927" t="s">
        <v>254</v>
      </c>
      <c r="K927" t="s">
        <v>255</v>
      </c>
      <c r="L927">
        <v>50981</v>
      </c>
      <c r="M927" t="s">
        <v>21</v>
      </c>
      <c r="N927" t="str">
        <f>VLOOKUP(A927, Data_Set_2!$A:$D,2,FALSE)</f>
        <v>jaustinhv</v>
      </c>
      <c r="O927" t="str">
        <f>VLOOKUP(A927, Data_Set_2!$A:$D,3,FALSE)</f>
        <v>Realfire</v>
      </c>
      <c r="P927" t="str">
        <f>VLOOKUP(A927, Data_Set_2!$A:$D,4,FALSE)</f>
        <v>Accounting Assistant III</v>
      </c>
      <c r="Q927" t="str">
        <f>_xlfn.CONCAT(Table3[[#This Row],[first_name]], " ",Table3[[#This Row],[last_name]])</f>
        <v>Joshua Austin</v>
      </c>
    </row>
    <row r="928" spans="1:17" hidden="1" x14ac:dyDescent="0.3">
      <c r="A928">
        <v>645</v>
      </c>
      <c r="B928" t="s">
        <v>389</v>
      </c>
      <c r="C928" t="s">
        <v>195</v>
      </c>
      <c r="D928" t="s">
        <v>390</v>
      </c>
      <c r="E928" t="s">
        <v>32</v>
      </c>
      <c r="F928" t="s">
        <v>25</v>
      </c>
      <c r="G928" s="1">
        <v>325</v>
      </c>
      <c r="H928" t="s">
        <v>26</v>
      </c>
      <c r="I928" s="2">
        <v>43282</v>
      </c>
      <c r="J928" t="s">
        <v>96</v>
      </c>
      <c r="K928" t="s">
        <v>391</v>
      </c>
      <c r="L928">
        <v>46805</v>
      </c>
      <c r="M928" t="s">
        <v>21</v>
      </c>
      <c r="N928" t="str">
        <f>VLOOKUP(A928, Data_Set_2!$A:$D,2,FALSE)</f>
        <v>iturnerhw</v>
      </c>
      <c r="O928" t="str">
        <f>VLOOKUP(A928, Data_Set_2!$A:$D,3,FALSE)</f>
        <v>Rhynoodle</v>
      </c>
      <c r="P928" t="str">
        <f>VLOOKUP(A928, Data_Set_2!$A:$D,4,FALSE)</f>
        <v>Nuclear Power Engineer</v>
      </c>
      <c r="Q928" t="str">
        <f>_xlfn.CONCAT(Table3[[#This Row],[first_name]], " ",Table3[[#This Row],[last_name]])</f>
        <v>Irene Turner</v>
      </c>
    </row>
    <row r="929" spans="1:17" hidden="1" x14ac:dyDescent="0.3">
      <c r="A929">
        <v>645</v>
      </c>
      <c r="B929" t="s">
        <v>389</v>
      </c>
      <c r="C929" t="s">
        <v>195</v>
      </c>
      <c r="D929" t="s">
        <v>390</v>
      </c>
      <c r="E929" t="s">
        <v>32</v>
      </c>
      <c r="F929" t="s">
        <v>25</v>
      </c>
      <c r="G929" s="1">
        <v>688</v>
      </c>
      <c r="H929" t="s">
        <v>26</v>
      </c>
      <c r="I929" s="2">
        <v>43384</v>
      </c>
      <c r="J929" t="s">
        <v>96</v>
      </c>
      <c r="K929" t="s">
        <v>391</v>
      </c>
      <c r="L929">
        <v>46805</v>
      </c>
      <c r="M929" t="s">
        <v>21</v>
      </c>
      <c r="N929" t="str">
        <f>VLOOKUP(A929, Data_Set_2!$A:$D,2,FALSE)</f>
        <v>iturnerhw</v>
      </c>
      <c r="O929" t="str">
        <f>VLOOKUP(A929, Data_Set_2!$A:$D,3,FALSE)</f>
        <v>Rhynoodle</v>
      </c>
      <c r="P929" t="str">
        <f>VLOOKUP(A929, Data_Set_2!$A:$D,4,FALSE)</f>
        <v>Nuclear Power Engineer</v>
      </c>
      <c r="Q929" t="str">
        <f>_xlfn.CONCAT(Table3[[#This Row],[first_name]], " ",Table3[[#This Row],[last_name]])</f>
        <v>Irene Turner</v>
      </c>
    </row>
    <row r="930" spans="1:17" hidden="1" x14ac:dyDescent="0.3">
      <c r="A930">
        <v>646</v>
      </c>
      <c r="B930" t="s">
        <v>413</v>
      </c>
      <c r="C930" t="s">
        <v>414</v>
      </c>
      <c r="D930" t="s">
        <v>415</v>
      </c>
      <c r="E930" t="s">
        <v>32</v>
      </c>
      <c r="F930" t="s">
        <v>33</v>
      </c>
      <c r="G930" s="1">
        <v>203</v>
      </c>
      <c r="H930" t="s">
        <v>416</v>
      </c>
      <c r="I930" s="2">
        <v>43295</v>
      </c>
      <c r="J930" t="s">
        <v>35</v>
      </c>
      <c r="K930" t="s">
        <v>129</v>
      </c>
      <c r="L930">
        <v>93750</v>
      </c>
      <c r="M930" t="s">
        <v>21</v>
      </c>
      <c r="N930" t="str">
        <f>VLOOKUP(A930, Data_Set_2!$A:$D,2,FALSE)</f>
        <v>kdiazhx</v>
      </c>
      <c r="O930" t="str">
        <f>VLOOKUP(A930, Data_Set_2!$A:$D,3,FALSE)</f>
        <v>Meezzy</v>
      </c>
      <c r="P930" t="str">
        <f>VLOOKUP(A930, Data_Set_2!$A:$D,4,FALSE)</f>
        <v>Community Outreach Specialist</v>
      </c>
      <c r="Q930" t="str">
        <f>_xlfn.CONCAT(Table3[[#This Row],[first_name]], " ",Table3[[#This Row],[last_name]])</f>
        <v>Kathryn Diaz</v>
      </c>
    </row>
    <row r="931" spans="1:17" hidden="1" x14ac:dyDescent="0.3">
      <c r="A931">
        <v>646</v>
      </c>
      <c r="B931" t="s">
        <v>413</v>
      </c>
      <c r="C931" t="s">
        <v>414</v>
      </c>
      <c r="D931" t="s">
        <v>415</v>
      </c>
      <c r="E931" t="s">
        <v>32</v>
      </c>
      <c r="F931" t="s">
        <v>33</v>
      </c>
      <c r="G931" s="1">
        <v>137</v>
      </c>
      <c r="H931" t="s">
        <v>416</v>
      </c>
      <c r="I931" s="2">
        <v>43518</v>
      </c>
      <c r="J931" t="s">
        <v>35</v>
      </c>
      <c r="K931" t="s">
        <v>129</v>
      </c>
      <c r="L931">
        <v>93750</v>
      </c>
      <c r="M931" t="s">
        <v>21</v>
      </c>
      <c r="N931" t="str">
        <f>VLOOKUP(A931, Data_Set_2!$A:$D,2,FALSE)</f>
        <v>kdiazhx</v>
      </c>
      <c r="O931" t="str">
        <f>VLOOKUP(A931, Data_Set_2!$A:$D,3,FALSE)</f>
        <v>Meezzy</v>
      </c>
      <c r="P931" t="str">
        <f>VLOOKUP(A931, Data_Set_2!$A:$D,4,FALSE)</f>
        <v>Community Outreach Specialist</v>
      </c>
      <c r="Q931" t="str">
        <f>_xlfn.CONCAT(Table3[[#This Row],[first_name]], " ",Table3[[#This Row],[last_name]])</f>
        <v>Kathryn Diaz</v>
      </c>
    </row>
    <row r="932" spans="1:17" hidden="1" x14ac:dyDescent="0.3">
      <c r="A932">
        <v>647</v>
      </c>
      <c r="B932" t="s">
        <v>377</v>
      </c>
      <c r="C932" t="s">
        <v>76</v>
      </c>
      <c r="D932" t="s">
        <v>378</v>
      </c>
      <c r="E932" t="s">
        <v>32</v>
      </c>
      <c r="F932" t="s">
        <v>33</v>
      </c>
      <c r="G932" s="1">
        <v>736</v>
      </c>
      <c r="H932" t="s">
        <v>4036</v>
      </c>
      <c r="I932" s="2">
        <v>43273</v>
      </c>
      <c r="J932" t="s">
        <v>230</v>
      </c>
      <c r="K932" t="s">
        <v>260</v>
      </c>
      <c r="L932">
        <v>28284</v>
      </c>
      <c r="M932" t="s">
        <v>21</v>
      </c>
      <c r="N932" t="str">
        <f>VLOOKUP(A932, Data_Set_2!$A:$D,2,FALSE)</f>
        <v>bphillipshy</v>
      </c>
      <c r="O932" t="str">
        <f>VLOOKUP(A932, Data_Set_2!$A:$D,3,FALSE)</f>
        <v>Twitterbeat</v>
      </c>
      <c r="P932" t="str">
        <f>VLOOKUP(A932, Data_Set_2!$A:$D,4,FALSE)</f>
        <v>Design Engineer</v>
      </c>
      <c r="Q932" t="str">
        <f>_xlfn.CONCAT(Table3[[#This Row],[first_name]], " ",Table3[[#This Row],[last_name]])</f>
        <v>Betty Phillips</v>
      </c>
    </row>
    <row r="933" spans="1:17" hidden="1" x14ac:dyDescent="0.3">
      <c r="A933">
        <v>647</v>
      </c>
      <c r="B933" t="s">
        <v>377</v>
      </c>
      <c r="C933" t="s">
        <v>76</v>
      </c>
      <c r="D933" t="s">
        <v>378</v>
      </c>
      <c r="E933" t="s">
        <v>32</v>
      </c>
      <c r="F933" t="s">
        <v>33</v>
      </c>
      <c r="G933" s="1">
        <v>160</v>
      </c>
      <c r="H933" t="s">
        <v>4036</v>
      </c>
      <c r="I933" s="2">
        <v>43769</v>
      </c>
      <c r="J933" t="s">
        <v>230</v>
      </c>
      <c r="K933" t="s">
        <v>260</v>
      </c>
      <c r="L933">
        <v>28284</v>
      </c>
      <c r="M933" t="s">
        <v>21</v>
      </c>
      <c r="N933" t="str">
        <f>VLOOKUP(A933, Data_Set_2!$A:$D,2,FALSE)</f>
        <v>bphillipshy</v>
      </c>
      <c r="O933" t="str">
        <f>VLOOKUP(A933, Data_Set_2!$A:$D,3,FALSE)</f>
        <v>Twitterbeat</v>
      </c>
      <c r="P933" t="str">
        <f>VLOOKUP(A933, Data_Set_2!$A:$D,4,FALSE)</f>
        <v>Design Engineer</v>
      </c>
      <c r="Q933" t="str">
        <f>_xlfn.CONCAT(Table3[[#This Row],[first_name]], " ",Table3[[#This Row],[last_name]])</f>
        <v>Betty Phillips</v>
      </c>
    </row>
    <row r="934" spans="1:17" hidden="1" x14ac:dyDescent="0.3">
      <c r="A934">
        <v>648</v>
      </c>
      <c r="B934" t="s">
        <v>616</v>
      </c>
      <c r="C934" t="s">
        <v>743</v>
      </c>
      <c r="D934" t="s">
        <v>1204</v>
      </c>
      <c r="E934" t="s">
        <v>32</v>
      </c>
      <c r="F934" t="s">
        <v>33</v>
      </c>
      <c r="G934" s="1">
        <v>352</v>
      </c>
      <c r="H934" t="s">
        <v>416</v>
      </c>
      <c r="I934" s="2">
        <v>44732</v>
      </c>
      <c r="J934" t="s">
        <v>35</v>
      </c>
      <c r="K934" t="s">
        <v>1205</v>
      </c>
      <c r="L934">
        <v>94975</v>
      </c>
      <c r="M934" t="s">
        <v>21</v>
      </c>
      <c r="N934" t="str">
        <f>VLOOKUP(A934, Data_Set_2!$A:$D,2,FALSE)</f>
        <v>bperkinshz</v>
      </c>
      <c r="O934" t="str">
        <f>VLOOKUP(A934, Data_Set_2!$A:$D,3,FALSE)</f>
        <v>Bubblemix</v>
      </c>
      <c r="P934" t="str">
        <f>VLOOKUP(A934, Data_Set_2!$A:$D,4,FALSE)</f>
        <v>Actuary</v>
      </c>
      <c r="Q934" t="str">
        <f>_xlfn.CONCAT(Table3[[#This Row],[first_name]], " ",Table3[[#This Row],[last_name]])</f>
        <v>Beverly Perkins</v>
      </c>
    </row>
    <row r="935" spans="1:17" hidden="1" x14ac:dyDescent="0.3">
      <c r="A935">
        <v>648</v>
      </c>
      <c r="B935" t="s">
        <v>616</v>
      </c>
      <c r="C935" t="s">
        <v>743</v>
      </c>
      <c r="D935" t="s">
        <v>1204</v>
      </c>
      <c r="E935" t="s">
        <v>32</v>
      </c>
      <c r="F935" t="s">
        <v>33</v>
      </c>
      <c r="G935" s="1">
        <v>578</v>
      </c>
      <c r="H935" t="s">
        <v>416</v>
      </c>
      <c r="I935" s="2">
        <v>44838</v>
      </c>
      <c r="J935" t="s">
        <v>35</v>
      </c>
      <c r="K935" t="s">
        <v>1205</v>
      </c>
      <c r="L935">
        <v>94975</v>
      </c>
      <c r="M935" t="s">
        <v>21</v>
      </c>
      <c r="N935" t="str">
        <f>VLOOKUP(A935, Data_Set_2!$A:$D,2,FALSE)</f>
        <v>bperkinshz</v>
      </c>
      <c r="O935" t="str">
        <f>VLOOKUP(A935, Data_Set_2!$A:$D,3,FALSE)</f>
        <v>Bubblemix</v>
      </c>
      <c r="P935" t="str">
        <f>VLOOKUP(A935, Data_Set_2!$A:$D,4,FALSE)</f>
        <v>Actuary</v>
      </c>
      <c r="Q935" t="str">
        <f>_xlfn.CONCAT(Table3[[#This Row],[first_name]], " ",Table3[[#This Row],[last_name]])</f>
        <v>Beverly Perkins</v>
      </c>
    </row>
    <row r="936" spans="1:17" hidden="1" x14ac:dyDescent="0.3">
      <c r="A936">
        <v>649</v>
      </c>
      <c r="B936" t="s">
        <v>166</v>
      </c>
      <c r="C936" t="s">
        <v>906</v>
      </c>
      <c r="D936" t="s">
        <v>1254</v>
      </c>
      <c r="E936" t="s">
        <v>32</v>
      </c>
      <c r="F936" t="s">
        <v>33</v>
      </c>
      <c r="G936" s="1">
        <v>114</v>
      </c>
      <c r="H936" t="s">
        <v>4037</v>
      </c>
      <c r="I936" s="2">
        <v>44889</v>
      </c>
      <c r="J936" t="s">
        <v>220</v>
      </c>
      <c r="K936" t="s">
        <v>295</v>
      </c>
      <c r="L936">
        <v>98185</v>
      </c>
      <c r="M936" t="s">
        <v>21</v>
      </c>
      <c r="N936" t="str">
        <f>VLOOKUP(A936, Data_Set_2!$A:$D,2,FALSE)</f>
        <v>blewisi0</v>
      </c>
      <c r="O936" t="str">
        <f>VLOOKUP(A936, Data_Set_2!$A:$D,3,FALSE)</f>
        <v>Kanoodle</v>
      </c>
      <c r="P936" t="str">
        <f>VLOOKUP(A936, Data_Set_2!$A:$D,4,FALSE)</f>
        <v>Assistant Professor</v>
      </c>
      <c r="Q936" t="str">
        <f>_xlfn.CONCAT(Table3[[#This Row],[first_name]], " ",Table3[[#This Row],[last_name]])</f>
        <v>Brenda Lewis</v>
      </c>
    </row>
    <row r="937" spans="1:17" hidden="1" x14ac:dyDescent="0.3">
      <c r="A937">
        <v>650</v>
      </c>
      <c r="B937" t="s">
        <v>194</v>
      </c>
      <c r="C937" t="s">
        <v>195</v>
      </c>
      <c r="D937" t="s">
        <v>196</v>
      </c>
      <c r="E937" t="s">
        <v>32</v>
      </c>
      <c r="F937" t="s">
        <v>33</v>
      </c>
      <c r="G937" s="1">
        <v>412</v>
      </c>
      <c r="H937" t="s">
        <v>4035</v>
      </c>
      <c r="I937" s="2">
        <v>43161</v>
      </c>
      <c r="J937" t="s">
        <v>184</v>
      </c>
      <c r="K937" t="s">
        <v>197</v>
      </c>
      <c r="L937">
        <v>10009</v>
      </c>
      <c r="M937" t="s">
        <v>21</v>
      </c>
      <c r="N937" t="str">
        <f>VLOOKUP(A937, Data_Set_2!$A:$D,2,FALSE)</f>
        <v>eturneri1</v>
      </c>
      <c r="O937" t="str">
        <f>VLOOKUP(A937, Data_Set_2!$A:$D,3,FALSE)</f>
        <v>Katz</v>
      </c>
      <c r="P937" t="str">
        <f>VLOOKUP(A937, Data_Set_2!$A:$D,4,FALSE)</f>
        <v>Administrative Officer</v>
      </c>
      <c r="Q937" t="str">
        <f>_xlfn.CONCAT(Table3[[#This Row],[first_name]], " ",Table3[[#This Row],[last_name]])</f>
        <v>Evelyn Turner</v>
      </c>
    </row>
    <row r="938" spans="1:17" hidden="1" x14ac:dyDescent="0.3">
      <c r="A938">
        <v>650</v>
      </c>
      <c r="B938" t="s">
        <v>194</v>
      </c>
      <c r="C938" t="s">
        <v>195</v>
      </c>
      <c r="D938" t="s">
        <v>196</v>
      </c>
      <c r="E938" t="s">
        <v>32</v>
      </c>
      <c r="F938" t="s">
        <v>33</v>
      </c>
      <c r="G938" s="1">
        <v>639</v>
      </c>
      <c r="H938" t="s">
        <v>4035</v>
      </c>
      <c r="I938" s="2">
        <v>44627</v>
      </c>
      <c r="J938" t="s">
        <v>184</v>
      </c>
      <c r="K938" t="s">
        <v>197</v>
      </c>
      <c r="L938">
        <v>10009</v>
      </c>
      <c r="M938" t="s">
        <v>21</v>
      </c>
      <c r="N938" t="str">
        <f>VLOOKUP(A938, Data_Set_2!$A:$D,2,FALSE)</f>
        <v>eturneri1</v>
      </c>
      <c r="O938" t="str">
        <f>VLOOKUP(A938, Data_Set_2!$A:$D,3,FALSE)</f>
        <v>Katz</v>
      </c>
      <c r="P938" t="str">
        <f>VLOOKUP(A938, Data_Set_2!$A:$D,4,FALSE)</f>
        <v>Administrative Officer</v>
      </c>
      <c r="Q938" t="str">
        <f>_xlfn.CONCAT(Table3[[#This Row],[first_name]], " ",Table3[[#This Row],[last_name]])</f>
        <v>Evelyn Turner</v>
      </c>
    </row>
    <row r="939" spans="1:17" hidden="1" x14ac:dyDescent="0.3">
      <c r="A939">
        <v>651</v>
      </c>
      <c r="B939" t="s">
        <v>70</v>
      </c>
      <c r="C939" t="s">
        <v>682</v>
      </c>
      <c r="D939" t="s">
        <v>1063</v>
      </c>
      <c r="E939" t="s">
        <v>32</v>
      </c>
      <c r="F939" t="s">
        <v>17</v>
      </c>
      <c r="G939" s="1">
        <v>727</v>
      </c>
      <c r="H939" t="s">
        <v>4034</v>
      </c>
      <c r="I939" s="2">
        <v>44351</v>
      </c>
      <c r="J939" t="s">
        <v>19</v>
      </c>
      <c r="K939" t="s">
        <v>932</v>
      </c>
      <c r="L939">
        <v>2163</v>
      </c>
      <c r="M939" t="s">
        <v>21</v>
      </c>
      <c r="N939" t="str">
        <f>VLOOKUP(A939, Data_Set_2!$A:$D,2,FALSE)</f>
        <v>rmendozai2</v>
      </c>
      <c r="O939" t="str">
        <f>VLOOKUP(A939, Data_Set_2!$A:$D,3,FALSE)</f>
        <v>Jetpulse</v>
      </c>
      <c r="P939" t="str">
        <f>VLOOKUP(A939, Data_Set_2!$A:$D,4,FALSE)</f>
        <v>Internal Auditor</v>
      </c>
      <c r="Q939" t="str">
        <f>_xlfn.CONCAT(Table3[[#This Row],[first_name]], " ",Table3[[#This Row],[last_name]])</f>
        <v>Ruth Mendoza</v>
      </c>
    </row>
    <row r="940" spans="1:17" hidden="1" x14ac:dyDescent="0.3">
      <c r="A940">
        <v>652</v>
      </c>
      <c r="B940" t="s">
        <v>194</v>
      </c>
      <c r="C940" t="s">
        <v>343</v>
      </c>
      <c r="D940" t="s">
        <v>344</v>
      </c>
      <c r="E940" t="s">
        <v>32</v>
      </c>
      <c r="F940" t="s">
        <v>33</v>
      </c>
      <c r="G940" s="1">
        <v>336</v>
      </c>
      <c r="H940" t="s">
        <v>26</v>
      </c>
      <c r="I940" s="2">
        <v>43253</v>
      </c>
      <c r="J940" t="s">
        <v>345</v>
      </c>
      <c r="K940" t="s">
        <v>220</v>
      </c>
      <c r="L940">
        <v>20238</v>
      </c>
      <c r="M940" t="s">
        <v>21</v>
      </c>
      <c r="N940" t="str">
        <f>VLOOKUP(A940, Data_Set_2!$A:$D,2,FALSE)</f>
        <v>ehanseni3</v>
      </c>
      <c r="O940" t="str">
        <f>VLOOKUP(A940, Data_Set_2!$A:$D,3,FALSE)</f>
        <v>Roodel</v>
      </c>
      <c r="P940" t="str">
        <f>VLOOKUP(A940, Data_Set_2!$A:$D,4,FALSE)</f>
        <v>Design Engineer</v>
      </c>
      <c r="Q940" t="str">
        <f>_xlfn.CONCAT(Table3[[#This Row],[first_name]], " ",Table3[[#This Row],[last_name]])</f>
        <v>Evelyn Hansen</v>
      </c>
    </row>
    <row r="941" spans="1:17" hidden="1" x14ac:dyDescent="0.3">
      <c r="A941">
        <v>652</v>
      </c>
      <c r="B941" t="s">
        <v>194</v>
      </c>
      <c r="C941" t="s">
        <v>343</v>
      </c>
      <c r="D941" t="s">
        <v>344</v>
      </c>
      <c r="E941" t="s">
        <v>32</v>
      </c>
      <c r="F941" t="s">
        <v>33</v>
      </c>
      <c r="G941" s="1">
        <v>31</v>
      </c>
      <c r="H941" t="s">
        <v>26</v>
      </c>
      <c r="I941" s="2">
        <v>44823</v>
      </c>
      <c r="J941" t="s">
        <v>345</v>
      </c>
      <c r="K941" t="s">
        <v>220</v>
      </c>
      <c r="L941">
        <v>20238</v>
      </c>
      <c r="M941" t="s">
        <v>21</v>
      </c>
      <c r="N941" t="str">
        <f>VLOOKUP(A941, Data_Set_2!$A:$D,2,FALSE)</f>
        <v>ehanseni3</v>
      </c>
      <c r="O941" t="str">
        <f>VLOOKUP(A941, Data_Set_2!$A:$D,3,FALSE)</f>
        <v>Roodel</v>
      </c>
      <c r="P941" t="str">
        <f>VLOOKUP(A941, Data_Set_2!$A:$D,4,FALSE)</f>
        <v>Design Engineer</v>
      </c>
      <c r="Q941" t="str">
        <f>_xlfn.CONCAT(Table3[[#This Row],[first_name]], " ",Table3[[#This Row],[last_name]])</f>
        <v>Evelyn Hansen</v>
      </c>
    </row>
    <row r="942" spans="1:17" hidden="1" x14ac:dyDescent="0.3">
      <c r="A942">
        <v>655</v>
      </c>
      <c r="B942" t="s">
        <v>584</v>
      </c>
      <c r="C942" t="s">
        <v>760</v>
      </c>
      <c r="D942" t="s">
        <v>830</v>
      </c>
      <c r="E942" t="s">
        <v>32</v>
      </c>
      <c r="F942" t="s">
        <v>33</v>
      </c>
      <c r="G942" s="1">
        <v>269</v>
      </c>
      <c r="H942" t="s">
        <v>73</v>
      </c>
      <c r="I942" s="2">
        <v>43827</v>
      </c>
      <c r="J942" t="s">
        <v>138</v>
      </c>
      <c r="K942" t="s">
        <v>139</v>
      </c>
      <c r="L942">
        <v>97221</v>
      </c>
      <c r="M942" t="s">
        <v>21</v>
      </c>
      <c r="N942" t="str">
        <f>VLOOKUP(A942, Data_Set_2!$A:$D,2,FALSE)</f>
        <v>sandersoni6</v>
      </c>
      <c r="O942" t="str">
        <f>VLOOKUP(A942, Data_Set_2!$A:$D,3,FALSE)</f>
        <v>Ooba</v>
      </c>
      <c r="P942" t="str">
        <f>VLOOKUP(A942, Data_Set_2!$A:$D,4,FALSE)</f>
        <v>Chief Design Engineer</v>
      </c>
      <c r="Q942" t="str">
        <f>_xlfn.CONCAT(Table3[[#This Row],[first_name]], " ",Table3[[#This Row],[last_name]])</f>
        <v>Stephanie Anderson</v>
      </c>
    </row>
    <row r="943" spans="1:17" hidden="1" x14ac:dyDescent="0.3">
      <c r="A943">
        <v>667</v>
      </c>
      <c r="B943" t="s">
        <v>680</v>
      </c>
      <c r="C943" t="s">
        <v>737</v>
      </c>
      <c r="D943" t="s">
        <v>1180</v>
      </c>
      <c r="E943" t="s">
        <v>16</v>
      </c>
      <c r="F943" t="s">
        <v>17</v>
      </c>
      <c r="G943" s="1">
        <v>111</v>
      </c>
      <c r="H943" t="s">
        <v>416</v>
      </c>
      <c r="I943" s="2">
        <v>44678</v>
      </c>
      <c r="J943" t="s">
        <v>246</v>
      </c>
      <c r="K943" t="s">
        <v>690</v>
      </c>
      <c r="L943">
        <v>60505</v>
      </c>
      <c r="M943" t="s">
        <v>21</v>
      </c>
      <c r="N943" t="str">
        <f>VLOOKUP(A943, Data_Set_2!$A:$D,2,FALSE)</f>
        <v>jwoodii</v>
      </c>
      <c r="O943" t="str">
        <f>VLOOKUP(A943, Data_Set_2!$A:$D,3,FALSE)</f>
        <v>Oozz</v>
      </c>
      <c r="P943" t="str">
        <f>VLOOKUP(A943, Data_Set_2!$A:$D,4,FALSE)</f>
        <v>Database Administrator II</v>
      </c>
      <c r="Q943" t="str">
        <f>_xlfn.CONCAT(Table3[[#This Row],[first_name]], " ",Table3[[#This Row],[last_name]])</f>
        <v>John Wood</v>
      </c>
    </row>
    <row r="944" spans="1:17" hidden="1" x14ac:dyDescent="0.3">
      <c r="A944">
        <v>669</v>
      </c>
      <c r="B944" t="s">
        <v>198</v>
      </c>
      <c r="C944" t="s">
        <v>482</v>
      </c>
      <c r="D944" t="s">
        <v>577</v>
      </c>
      <c r="E944" t="s">
        <v>16</v>
      </c>
      <c r="F944" t="s">
        <v>33</v>
      </c>
      <c r="G944" s="1">
        <v>262</v>
      </c>
      <c r="H944" t="s">
        <v>26</v>
      </c>
      <c r="I944" s="2">
        <v>43480</v>
      </c>
      <c r="J944" t="s">
        <v>393</v>
      </c>
      <c r="K944" t="s">
        <v>578</v>
      </c>
      <c r="L944">
        <v>38181</v>
      </c>
      <c r="M944" t="s">
        <v>21</v>
      </c>
      <c r="N944" t="str">
        <f>VLOOKUP(A944, Data_Set_2!$A:$D,2,FALSE)</f>
        <v>afernandezik</v>
      </c>
      <c r="O944" t="str">
        <f>VLOOKUP(A944, Data_Set_2!$A:$D,3,FALSE)</f>
        <v>Zoombox</v>
      </c>
      <c r="P944" t="str">
        <f>VLOOKUP(A944, Data_Set_2!$A:$D,4,FALSE)</f>
        <v>Compensation Analyst</v>
      </c>
      <c r="Q944" t="str">
        <f>_xlfn.CONCAT(Table3[[#This Row],[first_name]], " ",Table3[[#This Row],[last_name]])</f>
        <v>Anthony Fernandez</v>
      </c>
    </row>
    <row r="945" spans="1:17" hidden="1" x14ac:dyDescent="0.3">
      <c r="A945">
        <v>670</v>
      </c>
      <c r="B945" t="s">
        <v>381</v>
      </c>
      <c r="C945" t="s">
        <v>302</v>
      </c>
      <c r="D945" t="s">
        <v>828</v>
      </c>
      <c r="E945" t="s">
        <v>16</v>
      </c>
      <c r="F945" t="s">
        <v>25</v>
      </c>
      <c r="G945" s="1">
        <v>580</v>
      </c>
      <c r="H945" t="s">
        <v>26</v>
      </c>
      <c r="I945" s="2">
        <v>43820</v>
      </c>
      <c r="J945" t="s">
        <v>68</v>
      </c>
      <c r="K945" t="s">
        <v>234</v>
      </c>
      <c r="L945">
        <v>77010</v>
      </c>
      <c r="M945" t="s">
        <v>21</v>
      </c>
      <c r="N945" t="str">
        <f>VLOOKUP(A945, Data_Set_2!$A:$D,2,FALSE)</f>
        <v>mmitchellil</v>
      </c>
      <c r="O945" t="str">
        <f>VLOOKUP(A945, Data_Set_2!$A:$D,3,FALSE)</f>
        <v>Thoughtstorm</v>
      </c>
      <c r="P945" t="str">
        <f>VLOOKUP(A945, Data_Set_2!$A:$D,4,FALSE)</f>
        <v>Safety Technician II</v>
      </c>
      <c r="Q945" t="str">
        <f>_xlfn.CONCAT(Table3[[#This Row],[first_name]], " ",Table3[[#This Row],[last_name]])</f>
        <v>Matthew Mitchell</v>
      </c>
    </row>
    <row r="946" spans="1:17" hidden="1" x14ac:dyDescent="0.3">
      <c r="A946">
        <v>673</v>
      </c>
      <c r="B946" t="s">
        <v>1174</v>
      </c>
      <c r="C946" t="s">
        <v>883</v>
      </c>
      <c r="D946" t="s">
        <v>1175</v>
      </c>
      <c r="E946" t="s">
        <v>16</v>
      </c>
      <c r="F946" t="s">
        <v>33</v>
      </c>
      <c r="G946" s="1">
        <v>282</v>
      </c>
      <c r="H946" t="s">
        <v>26</v>
      </c>
      <c r="I946" s="2">
        <v>44665</v>
      </c>
      <c r="J946" t="s">
        <v>41</v>
      </c>
      <c r="K946" t="s">
        <v>442</v>
      </c>
      <c r="L946">
        <v>40510</v>
      </c>
      <c r="M946" t="s">
        <v>21</v>
      </c>
      <c r="N946" t="str">
        <f>VLOOKUP(A946, Data_Set_2!$A:$D,2,FALSE)</f>
        <v>jrobertsio</v>
      </c>
      <c r="O946" t="str">
        <f>VLOOKUP(A946, Data_Set_2!$A:$D,3,FALSE)</f>
        <v>Linkbuzz</v>
      </c>
      <c r="P946" t="str">
        <f>VLOOKUP(A946, Data_Set_2!$A:$D,4,FALSE)</f>
        <v>Help Desk Technician</v>
      </c>
      <c r="Q946" t="str">
        <f>_xlfn.CONCAT(Table3[[#This Row],[first_name]], " ",Table3[[#This Row],[last_name]])</f>
        <v>Joseph Roberts</v>
      </c>
    </row>
    <row r="947" spans="1:17" hidden="1" x14ac:dyDescent="0.3">
      <c r="A947">
        <v>674</v>
      </c>
      <c r="B947" t="s">
        <v>366</v>
      </c>
      <c r="C947" t="s">
        <v>396</v>
      </c>
      <c r="D947" t="s">
        <v>747</v>
      </c>
      <c r="E947" t="s">
        <v>32</v>
      </c>
      <c r="F947" t="s">
        <v>17</v>
      </c>
      <c r="G947" s="1">
        <v>977</v>
      </c>
      <c r="H947" t="s">
        <v>26</v>
      </c>
      <c r="I947" s="2">
        <v>43695</v>
      </c>
      <c r="J947" t="s">
        <v>563</v>
      </c>
      <c r="K947" t="s">
        <v>564</v>
      </c>
      <c r="L947">
        <v>83705</v>
      </c>
      <c r="M947" t="s">
        <v>21</v>
      </c>
      <c r="N947" t="str">
        <f>VLOOKUP(A947, Data_Set_2!$A:$D,2,FALSE)</f>
        <v>rgordonip</v>
      </c>
      <c r="O947" t="str">
        <f>VLOOKUP(A947, Data_Set_2!$A:$D,3,FALSE)</f>
        <v>Topicstorm</v>
      </c>
      <c r="P947" t="str">
        <f>VLOOKUP(A947, Data_Set_2!$A:$D,4,FALSE)</f>
        <v>Research Nurse</v>
      </c>
      <c r="Q947" t="str">
        <f>_xlfn.CONCAT(Table3[[#This Row],[first_name]], " ",Table3[[#This Row],[last_name]])</f>
        <v>Rose Gordon</v>
      </c>
    </row>
    <row r="948" spans="1:17" hidden="1" x14ac:dyDescent="0.3">
      <c r="A948">
        <v>675</v>
      </c>
      <c r="B948" t="s">
        <v>29</v>
      </c>
      <c r="C948" t="s">
        <v>1026</v>
      </c>
      <c r="D948" t="s">
        <v>1027</v>
      </c>
      <c r="E948" t="s">
        <v>32</v>
      </c>
      <c r="F948" t="s">
        <v>33</v>
      </c>
      <c r="G948" s="1">
        <v>513</v>
      </c>
      <c r="H948" t="s">
        <v>4037</v>
      </c>
      <c r="I948" s="2">
        <v>44288</v>
      </c>
      <c r="J948" t="s">
        <v>172</v>
      </c>
      <c r="K948" t="s">
        <v>145</v>
      </c>
      <c r="L948">
        <v>39210</v>
      </c>
      <c r="M948" t="s">
        <v>21</v>
      </c>
      <c r="N948" t="str">
        <f>VLOOKUP(A948, Data_Set_2!$A:$D,2,FALSE)</f>
        <v>tschmidtiq</v>
      </c>
      <c r="O948" t="str">
        <f>VLOOKUP(A948, Data_Set_2!$A:$D,3,FALSE)</f>
        <v>Brightbean</v>
      </c>
      <c r="P948" t="str">
        <f>VLOOKUP(A948, Data_Set_2!$A:$D,4,FALSE)</f>
        <v>Quality Engineer</v>
      </c>
      <c r="Q948" t="str">
        <f>_xlfn.CONCAT(Table3[[#This Row],[first_name]], " ",Table3[[#This Row],[last_name]])</f>
        <v>Tina Schmidt</v>
      </c>
    </row>
    <row r="949" spans="1:17" hidden="1" x14ac:dyDescent="0.3">
      <c r="A949">
        <v>676</v>
      </c>
      <c r="B949" t="s">
        <v>499</v>
      </c>
      <c r="C949" t="s">
        <v>513</v>
      </c>
      <c r="D949" t="s">
        <v>514</v>
      </c>
      <c r="E949" t="s">
        <v>16</v>
      </c>
      <c r="F949" t="s">
        <v>17</v>
      </c>
      <c r="G949" s="1">
        <v>532</v>
      </c>
      <c r="H949" t="s">
        <v>26</v>
      </c>
      <c r="I949" s="2">
        <v>43403</v>
      </c>
      <c r="J949" t="s">
        <v>192</v>
      </c>
      <c r="K949" t="s">
        <v>515</v>
      </c>
      <c r="L949">
        <v>55123</v>
      </c>
      <c r="M949" t="s">
        <v>21</v>
      </c>
      <c r="N949" t="str">
        <f>VLOOKUP(A949, Data_Set_2!$A:$D,2,FALSE)</f>
        <v>jlawrenceir</v>
      </c>
      <c r="O949" t="str">
        <f>VLOOKUP(A949, Data_Set_2!$A:$D,3,FALSE)</f>
        <v>Twitterbridge</v>
      </c>
      <c r="P949" t="str">
        <f>VLOOKUP(A949, Data_Set_2!$A:$D,4,FALSE)</f>
        <v>Nurse</v>
      </c>
      <c r="Q949" t="str">
        <f>_xlfn.CONCAT(Table3[[#This Row],[first_name]], " ",Table3[[#This Row],[last_name]])</f>
        <v>Jason Lawrence</v>
      </c>
    </row>
    <row r="950" spans="1:17" hidden="1" x14ac:dyDescent="0.3">
      <c r="A950">
        <v>676</v>
      </c>
      <c r="B950" t="s">
        <v>499</v>
      </c>
      <c r="C950" t="s">
        <v>513</v>
      </c>
      <c r="D950" t="s">
        <v>514</v>
      </c>
      <c r="E950" t="s">
        <v>16</v>
      </c>
      <c r="F950" t="s">
        <v>17</v>
      </c>
      <c r="G950" s="1">
        <v>794</v>
      </c>
      <c r="H950" t="s">
        <v>26</v>
      </c>
      <c r="I950" s="2">
        <v>43446</v>
      </c>
      <c r="J950" t="s">
        <v>192</v>
      </c>
      <c r="K950" t="s">
        <v>515</v>
      </c>
      <c r="L950">
        <v>55123</v>
      </c>
      <c r="M950" t="s">
        <v>21</v>
      </c>
      <c r="N950" t="str">
        <f>VLOOKUP(A950, Data_Set_2!$A:$D,2,FALSE)</f>
        <v>jlawrenceir</v>
      </c>
      <c r="O950" t="str">
        <f>VLOOKUP(A950, Data_Set_2!$A:$D,3,FALSE)</f>
        <v>Twitterbridge</v>
      </c>
      <c r="P950" t="str">
        <f>VLOOKUP(A950, Data_Set_2!$A:$D,4,FALSE)</f>
        <v>Nurse</v>
      </c>
      <c r="Q950" t="str">
        <f>_xlfn.CONCAT(Table3[[#This Row],[first_name]], " ",Table3[[#This Row],[last_name]])</f>
        <v>Jason Lawrence</v>
      </c>
    </row>
    <row r="951" spans="1:17" hidden="1" x14ac:dyDescent="0.3">
      <c r="A951">
        <v>676</v>
      </c>
      <c r="B951" t="s">
        <v>499</v>
      </c>
      <c r="C951" t="s">
        <v>513</v>
      </c>
      <c r="D951" t="s">
        <v>514</v>
      </c>
      <c r="E951" t="s">
        <v>16</v>
      </c>
      <c r="F951" t="s">
        <v>17</v>
      </c>
      <c r="G951" s="1">
        <v>225</v>
      </c>
      <c r="H951" t="s">
        <v>26</v>
      </c>
      <c r="I951" s="2">
        <v>43729</v>
      </c>
      <c r="J951" t="s">
        <v>192</v>
      </c>
      <c r="K951" t="s">
        <v>515</v>
      </c>
      <c r="L951">
        <v>55123</v>
      </c>
      <c r="M951" t="s">
        <v>21</v>
      </c>
      <c r="N951" t="str">
        <f>VLOOKUP(A951, Data_Set_2!$A:$D,2,FALSE)</f>
        <v>jlawrenceir</v>
      </c>
      <c r="O951" t="str">
        <f>VLOOKUP(A951, Data_Set_2!$A:$D,3,FALSE)</f>
        <v>Twitterbridge</v>
      </c>
      <c r="P951" t="str">
        <f>VLOOKUP(A951, Data_Set_2!$A:$D,4,FALSE)</f>
        <v>Nurse</v>
      </c>
      <c r="Q951" t="str">
        <f>_xlfn.CONCAT(Table3[[#This Row],[first_name]], " ",Table3[[#This Row],[last_name]])</f>
        <v>Jason Lawrence</v>
      </c>
    </row>
    <row r="952" spans="1:17" hidden="1" x14ac:dyDescent="0.3">
      <c r="A952">
        <v>676</v>
      </c>
      <c r="B952" t="s">
        <v>499</v>
      </c>
      <c r="C952" t="s">
        <v>513</v>
      </c>
      <c r="D952" t="s">
        <v>514</v>
      </c>
      <c r="E952" t="s">
        <v>16</v>
      </c>
      <c r="F952" t="s">
        <v>17</v>
      </c>
      <c r="G952" s="1">
        <v>641</v>
      </c>
      <c r="H952" t="s">
        <v>26</v>
      </c>
      <c r="I952" s="2">
        <v>43814</v>
      </c>
      <c r="J952" t="s">
        <v>192</v>
      </c>
      <c r="K952" t="s">
        <v>515</v>
      </c>
      <c r="L952">
        <v>55123</v>
      </c>
      <c r="M952" t="s">
        <v>21</v>
      </c>
      <c r="N952" t="str">
        <f>VLOOKUP(A952, Data_Set_2!$A:$D,2,FALSE)</f>
        <v>jlawrenceir</v>
      </c>
      <c r="O952" t="str">
        <f>VLOOKUP(A952, Data_Set_2!$A:$D,3,FALSE)</f>
        <v>Twitterbridge</v>
      </c>
      <c r="P952" t="str">
        <f>VLOOKUP(A952, Data_Set_2!$A:$D,4,FALSE)</f>
        <v>Nurse</v>
      </c>
      <c r="Q952" t="str">
        <f>_xlfn.CONCAT(Table3[[#This Row],[first_name]], " ",Table3[[#This Row],[last_name]])</f>
        <v>Jason Lawrence</v>
      </c>
    </row>
    <row r="953" spans="1:17" hidden="1" x14ac:dyDescent="0.3">
      <c r="A953">
        <v>676</v>
      </c>
      <c r="B953" t="s">
        <v>499</v>
      </c>
      <c r="C953" t="s">
        <v>513</v>
      </c>
      <c r="D953" t="s">
        <v>514</v>
      </c>
      <c r="E953" t="s">
        <v>16</v>
      </c>
      <c r="F953" t="s">
        <v>17</v>
      </c>
      <c r="G953" s="1">
        <v>879</v>
      </c>
      <c r="H953" t="s">
        <v>26</v>
      </c>
      <c r="I953" s="2">
        <v>43832</v>
      </c>
      <c r="J953" t="s">
        <v>192</v>
      </c>
      <c r="K953" t="s">
        <v>515</v>
      </c>
      <c r="L953">
        <v>55123</v>
      </c>
      <c r="M953" t="s">
        <v>21</v>
      </c>
      <c r="N953" t="str">
        <f>VLOOKUP(A953, Data_Set_2!$A:$D,2,FALSE)</f>
        <v>jlawrenceir</v>
      </c>
      <c r="O953" t="str">
        <f>VLOOKUP(A953, Data_Set_2!$A:$D,3,FALSE)</f>
        <v>Twitterbridge</v>
      </c>
      <c r="P953" t="str">
        <f>VLOOKUP(A953, Data_Set_2!$A:$D,4,FALSE)</f>
        <v>Nurse</v>
      </c>
      <c r="Q953" t="str">
        <f>_xlfn.CONCAT(Table3[[#This Row],[first_name]], " ",Table3[[#This Row],[last_name]])</f>
        <v>Jason Lawrence</v>
      </c>
    </row>
    <row r="954" spans="1:17" hidden="1" x14ac:dyDescent="0.3">
      <c r="A954">
        <v>676</v>
      </c>
      <c r="B954" t="s">
        <v>499</v>
      </c>
      <c r="C954" t="s">
        <v>513</v>
      </c>
      <c r="D954" t="s">
        <v>514</v>
      </c>
      <c r="E954" t="s">
        <v>16</v>
      </c>
      <c r="F954" t="s">
        <v>17</v>
      </c>
      <c r="G954" s="1">
        <v>821</v>
      </c>
      <c r="H954" t="s">
        <v>26</v>
      </c>
      <c r="I954" s="2">
        <v>43938</v>
      </c>
      <c r="J954" t="s">
        <v>192</v>
      </c>
      <c r="K954" t="s">
        <v>515</v>
      </c>
      <c r="L954">
        <v>55123</v>
      </c>
      <c r="M954" t="s">
        <v>21</v>
      </c>
      <c r="N954" t="str">
        <f>VLOOKUP(A954, Data_Set_2!$A:$D,2,FALSE)</f>
        <v>jlawrenceir</v>
      </c>
      <c r="O954" t="str">
        <f>VLOOKUP(A954, Data_Set_2!$A:$D,3,FALSE)</f>
        <v>Twitterbridge</v>
      </c>
      <c r="P954" t="str">
        <f>VLOOKUP(A954, Data_Set_2!$A:$D,4,FALSE)</f>
        <v>Nurse</v>
      </c>
      <c r="Q954" t="str">
        <f>_xlfn.CONCAT(Table3[[#This Row],[first_name]], " ",Table3[[#This Row],[last_name]])</f>
        <v>Jason Lawrence</v>
      </c>
    </row>
    <row r="955" spans="1:17" hidden="1" x14ac:dyDescent="0.3">
      <c r="A955">
        <v>676</v>
      </c>
      <c r="B955" t="s">
        <v>499</v>
      </c>
      <c r="C955" t="s">
        <v>513</v>
      </c>
      <c r="D955" t="s">
        <v>514</v>
      </c>
      <c r="E955" t="s">
        <v>16</v>
      </c>
      <c r="F955" t="s">
        <v>17</v>
      </c>
      <c r="G955" s="1">
        <v>256</v>
      </c>
      <c r="H955" t="s">
        <v>26</v>
      </c>
      <c r="I955" s="2">
        <v>44111</v>
      </c>
      <c r="J955" t="s">
        <v>192</v>
      </c>
      <c r="K955" t="s">
        <v>515</v>
      </c>
      <c r="L955">
        <v>55123</v>
      </c>
      <c r="M955" t="s">
        <v>21</v>
      </c>
      <c r="N955" t="str">
        <f>VLOOKUP(A955, Data_Set_2!$A:$D,2,FALSE)</f>
        <v>jlawrenceir</v>
      </c>
      <c r="O955" t="str">
        <f>VLOOKUP(A955, Data_Set_2!$A:$D,3,FALSE)</f>
        <v>Twitterbridge</v>
      </c>
      <c r="P955" t="str">
        <f>VLOOKUP(A955, Data_Set_2!$A:$D,4,FALSE)</f>
        <v>Nurse</v>
      </c>
      <c r="Q955" t="str">
        <f>_xlfn.CONCAT(Table3[[#This Row],[first_name]], " ",Table3[[#This Row],[last_name]])</f>
        <v>Jason Lawrence</v>
      </c>
    </row>
    <row r="956" spans="1:17" hidden="1" x14ac:dyDescent="0.3">
      <c r="A956">
        <v>676</v>
      </c>
      <c r="B956" t="s">
        <v>499</v>
      </c>
      <c r="C956" t="s">
        <v>513</v>
      </c>
      <c r="D956" t="s">
        <v>514</v>
      </c>
      <c r="E956" t="s">
        <v>16</v>
      </c>
      <c r="F956" t="s">
        <v>17</v>
      </c>
      <c r="G956" s="1">
        <v>854</v>
      </c>
      <c r="H956" t="s">
        <v>26</v>
      </c>
      <c r="I956" s="2">
        <v>44201</v>
      </c>
      <c r="J956" t="s">
        <v>192</v>
      </c>
      <c r="K956" t="s">
        <v>515</v>
      </c>
      <c r="L956">
        <v>55123</v>
      </c>
      <c r="M956" t="s">
        <v>21</v>
      </c>
      <c r="N956" t="str">
        <f>VLOOKUP(A956, Data_Set_2!$A:$D,2,FALSE)</f>
        <v>jlawrenceir</v>
      </c>
      <c r="O956" t="str">
        <f>VLOOKUP(A956, Data_Set_2!$A:$D,3,FALSE)</f>
        <v>Twitterbridge</v>
      </c>
      <c r="P956" t="str">
        <f>VLOOKUP(A956, Data_Set_2!$A:$D,4,FALSE)</f>
        <v>Nurse</v>
      </c>
      <c r="Q956" t="str">
        <f>_xlfn.CONCAT(Table3[[#This Row],[first_name]], " ",Table3[[#This Row],[last_name]])</f>
        <v>Jason Lawrence</v>
      </c>
    </row>
    <row r="957" spans="1:17" hidden="1" x14ac:dyDescent="0.3">
      <c r="A957">
        <v>676</v>
      </c>
      <c r="B957" t="s">
        <v>499</v>
      </c>
      <c r="C957" t="s">
        <v>513</v>
      </c>
      <c r="D957" t="s">
        <v>514</v>
      </c>
      <c r="E957" t="s">
        <v>16</v>
      </c>
      <c r="F957" t="s">
        <v>17</v>
      </c>
      <c r="G957" s="1">
        <v>450</v>
      </c>
      <c r="H957" t="s">
        <v>26</v>
      </c>
      <c r="I957" s="2">
        <v>44645</v>
      </c>
      <c r="J957" t="s">
        <v>192</v>
      </c>
      <c r="K957" t="s">
        <v>515</v>
      </c>
      <c r="L957">
        <v>55123</v>
      </c>
      <c r="M957" t="s">
        <v>21</v>
      </c>
      <c r="N957" t="str">
        <f>VLOOKUP(A957, Data_Set_2!$A:$D,2,FALSE)</f>
        <v>jlawrenceir</v>
      </c>
      <c r="O957" t="str">
        <f>VLOOKUP(A957, Data_Set_2!$A:$D,3,FALSE)</f>
        <v>Twitterbridge</v>
      </c>
      <c r="P957" t="str">
        <f>VLOOKUP(A957, Data_Set_2!$A:$D,4,FALSE)</f>
        <v>Nurse</v>
      </c>
      <c r="Q957" t="str">
        <f>_xlfn.CONCAT(Table3[[#This Row],[first_name]], " ",Table3[[#This Row],[last_name]])</f>
        <v>Jason Lawrence</v>
      </c>
    </row>
    <row r="958" spans="1:17" hidden="1" x14ac:dyDescent="0.3">
      <c r="A958">
        <v>676</v>
      </c>
      <c r="B958" t="s">
        <v>499</v>
      </c>
      <c r="C958" t="s">
        <v>513</v>
      </c>
      <c r="D958" t="s">
        <v>514</v>
      </c>
      <c r="E958" t="s">
        <v>16</v>
      </c>
      <c r="F958" t="s">
        <v>17</v>
      </c>
      <c r="G958" s="1">
        <v>401</v>
      </c>
      <c r="H958" t="s">
        <v>26</v>
      </c>
      <c r="I958" s="2">
        <v>44676</v>
      </c>
      <c r="J958" t="s">
        <v>192</v>
      </c>
      <c r="K958" t="s">
        <v>515</v>
      </c>
      <c r="L958">
        <v>55123</v>
      </c>
      <c r="M958" t="s">
        <v>21</v>
      </c>
      <c r="N958" t="str">
        <f>VLOOKUP(A958, Data_Set_2!$A:$D,2,FALSE)</f>
        <v>jlawrenceir</v>
      </c>
      <c r="O958" t="str">
        <f>VLOOKUP(A958, Data_Set_2!$A:$D,3,FALSE)</f>
        <v>Twitterbridge</v>
      </c>
      <c r="P958" t="str">
        <f>VLOOKUP(A958, Data_Set_2!$A:$D,4,FALSE)</f>
        <v>Nurse</v>
      </c>
      <c r="Q958" t="str">
        <f>_xlfn.CONCAT(Table3[[#This Row],[first_name]], " ",Table3[[#This Row],[last_name]])</f>
        <v>Jason Lawrence</v>
      </c>
    </row>
    <row r="959" spans="1:17" hidden="1" x14ac:dyDescent="0.3">
      <c r="A959">
        <v>676</v>
      </c>
      <c r="B959" t="s">
        <v>499</v>
      </c>
      <c r="C959" t="s">
        <v>513</v>
      </c>
      <c r="D959" t="s">
        <v>514</v>
      </c>
      <c r="E959" t="s">
        <v>16</v>
      </c>
      <c r="F959" t="s">
        <v>17</v>
      </c>
      <c r="G959" s="1">
        <v>488</v>
      </c>
      <c r="H959" t="s">
        <v>26</v>
      </c>
      <c r="I959" s="2">
        <v>44820</v>
      </c>
      <c r="J959" t="s">
        <v>192</v>
      </c>
      <c r="K959" t="s">
        <v>515</v>
      </c>
      <c r="L959">
        <v>55123</v>
      </c>
      <c r="M959" t="s">
        <v>21</v>
      </c>
      <c r="N959" t="str">
        <f>VLOOKUP(A959, Data_Set_2!$A:$D,2,FALSE)</f>
        <v>jlawrenceir</v>
      </c>
      <c r="O959" t="str">
        <f>VLOOKUP(A959, Data_Set_2!$A:$D,3,FALSE)</f>
        <v>Twitterbridge</v>
      </c>
      <c r="P959" t="str">
        <f>VLOOKUP(A959, Data_Set_2!$A:$D,4,FALSE)</f>
        <v>Nurse</v>
      </c>
      <c r="Q959" t="str">
        <f>_xlfn.CONCAT(Table3[[#This Row],[first_name]], " ",Table3[[#This Row],[last_name]])</f>
        <v>Jason Lawrence</v>
      </c>
    </row>
    <row r="960" spans="1:17" hidden="1" x14ac:dyDescent="0.3">
      <c r="A960">
        <v>676</v>
      </c>
      <c r="B960" t="s">
        <v>499</v>
      </c>
      <c r="C960" t="s">
        <v>513</v>
      </c>
      <c r="D960" t="s">
        <v>514</v>
      </c>
      <c r="E960" t="s">
        <v>16</v>
      </c>
      <c r="F960" t="s">
        <v>17</v>
      </c>
      <c r="G960" s="1">
        <v>148</v>
      </c>
      <c r="H960" t="s">
        <v>26</v>
      </c>
      <c r="I960" s="2">
        <v>44851</v>
      </c>
      <c r="J960" t="s">
        <v>192</v>
      </c>
      <c r="K960" t="s">
        <v>515</v>
      </c>
      <c r="L960">
        <v>55123</v>
      </c>
      <c r="M960" t="s">
        <v>21</v>
      </c>
      <c r="N960" t="str">
        <f>VLOOKUP(A960, Data_Set_2!$A:$D,2,FALSE)</f>
        <v>jlawrenceir</v>
      </c>
      <c r="O960" t="str">
        <f>VLOOKUP(A960, Data_Set_2!$A:$D,3,FALSE)</f>
        <v>Twitterbridge</v>
      </c>
      <c r="P960" t="str">
        <f>VLOOKUP(A960, Data_Set_2!$A:$D,4,FALSE)</f>
        <v>Nurse</v>
      </c>
      <c r="Q960" t="str">
        <f>_xlfn.CONCAT(Table3[[#This Row],[first_name]], " ",Table3[[#This Row],[last_name]])</f>
        <v>Jason Lawrence</v>
      </c>
    </row>
    <row r="961" spans="1:17" hidden="1" x14ac:dyDescent="0.3">
      <c r="A961">
        <v>677</v>
      </c>
      <c r="B961" t="s">
        <v>661</v>
      </c>
      <c r="C961" t="s">
        <v>534</v>
      </c>
      <c r="D961" t="s">
        <v>1073</v>
      </c>
      <c r="E961" t="s">
        <v>16</v>
      </c>
      <c r="F961" t="s">
        <v>17</v>
      </c>
      <c r="G961" s="1">
        <v>812</v>
      </c>
      <c r="H961" t="s">
        <v>26</v>
      </c>
      <c r="I961" s="2">
        <v>44395</v>
      </c>
      <c r="J961" t="s">
        <v>68</v>
      </c>
      <c r="K961" t="s">
        <v>234</v>
      </c>
      <c r="L961">
        <v>77035</v>
      </c>
      <c r="M961" t="s">
        <v>21</v>
      </c>
      <c r="N961" t="str">
        <f>VLOOKUP(A961, Data_Set_2!$A:$D,2,FALSE)</f>
        <v>wfosteris</v>
      </c>
      <c r="O961" t="str">
        <f>VLOOKUP(A961, Data_Set_2!$A:$D,3,FALSE)</f>
        <v>Tagchat</v>
      </c>
      <c r="P961" t="str">
        <f>VLOOKUP(A961, Data_Set_2!$A:$D,4,FALSE)</f>
        <v>Administrative Assistant III</v>
      </c>
      <c r="Q961" t="str">
        <f>_xlfn.CONCAT(Table3[[#This Row],[first_name]], " ",Table3[[#This Row],[last_name]])</f>
        <v>Walter Foster</v>
      </c>
    </row>
    <row r="962" spans="1:17" hidden="1" x14ac:dyDescent="0.3">
      <c r="A962">
        <v>679</v>
      </c>
      <c r="B962" t="s">
        <v>1251</v>
      </c>
      <c r="C962" t="s">
        <v>66</v>
      </c>
      <c r="D962" t="s">
        <v>1252</v>
      </c>
      <c r="E962" t="s">
        <v>32</v>
      </c>
      <c r="F962" t="s">
        <v>33</v>
      </c>
      <c r="G962" s="1">
        <v>884</v>
      </c>
      <c r="H962" t="s">
        <v>26</v>
      </c>
      <c r="I962" s="2">
        <v>44888</v>
      </c>
      <c r="J962" t="s">
        <v>35</v>
      </c>
      <c r="K962" t="s">
        <v>1253</v>
      </c>
      <c r="L962">
        <v>93407</v>
      </c>
      <c r="M962" t="s">
        <v>21</v>
      </c>
      <c r="N962" t="str">
        <f>VLOOKUP(A962, Data_Set_2!$A:$D,2,FALSE)</f>
        <v>cperryiu</v>
      </c>
      <c r="O962" t="str">
        <f>VLOOKUP(A962, Data_Set_2!$A:$D,3,FALSE)</f>
        <v>Dabtype</v>
      </c>
      <c r="P962" t="str">
        <f>VLOOKUP(A962, Data_Set_2!$A:$D,4,FALSE)</f>
        <v>Tax Accountant</v>
      </c>
      <c r="Q962" t="str">
        <f>_xlfn.CONCAT(Table3[[#This Row],[first_name]], " ",Table3[[#This Row],[last_name]])</f>
        <v>Catherine Perry</v>
      </c>
    </row>
    <row r="963" spans="1:17" hidden="1" x14ac:dyDescent="0.3">
      <c r="A963">
        <v>680</v>
      </c>
      <c r="B963" t="s">
        <v>699</v>
      </c>
      <c r="C963" t="s">
        <v>347</v>
      </c>
      <c r="D963" t="s">
        <v>700</v>
      </c>
      <c r="E963" t="s">
        <v>16</v>
      </c>
      <c r="F963" t="s">
        <v>33</v>
      </c>
      <c r="G963" s="1">
        <v>326</v>
      </c>
      <c r="H963" t="s">
        <v>109</v>
      </c>
      <c r="I963" s="2">
        <v>43643</v>
      </c>
      <c r="J963" t="s">
        <v>115</v>
      </c>
      <c r="K963" t="s">
        <v>701</v>
      </c>
      <c r="L963">
        <v>32255</v>
      </c>
      <c r="M963" t="s">
        <v>21</v>
      </c>
      <c r="N963" t="str">
        <f>VLOOKUP(A963, Data_Set_2!$A:$D,2,FALSE)</f>
        <v>dbrooksiv</v>
      </c>
      <c r="O963" t="str">
        <f>VLOOKUP(A963, Data_Set_2!$A:$D,3,FALSE)</f>
        <v>Cogibox</v>
      </c>
      <c r="P963" t="str">
        <f>VLOOKUP(A963, Data_Set_2!$A:$D,4,FALSE)</f>
        <v>Recruiting Manager</v>
      </c>
      <c r="Q963" t="str">
        <f>_xlfn.CONCAT(Table3[[#This Row],[first_name]], " ",Table3[[#This Row],[last_name]])</f>
        <v>Douglas Brooks</v>
      </c>
    </row>
    <row r="964" spans="1:17" hidden="1" x14ac:dyDescent="0.3">
      <c r="A964">
        <v>681</v>
      </c>
      <c r="B964" t="s">
        <v>460</v>
      </c>
      <c r="C964" t="s">
        <v>682</v>
      </c>
      <c r="D964" t="s">
        <v>683</v>
      </c>
      <c r="E964" t="s">
        <v>32</v>
      </c>
      <c r="F964" t="s">
        <v>33</v>
      </c>
      <c r="G964" s="1">
        <v>961</v>
      </c>
      <c r="H964" t="s">
        <v>34</v>
      </c>
      <c r="I964" s="2">
        <v>43602</v>
      </c>
      <c r="J964" t="s">
        <v>120</v>
      </c>
      <c r="K964" t="s">
        <v>121</v>
      </c>
      <c r="L964">
        <v>71137</v>
      </c>
      <c r="M964" t="s">
        <v>21</v>
      </c>
      <c r="N964" t="str">
        <f>VLOOKUP(A964, Data_Set_2!$A:$D,2,FALSE)</f>
        <v>lmendozaiw</v>
      </c>
      <c r="O964" t="str">
        <f>VLOOKUP(A964, Data_Set_2!$A:$D,3,FALSE)</f>
        <v>Kwinu</v>
      </c>
      <c r="P964" t="str">
        <f>VLOOKUP(A964, Data_Set_2!$A:$D,4,FALSE)</f>
        <v>General Manager</v>
      </c>
      <c r="Q964" t="str">
        <f>_xlfn.CONCAT(Table3[[#This Row],[first_name]], " ",Table3[[#This Row],[last_name]])</f>
        <v>Lillian Mendoza</v>
      </c>
    </row>
    <row r="965" spans="1:17" hidden="1" x14ac:dyDescent="0.3">
      <c r="A965">
        <v>682</v>
      </c>
      <c r="B965" t="s">
        <v>970</v>
      </c>
      <c r="C965" t="s">
        <v>743</v>
      </c>
      <c r="D965" t="s">
        <v>971</v>
      </c>
      <c r="E965" t="s">
        <v>16</v>
      </c>
      <c r="F965" t="s">
        <v>33</v>
      </c>
      <c r="G965" s="1">
        <v>425</v>
      </c>
      <c r="H965" t="s">
        <v>26</v>
      </c>
      <c r="I965" s="2">
        <v>44145</v>
      </c>
      <c r="J965" t="s">
        <v>489</v>
      </c>
      <c r="K965" t="s">
        <v>972</v>
      </c>
      <c r="L965">
        <v>89706</v>
      </c>
      <c r="M965" t="s">
        <v>21</v>
      </c>
      <c r="N965" t="str">
        <f>VLOOKUP(A965, Data_Set_2!$A:$D,2,FALSE)</f>
        <v>eperkinsix</v>
      </c>
      <c r="O965" t="str">
        <f>VLOOKUP(A965, Data_Set_2!$A:$D,3,FALSE)</f>
        <v>Devcast</v>
      </c>
      <c r="P965" t="str">
        <f>VLOOKUP(A965, Data_Set_2!$A:$D,4,FALSE)</f>
        <v>Database Administrator IV</v>
      </c>
      <c r="Q965" t="str">
        <f>_xlfn.CONCAT(Table3[[#This Row],[first_name]], " ",Table3[[#This Row],[last_name]])</f>
        <v>Ernest Perkins</v>
      </c>
    </row>
    <row r="966" spans="1:17" hidden="1" x14ac:dyDescent="0.3">
      <c r="A966">
        <v>684</v>
      </c>
      <c r="B966" t="s">
        <v>85</v>
      </c>
      <c r="C966" t="s">
        <v>449</v>
      </c>
      <c r="D966" t="s">
        <v>967</v>
      </c>
      <c r="E966" t="s">
        <v>32</v>
      </c>
      <c r="F966" t="s">
        <v>17</v>
      </c>
      <c r="G966" s="1">
        <v>354</v>
      </c>
      <c r="H966" t="s">
        <v>62</v>
      </c>
      <c r="I966" s="2">
        <v>44133</v>
      </c>
      <c r="J966" t="s">
        <v>41</v>
      </c>
      <c r="K966" t="s">
        <v>42</v>
      </c>
      <c r="L966">
        <v>40210</v>
      </c>
      <c r="M966" t="s">
        <v>21</v>
      </c>
      <c r="N966" t="str">
        <f>VLOOKUP(A966, Data_Set_2!$A:$D,2,FALSE)</f>
        <v>jfieldsiz</v>
      </c>
      <c r="O966" t="str">
        <f>VLOOKUP(A966, Data_Set_2!$A:$D,3,FALSE)</f>
        <v>Kwideo</v>
      </c>
      <c r="P966" t="str">
        <f>VLOOKUP(A966, Data_Set_2!$A:$D,4,FALSE)</f>
        <v>Office Assistant I</v>
      </c>
      <c r="Q966" t="str">
        <f>_xlfn.CONCAT(Table3[[#This Row],[first_name]], " ",Table3[[#This Row],[last_name]])</f>
        <v>Janice Fields</v>
      </c>
    </row>
    <row r="967" spans="1:17" hidden="1" x14ac:dyDescent="0.3">
      <c r="A967">
        <v>685</v>
      </c>
      <c r="B967" t="s">
        <v>271</v>
      </c>
      <c r="C967" t="s">
        <v>1017</v>
      </c>
      <c r="D967" t="s">
        <v>1258</v>
      </c>
      <c r="E967" t="s">
        <v>16</v>
      </c>
      <c r="F967" t="s">
        <v>17</v>
      </c>
      <c r="G967" s="1">
        <v>64</v>
      </c>
      <c r="H967" t="s">
        <v>26</v>
      </c>
      <c r="I967" s="2">
        <v>44889</v>
      </c>
      <c r="J967" t="s">
        <v>27</v>
      </c>
      <c r="K967" t="s">
        <v>215</v>
      </c>
      <c r="L967">
        <v>80925</v>
      </c>
      <c r="M967" t="s">
        <v>21</v>
      </c>
      <c r="N967" t="str">
        <f>VLOOKUP(A967, Data_Set_2!$A:$D,2,FALSE)</f>
        <v>jdunnj0</v>
      </c>
      <c r="O967" t="str">
        <f>VLOOKUP(A967, Data_Set_2!$A:$D,3,FALSE)</f>
        <v>Browsezoom</v>
      </c>
      <c r="P967" t="str">
        <f>VLOOKUP(A967, Data_Set_2!$A:$D,4,FALSE)</f>
        <v>Geologist II</v>
      </c>
      <c r="Q967" t="str">
        <f>_xlfn.CONCAT(Table3[[#This Row],[first_name]], " ",Table3[[#This Row],[last_name]])</f>
        <v>Jimmy Dunn</v>
      </c>
    </row>
    <row r="968" spans="1:17" hidden="1" x14ac:dyDescent="0.3">
      <c r="A968">
        <v>686</v>
      </c>
      <c r="B968" t="s">
        <v>1093</v>
      </c>
      <c r="C968" t="s">
        <v>991</v>
      </c>
      <c r="D968" t="s">
        <v>1094</v>
      </c>
      <c r="E968" t="s">
        <v>16</v>
      </c>
      <c r="F968" t="s">
        <v>17</v>
      </c>
      <c r="G968" s="1">
        <v>678</v>
      </c>
      <c r="H968" t="s">
        <v>26</v>
      </c>
      <c r="I968" s="2">
        <v>44478</v>
      </c>
      <c r="J968" t="s">
        <v>125</v>
      </c>
      <c r="K968" t="s">
        <v>1095</v>
      </c>
      <c r="L968">
        <v>64054</v>
      </c>
      <c r="M968" t="s">
        <v>21</v>
      </c>
      <c r="N968" t="str">
        <f>VLOOKUP(A968, Data_Set_2!$A:$D,2,FALSE)</f>
        <v>kgarciaj1</v>
      </c>
      <c r="O968" t="str">
        <f>VLOOKUP(A968, Data_Set_2!$A:$D,3,FALSE)</f>
        <v>Mymm</v>
      </c>
      <c r="P968" t="str">
        <f>VLOOKUP(A968, Data_Set_2!$A:$D,4,FALSE)</f>
        <v>Occupational Therapist</v>
      </c>
      <c r="Q968" t="str">
        <f>_xlfn.CONCAT(Table3[[#This Row],[first_name]], " ",Table3[[#This Row],[last_name]])</f>
        <v>Kevin Garcia</v>
      </c>
    </row>
    <row r="969" spans="1:17" hidden="1" x14ac:dyDescent="0.3">
      <c r="A969">
        <v>691</v>
      </c>
      <c r="B969" t="s">
        <v>174</v>
      </c>
      <c r="C969" t="s">
        <v>310</v>
      </c>
      <c r="D969" t="s">
        <v>311</v>
      </c>
      <c r="E969" t="s">
        <v>16</v>
      </c>
      <c r="F969" t="s">
        <v>33</v>
      </c>
      <c r="G969" s="1">
        <v>688</v>
      </c>
      <c r="H969" t="s">
        <v>34</v>
      </c>
      <c r="I969" s="2">
        <v>43224</v>
      </c>
      <c r="J969" t="s">
        <v>115</v>
      </c>
      <c r="K969" t="s">
        <v>312</v>
      </c>
      <c r="L969">
        <v>32511</v>
      </c>
      <c r="M969" t="s">
        <v>21</v>
      </c>
      <c r="N969" t="str">
        <f>VLOOKUP(A969, Data_Set_2!$A:$D,2,FALSE)</f>
        <v>pwillisj6</v>
      </c>
      <c r="O969" t="str">
        <f>VLOOKUP(A969, Data_Set_2!$A:$D,3,FALSE)</f>
        <v>Voonte</v>
      </c>
      <c r="P969" t="str">
        <f>VLOOKUP(A969, Data_Set_2!$A:$D,4,FALSE)</f>
        <v>Senior Editor</v>
      </c>
      <c r="Q969" t="str">
        <f>_xlfn.CONCAT(Table3[[#This Row],[first_name]], " ",Table3[[#This Row],[last_name]])</f>
        <v>Phillip Willis</v>
      </c>
    </row>
    <row r="970" spans="1:17" hidden="1" x14ac:dyDescent="0.3">
      <c r="A970">
        <v>692</v>
      </c>
      <c r="B970" t="s">
        <v>600</v>
      </c>
      <c r="C970" t="s">
        <v>446</v>
      </c>
      <c r="D970" t="s">
        <v>601</v>
      </c>
      <c r="E970" t="s">
        <v>32</v>
      </c>
      <c r="F970" t="s">
        <v>17</v>
      </c>
      <c r="G970" s="1">
        <v>583</v>
      </c>
      <c r="H970" t="s">
        <v>26</v>
      </c>
      <c r="I970" s="2">
        <v>43519</v>
      </c>
      <c r="J970" t="s">
        <v>184</v>
      </c>
      <c r="K970" t="s">
        <v>262</v>
      </c>
      <c r="L970">
        <v>14619</v>
      </c>
      <c r="M970" t="s">
        <v>21</v>
      </c>
      <c r="N970" t="str">
        <f>VLOOKUP(A970, Data_Set_2!$A:$D,2,FALSE)</f>
        <v>lfullerj7</v>
      </c>
      <c r="O970" t="str">
        <f>VLOOKUP(A970, Data_Set_2!$A:$D,3,FALSE)</f>
        <v>Thoughtstorm</v>
      </c>
      <c r="P970" t="str">
        <f>VLOOKUP(A970, Data_Set_2!$A:$D,4,FALSE)</f>
        <v>Operator</v>
      </c>
      <c r="Q970" t="str">
        <f>_xlfn.CONCAT(Table3[[#This Row],[first_name]], " ",Table3[[#This Row],[last_name]])</f>
        <v>Louise Fuller</v>
      </c>
    </row>
    <row r="971" spans="1:17" hidden="1" x14ac:dyDescent="0.3">
      <c r="A971">
        <v>693</v>
      </c>
      <c r="B971" t="s">
        <v>644</v>
      </c>
      <c r="C971" t="s">
        <v>1136</v>
      </c>
      <c r="D971" t="s">
        <v>1203</v>
      </c>
      <c r="E971" t="s">
        <v>32</v>
      </c>
      <c r="F971" t="s">
        <v>25</v>
      </c>
      <c r="G971" s="1">
        <v>613</v>
      </c>
      <c r="H971" t="s">
        <v>109</v>
      </c>
      <c r="I971" s="2">
        <v>44729</v>
      </c>
      <c r="J971" t="s">
        <v>110</v>
      </c>
      <c r="K971" t="s">
        <v>111</v>
      </c>
      <c r="L971">
        <v>15230</v>
      </c>
      <c r="M971" t="s">
        <v>21</v>
      </c>
      <c r="N971" t="str">
        <f>VLOOKUP(A971, Data_Set_2!$A:$D,2,FALSE)</f>
        <v>lrossj8</v>
      </c>
      <c r="O971" t="str">
        <f>VLOOKUP(A971, Data_Set_2!$A:$D,3,FALSE)</f>
        <v>Rhycero</v>
      </c>
      <c r="P971" t="str">
        <f>VLOOKUP(A971, Data_Set_2!$A:$D,4,FALSE)</f>
        <v>Software Consultant</v>
      </c>
      <c r="Q971" t="str">
        <f>_xlfn.CONCAT(Table3[[#This Row],[first_name]], " ",Table3[[#This Row],[last_name]])</f>
        <v>Lori Ross</v>
      </c>
    </row>
    <row r="972" spans="1:17" hidden="1" x14ac:dyDescent="0.3">
      <c r="A972">
        <v>694</v>
      </c>
      <c r="B972" t="s">
        <v>227</v>
      </c>
      <c r="C972" t="s">
        <v>296</v>
      </c>
      <c r="D972" t="s">
        <v>1233</v>
      </c>
      <c r="E972" t="s">
        <v>16</v>
      </c>
      <c r="F972" t="s">
        <v>25</v>
      </c>
      <c r="G972" s="1">
        <v>693</v>
      </c>
      <c r="H972" t="s">
        <v>18</v>
      </c>
      <c r="I972" s="2">
        <v>44837</v>
      </c>
      <c r="J972" t="s">
        <v>68</v>
      </c>
      <c r="K972" t="s">
        <v>1234</v>
      </c>
      <c r="L972">
        <v>75062</v>
      </c>
      <c r="M972" t="s">
        <v>21</v>
      </c>
      <c r="N972" t="str">
        <f>VLOOKUP(A972, Data_Set_2!$A:$D,2,FALSE)</f>
        <v>ebradleyj9</v>
      </c>
      <c r="O972" t="str">
        <f>VLOOKUP(A972, Data_Set_2!$A:$D,3,FALSE)</f>
        <v>Rhyloo</v>
      </c>
      <c r="P972" t="str">
        <f>VLOOKUP(A972, Data_Set_2!$A:$D,4,FALSE)</f>
        <v>Operator</v>
      </c>
      <c r="Q972" t="str">
        <f>_xlfn.CONCAT(Table3[[#This Row],[first_name]], " ",Table3[[#This Row],[last_name]])</f>
        <v>Eugene Bradley</v>
      </c>
    </row>
    <row r="973" spans="1:17" hidden="1" x14ac:dyDescent="0.3">
      <c r="A973">
        <v>695</v>
      </c>
      <c r="B973" t="s">
        <v>726</v>
      </c>
      <c r="C973" t="s">
        <v>199</v>
      </c>
      <c r="D973" t="s">
        <v>1265</v>
      </c>
      <c r="E973" t="s">
        <v>16</v>
      </c>
      <c r="F973" t="s">
        <v>17</v>
      </c>
      <c r="G973" s="1">
        <v>897</v>
      </c>
      <c r="H973" t="s">
        <v>26</v>
      </c>
      <c r="I973" s="2">
        <v>44904</v>
      </c>
      <c r="J973" t="s">
        <v>184</v>
      </c>
      <c r="K973" t="s">
        <v>808</v>
      </c>
      <c r="L973">
        <v>11436</v>
      </c>
      <c r="M973" t="s">
        <v>21</v>
      </c>
      <c r="N973" t="str">
        <f>VLOOKUP(A973, Data_Set_2!$A:$D,2,FALSE)</f>
        <v>cfrazierja</v>
      </c>
      <c r="O973" t="str">
        <f>VLOOKUP(A973, Data_Set_2!$A:$D,3,FALSE)</f>
        <v>Fiveclub</v>
      </c>
      <c r="P973" t="str">
        <f>VLOOKUP(A973, Data_Set_2!$A:$D,4,FALSE)</f>
        <v>Developer IV</v>
      </c>
      <c r="Q973" t="str">
        <f>_xlfn.CONCAT(Table3[[#This Row],[first_name]], " ",Table3[[#This Row],[last_name]])</f>
        <v>Clarence Frazier</v>
      </c>
    </row>
    <row r="974" spans="1:17" hidden="1" x14ac:dyDescent="0.3">
      <c r="A974">
        <v>696</v>
      </c>
      <c r="B974" t="s">
        <v>555</v>
      </c>
      <c r="C974" t="s">
        <v>136</v>
      </c>
      <c r="D974" t="s">
        <v>1162</v>
      </c>
      <c r="E974" t="s">
        <v>16</v>
      </c>
      <c r="F974" t="s">
        <v>33</v>
      </c>
      <c r="G974" s="1">
        <v>763</v>
      </c>
      <c r="H974" t="s">
        <v>4035</v>
      </c>
      <c r="I974" s="2">
        <v>44637</v>
      </c>
      <c r="J974" t="s">
        <v>35</v>
      </c>
      <c r="K974" t="s">
        <v>903</v>
      </c>
      <c r="L974">
        <v>93386</v>
      </c>
      <c r="M974" t="s">
        <v>21</v>
      </c>
      <c r="N974" t="str">
        <f>VLOOKUP(A974, Data_Set_2!$A:$D,2,FALSE)</f>
        <v>afoxjb</v>
      </c>
      <c r="O974" t="str">
        <f>VLOOKUP(A974, Data_Set_2!$A:$D,3,FALSE)</f>
        <v>Skynoodle</v>
      </c>
      <c r="P974" t="str">
        <f>VLOOKUP(A974, Data_Set_2!$A:$D,4,FALSE)</f>
        <v>Account Coordinator</v>
      </c>
      <c r="Q974" t="str">
        <f>_xlfn.CONCAT(Table3[[#This Row],[first_name]], " ",Table3[[#This Row],[last_name]])</f>
        <v>Andrew Fox</v>
      </c>
    </row>
    <row r="975" spans="1:17" hidden="1" x14ac:dyDescent="0.3">
      <c r="A975">
        <v>697</v>
      </c>
      <c r="B975" t="s">
        <v>623</v>
      </c>
      <c r="C975" t="s">
        <v>366</v>
      </c>
      <c r="D975" t="s">
        <v>961</v>
      </c>
      <c r="E975" t="s">
        <v>16</v>
      </c>
      <c r="F975" t="s">
        <v>17</v>
      </c>
      <c r="G975" s="1">
        <v>822</v>
      </c>
      <c r="H975" t="s">
        <v>4034</v>
      </c>
      <c r="I975" s="2">
        <v>44124</v>
      </c>
      <c r="J975" t="s">
        <v>184</v>
      </c>
      <c r="K975" t="s">
        <v>197</v>
      </c>
      <c r="L975">
        <v>10029</v>
      </c>
      <c r="M975" t="s">
        <v>21</v>
      </c>
      <c r="N975" t="str">
        <f>VLOOKUP(A975, Data_Set_2!$A:$D,2,FALSE)</f>
        <v>jrosejc</v>
      </c>
      <c r="O975" t="str">
        <f>VLOOKUP(A975, Data_Set_2!$A:$D,3,FALSE)</f>
        <v>Realmix</v>
      </c>
      <c r="P975" t="str">
        <f>VLOOKUP(A975, Data_Set_2!$A:$D,4,FALSE)</f>
        <v>Sales Representative</v>
      </c>
      <c r="Q975" t="str">
        <f>_xlfn.CONCAT(Table3[[#This Row],[first_name]], " ",Table3[[#This Row],[last_name]])</f>
        <v>Jose Rose</v>
      </c>
    </row>
    <row r="976" spans="1:17" hidden="1" x14ac:dyDescent="0.3">
      <c r="A976">
        <v>699</v>
      </c>
      <c r="B976" t="s">
        <v>267</v>
      </c>
      <c r="C976" t="s">
        <v>202</v>
      </c>
      <c r="D976" t="s">
        <v>268</v>
      </c>
      <c r="E976" t="s">
        <v>32</v>
      </c>
      <c r="F976" t="s">
        <v>51</v>
      </c>
      <c r="G976" s="1">
        <v>368</v>
      </c>
      <c r="H976" t="s">
        <v>18</v>
      </c>
      <c r="I976" s="2">
        <v>43205</v>
      </c>
      <c r="J976" t="s">
        <v>269</v>
      </c>
      <c r="K976" t="s">
        <v>270</v>
      </c>
      <c r="L976">
        <v>99812</v>
      </c>
      <c r="M976" t="s">
        <v>21</v>
      </c>
      <c r="N976" t="str">
        <f>VLOOKUP(A976, Data_Set_2!$A:$D,2,FALSE)</f>
        <v>mkennedyje</v>
      </c>
      <c r="O976" t="str">
        <f>VLOOKUP(A976, Data_Set_2!$A:$D,3,FALSE)</f>
        <v>Realfire</v>
      </c>
      <c r="P976" t="str">
        <f>VLOOKUP(A976, Data_Set_2!$A:$D,4,FALSE)</f>
        <v>Technical Writer</v>
      </c>
      <c r="Q976" t="str">
        <f>_xlfn.CONCAT(Table3[[#This Row],[first_name]], " ",Table3[[#This Row],[last_name]])</f>
        <v>Mildred Kennedy</v>
      </c>
    </row>
    <row r="977" spans="1:17" hidden="1" x14ac:dyDescent="0.3">
      <c r="A977">
        <v>699</v>
      </c>
      <c r="B977" t="s">
        <v>267</v>
      </c>
      <c r="C977" t="s">
        <v>202</v>
      </c>
      <c r="D977" t="s">
        <v>268</v>
      </c>
      <c r="E977" t="s">
        <v>32</v>
      </c>
      <c r="F977" t="s">
        <v>51</v>
      </c>
      <c r="G977" s="1">
        <v>313</v>
      </c>
      <c r="H977" t="s">
        <v>18</v>
      </c>
      <c r="I977" s="2">
        <v>43311</v>
      </c>
      <c r="J977" t="s">
        <v>269</v>
      </c>
      <c r="K977" t="s">
        <v>270</v>
      </c>
      <c r="L977">
        <v>99812</v>
      </c>
      <c r="M977" t="s">
        <v>21</v>
      </c>
      <c r="N977" t="str">
        <f>VLOOKUP(A977, Data_Set_2!$A:$D,2,FALSE)</f>
        <v>mkennedyje</v>
      </c>
      <c r="O977" t="str">
        <f>VLOOKUP(A977, Data_Set_2!$A:$D,3,FALSE)</f>
        <v>Realfire</v>
      </c>
      <c r="P977" t="str">
        <f>VLOOKUP(A977, Data_Set_2!$A:$D,4,FALSE)</f>
        <v>Technical Writer</v>
      </c>
      <c r="Q977" t="str">
        <f>_xlfn.CONCAT(Table3[[#This Row],[first_name]], " ",Table3[[#This Row],[last_name]])</f>
        <v>Mildred Kennedy</v>
      </c>
    </row>
    <row r="978" spans="1:17" hidden="1" x14ac:dyDescent="0.3">
      <c r="A978">
        <v>699</v>
      </c>
      <c r="B978" t="s">
        <v>267</v>
      </c>
      <c r="C978" t="s">
        <v>202</v>
      </c>
      <c r="D978" t="s">
        <v>268</v>
      </c>
      <c r="E978" t="s">
        <v>32</v>
      </c>
      <c r="F978" t="s">
        <v>51</v>
      </c>
      <c r="G978" s="1">
        <v>692</v>
      </c>
      <c r="H978" t="s">
        <v>18</v>
      </c>
      <c r="I978" s="2">
        <v>43763</v>
      </c>
      <c r="J978" t="s">
        <v>269</v>
      </c>
      <c r="K978" t="s">
        <v>270</v>
      </c>
      <c r="L978">
        <v>99812</v>
      </c>
      <c r="M978" t="s">
        <v>21</v>
      </c>
      <c r="N978" t="str">
        <f>VLOOKUP(A978, Data_Set_2!$A:$D,2,FALSE)</f>
        <v>mkennedyje</v>
      </c>
      <c r="O978" t="str">
        <f>VLOOKUP(A978, Data_Set_2!$A:$D,3,FALSE)</f>
        <v>Realfire</v>
      </c>
      <c r="P978" t="str">
        <f>VLOOKUP(A978, Data_Set_2!$A:$D,4,FALSE)</f>
        <v>Technical Writer</v>
      </c>
      <c r="Q978" t="str">
        <f>_xlfn.CONCAT(Table3[[#This Row],[first_name]], " ",Table3[[#This Row],[last_name]])</f>
        <v>Mildred Kennedy</v>
      </c>
    </row>
    <row r="979" spans="1:17" hidden="1" x14ac:dyDescent="0.3">
      <c r="A979">
        <v>699</v>
      </c>
      <c r="B979" t="s">
        <v>267</v>
      </c>
      <c r="C979" t="s">
        <v>202</v>
      </c>
      <c r="D979" t="s">
        <v>268</v>
      </c>
      <c r="E979" t="s">
        <v>32</v>
      </c>
      <c r="F979" t="s">
        <v>51</v>
      </c>
      <c r="G979" s="1">
        <v>366</v>
      </c>
      <c r="H979" t="s">
        <v>18</v>
      </c>
      <c r="I979" s="2">
        <v>44125</v>
      </c>
      <c r="J979" t="s">
        <v>269</v>
      </c>
      <c r="K979" t="s">
        <v>270</v>
      </c>
      <c r="L979">
        <v>99812</v>
      </c>
      <c r="M979" t="s">
        <v>21</v>
      </c>
      <c r="N979" t="str">
        <f>VLOOKUP(A979, Data_Set_2!$A:$D,2,FALSE)</f>
        <v>mkennedyje</v>
      </c>
      <c r="O979" t="str">
        <f>VLOOKUP(A979, Data_Set_2!$A:$D,3,FALSE)</f>
        <v>Realfire</v>
      </c>
      <c r="P979" t="str">
        <f>VLOOKUP(A979, Data_Set_2!$A:$D,4,FALSE)</f>
        <v>Technical Writer</v>
      </c>
      <c r="Q979" t="str">
        <f>_xlfn.CONCAT(Table3[[#This Row],[first_name]], " ",Table3[[#This Row],[last_name]])</f>
        <v>Mildred Kennedy</v>
      </c>
    </row>
    <row r="980" spans="1:17" hidden="1" x14ac:dyDescent="0.3">
      <c r="A980">
        <v>699</v>
      </c>
      <c r="B980" t="s">
        <v>267</v>
      </c>
      <c r="C980" t="s">
        <v>202</v>
      </c>
      <c r="D980" t="s">
        <v>268</v>
      </c>
      <c r="E980" t="s">
        <v>32</v>
      </c>
      <c r="F980" t="s">
        <v>51</v>
      </c>
      <c r="G980" s="1">
        <v>786</v>
      </c>
      <c r="H980" t="s">
        <v>18</v>
      </c>
      <c r="I980" s="2">
        <v>44156</v>
      </c>
      <c r="J980" t="s">
        <v>269</v>
      </c>
      <c r="K980" t="s">
        <v>270</v>
      </c>
      <c r="L980">
        <v>99812</v>
      </c>
      <c r="M980" t="s">
        <v>21</v>
      </c>
      <c r="N980" t="str">
        <f>VLOOKUP(A980, Data_Set_2!$A:$D,2,FALSE)</f>
        <v>mkennedyje</v>
      </c>
      <c r="O980" t="str">
        <f>VLOOKUP(A980, Data_Set_2!$A:$D,3,FALSE)</f>
        <v>Realfire</v>
      </c>
      <c r="P980" t="str">
        <f>VLOOKUP(A980, Data_Set_2!$A:$D,4,FALSE)</f>
        <v>Technical Writer</v>
      </c>
      <c r="Q980" t="str">
        <f>_xlfn.CONCAT(Table3[[#This Row],[first_name]], " ",Table3[[#This Row],[last_name]])</f>
        <v>Mildred Kennedy</v>
      </c>
    </row>
    <row r="981" spans="1:17" hidden="1" x14ac:dyDescent="0.3">
      <c r="A981">
        <v>699</v>
      </c>
      <c r="B981" t="s">
        <v>267</v>
      </c>
      <c r="C981" t="s">
        <v>202</v>
      </c>
      <c r="D981" t="s">
        <v>268</v>
      </c>
      <c r="E981" t="s">
        <v>32</v>
      </c>
      <c r="F981" t="s">
        <v>51</v>
      </c>
      <c r="G981" s="1">
        <v>601</v>
      </c>
      <c r="H981" t="s">
        <v>18</v>
      </c>
      <c r="I981" s="2">
        <v>44466</v>
      </c>
      <c r="J981" t="s">
        <v>269</v>
      </c>
      <c r="K981" t="s">
        <v>270</v>
      </c>
      <c r="L981">
        <v>99812</v>
      </c>
      <c r="M981" t="s">
        <v>21</v>
      </c>
      <c r="N981" t="str">
        <f>VLOOKUP(A981, Data_Set_2!$A:$D,2,FALSE)</f>
        <v>mkennedyje</v>
      </c>
      <c r="O981" t="str">
        <f>VLOOKUP(A981, Data_Set_2!$A:$D,3,FALSE)</f>
        <v>Realfire</v>
      </c>
      <c r="P981" t="str">
        <f>VLOOKUP(A981, Data_Set_2!$A:$D,4,FALSE)</f>
        <v>Technical Writer</v>
      </c>
      <c r="Q981" t="str">
        <f>_xlfn.CONCAT(Table3[[#This Row],[first_name]], " ",Table3[[#This Row],[last_name]])</f>
        <v>Mildred Kennedy</v>
      </c>
    </row>
    <row r="982" spans="1:17" hidden="1" x14ac:dyDescent="0.3">
      <c r="A982">
        <v>699</v>
      </c>
      <c r="B982" t="s">
        <v>267</v>
      </c>
      <c r="C982" t="s">
        <v>202</v>
      </c>
      <c r="D982" t="s">
        <v>268</v>
      </c>
      <c r="E982" t="s">
        <v>32</v>
      </c>
      <c r="F982" t="s">
        <v>51</v>
      </c>
      <c r="G982" s="1">
        <v>668</v>
      </c>
      <c r="H982" t="s">
        <v>18</v>
      </c>
      <c r="I982" s="2">
        <v>44558</v>
      </c>
      <c r="J982" t="s">
        <v>269</v>
      </c>
      <c r="K982" t="s">
        <v>270</v>
      </c>
      <c r="L982">
        <v>99812</v>
      </c>
      <c r="M982" t="s">
        <v>21</v>
      </c>
      <c r="N982" t="str">
        <f>VLOOKUP(A982, Data_Set_2!$A:$D,2,FALSE)</f>
        <v>mkennedyje</v>
      </c>
      <c r="O982" t="str">
        <f>VLOOKUP(A982, Data_Set_2!$A:$D,3,FALSE)</f>
        <v>Realfire</v>
      </c>
      <c r="P982" t="str">
        <f>VLOOKUP(A982, Data_Set_2!$A:$D,4,FALSE)</f>
        <v>Technical Writer</v>
      </c>
      <c r="Q982" t="str">
        <f>_xlfn.CONCAT(Table3[[#This Row],[first_name]], " ",Table3[[#This Row],[last_name]])</f>
        <v>Mildred Kennedy</v>
      </c>
    </row>
    <row r="983" spans="1:17" hidden="1" x14ac:dyDescent="0.3">
      <c r="A983">
        <v>699</v>
      </c>
      <c r="B983" t="s">
        <v>267</v>
      </c>
      <c r="C983" t="s">
        <v>202</v>
      </c>
      <c r="D983" t="s">
        <v>268</v>
      </c>
      <c r="E983" t="s">
        <v>32</v>
      </c>
      <c r="F983" t="s">
        <v>51</v>
      </c>
      <c r="G983" s="1">
        <v>215</v>
      </c>
      <c r="H983" t="s">
        <v>18</v>
      </c>
      <c r="I983" s="2">
        <v>44610</v>
      </c>
      <c r="J983" t="s">
        <v>269</v>
      </c>
      <c r="K983" t="s">
        <v>270</v>
      </c>
      <c r="L983">
        <v>99812</v>
      </c>
      <c r="M983" t="s">
        <v>21</v>
      </c>
      <c r="N983" t="str">
        <f>VLOOKUP(A983, Data_Set_2!$A:$D,2,FALSE)</f>
        <v>mkennedyje</v>
      </c>
      <c r="O983" t="str">
        <f>VLOOKUP(A983, Data_Set_2!$A:$D,3,FALSE)</f>
        <v>Realfire</v>
      </c>
      <c r="P983" t="str">
        <f>VLOOKUP(A983, Data_Set_2!$A:$D,4,FALSE)</f>
        <v>Technical Writer</v>
      </c>
      <c r="Q983" t="str">
        <f>_xlfn.CONCAT(Table3[[#This Row],[first_name]], " ",Table3[[#This Row],[last_name]])</f>
        <v>Mildred Kennedy</v>
      </c>
    </row>
    <row r="984" spans="1:17" hidden="1" x14ac:dyDescent="0.3">
      <c r="A984">
        <v>699</v>
      </c>
      <c r="B984" t="s">
        <v>267</v>
      </c>
      <c r="C984" t="s">
        <v>202</v>
      </c>
      <c r="D984" t="s">
        <v>268</v>
      </c>
      <c r="E984" t="s">
        <v>32</v>
      </c>
      <c r="F984" t="s">
        <v>51</v>
      </c>
      <c r="G984" s="1">
        <v>636</v>
      </c>
      <c r="H984" t="s">
        <v>18</v>
      </c>
      <c r="I984" s="2">
        <v>44639</v>
      </c>
      <c r="J984" t="s">
        <v>269</v>
      </c>
      <c r="K984" t="s">
        <v>270</v>
      </c>
      <c r="L984">
        <v>99812</v>
      </c>
      <c r="M984" t="s">
        <v>21</v>
      </c>
      <c r="N984" t="str">
        <f>VLOOKUP(A984, Data_Set_2!$A:$D,2,FALSE)</f>
        <v>mkennedyje</v>
      </c>
      <c r="O984" t="str">
        <f>VLOOKUP(A984, Data_Set_2!$A:$D,3,FALSE)</f>
        <v>Realfire</v>
      </c>
      <c r="P984" t="str">
        <f>VLOOKUP(A984, Data_Set_2!$A:$D,4,FALSE)</f>
        <v>Technical Writer</v>
      </c>
      <c r="Q984" t="str">
        <f>_xlfn.CONCAT(Table3[[#This Row],[first_name]], " ",Table3[[#This Row],[last_name]])</f>
        <v>Mildred Kennedy</v>
      </c>
    </row>
    <row r="985" spans="1:17" hidden="1" x14ac:dyDescent="0.3">
      <c r="A985">
        <v>699</v>
      </c>
      <c r="B985" t="s">
        <v>267</v>
      </c>
      <c r="C985" t="s">
        <v>202</v>
      </c>
      <c r="D985" t="s">
        <v>268</v>
      </c>
      <c r="E985" t="s">
        <v>32</v>
      </c>
      <c r="F985" t="s">
        <v>51</v>
      </c>
      <c r="G985" s="1">
        <v>439</v>
      </c>
      <c r="H985" t="s">
        <v>18</v>
      </c>
      <c r="I985" s="2">
        <v>44705</v>
      </c>
      <c r="J985" t="s">
        <v>269</v>
      </c>
      <c r="K985" t="s">
        <v>270</v>
      </c>
      <c r="L985">
        <v>99812</v>
      </c>
      <c r="M985" t="s">
        <v>21</v>
      </c>
      <c r="N985" t="str">
        <f>VLOOKUP(A985, Data_Set_2!$A:$D,2,FALSE)</f>
        <v>mkennedyje</v>
      </c>
      <c r="O985" t="str">
        <f>VLOOKUP(A985, Data_Set_2!$A:$D,3,FALSE)</f>
        <v>Realfire</v>
      </c>
      <c r="P985" t="str">
        <f>VLOOKUP(A985, Data_Set_2!$A:$D,4,FALSE)</f>
        <v>Technical Writer</v>
      </c>
      <c r="Q985" t="str">
        <f>_xlfn.CONCAT(Table3[[#This Row],[first_name]], " ",Table3[[#This Row],[last_name]])</f>
        <v>Mildred Kennedy</v>
      </c>
    </row>
    <row r="986" spans="1:17" hidden="1" x14ac:dyDescent="0.3">
      <c r="A986">
        <v>699</v>
      </c>
      <c r="B986" t="s">
        <v>267</v>
      </c>
      <c r="C986" t="s">
        <v>202</v>
      </c>
      <c r="D986" t="s">
        <v>268</v>
      </c>
      <c r="E986" t="s">
        <v>32</v>
      </c>
      <c r="F986" t="s">
        <v>51</v>
      </c>
      <c r="G986" s="1">
        <v>243</v>
      </c>
      <c r="H986" t="s">
        <v>18</v>
      </c>
      <c r="I986" s="2">
        <v>44709</v>
      </c>
      <c r="J986" t="s">
        <v>269</v>
      </c>
      <c r="K986" t="s">
        <v>270</v>
      </c>
      <c r="L986">
        <v>99812</v>
      </c>
      <c r="M986" t="s">
        <v>21</v>
      </c>
      <c r="N986" t="str">
        <f>VLOOKUP(A986, Data_Set_2!$A:$D,2,FALSE)</f>
        <v>mkennedyje</v>
      </c>
      <c r="O986" t="str">
        <f>VLOOKUP(A986, Data_Set_2!$A:$D,3,FALSE)</f>
        <v>Realfire</v>
      </c>
      <c r="P986" t="str">
        <f>VLOOKUP(A986, Data_Set_2!$A:$D,4,FALSE)</f>
        <v>Technical Writer</v>
      </c>
      <c r="Q986" t="str">
        <f>_xlfn.CONCAT(Table3[[#This Row],[first_name]], " ",Table3[[#This Row],[last_name]])</f>
        <v>Mildred Kennedy</v>
      </c>
    </row>
    <row r="987" spans="1:17" hidden="1" x14ac:dyDescent="0.3">
      <c r="A987">
        <v>699</v>
      </c>
      <c r="B987" t="s">
        <v>267</v>
      </c>
      <c r="C987" t="s">
        <v>202</v>
      </c>
      <c r="D987" t="s">
        <v>268</v>
      </c>
      <c r="E987" t="s">
        <v>32</v>
      </c>
      <c r="F987" t="s">
        <v>51</v>
      </c>
      <c r="G987" s="1">
        <v>480</v>
      </c>
      <c r="H987" t="s">
        <v>18</v>
      </c>
      <c r="I987" s="2">
        <v>44788</v>
      </c>
      <c r="J987" t="s">
        <v>269</v>
      </c>
      <c r="K987" t="s">
        <v>270</v>
      </c>
      <c r="L987">
        <v>99812</v>
      </c>
      <c r="M987" t="s">
        <v>21</v>
      </c>
      <c r="N987" t="str">
        <f>VLOOKUP(A987, Data_Set_2!$A:$D,2,FALSE)</f>
        <v>mkennedyje</v>
      </c>
      <c r="O987" t="str">
        <f>VLOOKUP(A987, Data_Set_2!$A:$D,3,FALSE)</f>
        <v>Realfire</v>
      </c>
      <c r="P987" t="str">
        <f>VLOOKUP(A987, Data_Set_2!$A:$D,4,FALSE)</f>
        <v>Technical Writer</v>
      </c>
      <c r="Q987" t="str">
        <f>_xlfn.CONCAT(Table3[[#This Row],[first_name]], " ",Table3[[#This Row],[last_name]])</f>
        <v>Mildred Kennedy</v>
      </c>
    </row>
    <row r="988" spans="1:17" hidden="1" x14ac:dyDescent="0.3">
      <c r="A988">
        <v>699</v>
      </c>
      <c r="B988" t="s">
        <v>267</v>
      </c>
      <c r="C988" t="s">
        <v>202</v>
      </c>
      <c r="D988" t="s">
        <v>268</v>
      </c>
      <c r="E988" t="s">
        <v>32</v>
      </c>
      <c r="F988" t="s">
        <v>51</v>
      </c>
      <c r="G988" s="1">
        <v>855</v>
      </c>
      <c r="H988" t="s">
        <v>18</v>
      </c>
      <c r="I988" s="2">
        <v>44910</v>
      </c>
      <c r="J988" t="s">
        <v>269</v>
      </c>
      <c r="K988" t="s">
        <v>270</v>
      </c>
      <c r="L988">
        <v>99812</v>
      </c>
      <c r="M988" t="s">
        <v>21</v>
      </c>
      <c r="N988" t="str">
        <f>VLOOKUP(A988, Data_Set_2!$A:$D,2,FALSE)</f>
        <v>mkennedyje</v>
      </c>
      <c r="O988" t="str">
        <f>VLOOKUP(A988, Data_Set_2!$A:$D,3,FALSE)</f>
        <v>Realfire</v>
      </c>
      <c r="P988" t="str">
        <f>VLOOKUP(A988, Data_Set_2!$A:$D,4,FALSE)</f>
        <v>Technical Writer</v>
      </c>
      <c r="Q988" t="str">
        <f>_xlfn.CONCAT(Table3[[#This Row],[first_name]], " ",Table3[[#This Row],[last_name]])</f>
        <v>Mildred Kennedy</v>
      </c>
    </row>
    <row r="989" spans="1:17" hidden="1" x14ac:dyDescent="0.3">
      <c r="A989">
        <v>700</v>
      </c>
      <c r="B989" t="s">
        <v>70</v>
      </c>
      <c r="C989" t="s">
        <v>449</v>
      </c>
      <c r="D989" t="s">
        <v>450</v>
      </c>
      <c r="E989" t="s">
        <v>32</v>
      </c>
      <c r="F989" t="s">
        <v>25</v>
      </c>
      <c r="G989" s="1">
        <v>284</v>
      </c>
      <c r="H989" t="s">
        <v>109</v>
      </c>
      <c r="I989" s="2">
        <v>43326</v>
      </c>
      <c r="J989" t="s">
        <v>451</v>
      </c>
      <c r="K989" t="s">
        <v>452</v>
      </c>
      <c r="L989">
        <v>84093</v>
      </c>
      <c r="M989" t="s">
        <v>21</v>
      </c>
      <c r="N989" t="str">
        <f>VLOOKUP(A989, Data_Set_2!$A:$D,2,FALSE)</f>
        <v>rfieldsjf</v>
      </c>
      <c r="O989" t="str">
        <f>VLOOKUP(A989, Data_Set_2!$A:$D,3,FALSE)</f>
        <v>Kare</v>
      </c>
      <c r="P989" t="str">
        <f>VLOOKUP(A989, Data_Set_2!$A:$D,4,FALSE)</f>
        <v>Staff Accountant IV</v>
      </c>
      <c r="Q989" t="str">
        <f>_xlfn.CONCAT(Table3[[#This Row],[first_name]], " ",Table3[[#This Row],[last_name]])</f>
        <v>Ruth Fields</v>
      </c>
    </row>
    <row r="990" spans="1:17" hidden="1" x14ac:dyDescent="0.3">
      <c r="A990">
        <v>701</v>
      </c>
      <c r="B990" t="s">
        <v>950</v>
      </c>
      <c r="C990" t="s">
        <v>347</v>
      </c>
      <c r="D990" t="s">
        <v>951</v>
      </c>
      <c r="E990" t="s">
        <v>16</v>
      </c>
      <c r="F990" t="s">
        <v>25</v>
      </c>
      <c r="G990" s="1">
        <v>69</v>
      </c>
      <c r="H990" t="s">
        <v>4037</v>
      </c>
      <c r="I990" s="2">
        <v>44099</v>
      </c>
      <c r="J990" t="s">
        <v>451</v>
      </c>
      <c r="K990" t="s">
        <v>823</v>
      </c>
      <c r="L990">
        <v>84145</v>
      </c>
      <c r="M990" t="s">
        <v>21</v>
      </c>
      <c r="N990" t="str">
        <f>VLOOKUP(A990, Data_Set_2!$A:$D,2,FALSE)</f>
        <v>pbrooksjg</v>
      </c>
      <c r="O990" t="str">
        <f>VLOOKUP(A990, Data_Set_2!$A:$D,3,FALSE)</f>
        <v>Rhynyx</v>
      </c>
      <c r="P990" t="str">
        <f>VLOOKUP(A990, Data_Set_2!$A:$D,4,FALSE)</f>
        <v>Accounting Assistant II</v>
      </c>
      <c r="Q990" t="str">
        <f>_xlfn.CONCAT(Table3[[#This Row],[first_name]], " ",Table3[[#This Row],[last_name]])</f>
        <v>Paul Brooks</v>
      </c>
    </row>
    <row r="991" spans="1:17" hidden="1" x14ac:dyDescent="0.3">
      <c r="A991">
        <v>702</v>
      </c>
      <c r="B991" t="s">
        <v>252</v>
      </c>
      <c r="C991" t="s">
        <v>182</v>
      </c>
      <c r="D991" t="s">
        <v>1057</v>
      </c>
      <c r="E991" t="s">
        <v>16</v>
      </c>
      <c r="F991" t="s">
        <v>25</v>
      </c>
      <c r="G991" s="1">
        <v>860</v>
      </c>
      <c r="H991" t="s">
        <v>26</v>
      </c>
      <c r="I991" s="2">
        <v>44330</v>
      </c>
      <c r="J991" t="s">
        <v>192</v>
      </c>
      <c r="K991" t="s">
        <v>515</v>
      </c>
      <c r="L991">
        <v>55127</v>
      </c>
      <c r="M991" t="s">
        <v>21</v>
      </c>
      <c r="N991" t="str">
        <f>VLOOKUP(A991, Data_Set_2!$A:$D,2,FALSE)</f>
        <v>jjamesjh</v>
      </c>
      <c r="O991" t="str">
        <f>VLOOKUP(A991, Data_Set_2!$A:$D,3,FALSE)</f>
        <v>Tanoodle</v>
      </c>
      <c r="P991" t="str">
        <f>VLOOKUP(A991, Data_Set_2!$A:$D,4,FALSE)</f>
        <v>Chief Design Engineer</v>
      </c>
      <c r="Q991" t="str">
        <f>_xlfn.CONCAT(Table3[[#This Row],[first_name]], " ",Table3[[#This Row],[last_name]])</f>
        <v>Joshua James</v>
      </c>
    </row>
    <row r="992" spans="1:17" hidden="1" x14ac:dyDescent="0.3">
      <c r="A992">
        <v>703</v>
      </c>
      <c r="B992" t="s">
        <v>799</v>
      </c>
      <c r="C992" t="s">
        <v>1000</v>
      </c>
      <c r="D992" t="s">
        <v>1264</v>
      </c>
      <c r="E992" t="s">
        <v>16</v>
      </c>
      <c r="F992" t="s">
        <v>33</v>
      </c>
      <c r="G992" s="1">
        <v>621</v>
      </c>
      <c r="H992" t="s">
        <v>26</v>
      </c>
      <c r="I992" s="2">
        <v>44904</v>
      </c>
      <c r="J992" t="s">
        <v>68</v>
      </c>
      <c r="K992" t="s">
        <v>1076</v>
      </c>
      <c r="L992">
        <v>76178</v>
      </c>
      <c r="M992" t="s">
        <v>21</v>
      </c>
      <c r="N992" t="str">
        <f>VLOOKUP(A992, Data_Set_2!$A:$D,2,FALSE)</f>
        <v>dreyesji</v>
      </c>
      <c r="O992" t="str">
        <f>VLOOKUP(A992, Data_Set_2!$A:$D,3,FALSE)</f>
        <v>Mydeo</v>
      </c>
      <c r="P992" t="str">
        <f>VLOOKUP(A992, Data_Set_2!$A:$D,4,FALSE)</f>
        <v>Environmental Tech</v>
      </c>
      <c r="Q992" t="str">
        <f>_xlfn.CONCAT(Table3[[#This Row],[first_name]], " ",Table3[[#This Row],[last_name]])</f>
        <v>Daniel Reyes</v>
      </c>
    </row>
    <row r="993" spans="1:17" hidden="1" x14ac:dyDescent="0.3">
      <c r="A993">
        <v>704</v>
      </c>
      <c r="B993" t="s">
        <v>726</v>
      </c>
      <c r="C993" t="s">
        <v>522</v>
      </c>
      <c r="D993" t="s">
        <v>727</v>
      </c>
      <c r="E993" t="s">
        <v>16</v>
      </c>
      <c r="F993" t="s">
        <v>17</v>
      </c>
      <c r="G993" s="1">
        <v>425</v>
      </c>
      <c r="H993" t="s">
        <v>34</v>
      </c>
      <c r="I993" s="2">
        <v>43661</v>
      </c>
      <c r="J993" t="s">
        <v>563</v>
      </c>
      <c r="K993" t="s">
        <v>564</v>
      </c>
      <c r="L993">
        <v>83757</v>
      </c>
      <c r="M993" t="s">
        <v>21</v>
      </c>
      <c r="N993" t="str">
        <f>VLOOKUP(A993, Data_Set_2!$A:$D,2,FALSE)</f>
        <v>calvarezjj</v>
      </c>
      <c r="O993" t="str">
        <f>VLOOKUP(A993, Data_Set_2!$A:$D,3,FALSE)</f>
        <v>Yakidoo</v>
      </c>
      <c r="P993" t="str">
        <f>VLOOKUP(A993, Data_Set_2!$A:$D,4,FALSE)</f>
        <v>Media Manager I</v>
      </c>
      <c r="Q993" t="str">
        <f>_xlfn.CONCAT(Table3[[#This Row],[first_name]], " ",Table3[[#This Row],[last_name]])</f>
        <v>Clarence Alvarez</v>
      </c>
    </row>
    <row r="994" spans="1:17" hidden="1" x14ac:dyDescent="0.3">
      <c r="A994">
        <v>705</v>
      </c>
      <c r="B994" t="s">
        <v>206</v>
      </c>
      <c r="C994" t="s">
        <v>207</v>
      </c>
      <c r="D994" t="s">
        <v>208</v>
      </c>
      <c r="E994" t="s">
        <v>32</v>
      </c>
      <c r="F994" t="s">
        <v>17</v>
      </c>
      <c r="G994" s="1">
        <v>848</v>
      </c>
      <c r="H994" t="s">
        <v>26</v>
      </c>
      <c r="I994" s="2">
        <v>43168</v>
      </c>
      <c r="J994" t="s">
        <v>204</v>
      </c>
      <c r="K994" t="s">
        <v>209</v>
      </c>
      <c r="L994">
        <v>22184</v>
      </c>
      <c r="M994" t="s">
        <v>21</v>
      </c>
      <c r="N994" t="str">
        <f>VLOOKUP(A994, Data_Set_2!$A:$D,2,FALSE)</f>
        <v>smartinjk</v>
      </c>
      <c r="O994" t="str">
        <f>VLOOKUP(A994, Data_Set_2!$A:$D,3,FALSE)</f>
        <v>Skiba</v>
      </c>
      <c r="P994" t="str">
        <f>VLOOKUP(A994, Data_Set_2!$A:$D,4,FALSE)</f>
        <v>Assistant Manager</v>
      </c>
      <c r="Q994" t="str">
        <f>_xlfn.CONCAT(Table3[[#This Row],[first_name]], " ",Table3[[#This Row],[last_name]])</f>
        <v>Sandra Martin</v>
      </c>
    </row>
    <row r="995" spans="1:17" hidden="1" x14ac:dyDescent="0.3">
      <c r="A995">
        <v>705</v>
      </c>
      <c r="B995" t="s">
        <v>206</v>
      </c>
      <c r="C995" t="s">
        <v>207</v>
      </c>
      <c r="D995" t="s">
        <v>208</v>
      </c>
      <c r="E995" t="s">
        <v>32</v>
      </c>
      <c r="F995" t="s">
        <v>17</v>
      </c>
      <c r="G995" s="1">
        <v>640</v>
      </c>
      <c r="H995" t="s">
        <v>26</v>
      </c>
      <c r="I995" s="2">
        <v>43181</v>
      </c>
      <c r="J995" t="s">
        <v>204</v>
      </c>
      <c r="K995" t="s">
        <v>209</v>
      </c>
      <c r="L995">
        <v>22184</v>
      </c>
      <c r="M995" t="s">
        <v>21</v>
      </c>
      <c r="N995" t="str">
        <f>VLOOKUP(A995, Data_Set_2!$A:$D,2,FALSE)</f>
        <v>smartinjk</v>
      </c>
      <c r="O995" t="str">
        <f>VLOOKUP(A995, Data_Set_2!$A:$D,3,FALSE)</f>
        <v>Skiba</v>
      </c>
      <c r="P995" t="str">
        <f>VLOOKUP(A995, Data_Set_2!$A:$D,4,FALSE)</f>
        <v>Assistant Manager</v>
      </c>
      <c r="Q995" t="str">
        <f>_xlfn.CONCAT(Table3[[#This Row],[first_name]], " ",Table3[[#This Row],[last_name]])</f>
        <v>Sandra Martin</v>
      </c>
    </row>
    <row r="996" spans="1:17" hidden="1" x14ac:dyDescent="0.3">
      <c r="A996">
        <v>705</v>
      </c>
      <c r="B996" t="s">
        <v>206</v>
      </c>
      <c r="C996" t="s">
        <v>207</v>
      </c>
      <c r="D996" t="s">
        <v>208</v>
      </c>
      <c r="E996" t="s">
        <v>32</v>
      </c>
      <c r="F996" t="s">
        <v>17</v>
      </c>
      <c r="G996" s="1">
        <v>33</v>
      </c>
      <c r="H996" t="s">
        <v>26</v>
      </c>
      <c r="I996" s="2">
        <v>43219</v>
      </c>
      <c r="J996" t="s">
        <v>204</v>
      </c>
      <c r="K996" t="s">
        <v>209</v>
      </c>
      <c r="L996">
        <v>22184</v>
      </c>
      <c r="M996" t="s">
        <v>21</v>
      </c>
      <c r="N996" t="str">
        <f>VLOOKUP(A996, Data_Set_2!$A:$D,2,FALSE)</f>
        <v>smartinjk</v>
      </c>
      <c r="O996" t="str">
        <f>VLOOKUP(A996, Data_Set_2!$A:$D,3,FALSE)</f>
        <v>Skiba</v>
      </c>
      <c r="P996" t="str">
        <f>VLOOKUP(A996, Data_Set_2!$A:$D,4,FALSE)</f>
        <v>Assistant Manager</v>
      </c>
      <c r="Q996" t="str">
        <f>_xlfn.CONCAT(Table3[[#This Row],[first_name]], " ",Table3[[#This Row],[last_name]])</f>
        <v>Sandra Martin</v>
      </c>
    </row>
    <row r="997" spans="1:17" hidden="1" x14ac:dyDescent="0.3">
      <c r="A997">
        <v>705</v>
      </c>
      <c r="B997" t="s">
        <v>206</v>
      </c>
      <c r="C997" t="s">
        <v>207</v>
      </c>
      <c r="D997" t="s">
        <v>208</v>
      </c>
      <c r="E997" t="s">
        <v>32</v>
      </c>
      <c r="F997" t="s">
        <v>17</v>
      </c>
      <c r="G997" s="1">
        <v>421</v>
      </c>
      <c r="H997" t="s">
        <v>26</v>
      </c>
      <c r="I997" s="2">
        <v>43228</v>
      </c>
      <c r="J997" t="s">
        <v>204</v>
      </c>
      <c r="K997" t="s">
        <v>209</v>
      </c>
      <c r="L997">
        <v>22184</v>
      </c>
      <c r="M997" t="s">
        <v>21</v>
      </c>
      <c r="N997" t="str">
        <f>VLOOKUP(A997, Data_Set_2!$A:$D,2,FALSE)</f>
        <v>smartinjk</v>
      </c>
      <c r="O997" t="str">
        <f>VLOOKUP(A997, Data_Set_2!$A:$D,3,FALSE)</f>
        <v>Skiba</v>
      </c>
      <c r="P997" t="str">
        <f>VLOOKUP(A997, Data_Set_2!$A:$D,4,FALSE)</f>
        <v>Assistant Manager</v>
      </c>
      <c r="Q997" t="str">
        <f>_xlfn.CONCAT(Table3[[#This Row],[first_name]], " ",Table3[[#This Row],[last_name]])</f>
        <v>Sandra Martin</v>
      </c>
    </row>
    <row r="998" spans="1:17" hidden="1" x14ac:dyDescent="0.3">
      <c r="A998">
        <v>705</v>
      </c>
      <c r="B998" t="s">
        <v>206</v>
      </c>
      <c r="C998" t="s">
        <v>207</v>
      </c>
      <c r="D998" t="s">
        <v>208</v>
      </c>
      <c r="E998" t="s">
        <v>32</v>
      </c>
      <c r="F998" t="s">
        <v>17</v>
      </c>
      <c r="G998" s="1">
        <v>12</v>
      </c>
      <c r="H998" t="s">
        <v>26</v>
      </c>
      <c r="I998" s="2">
        <v>43247</v>
      </c>
      <c r="J998" t="s">
        <v>204</v>
      </c>
      <c r="K998" t="s">
        <v>209</v>
      </c>
      <c r="L998">
        <v>22184</v>
      </c>
      <c r="M998" t="s">
        <v>21</v>
      </c>
      <c r="N998" t="str">
        <f>VLOOKUP(A998, Data_Set_2!$A:$D,2,FALSE)</f>
        <v>smartinjk</v>
      </c>
      <c r="O998" t="str">
        <f>VLOOKUP(A998, Data_Set_2!$A:$D,3,FALSE)</f>
        <v>Skiba</v>
      </c>
      <c r="P998" t="str">
        <f>VLOOKUP(A998, Data_Set_2!$A:$D,4,FALSE)</f>
        <v>Assistant Manager</v>
      </c>
      <c r="Q998" t="str">
        <f>_xlfn.CONCAT(Table3[[#This Row],[first_name]], " ",Table3[[#This Row],[last_name]])</f>
        <v>Sandra Martin</v>
      </c>
    </row>
    <row r="999" spans="1:17" hidden="1" x14ac:dyDescent="0.3">
      <c r="A999">
        <v>705</v>
      </c>
      <c r="B999" t="s">
        <v>206</v>
      </c>
      <c r="C999" t="s">
        <v>207</v>
      </c>
      <c r="D999" t="s">
        <v>208</v>
      </c>
      <c r="E999" t="s">
        <v>32</v>
      </c>
      <c r="F999" t="s">
        <v>17</v>
      </c>
      <c r="G999" s="1">
        <v>661</v>
      </c>
      <c r="H999" t="s">
        <v>26</v>
      </c>
      <c r="I999" s="2">
        <v>43475</v>
      </c>
      <c r="J999" t="s">
        <v>204</v>
      </c>
      <c r="K999" t="s">
        <v>209</v>
      </c>
      <c r="L999">
        <v>22184</v>
      </c>
      <c r="M999" t="s">
        <v>21</v>
      </c>
      <c r="N999" t="str">
        <f>VLOOKUP(A999, Data_Set_2!$A:$D,2,FALSE)</f>
        <v>smartinjk</v>
      </c>
      <c r="O999" t="str">
        <f>VLOOKUP(A999, Data_Set_2!$A:$D,3,FALSE)</f>
        <v>Skiba</v>
      </c>
      <c r="P999" t="str">
        <f>VLOOKUP(A999, Data_Set_2!$A:$D,4,FALSE)</f>
        <v>Assistant Manager</v>
      </c>
      <c r="Q999" t="str">
        <f>_xlfn.CONCAT(Table3[[#This Row],[first_name]], " ",Table3[[#This Row],[last_name]])</f>
        <v>Sandra Martin</v>
      </c>
    </row>
    <row r="1000" spans="1:17" hidden="1" x14ac:dyDescent="0.3">
      <c r="A1000">
        <v>705</v>
      </c>
      <c r="B1000" t="s">
        <v>206</v>
      </c>
      <c r="C1000" t="s">
        <v>207</v>
      </c>
      <c r="D1000" t="s">
        <v>208</v>
      </c>
      <c r="E1000" t="s">
        <v>32</v>
      </c>
      <c r="F1000" t="s">
        <v>17</v>
      </c>
      <c r="G1000" s="1">
        <v>837</v>
      </c>
      <c r="H1000" t="s">
        <v>26</v>
      </c>
      <c r="I1000" s="2">
        <v>44562</v>
      </c>
      <c r="J1000" t="s">
        <v>204</v>
      </c>
      <c r="K1000" t="s">
        <v>209</v>
      </c>
      <c r="L1000">
        <v>22184</v>
      </c>
      <c r="M1000" t="s">
        <v>21</v>
      </c>
      <c r="N1000" t="str">
        <f>VLOOKUP(A1000, Data_Set_2!$A:$D,2,FALSE)</f>
        <v>smartinjk</v>
      </c>
      <c r="O1000" t="str">
        <f>VLOOKUP(A1000, Data_Set_2!$A:$D,3,FALSE)</f>
        <v>Skiba</v>
      </c>
      <c r="P1000" t="str">
        <f>VLOOKUP(A1000, Data_Set_2!$A:$D,4,FALSE)</f>
        <v>Assistant Manager</v>
      </c>
      <c r="Q1000" t="str">
        <f>_xlfn.CONCAT(Table3[[#This Row],[first_name]], " ",Table3[[#This Row],[last_name]])</f>
        <v>Sandra Martin</v>
      </c>
    </row>
    <row r="1001" spans="1:17" hidden="1" x14ac:dyDescent="0.3">
      <c r="A1001">
        <v>705</v>
      </c>
      <c r="B1001" t="s">
        <v>206</v>
      </c>
      <c r="C1001" t="s">
        <v>207</v>
      </c>
      <c r="D1001" t="s">
        <v>208</v>
      </c>
      <c r="E1001" t="s">
        <v>32</v>
      </c>
      <c r="F1001" t="s">
        <v>17</v>
      </c>
      <c r="G1001" s="1">
        <v>406</v>
      </c>
      <c r="H1001" t="s">
        <v>26</v>
      </c>
      <c r="I1001" s="2">
        <v>44726</v>
      </c>
      <c r="J1001" t="s">
        <v>204</v>
      </c>
      <c r="K1001" t="s">
        <v>209</v>
      </c>
      <c r="L1001">
        <v>22184</v>
      </c>
      <c r="M1001" t="s">
        <v>21</v>
      </c>
      <c r="N1001" t="str">
        <f>VLOOKUP(A1001, Data_Set_2!$A:$D,2,FALSE)</f>
        <v>smartinjk</v>
      </c>
      <c r="O1001" t="str">
        <f>VLOOKUP(A1001, Data_Set_2!$A:$D,3,FALSE)</f>
        <v>Skiba</v>
      </c>
      <c r="P1001" t="str">
        <f>VLOOKUP(A1001, Data_Set_2!$A:$D,4,FALSE)</f>
        <v>Assistant Manager</v>
      </c>
      <c r="Q1001" t="str">
        <f>_xlfn.CONCAT(Table3[[#This Row],[first_name]], " ",Table3[[#This Row],[last_name]])</f>
        <v>Sandra Martin</v>
      </c>
    </row>
    <row r="1002" spans="1:17" hidden="1" x14ac:dyDescent="0.3">
      <c r="A1002">
        <v>706</v>
      </c>
      <c r="B1002" t="s">
        <v>1106</v>
      </c>
      <c r="C1002" t="s">
        <v>796</v>
      </c>
      <c r="D1002" t="s">
        <v>1166</v>
      </c>
      <c r="E1002" t="s">
        <v>16</v>
      </c>
      <c r="F1002" t="s">
        <v>25</v>
      </c>
      <c r="G1002" s="1">
        <v>496</v>
      </c>
      <c r="H1002" t="s">
        <v>4036</v>
      </c>
      <c r="I1002" s="2">
        <v>44643</v>
      </c>
      <c r="J1002" t="s">
        <v>192</v>
      </c>
      <c r="K1002" t="s">
        <v>193</v>
      </c>
      <c r="L1002">
        <v>55487</v>
      </c>
      <c r="M1002" t="s">
        <v>21</v>
      </c>
      <c r="N1002" t="str">
        <f>VLOOKUP(A1002, Data_Set_2!$A:$D,2,FALSE)</f>
        <v>sdayjl</v>
      </c>
      <c r="O1002" t="str">
        <f>VLOOKUP(A1002, Data_Set_2!$A:$D,3,FALSE)</f>
        <v>Pixope</v>
      </c>
      <c r="P1002" t="str">
        <f>VLOOKUP(A1002, Data_Set_2!$A:$D,4,FALSE)</f>
        <v>Senior Editor</v>
      </c>
      <c r="Q1002" t="str">
        <f>_xlfn.CONCAT(Table3[[#This Row],[first_name]], " ",Table3[[#This Row],[last_name]])</f>
        <v>Samuel Day</v>
      </c>
    </row>
    <row r="1003" spans="1:17" hidden="1" x14ac:dyDescent="0.3">
      <c r="A1003">
        <v>707</v>
      </c>
      <c r="B1003" t="s">
        <v>227</v>
      </c>
      <c r="C1003" t="s">
        <v>766</v>
      </c>
      <c r="D1003" t="s">
        <v>980</v>
      </c>
      <c r="E1003" t="s">
        <v>16</v>
      </c>
      <c r="F1003" t="s">
        <v>33</v>
      </c>
      <c r="G1003" s="1">
        <v>119</v>
      </c>
      <c r="H1003" t="s">
        <v>26</v>
      </c>
      <c r="I1003" s="2">
        <v>44168</v>
      </c>
      <c r="J1003" t="s">
        <v>152</v>
      </c>
      <c r="K1003" t="s">
        <v>484</v>
      </c>
      <c r="L1003">
        <v>45414</v>
      </c>
      <c r="M1003" t="s">
        <v>21</v>
      </c>
      <c r="N1003" t="str">
        <f>VLOOKUP(A1003, Data_Set_2!$A:$D,2,FALSE)</f>
        <v>eknightjm</v>
      </c>
      <c r="O1003" t="str">
        <f>VLOOKUP(A1003, Data_Set_2!$A:$D,3,FALSE)</f>
        <v>Flipstorm</v>
      </c>
      <c r="P1003" t="str">
        <f>VLOOKUP(A1003, Data_Set_2!$A:$D,4,FALSE)</f>
        <v>Account Representative I</v>
      </c>
      <c r="Q1003" t="str">
        <f>_xlfn.CONCAT(Table3[[#This Row],[first_name]], " ",Table3[[#This Row],[last_name]])</f>
        <v>Eugene Knight</v>
      </c>
    </row>
    <row r="1004" spans="1:17" hidden="1" x14ac:dyDescent="0.3">
      <c r="A1004">
        <v>709</v>
      </c>
      <c r="B1004" t="s">
        <v>182</v>
      </c>
      <c r="C1004" t="s">
        <v>833</v>
      </c>
      <c r="D1004" t="s">
        <v>1086</v>
      </c>
      <c r="E1004" t="s">
        <v>16</v>
      </c>
      <c r="F1004" t="s">
        <v>33</v>
      </c>
      <c r="G1004" s="1">
        <v>199</v>
      </c>
      <c r="H1004" t="s">
        <v>341</v>
      </c>
      <c r="I1004" s="2">
        <v>44443</v>
      </c>
      <c r="J1004" t="s">
        <v>220</v>
      </c>
      <c r="K1004" t="s">
        <v>1087</v>
      </c>
      <c r="L1004">
        <v>98664</v>
      </c>
      <c r="M1004" t="s">
        <v>21</v>
      </c>
      <c r="N1004" t="str">
        <f>VLOOKUP(A1004, Data_Set_2!$A:$D,2,FALSE)</f>
        <v>jstephensjo</v>
      </c>
      <c r="O1004" t="str">
        <f>VLOOKUP(A1004, Data_Set_2!$A:$D,3,FALSE)</f>
        <v>Fanoodle</v>
      </c>
      <c r="P1004" t="str">
        <f>VLOOKUP(A1004, Data_Set_2!$A:$D,4,FALSE)</f>
        <v>Administrative Officer</v>
      </c>
      <c r="Q1004" t="str">
        <f>_xlfn.CONCAT(Table3[[#This Row],[first_name]], " ",Table3[[#This Row],[last_name]])</f>
        <v>James Stephens</v>
      </c>
    </row>
    <row r="1005" spans="1:17" hidden="1" x14ac:dyDescent="0.3">
      <c r="A1005">
        <v>710</v>
      </c>
      <c r="B1005" t="s">
        <v>122</v>
      </c>
      <c r="C1005" t="s">
        <v>321</v>
      </c>
      <c r="D1005" t="s">
        <v>1176</v>
      </c>
      <c r="E1005" t="s">
        <v>32</v>
      </c>
      <c r="F1005" t="s">
        <v>33</v>
      </c>
      <c r="G1005" s="1">
        <v>908</v>
      </c>
      <c r="H1005" t="s">
        <v>26</v>
      </c>
      <c r="I1005" s="2">
        <v>44666</v>
      </c>
      <c r="J1005" t="s">
        <v>204</v>
      </c>
      <c r="K1005" t="s">
        <v>827</v>
      </c>
      <c r="L1005">
        <v>22234</v>
      </c>
      <c r="M1005" t="s">
        <v>21</v>
      </c>
      <c r="N1005" t="str">
        <f>VLOOKUP(A1005, Data_Set_2!$A:$D,2,FALSE)</f>
        <v>acarterjp</v>
      </c>
      <c r="O1005" t="str">
        <f>VLOOKUP(A1005, Data_Set_2!$A:$D,3,FALSE)</f>
        <v>Twimbo</v>
      </c>
      <c r="P1005" t="str">
        <f>VLOOKUP(A1005, Data_Set_2!$A:$D,4,FALSE)</f>
        <v>Software Consultant</v>
      </c>
      <c r="Q1005" t="str">
        <f>_xlfn.CONCAT(Table3[[#This Row],[first_name]], " ",Table3[[#This Row],[last_name]])</f>
        <v>Andrea Carter</v>
      </c>
    </row>
    <row r="1006" spans="1:17" hidden="1" x14ac:dyDescent="0.3">
      <c r="A1006">
        <v>711</v>
      </c>
      <c r="B1006" t="s">
        <v>928</v>
      </c>
      <c r="C1006" t="s">
        <v>182</v>
      </c>
      <c r="D1006" t="s">
        <v>929</v>
      </c>
      <c r="E1006" t="s">
        <v>32</v>
      </c>
      <c r="F1006" t="s">
        <v>33</v>
      </c>
      <c r="G1006" s="1">
        <v>55</v>
      </c>
      <c r="H1006" t="s">
        <v>62</v>
      </c>
      <c r="I1006" s="2">
        <v>44067</v>
      </c>
      <c r="J1006" t="s">
        <v>291</v>
      </c>
      <c r="K1006" t="s">
        <v>292</v>
      </c>
      <c r="L1006">
        <v>21229</v>
      </c>
      <c r="M1006" t="s">
        <v>21</v>
      </c>
      <c r="N1006" t="str">
        <f>VLOOKUP(A1006, Data_Set_2!$A:$D,2,FALSE)</f>
        <v>ajamesjq</v>
      </c>
      <c r="O1006" t="str">
        <f>VLOOKUP(A1006, Data_Set_2!$A:$D,3,FALSE)</f>
        <v>Mybuzz</v>
      </c>
      <c r="P1006" t="str">
        <f>VLOOKUP(A1006, Data_Set_2!$A:$D,4,FALSE)</f>
        <v>Account Executive</v>
      </c>
      <c r="Q1006" t="str">
        <f>_xlfn.CONCAT(Table3[[#This Row],[first_name]], " ",Table3[[#This Row],[last_name]])</f>
        <v>Amanda James</v>
      </c>
    </row>
    <row r="1007" spans="1:17" hidden="1" x14ac:dyDescent="0.3">
      <c r="A1007">
        <v>713</v>
      </c>
      <c r="B1007" t="s">
        <v>499</v>
      </c>
      <c r="C1007" t="s">
        <v>1022</v>
      </c>
      <c r="D1007" t="s">
        <v>1261</v>
      </c>
      <c r="E1007" t="s">
        <v>16</v>
      </c>
      <c r="F1007" t="s">
        <v>17</v>
      </c>
      <c r="G1007" s="1">
        <v>24</v>
      </c>
      <c r="H1007" t="s">
        <v>4034</v>
      </c>
      <c r="I1007" s="2">
        <v>44894</v>
      </c>
      <c r="J1007" t="s">
        <v>41</v>
      </c>
      <c r="K1007" t="s">
        <v>42</v>
      </c>
      <c r="L1007">
        <v>40250</v>
      </c>
      <c r="M1007" t="s">
        <v>21</v>
      </c>
      <c r="N1007" t="str">
        <f>VLOOKUP(A1007, Data_Set_2!$A:$D,2,FALSE)</f>
        <v>jwatsonjs</v>
      </c>
      <c r="O1007" t="str">
        <f>VLOOKUP(A1007, Data_Set_2!$A:$D,3,FALSE)</f>
        <v>Centidel</v>
      </c>
      <c r="P1007" t="str">
        <f>VLOOKUP(A1007, Data_Set_2!$A:$D,4,FALSE)</f>
        <v>Teacher</v>
      </c>
      <c r="Q1007" t="str">
        <f>_xlfn.CONCAT(Table3[[#This Row],[first_name]], " ",Table3[[#This Row],[last_name]])</f>
        <v>Jason Watson</v>
      </c>
    </row>
    <row r="1008" spans="1:17" hidden="1" x14ac:dyDescent="0.3">
      <c r="A1008">
        <v>715</v>
      </c>
      <c r="B1008" t="s">
        <v>186</v>
      </c>
      <c r="C1008" t="s">
        <v>1074</v>
      </c>
      <c r="D1008" t="s">
        <v>1075</v>
      </c>
      <c r="E1008" t="s">
        <v>32</v>
      </c>
      <c r="F1008" t="s">
        <v>33</v>
      </c>
      <c r="G1008" s="1">
        <v>131</v>
      </c>
      <c r="H1008" t="s">
        <v>26</v>
      </c>
      <c r="I1008" s="2">
        <v>44400</v>
      </c>
      <c r="J1008" t="s">
        <v>68</v>
      </c>
      <c r="K1008" t="s">
        <v>1076</v>
      </c>
      <c r="L1008">
        <v>76178</v>
      </c>
      <c r="M1008" t="s">
        <v>21</v>
      </c>
      <c r="N1008" t="str">
        <f>VLOOKUP(A1008, Data_Set_2!$A:$D,2,FALSE)</f>
        <v>jgrayju</v>
      </c>
      <c r="O1008" t="str">
        <f>VLOOKUP(A1008, Data_Set_2!$A:$D,3,FALSE)</f>
        <v>Camido</v>
      </c>
      <c r="P1008" t="str">
        <f>VLOOKUP(A1008, Data_Set_2!$A:$D,4,FALSE)</f>
        <v>Recruiting Manager</v>
      </c>
      <c r="Q1008" t="str">
        <f>_xlfn.CONCAT(Table3[[#This Row],[first_name]], " ",Table3[[#This Row],[last_name]])</f>
        <v>Judy Gray</v>
      </c>
    </row>
    <row r="1009" spans="1:17" hidden="1" x14ac:dyDescent="0.3">
      <c r="A1009">
        <v>716</v>
      </c>
      <c r="B1009" t="s">
        <v>769</v>
      </c>
      <c r="C1009" t="s">
        <v>44</v>
      </c>
      <c r="D1009" t="s">
        <v>863</v>
      </c>
      <c r="E1009" t="s">
        <v>16</v>
      </c>
      <c r="F1009" t="s">
        <v>25</v>
      </c>
      <c r="G1009" s="1">
        <v>969</v>
      </c>
      <c r="H1009" t="s">
        <v>26</v>
      </c>
      <c r="I1009" s="2">
        <v>43892</v>
      </c>
      <c r="J1009" t="s">
        <v>115</v>
      </c>
      <c r="K1009" t="s">
        <v>864</v>
      </c>
      <c r="L1009">
        <v>33686</v>
      </c>
      <c r="M1009" t="s">
        <v>21</v>
      </c>
      <c r="N1009" t="str">
        <f>VLOOKUP(A1009, Data_Set_2!$A:$D,2,FALSE)</f>
        <v>thawkinsjv</v>
      </c>
      <c r="O1009" t="str">
        <f>VLOOKUP(A1009, Data_Set_2!$A:$D,3,FALSE)</f>
        <v>Jabbersphere</v>
      </c>
      <c r="P1009" t="str">
        <f>VLOOKUP(A1009, Data_Set_2!$A:$D,4,FALSE)</f>
        <v>Account Coordinator</v>
      </c>
      <c r="Q1009" t="str">
        <f>_xlfn.CONCAT(Table3[[#This Row],[first_name]], " ",Table3[[#This Row],[last_name]])</f>
        <v>Todd Hawkins</v>
      </c>
    </row>
    <row r="1010" spans="1:17" hidden="1" x14ac:dyDescent="0.3">
      <c r="A1010">
        <v>717</v>
      </c>
      <c r="B1010" t="s">
        <v>37</v>
      </c>
      <c r="C1010" t="s">
        <v>76</v>
      </c>
      <c r="D1010" t="s">
        <v>77</v>
      </c>
      <c r="E1010" t="s">
        <v>16</v>
      </c>
      <c r="F1010" t="s">
        <v>17</v>
      </c>
      <c r="G1010" s="1">
        <v>595</v>
      </c>
      <c r="H1010" t="s">
        <v>62</v>
      </c>
      <c r="I1010" s="2">
        <v>43117</v>
      </c>
      <c r="J1010" t="s">
        <v>78</v>
      </c>
      <c r="K1010" t="s">
        <v>79</v>
      </c>
      <c r="L1010">
        <v>48076</v>
      </c>
      <c r="M1010" t="s">
        <v>21</v>
      </c>
      <c r="N1010" t="str">
        <f>VLOOKUP(A1010, Data_Set_2!$A:$D,2,FALSE)</f>
        <v>mphillipsjw</v>
      </c>
      <c r="O1010" t="str">
        <f>VLOOKUP(A1010, Data_Set_2!$A:$D,3,FALSE)</f>
        <v>Zoozzy</v>
      </c>
      <c r="P1010" t="str">
        <f>VLOOKUP(A1010, Data_Set_2!$A:$D,4,FALSE)</f>
        <v>Information Systems Manager</v>
      </c>
      <c r="Q1010" t="str">
        <f>_xlfn.CONCAT(Table3[[#This Row],[first_name]], " ",Table3[[#This Row],[last_name]])</f>
        <v>Mark Phillips</v>
      </c>
    </row>
    <row r="1011" spans="1:17" hidden="1" x14ac:dyDescent="0.3">
      <c r="A1011">
        <v>718</v>
      </c>
      <c r="B1011" t="s">
        <v>252</v>
      </c>
      <c r="C1011" t="s">
        <v>44</v>
      </c>
      <c r="D1011" t="s">
        <v>648</v>
      </c>
      <c r="E1011" t="s">
        <v>16</v>
      </c>
      <c r="F1011" t="s">
        <v>17</v>
      </c>
      <c r="G1011" s="1">
        <v>482</v>
      </c>
      <c r="H1011" t="s">
        <v>26</v>
      </c>
      <c r="I1011" s="2">
        <v>43564</v>
      </c>
      <c r="J1011" t="s">
        <v>120</v>
      </c>
      <c r="K1011" t="s">
        <v>649</v>
      </c>
      <c r="L1011">
        <v>71307</v>
      </c>
      <c r="M1011" t="s">
        <v>21</v>
      </c>
      <c r="N1011" t="str">
        <f>VLOOKUP(A1011, Data_Set_2!$A:$D,2,FALSE)</f>
        <v>jhawkinsjx</v>
      </c>
      <c r="O1011" t="str">
        <f>VLOOKUP(A1011, Data_Set_2!$A:$D,3,FALSE)</f>
        <v>Trudeo</v>
      </c>
      <c r="P1011" t="str">
        <f>VLOOKUP(A1011, Data_Set_2!$A:$D,4,FALSE)</f>
        <v>Environmental Specialist</v>
      </c>
      <c r="Q1011" t="str">
        <f>_xlfn.CONCAT(Table3[[#This Row],[first_name]], " ",Table3[[#This Row],[last_name]])</f>
        <v>Joshua Hawkins</v>
      </c>
    </row>
    <row r="1012" spans="1:17" hidden="1" x14ac:dyDescent="0.3">
      <c r="A1012">
        <v>720</v>
      </c>
      <c r="B1012" t="s">
        <v>130</v>
      </c>
      <c r="C1012" t="s">
        <v>131</v>
      </c>
      <c r="D1012" t="s">
        <v>132</v>
      </c>
      <c r="E1012" t="s">
        <v>32</v>
      </c>
      <c r="F1012" t="s">
        <v>17</v>
      </c>
      <c r="G1012" s="1">
        <v>295</v>
      </c>
      <c r="H1012" t="s">
        <v>34</v>
      </c>
      <c r="I1012" s="2">
        <v>43134</v>
      </c>
      <c r="J1012" t="s">
        <v>133</v>
      </c>
      <c r="K1012" t="s">
        <v>134</v>
      </c>
      <c r="L1012">
        <v>96840</v>
      </c>
      <c r="M1012" t="s">
        <v>21</v>
      </c>
      <c r="N1012" t="str">
        <f>VLOOKUP(A1012, Data_Set_2!$A:$D,2,FALSE)</f>
        <v>selliottjz</v>
      </c>
      <c r="O1012" t="str">
        <f>VLOOKUP(A1012, Data_Set_2!$A:$D,3,FALSE)</f>
        <v>Youspan</v>
      </c>
      <c r="P1012" t="str">
        <f>VLOOKUP(A1012, Data_Set_2!$A:$D,4,FALSE)</f>
        <v>Nurse</v>
      </c>
      <c r="Q1012" t="str">
        <f>_xlfn.CONCAT(Table3[[#This Row],[first_name]], " ",Table3[[#This Row],[last_name]])</f>
        <v>Susan Elliott</v>
      </c>
    </row>
    <row r="1013" spans="1:17" x14ac:dyDescent="0.3">
      <c r="A1013">
        <v>721</v>
      </c>
      <c r="B1013" t="s">
        <v>726</v>
      </c>
      <c r="C1013" t="s">
        <v>1028</v>
      </c>
      <c r="D1013" t="s">
        <v>1170</v>
      </c>
      <c r="E1013" t="s">
        <v>16</v>
      </c>
      <c r="F1013" t="s">
        <v>25</v>
      </c>
      <c r="G1013" s="1">
        <v>387</v>
      </c>
      <c r="H1013" t="s">
        <v>95</v>
      </c>
      <c r="I1013" s="2">
        <v>44660</v>
      </c>
      <c r="J1013" t="s">
        <v>192</v>
      </c>
      <c r="K1013" t="s">
        <v>1171</v>
      </c>
      <c r="L1013">
        <v>56372</v>
      </c>
      <c r="M1013" t="s">
        <v>21</v>
      </c>
      <c r="N1013" t="str">
        <f>VLOOKUP(A1013, Data_Set_2!$A:$D,2,FALSE)</f>
        <v>chunterk0</v>
      </c>
      <c r="O1013" t="str">
        <f>VLOOKUP(A1013, Data_Set_2!$A:$D,3,FALSE)</f>
        <v>Jaloo</v>
      </c>
      <c r="P1013" t="str">
        <f>VLOOKUP(A1013, Data_Set_2!$A:$D,4,FALSE)</f>
        <v>Senior Quality Engineer</v>
      </c>
      <c r="Q1013" t="str">
        <f>_xlfn.CONCAT(Table3[[#This Row],[first_name]], " ",Table3[[#This Row],[last_name]])</f>
        <v>Clarence Hunter</v>
      </c>
    </row>
    <row r="1014" spans="1:17" hidden="1" x14ac:dyDescent="0.3">
      <c r="A1014">
        <v>722</v>
      </c>
      <c r="B1014" t="s">
        <v>537</v>
      </c>
      <c r="C1014" t="s">
        <v>538</v>
      </c>
      <c r="D1014" t="s">
        <v>539</v>
      </c>
      <c r="E1014" t="s">
        <v>16</v>
      </c>
      <c r="F1014" t="s">
        <v>33</v>
      </c>
      <c r="G1014" s="1">
        <v>709</v>
      </c>
      <c r="H1014" t="s">
        <v>62</v>
      </c>
      <c r="I1014" s="2">
        <v>43444</v>
      </c>
      <c r="J1014" t="s">
        <v>35</v>
      </c>
      <c r="K1014" t="s">
        <v>540</v>
      </c>
      <c r="L1014">
        <v>92648</v>
      </c>
      <c r="M1014" t="s">
        <v>21</v>
      </c>
      <c r="N1014" t="str">
        <f>VLOOKUP(A1014, Data_Set_2!$A:$D,2,FALSE)</f>
        <v>gmyersk1</v>
      </c>
      <c r="O1014" t="str">
        <f>VLOOKUP(A1014, Data_Set_2!$A:$D,3,FALSE)</f>
        <v>Brainsphere</v>
      </c>
      <c r="P1014" t="str">
        <f>VLOOKUP(A1014, Data_Set_2!$A:$D,4,FALSE)</f>
        <v>Data Coordiator</v>
      </c>
      <c r="Q1014" t="str">
        <f>_xlfn.CONCAT(Table3[[#This Row],[first_name]], " ",Table3[[#This Row],[last_name]])</f>
        <v>Gregory Myers</v>
      </c>
    </row>
    <row r="1015" spans="1:17" hidden="1" x14ac:dyDescent="0.3">
      <c r="A1015">
        <v>723</v>
      </c>
      <c r="B1015" t="s">
        <v>476</v>
      </c>
      <c r="C1015" t="s">
        <v>264</v>
      </c>
      <c r="D1015" t="s">
        <v>927</v>
      </c>
      <c r="E1015" t="s">
        <v>32</v>
      </c>
      <c r="F1015" t="s">
        <v>33</v>
      </c>
      <c r="G1015" s="1">
        <v>746</v>
      </c>
      <c r="H1015" t="s">
        <v>34</v>
      </c>
      <c r="I1015" s="2">
        <v>44061</v>
      </c>
      <c r="J1015" t="s">
        <v>204</v>
      </c>
      <c r="K1015" t="s">
        <v>306</v>
      </c>
      <c r="L1015">
        <v>23551</v>
      </c>
      <c r="M1015" t="s">
        <v>21</v>
      </c>
      <c r="N1015" t="str">
        <f>VLOOKUP(A1015, Data_Set_2!$A:$D,2,FALSE)</f>
        <v>gcarrk2</v>
      </c>
      <c r="O1015" t="str">
        <f>VLOOKUP(A1015, Data_Set_2!$A:$D,3,FALSE)</f>
        <v>Avavee</v>
      </c>
      <c r="P1015" t="str">
        <f>VLOOKUP(A1015, Data_Set_2!$A:$D,4,FALSE)</f>
        <v>Clinical Specialist</v>
      </c>
      <c r="Q1015" t="str">
        <f>_xlfn.CONCAT(Table3[[#This Row],[first_name]], " ",Table3[[#This Row],[last_name]])</f>
        <v>Gloria Carr</v>
      </c>
    </row>
    <row r="1016" spans="1:17" hidden="1" x14ac:dyDescent="0.3">
      <c r="A1016">
        <v>724</v>
      </c>
      <c r="B1016" t="s">
        <v>198</v>
      </c>
      <c r="C1016" t="s">
        <v>232</v>
      </c>
      <c r="D1016" t="s">
        <v>1191</v>
      </c>
      <c r="E1016" t="s">
        <v>16</v>
      </c>
      <c r="F1016" t="s">
        <v>33</v>
      </c>
      <c r="G1016" s="1">
        <v>608</v>
      </c>
      <c r="H1016" t="s">
        <v>26</v>
      </c>
      <c r="I1016" s="2">
        <v>44694</v>
      </c>
      <c r="J1016" t="s">
        <v>110</v>
      </c>
      <c r="K1016" t="s">
        <v>1113</v>
      </c>
      <c r="L1016">
        <v>17105</v>
      </c>
      <c r="M1016" t="s">
        <v>21</v>
      </c>
      <c r="N1016" t="str">
        <f>VLOOKUP(A1016, Data_Set_2!$A:$D,2,FALSE)</f>
        <v>awardk3</v>
      </c>
      <c r="O1016" t="str">
        <f>VLOOKUP(A1016, Data_Set_2!$A:$D,3,FALSE)</f>
        <v>Zoomzone</v>
      </c>
      <c r="P1016" t="str">
        <f>VLOOKUP(A1016, Data_Set_2!$A:$D,4,FALSE)</f>
        <v>Social Worker</v>
      </c>
      <c r="Q1016" t="str">
        <f>_xlfn.CONCAT(Table3[[#This Row],[first_name]], " ",Table3[[#This Row],[last_name]])</f>
        <v>Anthony Ward</v>
      </c>
    </row>
    <row r="1017" spans="1:17" hidden="1" x14ac:dyDescent="0.3">
      <c r="A1017">
        <v>725</v>
      </c>
      <c r="B1017" t="s">
        <v>381</v>
      </c>
      <c r="C1017" t="s">
        <v>337</v>
      </c>
      <c r="D1017" t="s">
        <v>1103</v>
      </c>
      <c r="E1017" t="s">
        <v>16</v>
      </c>
      <c r="F1017" t="s">
        <v>33</v>
      </c>
      <c r="G1017" s="1">
        <v>411</v>
      </c>
      <c r="H1017" t="s">
        <v>26</v>
      </c>
      <c r="I1017" s="2">
        <v>44513</v>
      </c>
      <c r="J1017" t="s">
        <v>375</v>
      </c>
      <c r="K1017" t="s">
        <v>376</v>
      </c>
      <c r="L1017">
        <v>57110</v>
      </c>
      <c r="M1017" t="s">
        <v>21</v>
      </c>
      <c r="N1017" t="str">
        <f>VLOOKUP(A1017, Data_Set_2!$A:$D,2,FALSE)</f>
        <v>mweaverk4</v>
      </c>
      <c r="O1017" t="str">
        <f>VLOOKUP(A1017, Data_Set_2!$A:$D,3,FALSE)</f>
        <v>Lazz</v>
      </c>
      <c r="P1017" t="str">
        <f>VLOOKUP(A1017, Data_Set_2!$A:$D,4,FALSE)</f>
        <v>Staff Accountant III</v>
      </c>
      <c r="Q1017" t="str">
        <f>_xlfn.CONCAT(Table3[[#This Row],[first_name]], " ",Table3[[#This Row],[last_name]])</f>
        <v>Matthew Weaver</v>
      </c>
    </row>
    <row r="1018" spans="1:17" hidden="1" x14ac:dyDescent="0.3">
      <c r="A1018">
        <v>727</v>
      </c>
      <c r="B1018" t="s">
        <v>37</v>
      </c>
      <c r="C1018" t="s">
        <v>38</v>
      </c>
      <c r="D1018" t="s">
        <v>39</v>
      </c>
      <c r="E1018" t="s">
        <v>16</v>
      </c>
      <c r="F1018" t="s">
        <v>33</v>
      </c>
      <c r="G1018" s="1">
        <v>511</v>
      </c>
      <c r="H1018" t="s">
        <v>4035</v>
      </c>
      <c r="I1018" s="2">
        <v>43104</v>
      </c>
      <c r="J1018" t="s">
        <v>41</v>
      </c>
      <c r="K1018" t="s">
        <v>42</v>
      </c>
      <c r="L1018">
        <v>40215</v>
      </c>
      <c r="M1018" t="s">
        <v>21</v>
      </c>
      <c r="N1018" t="str">
        <f>VLOOKUP(A1018, Data_Set_2!$A:$D,2,FALSE)</f>
        <v>mchapmank6</v>
      </c>
      <c r="O1018" t="str">
        <f>VLOOKUP(A1018, Data_Set_2!$A:$D,3,FALSE)</f>
        <v>Chatterbridge</v>
      </c>
      <c r="P1018" t="str">
        <f>VLOOKUP(A1018, Data_Set_2!$A:$D,4,FALSE)</f>
        <v>VP Quality Control</v>
      </c>
      <c r="Q1018" t="str">
        <f>_xlfn.CONCAT(Table3[[#This Row],[first_name]], " ",Table3[[#This Row],[last_name]])</f>
        <v>Mark Chapman</v>
      </c>
    </row>
    <row r="1019" spans="1:17" hidden="1" x14ac:dyDescent="0.3">
      <c r="A1019">
        <v>728</v>
      </c>
      <c r="B1019" t="s">
        <v>471</v>
      </c>
      <c r="C1019" t="s">
        <v>38</v>
      </c>
      <c r="D1019" t="s">
        <v>1266</v>
      </c>
      <c r="E1019" t="s">
        <v>32</v>
      </c>
      <c r="F1019" t="s">
        <v>25</v>
      </c>
      <c r="G1019" s="1">
        <v>159</v>
      </c>
      <c r="H1019" t="s">
        <v>4037</v>
      </c>
      <c r="I1019" s="2">
        <v>44907</v>
      </c>
      <c r="J1019" t="s">
        <v>393</v>
      </c>
      <c r="K1019" t="s">
        <v>578</v>
      </c>
      <c r="L1019">
        <v>38181</v>
      </c>
      <c r="M1019" t="s">
        <v>21</v>
      </c>
      <c r="N1019" t="str">
        <f>VLOOKUP(A1019, Data_Set_2!$A:$D,2,FALSE)</f>
        <v>lchapmank7</v>
      </c>
      <c r="O1019" t="str">
        <f>VLOOKUP(A1019, Data_Set_2!$A:$D,3,FALSE)</f>
        <v>Thoughtmix</v>
      </c>
      <c r="P1019" t="str">
        <f>VLOOKUP(A1019, Data_Set_2!$A:$D,4,FALSE)</f>
        <v>Project Manager</v>
      </c>
      <c r="Q1019" t="str">
        <f>_xlfn.CONCAT(Table3[[#This Row],[first_name]], " ",Table3[[#This Row],[last_name]])</f>
        <v>Linda Chapman</v>
      </c>
    </row>
    <row r="1020" spans="1:17" hidden="1" x14ac:dyDescent="0.3">
      <c r="A1020">
        <v>729</v>
      </c>
      <c r="B1020" t="s">
        <v>176</v>
      </c>
      <c r="C1020" t="s">
        <v>177</v>
      </c>
      <c r="D1020" t="s">
        <v>178</v>
      </c>
      <c r="E1020" t="s">
        <v>32</v>
      </c>
      <c r="F1020" t="s">
        <v>179</v>
      </c>
      <c r="G1020" s="1">
        <v>648</v>
      </c>
      <c r="H1020" t="s">
        <v>26</v>
      </c>
      <c r="I1020" s="2">
        <v>43151</v>
      </c>
      <c r="J1020" t="s">
        <v>35</v>
      </c>
      <c r="K1020" t="s">
        <v>180</v>
      </c>
      <c r="L1020">
        <v>95173</v>
      </c>
      <c r="M1020" t="s">
        <v>21</v>
      </c>
      <c r="N1020" t="str">
        <f>VLOOKUP(A1020, Data_Set_2!$A:$D,2,FALSE)</f>
        <v>srileyk8</v>
      </c>
      <c r="O1020" t="str">
        <f>VLOOKUP(A1020, Data_Set_2!$A:$D,3,FALSE)</f>
        <v>Skipfire</v>
      </c>
      <c r="P1020" t="str">
        <f>VLOOKUP(A1020, Data_Set_2!$A:$D,4,FALSE)</f>
        <v>Nurse Practicioner</v>
      </c>
      <c r="Q1020" t="str">
        <f>_xlfn.CONCAT(Table3[[#This Row],[first_name]], " ",Table3[[#This Row],[last_name]])</f>
        <v>Shirley Riley</v>
      </c>
    </row>
    <row r="1021" spans="1:17" hidden="1" x14ac:dyDescent="0.3">
      <c r="A1021">
        <v>729</v>
      </c>
      <c r="B1021" t="s">
        <v>176</v>
      </c>
      <c r="C1021" t="s">
        <v>177</v>
      </c>
      <c r="D1021" t="s">
        <v>178</v>
      </c>
      <c r="E1021" t="s">
        <v>32</v>
      </c>
      <c r="F1021" t="s">
        <v>179</v>
      </c>
      <c r="G1021" s="1">
        <v>361</v>
      </c>
      <c r="H1021" t="s">
        <v>26</v>
      </c>
      <c r="I1021" s="2">
        <v>43477</v>
      </c>
      <c r="J1021" t="s">
        <v>35</v>
      </c>
      <c r="K1021" t="s">
        <v>180</v>
      </c>
      <c r="L1021">
        <v>95173</v>
      </c>
      <c r="M1021" t="s">
        <v>21</v>
      </c>
      <c r="N1021" t="str">
        <f>VLOOKUP(A1021, Data_Set_2!$A:$D,2,FALSE)</f>
        <v>srileyk8</v>
      </c>
      <c r="O1021" t="str">
        <f>VLOOKUP(A1021, Data_Set_2!$A:$D,3,FALSE)</f>
        <v>Skipfire</v>
      </c>
      <c r="P1021" t="str">
        <f>VLOOKUP(A1021, Data_Set_2!$A:$D,4,FALSE)</f>
        <v>Nurse Practicioner</v>
      </c>
      <c r="Q1021" t="str">
        <f>_xlfn.CONCAT(Table3[[#This Row],[first_name]], " ",Table3[[#This Row],[last_name]])</f>
        <v>Shirley Riley</v>
      </c>
    </row>
    <row r="1022" spans="1:17" hidden="1" x14ac:dyDescent="0.3">
      <c r="A1022">
        <v>729</v>
      </c>
      <c r="B1022" t="s">
        <v>176</v>
      </c>
      <c r="C1022" t="s">
        <v>177</v>
      </c>
      <c r="D1022" t="s">
        <v>178</v>
      </c>
      <c r="E1022" t="s">
        <v>32</v>
      </c>
      <c r="F1022" t="s">
        <v>179</v>
      </c>
      <c r="G1022" s="1">
        <v>341</v>
      </c>
      <c r="H1022" t="s">
        <v>26</v>
      </c>
      <c r="I1022" s="2">
        <v>43714</v>
      </c>
      <c r="J1022" t="s">
        <v>35</v>
      </c>
      <c r="K1022" t="s">
        <v>180</v>
      </c>
      <c r="L1022">
        <v>95173</v>
      </c>
      <c r="M1022" t="s">
        <v>21</v>
      </c>
      <c r="N1022" t="str">
        <f>VLOOKUP(A1022, Data_Set_2!$A:$D,2,FALSE)</f>
        <v>srileyk8</v>
      </c>
      <c r="O1022" t="str">
        <f>VLOOKUP(A1022, Data_Set_2!$A:$D,3,FALSE)</f>
        <v>Skipfire</v>
      </c>
      <c r="P1022" t="str">
        <f>VLOOKUP(A1022, Data_Set_2!$A:$D,4,FALSE)</f>
        <v>Nurse Practicioner</v>
      </c>
      <c r="Q1022" t="str">
        <f>_xlfn.CONCAT(Table3[[#This Row],[first_name]], " ",Table3[[#This Row],[last_name]])</f>
        <v>Shirley Riley</v>
      </c>
    </row>
    <row r="1023" spans="1:17" hidden="1" x14ac:dyDescent="0.3">
      <c r="A1023">
        <v>729</v>
      </c>
      <c r="B1023" t="s">
        <v>176</v>
      </c>
      <c r="C1023" t="s">
        <v>177</v>
      </c>
      <c r="D1023" t="s">
        <v>178</v>
      </c>
      <c r="E1023" t="s">
        <v>32</v>
      </c>
      <c r="F1023" t="s">
        <v>179</v>
      </c>
      <c r="G1023" s="1">
        <v>14</v>
      </c>
      <c r="H1023" t="s">
        <v>26</v>
      </c>
      <c r="I1023" s="2">
        <v>43868</v>
      </c>
      <c r="J1023" t="s">
        <v>35</v>
      </c>
      <c r="K1023" t="s">
        <v>180</v>
      </c>
      <c r="L1023">
        <v>95173</v>
      </c>
      <c r="M1023" t="s">
        <v>21</v>
      </c>
      <c r="N1023" t="str">
        <f>VLOOKUP(A1023, Data_Set_2!$A:$D,2,FALSE)</f>
        <v>srileyk8</v>
      </c>
      <c r="O1023" t="str">
        <f>VLOOKUP(A1023, Data_Set_2!$A:$D,3,FALSE)</f>
        <v>Skipfire</v>
      </c>
      <c r="P1023" t="str">
        <f>VLOOKUP(A1023, Data_Set_2!$A:$D,4,FALSE)</f>
        <v>Nurse Practicioner</v>
      </c>
      <c r="Q1023" t="str">
        <f>_xlfn.CONCAT(Table3[[#This Row],[first_name]], " ",Table3[[#This Row],[last_name]])</f>
        <v>Shirley Riley</v>
      </c>
    </row>
    <row r="1024" spans="1:17" hidden="1" x14ac:dyDescent="0.3">
      <c r="A1024">
        <v>729</v>
      </c>
      <c r="B1024" t="s">
        <v>176</v>
      </c>
      <c r="C1024" t="s">
        <v>177</v>
      </c>
      <c r="D1024" t="s">
        <v>178</v>
      </c>
      <c r="E1024" t="s">
        <v>32</v>
      </c>
      <c r="F1024" t="s">
        <v>179</v>
      </c>
      <c r="G1024" s="1">
        <v>582</v>
      </c>
      <c r="H1024" t="s">
        <v>26</v>
      </c>
      <c r="I1024" s="2">
        <v>44309</v>
      </c>
      <c r="J1024" t="s">
        <v>35</v>
      </c>
      <c r="K1024" t="s">
        <v>180</v>
      </c>
      <c r="L1024">
        <v>95173</v>
      </c>
      <c r="M1024" t="s">
        <v>21</v>
      </c>
      <c r="N1024" t="str">
        <f>VLOOKUP(A1024, Data_Set_2!$A:$D,2,FALSE)</f>
        <v>srileyk8</v>
      </c>
      <c r="O1024" t="str">
        <f>VLOOKUP(A1024, Data_Set_2!$A:$D,3,FALSE)</f>
        <v>Skipfire</v>
      </c>
      <c r="P1024" t="str">
        <f>VLOOKUP(A1024, Data_Set_2!$A:$D,4,FALSE)</f>
        <v>Nurse Practicioner</v>
      </c>
      <c r="Q1024" t="str">
        <f>_xlfn.CONCAT(Table3[[#This Row],[first_name]], " ",Table3[[#This Row],[last_name]])</f>
        <v>Shirley Riley</v>
      </c>
    </row>
    <row r="1025" spans="1:17" hidden="1" x14ac:dyDescent="0.3">
      <c r="A1025">
        <v>729</v>
      </c>
      <c r="B1025" t="s">
        <v>176</v>
      </c>
      <c r="C1025" t="s">
        <v>177</v>
      </c>
      <c r="D1025" t="s">
        <v>178</v>
      </c>
      <c r="E1025" t="s">
        <v>32</v>
      </c>
      <c r="F1025" t="s">
        <v>179</v>
      </c>
      <c r="G1025" s="1">
        <v>281</v>
      </c>
      <c r="H1025" t="s">
        <v>26</v>
      </c>
      <c r="I1025" s="2">
        <v>44399</v>
      </c>
      <c r="J1025" t="s">
        <v>35</v>
      </c>
      <c r="K1025" t="s">
        <v>180</v>
      </c>
      <c r="L1025">
        <v>95173</v>
      </c>
      <c r="M1025" t="s">
        <v>21</v>
      </c>
      <c r="N1025" t="str">
        <f>VLOOKUP(A1025, Data_Set_2!$A:$D,2,FALSE)</f>
        <v>srileyk8</v>
      </c>
      <c r="O1025" t="str">
        <f>VLOOKUP(A1025, Data_Set_2!$A:$D,3,FALSE)</f>
        <v>Skipfire</v>
      </c>
      <c r="P1025" t="str">
        <f>VLOOKUP(A1025, Data_Set_2!$A:$D,4,FALSE)</f>
        <v>Nurse Practicioner</v>
      </c>
      <c r="Q1025" t="str">
        <f>_xlfn.CONCAT(Table3[[#This Row],[first_name]], " ",Table3[[#This Row],[last_name]])</f>
        <v>Shirley Riley</v>
      </c>
    </row>
    <row r="1026" spans="1:17" hidden="1" x14ac:dyDescent="0.3">
      <c r="A1026">
        <v>729</v>
      </c>
      <c r="B1026" t="s">
        <v>176</v>
      </c>
      <c r="C1026" t="s">
        <v>177</v>
      </c>
      <c r="D1026" t="s">
        <v>178</v>
      </c>
      <c r="E1026" t="s">
        <v>32</v>
      </c>
      <c r="F1026" t="s">
        <v>179</v>
      </c>
      <c r="G1026" s="1">
        <v>422</v>
      </c>
      <c r="H1026" t="s">
        <v>26</v>
      </c>
      <c r="I1026" s="2">
        <v>44607</v>
      </c>
      <c r="J1026" t="s">
        <v>35</v>
      </c>
      <c r="K1026" t="s">
        <v>180</v>
      </c>
      <c r="L1026">
        <v>95173</v>
      </c>
      <c r="M1026" t="s">
        <v>21</v>
      </c>
      <c r="N1026" t="str">
        <f>VLOOKUP(A1026, Data_Set_2!$A:$D,2,FALSE)</f>
        <v>srileyk8</v>
      </c>
      <c r="O1026" t="str">
        <f>VLOOKUP(A1026, Data_Set_2!$A:$D,3,FALSE)</f>
        <v>Skipfire</v>
      </c>
      <c r="P1026" t="str">
        <f>VLOOKUP(A1026, Data_Set_2!$A:$D,4,FALSE)</f>
        <v>Nurse Practicioner</v>
      </c>
      <c r="Q1026" t="str">
        <f>_xlfn.CONCAT(Table3[[#This Row],[first_name]], " ",Table3[[#This Row],[last_name]])</f>
        <v>Shirley Riley</v>
      </c>
    </row>
    <row r="1027" spans="1:17" hidden="1" x14ac:dyDescent="0.3">
      <c r="A1027">
        <v>729</v>
      </c>
      <c r="B1027" t="s">
        <v>176</v>
      </c>
      <c r="C1027" t="s">
        <v>177</v>
      </c>
      <c r="D1027" t="s">
        <v>178</v>
      </c>
      <c r="E1027" t="s">
        <v>32</v>
      </c>
      <c r="F1027" t="s">
        <v>179</v>
      </c>
      <c r="G1027" s="1">
        <v>628</v>
      </c>
      <c r="H1027" t="s">
        <v>26</v>
      </c>
      <c r="I1027" s="2">
        <v>44736</v>
      </c>
      <c r="J1027" t="s">
        <v>35</v>
      </c>
      <c r="K1027" t="s">
        <v>180</v>
      </c>
      <c r="L1027">
        <v>95173</v>
      </c>
      <c r="M1027" t="s">
        <v>21</v>
      </c>
      <c r="N1027" t="str">
        <f>VLOOKUP(A1027, Data_Set_2!$A:$D,2,FALSE)</f>
        <v>srileyk8</v>
      </c>
      <c r="O1027" t="str">
        <f>VLOOKUP(A1027, Data_Set_2!$A:$D,3,FALSE)</f>
        <v>Skipfire</v>
      </c>
      <c r="P1027" t="str">
        <f>VLOOKUP(A1027, Data_Set_2!$A:$D,4,FALSE)</f>
        <v>Nurse Practicioner</v>
      </c>
      <c r="Q1027" t="str">
        <f>_xlfn.CONCAT(Table3[[#This Row],[first_name]], " ",Table3[[#This Row],[last_name]])</f>
        <v>Shirley Riley</v>
      </c>
    </row>
    <row r="1028" spans="1:17" hidden="1" x14ac:dyDescent="0.3">
      <c r="A1028">
        <v>729</v>
      </c>
      <c r="B1028" t="s">
        <v>176</v>
      </c>
      <c r="C1028" t="s">
        <v>177</v>
      </c>
      <c r="D1028" t="s">
        <v>178</v>
      </c>
      <c r="E1028" t="s">
        <v>32</v>
      </c>
      <c r="F1028" t="s">
        <v>179</v>
      </c>
      <c r="G1028" s="1">
        <v>45</v>
      </c>
      <c r="H1028" t="s">
        <v>26</v>
      </c>
      <c r="I1028" s="2">
        <v>44747</v>
      </c>
      <c r="J1028" t="s">
        <v>35</v>
      </c>
      <c r="K1028" t="s">
        <v>180</v>
      </c>
      <c r="L1028">
        <v>95173</v>
      </c>
      <c r="M1028" t="s">
        <v>21</v>
      </c>
      <c r="N1028" t="str">
        <f>VLOOKUP(A1028, Data_Set_2!$A:$D,2,FALSE)</f>
        <v>srileyk8</v>
      </c>
      <c r="O1028" t="str">
        <f>VLOOKUP(A1028, Data_Set_2!$A:$D,3,FALSE)</f>
        <v>Skipfire</v>
      </c>
      <c r="P1028" t="str">
        <f>VLOOKUP(A1028, Data_Set_2!$A:$D,4,FALSE)</f>
        <v>Nurse Practicioner</v>
      </c>
      <c r="Q1028" t="str">
        <f>_xlfn.CONCAT(Table3[[#This Row],[first_name]], " ",Table3[[#This Row],[last_name]])</f>
        <v>Shirley Riley</v>
      </c>
    </row>
    <row r="1029" spans="1:17" hidden="1" x14ac:dyDescent="0.3">
      <c r="A1029">
        <v>729</v>
      </c>
      <c r="B1029" t="s">
        <v>176</v>
      </c>
      <c r="C1029" t="s">
        <v>177</v>
      </c>
      <c r="D1029" t="s">
        <v>178</v>
      </c>
      <c r="E1029" t="s">
        <v>32</v>
      </c>
      <c r="F1029" t="s">
        <v>179</v>
      </c>
      <c r="G1029" s="1">
        <v>372</v>
      </c>
      <c r="H1029" t="s">
        <v>26</v>
      </c>
      <c r="I1029" s="2">
        <v>44823</v>
      </c>
      <c r="J1029" t="s">
        <v>35</v>
      </c>
      <c r="K1029" t="s">
        <v>180</v>
      </c>
      <c r="L1029">
        <v>95173</v>
      </c>
      <c r="M1029" t="s">
        <v>21</v>
      </c>
      <c r="N1029" t="str">
        <f>VLOOKUP(A1029, Data_Set_2!$A:$D,2,FALSE)</f>
        <v>srileyk8</v>
      </c>
      <c r="O1029" t="str">
        <f>VLOOKUP(A1029, Data_Set_2!$A:$D,3,FALSE)</f>
        <v>Skipfire</v>
      </c>
      <c r="P1029" t="str">
        <f>VLOOKUP(A1029, Data_Set_2!$A:$D,4,FALSE)</f>
        <v>Nurse Practicioner</v>
      </c>
      <c r="Q1029" t="str">
        <f>_xlfn.CONCAT(Table3[[#This Row],[first_name]], " ",Table3[[#This Row],[last_name]])</f>
        <v>Shirley Riley</v>
      </c>
    </row>
    <row r="1030" spans="1:17" hidden="1" x14ac:dyDescent="0.3">
      <c r="A1030">
        <v>729</v>
      </c>
      <c r="B1030" t="s">
        <v>176</v>
      </c>
      <c r="C1030" t="s">
        <v>177</v>
      </c>
      <c r="D1030" t="s">
        <v>178</v>
      </c>
      <c r="E1030" t="s">
        <v>32</v>
      </c>
      <c r="F1030" t="s">
        <v>179</v>
      </c>
      <c r="G1030" s="1">
        <v>992</v>
      </c>
      <c r="H1030" t="s">
        <v>26</v>
      </c>
      <c r="I1030" s="2">
        <v>44905</v>
      </c>
      <c r="J1030" t="s">
        <v>35</v>
      </c>
      <c r="K1030" t="s">
        <v>180</v>
      </c>
      <c r="L1030">
        <v>95173</v>
      </c>
      <c r="M1030" t="s">
        <v>21</v>
      </c>
      <c r="N1030" t="str">
        <f>VLOOKUP(A1030, Data_Set_2!$A:$D,2,FALSE)</f>
        <v>srileyk8</v>
      </c>
      <c r="O1030" t="str">
        <f>VLOOKUP(A1030, Data_Set_2!$A:$D,3,FALSE)</f>
        <v>Skipfire</v>
      </c>
      <c r="P1030" t="str">
        <f>VLOOKUP(A1030, Data_Set_2!$A:$D,4,FALSE)</f>
        <v>Nurse Practicioner</v>
      </c>
      <c r="Q1030" t="str">
        <f>_xlfn.CONCAT(Table3[[#This Row],[first_name]], " ",Table3[[#This Row],[last_name]])</f>
        <v>Shirley Riley</v>
      </c>
    </row>
    <row r="1031" spans="1:17" hidden="1" x14ac:dyDescent="0.3">
      <c r="A1031">
        <v>730</v>
      </c>
      <c r="B1031" t="s">
        <v>154</v>
      </c>
      <c r="C1031" t="s">
        <v>430</v>
      </c>
      <c r="D1031" t="s">
        <v>702</v>
      </c>
      <c r="E1031" t="s">
        <v>16</v>
      </c>
      <c r="F1031" t="s">
        <v>25</v>
      </c>
      <c r="G1031" s="1">
        <v>850</v>
      </c>
      <c r="H1031" t="s">
        <v>26</v>
      </c>
      <c r="I1031" s="2">
        <v>43644</v>
      </c>
      <c r="J1031" t="s">
        <v>68</v>
      </c>
      <c r="K1031" t="s">
        <v>69</v>
      </c>
      <c r="L1031">
        <v>78721</v>
      </c>
      <c r="M1031" t="s">
        <v>21</v>
      </c>
      <c r="N1031" t="str">
        <f>VLOOKUP(A1031, Data_Set_2!$A:$D,2,FALSE)</f>
        <v>wmoorek9</v>
      </c>
      <c r="O1031" t="str">
        <f>VLOOKUP(A1031, Data_Set_2!$A:$D,3,FALSE)</f>
        <v>Jamia</v>
      </c>
      <c r="P1031" t="str">
        <f>VLOOKUP(A1031, Data_Set_2!$A:$D,4,FALSE)</f>
        <v>Actuary</v>
      </c>
      <c r="Q1031" t="str">
        <f>_xlfn.CONCAT(Table3[[#This Row],[first_name]], " ",Table3[[#This Row],[last_name]])</f>
        <v>Wayne Moore</v>
      </c>
    </row>
    <row r="1032" spans="1:17" hidden="1" x14ac:dyDescent="0.3">
      <c r="A1032">
        <v>731</v>
      </c>
      <c r="B1032" t="s">
        <v>122</v>
      </c>
      <c r="C1032" t="s">
        <v>123</v>
      </c>
      <c r="D1032" t="s">
        <v>124</v>
      </c>
      <c r="E1032" t="s">
        <v>32</v>
      </c>
      <c r="F1032" t="s">
        <v>33</v>
      </c>
      <c r="G1032" s="1">
        <v>666</v>
      </c>
      <c r="H1032" t="s">
        <v>26</v>
      </c>
      <c r="I1032" s="2">
        <v>43133</v>
      </c>
      <c r="J1032" t="s">
        <v>125</v>
      </c>
      <c r="K1032" t="s">
        <v>126</v>
      </c>
      <c r="L1032">
        <v>63126</v>
      </c>
      <c r="M1032" t="s">
        <v>21</v>
      </c>
      <c r="N1032" t="str">
        <f>VLOOKUP(A1032, Data_Set_2!$A:$D,2,FALSE)</f>
        <v>aholmeska</v>
      </c>
      <c r="O1032" t="str">
        <f>VLOOKUP(A1032, Data_Set_2!$A:$D,3,FALSE)</f>
        <v>Topicstorm</v>
      </c>
      <c r="P1032" t="str">
        <f>VLOOKUP(A1032, Data_Set_2!$A:$D,4,FALSE)</f>
        <v>Cost Accountant</v>
      </c>
      <c r="Q1032" t="str">
        <f>_xlfn.CONCAT(Table3[[#This Row],[first_name]], " ",Table3[[#This Row],[last_name]])</f>
        <v>Andrea Holmes</v>
      </c>
    </row>
    <row r="1033" spans="1:17" hidden="1" x14ac:dyDescent="0.3">
      <c r="A1033">
        <v>732</v>
      </c>
      <c r="B1033" t="s">
        <v>443</v>
      </c>
      <c r="C1033" t="s">
        <v>465</v>
      </c>
      <c r="D1033" t="s">
        <v>531</v>
      </c>
      <c r="E1033" t="s">
        <v>32</v>
      </c>
      <c r="F1033" t="s">
        <v>17</v>
      </c>
      <c r="G1033" s="1">
        <v>286</v>
      </c>
      <c r="H1033" t="s">
        <v>62</v>
      </c>
      <c r="I1033" s="2">
        <v>43421</v>
      </c>
      <c r="J1033" t="s">
        <v>78</v>
      </c>
      <c r="K1033" t="s">
        <v>532</v>
      </c>
      <c r="L1033">
        <v>48609</v>
      </c>
      <c r="M1033" t="s">
        <v>21</v>
      </c>
      <c r="N1033" t="str">
        <f>VLOOKUP(A1033, Data_Set_2!$A:$D,2,FALSE)</f>
        <v>mdeankb</v>
      </c>
      <c r="O1033" t="str">
        <f>VLOOKUP(A1033, Data_Set_2!$A:$D,3,FALSE)</f>
        <v>Quire</v>
      </c>
      <c r="P1033" t="str">
        <f>VLOOKUP(A1033, Data_Set_2!$A:$D,4,FALSE)</f>
        <v>Desktop Support Technician</v>
      </c>
      <c r="Q1033" t="str">
        <f>_xlfn.CONCAT(Table3[[#This Row],[first_name]], " ",Table3[[#This Row],[last_name]])</f>
        <v>Marilyn Dean</v>
      </c>
    </row>
    <row r="1034" spans="1:17" hidden="1" x14ac:dyDescent="0.3">
      <c r="A1034">
        <v>733</v>
      </c>
      <c r="B1034" t="s">
        <v>819</v>
      </c>
      <c r="C1034" t="s">
        <v>948</v>
      </c>
      <c r="D1034" t="s">
        <v>949</v>
      </c>
      <c r="E1034" t="s">
        <v>32</v>
      </c>
      <c r="F1034" t="s">
        <v>17</v>
      </c>
      <c r="G1034" s="1">
        <v>656</v>
      </c>
      <c r="H1034" t="s">
        <v>73</v>
      </c>
      <c r="I1034" s="2">
        <v>44098</v>
      </c>
      <c r="J1034" t="s">
        <v>41</v>
      </c>
      <c r="K1034" t="s">
        <v>442</v>
      </c>
      <c r="L1034">
        <v>40546</v>
      </c>
      <c r="M1034" t="s">
        <v>21</v>
      </c>
      <c r="N1034" t="str">
        <f>VLOOKUP(A1034, Data_Set_2!$A:$D,2,FALSE)</f>
        <v>mhallkc</v>
      </c>
      <c r="O1034" t="str">
        <f>VLOOKUP(A1034, Data_Set_2!$A:$D,3,FALSE)</f>
        <v>Kwilith</v>
      </c>
      <c r="P1034" t="str">
        <f>VLOOKUP(A1034, Data_Set_2!$A:$D,4,FALSE)</f>
        <v>Financial Advisor</v>
      </c>
      <c r="Q1034" t="str">
        <f>_xlfn.CONCAT(Table3[[#This Row],[first_name]], " ",Table3[[#This Row],[last_name]])</f>
        <v>Margaret Hall</v>
      </c>
    </row>
    <row r="1035" spans="1:17" hidden="1" x14ac:dyDescent="0.3">
      <c r="A1035">
        <v>734</v>
      </c>
      <c r="B1035" t="s">
        <v>85</v>
      </c>
      <c r="C1035" t="s">
        <v>671</v>
      </c>
      <c r="D1035" t="s">
        <v>672</v>
      </c>
      <c r="E1035" t="s">
        <v>32</v>
      </c>
      <c r="F1035" t="s">
        <v>33</v>
      </c>
      <c r="G1035" s="1">
        <v>659</v>
      </c>
      <c r="H1035" t="s">
        <v>4037</v>
      </c>
      <c r="I1035" s="2">
        <v>43596</v>
      </c>
      <c r="J1035" t="s">
        <v>254</v>
      </c>
      <c r="K1035" t="s">
        <v>255</v>
      </c>
      <c r="L1035">
        <v>50393</v>
      </c>
      <c r="M1035" t="s">
        <v>21</v>
      </c>
      <c r="N1035" t="str">
        <f>VLOOKUP(A1035, Data_Set_2!$A:$D,2,FALSE)</f>
        <v>jelliskd</v>
      </c>
      <c r="O1035" t="str">
        <f>VLOOKUP(A1035, Data_Set_2!$A:$D,3,FALSE)</f>
        <v>Tavu</v>
      </c>
      <c r="P1035" t="str">
        <f>VLOOKUP(A1035, Data_Set_2!$A:$D,4,FALSE)</f>
        <v>Environmental Tech</v>
      </c>
      <c r="Q1035" t="str">
        <f>_xlfn.CONCAT(Table3[[#This Row],[first_name]], " ",Table3[[#This Row],[last_name]])</f>
        <v>Janice Ellis</v>
      </c>
    </row>
    <row r="1036" spans="1:17" hidden="1" x14ac:dyDescent="0.3">
      <c r="A1036">
        <v>735</v>
      </c>
      <c r="B1036" t="s">
        <v>369</v>
      </c>
      <c r="C1036" t="s">
        <v>370</v>
      </c>
      <c r="D1036" t="s">
        <v>371</v>
      </c>
      <c r="E1036" t="s">
        <v>16</v>
      </c>
      <c r="F1036" t="s">
        <v>33</v>
      </c>
      <c r="G1036" s="1">
        <v>754</v>
      </c>
      <c r="H1036" t="s">
        <v>4034</v>
      </c>
      <c r="I1036" s="2">
        <v>43272</v>
      </c>
      <c r="J1036" t="s">
        <v>230</v>
      </c>
      <c r="K1036" t="s">
        <v>372</v>
      </c>
      <c r="L1036">
        <v>27425</v>
      </c>
      <c r="M1036" t="s">
        <v>21</v>
      </c>
      <c r="N1036" t="str">
        <f>VLOOKUP(A1036, Data_Set_2!$A:$D,2,FALSE)</f>
        <v>wortizke</v>
      </c>
      <c r="O1036" t="str">
        <f>VLOOKUP(A1036, Data_Set_2!$A:$D,3,FALSE)</f>
        <v>Riffpedia</v>
      </c>
      <c r="P1036" t="str">
        <f>VLOOKUP(A1036, Data_Set_2!$A:$D,4,FALSE)</f>
        <v>Accounting Assistant II</v>
      </c>
      <c r="Q1036" t="str">
        <f>_xlfn.CONCAT(Table3[[#This Row],[first_name]], " ",Table3[[#This Row],[last_name]])</f>
        <v>William Ortiz</v>
      </c>
    </row>
    <row r="1037" spans="1:17" hidden="1" x14ac:dyDescent="0.3">
      <c r="A1037">
        <v>736</v>
      </c>
      <c r="B1037" t="s">
        <v>899</v>
      </c>
      <c r="C1037" t="s">
        <v>1040</v>
      </c>
      <c r="D1037" t="s">
        <v>1041</v>
      </c>
      <c r="E1037" t="s">
        <v>32</v>
      </c>
      <c r="F1037" t="s">
        <v>25</v>
      </c>
      <c r="G1037" s="1">
        <v>651</v>
      </c>
      <c r="H1037" t="s">
        <v>26</v>
      </c>
      <c r="I1037" s="2">
        <v>44310</v>
      </c>
      <c r="J1037" t="s">
        <v>41</v>
      </c>
      <c r="K1037" t="s">
        <v>42</v>
      </c>
      <c r="L1037">
        <v>40210</v>
      </c>
      <c r="M1037" t="s">
        <v>21</v>
      </c>
      <c r="N1037" t="str">
        <f>VLOOKUP(A1037, Data_Set_2!$A:$D,2,FALSE)</f>
        <v>ereynoldskf</v>
      </c>
      <c r="O1037" t="str">
        <f>VLOOKUP(A1037, Data_Set_2!$A:$D,3,FALSE)</f>
        <v>Topicblab</v>
      </c>
      <c r="P1037" t="str">
        <f>VLOOKUP(A1037, Data_Set_2!$A:$D,4,FALSE)</f>
        <v>Systems Administrator III</v>
      </c>
      <c r="Q1037" t="str">
        <f>_xlfn.CONCAT(Table3[[#This Row],[first_name]], " ",Table3[[#This Row],[last_name]])</f>
        <v>Elizabeth Reynolds</v>
      </c>
    </row>
    <row r="1038" spans="1:17" hidden="1" x14ac:dyDescent="0.3">
      <c r="A1038">
        <v>737</v>
      </c>
      <c r="B1038" t="s">
        <v>248</v>
      </c>
      <c r="C1038" t="s">
        <v>923</v>
      </c>
      <c r="D1038" t="s">
        <v>924</v>
      </c>
      <c r="E1038" t="s">
        <v>16</v>
      </c>
      <c r="F1038" t="s">
        <v>33</v>
      </c>
      <c r="G1038" s="1">
        <v>88</v>
      </c>
      <c r="H1038" t="s">
        <v>26</v>
      </c>
      <c r="I1038" s="2">
        <v>44055</v>
      </c>
      <c r="J1038" t="s">
        <v>35</v>
      </c>
      <c r="K1038" t="s">
        <v>599</v>
      </c>
      <c r="L1038">
        <v>94280</v>
      </c>
      <c r="M1038" t="s">
        <v>21</v>
      </c>
      <c r="N1038" t="str">
        <f>VLOOKUP(A1038, Data_Set_2!$A:$D,2,FALSE)</f>
        <v>bmorgankg</v>
      </c>
      <c r="O1038" t="str">
        <f>VLOOKUP(A1038, Data_Set_2!$A:$D,3,FALSE)</f>
        <v>Quatz</v>
      </c>
      <c r="P1038" t="str">
        <f>VLOOKUP(A1038, Data_Set_2!$A:$D,4,FALSE)</f>
        <v>Marketing Manager</v>
      </c>
      <c r="Q1038" t="str">
        <f>_xlfn.CONCAT(Table3[[#This Row],[first_name]], " ",Table3[[#This Row],[last_name]])</f>
        <v>Benjamin Morgan</v>
      </c>
    </row>
    <row r="1039" spans="1:17" hidden="1" x14ac:dyDescent="0.3">
      <c r="A1039">
        <v>740</v>
      </c>
      <c r="B1039" t="s">
        <v>89</v>
      </c>
      <c r="C1039" t="s">
        <v>379</v>
      </c>
      <c r="D1039" t="s">
        <v>926</v>
      </c>
      <c r="E1039" t="s">
        <v>16</v>
      </c>
      <c r="F1039" t="s">
        <v>33</v>
      </c>
      <c r="G1039" s="1">
        <v>531</v>
      </c>
      <c r="H1039" t="s">
        <v>62</v>
      </c>
      <c r="I1039" s="2">
        <v>44057</v>
      </c>
      <c r="J1039" t="s">
        <v>35</v>
      </c>
      <c r="K1039" t="s">
        <v>735</v>
      </c>
      <c r="L1039">
        <v>90810</v>
      </c>
      <c r="M1039" t="s">
        <v>21</v>
      </c>
      <c r="N1039" t="str">
        <f>VLOOKUP(A1039, Data_Set_2!$A:$D,2,FALSE)</f>
        <v>ssimmonskj</v>
      </c>
      <c r="O1039" t="str">
        <f>VLOOKUP(A1039, Data_Set_2!$A:$D,3,FALSE)</f>
        <v>Skynoodle</v>
      </c>
      <c r="P1039" t="str">
        <f>VLOOKUP(A1039, Data_Set_2!$A:$D,4,FALSE)</f>
        <v>Occupational Therapist</v>
      </c>
      <c r="Q1039" t="str">
        <f>_xlfn.CONCAT(Table3[[#This Row],[first_name]], " ",Table3[[#This Row],[last_name]])</f>
        <v>Stephen Simmons</v>
      </c>
    </row>
    <row r="1040" spans="1:17" hidden="1" x14ac:dyDescent="0.3">
      <c r="A1040">
        <v>741</v>
      </c>
      <c r="B1040" t="s">
        <v>29</v>
      </c>
      <c r="C1040" t="s">
        <v>713</v>
      </c>
      <c r="D1040" t="s">
        <v>1244</v>
      </c>
      <c r="E1040" t="s">
        <v>32</v>
      </c>
      <c r="F1040" t="s">
        <v>33</v>
      </c>
      <c r="G1040" s="1">
        <v>546</v>
      </c>
      <c r="H1040" t="s">
        <v>26</v>
      </c>
      <c r="I1040" s="2">
        <v>44867</v>
      </c>
      <c r="J1040" t="s">
        <v>184</v>
      </c>
      <c r="K1040" t="s">
        <v>1105</v>
      </c>
      <c r="L1040">
        <v>14210</v>
      </c>
      <c r="M1040" t="s">
        <v>21</v>
      </c>
      <c r="N1040" t="str">
        <f>VLOOKUP(A1040, Data_Set_2!$A:$D,2,FALSE)</f>
        <v>tmorriskk</v>
      </c>
      <c r="O1040" t="str">
        <f>VLOOKUP(A1040, Data_Set_2!$A:$D,3,FALSE)</f>
        <v>Roomm</v>
      </c>
      <c r="P1040" t="str">
        <f>VLOOKUP(A1040, Data_Set_2!$A:$D,4,FALSE)</f>
        <v>Payment Adjustment Coordinator</v>
      </c>
      <c r="Q1040" t="str">
        <f>_xlfn.CONCAT(Table3[[#This Row],[first_name]], " ",Table3[[#This Row],[last_name]])</f>
        <v>Tina Morris</v>
      </c>
    </row>
    <row r="1041" spans="1:17" hidden="1" x14ac:dyDescent="0.3">
      <c r="A1041">
        <v>743</v>
      </c>
      <c r="B1041" t="s">
        <v>499</v>
      </c>
      <c r="C1041" t="s">
        <v>500</v>
      </c>
      <c r="D1041" t="s">
        <v>501</v>
      </c>
      <c r="E1041" t="s">
        <v>16</v>
      </c>
      <c r="F1041" t="s">
        <v>33</v>
      </c>
      <c r="G1041" s="1">
        <v>530</v>
      </c>
      <c r="H1041" t="s">
        <v>416</v>
      </c>
      <c r="I1041" s="2">
        <v>43384</v>
      </c>
      <c r="J1041" t="s">
        <v>96</v>
      </c>
      <c r="K1041" t="s">
        <v>502</v>
      </c>
      <c r="L1041">
        <v>47812</v>
      </c>
      <c r="M1041" t="s">
        <v>21</v>
      </c>
      <c r="N1041" t="str">
        <f>VLOOKUP(A1041, Data_Set_2!$A:$D,2,FALSE)</f>
        <v>jramirezkm</v>
      </c>
      <c r="O1041" t="str">
        <f>VLOOKUP(A1041, Data_Set_2!$A:$D,3,FALSE)</f>
        <v>Kaymbo</v>
      </c>
      <c r="P1041" t="str">
        <f>VLOOKUP(A1041, Data_Set_2!$A:$D,4,FALSE)</f>
        <v>Computer Systems Analyst III</v>
      </c>
      <c r="Q1041" t="str">
        <f>_xlfn.CONCAT(Table3[[#This Row],[first_name]], " ",Table3[[#This Row],[last_name]])</f>
        <v>Jason Ramirez</v>
      </c>
    </row>
    <row r="1042" spans="1:17" hidden="1" x14ac:dyDescent="0.3">
      <c r="A1042">
        <v>744</v>
      </c>
      <c r="B1042" t="s">
        <v>832</v>
      </c>
      <c r="C1042" t="s">
        <v>833</v>
      </c>
      <c r="D1042" t="s">
        <v>834</v>
      </c>
      <c r="E1042" t="s">
        <v>32</v>
      </c>
      <c r="F1042" t="s">
        <v>25</v>
      </c>
      <c r="G1042" s="1">
        <v>338</v>
      </c>
      <c r="H1042" t="s">
        <v>4036</v>
      </c>
      <c r="I1042" s="2">
        <v>43833</v>
      </c>
      <c r="J1042" t="s">
        <v>115</v>
      </c>
      <c r="K1042" t="s">
        <v>701</v>
      </c>
      <c r="L1042">
        <v>32230</v>
      </c>
      <c r="M1042" t="s">
        <v>21</v>
      </c>
      <c r="N1042" t="str">
        <f>VLOOKUP(A1042, Data_Set_2!$A:$D,2,FALSE)</f>
        <v>astephenskn</v>
      </c>
      <c r="O1042" t="str">
        <f>VLOOKUP(A1042, Data_Set_2!$A:$D,3,FALSE)</f>
        <v>Skinte</v>
      </c>
      <c r="P1042" t="str">
        <f>VLOOKUP(A1042, Data_Set_2!$A:$D,4,FALSE)</f>
        <v>Account Representative IV</v>
      </c>
      <c r="Q1042" t="str">
        <f>_xlfn.CONCAT(Table3[[#This Row],[first_name]], " ",Table3[[#This Row],[last_name]])</f>
        <v>Angela Stephens</v>
      </c>
    </row>
    <row r="1043" spans="1:17" hidden="1" x14ac:dyDescent="0.3">
      <c r="A1043">
        <v>745</v>
      </c>
      <c r="B1043" t="s">
        <v>352</v>
      </c>
      <c r="C1043" t="s">
        <v>684</v>
      </c>
      <c r="D1043" t="s">
        <v>798</v>
      </c>
      <c r="E1043" t="s">
        <v>32</v>
      </c>
      <c r="F1043" t="s">
        <v>25</v>
      </c>
      <c r="G1043" s="1">
        <v>33</v>
      </c>
      <c r="H1043" t="s">
        <v>26</v>
      </c>
      <c r="I1043" s="2">
        <v>43774</v>
      </c>
      <c r="J1043" t="s">
        <v>192</v>
      </c>
      <c r="K1043" t="s">
        <v>193</v>
      </c>
      <c r="L1043">
        <v>55428</v>
      </c>
      <c r="M1043" t="s">
        <v>21</v>
      </c>
      <c r="N1043" t="str">
        <f>VLOOKUP(A1043, Data_Set_2!$A:$D,2,FALSE)</f>
        <v>rfisherko</v>
      </c>
      <c r="O1043" t="str">
        <f>VLOOKUP(A1043, Data_Set_2!$A:$D,3,FALSE)</f>
        <v>Latz</v>
      </c>
      <c r="P1043" t="str">
        <f>VLOOKUP(A1043, Data_Set_2!$A:$D,4,FALSE)</f>
        <v>Cost Accountant</v>
      </c>
      <c r="Q1043" t="str">
        <f>_xlfn.CONCAT(Table3[[#This Row],[first_name]], " ",Table3[[#This Row],[last_name]])</f>
        <v>Rachel Fisher</v>
      </c>
    </row>
    <row r="1044" spans="1:17" hidden="1" x14ac:dyDescent="0.3">
      <c r="A1044">
        <v>746</v>
      </c>
      <c r="B1044" t="s">
        <v>584</v>
      </c>
      <c r="C1044" t="s">
        <v>232</v>
      </c>
      <c r="D1044" t="s">
        <v>607</v>
      </c>
      <c r="E1044" t="s">
        <v>32</v>
      </c>
      <c r="F1044" t="s">
        <v>33</v>
      </c>
      <c r="G1044" s="1">
        <v>271</v>
      </c>
      <c r="H1044" t="s">
        <v>62</v>
      </c>
      <c r="I1044" s="2">
        <v>43529</v>
      </c>
      <c r="J1044" t="s">
        <v>46</v>
      </c>
      <c r="K1044" t="s">
        <v>608</v>
      </c>
      <c r="L1044">
        <v>6673</v>
      </c>
      <c r="M1044" t="s">
        <v>21</v>
      </c>
      <c r="N1044" t="str">
        <f>VLOOKUP(A1044, Data_Set_2!$A:$D,2,FALSE)</f>
        <v>swardkp</v>
      </c>
      <c r="O1044" t="str">
        <f>VLOOKUP(A1044, Data_Set_2!$A:$D,3,FALSE)</f>
        <v>Thoughtstorm</v>
      </c>
      <c r="P1044" t="str">
        <f>VLOOKUP(A1044, Data_Set_2!$A:$D,4,FALSE)</f>
        <v>Assistant Professor</v>
      </c>
      <c r="Q1044" t="str">
        <f>_xlfn.CONCAT(Table3[[#This Row],[first_name]], " ",Table3[[#This Row],[last_name]])</f>
        <v>Stephanie Ward</v>
      </c>
    </row>
    <row r="1045" spans="1:17" hidden="1" x14ac:dyDescent="0.3">
      <c r="A1045">
        <v>747</v>
      </c>
      <c r="B1045" t="s">
        <v>157</v>
      </c>
      <c r="C1045" t="s">
        <v>964</v>
      </c>
      <c r="D1045" t="s">
        <v>965</v>
      </c>
      <c r="E1045" t="s">
        <v>16</v>
      </c>
      <c r="F1045" t="s">
        <v>33</v>
      </c>
      <c r="G1045" s="1">
        <v>437</v>
      </c>
      <c r="H1045" t="s">
        <v>62</v>
      </c>
      <c r="I1045" s="2">
        <v>44129</v>
      </c>
      <c r="J1045" t="s">
        <v>301</v>
      </c>
      <c r="K1045" t="s">
        <v>758</v>
      </c>
      <c r="L1045">
        <v>29505</v>
      </c>
      <c r="M1045" t="s">
        <v>21</v>
      </c>
      <c r="N1045" t="str">
        <f>VLOOKUP(A1045, Data_Set_2!$A:$D,2,FALSE)</f>
        <v>egreenkq</v>
      </c>
      <c r="O1045" t="str">
        <f>VLOOKUP(A1045, Data_Set_2!$A:$D,3,FALSE)</f>
        <v>Dabfeed</v>
      </c>
      <c r="P1045" t="str">
        <f>VLOOKUP(A1045, Data_Set_2!$A:$D,4,FALSE)</f>
        <v>Nurse</v>
      </c>
      <c r="Q1045" t="str">
        <f>_xlfn.CONCAT(Table3[[#This Row],[first_name]], " ",Table3[[#This Row],[last_name]])</f>
        <v>Eric Green</v>
      </c>
    </row>
    <row r="1046" spans="1:17" hidden="1" x14ac:dyDescent="0.3">
      <c r="A1046">
        <v>749</v>
      </c>
      <c r="B1046" t="s">
        <v>499</v>
      </c>
      <c r="C1046" t="s">
        <v>973</v>
      </c>
      <c r="D1046" t="s">
        <v>974</v>
      </c>
      <c r="E1046" t="s">
        <v>16</v>
      </c>
      <c r="F1046" t="s">
        <v>33</v>
      </c>
      <c r="G1046" s="1">
        <v>400</v>
      </c>
      <c r="H1046" t="s">
        <v>26</v>
      </c>
      <c r="I1046" s="2">
        <v>44152</v>
      </c>
      <c r="J1046" t="s">
        <v>115</v>
      </c>
      <c r="K1046" t="s">
        <v>536</v>
      </c>
      <c r="L1046">
        <v>33064</v>
      </c>
      <c r="M1046" t="s">
        <v>21</v>
      </c>
      <c r="N1046" t="str">
        <f>VLOOKUP(A1046, Data_Set_2!$A:$D,2,FALSE)</f>
        <v>jalexanderks</v>
      </c>
      <c r="O1046" t="str">
        <f>VLOOKUP(A1046, Data_Set_2!$A:$D,3,FALSE)</f>
        <v>Jaxworks</v>
      </c>
      <c r="P1046" t="str">
        <f>VLOOKUP(A1046, Data_Set_2!$A:$D,4,FALSE)</f>
        <v>Financial Analyst</v>
      </c>
      <c r="Q1046" t="str">
        <f>_xlfn.CONCAT(Table3[[#This Row],[first_name]], " ",Table3[[#This Row],[last_name]])</f>
        <v>Jason Alexander</v>
      </c>
    </row>
    <row r="1047" spans="1:17" hidden="1" x14ac:dyDescent="0.3">
      <c r="A1047">
        <v>751</v>
      </c>
      <c r="B1047" t="s">
        <v>789</v>
      </c>
      <c r="C1047" t="s">
        <v>790</v>
      </c>
      <c r="D1047" t="s">
        <v>791</v>
      </c>
      <c r="E1047" t="s">
        <v>16</v>
      </c>
      <c r="F1047" t="s">
        <v>25</v>
      </c>
      <c r="G1047" s="1">
        <v>215</v>
      </c>
      <c r="H1047" t="s">
        <v>26</v>
      </c>
      <c r="I1047" s="2">
        <v>43765</v>
      </c>
      <c r="J1047" t="s">
        <v>68</v>
      </c>
      <c r="K1047" t="s">
        <v>169</v>
      </c>
      <c r="L1047">
        <v>88563</v>
      </c>
      <c r="M1047" t="s">
        <v>21</v>
      </c>
      <c r="N1047" t="str">
        <f>VLOOKUP(A1047, Data_Set_2!$A:$D,2,FALSE)</f>
        <v>vgibsonku</v>
      </c>
      <c r="O1047" t="str">
        <f>VLOOKUP(A1047, Data_Set_2!$A:$D,3,FALSE)</f>
        <v>Devcast</v>
      </c>
      <c r="P1047" t="str">
        <f>VLOOKUP(A1047, Data_Set_2!$A:$D,4,FALSE)</f>
        <v>Actuary</v>
      </c>
      <c r="Q1047" t="str">
        <f>_xlfn.CONCAT(Table3[[#This Row],[first_name]], " ",Table3[[#This Row],[last_name]])</f>
        <v>Victor Gibson</v>
      </c>
    </row>
    <row r="1048" spans="1:17" hidden="1" x14ac:dyDescent="0.3">
      <c r="A1048">
        <v>752</v>
      </c>
      <c r="B1048" t="s">
        <v>970</v>
      </c>
      <c r="C1048" t="s">
        <v>170</v>
      </c>
      <c r="D1048" t="s">
        <v>1042</v>
      </c>
      <c r="E1048" t="s">
        <v>16</v>
      </c>
      <c r="F1048" t="s">
        <v>33</v>
      </c>
      <c r="G1048" s="1">
        <v>638</v>
      </c>
      <c r="H1048" t="s">
        <v>4037</v>
      </c>
      <c r="I1048" s="2">
        <v>44316</v>
      </c>
      <c r="J1048" t="s">
        <v>115</v>
      </c>
      <c r="K1048" t="s">
        <v>1043</v>
      </c>
      <c r="L1048">
        <v>33915</v>
      </c>
      <c r="M1048" t="s">
        <v>21</v>
      </c>
      <c r="N1048" t="str">
        <f>VLOOKUP(A1048, Data_Set_2!$A:$D,2,FALSE)</f>
        <v>erichardskv</v>
      </c>
      <c r="O1048" t="str">
        <f>VLOOKUP(A1048, Data_Set_2!$A:$D,3,FALSE)</f>
        <v>Omba</v>
      </c>
      <c r="P1048" t="str">
        <f>VLOOKUP(A1048, Data_Set_2!$A:$D,4,FALSE)</f>
        <v>Community Outreach Specialist</v>
      </c>
      <c r="Q1048" t="str">
        <f>_xlfn.CONCAT(Table3[[#This Row],[first_name]], " ",Table3[[#This Row],[last_name]])</f>
        <v>Ernest Richards</v>
      </c>
    </row>
    <row r="1049" spans="1:17" hidden="1" x14ac:dyDescent="0.3">
      <c r="A1049">
        <v>753</v>
      </c>
      <c r="B1049" t="s">
        <v>920</v>
      </c>
      <c r="C1049" t="s">
        <v>177</v>
      </c>
      <c r="D1049" t="s">
        <v>1128</v>
      </c>
      <c r="E1049" t="s">
        <v>16</v>
      </c>
      <c r="F1049" t="s">
        <v>33</v>
      </c>
      <c r="G1049" s="1">
        <v>939</v>
      </c>
      <c r="H1049" t="s">
        <v>26</v>
      </c>
      <c r="I1049" s="2">
        <v>44544</v>
      </c>
      <c r="J1049" t="s">
        <v>147</v>
      </c>
      <c r="K1049" t="s">
        <v>1129</v>
      </c>
      <c r="L1049">
        <v>53215</v>
      </c>
      <c r="M1049" t="s">
        <v>21</v>
      </c>
      <c r="N1049" t="str">
        <f>VLOOKUP(A1049, Data_Set_2!$A:$D,2,FALSE)</f>
        <v>brileykw</v>
      </c>
      <c r="O1049" t="str">
        <f>VLOOKUP(A1049, Data_Set_2!$A:$D,3,FALSE)</f>
        <v>Twinte</v>
      </c>
      <c r="P1049" t="str">
        <f>VLOOKUP(A1049, Data_Set_2!$A:$D,4,FALSE)</f>
        <v>Food Chemist</v>
      </c>
      <c r="Q1049" t="str">
        <f>_xlfn.CONCAT(Table3[[#This Row],[first_name]], " ",Table3[[#This Row],[last_name]])</f>
        <v>Bobby Riley</v>
      </c>
    </row>
    <row r="1050" spans="1:17" hidden="1" x14ac:dyDescent="0.3">
      <c r="A1050">
        <v>754</v>
      </c>
      <c r="B1050" t="s">
        <v>460</v>
      </c>
      <c r="C1050" t="s">
        <v>1195</v>
      </c>
      <c r="D1050" t="s">
        <v>1196</v>
      </c>
      <c r="E1050" t="s">
        <v>32</v>
      </c>
      <c r="F1050" t="s">
        <v>25</v>
      </c>
      <c r="G1050" s="1">
        <v>86</v>
      </c>
      <c r="H1050" t="s">
        <v>4037</v>
      </c>
      <c r="I1050" s="2">
        <v>44705</v>
      </c>
      <c r="J1050" t="s">
        <v>435</v>
      </c>
      <c r="K1050" t="s">
        <v>436</v>
      </c>
      <c r="L1050">
        <v>87140</v>
      </c>
      <c r="M1050" t="s">
        <v>21</v>
      </c>
      <c r="N1050" t="str">
        <f>VLOOKUP(A1050, Data_Set_2!$A:$D,2,FALSE)</f>
        <v>lcampbellkx</v>
      </c>
      <c r="O1050" t="str">
        <f>VLOOKUP(A1050, Data_Set_2!$A:$D,3,FALSE)</f>
        <v>Tazz</v>
      </c>
      <c r="P1050" t="str">
        <f>VLOOKUP(A1050, Data_Set_2!$A:$D,4,FALSE)</f>
        <v>Recruiting Manager</v>
      </c>
      <c r="Q1050" t="str">
        <f>_xlfn.CONCAT(Table3[[#This Row],[first_name]], " ",Table3[[#This Row],[last_name]])</f>
        <v>Lillian Campbell</v>
      </c>
    </row>
    <row r="1051" spans="1:17" hidden="1" x14ac:dyDescent="0.3">
      <c r="A1051">
        <v>755</v>
      </c>
      <c r="B1051" t="s">
        <v>106</v>
      </c>
      <c r="C1051" t="s">
        <v>107</v>
      </c>
      <c r="D1051" t="s">
        <v>108</v>
      </c>
      <c r="E1051" t="s">
        <v>32</v>
      </c>
      <c r="F1051" t="s">
        <v>17</v>
      </c>
      <c r="G1051" s="1">
        <v>935</v>
      </c>
      <c r="H1051" t="s">
        <v>109</v>
      </c>
      <c r="I1051" s="2">
        <v>43129</v>
      </c>
      <c r="J1051" t="s">
        <v>110</v>
      </c>
      <c r="K1051" t="s">
        <v>111</v>
      </c>
      <c r="L1051">
        <v>15266</v>
      </c>
      <c r="M1051" t="s">
        <v>21</v>
      </c>
      <c r="N1051" t="str">
        <f>VLOOKUP(A1051, Data_Set_2!$A:$D,2,FALSE)</f>
        <v>wcolemanky</v>
      </c>
      <c r="O1051" t="str">
        <f>VLOOKUP(A1051, Data_Set_2!$A:$D,3,FALSE)</f>
        <v>Abata</v>
      </c>
      <c r="P1051" t="str">
        <f>VLOOKUP(A1051, Data_Set_2!$A:$D,4,FALSE)</f>
        <v>VP Accounting</v>
      </c>
      <c r="Q1051" t="str">
        <f>_xlfn.CONCAT(Table3[[#This Row],[first_name]], " ",Table3[[#This Row],[last_name]])</f>
        <v>Wanda Coleman</v>
      </c>
    </row>
    <row r="1052" spans="1:17" hidden="1" x14ac:dyDescent="0.3">
      <c r="A1052">
        <v>757</v>
      </c>
      <c r="B1052" t="s">
        <v>140</v>
      </c>
      <c r="C1052" t="s">
        <v>764</v>
      </c>
      <c r="D1052" t="s">
        <v>960</v>
      </c>
      <c r="E1052" t="s">
        <v>32</v>
      </c>
      <c r="F1052" t="s">
        <v>17</v>
      </c>
      <c r="G1052" s="1">
        <v>319</v>
      </c>
      <c r="H1052" t="s">
        <v>34</v>
      </c>
      <c r="I1052" s="2">
        <v>44122</v>
      </c>
      <c r="J1052" t="s">
        <v>133</v>
      </c>
      <c r="K1052" t="s">
        <v>134</v>
      </c>
      <c r="L1052">
        <v>96850</v>
      </c>
      <c r="M1052" t="s">
        <v>21</v>
      </c>
      <c r="N1052" t="str">
        <f>VLOOKUP(A1052, Data_Set_2!$A:$D,2,FALSE)</f>
        <v>jtuckerl0</v>
      </c>
      <c r="O1052" t="str">
        <f>VLOOKUP(A1052, Data_Set_2!$A:$D,3,FALSE)</f>
        <v>Devbug</v>
      </c>
      <c r="P1052" t="str">
        <f>VLOOKUP(A1052, Data_Set_2!$A:$D,4,FALSE)</f>
        <v>Help Desk Technician</v>
      </c>
      <c r="Q1052" t="str">
        <f>_xlfn.CONCAT(Table3[[#This Row],[first_name]], " ",Table3[[#This Row],[last_name]])</f>
        <v>Jessica Tucker</v>
      </c>
    </row>
    <row r="1053" spans="1:17" hidden="1" x14ac:dyDescent="0.3">
      <c r="A1053">
        <v>758</v>
      </c>
      <c r="B1053" t="s">
        <v>565</v>
      </c>
      <c r="C1053" t="s">
        <v>182</v>
      </c>
      <c r="D1053" t="s">
        <v>658</v>
      </c>
      <c r="E1053" t="s">
        <v>16</v>
      </c>
      <c r="F1053" t="s">
        <v>25</v>
      </c>
      <c r="G1053" s="1">
        <v>410</v>
      </c>
      <c r="H1053" t="s">
        <v>26</v>
      </c>
      <c r="I1053" s="2">
        <v>43573</v>
      </c>
      <c r="J1053" t="s">
        <v>27</v>
      </c>
      <c r="K1053" t="s">
        <v>28</v>
      </c>
      <c r="L1053">
        <v>80299</v>
      </c>
      <c r="M1053" t="s">
        <v>21</v>
      </c>
      <c r="N1053" t="str">
        <f>VLOOKUP(A1053, Data_Set_2!$A:$D,2,FALSE)</f>
        <v>pjamesl1</v>
      </c>
      <c r="O1053" t="str">
        <f>VLOOKUP(A1053, Data_Set_2!$A:$D,3,FALSE)</f>
        <v>Divanoodle</v>
      </c>
      <c r="P1053" t="str">
        <f>VLOOKUP(A1053, Data_Set_2!$A:$D,4,FALSE)</f>
        <v>Geologist IV</v>
      </c>
      <c r="Q1053" t="str">
        <f>_xlfn.CONCAT(Table3[[#This Row],[first_name]], " ",Table3[[#This Row],[last_name]])</f>
        <v>Patrick James</v>
      </c>
    </row>
    <row r="1054" spans="1:17" hidden="1" x14ac:dyDescent="0.3">
      <c r="A1054">
        <v>759</v>
      </c>
      <c r="B1054" t="s">
        <v>190</v>
      </c>
      <c r="C1054" t="s">
        <v>906</v>
      </c>
      <c r="D1054" t="s">
        <v>1064</v>
      </c>
      <c r="E1054" t="s">
        <v>16</v>
      </c>
      <c r="F1054" t="s">
        <v>25</v>
      </c>
      <c r="G1054" s="1">
        <v>232</v>
      </c>
      <c r="H1054" t="s">
        <v>26</v>
      </c>
      <c r="I1054" s="2">
        <v>44352</v>
      </c>
      <c r="J1054" t="s">
        <v>345</v>
      </c>
      <c r="K1054" t="s">
        <v>220</v>
      </c>
      <c r="L1054">
        <v>20016</v>
      </c>
      <c r="M1054" t="s">
        <v>21</v>
      </c>
      <c r="N1054" t="str">
        <f>VLOOKUP(A1054, Data_Set_2!$A:$D,2,FALSE)</f>
        <v>jlewisl2</v>
      </c>
      <c r="O1054" t="str">
        <f>VLOOKUP(A1054, Data_Set_2!$A:$D,3,FALSE)</f>
        <v>Camido</v>
      </c>
      <c r="P1054" t="str">
        <f>VLOOKUP(A1054, Data_Set_2!$A:$D,4,FALSE)</f>
        <v>Human Resources Assistant I</v>
      </c>
      <c r="Q1054" t="str">
        <f>_xlfn.CONCAT(Table3[[#This Row],[first_name]], " ",Table3[[#This Row],[last_name]])</f>
        <v>Johnny Lewis</v>
      </c>
    </row>
    <row r="1055" spans="1:17" hidden="1" x14ac:dyDescent="0.3">
      <c r="A1055">
        <v>760</v>
      </c>
      <c r="B1055" t="s">
        <v>569</v>
      </c>
      <c r="C1055" t="s">
        <v>805</v>
      </c>
      <c r="D1055" t="s">
        <v>818</v>
      </c>
      <c r="E1055" t="s">
        <v>16</v>
      </c>
      <c r="F1055" t="s">
        <v>17</v>
      </c>
      <c r="G1055" s="1">
        <v>599</v>
      </c>
      <c r="H1055" t="s">
        <v>26</v>
      </c>
      <c r="I1055" s="2">
        <v>43793</v>
      </c>
      <c r="J1055" t="s">
        <v>35</v>
      </c>
      <c r="K1055" t="s">
        <v>583</v>
      </c>
      <c r="L1055">
        <v>93111</v>
      </c>
      <c r="M1055" t="s">
        <v>21</v>
      </c>
      <c r="N1055" t="str">
        <f>VLOOKUP(A1055, Data_Set_2!$A:$D,2,FALSE)</f>
        <v>nsandersl3</v>
      </c>
      <c r="O1055" t="str">
        <f>VLOOKUP(A1055, Data_Set_2!$A:$D,3,FALSE)</f>
        <v>Abata</v>
      </c>
      <c r="P1055" t="str">
        <f>VLOOKUP(A1055, Data_Set_2!$A:$D,4,FALSE)</f>
        <v>General Manager</v>
      </c>
      <c r="Q1055" t="str">
        <f>_xlfn.CONCAT(Table3[[#This Row],[first_name]], " ",Table3[[#This Row],[last_name]])</f>
        <v>Nicholas Sanders</v>
      </c>
    </row>
    <row r="1056" spans="1:17" hidden="1" x14ac:dyDescent="0.3">
      <c r="A1056">
        <v>761</v>
      </c>
      <c r="B1056" t="s">
        <v>687</v>
      </c>
      <c r="C1056" t="s">
        <v>44</v>
      </c>
      <c r="D1056" t="s">
        <v>1262</v>
      </c>
      <c r="E1056" t="s">
        <v>16</v>
      </c>
      <c r="F1056" t="s">
        <v>33</v>
      </c>
      <c r="G1056" s="1">
        <v>232</v>
      </c>
      <c r="H1056" t="s">
        <v>18</v>
      </c>
      <c r="I1056" s="2">
        <v>44895</v>
      </c>
      <c r="J1056" t="s">
        <v>35</v>
      </c>
      <c r="K1056" t="s">
        <v>605</v>
      </c>
      <c r="L1056">
        <v>92424</v>
      </c>
      <c r="M1056" t="s">
        <v>21</v>
      </c>
      <c r="N1056" t="str">
        <f>VLOOKUP(A1056, Data_Set_2!$A:$D,2,FALSE)</f>
        <v>rhawkinsl4</v>
      </c>
      <c r="O1056" t="str">
        <f>VLOOKUP(A1056, Data_Set_2!$A:$D,3,FALSE)</f>
        <v>Livepath</v>
      </c>
      <c r="P1056" t="str">
        <f>VLOOKUP(A1056, Data_Set_2!$A:$D,4,FALSE)</f>
        <v>Legal Assistant</v>
      </c>
      <c r="Q1056" t="str">
        <f>_xlfn.CONCAT(Table3[[#This Row],[first_name]], " ",Table3[[#This Row],[last_name]])</f>
        <v>Robert Hawkins</v>
      </c>
    </row>
    <row r="1057" spans="1:17" hidden="1" x14ac:dyDescent="0.3">
      <c r="A1057">
        <v>762</v>
      </c>
      <c r="B1057" t="s">
        <v>206</v>
      </c>
      <c r="C1057" t="s">
        <v>321</v>
      </c>
      <c r="D1057" t="s">
        <v>1186</v>
      </c>
      <c r="E1057" t="s">
        <v>32</v>
      </c>
      <c r="F1057" t="s">
        <v>33</v>
      </c>
      <c r="G1057" s="1">
        <v>76</v>
      </c>
      <c r="H1057" t="s">
        <v>26</v>
      </c>
      <c r="I1057" s="2">
        <v>44684</v>
      </c>
      <c r="J1057" t="s">
        <v>74</v>
      </c>
      <c r="K1057" t="s">
        <v>75</v>
      </c>
      <c r="L1057">
        <v>30380</v>
      </c>
      <c r="M1057" t="s">
        <v>21</v>
      </c>
      <c r="N1057" t="str">
        <f>VLOOKUP(A1057, Data_Set_2!$A:$D,2,FALSE)</f>
        <v>scarterl5</v>
      </c>
      <c r="O1057" t="str">
        <f>VLOOKUP(A1057, Data_Set_2!$A:$D,3,FALSE)</f>
        <v>Devpulse</v>
      </c>
      <c r="P1057" t="str">
        <f>VLOOKUP(A1057, Data_Set_2!$A:$D,4,FALSE)</f>
        <v>Teacher</v>
      </c>
      <c r="Q1057" t="str">
        <f>_xlfn.CONCAT(Table3[[#This Row],[first_name]], " ",Table3[[#This Row],[last_name]])</f>
        <v>Sandra Carter</v>
      </c>
    </row>
    <row r="1058" spans="1:17" hidden="1" x14ac:dyDescent="0.3">
      <c r="A1058">
        <v>763</v>
      </c>
      <c r="B1058" t="s">
        <v>98</v>
      </c>
      <c r="C1058" t="s">
        <v>99</v>
      </c>
      <c r="D1058" t="s">
        <v>100</v>
      </c>
      <c r="E1058" t="s">
        <v>32</v>
      </c>
      <c r="F1058" t="s">
        <v>17</v>
      </c>
      <c r="G1058" s="1">
        <v>36</v>
      </c>
      <c r="H1058" t="s">
        <v>26</v>
      </c>
      <c r="I1058" s="2">
        <v>43125</v>
      </c>
      <c r="J1058" t="s">
        <v>27</v>
      </c>
      <c r="K1058" t="s">
        <v>101</v>
      </c>
      <c r="L1058">
        <v>80328</v>
      </c>
      <c r="M1058" t="s">
        <v>21</v>
      </c>
      <c r="N1058" t="str">
        <f>VLOOKUP(A1058, Data_Set_2!$A:$D,2,FALSE)</f>
        <v>ppetersonl6</v>
      </c>
      <c r="O1058" t="str">
        <f>VLOOKUP(A1058, Data_Set_2!$A:$D,3,FALSE)</f>
        <v>Leexo</v>
      </c>
      <c r="P1058" t="str">
        <f>VLOOKUP(A1058, Data_Set_2!$A:$D,4,FALSE)</f>
        <v>Geologist IV</v>
      </c>
      <c r="Q1058" t="str">
        <f>_xlfn.CONCAT(Table3[[#This Row],[first_name]], " ",Table3[[#This Row],[last_name]])</f>
        <v>Phyllis Peterson</v>
      </c>
    </row>
    <row r="1059" spans="1:17" hidden="1" x14ac:dyDescent="0.3">
      <c r="A1059">
        <v>763</v>
      </c>
      <c r="B1059" t="s">
        <v>98</v>
      </c>
      <c r="C1059" t="s">
        <v>99</v>
      </c>
      <c r="D1059" t="s">
        <v>100</v>
      </c>
      <c r="E1059" t="s">
        <v>32</v>
      </c>
      <c r="F1059" t="s">
        <v>17</v>
      </c>
      <c r="G1059" s="1">
        <v>57</v>
      </c>
      <c r="H1059" t="s">
        <v>26</v>
      </c>
      <c r="I1059" s="2">
        <v>43589</v>
      </c>
      <c r="J1059" t="s">
        <v>27</v>
      </c>
      <c r="K1059" t="s">
        <v>101</v>
      </c>
      <c r="L1059">
        <v>80328</v>
      </c>
      <c r="M1059" t="s">
        <v>21</v>
      </c>
      <c r="N1059" t="str">
        <f>VLOOKUP(A1059, Data_Set_2!$A:$D,2,FALSE)</f>
        <v>ppetersonl6</v>
      </c>
      <c r="O1059" t="str">
        <f>VLOOKUP(A1059, Data_Set_2!$A:$D,3,FALSE)</f>
        <v>Leexo</v>
      </c>
      <c r="P1059" t="str">
        <f>VLOOKUP(A1059, Data_Set_2!$A:$D,4,FALSE)</f>
        <v>Geologist IV</v>
      </c>
      <c r="Q1059" t="str">
        <f>_xlfn.CONCAT(Table3[[#This Row],[first_name]], " ",Table3[[#This Row],[last_name]])</f>
        <v>Phyllis Peterson</v>
      </c>
    </row>
    <row r="1060" spans="1:17" hidden="1" x14ac:dyDescent="0.3">
      <c r="A1060">
        <v>763</v>
      </c>
      <c r="B1060" t="s">
        <v>98</v>
      </c>
      <c r="C1060" t="s">
        <v>99</v>
      </c>
      <c r="D1060" t="s">
        <v>100</v>
      </c>
      <c r="E1060" t="s">
        <v>32</v>
      </c>
      <c r="F1060" t="s">
        <v>17</v>
      </c>
      <c r="G1060" s="1">
        <v>387</v>
      </c>
      <c r="H1060" t="s">
        <v>26</v>
      </c>
      <c r="I1060" s="2">
        <v>43665</v>
      </c>
      <c r="J1060" t="s">
        <v>27</v>
      </c>
      <c r="K1060" t="s">
        <v>101</v>
      </c>
      <c r="L1060">
        <v>80328</v>
      </c>
      <c r="M1060" t="s">
        <v>21</v>
      </c>
      <c r="N1060" t="str">
        <f>VLOOKUP(A1060, Data_Set_2!$A:$D,2,FALSE)</f>
        <v>ppetersonl6</v>
      </c>
      <c r="O1060" t="str">
        <f>VLOOKUP(A1060, Data_Set_2!$A:$D,3,FALSE)</f>
        <v>Leexo</v>
      </c>
      <c r="P1060" t="str">
        <f>VLOOKUP(A1060, Data_Set_2!$A:$D,4,FALSE)</f>
        <v>Geologist IV</v>
      </c>
      <c r="Q1060" t="str">
        <f>_xlfn.CONCAT(Table3[[#This Row],[first_name]], " ",Table3[[#This Row],[last_name]])</f>
        <v>Phyllis Peterson</v>
      </c>
    </row>
    <row r="1061" spans="1:17" hidden="1" x14ac:dyDescent="0.3">
      <c r="A1061">
        <v>763</v>
      </c>
      <c r="B1061" t="s">
        <v>98</v>
      </c>
      <c r="C1061" t="s">
        <v>99</v>
      </c>
      <c r="D1061" t="s">
        <v>100</v>
      </c>
      <c r="E1061" t="s">
        <v>32</v>
      </c>
      <c r="F1061" t="s">
        <v>17</v>
      </c>
      <c r="G1061" s="1">
        <v>986</v>
      </c>
      <c r="H1061" t="s">
        <v>26</v>
      </c>
      <c r="I1061" s="2">
        <v>43988</v>
      </c>
      <c r="J1061" t="s">
        <v>27</v>
      </c>
      <c r="K1061" t="s">
        <v>101</v>
      </c>
      <c r="L1061">
        <v>80328</v>
      </c>
      <c r="M1061" t="s">
        <v>21</v>
      </c>
      <c r="N1061" t="str">
        <f>VLOOKUP(A1061, Data_Set_2!$A:$D,2,FALSE)</f>
        <v>ppetersonl6</v>
      </c>
      <c r="O1061" t="str">
        <f>VLOOKUP(A1061, Data_Set_2!$A:$D,3,FALSE)</f>
        <v>Leexo</v>
      </c>
      <c r="P1061" t="str">
        <f>VLOOKUP(A1061, Data_Set_2!$A:$D,4,FALSE)</f>
        <v>Geologist IV</v>
      </c>
      <c r="Q1061" t="str">
        <f>_xlfn.CONCAT(Table3[[#This Row],[first_name]], " ",Table3[[#This Row],[last_name]])</f>
        <v>Phyllis Peterson</v>
      </c>
    </row>
    <row r="1062" spans="1:17" hidden="1" x14ac:dyDescent="0.3">
      <c r="A1062">
        <v>763</v>
      </c>
      <c r="B1062" t="s">
        <v>98</v>
      </c>
      <c r="C1062" t="s">
        <v>99</v>
      </c>
      <c r="D1062" t="s">
        <v>100</v>
      </c>
      <c r="E1062" t="s">
        <v>32</v>
      </c>
      <c r="F1062" t="s">
        <v>17</v>
      </c>
      <c r="G1062" s="1">
        <v>954</v>
      </c>
      <c r="H1062" t="s">
        <v>26</v>
      </c>
      <c r="I1062" s="2">
        <v>44102</v>
      </c>
      <c r="J1062" t="s">
        <v>27</v>
      </c>
      <c r="K1062" t="s">
        <v>101</v>
      </c>
      <c r="L1062">
        <v>80328</v>
      </c>
      <c r="M1062" t="s">
        <v>21</v>
      </c>
      <c r="N1062" t="str">
        <f>VLOOKUP(A1062, Data_Set_2!$A:$D,2,FALSE)</f>
        <v>ppetersonl6</v>
      </c>
      <c r="O1062" t="str">
        <f>VLOOKUP(A1062, Data_Set_2!$A:$D,3,FALSE)</f>
        <v>Leexo</v>
      </c>
      <c r="P1062" t="str">
        <f>VLOOKUP(A1062, Data_Set_2!$A:$D,4,FALSE)</f>
        <v>Geologist IV</v>
      </c>
      <c r="Q1062" t="str">
        <f>_xlfn.CONCAT(Table3[[#This Row],[first_name]], " ",Table3[[#This Row],[last_name]])</f>
        <v>Phyllis Peterson</v>
      </c>
    </row>
    <row r="1063" spans="1:17" hidden="1" x14ac:dyDescent="0.3">
      <c r="A1063">
        <v>763</v>
      </c>
      <c r="B1063" t="s">
        <v>98</v>
      </c>
      <c r="C1063" t="s">
        <v>99</v>
      </c>
      <c r="D1063" t="s">
        <v>100</v>
      </c>
      <c r="E1063" t="s">
        <v>32</v>
      </c>
      <c r="F1063" t="s">
        <v>17</v>
      </c>
      <c r="G1063" s="1">
        <v>282</v>
      </c>
      <c r="H1063" t="s">
        <v>26</v>
      </c>
      <c r="I1063" s="2">
        <v>44231</v>
      </c>
      <c r="J1063" t="s">
        <v>27</v>
      </c>
      <c r="K1063" t="s">
        <v>101</v>
      </c>
      <c r="L1063">
        <v>80328</v>
      </c>
      <c r="M1063" t="s">
        <v>21</v>
      </c>
      <c r="N1063" t="str">
        <f>VLOOKUP(A1063, Data_Set_2!$A:$D,2,FALSE)</f>
        <v>ppetersonl6</v>
      </c>
      <c r="O1063" t="str">
        <f>VLOOKUP(A1063, Data_Set_2!$A:$D,3,FALSE)</f>
        <v>Leexo</v>
      </c>
      <c r="P1063" t="str">
        <f>VLOOKUP(A1063, Data_Set_2!$A:$D,4,FALSE)</f>
        <v>Geologist IV</v>
      </c>
      <c r="Q1063" t="str">
        <f>_xlfn.CONCAT(Table3[[#This Row],[first_name]], " ",Table3[[#This Row],[last_name]])</f>
        <v>Phyllis Peterson</v>
      </c>
    </row>
    <row r="1064" spans="1:17" hidden="1" x14ac:dyDescent="0.3">
      <c r="A1064">
        <v>763</v>
      </c>
      <c r="B1064" t="s">
        <v>98</v>
      </c>
      <c r="C1064" t="s">
        <v>99</v>
      </c>
      <c r="D1064" t="s">
        <v>100</v>
      </c>
      <c r="E1064" t="s">
        <v>32</v>
      </c>
      <c r="F1064" t="s">
        <v>17</v>
      </c>
      <c r="G1064" s="1">
        <v>291</v>
      </c>
      <c r="H1064" t="s">
        <v>26</v>
      </c>
      <c r="I1064" s="2">
        <v>44727</v>
      </c>
      <c r="J1064" t="s">
        <v>27</v>
      </c>
      <c r="K1064" t="s">
        <v>101</v>
      </c>
      <c r="L1064">
        <v>80328</v>
      </c>
      <c r="M1064" t="s">
        <v>21</v>
      </c>
      <c r="N1064" t="str">
        <f>VLOOKUP(A1064, Data_Set_2!$A:$D,2,FALSE)</f>
        <v>ppetersonl6</v>
      </c>
      <c r="O1064" t="str">
        <f>VLOOKUP(A1064, Data_Set_2!$A:$D,3,FALSE)</f>
        <v>Leexo</v>
      </c>
      <c r="P1064" t="str">
        <f>VLOOKUP(A1064, Data_Set_2!$A:$D,4,FALSE)</f>
        <v>Geologist IV</v>
      </c>
      <c r="Q1064" t="str">
        <f>_xlfn.CONCAT(Table3[[#This Row],[first_name]], " ",Table3[[#This Row],[last_name]])</f>
        <v>Phyllis Peterson</v>
      </c>
    </row>
    <row r="1065" spans="1:17" hidden="1" x14ac:dyDescent="0.3">
      <c r="A1065">
        <v>763</v>
      </c>
      <c r="B1065" t="s">
        <v>98</v>
      </c>
      <c r="C1065" t="s">
        <v>99</v>
      </c>
      <c r="D1065" t="s">
        <v>100</v>
      </c>
      <c r="E1065" t="s">
        <v>32</v>
      </c>
      <c r="F1065" t="s">
        <v>17</v>
      </c>
      <c r="G1065" s="1">
        <v>263</v>
      </c>
      <c r="H1065" t="s">
        <v>26</v>
      </c>
      <c r="I1065" s="2">
        <v>44799</v>
      </c>
      <c r="J1065" t="s">
        <v>27</v>
      </c>
      <c r="K1065" t="s">
        <v>101</v>
      </c>
      <c r="L1065">
        <v>80328</v>
      </c>
      <c r="M1065" t="s">
        <v>21</v>
      </c>
      <c r="N1065" t="str">
        <f>VLOOKUP(A1065, Data_Set_2!$A:$D,2,FALSE)</f>
        <v>ppetersonl6</v>
      </c>
      <c r="O1065" t="str">
        <f>VLOOKUP(A1065, Data_Set_2!$A:$D,3,FALSE)</f>
        <v>Leexo</v>
      </c>
      <c r="P1065" t="str">
        <f>VLOOKUP(A1065, Data_Set_2!$A:$D,4,FALSE)</f>
        <v>Geologist IV</v>
      </c>
      <c r="Q1065" t="str">
        <f>_xlfn.CONCAT(Table3[[#This Row],[first_name]], " ",Table3[[#This Row],[last_name]])</f>
        <v>Phyllis Peterson</v>
      </c>
    </row>
    <row r="1066" spans="1:17" hidden="1" x14ac:dyDescent="0.3">
      <c r="A1066">
        <v>763</v>
      </c>
      <c r="B1066" t="s">
        <v>98</v>
      </c>
      <c r="C1066" t="s">
        <v>99</v>
      </c>
      <c r="D1066" t="s">
        <v>100</v>
      </c>
      <c r="E1066" t="s">
        <v>32</v>
      </c>
      <c r="F1066" t="s">
        <v>17</v>
      </c>
      <c r="G1066" s="1">
        <v>89</v>
      </c>
      <c r="H1066" t="s">
        <v>26</v>
      </c>
      <c r="I1066" s="2">
        <v>44883</v>
      </c>
      <c r="J1066" t="s">
        <v>27</v>
      </c>
      <c r="K1066" t="s">
        <v>101</v>
      </c>
      <c r="L1066">
        <v>80328</v>
      </c>
      <c r="M1066" t="s">
        <v>21</v>
      </c>
      <c r="N1066" t="str">
        <f>VLOOKUP(A1066, Data_Set_2!$A:$D,2,FALSE)</f>
        <v>ppetersonl6</v>
      </c>
      <c r="O1066" t="str">
        <f>VLOOKUP(A1066, Data_Set_2!$A:$D,3,FALSE)</f>
        <v>Leexo</v>
      </c>
      <c r="P1066" t="str">
        <f>VLOOKUP(A1066, Data_Set_2!$A:$D,4,FALSE)</f>
        <v>Geologist IV</v>
      </c>
      <c r="Q1066" t="str">
        <f>_xlfn.CONCAT(Table3[[#This Row],[first_name]], " ",Table3[[#This Row],[last_name]])</f>
        <v>Phyllis Peterson</v>
      </c>
    </row>
    <row r="1067" spans="1:17" hidden="1" x14ac:dyDescent="0.3">
      <c r="A1067">
        <v>764</v>
      </c>
      <c r="B1067" t="s">
        <v>271</v>
      </c>
      <c r="C1067" t="s">
        <v>272</v>
      </c>
      <c r="D1067" t="s">
        <v>273</v>
      </c>
      <c r="E1067" t="s">
        <v>16</v>
      </c>
      <c r="F1067" t="s">
        <v>274</v>
      </c>
      <c r="G1067" s="1">
        <v>884</v>
      </c>
      <c r="H1067" t="s">
        <v>4038</v>
      </c>
      <c r="I1067" s="2">
        <v>43205</v>
      </c>
      <c r="J1067" t="s">
        <v>35</v>
      </c>
      <c r="K1067" t="s">
        <v>276</v>
      </c>
      <c r="L1067">
        <v>94522</v>
      </c>
      <c r="M1067" t="s">
        <v>21</v>
      </c>
      <c r="N1067" t="str">
        <f>VLOOKUP(A1067, Data_Set_2!$A:$D,2,FALSE)</f>
        <v>jboydl7</v>
      </c>
      <c r="O1067" t="str">
        <f>VLOOKUP(A1067, Data_Set_2!$A:$D,3,FALSE)</f>
        <v>Yambee</v>
      </c>
      <c r="P1067" t="str">
        <f>VLOOKUP(A1067, Data_Set_2!$A:$D,4,FALSE)</f>
        <v>Graphic Designer</v>
      </c>
      <c r="Q1067" t="str">
        <f>_xlfn.CONCAT(Table3[[#This Row],[first_name]], " ",Table3[[#This Row],[last_name]])</f>
        <v>Jimmy Boyd</v>
      </c>
    </row>
    <row r="1068" spans="1:17" hidden="1" x14ac:dyDescent="0.3">
      <c r="A1068">
        <v>764</v>
      </c>
      <c r="B1068" t="s">
        <v>271</v>
      </c>
      <c r="C1068" t="s">
        <v>272</v>
      </c>
      <c r="D1068" t="s">
        <v>273</v>
      </c>
      <c r="E1068" t="s">
        <v>16</v>
      </c>
      <c r="F1068" t="s">
        <v>274</v>
      </c>
      <c r="G1068" s="1">
        <v>52</v>
      </c>
      <c r="H1068" t="s">
        <v>4038</v>
      </c>
      <c r="I1068" s="2">
        <v>43415</v>
      </c>
      <c r="J1068" t="s">
        <v>35</v>
      </c>
      <c r="K1068" t="s">
        <v>276</v>
      </c>
      <c r="L1068">
        <v>94522</v>
      </c>
      <c r="M1068" t="s">
        <v>21</v>
      </c>
      <c r="N1068" t="str">
        <f>VLOOKUP(A1068, Data_Set_2!$A:$D,2,FALSE)</f>
        <v>jboydl7</v>
      </c>
      <c r="O1068" t="str">
        <f>VLOOKUP(A1068, Data_Set_2!$A:$D,3,FALSE)</f>
        <v>Yambee</v>
      </c>
      <c r="P1068" t="str">
        <f>VLOOKUP(A1068, Data_Set_2!$A:$D,4,FALSE)</f>
        <v>Graphic Designer</v>
      </c>
      <c r="Q1068" t="str">
        <f>_xlfn.CONCAT(Table3[[#This Row],[first_name]], " ",Table3[[#This Row],[last_name]])</f>
        <v>Jimmy Boyd</v>
      </c>
    </row>
    <row r="1069" spans="1:17" hidden="1" x14ac:dyDescent="0.3">
      <c r="A1069">
        <v>764</v>
      </c>
      <c r="B1069" t="s">
        <v>271</v>
      </c>
      <c r="C1069" t="s">
        <v>272</v>
      </c>
      <c r="D1069" t="s">
        <v>273</v>
      </c>
      <c r="E1069" t="s">
        <v>16</v>
      </c>
      <c r="F1069" t="s">
        <v>274</v>
      </c>
      <c r="G1069" s="1">
        <v>107</v>
      </c>
      <c r="H1069" t="s">
        <v>4038</v>
      </c>
      <c r="I1069" s="2">
        <v>43656</v>
      </c>
      <c r="J1069" t="s">
        <v>35</v>
      </c>
      <c r="K1069" t="s">
        <v>276</v>
      </c>
      <c r="L1069">
        <v>94522</v>
      </c>
      <c r="M1069" t="s">
        <v>21</v>
      </c>
      <c r="N1069" t="str">
        <f>VLOOKUP(A1069, Data_Set_2!$A:$D,2,FALSE)</f>
        <v>jboydl7</v>
      </c>
      <c r="O1069" t="str">
        <f>VLOOKUP(A1069, Data_Set_2!$A:$D,3,FALSE)</f>
        <v>Yambee</v>
      </c>
      <c r="P1069" t="str">
        <f>VLOOKUP(A1069, Data_Set_2!$A:$D,4,FALSE)</f>
        <v>Graphic Designer</v>
      </c>
      <c r="Q1069" t="str">
        <f>_xlfn.CONCAT(Table3[[#This Row],[first_name]], " ",Table3[[#This Row],[last_name]])</f>
        <v>Jimmy Boyd</v>
      </c>
    </row>
    <row r="1070" spans="1:17" hidden="1" x14ac:dyDescent="0.3">
      <c r="A1070">
        <v>764</v>
      </c>
      <c r="B1070" t="s">
        <v>271</v>
      </c>
      <c r="C1070" t="s">
        <v>272</v>
      </c>
      <c r="D1070" t="s">
        <v>273</v>
      </c>
      <c r="E1070" t="s">
        <v>16</v>
      </c>
      <c r="F1070" t="s">
        <v>274</v>
      </c>
      <c r="G1070" s="1">
        <v>773</v>
      </c>
      <c r="H1070" t="s">
        <v>4038</v>
      </c>
      <c r="I1070" s="2">
        <v>43679</v>
      </c>
      <c r="J1070" t="s">
        <v>35</v>
      </c>
      <c r="K1070" t="s">
        <v>276</v>
      </c>
      <c r="L1070">
        <v>94522</v>
      </c>
      <c r="M1070" t="s">
        <v>21</v>
      </c>
      <c r="N1070" t="str">
        <f>VLOOKUP(A1070, Data_Set_2!$A:$D,2,FALSE)</f>
        <v>jboydl7</v>
      </c>
      <c r="O1070" t="str">
        <f>VLOOKUP(A1070, Data_Set_2!$A:$D,3,FALSE)</f>
        <v>Yambee</v>
      </c>
      <c r="P1070" t="str">
        <f>VLOOKUP(A1070, Data_Set_2!$A:$D,4,FALSE)</f>
        <v>Graphic Designer</v>
      </c>
      <c r="Q1070" t="str">
        <f>_xlfn.CONCAT(Table3[[#This Row],[first_name]], " ",Table3[[#This Row],[last_name]])</f>
        <v>Jimmy Boyd</v>
      </c>
    </row>
    <row r="1071" spans="1:17" hidden="1" x14ac:dyDescent="0.3">
      <c r="A1071">
        <v>764</v>
      </c>
      <c r="B1071" t="s">
        <v>271</v>
      </c>
      <c r="C1071" t="s">
        <v>272</v>
      </c>
      <c r="D1071" t="s">
        <v>273</v>
      </c>
      <c r="E1071" t="s">
        <v>16</v>
      </c>
      <c r="F1071" t="s">
        <v>274</v>
      </c>
      <c r="G1071" s="1">
        <v>679</v>
      </c>
      <c r="H1071" t="s">
        <v>4038</v>
      </c>
      <c r="I1071" s="2">
        <v>44307</v>
      </c>
      <c r="J1071" t="s">
        <v>35</v>
      </c>
      <c r="K1071" t="s">
        <v>276</v>
      </c>
      <c r="L1071">
        <v>94522</v>
      </c>
      <c r="M1071" t="s">
        <v>21</v>
      </c>
      <c r="N1071" t="str">
        <f>VLOOKUP(A1071, Data_Set_2!$A:$D,2,FALSE)</f>
        <v>jboydl7</v>
      </c>
      <c r="O1071" t="str">
        <f>VLOOKUP(A1071, Data_Set_2!$A:$D,3,FALSE)</f>
        <v>Yambee</v>
      </c>
      <c r="P1071" t="str">
        <f>VLOOKUP(A1071, Data_Set_2!$A:$D,4,FALSE)</f>
        <v>Graphic Designer</v>
      </c>
      <c r="Q1071" t="str">
        <f>_xlfn.CONCAT(Table3[[#This Row],[first_name]], " ",Table3[[#This Row],[last_name]])</f>
        <v>Jimmy Boyd</v>
      </c>
    </row>
    <row r="1072" spans="1:17" hidden="1" x14ac:dyDescent="0.3">
      <c r="A1072">
        <v>764</v>
      </c>
      <c r="B1072" t="s">
        <v>271</v>
      </c>
      <c r="C1072" t="s">
        <v>272</v>
      </c>
      <c r="D1072" t="s">
        <v>273</v>
      </c>
      <c r="E1072" t="s">
        <v>16</v>
      </c>
      <c r="F1072" t="s">
        <v>274</v>
      </c>
      <c r="G1072" s="1">
        <v>59</v>
      </c>
      <c r="H1072" t="s">
        <v>4038</v>
      </c>
      <c r="I1072" s="2">
        <v>44358</v>
      </c>
      <c r="J1072" t="s">
        <v>35</v>
      </c>
      <c r="K1072" t="s">
        <v>276</v>
      </c>
      <c r="L1072">
        <v>94522</v>
      </c>
      <c r="M1072" t="s">
        <v>21</v>
      </c>
      <c r="N1072" t="str">
        <f>VLOOKUP(A1072, Data_Set_2!$A:$D,2,FALSE)</f>
        <v>jboydl7</v>
      </c>
      <c r="O1072" t="str">
        <f>VLOOKUP(A1072, Data_Set_2!$A:$D,3,FALSE)</f>
        <v>Yambee</v>
      </c>
      <c r="P1072" t="str">
        <f>VLOOKUP(A1072, Data_Set_2!$A:$D,4,FALSE)</f>
        <v>Graphic Designer</v>
      </c>
      <c r="Q1072" t="str">
        <f>_xlfn.CONCAT(Table3[[#This Row],[first_name]], " ",Table3[[#This Row],[last_name]])</f>
        <v>Jimmy Boyd</v>
      </c>
    </row>
    <row r="1073" spans="1:17" hidden="1" x14ac:dyDescent="0.3">
      <c r="A1073">
        <v>766</v>
      </c>
      <c r="B1073" t="s">
        <v>243</v>
      </c>
      <c r="C1073" t="s">
        <v>131</v>
      </c>
      <c r="D1073" t="s">
        <v>866</v>
      </c>
      <c r="E1073" t="s">
        <v>16</v>
      </c>
      <c r="F1073" t="s">
        <v>25</v>
      </c>
      <c r="G1073" s="1">
        <v>964</v>
      </c>
      <c r="H1073" t="s">
        <v>4037</v>
      </c>
      <c r="I1073" s="2">
        <v>43900</v>
      </c>
      <c r="J1073" t="s">
        <v>27</v>
      </c>
      <c r="K1073" t="s">
        <v>28</v>
      </c>
      <c r="L1073">
        <v>80228</v>
      </c>
      <c r="M1073" t="s">
        <v>21</v>
      </c>
      <c r="N1073" t="str">
        <f>VLOOKUP(A1073, Data_Set_2!$A:$D,2,FALSE)</f>
        <v>pelliottl9</v>
      </c>
      <c r="O1073" t="str">
        <f>VLOOKUP(A1073, Data_Set_2!$A:$D,3,FALSE)</f>
        <v>Eimbee</v>
      </c>
      <c r="P1073" t="str">
        <f>VLOOKUP(A1073, Data_Set_2!$A:$D,4,FALSE)</f>
        <v>Web Designer I</v>
      </c>
      <c r="Q1073" t="str">
        <f>_xlfn.CONCAT(Table3[[#This Row],[first_name]], " ",Table3[[#This Row],[last_name]])</f>
        <v>Peter Elliott</v>
      </c>
    </row>
    <row r="1074" spans="1:17" x14ac:dyDescent="0.3">
      <c r="A1074">
        <v>768</v>
      </c>
      <c r="B1074" t="s">
        <v>652</v>
      </c>
      <c r="C1074" t="s">
        <v>81</v>
      </c>
      <c r="D1074" t="s">
        <v>653</v>
      </c>
      <c r="E1074" t="s">
        <v>32</v>
      </c>
      <c r="F1074" t="s">
        <v>17</v>
      </c>
      <c r="G1074" s="1">
        <v>818</v>
      </c>
      <c r="H1074" t="s">
        <v>95</v>
      </c>
      <c r="I1074" s="2">
        <v>43566</v>
      </c>
      <c r="J1074" t="s">
        <v>115</v>
      </c>
      <c r="K1074" t="s">
        <v>298</v>
      </c>
      <c r="L1074">
        <v>33972</v>
      </c>
      <c r="M1074" t="s">
        <v>21</v>
      </c>
      <c r="N1074" t="str">
        <f>VLOOKUP(A1074, Data_Set_2!$A:$D,2,FALSE)</f>
        <v>kbryantlb</v>
      </c>
      <c r="O1074" t="str">
        <f>VLOOKUP(A1074, Data_Set_2!$A:$D,3,FALSE)</f>
        <v>Viva</v>
      </c>
      <c r="P1074" t="str">
        <f>VLOOKUP(A1074, Data_Set_2!$A:$D,4,FALSE)</f>
        <v>Actuary</v>
      </c>
      <c r="Q1074" t="str">
        <f>_xlfn.CONCAT(Table3[[#This Row],[first_name]], " ",Table3[[#This Row],[last_name]])</f>
        <v>Kelly Bryant</v>
      </c>
    </row>
    <row r="1075" spans="1:17" hidden="1" x14ac:dyDescent="0.3">
      <c r="A1075">
        <v>769</v>
      </c>
      <c r="B1075" t="s">
        <v>464</v>
      </c>
      <c r="C1075" t="s">
        <v>465</v>
      </c>
      <c r="D1075" t="s">
        <v>466</v>
      </c>
      <c r="E1075" t="s">
        <v>16</v>
      </c>
      <c r="F1075" t="s">
        <v>17</v>
      </c>
      <c r="G1075" s="1">
        <v>973</v>
      </c>
      <c r="H1075" t="s">
        <v>4035</v>
      </c>
      <c r="I1075" s="2">
        <v>43346</v>
      </c>
      <c r="J1075" t="s">
        <v>254</v>
      </c>
      <c r="K1075" t="s">
        <v>255</v>
      </c>
      <c r="L1075">
        <v>50936</v>
      </c>
      <c r="M1075" t="s">
        <v>21</v>
      </c>
      <c r="N1075" t="str">
        <f>VLOOKUP(A1075, Data_Set_2!$A:$D,2,FALSE)</f>
        <v>jdeanlc</v>
      </c>
      <c r="O1075" t="str">
        <f>VLOOKUP(A1075, Data_Set_2!$A:$D,3,FALSE)</f>
        <v>Trudoo</v>
      </c>
      <c r="P1075" t="str">
        <f>VLOOKUP(A1075, Data_Set_2!$A:$D,4,FALSE)</f>
        <v>Marketing Assistant</v>
      </c>
      <c r="Q1075" t="str">
        <f>_xlfn.CONCAT(Table3[[#This Row],[first_name]], " ",Table3[[#This Row],[last_name]])</f>
        <v>Jack Dean</v>
      </c>
    </row>
    <row r="1076" spans="1:17" hidden="1" x14ac:dyDescent="0.3">
      <c r="A1076">
        <v>771</v>
      </c>
      <c r="B1076" t="s">
        <v>687</v>
      </c>
      <c r="C1076" t="s">
        <v>825</v>
      </c>
      <c r="D1076" t="s">
        <v>1206</v>
      </c>
      <c r="E1076" t="s">
        <v>16</v>
      </c>
      <c r="F1076" t="s">
        <v>33</v>
      </c>
      <c r="G1076" s="1">
        <v>331</v>
      </c>
      <c r="H1076" t="s">
        <v>73</v>
      </c>
      <c r="I1076" s="2">
        <v>44732</v>
      </c>
      <c r="J1076" t="s">
        <v>68</v>
      </c>
      <c r="K1076" t="s">
        <v>518</v>
      </c>
      <c r="L1076">
        <v>78225</v>
      </c>
      <c r="M1076" t="s">
        <v>21</v>
      </c>
      <c r="N1076" t="str">
        <f>VLOOKUP(A1076, Data_Set_2!$A:$D,2,FALSE)</f>
        <v>rpetersle</v>
      </c>
      <c r="O1076" t="str">
        <f>VLOOKUP(A1076, Data_Set_2!$A:$D,3,FALSE)</f>
        <v>Brainbox</v>
      </c>
      <c r="P1076" t="str">
        <f>VLOOKUP(A1076, Data_Set_2!$A:$D,4,FALSE)</f>
        <v>Statistician I</v>
      </c>
      <c r="Q1076" t="str">
        <f>_xlfn.CONCAT(Table3[[#This Row],[first_name]], " ",Table3[[#This Row],[last_name]])</f>
        <v>Robert Peters</v>
      </c>
    </row>
    <row r="1077" spans="1:17" hidden="1" x14ac:dyDescent="0.3">
      <c r="A1077">
        <v>772</v>
      </c>
      <c r="B1077" t="s">
        <v>210</v>
      </c>
      <c r="C1077" t="s">
        <v>343</v>
      </c>
      <c r="D1077" t="s">
        <v>1140</v>
      </c>
      <c r="E1077" t="s">
        <v>32</v>
      </c>
      <c r="F1077" t="s">
        <v>17</v>
      </c>
      <c r="G1077" s="1">
        <v>392</v>
      </c>
      <c r="H1077" t="s">
        <v>4035</v>
      </c>
      <c r="I1077" s="2">
        <v>44563</v>
      </c>
      <c r="J1077" t="s">
        <v>41</v>
      </c>
      <c r="K1077" t="s">
        <v>42</v>
      </c>
      <c r="L1077">
        <v>40233</v>
      </c>
      <c r="M1077" t="s">
        <v>21</v>
      </c>
      <c r="N1077" t="str">
        <f>VLOOKUP(A1077, Data_Set_2!$A:$D,2,FALSE)</f>
        <v>dhansenlf</v>
      </c>
      <c r="O1077" t="str">
        <f>VLOOKUP(A1077, Data_Set_2!$A:$D,3,FALSE)</f>
        <v>Tagfeed</v>
      </c>
      <c r="P1077" t="str">
        <f>VLOOKUP(A1077, Data_Set_2!$A:$D,4,FALSE)</f>
        <v>Tax Accountant</v>
      </c>
      <c r="Q1077" t="str">
        <f>_xlfn.CONCAT(Table3[[#This Row],[first_name]], " ",Table3[[#This Row],[last_name]])</f>
        <v>Dorothy Hansen</v>
      </c>
    </row>
    <row r="1078" spans="1:17" hidden="1" x14ac:dyDescent="0.3">
      <c r="A1078">
        <v>773</v>
      </c>
      <c r="B1078" t="s">
        <v>194</v>
      </c>
      <c r="C1078" t="s">
        <v>401</v>
      </c>
      <c r="D1078" t="s">
        <v>402</v>
      </c>
      <c r="E1078" t="s">
        <v>32</v>
      </c>
      <c r="F1078" t="s">
        <v>17</v>
      </c>
      <c r="G1078" s="1">
        <v>979</v>
      </c>
      <c r="H1078" t="s">
        <v>26</v>
      </c>
      <c r="I1078" s="2">
        <v>43291</v>
      </c>
      <c r="J1078" t="s">
        <v>68</v>
      </c>
      <c r="K1078" t="s">
        <v>169</v>
      </c>
      <c r="L1078">
        <v>88514</v>
      </c>
      <c r="M1078" t="s">
        <v>21</v>
      </c>
      <c r="N1078" t="str">
        <f>VLOOKUP(A1078, Data_Set_2!$A:$D,2,FALSE)</f>
        <v>earmstronglg</v>
      </c>
      <c r="O1078" t="str">
        <f>VLOOKUP(A1078, Data_Set_2!$A:$D,3,FALSE)</f>
        <v>Quatz</v>
      </c>
      <c r="P1078" t="str">
        <f>VLOOKUP(A1078, Data_Set_2!$A:$D,4,FALSE)</f>
        <v>Help Desk Operator</v>
      </c>
      <c r="Q1078" t="str">
        <f>_xlfn.CONCAT(Table3[[#This Row],[first_name]], " ",Table3[[#This Row],[last_name]])</f>
        <v>Evelyn Armstrong</v>
      </c>
    </row>
    <row r="1079" spans="1:17" hidden="1" x14ac:dyDescent="0.3">
      <c r="A1079">
        <v>773</v>
      </c>
      <c r="B1079" t="s">
        <v>194</v>
      </c>
      <c r="C1079" t="s">
        <v>401</v>
      </c>
      <c r="D1079" t="s">
        <v>402</v>
      </c>
      <c r="E1079" t="s">
        <v>32</v>
      </c>
      <c r="F1079" t="s">
        <v>17</v>
      </c>
      <c r="G1079" s="1">
        <v>876</v>
      </c>
      <c r="H1079" t="s">
        <v>26</v>
      </c>
      <c r="I1079" s="2">
        <v>43293</v>
      </c>
      <c r="J1079" t="s">
        <v>68</v>
      </c>
      <c r="K1079" t="s">
        <v>169</v>
      </c>
      <c r="L1079">
        <v>88514</v>
      </c>
      <c r="M1079" t="s">
        <v>21</v>
      </c>
      <c r="N1079" t="str">
        <f>VLOOKUP(A1079, Data_Set_2!$A:$D,2,FALSE)</f>
        <v>earmstronglg</v>
      </c>
      <c r="O1079" t="str">
        <f>VLOOKUP(A1079, Data_Set_2!$A:$D,3,FALSE)</f>
        <v>Quatz</v>
      </c>
      <c r="P1079" t="str">
        <f>VLOOKUP(A1079, Data_Set_2!$A:$D,4,FALSE)</f>
        <v>Help Desk Operator</v>
      </c>
      <c r="Q1079" t="str">
        <f>_xlfn.CONCAT(Table3[[#This Row],[first_name]], " ",Table3[[#This Row],[last_name]])</f>
        <v>Evelyn Armstrong</v>
      </c>
    </row>
    <row r="1080" spans="1:17" hidden="1" x14ac:dyDescent="0.3">
      <c r="A1080">
        <v>773</v>
      </c>
      <c r="B1080" t="s">
        <v>194</v>
      </c>
      <c r="C1080" t="s">
        <v>401</v>
      </c>
      <c r="D1080" t="s">
        <v>402</v>
      </c>
      <c r="E1080" t="s">
        <v>32</v>
      </c>
      <c r="F1080" t="s">
        <v>17</v>
      </c>
      <c r="G1080" s="1">
        <v>682</v>
      </c>
      <c r="H1080" t="s">
        <v>26</v>
      </c>
      <c r="I1080" s="2">
        <v>44070</v>
      </c>
      <c r="J1080" t="s">
        <v>68</v>
      </c>
      <c r="K1080" t="s">
        <v>169</v>
      </c>
      <c r="L1080">
        <v>88514</v>
      </c>
      <c r="M1080" t="s">
        <v>21</v>
      </c>
      <c r="N1080" t="str">
        <f>VLOOKUP(A1080, Data_Set_2!$A:$D,2,FALSE)</f>
        <v>earmstronglg</v>
      </c>
      <c r="O1080" t="str">
        <f>VLOOKUP(A1080, Data_Set_2!$A:$D,3,FALSE)</f>
        <v>Quatz</v>
      </c>
      <c r="P1080" t="str">
        <f>VLOOKUP(A1080, Data_Set_2!$A:$D,4,FALSE)</f>
        <v>Help Desk Operator</v>
      </c>
      <c r="Q1080" t="str">
        <f>_xlfn.CONCAT(Table3[[#This Row],[first_name]], " ",Table3[[#This Row],[last_name]])</f>
        <v>Evelyn Armstrong</v>
      </c>
    </row>
    <row r="1081" spans="1:17" hidden="1" x14ac:dyDescent="0.3">
      <c r="A1081">
        <v>773</v>
      </c>
      <c r="B1081" t="s">
        <v>194</v>
      </c>
      <c r="C1081" t="s">
        <v>401</v>
      </c>
      <c r="D1081" t="s">
        <v>402</v>
      </c>
      <c r="E1081" t="s">
        <v>32</v>
      </c>
      <c r="F1081" t="s">
        <v>17</v>
      </c>
      <c r="G1081" s="1">
        <v>33</v>
      </c>
      <c r="H1081" t="s">
        <v>26</v>
      </c>
      <c r="I1081" s="2">
        <v>44173</v>
      </c>
      <c r="J1081" t="s">
        <v>68</v>
      </c>
      <c r="K1081" t="s">
        <v>169</v>
      </c>
      <c r="L1081">
        <v>88514</v>
      </c>
      <c r="M1081" t="s">
        <v>21</v>
      </c>
      <c r="N1081" t="str">
        <f>VLOOKUP(A1081, Data_Set_2!$A:$D,2,FALSE)</f>
        <v>earmstronglg</v>
      </c>
      <c r="O1081" t="str">
        <f>VLOOKUP(A1081, Data_Set_2!$A:$D,3,FALSE)</f>
        <v>Quatz</v>
      </c>
      <c r="P1081" t="str">
        <f>VLOOKUP(A1081, Data_Set_2!$A:$D,4,FALSE)</f>
        <v>Help Desk Operator</v>
      </c>
      <c r="Q1081" t="str">
        <f>_xlfn.CONCAT(Table3[[#This Row],[first_name]], " ",Table3[[#This Row],[last_name]])</f>
        <v>Evelyn Armstrong</v>
      </c>
    </row>
    <row r="1082" spans="1:17" hidden="1" x14ac:dyDescent="0.3">
      <c r="A1082">
        <v>773</v>
      </c>
      <c r="B1082" t="s">
        <v>194</v>
      </c>
      <c r="C1082" t="s">
        <v>401</v>
      </c>
      <c r="D1082" t="s">
        <v>402</v>
      </c>
      <c r="E1082" t="s">
        <v>32</v>
      </c>
      <c r="F1082" t="s">
        <v>17</v>
      </c>
      <c r="G1082" s="1">
        <v>213</v>
      </c>
      <c r="H1082" t="s">
        <v>26</v>
      </c>
      <c r="I1082" s="2">
        <v>44448</v>
      </c>
      <c r="J1082" t="s">
        <v>68</v>
      </c>
      <c r="K1082" t="s">
        <v>169</v>
      </c>
      <c r="L1082">
        <v>88514</v>
      </c>
      <c r="M1082" t="s">
        <v>21</v>
      </c>
      <c r="N1082" t="str">
        <f>VLOOKUP(A1082, Data_Set_2!$A:$D,2,FALSE)</f>
        <v>earmstronglg</v>
      </c>
      <c r="O1082" t="str">
        <f>VLOOKUP(A1082, Data_Set_2!$A:$D,3,FALSE)</f>
        <v>Quatz</v>
      </c>
      <c r="P1082" t="str">
        <f>VLOOKUP(A1082, Data_Set_2!$A:$D,4,FALSE)</f>
        <v>Help Desk Operator</v>
      </c>
      <c r="Q1082" t="str">
        <f>_xlfn.CONCAT(Table3[[#This Row],[first_name]], " ",Table3[[#This Row],[last_name]])</f>
        <v>Evelyn Armstrong</v>
      </c>
    </row>
    <row r="1083" spans="1:17" hidden="1" x14ac:dyDescent="0.3">
      <c r="A1083">
        <v>773</v>
      </c>
      <c r="B1083" t="s">
        <v>194</v>
      </c>
      <c r="C1083" t="s">
        <v>401</v>
      </c>
      <c r="D1083" t="s">
        <v>402</v>
      </c>
      <c r="E1083" t="s">
        <v>32</v>
      </c>
      <c r="F1083" t="s">
        <v>17</v>
      </c>
      <c r="G1083" s="1">
        <v>384</v>
      </c>
      <c r="H1083" t="s">
        <v>26</v>
      </c>
      <c r="I1083" s="2">
        <v>44779</v>
      </c>
      <c r="J1083" t="s">
        <v>68</v>
      </c>
      <c r="K1083" t="s">
        <v>169</v>
      </c>
      <c r="L1083">
        <v>88514</v>
      </c>
      <c r="M1083" t="s">
        <v>21</v>
      </c>
      <c r="N1083" t="str">
        <f>VLOOKUP(A1083, Data_Set_2!$A:$D,2,FALSE)</f>
        <v>earmstronglg</v>
      </c>
      <c r="O1083" t="str">
        <f>VLOOKUP(A1083, Data_Set_2!$A:$D,3,FALSE)</f>
        <v>Quatz</v>
      </c>
      <c r="P1083" t="str">
        <f>VLOOKUP(A1083, Data_Set_2!$A:$D,4,FALSE)</f>
        <v>Help Desk Operator</v>
      </c>
      <c r="Q1083" t="str">
        <f>_xlfn.CONCAT(Table3[[#This Row],[first_name]], " ",Table3[[#This Row],[last_name]])</f>
        <v>Evelyn Armstrong</v>
      </c>
    </row>
    <row r="1084" spans="1:17" hidden="1" x14ac:dyDescent="0.3">
      <c r="A1084">
        <v>773</v>
      </c>
      <c r="B1084" t="s">
        <v>194</v>
      </c>
      <c r="C1084" t="s">
        <v>401</v>
      </c>
      <c r="D1084" t="s">
        <v>402</v>
      </c>
      <c r="E1084" t="s">
        <v>32</v>
      </c>
      <c r="F1084" t="s">
        <v>17</v>
      </c>
      <c r="G1084" s="1">
        <v>493</v>
      </c>
      <c r="H1084" t="s">
        <v>26</v>
      </c>
      <c r="I1084" s="2">
        <v>44912</v>
      </c>
      <c r="J1084" t="s">
        <v>68</v>
      </c>
      <c r="K1084" t="s">
        <v>169</v>
      </c>
      <c r="L1084">
        <v>88514</v>
      </c>
      <c r="M1084" t="s">
        <v>21</v>
      </c>
      <c r="N1084" t="str">
        <f>VLOOKUP(A1084, Data_Set_2!$A:$D,2,FALSE)</f>
        <v>earmstronglg</v>
      </c>
      <c r="O1084" t="str">
        <f>VLOOKUP(A1084, Data_Set_2!$A:$D,3,FALSE)</f>
        <v>Quatz</v>
      </c>
      <c r="P1084" t="str">
        <f>VLOOKUP(A1084, Data_Set_2!$A:$D,4,FALSE)</f>
        <v>Help Desk Operator</v>
      </c>
      <c r="Q1084" t="str">
        <f>_xlfn.CONCAT(Table3[[#This Row],[first_name]], " ",Table3[[#This Row],[last_name]])</f>
        <v>Evelyn Armstrong</v>
      </c>
    </row>
    <row r="1085" spans="1:17" hidden="1" x14ac:dyDescent="0.3">
      <c r="A1085">
        <v>774</v>
      </c>
      <c r="B1085" t="s">
        <v>537</v>
      </c>
      <c r="C1085" t="s">
        <v>433</v>
      </c>
      <c r="D1085" t="s">
        <v>619</v>
      </c>
      <c r="E1085" t="s">
        <v>16</v>
      </c>
      <c r="F1085" t="s">
        <v>33</v>
      </c>
      <c r="G1085" s="1">
        <v>910</v>
      </c>
      <c r="H1085" t="s">
        <v>4034</v>
      </c>
      <c r="I1085" s="2">
        <v>43541</v>
      </c>
      <c r="J1085" t="s">
        <v>35</v>
      </c>
      <c r="K1085" t="s">
        <v>620</v>
      </c>
      <c r="L1085">
        <v>94147</v>
      </c>
      <c r="M1085" t="s">
        <v>21</v>
      </c>
      <c r="N1085" t="str">
        <f>VLOOKUP(A1085, Data_Set_2!$A:$D,2,FALSE)</f>
        <v>gcunninghamlh</v>
      </c>
      <c r="O1085" t="str">
        <f>VLOOKUP(A1085, Data_Set_2!$A:$D,3,FALSE)</f>
        <v>Twitterworks</v>
      </c>
      <c r="P1085" t="str">
        <f>VLOOKUP(A1085, Data_Set_2!$A:$D,4,FALSE)</f>
        <v>Dental Hygienist</v>
      </c>
      <c r="Q1085" t="str">
        <f>_xlfn.CONCAT(Table3[[#This Row],[first_name]], " ",Table3[[#This Row],[last_name]])</f>
        <v>Gregory Cunningham</v>
      </c>
    </row>
    <row r="1086" spans="1:17" hidden="1" x14ac:dyDescent="0.3">
      <c r="A1086">
        <v>776</v>
      </c>
      <c r="B1086" t="s">
        <v>569</v>
      </c>
      <c r="C1086" t="s">
        <v>302</v>
      </c>
      <c r="D1086" t="s">
        <v>869</v>
      </c>
      <c r="E1086" t="s">
        <v>16</v>
      </c>
      <c r="F1086" t="s">
        <v>17</v>
      </c>
      <c r="G1086" s="1">
        <v>101</v>
      </c>
      <c r="H1086" t="s">
        <v>26</v>
      </c>
      <c r="I1086" s="2">
        <v>43905</v>
      </c>
      <c r="J1086" t="s">
        <v>115</v>
      </c>
      <c r="K1086" t="s">
        <v>870</v>
      </c>
      <c r="L1086">
        <v>32092</v>
      </c>
      <c r="M1086" t="s">
        <v>21</v>
      </c>
      <c r="N1086" t="str">
        <f>VLOOKUP(A1086, Data_Set_2!$A:$D,2,FALSE)</f>
        <v>nmitchelllj</v>
      </c>
      <c r="O1086" t="str">
        <f>VLOOKUP(A1086, Data_Set_2!$A:$D,3,FALSE)</f>
        <v>Mycat</v>
      </c>
      <c r="P1086" t="str">
        <f>VLOOKUP(A1086, Data_Set_2!$A:$D,4,FALSE)</f>
        <v>Geological Engineer</v>
      </c>
      <c r="Q1086" t="str">
        <f>_xlfn.CONCAT(Table3[[#This Row],[first_name]], " ",Table3[[#This Row],[last_name]])</f>
        <v>Nicholas Mitchell</v>
      </c>
    </row>
    <row r="1087" spans="1:17" hidden="1" x14ac:dyDescent="0.3">
      <c r="A1087">
        <v>777</v>
      </c>
      <c r="B1087" t="s">
        <v>621</v>
      </c>
      <c r="C1087" t="s">
        <v>382</v>
      </c>
      <c r="D1087" t="s">
        <v>622</v>
      </c>
      <c r="E1087" t="s">
        <v>16</v>
      </c>
      <c r="F1087" t="s">
        <v>25</v>
      </c>
      <c r="G1087" s="1">
        <v>473</v>
      </c>
      <c r="H1087" t="s">
        <v>4035</v>
      </c>
      <c r="I1087" s="2">
        <v>43542</v>
      </c>
      <c r="J1087" t="s">
        <v>393</v>
      </c>
      <c r="K1087" t="s">
        <v>578</v>
      </c>
      <c r="L1087">
        <v>38143</v>
      </c>
      <c r="M1087" t="s">
        <v>21</v>
      </c>
      <c r="N1087" t="str">
        <f>VLOOKUP(A1087, Data_Set_2!$A:$D,2,FALSE)</f>
        <v>fstanleylk</v>
      </c>
      <c r="O1087" t="str">
        <f>VLOOKUP(A1087, Data_Set_2!$A:$D,3,FALSE)</f>
        <v>Ntags</v>
      </c>
      <c r="P1087" t="str">
        <f>VLOOKUP(A1087, Data_Set_2!$A:$D,4,FALSE)</f>
        <v>Software Consultant</v>
      </c>
      <c r="Q1087" t="str">
        <f>_xlfn.CONCAT(Table3[[#This Row],[first_name]], " ",Table3[[#This Row],[last_name]])</f>
        <v>Frank Stanley</v>
      </c>
    </row>
    <row r="1088" spans="1:17" hidden="1" x14ac:dyDescent="0.3">
      <c r="A1088">
        <v>778</v>
      </c>
      <c r="B1088" t="s">
        <v>1024</v>
      </c>
      <c r="C1088" t="s">
        <v>14</v>
      </c>
      <c r="D1088" t="s">
        <v>1025</v>
      </c>
      <c r="E1088" t="s">
        <v>16</v>
      </c>
      <c r="F1088" t="s">
        <v>33</v>
      </c>
      <c r="G1088" s="1">
        <v>160</v>
      </c>
      <c r="H1088" t="s">
        <v>26</v>
      </c>
      <c r="I1088" s="2">
        <v>44284</v>
      </c>
      <c r="J1088" t="s">
        <v>27</v>
      </c>
      <c r="K1088" t="s">
        <v>28</v>
      </c>
      <c r="L1088">
        <v>80243</v>
      </c>
      <c r="M1088" t="s">
        <v>21</v>
      </c>
      <c r="N1088" t="str">
        <f>VLOOKUP(A1088, Data_Set_2!$A:$D,2,FALSE)</f>
        <v>tedwardsll</v>
      </c>
      <c r="O1088" t="str">
        <f>VLOOKUP(A1088, Data_Set_2!$A:$D,3,FALSE)</f>
        <v>Fliptune</v>
      </c>
      <c r="P1088" t="str">
        <f>VLOOKUP(A1088, Data_Set_2!$A:$D,4,FALSE)</f>
        <v>Business Systems Development Analyst</v>
      </c>
      <c r="Q1088" t="str">
        <f>_xlfn.CONCAT(Table3[[#This Row],[first_name]], " ",Table3[[#This Row],[last_name]])</f>
        <v>Timothy Edwards</v>
      </c>
    </row>
    <row r="1089" spans="1:17" hidden="1" x14ac:dyDescent="0.3">
      <c r="A1089">
        <v>779</v>
      </c>
      <c r="B1089" t="s">
        <v>491</v>
      </c>
      <c r="C1089" t="s">
        <v>722</v>
      </c>
      <c r="D1089" t="s">
        <v>740</v>
      </c>
      <c r="E1089" t="s">
        <v>32</v>
      </c>
      <c r="F1089" t="s">
        <v>25</v>
      </c>
      <c r="G1089" s="1">
        <v>721</v>
      </c>
      <c r="H1089" t="s">
        <v>26</v>
      </c>
      <c r="I1089" s="2">
        <v>43683</v>
      </c>
      <c r="J1089" t="s">
        <v>41</v>
      </c>
      <c r="K1089" t="s">
        <v>442</v>
      </c>
      <c r="L1089">
        <v>40546</v>
      </c>
      <c r="M1089" t="s">
        <v>21</v>
      </c>
      <c r="N1089" t="str">
        <f>VLOOKUP(A1089, Data_Set_2!$A:$D,2,FALSE)</f>
        <v>mlopezlm</v>
      </c>
      <c r="O1089" t="str">
        <f>VLOOKUP(A1089, Data_Set_2!$A:$D,3,FALSE)</f>
        <v>Photolist</v>
      </c>
      <c r="P1089" t="str">
        <f>VLOOKUP(A1089, Data_Set_2!$A:$D,4,FALSE)</f>
        <v>Research Assistant I</v>
      </c>
      <c r="Q1089" t="str">
        <f>_xlfn.CONCAT(Table3[[#This Row],[first_name]], " ",Table3[[#This Row],[last_name]])</f>
        <v>Melissa Lopez</v>
      </c>
    </row>
    <row r="1090" spans="1:17" hidden="1" x14ac:dyDescent="0.3">
      <c r="A1090">
        <v>780</v>
      </c>
      <c r="B1090" t="s">
        <v>85</v>
      </c>
      <c r="C1090" t="s">
        <v>669</v>
      </c>
      <c r="D1090" t="s">
        <v>1047</v>
      </c>
      <c r="E1090" t="s">
        <v>32</v>
      </c>
      <c r="F1090" t="s">
        <v>25</v>
      </c>
      <c r="G1090" s="1">
        <v>33</v>
      </c>
      <c r="H1090" t="s">
        <v>4035</v>
      </c>
      <c r="I1090" s="2">
        <v>44319</v>
      </c>
      <c r="J1090" t="s">
        <v>115</v>
      </c>
      <c r="K1090" t="s">
        <v>1048</v>
      </c>
      <c r="L1090">
        <v>34238</v>
      </c>
      <c r="M1090" t="s">
        <v>21</v>
      </c>
      <c r="N1090" t="str">
        <f>VLOOKUP(A1090, Data_Set_2!$A:$D,2,FALSE)</f>
        <v>jowensln</v>
      </c>
      <c r="O1090" t="str">
        <f>VLOOKUP(A1090, Data_Set_2!$A:$D,3,FALSE)</f>
        <v>Meetz</v>
      </c>
      <c r="P1090" t="str">
        <f>VLOOKUP(A1090, Data_Set_2!$A:$D,4,FALSE)</f>
        <v>Statistician III</v>
      </c>
      <c r="Q1090" t="str">
        <f>_xlfn.CONCAT(Table3[[#This Row],[first_name]], " ",Table3[[#This Row],[last_name]])</f>
        <v>Janice Owens</v>
      </c>
    </row>
    <row r="1091" spans="1:17" hidden="1" x14ac:dyDescent="0.3">
      <c r="A1091">
        <v>781</v>
      </c>
      <c r="B1091" t="s">
        <v>389</v>
      </c>
      <c r="C1091" t="s">
        <v>296</v>
      </c>
      <c r="D1091" t="s">
        <v>689</v>
      </c>
      <c r="E1091" t="s">
        <v>32</v>
      </c>
      <c r="F1091" t="s">
        <v>17</v>
      </c>
      <c r="G1091" s="1">
        <v>37</v>
      </c>
      <c r="H1091" t="s">
        <v>26</v>
      </c>
      <c r="I1091" s="2">
        <v>43616</v>
      </c>
      <c r="J1091" t="s">
        <v>27</v>
      </c>
      <c r="K1091" t="s">
        <v>690</v>
      </c>
      <c r="L1091">
        <v>80045</v>
      </c>
      <c r="M1091" t="s">
        <v>21</v>
      </c>
      <c r="N1091" t="str">
        <f>VLOOKUP(A1091, Data_Set_2!$A:$D,2,FALSE)</f>
        <v>ibradleylo</v>
      </c>
      <c r="O1091" t="str">
        <f>VLOOKUP(A1091, Data_Set_2!$A:$D,3,FALSE)</f>
        <v>Voonder</v>
      </c>
      <c r="P1091" t="str">
        <f>VLOOKUP(A1091, Data_Set_2!$A:$D,4,FALSE)</f>
        <v>Nuclear Power Engineer</v>
      </c>
      <c r="Q1091" t="str">
        <f>_xlfn.CONCAT(Table3[[#This Row],[first_name]], " ",Table3[[#This Row],[last_name]])</f>
        <v>Irene Bradley</v>
      </c>
    </row>
    <row r="1092" spans="1:17" hidden="1" x14ac:dyDescent="0.3">
      <c r="A1092">
        <v>782</v>
      </c>
      <c r="B1092" t="s">
        <v>595</v>
      </c>
      <c r="C1092" t="s">
        <v>321</v>
      </c>
      <c r="D1092" t="s">
        <v>938</v>
      </c>
      <c r="E1092" t="s">
        <v>32</v>
      </c>
      <c r="F1092" t="s">
        <v>33</v>
      </c>
      <c r="G1092" s="1">
        <v>366</v>
      </c>
      <c r="H1092" t="s">
        <v>4039</v>
      </c>
      <c r="I1092" s="2">
        <v>44083</v>
      </c>
      <c r="J1092" t="s">
        <v>115</v>
      </c>
      <c r="K1092" t="s">
        <v>351</v>
      </c>
      <c r="L1092">
        <v>32825</v>
      </c>
      <c r="M1092" t="s">
        <v>21</v>
      </c>
      <c r="N1092" t="str">
        <f>VLOOKUP(A1092, Data_Set_2!$A:$D,2,FALSE)</f>
        <v>acarterlp</v>
      </c>
      <c r="O1092" t="str">
        <f>VLOOKUP(A1092, Data_Set_2!$A:$D,3,FALSE)</f>
        <v>Yacero</v>
      </c>
      <c r="P1092" t="str">
        <f>VLOOKUP(A1092, Data_Set_2!$A:$D,4,FALSE)</f>
        <v>Accountant III</v>
      </c>
      <c r="Q1092" t="str">
        <f>_xlfn.CONCAT(Table3[[#This Row],[first_name]], " ",Table3[[#This Row],[last_name]])</f>
        <v>Anna Carter</v>
      </c>
    </row>
    <row r="1093" spans="1:17" x14ac:dyDescent="0.3">
      <c r="A1093">
        <v>783</v>
      </c>
      <c r="B1093" t="s">
        <v>644</v>
      </c>
      <c r="C1093" t="s">
        <v>645</v>
      </c>
      <c r="D1093" t="s">
        <v>646</v>
      </c>
      <c r="E1093" t="s">
        <v>32</v>
      </c>
      <c r="F1093" t="s">
        <v>25</v>
      </c>
      <c r="G1093" s="1">
        <v>385</v>
      </c>
      <c r="H1093" t="s">
        <v>95</v>
      </c>
      <c r="I1093" s="2">
        <v>43560</v>
      </c>
      <c r="J1093" t="s">
        <v>204</v>
      </c>
      <c r="K1093" t="s">
        <v>647</v>
      </c>
      <c r="L1093">
        <v>22111</v>
      </c>
      <c r="M1093" t="s">
        <v>21</v>
      </c>
      <c r="N1093" t="str">
        <f>VLOOKUP(A1093, Data_Set_2!$A:$D,2,FALSE)</f>
        <v>ltorreslq</v>
      </c>
      <c r="O1093" t="str">
        <f>VLOOKUP(A1093, Data_Set_2!$A:$D,3,FALSE)</f>
        <v>Yodel</v>
      </c>
      <c r="P1093" t="str">
        <f>VLOOKUP(A1093, Data_Set_2!$A:$D,4,FALSE)</f>
        <v>Statistician IV</v>
      </c>
      <c r="Q1093" t="str">
        <f>_xlfn.CONCAT(Table3[[#This Row],[first_name]], " ",Table3[[#This Row],[last_name]])</f>
        <v>Lori Torres</v>
      </c>
    </row>
    <row r="1094" spans="1:17" hidden="1" x14ac:dyDescent="0.3">
      <c r="A1094">
        <v>784</v>
      </c>
      <c r="B1094" t="s">
        <v>166</v>
      </c>
      <c r="C1094" t="s">
        <v>401</v>
      </c>
      <c r="D1094" t="s">
        <v>1152</v>
      </c>
      <c r="E1094" t="s">
        <v>32</v>
      </c>
      <c r="F1094" t="s">
        <v>17</v>
      </c>
      <c r="G1094" s="1">
        <v>318</v>
      </c>
      <c r="H1094" t="s">
        <v>4037</v>
      </c>
      <c r="I1094" s="2">
        <v>44600</v>
      </c>
      <c r="J1094" t="s">
        <v>192</v>
      </c>
      <c r="K1094" t="s">
        <v>400</v>
      </c>
      <c r="L1094">
        <v>55811</v>
      </c>
      <c r="M1094" t="s">
        <v>21</v>
      </c>
      <c r="N1094" t="str">
        <f>VLOOKUP(A1094, Data_Set_2!$A:$D,2,FALSE)</f>
        <v>barmstronglr</v>
      </c>
      <c r="O1094" t="str">
        <f>VLOOKUP(A1094, Data_Set_2!$A:$D,3,FALSE)</f>
        <v>Brainbox</v>
      </c>
      <c r="P1094" t="str">
        <f>VLOOKUP(A1094, Data_Set_2!$A:$D,4,FALSE)</f>
        <v>Quality Engineer</v>
      </c>
      <c r="Q1094" t="str">
        <f>_xlfn.CONCAT(Table3[[#This Row],[first_name]], " ",Table3[[#This Row],[last_name]])</f>
        <v>Brenda Armstrong</v>
      </c>
    </row>
    <row r="1095" spans="1:17" hidden="1" x14ac:dyDescent="0.3">
      <c r="A1095">
        <v>786</v>
      </c>
      <c r="B1095" t="s">
        <v>890</v>
      </c>
      <c r="C1095" t="s">
        <v>249</v>
      </c>
      <c r="D1095" t="s">
        <v>966</v>
      </c>
      <c r="E1095" t="s">
        <v>32</v>
      </c>
      <c r="F1095" t="s">
        <v>33</v>
      </c>
      <c r="G1095" s="1">
        <v>612</v>
      </c>
      <c r="H1095" t="s">
        <v>26</v>
      </c>
      <c r="I1095" s="2">
        <v>44130</v>
      </c>
      <c r="J1095" t="s">
        <v>696</v>
      </c>
      <c r="K1095" t="s">
        <v>697</v>
      </c>
      <c r="L1095">
        <v>72118</v>
      </c>
      <c r="M1095" t="s">
        <v>21</v>
      </c>
      <c r="N1095" t="str">
        <f>VLOOKUP(A1095, Data_Set_2!$A:$D,2,FALSE)</f>
        <v>jevanslt</v>
      </c>
      <c r="O1095" t="str">
        <f>VLOOKUP(A1095, Data_Set_2!$A:$D,3,FALSE)</f>
        <v>Dynava</v>
      </c>
      <c r="P1095" t="str">
        <f>VLOOKUP(A1095, Data_Set_2!$A:$D,4,FALSE)</f>
        <v>Assistant Manager</v>
      </c>
      <c r="Q1095" t="str">
        <f>_xlfn.CONCAT(Table3[[#This Row],[first_name]], " ",Table3[[#This Row],[last_name]])</f>
        <v>Joyce Evans</v>
      </c>
    </row>
    <row r="1096" spans="1:17" hidden="1" x14ac:dyDescent="0.3">
      <c r="A1096">
        <v>788</v>
      </c>
      <c r="B1096" t="s">
        <v>595</v>
      </c>
      <c r="C1096" t="s">
        <v>1050</v>
      </c>
      <c r="D1096" t="s">
        <v>1051</v>
      </c>
      <c r="E1096" t="s">
        <v>32</v>
      </c>
      <c r="F1096" t="s">
        <v>17</v>
      </c>
      <c r="G1096" s="1">
        <v>218</v>
      </c>
      <c r="H1096" t="s">
        <v>26</v>
      </c>
      <c r="I1096" s="2">
        <v>44323</v>
      </c>
      <c r="J1096" t="s">
        <v>115</v>
      </c>
      <c r="K1096" t="s">
        <v>1052</v>
      </c>
      <c r="L1096">
        <v>33141</v>
      </c>
      <c r="M1096" t="s">
        <v>21</v>
      </c>
      <c r="N1096" t="str">
        <f>VLOOKUP(A1096, Data_Set_2!$A:$D,2,FALSE)</f>
        <v>agrahamlv</v>
      </c>
      <c r="O1096" t="str">
        <f>VLOOKUP(A1096, Data_Set_2!$A:$D,3,FALSE)</f>
        <v>Rhynoodle</v>
      </c>
      <c r="P1096" t="str">
        <f>VLOOKUP(A1096, Data_Set_2!$A:$D,4,FALSE)</f>
        <v>Quality Engineer</v>
      </c>
      <c r="Q1096" t="str">
        <f>_xlfn.CONCAT(Table3[[#This Row],[first_name]], " ",Table3[[#This Row],[last_name]])</f>
        <v>Anna Graham</v>
      </c>
    </row>
    <row r="1097" spans="1:17" hidden="1" x14ac:dyDescent="0.3">
      <c r="A1097">
        <v>793</v>
      </c>
      <c r="B1097" t="s">
        <v>579</v>
      </c>
      <c r="C1097" t="s">
        <v>455</v>
      </c>
      <c r="D1097" t="s">
        <v>580</v>
      </c>
      <c r="E1097" t="s">
        <v>16</v>
      </c>
      <c r="F1097" t="s">
        <v>33</v>
      </c>
      <c r="G1097" s="1">
        <v>101</v>
      </c>
      <c r="H1097" t="s">
        <v>26</v>
      </c>
      <c r="I1097" s="2">
        <v>43482</v>
      </c>
      <c r="J1097" t="s">
        <v>74</v>
      </c>
      <c r="K1097" t="s">
        <v>75</v>
      </c>
      <c r="L1097">
        <v>30340</v>
      </c>
      <c r="M1097" t="s">
        <v>21</v>
      </c>
      <c r="N1097" t="str">
        <f>VLOOKUP(A1097, Data_Set_2!$A:$D,2,FALSE)</f>
        <v>chansonm0</v>
      </c>
      <c r="O1097" t="str">
        <f>VLOOKUP(A1097, Data_Set_2!$A:$D,3,FALSE)</f>
        <v>Mudo</v>
      </c>
      <c r="P1097" t="str">
        <f>VLOOKUP(A1097, Data_Set_2!$A:$D,4,FALSE)</f>
        <v>Assistant Media Planner</v>
      </c>
      <c r="Q1097" t="str">
        <f>_xlfn.CONCAT(Table3[[#This Row],[first_name]], " ",Table3[[#This Row],[last_name]])</f>
        <v>Carlos Hanson</v>
      </c>
    </row>
    <row r="1098" spans="1:17" hidden="1" x14ac:dyDescent="0.3">
      <c r="A1098">
        <v>794</v>
      </c>
      <c r="B1098" t="s">
        <v>144</v>
      </c>
      <c r="C1098" t="s">
        <v>500</v>
      </c>
      <c r="D1098" t="s">
        <v>1155</v>
      </c>
      <c r="E1098" t="s">
        <v>32</v>
      </c>
      <c r="F1098" t="s">
        <v>33</v>
      </c>
      <c r="G1098" s="1">
        <v>395</v>
      </c>
      <c r="H1098" t="s">
        <v>26</v>
      </c>
      <c r="I1098" s="2">
        <v>44621</v>
      </c>
      <c r="J1098" t="s">
        <v>138</v>
      </c>
      <c r="K1098" t="s">
        <v>139</v>
      </c>
      <c r="L1098">
        <v>97286</v>
      </c>
      <c r="M1098" t="s">
        <v>21</v>
      </c>
      <c r="N1098" t="str">
        <f>VLOOKUP(A1098, Data_Set_2!$A:$D,2,FALSE)</f>
        <v>nramirezm1</v>
      </c>
      <c r="O1098" t="str">
        <f>VLOOKUP(A1098, Data_Set_2!$A:$D,3,FALSE)</f>
        <v>Skipfire</v>
      </c>
      <c r="P1098" t="str">
        <f>VLOOKUP(A1098, Data_Set_2!$A:$D,4,FALSE)</f>
        <v>Assistant Manager</v>
      </c>
      <c r="Q1098" t="str">
        <f>_xlfn.CONCAT(Table3[[#This Row],[first_name]], " ",Table3[[#This Row],[last_name]])</f>
        <v>Nicole Ramirez</v>
      </c>
    </row>
    <row r="1099" spans="1:17" hidden="1" x14ac:dyDescent="0.3">
      <c r="A1099">
        <v>795</v>
      </c>
      <c r="B1099" t="s">
        <v>627</v>
      </c>
      <c r="C1099" t="s">
        <v>349</v>
      </c>
      <c r="D1099" t="s">
        <v>628</v>
      </c>
      <c r="E1099" t="s">
        <v>16</v>
      </c>
      <c r="F1099" t="s">
        <v>33</v>
      </c>
      <c r="G1099" s="1">
        <v>396</v>
      </c>
      <c r="H1099" t="s">
        <v>26</v>
      </c>
      <c r="I1099" s="2">
        <v>43544</v>
      </c>
      <c r="J1099" t="s">
        <v>74</v>
      </c>
      <c r="K1099" t="s">
        <v>75</v>
      </c>
      <c r="L1099">
        <v>31119</v>
      </c>
      <c r="M1099" t="s">
        <v>21</v>
      </c>
      <c r="N1099" t="str">
        <f>VLOOKUP(A1099, Data_Set_2!$A:$D,2,FALSE)</f>
        <v>colsonm2</v>
      </c>
      <c r="O1099" t="str">
        <f>VLOOKUP(A1099, Data_Set_2!$A:$D,3,FALSE)</f>
        <v>Wordtune</v>
      </c>
      <c r="P1099" t="str">
        <f>VLOOKUP(A1099, Data_Set_2!$A:$D,4,FALSE)</f>
        <v>Payment Adjustment Coordinator</v>
      </c>
      <c r="Q1099" t="str">
        <f>_xlfn.CONCAT(Table3[[#This Row],[first_name]], " ",Table3[[#This Row],[last_name]])</f>
        <v>Christopher Olson</v>
      </c>
    </row>
    <row r="1100" spans="1:17" hidden="1" x14ac:dyDescent="0.3">
      <c r="A1100">
        <v>796</v>
      </c>
      <c r="B1100" t="s">
        <v>271</v>
      </c>
      <c r="C1100" t="s">
        <v>948</v>
      </c>
      <c r="D1100" t="s">
        <v>998</v>
      </c>
      <c r="E1100" t="s">
        <v>16</v>
      </c>
      <c r="F1100" t="s">
        <v>33</v>
      </c>
      <c r="G1100" s="1">
        <v>943</v>
      </c>
      <c r="H1100" t="s">
        <v>18</v>
      </c>
      <c r="I1100" s="2">
        <v>44209</v>
      </c>
      <c r="J1100" t="s">
        <v>345</v>
      </c>
      <c r="K1100" t="s">
        <v>220</v>
      </c>
      <c r="L1100">
        <v>20414</v>
      </c>
      <c r="M1100" t="s">
        <v>21</v>
      </c>
      <c r="N1100" t="str">
        <f>VLOOKUP(A1100, Data_Set_2!$A:$D,2,FALSE)</f>
        <v>jhallm3</v>
      </c>
      <c r="O1100" t="str">
        <f>VLOOKUP(A1100, Data_Set_2!$A:$D,3,FALSE)</f>
        <v>Oyondu</v>
      </c>
      <c r="P1100" t="str">
        <f>VLOOKUP(A1100, Data_Set_2!$A:$D,4,FALSE)</f>
        <v>Software Test Engineer I</v>
      </c>
      <c r="Q1100" t="str">
        <f>_xlfn.CONCAT(Table3[[#This Row],[first_name]], " ",Table3[[#This Row],[last_name]])</f>
        <v>Jimmy Hall</v>
      </c>
    </row>
    <row r="1101" spans="1:17" hidden="1" x14ac:dyDescent="0.3">
      <c r="A1101">
        <v>797</v>
      </c>
      <c r="B1101" t="s">
        <v>749</v>
      </c>
      <c r="C1101" t="s">
        <v>66</v>
      </c>
      <c r="D1101" t="s">
        <v>1083</v>
      </c>
      <c r="E1101" t="s">
        <v>32</v>
      </c>
      <c r="F1101" t="s">
        <v>17</v>
      </c>
      <c r="G1101" s="1">
        <v>868</v>
      </c>
      <c r="H1101" t="s">
        <v>109</v>
      </c>
      <c r="I1101" s="2">
        <v>44432</v>
      </c>
      <c r="J1101" t="s">
        <v>27</v>
      </c>
      <c r="K1101" t="s">
        <v>398</v>
      </c>
      <c r="L1101">
        <v>80127</v>
      </c>
      <c r="M1101" t="s">
        <v>21</v>
      </c>
      <c r="N1101" t="str">
        <f>VLOOKUP(A1101, Data_Set_2!$A:$D,2,FALSE)</f>
        <v>dperrym4</v>
      </c>
      <c r="O1101" t="str">
        <f>VLOOKUP(A1101, Data_Set_2!$A:$D,3,FALSE)</f>
        <v>Pixonyx</v>
      </c>
      <c r="P1101" t="str">
        <f>VLOOKUP(A1101, Data_Set_2!$A:$D,4,FALSE)</f>
        <v>Accountant I</v>
      </c>
      <c r="Q1101" t="str">
        <f>_xlfn.CONCAT(Table3[[#This Row],[first_name]], " ",Table3[[#This Row],[last_name]])</f>
        <v>Doris Perry</v>
      </c>
    </row>
    <row r="1102" spans="1:17" hidden="1" x14ac:dyDescent="0.3">
      <c r="A1102">
        <v>799</v>
      </c>
      <c r="B1102" t="s">
        <v>80</v>
      </c>
      <c r="C1102" t="s">
        <v>730</v>
      </c>
      <c r="D1102" t="s">
        <v>731</v>
      </c>
      <c r="E1102" t="s">
        <v>16</v>
      </c>
      <c r="F1102" t="s">
        <v>51</v>
      </c>
      <c r="G1102" s="1">
        <v>130</v>
      </c>
      <c r="H1102" t="s">
        <v>4035</v>
      </c>
      <c r="I1102" s="2">
        <v>43676</v>
      </c>
      <c r="J1102" t="s">
        <v>68</v>
      </c>
      <c r="K1102" t="s">
        <v>518</v>
      </c>
      <c r="L1102">
        <v>78235</v>
      </c>
      <c r="M1102" t="s">
        <v>21</v>
      </c>
      <c r="N1102" t="str">
        <f>VLOOKUP(A1102, Data_Set_2!$A:$D,2,FALSE)</f>
        <v>jstewartm6</v>
      </c>
      <c r="O1102" t="str">
        <f>VLOOKUP(A1102, Data_Set_2!$A:$D,3,FALSE)</f>
        <v>Agimba</v>
      </c>
      <c r="P1102" t="str">
        <f>VLOOKUP(A1102, Data_Set_2!$A:$D,4,FALSE)</f>
        <v>Health Coach IV</v>
      </c>
      <c r="Q1102" t="str">
        <f>_xlfn.CONCAT(Table3[[#This Row],[first_name]], " ",Table3[[#This Row],[last_name]])</f>
        <v>Jesse Stewart</v>
      </c>
    </row>
    <row r="1103" spans="1:17" hidden="1" x14ac:dyDescent="0.3">
      <c r="A1103">
        <v>800</v>
      </c>
      <c r="B1103" t="s">
        <v>222</v>
      </c>
      <c r="C1103" t="s">
        <v>223</v>
      </c>
      <c r="D1103" t="s">
        <v>224</v>
      </c>
      <c r="E1103" t="s">
        <v>32</v>
      </c>
      <c r="F1103" t="s">
        <v>51</v>
      </c>
      <c r="G1103" s="1">
        <v>640</v>
      </c>
      <c r="H1103" t="s">
        <v>4036</v>
      </c>
      <c r="I1103" s="2">
        <v>43185</v>
      </c>
      <c r="J1103" t="s">
        <v>68</v>
      </c>
      <c r="K1103" t="s">
        <v>226</v>
      </c>
      <c r="L1103">
        <v>76796</v>
      </c>
      <c r="M1103" t="s">
        <v>21</v>
      </c>
      <c r="N1103" t="str">
        <f>VLOOKUP(A1103, Data_Set_2!$A:$D,2,FALSE)</f>
        <v>sgonzalesm7</v>
      </c>
      <c r="O1103" t="str">
        <f>VLOOKUP(A1103, Data_Set_2!$A:$D,3,FALSE)</f>
        <v>Dynava</v>
      </c>
      <c r="P1103" t="str">
        <f>VLOOKUP(A1103, Data_Set_2!$A:$D,4,FALSE)</f>
        <v>Editor</v>
      </c>
      <c r="Q1103" t="str">
        <f>_xlfn.CONCAT(Table3[[#This Row],[first_name]], " ",Table3[[#This Row],[last_name]])</f>
        <v>Sharon Gonzales</v>
      </c>
    </row>
    <row r="1104" spans="1:17" hidden="1" x14ac:dyDescent="0.3">
      <c r="A1104">
        <v>802</v>
      </c>
      <c r="B1104" t="s">
        <v>844</v>
      </c>
      <c r="C1104" t="s">
        <v>71</v>
      </c>
      <c r="D1104" t="s">
        <v>1002</v>
      </c>
      <c r="E1104" t="s">
        <v>32</v>
      </c>
      <c r="F1104" t="s">
        <v>51</v>
      </c>
      <c r="G1104" s="1">
        <v>231</v>
      </c>
      <c r="H1104" t="s">
        <v>18</v>
      </c>
      <c r="I1104" s="2">
        <v>44215</v>
      </c>
      <c r="J1104" t="s">
        <v>35</v>
      </c>
      <c r="K1104" t="s">
        <v>903</v>
      </c>
      <c r="L1104">
        <v>93311</v>
      </c>
      <c r="M1104" t="s">
        <v>21</v>
      </c>
      <c r="N1104" t="str">
        <f>VLOOKUP(A1104, Data_Set_2!$A:$D,2,FALSE)</f>
        <v>jsimpsonm9</v>
      </c>
      <c r="O1104" t="str">
        <f>VLOOKUP(A1104, Data_Set_2!$A:$D,3,FALSE)</f>
        <v>Mybuzz</v>
      </c>
      <c r="P1104" t="str">
        <f>VLOOKUP(A1104, Data_Set_2!$A:$D,4,FALSE)</f>
        <v>Staff Accountant IV</v>
      </c>
      <c r="Q1104" t="str">
        <f>_xlfn.CONCAT(Table3[[#This Row],[first_name]], " ",Table3[[#This Row],[last_name]])</f>
        <v>Jacqueline Simpson</v>
      </c>
    </row>
    <row r="1105" spans="1:17" hidden="1" x14ac:dyDescent="0.3">
      <c r="A1105">
        <v>803</v>
      </c>
      <c r="B1105" t="s">
        <v>595</v>
      </c>
      <c r="C1105" t="s">
        <v>722</v>
      </c>
      <c r="D1105" t="s">
        <v>768</v>
      </c>
      <c r="E1105" t="s">
        <v>32</v>
      </c>
      <c r="F1105" t="s">
        <v>33</v>
      </c>
      <c r="G1105" s="1">
        <v>480</v>
      </c>
      <c r="H1105" t="s">
        <v>4037</v>
      </c>
      <c r="I1105" s="2">
        <v>43716</v>
      </c>
      <c r="J1105" t="s">
        <v>68</v>
      </c>
      <c r="K1105" t="s">
        <v>518</v>
      </c>
      <c r="L1105">
        <v>78260</v>
      </c>
      <c r="M1105" t="s">
        <v>21</v>
      </c>
      <c r="N1105" t="str">
        <f>VLOOKUP(A1105, Data_Set_2!$A:$D,2,FALSE)</f>
        <v>alopezma</v>
      </c>
      <c r="O1105" t="str">
        <f>VLOOKUP(A1105, Data_Set_2!$A:$D,3,FALSE)</f>
        <v>Browsebug</v>
      </c>
      <c r="P1105" t="str">
        <f>VLOOKUP(A1105, Data_Set_2!$A:$D,4,FALSE)</f>
        <v>Social Worker</v>
      </c>
      <c r="Q1105" t="str">
        <f>_xlfn.CONCAT(Table3[[#This Row],[first_name]], " ",Table3[[#This Row],[last_name]])</f>
        <v>Anna Lopez</v>
      </c>
    </row>
    <row r="1106" spans="1:17" hidden="1" x14ac:dyDescent="0.3">
      <c r="A1106">
        <v>804</v>
      </c>
      <c r="B1106" t="s">
        <v>227</v>
      </c>
      <c r="C1106" t="s">
        <v>228</v>
      </c>
      <c r="D1106" t="s">
        <v>229</v>
      </c>
      <c r="E1106" t="s">
        <v>16</v>
      </c>
      <c r="F1106" t="s">
        <v>33</v>
      </c>
      <c r="G1106" s="1">
        <v>537</v>
      </c>
      <c r="H1106" t="s">
        <v>83</v>
      </c>
      <c r="I1106" s="2">
        <v>43189</v>
      </c>
      <c r="J1106" t="s">
        <v>230</v>
      </c>
      <c r="K1106" t="s">
        <v>231</v>
      </c>
      <c r="L1106">
        <v>27615</v>
      </c>
      <c r="M1106" t="s">
        <v>21</v>
      </c>
      <c r="N1106" t="str">
        <f>VLOOKUP(A1106, Data_Set_2!$A:$D,2,FALSE)</f>
        <v>ewatkinsmb</v>
      </c>
      <c r="O1106" t="str">
        <f>VLOOKUP(A1106, Data_Set_2!$A:$D,3,FALSE)</f>
        <v>Skipfire</v>
      </c>
      <c r="P1106" t="str">
        <f>VLOOKUP(A1106, Data_Set_2!$A:$D,4,FALSE)</f>
        <v>Sales Representative</v>
      </c>
      <c r="Q1106" t="str">
        <f>_xlfn.CONCAT(Table3[[#This Row],[first_name]], " ",Table3[[#This Row],[last_name]])</f>
        <v>Eugene Watkins</v>
      </c>
    </row>
    <row r="1107" spans="1:17" hidden="1" x14ac:dyDescent="0.3">
      <c r="A1107">
        <v>805</v>
      </c>
      <c r="B1107" t="s">
        <v>476</v>
      </c>
      <c r="C1107" t="s">
        <v>314</v>
      </c>
      <c r="D1107" t="s">
        <v>629</v>
      </c>
      <c r="E1107" t="s">
        <v>32</v>
      </c>
      <c r="F1107" t="s">
        <v>33</v>
      </c>
      <c r="G1107" s="1">
        <v>614</v>
      </c>
      <c r="H1107" t="s">
        <v>26</v>
      </c>
      <c r="I1107" s="2">
        <v>43546</v>
      </c>
      <c r="J1107" t="s">
        <v>27</v>
      </c>
      <c r="K1107" t="s">
        <v>398</v>
      </c>
      <c r="L1107">
        <v>80127</v>
      </c>
      <c r="M1107" t="s">
        <v>21</v>
      </c>
      <c r="N1107" t="str">
        <f>VLOOKUP(A1107, Data_Set_2!$A:$D,2,FALSE)</f>
        <v>gpiercemc</v>
      </c>
      <c r="O1107" t="str">
        <f>VLOOKUP(A1107, Data_Set_2!$A:$D,3,FALSE)</f>
        <v>InnoZ</v>
      </c>
      <c r="P1107" t="str">
        <f>VLOOKUP(A1107, Data_Set_2!$A:$D,4,FALSE)</f>
        <v>Legal Assistant</v>
      </c>
      <c r="Q1107" t="str">
        <f>_xlfn.CONCAT(Table3[[#This Row],[first_name]], " ",Table3[[#This Row],[last_name]])</f>
        <v>Gloria Pierce</v>
      </c>
    </row>
    <row r="1108" spans="1:17" hidden="1" x14ac:dyDescent="0.3">
      <c r="A1108">
        <v>806</v>
      </c>
      <c r="B1108" t="s">
        <v>944</v>
      </c>
      <c r="C1108" t="s">
        <v>244</v>
      </c>
      <c r="D1108" t="s">
        <v>945</v>
      </c>
      <c r="E1108" t="s">
        <v>32</v>
      </c>
      <c r="F1108" t="s">
        <v>33</v>
      </c>
      <c r="G1108" s="1">
        <v>218</v>
      </c>
      <c r="H1108" t="s">
        <v>4035</v>
      </c>
      <c r="I1108" s="2">
        <v>44092</v>
      </c>
      <c r="J1108" t="s">
        <v>152</v>
      </c>
      <c r="K1108" t="s">
        <v>423</v>
      </c>
      <c r="L1108">
        <v>45020</v>
      </c>
      <c r="M1108" t="s">
        <v>21</v>
      </c>
      <c r="N1108" t="str">
        <f>VLOOKUP(A1108, Data_Set_2!$A:$D,2,FALSE)</f>
        <v>cmoralesmd</v>
      </c>
      <c r="O1108" t="str">
        <f>VLOOKUP(A1108, Data_Set_2!$A:$D,3,FALSE)</f>
        <v>Divanoodle</v>
      </c>
      <c r="P1108" t="str">
        <f>VLOOKUP(A1108, Data_Set_2!$A:$D,4,FALSE)</f>
        <v>Civil Engineer</v>
      </c>
      <c r="Q1108" t="str">
        <f>_xlfn.CONCAT(Table3[[#This Row],[first_name]], " ",Table3[[#This Row],[last_name]])</f>
        <v>Christine Morales</v>
      </c>
    </row>
    <row r="1109" spans="1:17" hidden="1" x14ac:dyDescent="0.3">
      <c r="A1109">
        <v>807</v>
      </c>
      <c r="B1109" t="s">
        <v>336</v>
      </c>
      <c r="C1109" t="s">
        <v>337</v>
      </c>
      <c r="D1109" t="s">
        <v>338</v>
      </c>
      <c r="E1109" t="s">
        <v>16</v>
      </c>
      <c r="F1109" t="s">
        <v>33</v>
      </c>
      <c r="G1109" s="1">
        <v>364</v>
      </c>
      <c r="H1109" t="s">
        <v>73</v>
      </c>
      <c r="I1109" s="2">
        <v>43243</v>
      </c>
      <c r="J1109" t="s">
        <v>246</v>
      </c>
      <c r="K1109" t="s">
        <v>339</v>
      </c>
      <c r="L1109">
        <v>60652</v>
      </c>
      <c r="M1109" t="s">
        <v>21</v>
      </c>
      <c r="N1109" t="str">
        <f>VLOOKUP(A1109, Data_Set_2!$A:$D,2,FALSE)</f>
        <v>rweaverme</v>
      </c>
      <c r="O1109" t="str">
        <f>VLOOKUP(A1109, Data_Set_2!$A:$D,3,FALSE)</f>
        <v>Realfire</v>
      </c>
      <c r="P1109" t="str">
        <f>VLOOKUP(A1109, Data_Set_2!$A:$D,4,FALSE)</f>
        <v>VP Marketing</v>
      </c>
      <c r="Q1109" t="str">
        <f>_xlfn.CONCAT(Table3[[#This Row],[first_name]], " ",Table3[[#This Row],[last_name]])</f>
        <v>Ronald Weaver</v>
      </c>
    </row>
    <row r="1110" spans="1:17" hidden="1" x14ac:dyDescent="0.3">
      <c r="A1110">
        <v>809</v>
      </c>
      <c r="B1110" t="s">
        <v>117</v>
      </c>
      <c r="C1110" t="s">
        <v>1037</v>
      </c>
      <c r="D1110" t="s">
        <v>1038</v>
      </c>
      <c r="E1110" t="s">
        <v>32</v>
      </c>
      <c r="F1110" t="s">
        <v>33</v>
      </c>
      <c r="G1110" s="1">
        <v>756</v>
      </c>
      <c r="H1110" t="s">
        <v>62</v>
      </c>
      <c r="I1110" s="2">
        <v>44305</v>
      </c>
      <c r="J1110" t="s">
        <v>524</v>
      </c>
      <c r="K1110" t="s">
        <v>1039</v>
      </c>
      <c r="L1110">
        <v>36104</v>
      </c>
      <c r="M1110" t="s">
        <v>21</v>
      </c>
      <c r="N1110" t="str">
        <f>VLOOKUP(A1110, Data_Set_2!$A:$D,2,FALSE)</f>
        <v>lgomezmg</v>
      </c>
      <c r="O1110" t="str">
        <f>VLOOKUP(A1110, Data_Set_2!$A:$D,3,FALSE)</f>
        <v>Twitterworks</v>
      </c>
      <c r="P1110" t="str">
        <f>VLOOKUP(A1110, Data_Set_2!$A:$D,4,FALSE)</f>
        <v>Marketing Assistant</v>
      </c>
      <c r="Q1110" t="str">
        <f>_xlfn.CONCAT(Table3[[#This Row],[first_name]], " ",Table3[[#This Row],[last_name]])</f>
        <v>Laura Gomez</v>
      </c>
    </row>
    <row r="1111" spans="1:17" hidden="1" x14ac:dyDescent="0.3">
      <c r="A1111">
        <v>811</v>
      </c>
      <c r="B1111" t="s">
        <v>789</v>
      </c>
      <c r="C1111" t="s">
        <v>182</v>
      </c>
      <c r="D1111" t="s">
        <v>983</v>
      </c>
      <c r="E1111" t="s">
        <v>16</v>
      </c>
      <c r="F1111" t="s">
        <v>33</v>
      </c>
      <c r="G1111" s="1">
        <v>342</v>
      </c>
      <c r="H1111" t="s">
        <v>26</v>
      </c>
      <c r="I1111" s="2">
        <v>44170</v>
      </c>
      <c r="J1111" t="s">
        <v>204</v>
      </c>
      <c r="K1111" t="s">
        <v>242</v>
      </c>
      <c r="L1111">
        <v>23203</v>
      </c>
      <c r="M1111" t="s">
        <v>21</v>
      </c>
      <c r="N1111" t="str">
        <f>VLOOKUP(A1111, Data_Set_2!$A:$D,2,FALSE)</f>
        <v>vjamesmi</v>
      </c>
      <c r="O1111" t="str">
        <f>VLOOKUP(A1111, Data_Set_2!$A:$D,3,FALSE)</f>
        <v>Voolith</v>
      </c>
      <c r="P1111" t="str">
        <f>VLOOKUP(A1111, Data_Set_2!$A:$D,4,FALSE)</f>
        <v>Teacher</v>
      </c>
      <c r="Q1111" t="str">
        <f>_xlfn.CONCAT(Table3[[#This Row],[first_name]], " ",Table3[[#This Row],[last_name]])</f>
        <v>Victor James</v>
      </c>
    </row>
    <row r="1112" spans="1:17" hidden="1" x14ac:dyDescent="0.3">
      <c r="A1112">
        <v>813</v>
      </c>
      <c r="B1112" t="s">
        <v>395</v>
      </c>
      <c r="C1112" t="s">
        <v>505</v>
      </c>
      <c r="D1112" t="s">
        <v>865</v>
      </c>
      <c r="E1112" t="s">
        <v>32</v>
      </c>
      <c r="F1112" t="s">
        <v>25</v>
      </c>
      <c r="G1112" s="1">
        <v>520</v>
      </c>
      <c r="H1112" t="s">
        <v>4036</v>
      </c>
      <c r="I1112" s="2">
        <v>43899</v>
      </c>
      <c r="J1112" t="s">
        <v>172</v>
      </c>
      <c r="K1112" t="s">
        <v>145</v>
      </c>
      <c r="L1112">
        <v>39204</v>
      </c>
      <c r="M1112" t="s">
        <v>21</v>
      </c>
      <c r="N1112" t="str">
        <f>VLOOKUP(A1112, Data_Set_2!$A:$D,2,FALSE)</f>
        <v>emcdonaldmk</v>
      </c>
      <c r="O1112" t="str">
        <f>VLOOKUP(A1112, Data_Set_2!$A:$D,3,FALSE)</f>
        <v>Dabtype</v>
      </c>
      <c r="P1112" t="str">
        <f>VLOOKUP(A1112, Data_Set_2!$A:$D,4,FALSE)</f>
        <v>Project Manager</v>
      </c>
      <c r="Q1112" t="str">
        <f>_xlfn.CONCAT(Table3[[#This Row],[first_name]], " ",Table3[[#This Row],[last_name]])</f>
        <v>Emily Mcdonald</v>
      </c>
    </row>
    <row r="1113" spans="1:17" hidden="1" x14ac:dyDescent="0.3">
      <c r="A1113">
        <v>814</v>
      </c>
      <c r="B1113" t="s">
        <v>495</v>
      </c>
      <c r="C1113" t="s">
        <v>650</v>
      </c>
      <c r="D1113" t="s">
        <v>1159</v>
      </c>
      <c r="E1113" t="s">
        <v>32</v>
      </c>
      <c r="F1113" t="s">
        <v>33</v>
      </c>
      <c r="G1113" s="1">
        <v>836</v>
      </c>
      <c r="H1113" t="s">
        <v>4037</v>
      </c>
      <c r="I1113" s="2">
        <v>44626</v>
      </c>
      <c r="J1113" t="s">
        <v>115</v>
      </c>
      <c r="K1113" t="s">
        <v>1160</v>
      </c>
      <c r="L1113">
        <v>33758</v>
      </c>
      <c r="M1113" t="s">
        <v>21</v>
      </c>
      <c r="N1113" t="str">
        <f>VLOOKUP(A1113, Data_Set_2!$A:$D,2,FALSE)</f>
        <v>arussellml</v>
      </c>
      <c r="O1113" t="str">
        <f>VLOOKUP(A1113, Data_Set_2!$A:$D,3,FALSE)</f>
        <v>Viva</v>
      </c>
      <c r="P1113" t="str">
        <f>VLOOKUP(A1113, Data_Set_2!$A:$D,4,FALSE)</f>
        <v>Electrical Engineer</v>
      </c>
      <c r="Q1113" t="str">
        <f>_xlfn.CONCAT(Table3[[#This Row],[first_name]], " ",Table3[[#This Row],[last_name]])</f>
        <v>Amy Russell</v>
      </c>
    </row>
    <row r="1114" spans="1:17" hidden="1" x14ac:dyDescent="0.3">
      <c r="A1114">
        <v>816</v>
      </c>
      <c r="B1114" t="s">
        <v>140</v>
      </c>
      <c r="C1114" t="s">
        <v>141</v>
      </c>
      <c r="D1114" t="s">
        <v>142</v>
      </c>
      <c r="E1114" t="s">
        <v>32</v>
      </c>
      <c r="F1114" t="s">
        <v>25</v>
      </c>
      <c r="G1114" s="1">
        <v>66</v>
      </c>
      <c r="H1114" t="s">
        <v>34</v>
      </c>
      <c r="I1114" s="2">
        <v>43138</v>
      </c>
      <c r="J1114" t="s">
        <v>115</v>
      </c>
      <c r="K1114" t="s">
        <v>143</v>
      </c>
      <c r="L1114">
        <v>33129</v>
      </c>
      <c r="M1114" t="s">
        <v>21</v>
      </c>
      <c r="N1114" t="str">
        <f>VLOOKUP(A1114, Data_Set_2!$A:$D,2,FALSE)</f>
        <v>jricemn</v>
      </c>
      <c r="O1114" t="str">
        <f>VLOOKUP(A1114, Data_Set_2!$A:$D,3,FALSE)</f>
        <v>Riffpath</v>
      </c>
      <c r="P1114" t="str">
        <f>VLOOKUP(A1114, Data_Set_2!$A:$D,4,FALSE)</f>
        <v>Editor</v>
      </c>
      <c r="Q1114" t="str">
        <f>_xlfn.CONCAT(Table3[[#This Row],[first_name]], " ",Table3[[#This Row],[last_name]])</f>
        <v>Jessica Rice</v>
      </c>
    </row>
    <row r="1115" spans="1:17" hidden="1" x14ac:dyDescent="0.3">
      <c r="A1115">
        <v>816</v>
      </c>
      <c r="B1115" t="s">
        <v>140</v>
      </c>
      <c r="C1115" t="s">
        <v>141</v>
      </c>
      <c r="D1115" t="s">
        <v>142</v>
      </c>
      <c r="E1115" t="s">
        <v>32</v>
      </c>
      <c r="F1115" t="s">
        <v>25</v>
      </c>
      <c r="G1115" s="1">
        <v>184</v>
      </c>
      <c r="H1115" t="s">
        <v>34</v>
      </c>
      <c r="I1115" s="2">
        <v>43225</v>
      </c>
      <c r="J1115" t="s">
        <v>115</v>
      </c>
      <c r="K1115" t="s">
        <v>143</v>
      </c>
      <c r="L1115">
        <v>33129</v>
      </c>
      <c r="M1115" t="s">
        <v>21</v>
      </c>
      <c r="N1115" t="str">
        <f>VLOOKUP(A1115, Data_Set_2!$A:$D,2,FALSE)</f>
        <v>jricemn</v>
      </c>
      <c r="O1115" t="str">
        <f>VLOOKUP(A1115, Data_Set_2!$A:$D,3,FALSE)</f>
        <v>Riffpath</v>
      </c>
      <c r="P1115" t="str">
        <f>VLOOKUP(A1115, Data_Set_2!$A:$D,4,FALSE)</f>
        <v>Editor</v>
      </c>
      <c r="Q1115" t="str">
        <f>_xlfn.CONCAT(Table3[[#This Row],[first_name]], " ",Table3[[#This Row],[last_name]])</f>
        <v>Jessica Rice</v>
      </c>
    </row>
    <row r="1116" spans="1:17" hidden="1" x14ac:dyDescent="0.3">
      <c r="A1116">
        <v>816</v>
      </c>
      <c r="B1116" t="s">
        <v>140</v>
      </c>
      <c r="C1116" t="s">
        <v>141</v>
      </c>
      <c r="D1116" t="s">
        <v>142</v>
      </c>
      <c r="E1116" t="s">
        <v>32</v>
      </c>
      <c r="F1116" t="s">
        <v>25</v>
      </c>
      <c r="G1116" s="1">
        <v>701</v>
      </c>
      <c r="H1116" t="s">
        <v>34</v>
      </c>
      <c r="I1116" s="2">
        <v>43228</v>
      </c>
      <c r="J1116" t="s">
        <v>115</v>
      </c>
      <c r="K1116" t="s">
        <v>143</v>
      </c>
      <c r="L1116">
        <v>33129</v>
      </c>
      <c r="M1116" t="s">
        <v>21</v>
      </c>
      <c r="N1116" t="str">
        <f>VLOOKUP(A1116, Data_Set_2!$A:$D,2,FALSE)</f>
        <v>jricemn</v>
      </c>
      <c r="O1116" t="str">
        <f>VLOOKUP(A1116, Data_Set_2!$A:$D,3,FALSE)</f>
        <v>Riffpath</v>
      </c>
      <c r="P1116" t="str">
        <f>VLOOKUP(A1116, Data_Set_2!$A:$D,4,FALSE)</f>
        <v>Editor</v>
      </c>
      <c r="Q1116" t="str">
        <f>_xlfn.CONCAT(Table3[[#This Row],[first_name]], " ",Table3[[#This Row],[last_name]])</f>
        <v>Jessica Rice</v>
      </c>
    </row>
    <row r="1117" spans="1:17" hidden="1" x14ac:dyDescent="0.3">
      <c r="A1117">
        <v>816</v>
      </c>
      <c r="B1117" t="s">
        <v>140</v>
      </c>
      <c r="C1117" t="s">
        <v>141</v>
      </c>
      <c r="D1117" t="s">
        <v>142</v>
      </c>
      <c r="E1117" t="s">
        <v>32</v>
      </c>
      <c r="F1117" t="s">
        <v>25</v>
      </c>
      <c r="G1117" s="1">
        <v>580</v>
      </c>
      <c r="H1117" t="s">
        <v>34</v>
      </c>
      <c r="I1117" s="2">
        <v>43241</v>
      </c>
      <c r="J1117" t="s">
        <v>115</v>
      </c>
      <c r="K1117" t="s">
        <v>143</v>
      </c>
      <c r="L1117">
        <v>33129</v>
      </c>
      <c r="M1117" t="s">
        <v>21</v>
      </c>
      <c r="N1117" t="str">
        <f>VLOOKUP(A1117, Data_Set_2!$A:$D,2,FALSE)</f>
        <v>jricemn</v>
      </c>
      <c r="O1117" t="str">
        <f>VLOOKUP(A1117, Data_Set_2!$A:$D,3,FALSE)</f>
        <v>Riffpath</v>
      </c>
      <c r="P1117" t="str">
        <f>VLOOKUP(A1117, Data_Set_2!$A:$D,4,FALSE)</f>
        <v>Editor</v>
      </c>
      <c r="Q1117" t="str">
        <f>_xlfn.CONCAT(Table3[[#This Row],[first_name]], " ",Table3[[#This Row],[last_name]])</f>
        <v>Jessica Rice</v>
      </c>
    </row>
    <row r="1118" spans="1:17" hidden="1" x14ac:dyDescent="0.3">
      <c r="A1118">
        <v>816</v>
      </c>
      <c r="B1118" t="s">
        <v>140</v>
      </c>
      <c r="C1118" t="s">
        <v>141</v>
      </c>
      <c r="D1118" t="s">
        <v>142</v>
      </c>
      <c r="E1118" t="s">
        <v>32</v>
      </c>
      <c r="F1118" t="s">
        <v>25</v>
      </c>
      <c r="G1118" s="1">
        <v>765</v>
      </c>
      <c r="H1118" t="s">
        <v>34</v>
      </c>
      <c r="I1118" s="2">
        <v>43245</v>
      </c>
      <c r="J1118" t="s">
        <v>115</v>
      </c>
      <c r="K1118" t="s">
        <v>143</v>
      </c>
      <c r="L1118">
        <v>33129</v>
      </c>
      <c r="M1118" t="s">
        <v>21</v>
      </c>
      <c r="N1118" t="str">
        <f>VLOOKUP(A1118, Data_Set_2!$A:$D,2,FALSE)</f>
        <v>jricemn</v>
      </c>
      <c r="O1118" t="str">
        <f>VLOOKUP(A1118, Data_Set_2!$A:$D,3,FALSE)</f>
        <v>Riffpath</v>
      </c>
      <c r="P1118" t="str">
        <f>VLOOKUP(A1118, Data_Set_2!$A:$D,4,FALSE)</f>
        <v>Editor</v>
      </c>
      <c r="Q1118" t="str">
        <f>_xlfn.CONCAT(Table3[[#This Row],[first_name]], " ",Table3[[#This Row],[last_name]])</f>
        <v>Jessica Rice</v>
      </c>
    </row>
    <row r="1119" spans="1:17" hidden="1" x14ac:dyDescent="0.3">
      <c r="A1119">
        <v>816</v>
      </c>
      <c r="B1119" t="s">
        <v>140</v>
      </c>
      <c r="C1119" t="s">
        <v>141</v>
      </c>
      <c r="D1119" t="s">
        <v>142</v>
      </c>
      <c r="E1119" t="s">
        <v>32</v>
      </c>
      <c r="F1119" t="s">
        <v>25</v>
      </c>
      <c r="G1119" s="1">
        <v>954</v>
      </c>
      <c r="H1119" t="s">
        <v>34</v>
      </c>
      <c r="I1119" s="2">
        <v>43269</v>
      </c>
      <c r="J1119" t="s">
        <v>115</v>
      </c>
      <c r="K1119" t="s">
        <v>143</v>
      </c>
      <c r="L1119">
        <v>33129</v>
      </c>
      <c r="M1119" t="s">
        <v>21</v>
      </c>
      <c r="N1119" t="str">
        <f>VLOOKUP(A1119, Data_Set_2!$A:$D,2,FALSE)</f>
        <v>jricemn</v>
      </c>
      <c r="O1119" t="str">
        <f>VLOOKUP(A1119, Data_Set_2!$A:$D,3,FALSE)</f>
        <v>Riffpath</v>
      </c>
      <c r="P1119" t="str">
        <f>VLOOKUP(A1119, Data_Set_2!$A:$D,4,FALSE)</f>
        <v>Editor</v>
      </c>
      <c r="Q1119" t="str">
        <f>_xlfn.CONCAT(Table3[[#This Row],[first_name]], " ",Table3[[#This Row],[last_name]])</f>
        <v>Jessica Rice</v>
      </c>
    </row>
    <row r="1120" spans="1:17" hidden="1" x14ac:dyDescent="0.3">
      <c r="A1120">
        <v>816</v>
      </c>
      <c r="B1120" t="s">
        <v>140</v>
      </c>
      <c r="C1120" t="s">
        <v>141</v>
      </c>
      <c r="D1120" t="s">
        <v>142</v>
      </c>
      <c r="E1120" t="s">
        <v>32</v>
      </c>
      <c r="F1120" t="s">
        <v>25</v>
      </c>
      <c r="G1120" s="1">
        <v>134</v>
      </c>
      <c r="H1120" t="s">
        <v>34</v>
      </c>
      <c r="I1120" s="2">
        <v>43342</v>
      </c>
      <c r="J1120" t="s">
        <v>115</v>
      </c>
      <c r="K1120" t="s">
        <v>143</v>
      </c>
      <c r="L1120">
        <v>33129</v>
      </c>
      <c r="M1120" t="s">
        <v>21</v>
      </c>
      <c r="N1120" t="str">
        <f>VLOOKUP(A1120, Data_Set_2!$A:$D,2,FALSE)</f>
        <v>jricemn</v>
      </c>
      <c r="O1120" t="str">
        <f>VLOOKUP(A1120, Data_Set_2!$A:$D,3,FALSE)</f>
        <v>Riffpath</v>
      </c>
      <c r="P1120" t="str">
        <f>VLOOKUP(A1120, Data_Set_2!$A:$D,4,FALSE)</f>
        <v>Editor</v>
      </c>
      <c r="Q1120" t="str">
        <f>_xlfn.CONCAT(Table3[[#This Row],[first_name]], " ",Table3[[#This Row],[last_name]])</f>
        <v>Jessica Rice</v>
      </c>
    </row>
    <row r="1121" spans="1:17" hidden="1" x14ac:dyDescent="0.3">
      <c r="A1121">
        <v>816</v>
      </c>
      <c r="B1121" t="s">
        <v>140</v>
      </c>
      <c r="C1121" t="s">
        <v>141</v>
      </c>
      <c r="D1121" t="s">
        <v>142</v>
      </c>
      <c r="E1121" t="s">
        <v>32</v>
      </c>
      <c r="F1121" t="s">
        <v>25</v>
      </c>
      <c r="G1121" s="1">
        <v>515</v>
      </c>
      <c r="H1121" t="s">
        <v>34</v>
      </c>
      <c r="I1121" s="2">
        <v>43393</v>
      </c>
      <c r="J1121" t="s">
        <v>115</v>
      </c>
      <c r="K1121" t="s">
        <v>143</v>
      </c>
      <c r="L1121">
        <v>33129</v>
      </c>
      <c r="M1121" t="s">
        <v>21</v>
      </c>
      <c r="N1121" t="str">
        <f>VLOOKUP(A1121, Data_Set_2!$A:$D,2,FALSE)</f>
        <v>jricemn</v>
      </c>
      <c r="O1121" t="str">
        <f>VLOOKUP(A1121, Data_Set_2!$A:$D,3,FALSE)</f>
        <v>Riffpath</v>
      </c>
      <c r="P1121" t="str">
        <f>VLOOKUP(A1121, Data_Set_2!$A:$D,4,FALSE)</f>
        <v>Editor</v>
      </c>
      <c r="Q1121" t="str">
        <f>_xlfn.CONCAT(Table3[[#This Row],[first_name]], " ",Table3[[#This Row],[last_name]])</f>
        <v>Jessica Rice</v>
      </c>
    </row>
    <row r="1122" spans="1:17" hidden="1" x14ac:dyDescent="0.3">
      <c r="A1122">
        <v>816</v>
      </c>
      <c r="B1122" t="s">
        <v>140</v>
      </c>
      <c r="C1122" t="s">
        <v>141</v>
      </c>
      <c r="D1122" t="s">
        <v>142</v>
      </c>
      <c r="E1122" t="s">
        <v>32</v>
      </c>
      <c r="F1122" t="s">
        <v>25</v>
      </c>
      <c r="G1122" s="1">
        <v>147</v>
      </c>
      <c r="H1122" t="s">
        <v>34</v>
      </c>
      <c r="I1122" s="2">
        <v>43416</v>
      </c>
      <c r="J1122" t="s">
        <v>115</v>
      </c>
      <c r="K1122" t="s">
        <v>143</v>
      </c>
      <c r="L1122">
        <v>33129</v>
      </c>
      <c r="M1122" t="s">
        <v>21</v>
      </c>
      <c r="N1122" t="str">
        <f>VLOOKUP(A1122, Data_Set_2!$A:$D,2,FALSE)</f>
        <v>jricemn</v>
      </c>
      <c r="O1122" t="str">
        <f>VLOOKUP(A1122, Data_Set_2!$A:$D,3,FALSE)</f>
        <v>Riffpath</v>
      </c>
      <c r="P1122" t="str">
        <f>VLOOKUP(A1122, Data_Set_2!$A:$D,4,FALSE)</f>
        <v>Editor</v>
      </c>
      <c r="Q1122" t="str">
        <f>_xlfn.CONCAT(Table3[[#This Row],[first_name]], " ",Table3[[#This Row],[last_name]])</f>
        <v>Jessica Rice</v>
      </c>
    </row>
    <row r="1123" spans="1:17" hidden="1" x14ac:dyDescent="0.3">
      <c r="A1123">
        <v>816</v>
      </c>
      <c r="B1123" t="s">
        <v>140</v>
      </c>
      <c r="C1123" t="s">
        <v>141</v>
      </c>
      <c r="D1123" t="s">
        <v>142</v>
      </c>
      <c r="E1123" t="s">
        <v>32</v>
      </c>
      <c r="F1123" t="s">
        <v>25</v>
      </c>
      <c r="G1123" s="1">
        <v>11</v>
      </c>
      <c r="H1123" t="s">
        <v>34</v>
      </c>
      <c r="I1123" s="2">
        <v>43603</v>
      </c>
      <c r="J1123" t="s">
        <v>115</v>
      </c>
      <c r="K1123" t="s">
        <v>143</v>
      </c>
      <c r="L1123">
        <v>33129</v>
      </c>
      <c r="M1123" t="s">
        <v>21</v>
      </c>
      <c r="N1123" t="str">
        <f>VLOOKUP(A1123, Data_Set_2!$A:$D,2,FALSE)</f>
        <v>jricemn</v>
      </c>
      <c r="O1123" t="str">
        <f>VLOOKUP(A1123, Data_Set_2!$A:$D,3,FALSE)</f>
        <v>Riffpath</v>
      </c>
      <c r="P1123" t="str">
        <f>VLOOKUP(A1123, Data_Set_2!$A:$D,4,FALSE)</f>
        <v>Editor</v>
      </c>
      <c r="Q1123" t="str">
        <f>_xlfn.CONCAT(Table3[[#This Row],[first_name]], " ",Table3[[#This Row],[last_name]])</f>
        <v>Jessica Rice</v>
      </c>
    </row>
    <row r="1124" spans="1:17" hidden="1" x14ac:dyDescent="0.3">
      <c r="A1124">
        <v>816</v>
      </c>
      <c r="B1124" t="s">
        <v>140</v>
      </c>
      <c r="C1124" t="s">
        <v>141</v>
      </c>
      <c r="D1124" t="s">
        <v>142</v>
      </c>
      <c r="E1124" t="s">
        <v>32</v>
      </c>
      <c r="F1124" t="s">
        <v>25</v>
      </c>
      <c r="G1124" s="1">
        <v>834</v>
      </c>
      <c r="H1124" t="s">
        <v>34</v>
      </c>
      <c r="I1124" s="2">
        <v>43650</v>
      </c>
      <c r="J1124" t="s">
        <v>115</v>
      </c>
      <c r="K1124" t="s">
        <v>143</v>
      </c>
      <c r="L1124">
        <v>33129</v>
      </c>
      <c r="M1124" t="s">
        <v>21</v>
      </c>
      <c r="N1124" t="str">
        <f>VLOOKUP(A1124, Data_Set_2!$A:$D,2,FALSE)</f>
        <v>jricemn</v>
      </c>
      <c r="O1124" t="str">
        <f>VLOOKUP(A1124, Data_Set_2!$A:$D,3,FALSE)</f>
        <v>Riffpath</v>
      </c>
      <c r="P1124" t="str">
        <f>VLOOKUP(A1124, Data_Set_2!$A:$D,4,FALSE)</f>
        <v>Editor</v>
      </c>
      <c r="Q1124" t="str">
        <f>_xlfn.CONCAT(Table3[[#This Row],[first_name]], " ",Table3[[#This Row],[last_name]])</f>
        <v>Jessica Rice</v>
      </c>
    </row>
    <row r="1125" spans="1:17" hidden="1" x14ac:dyDescent="0.3">
      <c r="A1125">
        <v>816</v>
      </c>
      <c r="B1125" t="s">
        <v>140</v>
      </c>
      <c r="C1125" t="s">
        <v>141</v>
      </c>
      <c r="D1125" t="s">
        <v>142</v>
      </c>
      <c r="E1125" t="s">
        <v>32</v>
      </c>
      <c r="F1125" t="s">
        <v>25</v>
      </c>
      <c r="G1125" s="1">
        <v>130</v>
      </c>
      <c r="H1125" t="s">
        <v>34</v>
      </c>
      <c r="I1125" s="2">
        <v>43758</v>
      </c>
      <c r="J1125" t="s">
        <v>115</v>
      </c>
      <c r="K1125" t="s">
        <v>143</v>
      </c>
      <c r="L1125">
        <v>33129</v>
      </c>
      <c r="M1125" t="s">
        <v>21</v>
      </c>
      <c r="N1125" t="str">
        <f>VLOOKUP(A1125, Data_Set_2!$A:$D,2,FALSE)</f>
        <v>jricemn</v>
      </c>
      <c r="O1125" t="str">
        <f>VLOOKUP(A1125, Data_Set_2!$A:$D,3,FALSE)</f>
        <v>Riffpath</v>
      </c>
      <c r="P1125" t="str">
        <f>VLOOKUP(A1125, Data_Set_2!$A:$D,4,FALSE)</f>
        <v>Editor</v>
      </c>
      <c r="Q1125" t="str">
        <f>_xlfn.CONCAT(Table3[[#This Row],[first_name]], " ",Table3[[#This Row],[last_name]])</f>
        <v>Jessica Rice</v>
      </c>
    </row>
    <row r="1126" spans="1:17" hidden="1" x14ac:dyDescent="0.3">
      <c r="A1126">
        <v>816</v>
      </c>
      <c r="B1126" t="s">
        <v>140</v>
      </c>
      <c r="C1126" t="s">
        <v>141</v>
      </c>
      <c r="D1126" t="s">
        <v>142</v>
      </c>
      <c r="E1126" t="s">
        <v>32</v>
      </c>
      <c r="F1126" t="s">
        <v>25</v>
      </c>
      <c r="G1126" s="1">
        <v>569</v>
      </c>
      <c r="H1126" t="s">
        <v>34</v>
      </c>
      <c r="I1126" s="2">
        <v>43799</v>
      </c>
      <c r="J1126" t="s">
        <v>115</v>
      </c>
      <c r="K1126" t="s">
        <v>143</v>
      </c>
      <c r="L1126">
        <v>33129</v>
      </c>
      <c r="M1126" t="s">
        <v>21</v>
      </c>
      <c r="N1126" t="str">
        <f>VLOOKUP(A1126, Data_Set_2!$A:$D,2,FALSE)</f>
        <v>jricemn</v>
      </c>
      <c r="O1126" t="str">
        <f>VLOOKUP(A1126, Data_Set_2!$A:$D,3,FALSE)</f>
        <v>Riffpath</v>
      </c>
      <c r="P1126" t="str">
        <f>VLOOKUP(A1126, Data_Set_2!$A:$D,4,FALSE)</f>
        <v>Editor</v>
      </c>
      <c r="Q1126" t="str">
        <f>_xlfn.CONCAT(Table3[[#This Row],[first_name]], " ",Table3[[#This Row],[last_name]])</f>
        <v>Jessica Rice</v>
      </c>
    </row>
    <row r="1127" spans="1:17" hidden="1" x14ac:dyDescent="0.3">
      <c r="A1127">
        <v>816</v>
      </c>
      <c r="B1127" t="s">
        <v>140</v>
      </c>
      <c r="C1127" t="s">
        <v>141</v>
      </c>
      <c r="D1127" t="s">
        <v>142</v>
      </c>
      <c r="E1127" t="s">
        <v>32</v>
      </c>
      <c r="F1127" t="s">
        <v>25</v>
      </c>
      <c r="G1127" s="1">
        <v>890</v>
      </c>
      <c r="H1127" t="s">
        <v>34</v>
      </c>
      <c r="I1127" s="2">
        <v>43937</v>
      </c>
      <c r="J1127" t="s">
        <v>115</v>
      </c>
      <c r="K1127" t="s">
        <v>143</v>
      </c>
      <c r="L1127">
        <v>33129</v>
      </c>
      <c r="M1127" t="s">
        <v>21</v>
      </c>
      <c r="N1127" t="str">
        <f>VLOOKUP(A1127, Data_Set_2!$A:$D,2,FALSE)</f>
        <v>jricemn</v>
      </c>
      <c r="O1127" t="str">
        <f>VLOOKUP(A1127, Data_Set_2!$A:$D,3,FALSE)</f>
        <v>Riffpath</v>
      </c>
      <c r="P1127" t="str">
        <f>VLOOKUP(A1127, Data_Set_2!$A:$D,4,FALSE)</f>
        <v>Editor</v>
      </c>
      <c r="Q1127" t="str">
        <f>_xlfn.CONCAT(Table3[[#This Row],[first_name]], " ",Table3[[#This Row],[last_name]])</f>
        <v>Jessica Rice</v>
      </c>
    </row>
    <row r="1128" spans="1:17" hidden="1" x14ac:dyDescent="0.3">
      <c r="A1128">
        <v>816</v>
      </c>
      <c r="B1128" t="s">
        <v>140</v>
      </c>
      <c r="C1128" t="s">
        <v>141</v>
      </c>
      <c r="D1128" t="s">
        <v>142</v>
      </c>
      <c r="E1128" t="s">
        <v>32</v>
      </c>
      <c r="F1128" t="s">
        <v>25</v>
      </c>
      <c r="G1128" s="1">
        <v>376</v>
      </c>
      <c r="H1128" t="s">
        <v>34</v>
      </c>
      <c r="I1128" s="2">
        <v>43992</v>
      </c>
      <c r="J1128" t="s">
        <v>115</v>
      </c>
      <c r="K1128" t="s">
        <v>143</v>
      </c>
      <c r="L1128">
        <v>33129</v>
      </c>
      <c r="M1128" t="s">
        <v>21</v>
      </c>
      <c r="N1128" t="str">
        <f>VLOOKUP(A1128, Data_Set_2!$A:$D,2,FALSE)</f>
        <v>jricemn</v>
      </c>
      <c r="O1128" t="str">
        <f>VLOOKUP(A1128, Data_Set_2!$A:$D,3,FALSE)</f>
        <v>Riffpath</v>
      </c>
      <c r="P1128" t="str">
        <f>VLOOKUP(A1128, Data_Set_2!$A:$D,4,FALSE)</f>
        <v>Editor</v>
      </c>
      <c r="Q1128" t="str">
        <f>_xlfn.CONCAT(Table3[[#This Row],[first_name]], " ",Table3[[#This Row],[last_name]])</f>
        <v>Jessica Rice</v>
      </c>
    </row>
    <row r="1129" spans="1:17" hidden="1" x14ac:dyDescent="0.3">
      <c r="A1129">
        <v>816</v>
      </c>
      <c r="B1129" t="s">
        <v>140</v>
      </c>
      <c r="C1129" t="s">
        <v>141</v>
      </c>
      <c r="D1129" t="s">
        <v>142</v>
      </c>
      <c r="E1129" t="s">
        <v>32</v>
      </c>
      <c r="F1129" t="s">
        <v>25</v>
      </c>
      <c r="G1129" s="1">
        <v>972</v>
      </c>
      <c r="H1129" t="s">
        <v>34</v>
      </c>
      <c r="I1129" s="2">
        <v>43997</v>
      </c>
      <c r="J1129" t="s">
        <v>115</v>
      </c>
      <c r="K1129" t="s">
        <v>143</v>
      </c>
      <c r="L1129">
        <v>33129</v>
      </c>
      <c r="M1129" t="s">
        <v>21</v>
      </c>
      <c r="N1129" t="str">
        <f>VLOOKUP(A1129, Data_Set_2!$A:$D,2,FALSE)</f>
        <v>jricemn</v>
      </c>
      <c r="O1129" t="str">
        <f>VLOOKUP(A1129, Data_Set_2!$A:$D,3,FALSE)</f>
        <v>Riffpath</v>
      </c>
      <c r="P1129" t="str">
        <f>VLOOKUP(A1129, Data_Set_2!$A:$D,4,FALSE)</f>
        <v>Editor</v>
      </c>
      <c r="Q1129" t="str">
        <f>_xlfn.CONCAT(Table3[[#This Row],[first_name]], " ",Table3[[#This Row],[last_name]])</f>
        <v>Jessica Rice</v>
      </c>
    </row>
    <row r="1130" spans="1:17" hidden="1" x14ac:dyDescent="0.3">
      <c r="A1130">
        <v>816</v>
      </c>
      <c r="B1130" t="s">
        <v>140</v>
      </c>
      <c r="C1130" t="s">
        <v>141</v>
      </c>
      <c r="D1130" t="s">
        <v>142</v>
      </c>
      <c r="E1130" t="s">
        <v>32</v>
      </c>
      <c r="F1130" t="s">
        <v>25</v>
      </c>
      <c r="G1130" s="1">
        <v>183</v>
      </c>
      <c r="H1130" t="s">
        <v>34</v>
      </c>
      <c r="I1130" s="2">
        <v>44106</v>
      </c>
      <c r="J1130" t="s">
        <v>115</v>
      </c>
      <c r="K1130" t="s">
        <v>143</v>
      </c>
      <c r="L1130">
        <v>33129</v>
      </c>
      <c r="M1130" t="s">
        <v>21</v>
      </c>
      <c r="N1130" t="str">
        <f>VLOOKUP(A1130, Data_Set_2!$A:$D,2,FALSE)</f>
        <v>jricemn</v>
      </c>
      <c r="O1130" t="str">
        <f>VLOOKUP(A1130, Data_Set_2!$A:$D,3,FALSE)</f>
        <v>Riffpath</v>
      </c>
      <c r="P1130" t="str">
        <f>VLOOKUP(A1130, Data_Set_2!$A:$D,4,FALSE)</f>
        <v>Editor</v>
      </c>
      <c r="Q1130" t="str">
        <f>_xlfn.CONCAT(Table3[[#This Row],[first_name]], " ",Table3[[#This Row],[last_name]])</f>
        <v>Jessica Rice</v>
      </c>
    </row>
    <row r="1131" spans="1:17" hidden="1" x14ac:dyDescent="0.3">
      <c r="A1131">
        <v>816</v>
      </c>
      <c r="B1131" t="s">
        <v>140</v>
      </c>
      <c r="C1131" t="s">
        <v>141</v>
      </c>
      <c r="D1131" t="s">
        <v>142</v>
      </c>
      <c r="E1131" t="s">
        <v>32</v>
      </c>
      <c r="F1131" t="s">
        <v>25</v>
      </c>
      <c r="G1131" s="1">
        <v>498</v>
      </c>
      <c r="H1131" t="s">
        <v>34</v>
      </c>
      <c r="I1131" s="2">
        <v>44363</v>
      </c>
      <c r="J1131" t="s">
        <v>115</v>
      </c>
      <c r="K1131" t="s">
        <v>143</v>
      </c>
      <c r="L1131">
        <v>33129</v>
      </c>
      <c r="M1131" t="s">
        <v>21</v>
      </c>
      <c r="N1131" t="str">
        <f>VLOOKUP(A1131, Data_Set_2!$A:$D,2,FALSE)</f>
        <v>jricemn</v>
      </c>
      <c r="O1131" t="str">
        <f>VLOOKUP(A1131, Data_Set_2!$A:$D,3,FALSE)</f>
        <v>Riffpath</v>
      </c>
      <c r="P1131" t="str">
        <f>VLOOKUP(A1131, Data_Set_2!$A:$D,4,FALSE)</f>
        <v>Editor</v>
      </c>
      <c r="Q1131" t="str">
        <f>_xlfn.CONCAT(Table3[[#This Row],[first_name]], " ",Table3[[#This Row],[last_name]])</f>
        <v>Jessica Rice</v>
      </c>
    </row>
    <row r="1132" spans="1:17" hidden="1" x14ac:dyDescent="0.3">
      <c r="A1132">
        <v>816</v>
      </c>
      <c r="B1132" t="s">
        <v>140</v>
      </c>
      <c r="C1132" t="s">
        <v>141</v>
      </c>
      <c r="D1132" t="s">
        <v>142</v>
      </c>
      <c r="E1132" t="s">
        <v>32</v>
      </c>
      <c r="F1132" t="s">
        <v>25</v>
      </c>
      <c r="G1132" s="1">
        <v>389</v>
      </c>
      <c r="H1132" t="s">
        <v>34</v>
      </c>
      <c r="I1132" s="2">
        <v>44745</v>
      </c>
      <c r="J1132" t="s">
        <v>115</v>
      </c>
      <c r="K1132" t="s">
        <v>143</v>
      </c>
      <c r="L1132">
        <v>33129</v>
      </c>
      <c r="M1132" t="s">
        <v>21</v>
      </c>
      <c r="N1132" t="str">
        <f>VLOOKUP(A1132, Data_Set_2!$A:$D,2,FALSE)</f>
        <v>jricemn</v>
      </c>
      <c r="O1132" t="str">
        <f>VLOOKUP(A1132, Data_Set_2!$A:$D,3,FALSE)</f>
        <v>Riffpath</v>
      </c>
      <c r="P1132" t="str">
        <f>VLOOKUP(A1132, Data_Set_2!$A:$D,4,FALSE)</f>
        <v>Editor</v>
      </c>
      <c r="Q1132" t="str">
        <f>_xlfn.CONCAT(Table3[[#This Row],[first_name]], " ",Table3[[#This Row],[last_name]])</f>
        <v>Jessica Rice</v>
      </c>
    </row>
    <row r="1133" spans="1:17" hidden="1" x14ac:dyDescent="0.3">
      <c r="A1133">
        <v>816</v>
      </c>
      <c r="B1133" t="s">
        <v>140</v>
      </c>
      <c r="C1133" t="s">
        <v>141</v>
      </c>
      <c r="D1133" t="s">
        <v>142</v>
      </c>
      <c r="E1133" t="s">
        <v>32</v>
      </c>
      <c r="F1133" t="s">
        <v>25</v>
      </c>
      <c r="G1133" s="1">
        <v>700</v>
      </c>
      <c r="H1133" t="s">
        <v>34</v>
      </c>
      <c r="I1133" s="2">
        <v>44818</v>
      </c>
      <c r="J1133" t="s">
        <v>115</v>
      </c>
      <c r="K1133" t="s">
        <v>143</v>
      </c>
      <c r="L1133">
        <v>33129</v>
      </c>
      <c r="M1133" t="s">
        <v>21</v>
      </c>
      <c r="N1133" t="str">
        <f>VLOOKUP(A1133, Data_Set_2!$A:$D,2,FALSE)</f>
        <v>jricemn</v>
      </c>
      <c r="O1133" t="str">
        <f>VLOOKUP(A1133, Data_Set_2!$A:$D,3,FALSE)</f>
        <v>Riffpath</v>
      </c>
      <c r="P1133" t="str">
        <f>VLOOKUP(A1133, Data_Set_2!$A:$D,4,FALSE)</f>
        <v>Editor</v>
      </c>
      <c r="Q1133" t="str">
        <f>_xlfn.CONCAT(Table3[[#This Row],[first_name]], " ",Table3[[#This Row],[last_name]])</f>
        <v>Jessica Rice</v>
      </c>
    </row>
    <row r="1134" spans="1:17" hidden="1" x14ac:dyDescent="0.3">
      <c r="A1134">
        <v>816</v>
      </c>
      <c r="B1134" t="s">
        <v>140</v>
      </c>
      <c r="C1134" t="s">
        <v>141</v>
      </c>
      <c r="D1134" t="s">
        <v>142</v>
      </c>
      <c r="E1134" t="s">
        <v>32</v>
      </c>
      <c r="F1134" t="s">
        <v>25</v>
      </c>
      <c r="G1134" s="1">
        <v>590</v>
      </c>
      <c r="H1134" t="s">
        <v>34</v>
      </c>
      <c r="I1134" s="2">
        <v>44911</v>
      </c>
      <c r="J1134" t="s">
        <v>115</v>
      </c>
      <c r="K1134" t="s">
        <v>143</v>
      </c>
      <c r="L1134">
        <v>33129</v>
      </c>
      <c r="M1134" t="s">
        <v>21</v>
      </c>
      <c r="N1134" t="str">
        <f>VLOOKUP(A1134, Data_Set_2!$A:$D,2,FALSE)</f>
        <v>jricemn</v>
      </c>
      <c r="O1134" t="str">
        <f>VLOOKUP(A1134, Data_Set_2!$A:$D,3,FALSE)</f>
        <v>Riffpath</v>
      </c>
      <c r="P1134" t="str">
        <f>VLOOKUP(A1134, Data_Set_2!$A:$D,4,FALSE)</f>
        <v>Editor</v>
      </c>
      <c r="Q1134" t="str">
        <f>_xlfn.CONCAT(Table3[[#This Row],[first_name]], " ",Table3[[#This Row],[last_name]])</f>
        <v>Jessica Rice</v>
      </c>
    </row>
    <row r="1135" spans="1:17" hidden="1" x14ac:dyDescent="0.3">
      <c r="A1135">
        <v>817</v>
      </c>
      <c r="B1135" t="s">
        <v>389</v>
      </c>
      <c r="C1135" t="s">
        <v>840</v>
      </c>
      <c r="D1135" t="s">
        <v>841</v>
      </c>
      <c r="E1135" t="s">
        <v>32</v>
      </c>
      <c r="F1135" t="s">
        <v>33</v>
      </c>
      <c r="G1135" s="1">
        <v>469</v>
      </c>
      <c r="H1135" t="s">
        <v>26</v>
      </c>
      <c r="I1135" s="2">
        <v>43843</v>
      </c>
      <c r="J1135" t="s">
        <v>842</v>
      </c>
      <c r="K1135" t="s">
        <v>843</v>
      </c>
      <c r="L1135">
        <v>58505</v>
      </c>
      <c r="M1135" t="s">
        <v>21</v>
      </c>
      <c r="N1135" t="str">
        <f>VLOOKUP(A1135, Data_Set_2!$A:$D,2,FALSE)</f>
        <v>iwilsonmo</v>
      </c>
      <c r="O1135" t="str">
        <f>VLOOKUP(A1135, Data_Set_2!$A:$D,3,FALSE)</f>
        <v>Yakidoo</v>
      </c>
      <c r="P1135" t="str">
        <f>VLOOKUP(A1135, Data_Set_2!$A:$D,4,FALSE)</f>
        <v>Graphic Designer</v>
      </c>
      <c r="Q1135" t="str">
        <f>_xlfn.CONCAT(Table3[[#This Row],[first_name]], " ",Table3[[#This Row],[last_name]])</f>
        <v>Irene Wilson</v>
      </c>
    </row>
    <row r="1136" spans="1:17" hidden="1" x14ac:dyDescent="0.3">
      <c r="A1136">
        <v>818</v>
      </c>
      <c r="B1136" t="s">
        <v>999</v>
      </c>
      <c r="C1136" t="s">
        <v>1000</v>
      </c>
      <c r="D1136" t="s">
        <v>1001</v>
      </c>
      <c r="E1136" t="s">
        <v>32</v>
      </c>
      <c r="F1136" t="s">
        <v>17</v>
      </c>
      <c r="G1136" s="1">
        <v>221</v>
      </c>
      <c r="H1136" t="s">
        <v>26</v>
      </c>
      <c r="I1136" s="2">
        <v>44212</v>
      </c>
      <c r="J1136" t="s">
        <v>74</v>
      </c>
      <c r="K1136" t="s">
        <v>720</v>
      </c>
      <c r="L1136">
        <v>31704</v>
      </c>
      <c r="M1136" t="s">
        <v>21</v>
      </c>
      <c r="N1136" t="str">
        <f>VLOOKUP(A1136, Data_Set_2!$A:$D,2,FALSE)</f>
        <v>areyesmp</v>
      </c>
      <c r="O1136" t="str">
        <f>VLOOKUP(A1136, Data_Set_2!$A:$D,3,FALSE)</f>
        <v>Ntag</v>
      </c>
      <c r="P1136" t="str">
        <f>VLOOKUP(A1136, Data_Set_2!$A:$D,4,FALSE)</f>
        <v>Business Systems Development Analyst</v>
      </c>
      <c r="Q1136" t="str">
        <f>_xlfn.CONCAT(Table3[[#This Row],[first_name]], " ",Table3[[#This Row],[last_name]])</f>
        <v>Annie Reyes</v>
      </c>
    </row>
    <row r="1137" spans="1:17" hidden="1" x14ac:dyDescent="0.3">
      <c r="A1137">
        <v>819</v>
      </c>
      <c r="B1137" t="s">
        <v>584</v>
      </c>
      <c r="C1137" t="s">
        <v>507</v>
      </c>
      <c r="D1137" t="s">
        <v>585</v>
      </c>
      <c r="E1137" t="s">
        <v>32</v>
      </c>
      <c r="F1137" t="s">
        <v>33</v>
      </c>
      <c r="G1137" s="1">
        <v>96</v>
      </c>
      <c r="H1137" t="s">
        <v>4034</v>
      </c>
      <c r="I1137" s="2">
        <v>43486</v>
      </c>
      <c r="J1137" t="s">
        <v>125</v>
      </c>
      <c r="K1137" t="s">
        <v>586</v>
      </c>
      <c r="L1137">
        <v>64504</v>
      </c>
      <c r="M1137" t="s">
        <v>21</v>
      </c>
      <c r="N1137" t="str">
        <f>VLOOKUP(A1137, Data_Set_2!$A:$D,2,FALSE)</f>
        <v>scastillomq</v>
      </c>
      <c r="O1137" t="str">
        <f>VLOOKUP(A1137, Data_Set_2!$A:$D,3,FALSE)</f>
        <v>Meembee</v>
      </c>
      <c r="P1137" t="str">
        <f>VLOOKUP(A1137, Data_Set_2!$A:$D,4,FALSE)</f>
        <v>VP Quality Control</v>
      </c>
      <c r="Q1137" t="str">
        <f>_xlfn.CONCAT(Table3[[#This Row],[first_name]], " ",Table3[[#This Row],[last_name]])</f>
        <v>Stephanie Castillo</v>
      </c>
    </row>
    <row r="1138" spans="1:17" hidden="1" x14ac:dyDescent="0.3">
      <c r="A1138">
        <v>820</v>
      </c>
      <c r="B1138" t="s">
        <v>909</v>
      </c>
      <c r="C1138" t="s">
        <v>741</v>
      </c>
      <c r="D1138" t="s">
        <v>1019</v>
      </c>
      <c r="E1138" t="s">
        <v>32</v>
      </c>
      <c r="F1138" t="s">
        <v>33</v>
      </c>
      <c r="G1138" s="1">
        <v>694</v>
      </c>
      <c r="H1138" t="s">
        <v>26</v>
      </c>
      <c r="I1138" s="2">
        <v>44266</v>
      </c>
      <c r="J1138" t="s">
        <v>68</v>
      </c>
      <c r="K1138" t="s">
        <v>234</v>
      </c>
      <c r="L1138">
        <v>77015</v>
      </c>
      <c r="M1138" t="s">
        <v>21</v>
      </c>
      <c r="N1138" t="str">
        <f>VLOOKUP(A1138, Data_Set_2!$A:$D,2,FALSE)</f>
        <v>mbowmanmr</v>
      </c>
      <c r="O1138" t="str">
        <f>VLOOKUP(A1138, Data_Set_2!$A:$D,3,FALSE)</f>
        <v>Wordware</v>
      </c>
      <c r="P1138" t="str">
        <f>VLOOKUP(A1138, Data_Set_2!$A:$D,4,FALSE)</f>
        <v>Geologist IV</v>
      </c>
      <c r="Q1138" t="str">
        <f>_xlfn.CONCAT(Table3[[#This Row],[first_name]], " ",Table3[[#This Row],[last_name]])</f>
        <v>Maria Bowman</v>
      </c>
    </row>
    <row r="1139" spans="1:17" hidden="1" x14ac:dyDescent="0.3">
      <c r="A1139">
        <v>821</v>
      </c>
      <c r="B1139" t="s">
        <v>851</v>
      </c>
      <c r="C1139" t="s">
        <v>500</v>
      </c>
      <c r="D1139" t="s">
        <v>1168</v>
      </c>
      <c r="E1139" t="s">
        <v>16</v>
      </c>
      <c r="F1139" t="s">
        <v>17</v>
      </c>
      <c r="G1139" s="1">
        <v>299</v>
      </c>
      <c r="H1139" t="s">
        <v>26</v>
      </c>
      <c r="I1139" s="2">
        <v>44658</v>
      </c>
      <c r="J1139" t="s">
        <v>254</v>
      </c>
      <c r="K1139" t="s">
        <v>1169</v>
      </c>
      <c r="L1139">
        <v>52405</v>
      </c>
      <c r="M1139" t="s">
        <v>21</v>
      </c>
      <c r="N1139" t="str">
        <f>VLOOKUP(A1139, Data_Set_2!$A:$D,2,FALSE)</f>
        <v>kramirezms</v>
      </c>
      <c r="O1139" t="str">
        <f>VLOOKUP(A1139, Data_Set_2!$A:$D,3,FALSE)</f>
        <v>Quaxo</v>
      </c>
      <c r="P1139" t="str">
        <f>VLOOKUP(A1139, Data_Set_2!$A:$D,4,FALSE)</f>
        <v>Environmental Tech</v>
      </c>
      <c r="Q1139" t="str">
        <f>_xlfn.CONCAT(Table3[[#This Row],[first_name]], " ",Table3[[#This Row],[last_name]])</f>
        <v>Keith Ramirez</v>
      </c>
    </row>
    <row r="1140" spans="1:17" hidden="1" x14ac:dyDescent="0.3">
      <c r="A1140">
        <v>825</v>
      </c>
      <c r="B1140" t="s">
        <v>621</v>
      </c>
      <c r="C1140" t="s">
        <v>353</v>
      </c>
      <c r="D1140" t="s">
        <v>829</v>
      </c>
      <c r="E1140" t="s">
        <v>16</v>
      </c>
      <c r="F1140" t="s">
        <v>33</v>
      </c>
      <c r="G1140" s="1">
        <v>864</v>
      </c>
      <c r="H1140" t="s">
        <v>26</v>
      </c>
      <c r="I1140" s="2">
        <v>43826</v>
      </c>
      <c r="J1140" t="s">
        <v>524</v>
      </c>
      <c r="K1140" t="s">
        <v>815</v>
      </c>
      <c r="L1140">
        <v>35231</v>
      </c>
      <c r="M1140" t="s">
        <v>21</v>
      </c>
      <c r="N1140" t="str">
        <f>VLOOKUP(A1140, Data_Set_2!$A:$D,2,FALSE)</f>
        <v>ffowlermw</v>
      </c>
      <c r="O1140" t="str">
        <f>VLOOKUP(A1140, Data_Set_2!$A:$D,3,FALSE)</f>
        <v>Layo</v>
      </c>
      <c r="P1140" t="str">
        <f>VLOOKUP(A1140, Data_Set_2!$A:$D,4,FALSE)</f>
        <v>Teacher</v>
      </c>
      <c r="Q1140" t="str">
        <f>_xlfn.CONCAT(Table3[[#This Row],[first_name]], " ",Table3[[#This Row],[last_name]])</f>
        <v>Frank Fowler</v>
      </c>
    </row>
    <row r="1141" spans="1:17" hidden="1" x14ac:dyDescent="0.3">
      <c r="A1141">
        <v>826</v>
      </c>
      <c r="B1141" t="s">
        <v>154</v>
      </c>
      <c r="C1141" t="s">
        <v>669</v>
      </c>
      <c r="D1141" t="s">
        <v>985</v>
      </c>
      <c r="E1141" t="s">
        <v>16</v>
      </c>
      <c r="F1141" t="s">
        <v>33</v>
      </c>
      <c r="G1141" s="1">
        <v>665</v>
      </c>
      <c r="H1141" t="s">
        <v>18</v>
      </c>
      <c r="I1141" s="2">
        <v>44182</v>
      </c>
      <c r="J1141" t="s">
        <v>696</v>
      </c>
      <c r="K1141" t="s">
        <v>697</v>
      </c>
      <c r="L1141">
        <v>72199</v>
      </c>
      <c r="M1141" t="s">
        <v>21</v>
      </c>
      <c r="N1141" t="str">
        <f>VLOOKUP(A1141, Data_Set_2!$A:$D,2,FALSE)</f>
        <v>wowensmx</v>
      </c>
      <c r="O1141" t="str">
        <f>VLOOKUP(A1141, Data_Set_2!$A:$D,3,FALSE)</f>
        <v>Edgewire</v>
      </c>
      <c r="P1141" t="str">
        <f>VLOOKUP(A1141, Data_Set_2!$A:$D,4,FALSE)</f>
        <v>Director of Sales</v>
      </c>
      <c r="Q1141" t="str">
        <f>_xlfn.CONCAT(Table3[[#This Row],[first_name]], " ",Table3[[#This Row],[last_name]])</f>
        <v>Wayne Owens</v>
      </c>
    </row>
    <row r="1142" spans="1:17" hidden="1" x14ac:dyDescent="0.3">
      <c r="A1142">
        <v>827</v>
      </c>
      <c r="B1142" t="s">
        <v>293</v>
      </c>
      <c r="C1142" t="s">
        <v>519</v>
      </c>
      <c r="D1142" t="s">
        <v>520</v>
      </c>
      <c r="E1142" t="s">
        <v>16</v>
      </c>
      <c r="F1142" t="s">
        <v>33</v>
      </c>
      <c r="G1142" s="1">
        <v>860</v>
      </c>
      <c r="H1142" t="s">
        <v>26</v>
      </c>
      <c r="I1142" s="2">
        <v>43406</v>
      </c>
      <c r="J1142" t="s">
        <v>393</v>
      </c>
      <c r="K1142" t="s">
        <v>521</v>
      </c>
      <c r="L1142">
        <v>37416</v>
      </c>
      <c r="M1142" t="s">
        <v>21</v>
      </c>
      <c r="N1142" t="str">
        <f>VLOOKUP(A1142, Data_Set_2!$A:$D,2,FALSE)</f>
        <v>tbutlermy</v>
      </c>
      <c r="O1142" t="str">
        <f>VLOOKUP(A1142, Data_Set_2!$A:$D,3,FALSE)</f>
        <v>Divavu</v>
      </c>
      <c r="P1142" t="str">
        <f>VLOOKUP(A1142, Data_Set_2!$A:$D,4,FALSE)</f>
        <v>Research Nurse</v>
      </c>
      <c r="Q1142" t="str">
        <f>_xlfn.CONCAT(Table3[[#This Row],[first_name]], " ",Table3[[#This Row],[last_name]])</f>
        <v>Thomas Butler</v>
      </c>
    </row>
    <row r="1143" spans="1:17" hidden="1" x14ac:dyDescent="0.3">
      <c r="A1143">
        <v>828</v>
      </c>
      <c r="B1143" t="s">
        <v>460</v>
      </c>
      <c r="C1143" t="s">
        <v>461</v>
      </c>
      <c r="D1143" t="s">
        <v>462</v>
      </c>
      <c r="E1143" t="s">
        <v>32</v>
      </c>
      <c r="F1143" t="s">
        <v>179</v>
      </c>
      <c r="G1143" s="1">
        <v>928</v>
      </c>
      <c r="H1143" t="s">
        <v>34</v>
      </c>
      <c r="I1143" s="2">
        <v>43341</v>
      </c>
      <c r="J1143" t="s">
        <v>68</v>
      </c>
      <c r="K1143" t="s">
        <v>463</v>
      </c>
      <c r="L1143">
        <v>79764</v>
      </c>
      <c r="M1143" t="s">
        <v>21</v>
      </c>
      <c r="N1143" t="str">
        <f>VLOOKUP(A1143, Data_Set_2!$A:$D,2,FALSE)</f>
        <v>llynchmz</v>
      </c>
      <c r="O1143" t="str">
        <f>VLOOKUP(A1143, Data_Set_2!$A:$D,3,FALSE)</f>
        <v>Oyoba</v>
      </c>
      <c r="P1143" t="str">
        <f>VLOOKUP(A1143, Data_Set_2!$A:$D,4,FALSE)</f>
        <v>Recruiting Manager</v>
      </c>
      <c r="Q1143" t="str">
        <f>_xlfn.CONCAT(Table3[[#This Row],[first_name]], " ",Table3[[#This Row],[last_name]])</f>
        <v>Lillian Lynch</v>
      </c>
    </row>
    <row r="1144" spans="1:17" hidden="1" x14ac:dyDescent="0.3">
      <c r="A1144">
        <v>829</v>
      </c>
      <c r="B1144" t="s">
        <v>597</v>
      </c>
      <c r="C1144" t="s">
        <v>934</v>
      </c>
      <c r="D1144" t="s">
        <v>1156</v>
      </c>
      <c r="E1144" t="s">
        <v>32</v>
      </c>
      <c r="F1144" t="s">
        <v>33</v>
      </c>
      <c r="G1144" s="1">
        <v>987</v>
      </c>
      <c r="H1144" t="s">
        <v>26</v>
      </c>
      <c r="I1144" s="2">
        <v>44624</v>
      </c>
      <c r="J1144" t="s">
        <v>254</v>
      </c>
      <c r="K1144" t="s">
        <v>1157</v>
      </c>
      <c r="L1144">
        <v>52804</v>
      </c>
      <c r="M1144" t="s">
        <v>21</v>
      </c>
      <c r="N1144" t="str">
        <f>VLOOKUP(A1144, Data_Set_2!$A:$D,2,FALSE)</f>
        <v>cmartinezn0</v>
      </c>
      <c r="O1144" t="str">
        <f>VLOOKUP(A1144, Data_Set_2!$A:$D,3,FALSE)</f>
        <v>Dabtype</v>
      </c>
      <c r="P1144" t="str">
        <f>VLOOKUP(A1144, Data_Set_2!$A:$D,4,FALSE)</f>
        <v>Statistician I</v>
      </c>
      <c r="Q1144" t="str">
        <f>_xlfn.CONCAT(Table3[[#This Row],[first_name]], " ",Table3[[#This Row],[last_name]])</f>
        <v>Carolyn Martinez</v>
      </c>
    </row>
    <row r="1145" spans="1:17" hidden="1" x14ac:dyDescent="0.3">
      <c r="A1145">
        <v>830</v>
      </c>
      <c r="B1145" t="s">
        <v>144</v>
      </c>
      <c r="C1145" t="s">
        <v>145</v>
      </c>
      <c r="D1145" t="s">
        <v>146</v>
      </c>
      <c r="E1145" t="s">
        <v>32</v>
      </c>
      <c r="F1145" t="s">
        <v>33</v>
      </c>
      <c r="G1145" s="1">
        <v>486</v>
      </c>
      <c r="H1145" t="s">
        <v>34</v>
      </c>
      <c r="I1145" s="2">
        <v>43141</v>
      </c>
      <c r="J1145" t="s">
        <v>147</v>
      </c>
      <c r="K1145" t="s">
        <v>148</v>
      </c>
      <c r="L1145">
        <v>54305</v>
      </c>
      <c r="M1145" t="s">
        <v>21</v>
      </c>
      <c r="N1145" t="str">
        <f>VLOOKUP(A1145, Data_Set_2!$A:$D,2,FALSE)</f>
        <v>njacksonn1</v>
      </c>
      <c r="O1145" t="str">
        <f>VLOOKUP(A1145, Data_Set_2!$A:$D,3,FALSE)</f>
        <v>Browsebug</v>
      </c>
      <c r="P1145" t="str">
        <f>VLOOKUP(A1145, Data_Set_2!$A:$D,4,FALSE)</f>
        <v>Occupational Therapist</v>
      </c>
      <c r="Q1145" t="str">
        <f>_xlfn.CONCAT(Table3[[#This Row],[first_name]], " ",Table3[[#This Row],[last_name]])</f>
        <v>Nicole Jackson</v>
      </c>
    </row>
    <row r="1146" spans="1:17" hidden="1" x14ac:dyDescent="0.3">
      <c r="A1146">
        <v>833</v>
      </c>
      <c r="B1146" t="s">
        <v>460</v>
      </c>
      <c r="C1146" t="s">
        <v>1022</v>
      </c>
      <c r="D1146" t="s">
        <v>1173</v>
      </c>
      <c r="E1146" t="s">
        <v>32</v>
      </c>
      <c r="F1146" t="s">
        <v>33</v>
      </c>
      <c r="G1146" s="1">
        <v>427</v>
      </c>
      <c r="H1146" t="s">
        <v>26</v>
      </c>
      <c r="I1146" s="2">
        <v>44664</v>
      </c>
      <c r="J1146" t="s">
        <v>204</v>
      </c>
      <c r="K1146" t="s">
        <v>242</v>
      </c>
      <c r="L1146">
        <v>23228</v>
      </c>
      <c r="M1146" t="s">
        <v>21</v>
      </c>
      <c r="N1146" t="str">
        <f>VLOOKUP(A1146, Data_Set_2!$A:$D,2,FALSE)</f>
        <v>lwatsonn4</v>
      </c>
      <c r="O1146" t="str">
        <f>VLOOKUP(A1146, Data_Set_2!$A:$D,3,FALSE)</f>
        <v>Skalith</v>
      </c>
      <c r="P1146" t="str">
        <f>VLOOKUP(A1146, Data_Set_2!$A:$D,4,FALSE)</f>
        <v>Sales Associate</v>
      </c>
      <c r="Q1146" t="str">
        <f>_xlfn.CONCAT(Table3[[#This Row],[first_name]], " ",Table3[[#This Row],[last_name]])</f>
        <v>Lillian Watson</v>
      </c>
    </row>
    <row r="1147" spans="1:17" hidden="1" x14ac:dyDescent="0.3">
      <c r="A1147">
        <v>834</v>
      </c>
      <c r="B1147" t="s">
        <v>356</v>
      </c>
      <c r="C1147" t="s">
        <v>556</v>
      </c>
      <c r="D1147" t="s">
        <v>1187</v>
      </c>
      <c r="E1147" t="s">
        <v>32</v>
      </c>
      <c r="F1147" t="s">
        <v>33</v>
      </c>
      <c r="G1147" s="1">
        <v>945</v>
      </c>
      <c r="H1147" t="s">
        <v>4037</v>
      </c>
      <c r="I1147" s="2">
        <v>44684</v>
      </c>
      <c r="J1147" t="s">
        <v>46</v>
      </c>
      <c r="K1147" t="s">
        <v>47</v>
      </c>
      <c r="L1147">
        <v>6145</v>
      </c>
      <c r="M1147" t="s">
        <v>21</v>
      </c>
      <c r="N1147" t="str">
        <f>VLOOKUP(A1147, Data_Set_2!$A:$D,2,FALSE)</f>
        <v>agutierrezn5</v>
      </c>
      <c r="O1147" t="str">
        <f>VLOOKUP(A1147, Data_Set_2!$A:$D,3,FALSE)</f>
        <v>Topicshots</v>
      </c>
      <c r="P1147" t="str">
        <f>VLOOKUP(A1147, Data_Set_2!$A:$D,4,FALSE)</f>
        <v>Database Administrator III</v>
      </c>
      <c r="Q1147" t="str">
        <f>_xlfn.CONCAT(Table3[[#This Row],[first_name]], " ",Table3[[#This Row],[last_name]])</f>
        <v>Ashley Gutierrez</v>
      </c>
    </row>
    <row r="1148" spans="1:17" hidden="1" x14ac:dyDescent="0.3">
      <c r="A1148">
        <v>835</v>
      </c>
      <c r="B1148" t="s">
        <v>130</v>
      </c>
      <c r="C1148" t="s">
        <v>906</v>
      </c>
      <c r="D1148" t="s">
        <v>1032</v>
      </c>
      <c r="E1148" t="s">
        <v>32</v>
      </c>
      <c r="F1148" t="s">
        <v>25</v>
      </c>
      <c r="G1148" s="1">
        <v>882</v>
      </c>
      <c r="H1148" t="s">
        <v>62</v>
      </c>
      <c r="I1148" s="2">
        <v>44297</v>
      </c>
      <c r="J1148" t="s">
        <v>96</v>
      </c>
      <c r="K1148" t="s">
        <v>1033</v>
      </c>
      <c r="L1148">
        <v>47134</v>
      </c>
      <c r="M1148" t="s">
        <v>21</v>
      </c>
      <c r="N1148" t="str">
        <f>VLOOKUP(A1148, Data_Set_2!$A:$D,2,FALSE)</f>
        <v>slewisn6</v>
      </c>
      <c r="O1148" t="str">
        <f>VLOOKUP(A1148, Data_Set_2!$A:$D,3,FALSE)</f>
        <v>Vitz</v>
      </c>
      <c r="P1148" t="str">
        <f>VLOOKUP(A1148, Data_Set_2!$A:$D,4,FALSE)</f>
        <v>Pharmacist</v>
      </c>
      <c r="Q1148" t="str">
        <f>_xlfn.CONCAT(Table3[[#This Row],[first_name]], " ",Table3[[#This Row],[last_name]])</f>
        <v>Susan Lewis</v>
      </c>
    </row>
    <row r="1149" spans="1:17" hidden="1" x14ac:dyDescent="0.3">
      <c r="A1149">
        <v>837</v>
      </c>
      <c r="B1149" t="s">
        <v>597</v>
      </c>
      <c r="C1149" t="s">
        <v>1006</v>
      </c>
      <c r="D1149" t="s">
        <v>1007</v>
      </c>
      <c r="E1149" t="s">
        <v>32</v>
      </c>
      <c r="F1149" t="s">
        <v>33</v>
      </c>
      <c r="G1149" s="1">
        <v>813</v>
      </c>
      <c r="H1149" t="s">
        <v>26</v>
      </c>
      <c r="I1149" s="2">
        <v>44228</v>
      </c>
      <c r="J1149" t="s">
        <v>115</v>
      </c>
      <c r="K1149" t="s">
        <v>686</v>
      </c>
      <c r="L1149">
        <v>33448</v>
      </c>
      <c r="M1149" t="s">
        <v>21</v>
      </c>
      <c r="N1149" t="str">
        <f>VLOOKUP(A1149, Data_Set_2!$A:$D,2,FALSE)</f>
        <v>cfergusonn8</v>
      </c>
      <c r="O1149" t="str">
        <f>VLOOKUP(A1149, Data_Set_2!$A:$D,3,FALSE)</f>
        <v>Jetwire</v>
      </c>
      <c r="P1149" t="str">
        <f>VLOOKUP(A1149, Data_Set_2!$A:$D,4,FALSE)</f>
        <v>Structural Analysis Engineer</v>
      </c>
      <c r="Q1149" t="str">
        <f>_xlfn.CONCAT(Table3[[#This Row],[first_name]], " ",Table3[[#This Row],[last_name]])</f>
        <v>Carolyn Ferguson</v>
      </c>
    </row>
    <row r="1150" spans="1:17" hidden="1" x14ac:dyDescent="0.3">
      <c r="A1150">
        <v>838</v>
      </c>
      <c r="B1150" t="s">
        <v>336</v>
      </c>
      <c r="C1150" t="s">
        <v>766</v>
      </c>
      <c r="D1150" t="s">
        <v>1003</v>
      </c>
      <c r="E1150" t="s">
        <v>16</v>
      </c>
      <c r="F1150" t="s">
        <v>17</v>
      </c>
      <c r="G1150" s="1">
        <v>775</v>
      </c>
      <c r="H1150" t="s">
        <v>26</v>
      </c>
      <c r="I1150" s="2">
        <v>44220</v>
      </c>
      <c r="J1150" t="s">
        <v>696</v>
      </c>
      <c r="K1150" t="s">
        <v>1004</v>
      </c>
      <c r="L1150">
        <v>72215</v>
      </c>
      <c r="M1150" t="s">
        <v>21</v>
      </c>
      <c r="N1150" t="str">
        <f>VLOOKUP(A1150, Data_Set_2!$A:$D,2,FALSE)</f>
        <v>rknightn9</v>
      </c>
      <c r="O1150" t="str">
        <f>VLOOKUP(A1150, Data_Set_2!$A:$D,3,FALSE)</f>
        <v>Gabcube</v>
      </c>
      <c r="P1150" t="str">
        <f>VLOOKUP(A1150, Data_Set_2!$A:$D,4,FALSE)</f>
        <v>Account Representative IV</v>
      </c>
      <c r="Q1150" t="str">
        <f>_xlfn.CONCAT(Table3[[#This Row],[first_name]], " ",Table3[[#This Row],[last_name]])</f>
        <v>Ronald Knight</v>
      </c>
    </row>
    <row r="1151" spans="1:17" hidden="1" x14ac:dyDescent="0.3">
      <c r="A1151">
        <v>839</v>
      </c>
      <c r="B1151" t="s">
        <v>769</v>
      </c>
      <c r="C1151" t="s">
        <v>363</v>
      </c>
      <c r="D1151" t="s">
        <v>770</v>
      </c>
      <c r="E1151" t="s">
        <v>16</v>
      </c>
      <c r="F1151" t="s">
        <v>51</v>
      </c>
      <c r="G1151" s="1">
        <v>975</v>
      </c>
      <c r="H1151" t="s">
        <v>26</v>
      </c>
      <c r="I1151" s="2">
        <v>43716</v>
      </c>
      <c r="J1151" t="s">
        <v>184</v>
      </c>
      <c r="K1151" t="s">
        <v>771</v>
      </c>
      <c r="L1151">
        <v>13224</v>
      </c>
      <c r="M1151" t="s">
        <v>21</v>
      </c>
      <c r="N1151" t="str">
        <f>VLOOKUP(A1151, Data_Set_2!$A:$D,2,FALSE)</f>
        <v>thowardna</v>
      </c>
      <c r="O1151" t="str">
        <f>VLOOKUP(A1151, Data_Set_2!$A:$D,3,FALSE)</f>
        <v>Linkbuzz</v>
      </c>
      <c r="P1151" t="str">
        <f>VLOOKUP(A1151, Data_Set_2!$A:$D,4,FALSE)</f>
        <v>Associate Professor</v>
      </c>
      <c r="Q1151" t="str">
        <f>_xlfn.CONCAT(Table3[[#This Row],[first_name]], " ",Table3[[#This Row],[last_name]])</f>
        <v>Todd Howard</v>
      </c>
    </row>
    <row r="1152" spans="1:17" hidden="1" x14ac:dyDescent="0.3">
      <c r="A1152">
        <v>841</v>
      </c>
      <c r="B1152" t="s">
        <v>333</v>
      </c>
      <c r="C1152" t="s">
        <v>468</v>
      </c>
      <c r="D1152" t="s">
        <v>878</v>
      </c>
      <c r="E1152" t="s">
        <v>32</v>
      </c>
      <c r="F1152" t="s">
        <v>33</v>
      </c>
      <c r="G1152" s="1">
        <v>179</v>
      </c>
      <c r="H1152" t="s">
        <v>4037</v>
      </c>
      <c r="I1152" s="2">
        <v>43928</v>
      </c>
      <c r="J1152" t="s">
        <v>27</v>
      </c>
      <c r="K1152" t="s">
        <v>28</v>
      </c>
      <c r="L1152">
        <v>80291</v>
      </c>
      <c r="M1152" t="s">
        <v>21</v>
      </c>
      <c r="N1152" t="str">
        <f>VLOOKUP(A1152, Data_Set_2!$A:$D,2,FALSE)</f>
        <v>cbishopnc</v>
      </c>
      <c r="O1152" t="str">
        <f>VLOOKUP(A1152, Data_Set_2!$A:$D,3,FALSE)</f>
        <v>Roodel</v>
      </c>
      <c r="P1152" t="str">
        <f>VLOOKUP(A1152, Data_Set_2!$A:$D,4,FALSE)</f>
        <v>Human Resources Assistant II</v>
      </c>
      <c r="Q1152" t="str">
        <f>_xlfn.CONCAT(Table3[[#This Row],[first_name]], " ",Table3[[#This Row],[last_name]])</f>
        <v>Carol Bishop</v>
      </c>
    </row>
    <row r="1153" spans="1:17" hidden="1" x14ac:dyDescent="0.3">
      <c r="A1153">
        <v>842</v>
      </c>
      <c r="B1153" t="s">
        <v>117</v>
      </c>
      <c r="C1153" t="s">
        <v>800</v>
      </c>
      <c r="D1153" t="s">
        <v>1082</v>
      </c>
      <c r="E1153" t="s">
        <v>32</v>
      </c>
      <c r="F1153" t="s">
        <v>33</v>
      </c>
      <c r="G1153" s="1">
        <v>201</v>
      </c>
      <c r="H1153" t="s">
        <v>26</v>
      </c>
      <c r="I1153" s="2">
        <v>44428</v>
      </c>
      <c r="J1153" t="s">
        <v>115</v>
      </c>
      <c r="K1153" t="s">
        <v>546</v>
      </c>
      <c r="L1153">
        <v>33028</v>
      </c>
      <c r="M1153" t="s">
        <v>21</v>
      </c>
      <c r="N1153" t="str">
        <f>VLOOKUP(A1153, Data_Set_2!$A:$D,2,FALSE)</f>
        <v>lcoxnd</v>
      </c>
      <c r="O1153" t="str">
        <f>VLOOKUP(A1153, Data_Set_2!$A:$D,3,FALSE)</f>
        <v>Rhyzio</v>
      </c>
      <c r="P1153" t="str">
        <f>VLOOKUP(A1153, Data_Set_2!$A:$D,4,FALSE)</f>
        <v>Senior Financial Analyst</v>
      </c>
      <c r="Q1153" t="str">
        <f>_xlfn.CONCAT(Table3[[#This Row],[first_name]], " ",Table3[[#This Row],[last_name]])</f>
        <v>Laura Cox</v>
      </c>
    </row>
    <row r="1154" spans="1:17" hidden="1" x14ac:dyDescent="0.3">
      <c r="A1154">
        <v>843</v>
      </c>
      <c r="B1154" t="s">
        <v>29</v>
      </c>
      <c r="C1154" t="s">
        <v>353</v>
      </c>
      <c r="D1154" t="s">
        <v>1188</v>
      </c>
      <c r="E1154" t="s">
        <v>32</v>
      </c>
      <c r="F1154" t="s">
        <v>33</v>
      </c>
      <c r="G1154" s="1">
        <v>661</v>
      </c>
      <c r="H1154" t="s">
        <v>18</v>
      </c>
      <c r="I1154" s="2">
        <v>44685</v>
      </c>
      <c r="J1154" t="s">
        <v>696</v>
      </c>
      <c r="K1154" t="s">
        <v>697</v>
      </c>
      <c r="L1154">
        <v>72199</v>
      </c>
      <c r="M1154" t="s">
        <v>21</v>
      </c>
      <c r="N1154" t="str">
        <f>VLOOKUP(A1154, Data_Set_2!$A:$D,2,FALSE)</f>
        <v>tfowlerne</v>
      </c>
      <c r="O1154" t="str">
        <f>VLOOKUP(A1154, Data_Set_2!$A:$D,3,FALSE)</f>
        <v>Agivu</v>
      </c>
      <c r="P1154" t="str">
        <f>VLOOKUP(A1154, Data_Set_2!$A:$D,4,FALSE)</f>
        <v>Geological Engineer</v>
      </c>
      <c r="Q1154" t="str">
        <f>_xlfn.CONCAT(Table3[[#This Row],[first_name]], " ",Table3[[#This Row],[last_name]])</f>
        <v>Tina Fowler</v>
      </c>
    </row>
    <row r="1155" spans="1:17" hidden="1" x14ac:dyDescent="0.3">
      <c r="A1155">
        <v>844</v>
      </c>
      <c r="B1155" t="s">
        <v>48</v>
      </c>
      <c r="C1155" t="s">
        <v>49</v>
      </c>
      <c r="D1155" t="s">
        <v>50</v>
      </c>
      <c r="E1155" t="s">
        <v>32</v>
      </c>
      <c r="F1155" t="s">
        <v>51</v>
      </c>
      <c r="G1155" s="1">
        <v>364</v>
      </c>
      <c r="H1155" t="s">
        <v>26</v>
      </c>
      <c r="I1155" s="2">
        <v>43109</v>
      </c>
      <c r="J1155" t="s">
        <v>52</v>
      </c>
      <c r="K1155" t="s">
        <v>53</v>
      </c>
      <c r="L1155">
        <v>25775</v>
      </c>
      <c r="M1155" t="s">
        <v>21</v>
      </c>
      <c r="N1155" t="str">
        <f>VLOOKUP(A1155, Data_Set_2!$A:$D,2,FALSE)</f>
        <v>lhartnf</v>
      </c>
      <c r="O1155" t="str">
        <f>VLOOKUP(A1155, Data_Set_2!$A:$D,3,FALSE)</f>
        <v>Fadeo</v>
      </c>
      <c r="P1155" t="str">
        <f>VLOOKUP(A1155, Data_Set_2!$A:$D,4,FALSE)</f>
        <v>Physical Therapy Assistant</v>
      </c>
      <c r="Q1155" t="str">
        <f>_xlfn.CONCAT(Table3[[#This Row],[first_name]], " ",Table3[[#This Row],[last_name]])</f>
        <v>Lisa Hart</v>
      </c>
    </row>
    <row r="1156" spans="1:17" hidden="1" x14ac:dyDescent="0.3">
      <c r="A1156">
        <v>844</v>
      </c>
      <c r="B1156" t="s">
        <v>48</v>
      </c>
      <c r="C1156" t="s">
        <v>49</v>
      </c>
      <c r="D1156" t="s">
        <v>50</v>
      </c>
      <c r="E1156" t="s">
        <v>32</v>
      </c>
      <c r="F1156" t="s">
        <v>51</v>
      </c>
      <c r="G1156" s="1">
        <v>305</v>
      </c>
      <c r="H1156" t="s">
        <v>26</v>
      </c>
      <c r="I1156" s="2">
        <v>43464</v>
      </c>
      <c r="J1156" t="s">
        <v>52</v>
      </c>
      <c r="K1156" t="s">
        <v>53</v>
      </c>
      <c r="L1156">
        <v>25775</v>
      </c>
      <c r="M1156" t="s">
        <v>21</v>
      </c>
      <c r="N1156" t="str">
        <f>VLOOKUP(A1156, Data_Set_2!$A:$D,2,FALSE)</f>
        <v>lhartnf</v>
      </c>
      <c r="O1156" t="str">
        <f>VLOOKUP(A1156, Data_Set_2!$A:$D,3,FALSE)</f>
        <v>Fadeo</v>
      </c>
      <c r="P1156" t="str">
        <f>VLOOKUP(A1156, Data_Set_2!$A:$D,4,FALSE)</f>
        <v>Physical Therapy Assistant</v>
      </c>
      <c r="Q1156" t="str">
        <f>_xlfn.CONCAT(Table3[[#This Row],[first_name]], " ",Table3[[#This Row],[last_name]])</f>
        <v>Lisa Hart</v>
      </c>
    </row>
    <row r="1157" spans="1:17" hidden="1" x14ac:dyDescent="0.3">
      <c r="A1157">
        <v>844</v>
      </c>
      <c r="B1157" t="s">
        <v>48</v>
      </c>
      <c r="C1157" t="s">
        <v>49</v>
      </c>
      <c r="D1157" t="s">
        <v>50</v>
      </c>
      <c r="E1157" t="s">
        <v>32</v>
      </c>
      <c r="F1157" t="s">
        <v>51</v>
      </c>
      <c r="G1157" s="1">
        <v>730</v>
      </c>
      <c r="H1157" t="s">
        <v>26</v>
      </c>
      <c r="I1157" s="2">
        <v>43689</v>
      </c>
      <c r="J1157" t="s">
        <v>52</v>
      </c>
      <c r="K1157" t="s">
        <v>53</v>
      </c>
      <c r="L1157">
        <v>25775</v>
      </c>
      <c r="M1157" t="s">
        <v>21</v>
      </c>
      <c r="N1157" t="str">
        <f>VLOOKUP(A1157, Data_Set_2!$A:$D,2,FALSE)</f>
        <v>lhartnf</v>
      </c>
      <c r="O1157" t="str">
        <f>VLOOKUP(A1157, Data_Set_2!$A:$D,3,FALSE)</f>
        <v>Fadeo</v>
      </c>
      <c r="P1157" t="str">
        <f>VLOOKUP(A1157, Data_Set_2!$A:$D,4,FALSE)</f>
        <v>Physical Therapy Assistant</v>
      </c>
      <c r="Q1157" t="str">
        <f>_xlfn.CONCAT(Table3[[#This Row],[first_name]], " ",Table3[[#This Row],[last_name]])</f>
        <v>Lisa Hart</v>
      </c>
    </row>
    <row r="1158" spans="1:17" hidden="1" x14ac:dyDescent="0.3">
      <c r="A1158">
        <v>844</v>
      </c>
      <c r="B1158" t="s">
        <v>48</v>
      </c>
      <c r="C1158" t="s">
        <v>49</v>
      </c>
      <c r="D1158" t="s">
        <v>50</v>
      </c>
      <c r="E1158" t="s">
        <v>32</v>
      </c>
      <c r="F1158" t="s">
        <v>51</v>
      </c>
      <c r="G1158" s="1">
        <v>517</v>
      </c>
      <c r="H1158" t="s">
        <v>26</v>
      </c>
      <c r="I1158" s="2">
        <v>44319</v>
      </c>
      <c r="J1158" t="s">
        <v>52</v>
      </c>
      <c r="K1158" t="s">
        <v>53</v>
      </c>
      <c r="L1158">
        <v>25775</v>
      </c>
      <c r="M1158" t="s">
        <v>21</v>
      </c>
      <c r="N1158" t="str">
        <f>VLOOKUP(A1158, Data_Set_2!$A:$D,2,FALSE)</f>
        <v>lhartnf</v>
      </c>
      <c r="O1158" t="str">
        <f>VLOOKUP(A1158, Data_Set_2!$A:$D,3,FALSE)</f>
        <v>Fadeo</v>
      </c>
      <c r="P1158" t="str">
        <f>VLOOKUP(A1158, Data_Set_2!$A:$D,4,FALSE)</f>
        <v>Physical Therapy Assistant</v>
      </c>
      <c r="Q1158" t="str">
        <f>_xlfn.CONCAT(Table3[[#This Row],[first_name]], " ",Table3[[#This Row],[last_name]])</f>
        <v>Lisa Hart</v>
      </c>
    </row>
    <row r="1159" spans="1:17" hidden="1" x14ac:dyDescent="0.3">
      <c r="A1159">
        <v>844</v>
      </c>
      <c r="B1159" t="s">
        <v>48</v>
      </c>
      <c r="C1159" t="s">
        <v>49</v>
      </c>
      <c r="D1159" t="s">
        <v>50</v>
      </c>
      <c r="E1159" t="s">
        <v>32</v>
      </c>
      <c r="F1159" t="s">
        <v>51</v>
      </c>
      <c r="G1159" s="1">
        <v>151</v>
      </c>
      <c r="H1159" t="s">
        <v>26</v>
      </c>
      <c r="I1159" s="2">
        <v>44594</v>
      </c>
      <c r="J1159" t="s">
        <v>52</v>
      </c>
      <c r="K1159" t="s">
        <v>53</v>
      </c>
      <c r="L1159">
        <v>25775</v>
      </c>
      <c r="M1159" t="s">
        <v>21</v>
      </c>
      <c r="N1159" t="str">
        <f>VLOOKUP(A1159, Data_Set_2!$A:$D,2,FALSE)</f>
        <v>lhartnf</v>
      </c>
      <c r="O1159" t="str">
        <f>VLOOKUP(A1159, Data_Set_2!$A:$D,3,FALSE)</f>
        <v>Fadeo</v>
      </c>
      <c r="P1159" t="str">
        <f>VLOOKUP(A1159, Data_Set_2!$A:$D,4,FALSE)</f>
        <v>Physical Therapy Assistant</v>
      </c>
      <c r="Q1159" t="str">
        <f>_xlfn.CONCAT(Table3[[#This Row],[first_name]], " ",Table3[[#This Row],[last_name]])</f>
        <v>Lisa Hart</v>
      </c>
    </row>
    <row r="1160" spans="1:17" hidden="1" x14ac:dyDescent="0.3">
      <c r="A1160">
        <v>844</v>
      </c>
      <c r="B1160" t="s">
        <v>48</v>
      </c>
      <c r="C1160" t="s">
        <v>49</v>
      </c>
      <c r="D1160" t="s">
        <v>50</v>
      </c>
      <c r="E1160" t="s">
        <v>32</v>
      </c>
      <c r="F1160" t="s">
        <v>51</v>
      </c>
      <c r="G1160" s="1">
        <v>50</v>
      </c>
      <c r="H1160" t="s">
        <v>26</v>
      </c>
      <c r="I1160" s="2">
        <v>44637</v>
      </c>
      <c r="J1160" t="s">
        <v>52</v>
      </c>
      <c r="K1160" t="s">
        <v>53</v>
      </c>
      <c r="L1160">
        <v>25775</v>
      </c>
      <c r="M1160" t="s">
        <v>21</v>
      </c>
      <c r="N1160" t="str">
        <f>VLOOKUP(A1160, Data_Set_2!$A:$D,2,FALSE)</f>
        <v>lhartnf</v>
      </c>
      <c r="O1160" t="str">
        <f>VLOOKUP(A1160, Data_Set_2!$A:$D,3,FALSE)</f>
        <v>Fadeo</v>
      </c>
      <c r="P1160" t="str">
        <f>VLOOKUP(A1160, Data_Set_2!$A:$D,4,FALSE)</f>
        <v>Physical Therapy Assistant</v>
      </c>
      <c r="Q1160" t="str">
        <f>_xlfn.CONCAT(Table3[[#This Row],[first_name]], " ",Table3[[#This Row],[last_name]])</f>
        <v>Lisa Hart</v>
      </c>
    </row>
    <row r="1161" spans="1:17" hidden="1" x14ac:dyDescent="0.3">
      <c r="A1161">
        <v>844</v>
      </c>
      <c r="B1161" t="s">
        <v>48</v>
      </c>
      <c r="C1161" t="s">
        <v>49</v>
      </c>
      <c r="D1161" t="s">
        <v>50</v>
      </c>
      <c r="E1161" t="s">
        <v>32</v>
      </c>
      <c r="F1161" t="s">
        <v>51</v>
      </c>
      <c r="G1161" s="1">
        <v>899</v>
      </c>
      <c r="H1161" t="s">
        <v>26</v>
      </c>
      <c r="I1161" s="2">
        <v>44772</v>
      </c>
      <c r="J1161" t="s">
        <v>52</v>
      </c>
      <c r="K1161" t="s">
        <v>53</v>
      </c>
      <c r="L1161">
        <v>25775</v>
      </c>
      <c r="M1161" t="s">
        <v>21</v>
      </c>
      <c r="N1161" t="str">
        <f>VLOOKUP(A1161, Data_Set_2!$A:$D,2,FALSE)</f>
        <v>lhartnf</v>
      </c>
      <c r="O1161" t="str">
        <f>VLOOKUP(A1161, Data_Set_2!$A:$D,3,FALSE)</f>
        <v>Fadeo</v>
      </c>
      <c r="P1161" t="str">
        <f>VLOOKUP(A1161, Data_Set_2!$A:$D,4,FALSE)</f>
        <v>Physical Therapy Assistant</v>
      </c>
      <c r="Q1161" t="str">
        <f>_xlfn.CONCAT(Table3[[#This Row],[first_name]], " ",Table3[[#This Row],[last_name]])</f>
        <v>Lisa Hart</v>
      </c>
    </row>
    <row r="1162" spans="1:17" hidden="1" x14ac:dyDescent="0.3">
      <c r="A1162">
        <v>845</v>
      </c>
      <c r="B1162" t="s">
        <v>491</v>
      </c>
      <c r="C1162" t="s">
        <v>177</v>
      </c>
      <c r="D1162" t="s">
        <v>492</v>
      </c>
      <c r="E1162" t="s">
        <v>32</v>
      </c>
      <c r="F1162" t="s">
        <v>274</v>
      </c>
      <c r="G1162" s="1">
        <v>910</v>
      </c>
      <c r="H1162" t="s">
        <v>4038</v>
      </c>
      <c r="I1162" s="2">
        <v>43368</v>
      </c>
      <c r="J1162" t="s">
        <v>393</v>
      </c>
      <c r="K1162" t="s">
        <v>459</v>
      </c>
      <c r="L1162">
        <v>37220</v>
      </c>
      <c r="M1162" t="s">
        <v>21</v>
      </c>
      <c r="N1162" t="str">
        <f>VLOOKUP(A1162, Data_Set_2!$A:$D,2,FALSE)</f>
        <v>mrileyng</v>
      </c>
      <c r="O1162" t="str">
        <f>VLOOKUP(A1162, Data_Set_2!$A:$D,3,FALSE)</f>
        <v>Innojam</v>
      </c>
      <c r="P1162" t="str">
        <f>VLOOKUP(A1162, Data_Set_2!$A:$D,4,FALSE)</f>
        <v>Systems Administrator I</v>
      </c>
      <c r="Q1162" t="str">
        <f>_xlfn.CONCAT(Table3[[#This Row],[first_name]], " ",Table3[[#This Row],[last_name]])</f>
        <v>Melissa Riley</v>
      </c>
    </row>
    <row r="1163" spans="1:17" x14ac:dyDescent="0.3">
      <c r="A1163">
        <v>846</v>
      </c>
      <c r="B1163" t="s">
        <v>13</v>
      </c>
      <c r="C1163" t="s">
        <v>170</v>
      </c>
      <c r="D1163" t="s">
        <v>171</v>
      </c>
      <c r="E1163" t="s">
        <v>16</v>
      </c>
      <c r="F1163" t="s">
        <v>33</v>
      </c>
      <c r="G1163" s="1">
        <v>994</v>
      </c>
      <c r="H1163" t="s">
        <v>95</v>
      </c>
      <c r="I1163" s="2">
        <v>43147</v>
      </c>
      <c r="J1163" t="s">
        <v>172</v>
      </c>
      <c r="K1163" t="s">
        <v>173</v>
      </c>
      <c r="L1163">
        <v>39505</v>
      </c>
      <c r="M1163" t="s">
        <v>21</v>
      </c>
      <c r="N1163" t="str">
        <f>VLOOKUP(A1163, Data_Set_2!$A:$D,2,FALSE)</f>
        <v>srichardsnh</v>
      </c>
      <c r="O1163" t="str">
        <f>VLOOKUP(A1163, Data_Set_2!$A:$D,3,FALSE)</f>
        <v>Topicshots</v>
      </c>
      <c r="P1163" t="str">
        <f>VLOOKUP(A1163, Data_Set_2!$A:$D,4,FALSE)</f>
        <v>Tax Accountant</v>
      </c>
      <c r="Q1163" t="str">
        <f>_xlfn.CONCAT(Table3[[#This Row],[first_name]], " ",Table3[[#This Row],[last_name]])</f>
        <v>Shawn Richards</v>
      </c>
    </row>
    <row r="1164" spans="1:17" hidden="1" x14ac:dyDescent="0.3">
      <c r="A1164">
        <v>847</v>
      </c>
      <c r="B1164" t="s">
        <v>944</v>
      </c>
      <c r="C1164" t="s">
        <v>170</v>
      </c>
      <c r="D1164" t="s">
        <v>1201</v>
      </c>
      <c r="E1164" t="s">
        <v>32</v>
      </c>
      <c r="F1164" t="s">
        <v>25</v>
      </c>
      <c r="G1164" s="1">
        <v>484</v>
      </c>
      <c r="H1164" t="s">
        <v>26</v>
      </c>
      <c r="I1164" s="2">
        <v>44716</v>
      </c>
      <c r="J1164" t="s">
        <v>435</v>
      </c>
      <c r="K1164" t="s">
        <v>1202</v>
      </c>
      <c r="L1164">
        <v>87592</v>
      </c>
      <c r="M1164" t="s">
        <v>21</v>
      </c>
      <c r="N1164" t="str">
        <f>VLOOKUP(A1164, Data_Set_2!$A:$D,2,FALSE)</f>
        <v>crichardsni</v>
      </c>
      <c r="O1164" t="str">
        <f>VLOOKUP(A1164, Data_Set_2!$A:$D,3,FALSE)</f>
        <v>Jetwire</v>
      </c>
      <c r="P1164" t="str">
        <f>VLOOKUP(A1164, Data_Set_2!$A:$D,4,FALSE)</f>
        <v>Software Engineer III</v>
      </c>
      <c r="Q1164" t="str">
        <f>_xlfn.CONCAT(Table3[[#This Row],[first_name]], " ",Table3[[#This Row],[last_name]])</f>
        <v>Christine Richards</v>
      </c>
    </row>
    <row r="1165" spans="1:17" hidden="1" x14ac:dyDescent="0.3">
      <c r="A1165">
        <v>849</v>
      </c>
      <c r="B1165" t="s">
        <v>389</v>
      </c>
      <c r="C1165" t="s">
        <v>103</v>
      </c>
      <c r="D1165" t="s">
        <v>533</v>
      </c>
      <c r="E1165" t="s">
        <v>32</v>
      </c>
      <c r="F1165" t="s">
        <v>17</v>
      </c>
      <c r="G1165" s="1">
        <v>919</v>
      </c>
      <c r="H1165" t="s">
        <v>416</v>
      </c>
      <c r="I1165" s="2">
        <v>43424</v>
      </c>
      <c r="J1165" t="s">
        <v>115</v>
      </c>
      <c r="K1165" t="s">
        <v>312</v>
      </c>
      <c r="L1165">
        <v>32590</v>
      </c>
      <c r="M1165" t="s">
        <v>21</v>
      </c>
      <c r="N1165" t="str">
        <f>VLOOKUP(A1165, Data_Set_2!$A:$D,2,FALSE)</f>
        <v>ithompsonnk</v>
      </c>
      <c r="O1165" t="str">
        <f>VLOOKUP(A1165, Data_Set_2!$A:$D,3,FALSE)</f>
        <v>Vidoo</v>
      </c>
      <c r="P1165" t="str">
        <f>VLOOKUP(A1165, Data_Set_2!$A:$D,4,FALSE)</f>
        <v>Executive Secretary</v>
      </c>
      <c r="Q1165" t="str">
        <f>_xlfn.CONCAT(Table3[[#This Row],[first_name]], " ",Table3[[#This Row],[last_name]])</f>
        <v>Irene Thompson</v>
      </c>
    </row>
    <row r="1166" spans="1:17" hidden="1" x14ac:dyDescent="0.3">
      <c r="A1166">
        <v>849</v>
      </c>
      <c r="B1166" t="s">
        <v>389</v>
      </c>
      <c r="C1166" t="s">
        <v>103</v>
      </c>
      <c r="D1166" t="s">
        <v>533</v>
      </c>
      <c r="E1166" t="s">
        <v>32</v>
      </c>
      <c r="F1166" t="s">
        <v>17</v>
      </c>
      <c r="G1166" s="1">
        <v>372</v>
      </c>
      <c r="H1166" t="s">
        <v>416</v>
      </c>
      <c r="I1166" s="2">
        <v>43544</v>
      </c>
      <c r="J1166" t="s">
        <v>115</v>
      </c>
      <c r="K1166" t="s">
        <v>312</v>
      </c>
      <c r="L1166">
        <v>32590</v>
      </c>
      <c r="M1166" t="s">
        <v>21</v>
      </c>
      <c r="N1166" t="str">
        <f>VLOOKUP(A1166, Data_Set_2!$A:$D,2,FALSE)</f>
        <v>ithompsonnk</v>
      </c>
      <c r="O1166" t="str">
        <f>VLOOKUP(A1166, Data_Set_2!$A:$D,3,FALSE)</f>
        <v>Vidoo</v>
      </c>
      <c r="P1166" t="str">
        <f>VLOOKUP(A1166, Data_Set_2!$A:$D,4,FALSE)</f>
        <v>Executive Secretary</v>
      </c>
      <c r="Q1166" t="str">
        <f>_xlfn.CONCAT(Table3[[#This Row],[first_name]], " ",Table3[[#This Row],[last_name]])</f>
        <v>Irene Thompson</v>
      </c>
    </row>
    <row r="1167" spans="1:17" hidden="1" x14ac:dyDescent="0.3">
      <c r="A1167">
        <v>849</v>
      </c>
      <c r="B1167" t="s">
        <v>389</v>
      </c>
      <c r="C1167" t="s">
        <v>103</v>
      </c>
      <c r="D1167" t="s">
        <v>533</v>
      </c>
      <c r="E1167" t="s">
        <v>32</v>
      </c>
      <c r="F1167" t="s">
        <v>17</v>
      </c>
      <c r="G1167" s="1">
        <v>951</v>
      </c>
      <c r="H1167" t="s">
        <v>416</v>
      </c>
      <c r="I1167" s="2">
        <v>43626</v>
      </c>
      <c r="J1167" t="s">
        <v>115</v>
      </c>
      <c r="K1167" t="s">
        <v>312</v>
      </c>
      <c r="L1167">
        <v>32590</v>
      </c>
      <c r="M1167" t="s">
        <v>21</v>
      </c>
      <c r="N1167" t="str">
        <f>VLOOKUP(A1167, Data_Set_2!$A:$D,2,FALSE)</f>
        <v>ithompsonnk</v>
      </c>
      <c r="O1167" t="str">
        <f>VLOOKUP(A1167, Data_Set_2!$A:$D,3,FALSE)</f>
        <v>Vidoo</v>
      </c>
      <c r="P1167" t="str">
        <f>VLOOKUP(A1167, Data_Set_2!$A:$D,4,FALSE)</f>
        <v>Executive Secretary</v>
      </c>
      <c r="Q1167" t="str">
        <f>_xlfn.CONCAT(Table3[[#This Row],[first_name]], " ",Table3[[#This Row],[last_name]])</f>
        <v>Irene Thompson</v>
      </c>
    </row>
    <row r="1168" spans="1:17" hidden="1" x14ac:dyDescent="0.3">
      <c r="A1168">
        <v>849</v>
      </c>
      <c r="B1168" t="s">
        <v>389</v>
      </c>
      <c r="C1168" t="s">
        <v>103</v>
      </c>
      <c r="D1168" t="s">
        <v>533</v>
      </c>
      <c r="E1168" t="s">
        <v>32</v>
      </c>
      <c r="F1168" t="s">
        <v>17</v>
      </c>
      <c r="G1168" s="1">
        <v>811</v>
      </c>
      <c r="H1168" t="s">
        <v>416</v>
      </c>
      <c r="I1168" s="2">
        <v>43653</v>
      </c>
      <c r="J1168" t="s">
        <v>115</v>
      </c>
      <c r="K1168" t="s">
        <v>312</v>
      </c>
      <c r="L1168">
        <v>32590</v>
      </c>
      <c r="M1168" t="s">
        <v>21</v>
      </c>
      <c r="N1168" t="str">
        <f>VLOOKUP(A1168, Data_Set_2!$A:$D,2,FALSE)</f>
        <v>ithompsonnk</v>
      </c>
      <c r="O1168" t="str">
        <f>VLOOKUP(A1168, Data_Set_2!$A:$D,3,FALSE)</f>
        <v>Vidoo</v>
      </c>
      <c r="P1168" t="str">
        <f>VLOOKUP(A1168, Data_Set_2!$A:$D,4,FALSE)</f>
        <v>Executive Secretary</v>
      </c>
      <c r="Q1168" t="str">
        <f>_xlfn.CONCAT(Table3[[#This Row],[first_name]], " ",Table3[[#This Row],[last_name]])</f>
        <v>Irene Thompson</v>
      </c>
    </row>
    <row r="1169" spans="1:17" hidden="1" x14ac:dyDescent="0.3">
      <c r="A1169">
        <v>849</v>
      </c>
      <c r="B1169" t="s">
        <v>389</v>
      </c>
      <c r="C1169" t="s">
        <v>103</v>
      </c>
      <c r="D1169" t="s">
        <v>533</v>
      </c>
      <c r="E1169" t="s">
        <v>32</v>
      </c>
      <c r="F1169" t="s">
        <v>17</v>
      </c>
      <c r="G1169" s="1">
        <v>736</v>
      </c>
      <c r="H1169" t="s">
        <v>416</v>
      </c>
      <c r="I1169" s="2">
        <v>44042</v>
      </c>
      <c r="J1169" t="s">
        <v>115</v>
      </c>
      <c r="K1169" t="s">
        <v>312</v>
      </c>
      <c r="L1169">
        <v>32590</v>
      </c>
      <c r="M1169" t="s">
        <v>21</v>
      </c>
      <c r="N1169" t="str">
        <f>VLOOKUP(A1169, Data_Set_2!$A:$D,2,FALSE)</f>
        <v>ithompsonnk</v>
      </c>
      <c r="O1169" t="str">
        <f>VLOOKUP(A1169, Data_Set_2!$A:$D,3,FALSE)</f>
        <v>Vidoo</v>
      </c>
      <c r="P1169" t="str">
        <f>VLOOKUP(A1169, Data_Set_2!$A:$D,4,FALSE)</f>
        <v>Executive Secretary</v>
      </c>
      <c r="Q1169" t="str">
        <f>_xlfn.CONCAT(Table3[[#This Row],[first_name]], " ",Table3[[#This Row],[last_name]])</f>
        <v>Irene Thompson</v>
      </c>
    </row>
    <row r="1170" spans="1:17" hidden="1" x14ac:dyDescent="0.3">
      <c r="A1170">
        <v>849</v>
      </c>
      <c r="B1170" t="s">
        <v>389</v>
      </c>
      <c r="C1170" t="s">
        <v>103</v>
      </c>
      <c r="D1170" t="s">
        <v>533</v>
      </c>
      <c r="E1170" t="s">
        <v>32</v>
      </c>
      <c r="F1170" t="s">
        <v>17</v>
      </c>
      <c r="G1170" s="1">
        <v>14</v>
      </c>
      <c r="H1170" t="s">
        <v>416</v>
      </c>
      <c r="I1170" s="2">
        <v>44792</v>
      </c>
      <c r="J1170" t="s">
        <v>115</v>
      </c>
      <c r="K1170" t="s">
        <v>312</v>
      </c>
      <c r="L1170">
        <v>32590</v>
      </c>
      <c r="M1170" t="s">
        <v>21</v>
      </c>
      <c r="N1170" t="str">
        <f>VLOOKUP(A1170, Data_Set_2!$A:$D,2,FALSE)</f>
        <v>ithompsonnk</v>
      </c>
      <c r="O1170" t="str">
        <f>VLOOKUP(A1170, Data_Set_2!$A:$D,3,FALSE)</f>
        <v>Vidoo</v>
      </c>
      <c r="P1170" t="str">
        <f>VLOOKUP(A1170, Data_Set_2!$A:$D,4,FALSE)</f>
        <v>Executive Secretary</v>
      </c>
      <c r="Q1170" t="str">
        <f>_xlfn.CONCAT(Table3[[#This Row],[first_name]], " ",Table3[[#This Row],[last_name]])</f>
        <v>Irene Thompson</v>
      </c>
    </row>
    <row r="1171" spans="1:17" hidden="1" x14ac:dyDescent="0.3">
      <c r="A1171">
        <v>849</v>
      </c>
      <c r="B1171" t="s">
        <v>389</v>
      </c>
      <c r="C1171" t="s">
        <v>103</v>
      </c>
      <c r="D1171" t="s">
        <v>533</v>
      </c>
      <c r="E1171" t="s">
        <v>32</v>
      </c>
      <c r="F1171" t="s">
        <v>17</v>
      </c>
      <c r="G1171" s="1">
        <v>910</v>
      </c>
      <c r="H1171" t="s">
        <v>416</v>
      </c>
      <c r="I1171" s="2">
        <v>44926</v>
      </c>
      <c r="J1171" t="s">
        <v>115</v>
      </c>
      <c r="K1171" t="s">
        <v>312</v>
      </c>
      <c r="L1171">
        <v>32590</v>
      </c>
      <c r="M1171" t="s">
        <v>21</v>
      </c>
      <c r="N1171" t="str">
        <f>VLOOKUP(A1171, Data_Set_2!$A:$D,2,FALSE)</f>
        <v>ithompsonnk</v>
      </c>
      <c r="O1171" t="str">
        <f>VLOOKUP(A1171, Data_Set_2!$A:$D,3,FALSE)</f>
        <v>Vidoo</v>
      </c>
      <c r="P1171" t="str">
        <f>VLOOKUP(A1171, Data_Set_2!$A:$D,4,FALSE)</f>
        <v>Executive Secretary</v>
      </c>
      <c r="Q1171" t="str">
        <f>_xlfn.CONCAT(Table3[[#This Row],[first_name]], " ",Table3[[#This Row],[last_name]])</f>
        <v>Irene Thompson</v>
      </c>
    </row>
    <row r="1172" spans="1:17" hidden="1" x14ac:dyDescent="0.3">
      <c r="A1172">
        <v>850</v>
      </c>
      <c r="B1172" t="s">
        <v>560</v>
      </c>
      <c r="C1172" t="s">
        <v>561</v>
      </c>
      <c r="D1172" t="s">
        <v>562</v>
      </c>
      <c r="E1172" t="s">
        <v>32</v>
      </c>
      <c r="F1172" t="s">
        <v>33</v>
      </c>
      <c r="G1172" s="1">
        <v>822</v>
      </c>
      <c r="H1172" t="s">
        <v>4035</v>
      </c>
      <c r="I1172" s="2">
        <v>43461</v>
      </c>
      <c r="J1172" t="s">
        <v>563</v>
      </c>
      <c r="K1172" t="s">
        <v>564</v>
      </c>
      <c r="L1172">
        <v>83722</v>
      </c>
      <c r="M1172" t="s">
        <v>21</v>
      </c>
      <c r="N1172" t="str">
        <f>VLOOKUP(A1172, Data_Set_2!$A:$D,2,FALSE)</f>
        <v>trogersnl</v>
      </c>
      <c r="O1172" t="str">
        <f>VLOOKUP(A1172, Data_Set_2!$A:$D,3,FALSE)</f>
        <v>Linklinks</v>
      </c>
      <c r="P1172" t="str">
        <f>VLOOKUP(A1172, Data_Set_2!$A:$D,4,FALSE)</f>
        <v>Desktop Support Technician</v>
      </c>
      <c r="Q1172" t="str">
        <f>_xlfn.CONCAT(Table3[[#This Row],[first_name]], " ",Table3[[#This Row],[last_name]])</f>
        <v>Theresa Rogers</v>
      </c>
    </row>
    <row r="1173" spans="1:17" hidden="1" x14ac:dyDescent="0.3">
      <c r="A1173">
        <v>851</v>
      </c>
      <c r="B1173" t="s">
        <v>844</v>
      </c>
      <c r="C1173" t="s">
        <v>232</v>
      </c>
      <c r="D1173" t="s">
        <v>1061</v>
      </c>
      <c r="E1173" t="s">
        <v>32</v>
      </c>
      <c r="F1173" t="s">
        <v>25</v>
      </c>
      <c r="G1173" s="1">
        <v>291</v>
      </c>
      <c r="H1173" t="s">
        <v>26</v>
      </c>
      <c r="I1173" s="2">
        <v>44341</v>
      </c>
      <c r="J1173" t="s">
        <v>58</v>
      </c>
      <c r="K1173" t="s">
        <v>1062</v>
      </c>
      <c r="L1173">
        <v>66629</v>
      </c>
      <c r="M1173" t="s">
        <v>21</v>
      </c>
      <c r="N1173" t="str">
        <f>VLOOKUP(A1173, Data_Set_2!$A:$D,2,FALSE)</f>
        <v>jwardnm</v>
      </c>
      <c r="O1173" t="str">
        <f>VLOOKUP(A1173, Data_Set_2!$A:$D,3,FALSE)</f>
        <v>Browsetype</v>
      </c>
      <c r="P1173" t="str">
        <f>VLOOKUP(A1173, Data_Set_2!$A:$D,4,FALSE)</f>
        <v>Product Engineer</v>
      </c>
      <c r="Q1173" t="str">
        <f>_xlfn.CONCAT(Table3[[#This Row],[first_name]], " ",Table3[[#This Row],[last_name]])</f>
        <v>Jacqueline Ward</v>
      </c>
    </row>
    <row r="1174" spans="1:17" hidden="1" x14ac:dyDescent="0.3">
      <c r="A1174">
        <v>852</v>
      </c>
      <c r="B1174" t="s">
        <v>377</v>
      </c>
      <c r="C1174" t="s">
        <v>66</v>
      </c>
      <c r="D1174" t="s">
        <v>479</v>
      </c>
      <c r="E1174" t="s">
        <v>32</v>
      </c>
      <c r="F1174" t="s">
        <v>17</v>
      </c>
      <c r="G1174" s="1">
        <v>99</v>
      </c>
      <c r="H1174" t="s">
        <v>4039</v>
      </c>
      <c r="I1174" s="2">
        <v>43360</v>
      </c>
      <c r="J1174" t="s">
        <v>480</v>
      </c>
      <c r="K1174" t="s">
        <v>481</v>
      </c>
      <c r="L1174">
        <v>7195</v>
      </c>
      <c r="M1174" t="s">
        <v>21</v>
      </c>
      <c r="N1174" t="str">
        <f>VLOOKUP(A1174, Data_Set_2!$A:$D,2,FALSE)</f>
        <v>bperrynn</v>
      </c>
      <c r="O1174" t="str">
        <f>VLOOKUP(A1174, Data_Set_2!$A:$D,3,FALSE)</f>
        <v>Browsetype</v>
      </c>
      <c r="P1174" t="str">
        <f>VLOOKUP(A1174, Data_Set_2!$A:$D,4,FALSE)</f>
        <v>Technical Writer</v>
      </c>
      <c r="Q1174" t="str">
        <f>_xlfn.CONCAT(Table3[[#This Row],[first_name]], " ",Table3[[#This Row],[last_name]])</f>
        <v>Betty Perry</v>
      </c>
    </row>
    <row r="1175" spans="1:17" hidden="1" x14ac:dyDescent="0.3">
      <c r="A1175">
        <v>854</v>
      </c>
      <c r="B1175" t="s">
        <v>773</v>
      </c>
      <c r="C1175" t="s">
        <v>833</v>
      </c>
      <c r="D1175" t="s">
        <v>898</v>
      </c>
      <c r="E1175" t="s">
        <v>16</v>
      </c>
      <c r="F1175" t="s">
        <v>33</v>
      </c>
      <c r="G1175" s="1">
        <v>66</v>
      </c>
      <c r="H1175" t="s">
        <v>34</v>
      </c>
      <c r="I1175" s="2">
        <v>43967</v>
      </c>
      <c r="J1175" t="s">
        <v>125</v>
      </c>
      <c r="K1175" t="s">
        <v>419</v>
      </c>
      <c r="L1175">
        <v>64144</v>
      </c>
      <c r="M1175" t="s">
        <v>21</v>
      </c>
      <c r="N1175" t="str">
        <f>VLOOKUP(A1175, Data_Set_2!$A:$D,2,FALSE)</f>
        <v>rstephensnp</v>
      </c>
      <c r="O1175" t="str">
        <f>VLOOKUP(A1175, Data_Set_2!$A:$D,3,FALSE)</f>
        <v>Topiczoom</v>
      </c>
      <c r="P1175" t="str">
        <f>VLOOKUP(A1175, Data_Set_2!$A:$D,4,FALSE)</f>
        <v>Assistant Manager</v>
      </c>
      <c r="Q1175" t="str">
        <f>_xlfn.CONCAT(Table3[[#This Row],[first_name]], " ",Table3[[#This Row],[last_name]])</f>
        <v>Richard Stephens</v>
      </c>
    </row>
    <row r="1176" spans="1:17" hidden="1" x14ac:dyDescent="0.3">
      <c r="A1176">
        <v>855</v>
      </c>
      <c r="B1176" t="s">
        <v>429</v>
      </c>
      <c r="C1176" t="s">
        <v>66</v>
      </c>
      <c r="D1176" t="s">
        <v>1238</v>
      </c>
      <c r="E1176" t="s">
        <v>16</v>
      </c>
      <c r="F1176" t="s">
        <v>33</v>
      </c>
      <c r="G1176" s="1">
        <v>785</v>
      </c>
      <c r="H1176" t="s">
        <v>62</v>
      </c>
      <c r="I1176" s="2">
        <v>44856</v>
      </c>
      <c r="J1176" t="s">
        <v>291</v>
      </c>
      <c r="K1176" t="s">
        <v>1239</v>
      </c>
      <c r="L1176">
        <v>20784</v>
      </c>
      <c r="M1176" t="s">
        <v>21</v>
      </c>
      <c r="N1176" t="str">
        <f>VLOOKUP(A1176, Data_Set_2!$A:$D,2,FALSE)</f>
        <v>cperrynq</v>
      </c>
      <c r="O1176" t="str">
        <f>VLOOKUP(A1176, Data_Set_2!$A:$D,3,FALSE)</f>
        <v>Tagchat</v>
      </c>
      <c r="P1176" t="str">
        <f>VLOOKUP(A1176, Data_Set_2!$A:$D,4,FALSE)</f>
        <v>Quality Control Specialist</v>
      </c>
      <c r="Q1176" t="str">
        <f>_xlfn.CONCAT(Table3[[#This Row],[first_name]], " ",Table3[[#This Row],[last_name]])</f>
        <v>Chris Perry</v>
      </c>
    </row>
    <row r="1177" spans="1:17" hidden="1" x14ac:dyDescent="0.3">
      <c r="A1177">
        <v>857</v>
      </c>
      <c r="B1177" t="s">
        <v>555</v>
      </c>
      <c r="C1177" t="s">
        <v>635</v>
      </c>
      <c r="D1177" t="s">
        <v>636</v>
      </c>
      <c r="E1177" t="s">
        <v>16</v>
      </c>
      <c r="F1177" t="s">
        <v>553</v>
      </c>
      <c r="G1177" s="1">
        <v>987</v>
      </c>
      <c r="H1177" t="s">
        <v>26</v>
      </c>
      <c r="I1177" s="2">
        <v>43556</v>
      </c>
      <c r="J1177" t="s">
        <v>35</v>
      </c>
      <c r="K1177" t="s">
        <v>637</v>
      </c>
      <c r="L1177">
        <v>95298</v>
      </c>
      <c r="M1177" t="s">
        <v>21</v>
      </c>
      <c r="N1177" t="str">
        <f>VLOOKUP(A1177, Data_Set_2!$A:$D,2,FALSE)</f>
        <v>anguyenns</v>
      </c>
      <c r="O1177" t="str">
        <f>VLOOKUP(A1177, Data_Set_2!$A:$D,3,FALSE)</f>
        <v>Cogibox</v>
      </c>
      <c r="P1177" t="str">
        <f>VLOOKUP(A1177, Data_Set_2!$A:$D,4,FALSE)</f>
        <v>Engineer I</v>
      </c>
      <c r="Q1177" t="str">
        <f>_xlfn.CONCAT(Table3[[#This Row],[first_name]], " ",Table3[[#This Row],[last_name]])</f>
        <v>Andrew Nguyen</v>
      </c>
    </row>
    <row r="1178" spans="1:17" hidden="1" x14ac:dyDescent="0.3">
      <c r="A1178">
        <v>858</v>
      </c>
      <c r="B1178" t="s">
        <v>327</v>
      </c>
      <c r="C1178" t="s">
        <v>49</v>
      </c>
      <c r="D1178" t="s">
        <v>719</v>
      </c>
      <c r="E1178" t="s">
        <v>32</v>
      </c>
      <c r="F1178" t="s">
        <v>17</v>
      </c>
      <c r="G1178" s="1">
        <v>638</v>
      </c>
      <c r="H1178" t="s">
        <v>26</v>
      </c>
      <c r="I1178" s="2">
        <v>43657</v>
      </c>
      <c r="J1178" t="s">
        <v>184</v>
      </c>
      <c r="K1178" t="s">
        <v>720</v>
      </c>
      <c r="L1178">
        <v>12210</v>
      </c>
      <c r="M1178" t="s">
        <v>21</v>
      </c>
      <c r="N1178" t="str">
        <f>VLOOKUP(A1178, Data_Set_2!$A:$D,2,FALSE)</f>
        <v>khartnt</v>
      </c>
      <c r="O1178" t="str">
        <f>VLOOKUP(A1178, Data_Set_2!$A:$D,3,FALSE)</f>
        <v>Voolith</v>
      </c>
      <c r="P1178" t="str">
        <f>VLOOKUP(A1178, Data_Set_2!$A:$D,4,FALSE)</f>
        <v>Operator</v>
      </c>
      <c r="Q1178" t="str">
        <f>_xlfn.CONCAT(Table3[[#This Row],[first_name]], " ",Table3[[#This Row],[last_name]])</f>
        <v>Kathy Hart</v>
      </c>
    </row>
    <row r="1179" spans="1:17" hidden="1" x14ac:dyDescent="0.3">
      <c r="A1179">
        <v>861</v>
      </c>
      <c r="B1179" t="s">
        <v>761</v>
      </c>
      <c r="C1179" t="s">
        <v>310</v>
      </c>
      <c r="D1179" t="s">
        <v>1102</v>
      </c>
      <c r="E1179" t="s">
        <v>16</v>
      </c>
      <c r="F1179" t="s">
        <v>17</v>
      </c>
      <c r="G1179" s="1">
        <v>897</v>
      </c>
      <c r="H1179" t="s">
        <v>4036</v>
      </c>
      <c r="I1179" s="2">
        <v>44508</v>
      </c>
      <c r="J1179" t="s">
        <v>704</v>
      </c>
      <c r="K1179" t="s">
        <v>705</v>
      </c>
      <c r="L1179">
        <v>73124</v>
      </c>
      <c r="M1179" t="s">
        <v>21</v>
      </c>
      <c r="N1179" t="str">
        <f>VLOOKUP(A1179, Data_Set_2!$A:$D,2,FALSE)</f>
        <v>lwillisnw</v>
      </c>
      <c r="O1179" t="str">
        <f>VLOOKUP(A1179, Data_Set_2!$A:$D,3,FALSE)</f>
        <v>Quire</v>
      </c>
      <c r="P1179" t="str">
        <f>VLOOKUP(A1179, Data_Set_2!$A:$D,4,FALSE)</f>
        <v>Compensation Analyst</v>
      </c>
      <c r="Q1179" t="str">
        <f>_xlfn.CONCAT(Table3[[#This Row],[first_name]], " ",Table3[[#This Row],[last_name]])</f>
        <v>Louis Willis</v>
      </c>
    </row>
    <row r="1180" spans="1:17" hidden="1" x14ac:dyDescent="0.3">
      <c r="A1180">
        <v>862</v>
      </c>
      <c r="B1180" t="s">
        <v>356</v>
      </c>
      <c r="C1180" t="s">
        <v>357</v>
      </c>
      <c r="D1180" t="s">
        <v>358</v>
      </c>
      <c r="E1180" t="s">
        <v>32</v>
      </c>
      <c r="F1180" t="s">
        <v>33</v>
      </c>
      <c r="G1180" s="1">
        <v>303</v>
      </c>
      <c r="H1180" t="s">
        <v>4036</v>
      </c>
      <c r="I1180" s="2">
        <v>43264</v>
      </c>
      <c r="J1180" t="s">
        <v>345</v>
      </c>
      <c r="K1180" t="s">
        <v>220</v>
      </c>
      <c r="L1180">
        <v>20470</v>
      </c>
      <c r="M1180" t="s">
        <v>21</v>
      </c>
      <c r="N1180" t="str">
        <f>VLOOKUP(A1180, Data_Set_2!$A:$D,2,FALSE)</f>
        <v>ataylornx</v>
      </c>
      <c r="O1180" t="str">
        <f>VLOOKUP(A1180, Data_Set_2!$A:$D,3,FALSE)</f>
        <v>Trudoo</v>
      </c>
      <c r="P1180" t="str">
        <f>VLOOKUP(A1180, Data_Set_2!$A:$D,4,FALSE)</f>
        <v>Administrative Assistant IV</v>
      </c>
      <c r="Q1180" t="str">
        <f>_xlfn.CONCAT(Table3[[#This Row],[first_name]], " ",Table3[[#This Row],[last_name]])</f>
        <v>Ashley Taylor</v>
      </c>
    </row>
    <row r="1181" spans="1:17" hidden="1" x14ac:dyDescent="0.3">
      <c r="A1181">
        <v>863</v>
      </c>
      <c r="B1181" t="s">
        <v>439</v>
      </c>
      <c r="C1181" t="s">
        <v>136</v>
      </c>
      <c r="D1181" t="s">
        <v>759</v>
      </c>
      <c r="E1181" t="s">
        <v>32</v>
      </c>
      <c r="F1181" t="s">
        <v>17</v>
      </c>
      <c r="G1181" s="1">
        <v>257</v>
      </c>
      <c r="H1181" t="s">
        <v>26</v>
      </c>
      <c r="I1181" s="2">
        <v>43708</v>
      </c>
      <c r="J1181" t="s">
        <v>96</v>
      </c>
      <c r="K1181" t="s">
        <v>760</v>
      </c>
      <c r="L1181">
        <v>46015</v>
      </c>
      <c r="M1181" t="s">
        <v>21</v>
      </c>
      <c r="N1181" t="str">
        <f>VLOOKUP(A1181, Data_Set_2!$A:$D,2,FALSE)</f>
        <v>jfoxny</v>
      </c>
      <c r="O1181" t="str">
        <f>VLOOKUP(A1181, Data_Set_2!$A:$D,3,FALSE)</f>
        <v>Livepath</v>
      </c>
      <c r="P1181" t="str">
        <f>VLOOKUP(A1181, Data_Set_2!$A:$D,4,FALSE)</f>
        <v>Statistician I</v>
      </c>
      <c r="Q1181" t="str">
        <f>_xlfn.CONCAT(Table3[[#This Row],[first_name]], " ",Table3[[#This Row],[last_name]])</f>
        <v>Jean Fox</v>
      </c>
    </row>
    <row r="1182" spans="1:17" hidden="1" x14ac:dyDescent="0.3">
      <c r="A1182">
        <v>864</v>
      </c>
      <c r="B1182" t="s">
        <v>687</v>
      </c>
      <c r="C1182" t="s">
        <v>331</v>
      </c>
      <c r="D1182" t="s">
        <v>867</v>
      </c>
      <c r="E1182" t="s">
        <v>16</v>
      </c>
      <c r="F1182" t="s">
        <v>33</v>
      </c>
      <c r="G1182" s="1">
        <v>874</v>
      </c>
      <c r="H1182" t="s">
        <v>26</v>
      </c>
      <c r="I1182" s="2">
        <v>43903</v>
      </c>
      <c r="J1182" t="s">
        <v>246</v>
      </c>
      <c r="K1182" t="s">
        <v>868</v>
      </c>
      <c r="L1182">
        <v>61605</v>
      </c>
      <c r="M1182" t="s">
        <v>21</v>
      </c>
      <c r="N1182" t="str">
        <f>VLOOKUP(A1182, Data_Set_2!$A:$D,2,FALSE)</f>
        <v>rbanksnz</v>
      </c>
      <c r="O1182" t="str">
        <f>VLOOKUP(A1182, Data_Set_2!$A:$D,3,FALSE)</f>
        <v>Yakijo</v>
      </c>
      <c r="P1182" t="str">
        <f>VLOOKUP(A1182, Data_Set_2!$A:$D,4,FALSE)</f>
        <v>Web Developer III</v>
      </c>
      <c r="Q1182" t="str">
        <f>_xlfn.CONCAT(Table3[[#This Row],[first_name]], " ",Table3[[#This Row],[last_name]])</f>
        <v>Robert Banks</v>
      </c>
    </row>
    <row r="1183" spans="1:17" hidden="1" x14ac:dyDescent="0.3">
      <c r="A1183">
        <v>866</v>
      </c>
      <c r="B1183" t="s">
        <v>85</v>
      </c>
      <c r="C1183" t="s">
        <v>669</v>
      </c>
      <c r="D1183" t="s">
        <v>1088</v>
      </c>
      <c r="E1183" t="s">
        <v>32</v>
      </c>
      <c r="F1183" t="s">
        <v>25</v>
      </c>
      <c r="G1183" s="1">
        <v>775</v>
      </c>
      <c r="H1183" t="s">
        <v>26</v>
      </c>
      <c r="I1183" s="2">
        <v>44449</v>
      </c>
      <c r="J1183" t="s">
        <v>115</v>
      </c>
      <c r="K1183" t="s">
        <v>143</v>
      </c>
      <c r="L1183">
        <v>33180</v>
      </c>
      <c r="M1183" t="s">
        <v>21</v>
      </c>
      <c r="N1183" t="str">
        <f>VLOOKUP(A1183, Data_Set_2!$A:$D,2,FALSE)</f>
        <v>jowenso1</v>
      </c>
      <c r="O1183" t="str">
        <f>VLOOKUP(A1183, Data_Set_2!$A:$D,3,FALSE)</f>
        <v>Layo</v>
      </c>
      <c r="P1183" t="str">
        <f>VLOOKUP(A1183, Data_Set_2!$A:$D,4,FALSE)</f>
        <v>Budget/Accounting Analyst III</v>
      </c>
      <c r="Q1183" t="str">
        <f>_xlfn.CONCAT(Table3[[#This Row],[first_name]], " ",Table3[[#This Row],[last_name]])</f>
        <v>Janice Owens</v>
      </c>
    </row>
    <row r="1184" spans="1:17" hidden="1" x14ac:dyDescent="0.3">
      <c r="A1184">
        <v>867</v>
      </c>
      <c r="B1184" t="s">
        <v>616</v>
      </c>
      <c r="C1184" t="s">
        <v>617</v>
      </c>
      <c r="D1184" t="s">
        <v>618</v>
      </c>
      <c r="E1184" t="s">
        <v>32</v>
      </c>
      <c r="F1184" t="s">
        <v>33</v>
      </c>
      <c r="G1184" s="1">
        <v>860</v>
      </c>
      <c r="H1184" t="s">
        <v>26</v>
      </c>
      <c r="I1184" s="2">
        <v>43537</v>
      </c>
      <c r="J1184" t="s">
        <v>480</v>
      </c>
      <c r="K1184" t="s">
        <v>481</v>
      </c>
      <c r="L1184">
        <v>7112</v>
      </c>
      <c r="M1184" t="s">
        <v>21</v>
      </c>
      <c r="N1184" t="str">
        <f>VLOOKUP(A1184, Data_Set_2!$A:$D,2,FALSE)</f>
        <v>bcarrollo2</v>
      </c>
      <c r="O1184" t="str">
        <f>VLOOKUP(A1184, Data_Set_2!$A:$D,3,FALSE)</f>
        <v>Vipe</v>
      </c>
      <c r="P1184" t="str">
        <f>VLOOKUP(A1184, Data_Set_2!$A:$D,4,FALSE)</f>
        <v>Teacher</v>
      </c>
      <c r="Q1184" t="str">
        <f>_xlfn.CONCAT(Table3[[#This Row],[first_name]], " ",Table3[[#This Row],[last_name]])</f>
        <v>Beverly Carroll</v>
      </c>
    </row>
    <row r="1185" spans="1:17" hidden="1" x14ac:dyDescent="0.3">
      <c r="A1185">
        <v>868</v>
      </c>
      <c r="B1185" t="s">
        <v>460</v>
      </c>
      <c r="C1185" t="s">
        <v>873</v>
      </c>
      <c r="D1185" t="s">
        <v>874</v>
      </c>
      <c r="E1185" t="s">
        <v>32</v>
      </c>
      <c r="F1185" t="s">
        <v>33</v>
      </c>
      <c r="G1185" s="1">
        <v>656</v>
      </c>
      <c r="H1185" t="s">
        <v>26</v>
      </c>
      <c r="I1185" s="2">
        <v>43909</v>
      </c>
      <c r="J1185" t="s">
        <v>152</v>
      </c>
      <c r="K1185" t="s">
        <v>875</v>
      </c>
      <c r="L1185">
        <v>44905</v>
      </c>
      <c r="M1185" t="s">
        <v>21</v>
      </c>
      <c r="N1185" t="str">
        <f>VLOOKUP(A1185, Data_Set_2!$A:$D,2,FALSE)</f>
        <v>lcoleo3</v>
      </c>
      <c r="O1185" t="str">
        <f>VLOOKUP(A1185, Data_Set_2!$A:$D,3,FALSE)</f>
        <v>Browsebug</v>
      </c>
      <c r="P1185" t="str">
        <f>VLOOKUP(A1185, Data_Set_2!$A:$D,4,FALSE)</f>
        <v>Marketing Assistant</v>
      </c>
      <c r="Q1185" t="str">
        <f>_xlfn.CONCAT(Table3[[#This Row],[first_name]], " ",Table3[[#This Row],[last_name]])</f>
        <v>Lillian Cole</v>
      </c>
    </row>
    <row r="1186" spans="1:17" hidden="1" x14ac:dyDescent="0.3">
      <c r="A1186">
        <v>869</v>
      </c>
      <c r="B1186" t="s">
        <v>422</v>
      </c>
      <c r="C1186" t="s">
        <v>567</v>
      </c>
      <c r="D1186" t="s">
        <v>676</v>
      </c>
      <c r="E1186" t="s">
        <v>16</v>
      </c>
      <c r="F1186" t="s">
        <v>25</v>
      </c>
      <c r="G1186" s="1">
        <v>210</v>
      </c>
      <c r="H1186" t="s">
        <v>109</v>
      </c>
      <c r="I1186" s="2">
        <v>43599</v>
      </c>
      <c r="J1186" t="s">
        <v>74</v>
      </c>
      <c r="K1186" t="s">
        <v>677</v>
      </c>
      <c r="L1186">
        <v>30911</v>
      </c>
      <c r="M1186" t="s">
        <v>21</v>
      </c>
      <c r="N1186" t="str">
        <f>VLOOKUP(A1186, Data_Set_2!$A:$D,2,FALSE)</f>
        <v>djordano4</v>
      </c>
      <c r="O1186" t="str">
        <f>VLOOKUP(A1186, Data_Set_2!$A:$D,3,FALSE)</f>
        <v>Gigazoom</v>
      </c>
      <c r="P1186" t="str">
        <f>VLOOKUP(A1186, Data_Set_2!$A:$D,4,FALSE)</f>
        <v>Cost Accountant</v>
      </c>
      <c r="Q1186" t="str">
        <f>_xlfn.CONCAT(Table3[[#This Row],[first_name]], " ",Table3[[#This Row],[last_name]])</f>
        <v>David Jordan</v>
      </c>
    </row>
    <row r="1187" spans="1:17" hidden="1" x14ac:dyDescent="0.3">
      <c r="A1187">
        <v>870</v>
      </c>
      <c r="B1187" t="s">
        <v>1118</v>
      </c>
      <c r="C1187" t="s">
        <v>796</v>
      </c>
      <c r="D1187" t="s">
        <v>1119</v>
      </c>
      <c r="E1187" t="s">
        <v>32</v>
      </c>
      <c r="F1187" t="s">
        <v>51</v>
      </c>
      <c r="G1187" s="1">
        <v>412</v>
      </c>
      <c r="H1187" t="s">
        <v>26</v>
      </c>
      <c r="I1187" s="2">
        <v>44532</v>
      </c>
      <c r="J1187" t="s">
        <v>115</v>
      </c>
      <c r="K1187" t="s">
        <v>143</v>
      </c>
      <c r="L1187">
        <v>33196</v>
      </c>
      <c r="M1187" t="s">
        <v>21</v>
      </c>
      <c r="N1187" t="str">
        <f>VLOOKUP(A1187, Data_Set_2!$A:$D,2,FALSE)</f>
        <v>hdayo5</v>
      </c>
      <c r="O1187" t="str">
        <f>VLOOKUP(A1187, Data_Set_2!$A:$D,3,FALSE)</f>
        <v>Rhycero</v>
      </c>
      <c r="P1187" t="str">
        <f>VLOOKUP(A1187, Data_Set_2!$A:$D,4,FALSE)</f>
        <v>Assistant Professor</v>
      </c>
      <c r="Q1187" t="str">
        <f>_xlfn.CONCAT(Table3[[#This Row],[first_name]], " ",Table3[[#This Row],[last_name]])</f>
        <v>Heather Day</v>
      </c>
    </row>
    <row r="1188" spans="1:17" hidden="1" x14ac:dyDescent="0.3">
      <c r="A1188">
        <v>871</v>
      </c>
      <c r="B1188" t="s">
        <v>549</v>
      </c>
      <c r="C1188" t="s">
        <v>820</v>
      </c>
      <c r="D1188" t="s">
        <v>1167</v>
      </c>
      <c r="E1188" t="s">
        <v>32</v>
      </c>
      <c r="F1188" t="s">
        <v>33</v>
      </c>
      <c r="G1188" s="1">
        <v>363</v>
      </c>
      <c r="H1188" t="s">
        <v>26</v>
      </c>
      <c r="I1188" s="2">
        <v>44645</v>
      </c>
      <c r="J1188" t="s">
        <v>19</v>
      </c>
      <c r="K1188" t="s">
        <v>932</v>
      </c>
      <c r="L1188">
        <v>2163</v>
      </c>
      <c r="M1188" t="s">
        <v>21</v>
      </c>
      <c r="N1188" t="str">
        <f>VLOOKUP(A1188, Data_Set_2!$A:$D,2,FALSE)</f>
        <v>jhendersono6</v>
      </c>
      <c r="O1188" t="str">
        <f>VLOOKUP(A1188, Data_Set_2!$A:$D,3,FALSE)</f>
        <v>Voolith</v>
      </c>
      <c r="P1188" t="str">
        <f>VLOOKUP(A1188, Data_Set_2!$A:$D,4,FALSE)</f>
        <v>Research Assistant III</v>
      </c>
      <c r="Q1188" t="str">
        <f>_xlfn.CONCAT(Table3[[#This Row],[first_name]], " ",Table3[[#This Row],[last_name]])</f>
        <v>Jane Henderson</v>
      </c>
    </row>
    <row r="1189" spans="1:17" hidden="1" x14ac:dyDescent="0.3">
      <c r="A1189">
        <v>872</v>
      </c>
      <c r="B1189" t="s">
        <v>102</v>
      </c>
      <c r="C1189" t="s">
        <v>103</v>
      </c>
      <c r="D1189" t="s">
        <v>104</v>
      </c>
      <c r="E1189" t="s">
        <v>32</v>
      </c>
      <c r="F1189" t="s">
        <v>25</v>
      </c>
      <c r="G1189" s="1">
        <v>341</v>
      </c>
      <c r="H1189" t="s">
        <v>73</v>
      </c>
      <c r="I1189" s="2">
        <v>43126</v>
      </c>
      <c r="J1189" t="s">
        <v>78</v>
      </c>
      <c r="K1189" t="s">
        <v>105</v>
      </c>
      <c r="L1189">
        <v>48206</v>
      </c>
      <c r="M1189" t="s">
        <v>21</v>
      </c>
      <c r="N1189" t="str">
        <f>VLOOKUP(A1189, Data_Set_2!$A:$D,2,FALSE)</f>
        <v>pthompsono7</v>
      </c>
      <c r="O1189" t="str">
        <f>VLOOKUP(A1189, Data_Set_2!$A:$D,3,FALSE)</f>
        <v>Wordtune</v>
      </c>
      <c r="P1189" t="str">
        <f>VLOOKUP(A1189, Data_Set_2!$A:$D,4,FALSE)</f>
        <v>Food Chemist</v>
      </c>
      <c r="Q1189" t="str">
        <f>_xlfn.CONCAT(Table3[[#This Row],[first_name]], " ",Table3[[#This Row],[last_name]])</f>
        <v>Pamela Thompson</v>
      </c>
    </row>
    <row r="1190" spans="1:17" hidden="1" x14ac:dyDescent="0.3">
      <c r="A1190">
        <v>872</v>
      </c>
      <c r="B1190" t="s">
        <v>102</v>
      </c>
      <c r="C1190" t="s">
        <v>103</v>
      </c>
      <c r="D1190" t="s">
        <v>104</v>
      </c>
      <c r="E1190" t="s">
        <v>32</v>
      </c>
      <c r="F1190" t="s">
        <v>25</v>
      </c>
      <c r="G1190" s="1">
        <v>452</v>
      </c>
      <c r="H1190" t="s">
        <v>73</v>
      </c>
      <c r="I1190" s="2">
        <v>43157</v>
      </c>
      <c r="J1190" t="s">
        <v>78</v>
      </c>
      <c r="K1190" t="s">
        <v>105</v>
      </c>
      <c r="L1190">
        <v>48206</v>
      </c>
      <c r="M1190" t="s">
        <v>21</v>
      </c>
      <c r="N1190" t="str">
        <f>VLOOKUP(A1190, Data_Set_2!$A:$D,2,FALSE)</f>
        <v>pthompsono7</v>
      </c>
      <c r="O1190" t="str">
        <f>VLOOKUP(A1190, Data_Set_2!$A:$D,3,FALSE)</f>
        <v>Wordtune</v>
      </c>
      <c r="P1190" t="str">
        <f>VLOOKUP(A1190, Data_Set_2!$A:$D,4,FALSE)</f>
        <v>Food Chemist</v>
      </c>
      <c r="Q1190" t="str">
        <f>_xlfn.CONCAT(Table3[[#This Row],[first_name]], " ",Table3[[#This Row],[last_name]])</f>
        <v>Pamela Thompson</v>
      </c>
    </row>
    <row r="1191" spans="1:17" hidden="1" x14ac:dyDescent="0.3">
      <c r="A1191">
        <v>872</v>
      </c>
      <c r="B1191" t="s">
        <v>102</v>
      </c>
      <c r="C1191" t="s">
        <v>103</v>
      </c>
      <c r="D1191" t="s">
        <v>104</v>
      </c>
      <c r="E1191" t="s">
        <v>32</v>
      </c>
      <c r="F1191" t="s">
        <v>25</v>
      </c>
      <c r="G1191" s="1">
        <v>61</v>
      </c>
      <c r="H1191" t="s">
        <v>73</v>
      </c>
      <c r="I1191" s="2">
        <v>43336</v>
      </c>
      <c r="J1191" t="s">
        <v>78</v>
      </c>
      <c r="K1191" t="s">
        <v>105</v>
      </c>
      <c r="L1191">
        <v>48206</v>
      </c>
      <c r="M1191" t="s">
        <v>21</v>
      </c>
      <c r="N1191" t="str">
        <f>VLOOKUP(A1191, Data_Set_2!$A:$D,2,FALSE)</f>
        <v>pthompsono7</v>
      </c>
      <c r="O1191" t="str">
        <f>VLOOKUP(A1191, Data_Set_2!$A:$D,3,FALSE)</f>
        <v>Wordtune</v>
      </c>
      <c r="P1191" t="str">
        <f>VLOOKUP(A1191, Data_Set_2!$A:$D,4,FALSE)</f>
        <v>Food Chemist</v>
      </c>
      <c r="Q1191" t="str">
        <f>_xlfn.CONCAT(Table3[[#This Row],[first_name]], " ",Table3[[#This Row],[last_name]])</f>
        <v>Pamela Thompson</v>
      </c>
    </row>
    <row r="1192" spans="1:17" hidden="1" x14ac:dyDescent="0.3">
      <c r="A1192">
        <v>872</v>
      </c>
      <c r="B1192" t="s">
        <v>102</v>
      </c>
      <c r="C1192" t="s">
        <v>103</v>
      </c>
      <c r="D1192" t="s">
        <v>104</v>
      </c>
      <c r="E1192" t="s">
        <v>32</v>
      </c>
      <c r="F1192" t="s">
        <v>25</v>
      </c>
      <c r="G1192" s="1">
        <v>809</v>
      </c>
      <c r="H1192" t="s">
        <v>73</v>
      </c>
      <c r="I1192" s="2">
        <v>43419</v>
      </c>
      <c r="J1192" t="s">
        <v>78</v>
      </c>
      <c r="K1192" t="s">
        <v>105</v>
      </c>
      <c r="L1192">
        <v>48206</v>
      </c>
      <c r="M1192" t="s">
        <v>21</v>
      </c>
      <c r="N1192" t="str">
        <f>VLOOKUP(A1192, Data_Set_2!$A:$D,2,FALSE)</f>
        <v>pthompsono7</v>
      </c>
      <c r="O1192" t="str">
        <f>VLOOKUP(A1192, Data_Set_2!$A:$D,3,FALSE)</f>
        <v>Wordtune</v>
      </c>
      <c r="P1192" t="str">
        <f>VLOOKUP(A1192, Data_Set_2!$A:$D,4,FALSE)</f>
        <v>Food Chemist</v>
      </c>
      <c r="Q1192" t="str">
        <f>_xlfn.CONCAT(Table3[[#This Row],[first_name]], " ",Table3[[#This Row],[last_name]])</f>
        <v>Pamela Thompson</v>
      </c>
    </row>
    <row r="1193" spans="1:17" hidden="1" x14ac:dyDescent="0.3">
      <c r="A1193">
        <v>872</v>
      </c>
      <c r="B1193" t="s">
        <v>102</v>
      </c>
      <c r="C1193" t="s">
        <v>103</v>
      </c>
      <c r="D1193" t="s">
        <v>104</v>
      </c>
      <c r="E1193" t="s">
        <v>32</v>
      </c>
      <c r="F1193" t="s">
        <v>25</v>
      </c>
      <c r="G1193" s="1">
        <v>105</v>
      </c>
      <c r="H1193" t="s">
        <v>73</v>
      </c>
      <c r="I1193" s="2">
        <v>43514</v>
      </c>
      <c r="J1193" t="s">
        <v>78</v>
      </c>
      <c r="K1193" t="s">
        <v>105</v>
      </c>
      <c r="L1193">
        <v>48206</v>
      </c>
      <c r="M1193" t="s">
        <v>21</v>
      </c>
      <c r="N1193" t="str">
        <f>VLOOKUP(A1193, Data_Set_2!$A:$D,2,FALSE)</f>
        <v>pthompsono7</v>
      </c>
      <c r="O1193" t="str">
        <f>VLOOKUP(A1193, Data_Set_2!$A:$D,3,FALSE)</f>
        <v>Wordtune</v>
      </c>
      <c r="P1193" t="str">
        <f>VLOOKUP(A1193, Data_Set_2!$A:$D,4,FALSE)</f>
        <v>Food Chemist</v>
      </c>
      <c r="Q1193" t="str">
        <f>_xlfn.CONCAT(Table3[[#This Row],[first_name]], " ",Table3[[#This Row],[last_name]])</f>
        <v>Pamela Thompson</v>
      </c>
    </row>
    <row r="1194" spans="1:17" hidden="1" x14ac:dyDescent="0.3">
      <c r="A1194">
        <v>872</v>
      </c>
      <c r="B1194" t="s">
        <v>102</v>
      </c>
      <c r="C1194" t="s">
        <v>103</v>
      </c>
      <c r="D1194" t="s">
        <v>104</v>
      </c>
      <c r="E1194" t="s">
        <v>32</v>
      </c>
      <c r="F1194" t="s">
        <v>25</v>
      </c>
      <c r="G1194" s="1">
        <v>881</v>
      </c>
      <c r="H1194" t="s">
        <v>73</v>
      </c>
      <c r="I1194" s="2">
        <v>43585</v>
      </c>
      <c r="J1194" t="s">
        <v>78</v>
      </c>
      <c r="K1194" t="s">
        <v>105</v>
      </c>
      <c r="L1194">
        <v>48206</v>
      </c>
      <c r="M1194" t="s">
        <v>21</v>
      </c>
      <c r="N1194" t="str">
        <f>VLOOKUP(A1194, Data_Set_2!$A:$D,2,FALSE)</f>
        <v>pthompsono7</v>
      </c>
      <c r="O1194" t="str">
        <f>VLOOKUP(A1194, Data_Set_2!$A:$D,3,FALSE)</f>
        <v>Wordtune</v>
      </c>
      <c r="P1194" t="str">
        <f>VLOOKUP(A1194, Data_Set_2!$A:$D,4,FALSE)</f>
        <v>Food Chemist</v>
      </c>
      <c r="Q1194" t="str">
        <f>_xlfn.CONCAT(Table3[[#This Row],[first_name]], " ",Table3[[#This Row],[last_name]])</f>
        <v>Pamela Thompson</v>
      </c>
    </row>
    <row r="1195" spans="1:17" hidden="1" x14ac:dyDescent="0.3">
      <c r="A1195">
        <v>872</v>
      </c>
      <c r="B1195" t="s">
        <v>102</v>
      </c>
      <c r="C1195" t="s">
        <v>103</v>
      </c>
      <c r="D1195" t="s">
        <v>104</v>
      </c>
      <c r="E1195" t="s">
        <v>32</v>
      </c>
      <c r="F1195" t="s">
        <v>25</v>
      </c>
      <c r="G1195" s="1">
        <v>314</v>
      </c>
      <c r="H1195" t="s">
        <v>73</v>
      </c>
      <c r="I1195" s="2">
        <v>43613</v>
      </c>
      <c r="J1195" t="s">
        <v>78</v>
      </c>
      <c r="K1195" t="s">
        <v>105</v>
      </c>
      <c r="L1195">
        <v>48206</v>
      </c>
      <c r="M1195" t="s">
        <v>21</v>
      </c>
      <c r="N1195" t="str">
        <f>VLOOKUP(A1195, Data_Set_2!$A:$D,2,FALSE)</f>
        <v>pthompsono7</v>
      </c>
      <c r="O1195" t="str">
        <f>VLOOKUP(A1195, Data_Set_2!$A:$D,3,FALSE)</f>
        <v>Wordtune</v>
      </c>
      <c r="P1195" t="str">
        <f>VLOOKUP(A1195, Data_Set_2!$A:$D,4,FALSE)</f>
        <v>Food Chemist</v>
      </c>
      <c r="Q1195" t="str">
        <f>_xlfn.CONCAT(Table3[[#This Row],[first_name]], " ",Table3[[#This Row],[last_name]])</f>
        <v>Pamela Thompson</v>
      </c>
    </row>
    <row r="1196" spans="1:17" hidden="1" x14ac:dyDescent="0.3">
      <c r="A1196">
        <v>872</v>
      </c>
      <c r="B1196" t="s">
        <v>102</v>
      </c>
      <c r="C1196" t="s">
        <v>103</v>
      </c>
      <c r="D1196" t="s">
        <v>104</v>
      </c>
      <c r="E1196" t="s">
        <v>32</v>
      </c>
      <c r="F1196" t="s">
        <v>25</v>
      </c>
      <c r="G1196" s="1">
        <v>45</v>
      </c>
      <c r="H1196" t="s">
        <v>73</v>
      </c>
      <c r="I1196" s="2">
        <v>43842</v>
      </c>
      <c r="J1196" t="s">
        <v>78</v>
      </c>
      <c r="K1196" t="s">
        <v>105</v>
      </c>
      <c r="L1196">
        <v>48206</v>
      </c>
      <c r="M1196" t="s">
        <v>21</v>
      </c>
      <c r="N1196" t="str">
        <f>VLOOKUP(A1196, Data_Set_2!$A:$D,2,FALSE)</f>
        <v>pthompsono7</v>
      </c>
      <c r="O1196" t="str">
        <f>VLOOKUP(A1196, Data_Set_2!$A:$D,3,FALSE)</f>
        <v>Wordtune</v>
      </c>
      <c r="P1196" t="str">
        <f>VLOOKUP(A1196, Data_Set_2!$A:$D,4,FALSE)</f>
        <v>Food Chemist</v>
      </c>
      <c r="Q1196" t="str">
        <f>_xlfn.CONCAT(Table3[[#This Row],[first_name]], " ",Table3[[#This Row],[last_name]])</f>
        <v>Pamela Thompson</v>
      </c>
    </row>
    <row r="1197" spans="1:17" hidden="1" x14ac:dyDescent="0.3">
      <c r="A1197">
        <v>872</v>
      </c>
      <c r="B1197" t="s">
        <v>102</v>
      </c>
      <c r="C1197" t="s">
        <v>103</v>
      </c>
      <c r="D1197" t="s">
        <v>104</v>
      </c>
      <c r="E1197" t="s">
        <v>32</v>
      </c>
      <c r="F1197" t="s">
        <v>25</v>
      </c>
      <c r="G1197" s="1">
        <v>689</v>
      </c>
      <c r="H1197" t="s">
        <v>73</v>
      </c>
      <c r="I1197" s="2">
        <v>43900</v>
      </c>
      <c r="J1197" t="s">
        <v>78</v>
      </c>
      <c r="K1197" t="s">
        <v>105</v>
      </c>
      <c r="L1197">
        <v>48206</v>
      </c>
      <c r="M1197" t="s">
        <v>21</v>
      </c>
      <c r="N1197" t="str">
        <f>VLOOKUP(A1197, Data_Set_2!$A:$D,2,FALSE)</f>
        <v>pthompsono7</v>
      </c>
      <c r="O1197" t="str">
        <f>VLOOKUP(A1197, Data_Set_2!$A:$D,3,FALSE)</f>
        <v>Wordtune</v>
      </c>
      <c r="P1197" t="str">
        <f>VLOOKUP(A1197, Data_Set_2!$A:$D,4,FALSE)</f>
        <v>Food Chemist</v>
      </c>
      <c r="Q1197" t="str">
        <f>_xlfn.CONCAT(Table3[[#This Row],[first_name]], " ",Table3[[#This Row],[last_name]])</f>
        <v>Pamela Thompson</v>
      </c>
    </row>
    <row r="1198" spans="1:17" hidden="1" x14ac:dyDescent="0.3">
      <c r="A1198">
        <v>872</v>
      </c>
      <c r="B1198" t="s">
        <v>102</v>
      </c>
      <c r="C1198" t="s">
        <v>103</v>
      </c>
      <c r="D1198" t="s">
        <v>104</v>
      </c>
      <c r="E1198" t="s">
        <v>32</v>
      </c>
      <c r="F1198" t="s">
        <v>25</v>
      </c>
      <c r="G1198" s="1">
        <v>285</v>
      </c>
      <c r="H1198" t="s">
        <v>73</v>
      </c>
      <c r="I1198" s="2">
        <v>44205</v>
      </c>
      <c r="J1198" t="s">
        <v>78</v>
      </c>
      <c r="K1198" t="s">
        <v>105</v>
      </c>
      <c r="L1198">
        <v>48206</v>
      </c>
      <c r="M1198" t="s">
        <v>21</v>
      </c>
      <c r="N1198" t="str">
        <f>VLOOKUP(A1198, Data_Set_2!$A:$D,2,FALSE)</f>
        <v>pthompsono7</v>
      </c>
      <c r="O1198" t="str">
        <f>VLOOKUP(A1198, Data_Set_2!$A:$D,3,FALSE)</f>
        <v>Wordtune</v>
      </c>
      <c r="P1198" t="str">
        <f>VLOOKUP(A1198, Data_Set_2!$A:$D,4,FALSE)</f>
        <v>Food Chemist</v>
      </c>
      <c r="Q1198" t="str">
        <f>_xlfn.CONCAT(Table3[[#This Row],[first_name]], " ",Table3[[#This Row],[last_name]])</f>
        <v>Pamela Thompson</v>
      </c>
    </row>
    <row r="1199" spans="1:17" hidden="1" x14ac:dyDescent="0.3">
      <c r="A1199">
        <v>872</v>
      </c>
      <c r="B1199" t="s">
        <v>102</v>
      </c>
      <c r="C1199" t="s">
        <v>103</v>
      </c>
      <c r="D1199" t="s">
        <v>104</v>
      </c>
      <c r="E1199" t="s">
        <v>32</v>
      </c>
      <c r="F1199" t="s">
        <v>25</v>
      </c>
      <c r="G1199" s="1">
        <v>903</v>
      </c>
      <c r="H1199" t="s">
        <v>73</v>
      </c>
      <c r="I1199" s="2">
        <v>44507</v>
      </c>
      <c r="J1199" t="s">
        <v>78</v>
      </c>
      <c r="K1199" t="s">
        <v>105</v>
      </c>
      <c r="L1199">
        <v>48206</v>
      </c>
      <c r="M1199" t="s">
        <v>21</v>
      </c>
      <c r="N1199" t="str">
        <f>VLOOKUP(A1199, Data_Set_2!$A:$D,2,FALSE)</f>
        <v>pthompsono7</v>
      </c>
      <c r="O1199" t="str">
        <f>VLOOKUP(A1199, Data_Set_2!$A:$D,3,FALSE)</f>
        <v>Wordtune</v>
      </c>
      <c r="P1199" t="str">
        <f>VLOOKUP(A1199, Data_Set_2!$A:$D,4,FALSE)</f>
        <v>Food Chemist</v>
      </c>
      <c r="Q1199" t="str">
        <f>_xlfn.CONCAT(Table3[[#This Row],[first_name]], " ",Table3[[#This Row],[last_name]])</f>
        <v>Pamela Thompson</v>
      </c>
    </row>
    <row r="1200" spans="1:17" hidden="1" x14ac:dyDescent="0.3">
      <c r="A1200">
        <v>872</v>
      </c>
      <c r="B1200" t="s">
        <v>102</v>
      </c>
      <c r="C1200" t="s">
        <v>103</v>
      </c>
      <c r="D1200" t="s">
        <v>104</v>
      </c>
      <c r="E1200" t="s">
        <v>32</v>
      </c>
      <c r="F1200" t="s">
        <v>25</v>
      </c>
      <c r="G1200" s="1">
        <v>396</v>
      </c>
      <c r="H1200" t="s">
        <v>73</v>
      </c>
      <c r="I1200" s="2">
        <v>44882</v>
      </c>
      <c r="J1200" t="s">
        <v>78</v>
      </c>
      <c r="K1200" t="s">
        <v>105</v>
      </c>
      <c r="L1200">
        <v>48206</v>
      </c>
      <c r="M1200" t="s">
        <v>21</v>
      </c>
      <c r="N1200" t="str">
        <f>VLOOKUP(A1200, Data_Set_2!$A:$D,2,FALSE)</f>
        <v>pthompsono7</v>
      </c>
      <c r="O1200" t="str">
        <f>VLOOKUP(A1200, Data_Set_2!$A:$D,3,FALSE)</f>
        <v>Wordtune</v>
      </c>
      <c r="P1200" t="str">
        <f>VLOOKUP(A1200, Data_Set_2!$A:$D,4,FALSE)</f>
        <v>Food Chemist</v>
      </c>
      <c r="Q1200" t="str">
        <f>_xlfn.CONCAT(Table3[[#This Row],[first_name]], " ",Table3[[#This Row],[last_name]])</f>
        <v>Pamela Thompson</v>
      </c>
    </row>
    <row r="1201" spans="1:17" hidden="1" x14ac:dyDescent="0.3">
      <c r="A1201">
        <v>873</v>
      </c>
      <c r="B1201" t="s">
        <v>429</v>
      </c>
      <c r="C1201" t="s">
        <v>880</v>
      </c>
      <c r="D1201" t="s">
        <v>881</v>
      </c>
      <c r="E1201" t="s">
        <v>16</v>
      </c>
      <c r="F1201" t="s">
        <v>17</v>
      </c>
      <c r="G1201" s="1">
        <v>751</v>
      </c>
      <c r="H1201" t="s">
        <v>26</v>
      </c>
      <c r="I1201" s="2">
        <v>43941</v>
      </c>
      <c r="J1201" t="s">
        <v>393</v>
      </c>
      <c r="K1201" t="s">
        <v>578</v>
      </c>
      <c r="L1201">
        <v>38188</v>
      </c>
      <c r="M1201" t="s">
        <v>21</v>
      </c>
      <c r="N1201" t="str">
        <f>VLOOKUP(A1201, Data_Set_2!$A:$D,2,FALSE)</f>
        <v>chudsono8</v>
      </c>
      <c r="O1201" t="str">
        <f>VLOOKUP(A1201, Data_Set_2!$A:$D,3,FALSE)</f>
        <v>Gabspot</v>
      </c>
      <c r="P1201" t="str">
        <f>VLOOKUP(A1201, Data_Set_2!$A:$D,4,FALSE)</f>
        <v>Director of Sales</v>
      </c>
      <c r="Q1201" t="str">
        <f>_xlfn.CONCAT(Table3[[#This Row],[first_name]], " ",Table3[[#This Row],[last_name]])</f>
        <v>Chris Hudson</v>
      </c>
    </row>
    <row r="1202" spans="1:17" hidden="1" x14ac:dyDescent="0.3">
      <c r="A1202">
        <v>875</v>
      </c>
      <c r="B1202" t="s">
        <v>98</v>
      </c>
      <c r="C1202" t="s">
        <v>182</v>
      </c>
      <c r="D1202" t="s">
        <v>510</v>
      </c>
      <c r="E1202" t="s">
        <v>32</v>
      </c>
      <c r="F1202" t="s">
        <v>51</v>
      </c>
      <c r="G1202" s="1">
        <v>288</v>
      </c>
      <c r="H1202" t="s">
        <v>4035</v>
      </c>
      <c r="I1202" s="2">
        <v>43401</v>
      </c>
      <c r="J1202" t="s">
        <v>230</v>
      </c>
      <c r="K1202" t="s">
        <v>260</v>
      </c>
      <c r="L1202">
        <v>28256</v>
      </c>
      <c r="M1202" t="s">
        <v>21</v>
      </c>
      <c r="N1202" t="str">
        <f>VLOOKUP(A1202, Data_Set_2!$A:$D,2,FALSE)</f>
        <v>pjamesoa</v>
      </c>
      <c r="O1202" t="str">
        <f>VLOOKUP(A1202, Data_Set_2!$A:$D,3,FALSE)</f>
        <v>Fivespan</v>
      </c>
      <c r="P1202" t="str">
        <f>VLOOKUP(A1202, Data_Set_2!$A:$D,4,FALSE)</f>
        <v>Community Outreach Specialist</v>
      </c>
      <c r="Q1202" t="str">
        <f>_xlfn.CONCAT(Table3[[#This Row],[first_name]], " ",Table3[[#This Row],[last_name]])</f>
        <v>Phyllis James</v>
      </c>
    </row>
    <row r="1203" spans="1:17" hidden="1" x14ac:dyDescent="0.3">
      <c r="A1203">
        <v>875</v>
      </c>
      <c r="B1203" t="s">
        <v>98</v>
      </c>
      <c r="C1203" t="s">
        <v>182</v>
      </c>
      <c r="D1203" t="s">
        <v>510</v>
      </c>
      <c r="E1203" t="s">
        <v>32</v>
      </c>
      <c r="F1203" t="s">
        <v>51</v>
      </c>
      <c r="G1203" s="1">
        <v>869</v>
      </c>
      <c r="H1203" t="s">
        <v>4035</v>
      </c>
      <c r="I1203" s="2">
        <v>43452</v>
      </c>
      <c r="J1203" t="s">
        <v>230</v>
      </c>
      <c r="K1203" t="s">
        <v>260</v>
      </c>
      <c r="L1203">
        <v>28256</v>
      </c>
      <c r="M1203" t="s">
        <v>21</v>
      </c>
      <c r="N1203" t="str">
        <f>VLOOKUP(A1203, Data_Set_2!$A:$D,2,FALSE)</f>
        <v>pjamesoa</v>
      </c>
      <c r="O1203" t="str">
        <f>VLOOKUP(A1203, Data_Set_2!$A:$D,3,FALSE)</f>
        <v>Fivespan</v>
      </c>
      <c r="P1203" t="str">
        <f>VLOOKUP(A1203, Data_Set_2!$A:$D,4,FALSE)</f>
        <v>Community Outreach Specialist</v>
      </c>
      <c r="Q1203" t="str">
        <f>_xlfn.CONCAT(Table3[[#This Row],[first_name]], " ",Table3[[#This Row],[last_name]])</f>
        <v>Phyllis James</v>
      </c>
    </row>
    <row r="1204" spans="1:17" hidden="1" x14ac:dyDescent="0.3">
      <c r="A1204">
        <v>875</v>
      </c>
      <c r="B1204" t="s">
        <v>98</v>
      </c>
      <c r="C1204" t="s">
        <v>182</v>
      </c>
      <c r="D1204" t="s">
        <v>510</v>
      </c>
      <c r="E1204" t="s">
        <v>32</v>
      </c>
      <c r="F1204" t="s">
        <v>51</v>
      </c>
      <c r="G1204" s="1">
        <v>966</v>
      </c>
      <c r="H1204" t="s">
        <v>4035</v>
      </c>
      <c r="I1204" s="2">
        <v>43625</v>
      </c>
      <c r="J1204" t="s">
        <v>230</v>
      </c>
      <c r="K1204" t="s">
        <v>260</v>
      </c>
      <c r="L1204">
        <v>28256</v>
      </c>
      <c r="M1204" t="s">
        <v>21</v>
      </c>
      <c r="N1204" t="str">
        <f>VLOOKUP(A1204, Data_Set_2!$A:$D,2,FALSE)</f>
        <v>pjamesoa</v>
      </c>
      <c r="O1204" t="str">
        <f>VLOOKUP(A1204, Data_Set_2!$A:$D,3,FALSE)</f>
        <v>Fivespan</v>
      </c>
      <c r="P1204" t="str">
        <f>VLOOKUP(A1204, Data_Set_2!$A:$D,4,FALSE)</f>
        <v>Community Outreach Specialist</v>
      </c>
      <c r="Q1204" t="str">
        <f>_xlfn.CONCAT(Table3[[#This Row],[first_name]], " ",Table3[[#This Row],[last_name]])</f>
        <v>Phyllis James</v>
      </c>
    </row>
    <row r="1205" spans="1:17" hidden="1" x14ac:dyDescent="0.3">
      <c r="A1205">
        <v>875</v>
      </c>
      <c r="B1205" t="s">
        <v>98</v>
      </c>
      <c r="C1205" t="s">
        <v>182</v>
      </c>
      <c r="D1205" t="s">
        <v>510</v>
      </c>
      <c r="E1205" t="s">
        <v>32</v>
      </c>
      <c r="F1205" t="s">
        <v>51</v>
      </c>
      <c r="G1205" s="1">
        <v>202</v>
      </c>
      <c r="H1205" t="s">
        <v>4035</v>
      </c>
      <c r="I1205" s="2">
        <v>43736</v>
      </c>
      <c r="J1205" t="s">
        <v>230</v>
      </c>
      <c r="K1205" t="s">
        <v>260</v>
      </c>
      <c r="L1205">
        <v>28256</v>
      </c>
      <c r="M1205" t="s">
        <v>21</v>
      </c>
      <c r="N1205" t="str">
        <f>VLOOKUP(A1205, Data_Set_2!$A:$D,2,FALSE)</f>
        <v>pjamesoa</v>
      </c>
      <c r="O1205" t="str">
        <f>VLOOKUP(A1205, Data_Set_2!$A:$D,3,FALSE)</f>
        <v>Fivespan</v>
      </c>
      <c r="P1205" t="str">
        <f>VLOOKUP(A1205, Data_Set_2!$A:$D,4,FALSE)</f>
        <v>Community Outreach Specialist</v>
      </c>
      <c r="Q1205" t="str">
        <f>_xlfn.CONCAT(Table3[[#This Row],[first_name]], " ",Table3[[#This Row],[last_name]])</f>
        <v>Phyllis James</v>
      </c>
    </row>
    <row r="1206" spans="1:17" hidden="1" x14ac:dyDescent="0.3">
      <c r="A1206">
        <v>875</v>
      </c>
      <c r="B1206" t="s">
        <v>98</v>
      </c>
      <c r="C1206" t="s">
        <v>182</v>
      </c>
      <c r="D1206" t="s">
        <v>510</v>
      </c>
      <c r="E1206" t="s">
        <v>32</v>
      </c>
      <c r="F1206" t="s">
        <v>51</v>
      </c>
      <c r="G1206" s="1">
        <v>818</v>
      </c>
      <c r="H1206" t="s">
        <v>4035</v>
      </c>
      <c r="I1206" s="2">
        <v>43741</v>
      </c>
      <c r="J1206" t="s">
        <v>230</v>
      </c>
      <c r="K1206" t="s">
        <v>260</v>
      </c>
      <c r="L1206">
        <v>28256</v>
      </c>
      <c r="M1206" t="s">
        <v>21</v>
      </c>
      <c r="N1206" t="str">
        <f>VLOOKUP(A1206, Data_Set_2!$A:$D,2,FALSE)</f>
        <v>pjamesoa</v>
      </c>
      <c r="O1206" t="str">
        <f>VLOOKUP(A1206, Data_Set_2!$A:$D,3,FALSE)</f>
        <v>Fivespan</v>
      </c>
      <c r="P1206" t="str">
        <f>VLOOKUP(A1206, Data_Set_2!$A:$D,4,FALSE)</f>
        <v>Community Outreach Specialist</v>
      </c>
      <c r="Q1206" t="str">
        <f>_xlfn.CONCAT(Table3[[#This Row],[first_name]], " ",Table3[[#This Row],[last_name]])</f>
        <v>Phyllis James</v>
      </c>
    </row>
    <row r="1207" spans="1:17" hidden="1" x14ac:dyDescent="0.3">
      <c r="A1207">
        <v>875</v>
      </c>
      <c r="B1207" t="s">
        <v>98</v>
      </c>
      <c r="C1207" t="s">
        <v>182</v>
      </c>
      <c r="D1207" t="s">
        <v>510</v>
      </c>
      <c r="E1207" t="s">
        <v>32</v>
      </c>
      <c r="F1207" t="s">
        <v>51</v>
      </c>
      <c r="G1207" s="1">
        <v>496</v>
      </c>
      <c r="H1207" t="s">
        <v>4035</v>
      </c>
      <c r="I1207" s="2">
        <v>43829</v>
      </c>
      <c r="J1207" t="s">
        <v>230</v>
      </c>
      <c r="K1207" t="s">
        <v>260</v>
      </c>
      <c r="L1207">
        <v>28256</v>
      </c>
      <c r="M1207" t="s">
        <v>21</v>
      </c>
      <c r="N1207" t="str">
        <f>VLOOKUP(A1207, Data_Set_2!$A:$D,2,FALSE)</f>
        <v>pjamesoa</v>
      </c>
      <c r="O1207" t="str">
        <f>VLOOKUP(A1207, Data_Set_2!$A:$D,3,FALSE)</f>
        <v>Fivespan</v>
      </c>
      <c r="P1207" t="str">
        <f>VLOOKUP(A1207, Data_Set_2!$A:$D,4,FALSE)</f>
        <v>Community Outreach Specialist</v>
      </c>
      <c r="Q1207" t="str">
        <f>_xlfn.CONCAT(Table3[[#This Row],[first_name]], " ",Table3[[#This Row],[last_name]])</f>
        <v>Phyllis James</v>
      </c>
    </row>
    <row r="1208" spans="1:17" hidden="1" x14ac:dyDescent="0.3">
      <c r="A1208">
        <v>875</v>
      </c>
      <c r="B1208" t="s">
        <v>98</v>
      </c>
      <c r="C1208" t="s">
        <v>182</v>
      </c>
      <c r="D1208" t="s">
        <v>510</v>
      </c>
      <c r="E1208" t="s">
        <v>32</v>
      </c>
      <c r="F1208" t="s">
        <v>51</v>
      </c>
      <c r="G1208" s="1">
        <v>496</v>
      </c>
      <c r="H1208" t="s">
        <v>4035</v>
      </c>
      <c r="I1208" s="2">
        <v>43899</v>
      </c>
      <c r="J1208" t="s">
        <v>230</v>
      </c>
      <c r="K1208" t="s">
        <v>260</v>
      </c>
      <c r="L1208">
        <v>28256</v>
      </c>
      <c r="M1208" t="s">
        <v>21</v>
      </c>
      <c r="N1208" t="str">
        <f>VLOOKUP(A1208, Data_Set_2!$A:$D,2,FALSE)</f>
        <v>pjamesoa</v>
      </c>
      <c r="O1208" t="str">
        <f>VLOOKUP(A1208, Data_Set_2!$A:$D,3,FALSE)</f>
        <v>Fivespan</v>
      </c>
      <c r="P1208" t="str">
        <f>VLOOKUP(A1208, Data_Set_2!$A:$D,4,FALSE)</f>
        <v>Community Outreach Specialist</v>
      </c>
      <c r="Q1208" t="str">
        <f>_xlfn.CONCAT(Table3[[#This Row],[first_name]], " ",Table3[[#This Row],[last_name]])</f>
        <v>Phyllis James</v>
      </c>
    </row>
    <row r="1209" spans="1:17" hidden="1" x14ac:dyDescent="0.3">
      <c r="A1209">
        <v>875</v>
      </c>
      <c r="B1209" t="s">
        <v>98</v>
      </c>
      <c r="C1209" t="s">
        <v>182</v>
      </c>
      <c r="D1209" t="s">
        <v>510</v>
      </c>
      <c r="E1209" t="s">
        <v>32</v>
      </c>
      <c r="F1209" t="s">
        <v>51</v>
      </c>
      <c r="G1209" s="1">
        <v>935</v>
      </c>
      <c r="H1209" t="s">
        <v>4035</v>
      </c>
      <c r="I1209" s="2">
        <v>43958</v>
      </c>
      <c r="J1209" t="s">
        <v>230</v>
      </c>
      <c r="K1209" t="s">
        <v>260</v>
      </c>
      <c r="L1209">
        <v>28256</v>
      </c>
      <c r="M1209" t="s">
        <v>21</v>
      </c>
      <c r="N1209" t="str">
        <f>VLOOKUP(A1209, Data_Set_2!$A:$D,2,FALSE)</f>
        <v>pjamesoa</v>
      </c>
      <c r="O1209" t="str">
        <f>VLOOKUP(A1209, Data_Set_2!$A:$D,3,FALSE)</f>
        <v>Fivespan</v>
      </c>
      <c r="P1209" t="str">
        <f>VLOOKUP(A1209, Data_Set_2!$A:$D,4,FALSE)</f>
        <v>Community Outreach Specialist</v>
      </c>
      <c r="Q1209" t="str">
        <f>_xlfn.CONCAT(Table3[[#This Row],[first_name]], " ",Table3[[#This Row],[last_name]])</f>
        <v>Phyllis James</v>
      </c>
    </row>
    <row r="1210" spans="1:17" hidden="1" x14ac:dyDescent="0.3">
      <c r="A1210">
        <v>875</v>
      </c>
      <c r="B1210" t="s">
        <v>98</v>
      </c>
      <c r="C1210" t="s">
        <v>182</v>
      </c>
      <c r="D1210" t="s">
        <v>510</v>
      </c>
      <c r="E1210" t="s">
        <v>32</v>
      </c>
      <c r="F1210" t="s">
        <v>51</v>
      </c>
      <c r="G1210" s="1">
        <v>732</v>
      </c>
      <c r="H1210" t="s">
        <v>4035</v>
      </c>
      <c r="I1210" s="2">
        <v>44161</v>
      </c>
      <c r="J1210" t="s">
        <v>230</v>
      </c>
      <c r="K1210" t="s">
        <v>260</v>
      </c>
      <c r="L1210">
        <v>28256</v>
      </c>
      <c r="M1210" t="s">
        <v>21</v>
      </c>
      <c r="N1210" t="str">
        <f>VLOOKUP(A1210, Data_Set_2!$A:$D,2,FALSE)</f>
        <v>pjamesoa</v>
      </c>
      <c r="O1210" t="str">
        <f>VLOOKUP(A1210, Data_Set_2!$A:$D,3,FALSE)</f>
        <v>Fivespan</v>
      </c>
      <c r="P1210" t="str">
        <f>VLOOKUP(A1210, Data_Set_2!$A:$D,4,FALSE)</f>
        <v>Community Outreach Specialist</v>
      </c>
      <c r="Q1210" t="str">
        <f>_xlfn.CONCAT(Table3[[#This Row],[first_name]], " ",Table3[[#This Row],[last_name]])</f>
        <v>Phyllis James</v>
      </c>
    </row>
    <row r="1211" spans="1:17" hidden="1" x14ac:dyDescent="0.3">
      <c r="A1211">
        <v>875</v>
      </c>
      <c r="B1211" t="s">
        <v>98</v>
      </c>
      <c r="C1211" t="s">
        <v>182</v>
      </c>
      <c r="D1211" t="s">
        <v>510</v>
      </c>
      <c r="E1211" t="s">
        <v>32</v>
      </c>
      <c r="F1211" t="s">
        <v>51</v>
      </c>
      <c r="G1211" s="1">
        <v>530</v>
      </c>
      <c r="H1211" t="s">
        <v>4035</v>
      </c>
      <c r="I1211" s="2">
        <v>44331</v>
      </c>
      <c r="J1211" t="s">
        <v>230</v>
      </c>
      <c r="K1211" t="s">
        <v>260</v>
      </c>
      <c r="L1211">
        <v>28256</v>
      </c>
      <c r="M1211" t="s">
        <v>21</v>
      </c>
      <c r="N1211" t="str">
        <f>VLOOKUP(A1211, Data_Set_2!$A:$D,2,FALSE)</f>
        <v>pjamesoa</v>
      </c>
      <c r="O1211" t="str">
        <f>VLOOKUP(A1211, Data_Set_2!$A:$D,3,FALSE)</f>
        <v>Fivespan</v>
      </c>
      <c r="P1211" t="str">
        <f>VLOOKUP(A1211, Data_Set_2!$A:$D,4,FALSE)</f>
        <v>Community Outreach Specialist</v>
      </c>
      <c r="Q1211" t="str">
        <f>_xlfn.CONCAT(Table3[[#This Row],[first_name]], " ",Table3[[#This Row],[last_name]])</f>
        <v>Phyllis James</v>
      </c>
    </row>
    <row r="1212" spans="1:17" hidden="1" x14ac:dyDescent="0.3">
      <c r="A1212">
        <v>875</v>
      </c>
      <c r="B1212" t="s">
        <v>98</v>
      </c>
      <c r="C1212" t="s">
        <v>182</v>
      </c>
      <c r="D1212" t="s">
        <v>510</v>
      </c>
      <c r="E1212" t="s">
        <v>32</v>
      </c>
      <c r="F1212" t="s">
        <v>51</v>
      </c>
      <c r="G1212" s="1">
        <v>122</v>
      </c>
      <c r="H1212" t="s">
        <v>4035</v>
      </c>
      <c r="I1212" s="2">
        <v>44642</v>
      </c>
      <c r="J1212" t="s">
        <v>230</v>
      </c>
      <c r="K1212" t="s">
        <v>260</v>
      </c>
      <c r="L1212">
        <v>28256</v>
      </c>
      <c r="M1212" t="s">
        <v>21</v>
      </c>
      <c r="N1212" t="str">
        <f>VLOOKUP(A1212, Data_Set_2!$A:$D,2,FALSE)</f>
        <v>pjamesoa</v>
      </c>
      <c r="O1212" t="str">
        <f>VLOOKUP(A1212, Data_Set_2!$A:$D,3,FALSE)</f>
        <v>Fivespan</v>
      </c>
      <c r="P1212" t="str">
        <f>VLOOKUP(A1212, Data_Set_2!$A:$D,4,FALSE)</f>
        <v>Community Outreach Specialist</v>
      </c>
      <c r="Q1212" t="str">
        <f>_xlfn.CONCAT(Table3[[#This Row],[first_name]], " ",Table3[[#This Row],[last_name]])</f>
        <v>Phyllis James</v>
      </c>
    </row>
    <row r="1213" spans="1:17" hidden="1" x14ac:dyDescent="0.3">
      <c r="A1213">
        <v>875</v>
      </c>
      <c r="B1213" t="s">
        <v>98</v>
      </c>
      <c r="C1213" t="s">
        <v>182</v>
      </c>
      <c r="D1213" t="s">
        <v>510</v>
      </c>
      <c r="E1213" t="s">
        <v>32</v>
      </c>
      <c r="F1213" t="s">
        <v>51</v>
      </c>
      <c r="G1213" s="1">
        <v>538</v>
      </c>
      <c r="H1213" t="s">
        <v>4035</v>
      </c>
      <c r="I1213" s="2">
        <v>44812</v>
      </c>
      <c r="J1213" t="s">
        <v>230</v>
      </c>
      <c r="K1213" t="s">
        <v>260</v>
      </c>
      <c r="L1213">
        <v>28256</v>
      </c>
      <c r="M1213" t="s">
        <v>21</v>
      </c>
      <c r="N1213" t="str">
        <f>VLOOKUP(A1213, Data_Set_2!$A:$D,2,FALSE)</f>
        <v>pjamesoa</v>
      </c>
      <c r="O1213" t="str">
        <f>VLOOKUP(A1213, Data_Set_2!$A:$D,3,FALSE)</f>
        <v>Fivespan</v>
      </c>
      <c r="P1213" t="str">
        <f>VLOOKUP(A1213, Data_Set_2!$A:$D,4,FALSE)</f>
        <v>Community Outreach Specialist</v>
      </c>
      <c r="Q1213" t="str">
        <f>_xlfn.CONCAT(Table3[[#This Row],[first_name]], " ",Table3[[#This Row],[last_name]])</f>
        <v>Phyllis James</v>
      </c>
    </row>
    <row r="1214" spans="1:17" hidden="1" x14ac:dyDescent="0.3">
      <c r="A1214">
        <v>875</v>
      </c>
      <c r="B1214" t="s">
        <v>98</v>
      </c>
      <c r="C1214" t="s">
        <v>182</v>
      </c>
      <c r="D1214" t="s">
        <v>510</v>
      </c>
      <c r="E1214" t="s">
        <v>32</v>
      </c>
      <c r="F1214" t="s">
        <v>51</v>
      </c>
      <c r="G1214" s="1">
        <v>891</v>
      </c>
      <c r="H1214" t="s">
        <v>4035</v>
      </c>
      <c r="I1214" s="2">
        <v>44879</v>
      </c>
      <c r="J1214" t="s">
        <v>230</v>
      </c>
      <c r="K1214" t="s">
        <v>260</v>
      </c>
      <c r="L1214">
        <v>28256</v>
      </c>
      <c r="M1214" t="s">
        <v>21</v>
      </c>
      <c r="N1214" t="str">
        <f>VLOOKUP(A1214, Data_Set_2!$A:$D,2,FALSE)</f>
        <v>pjamesoa</v>
      </c>
      <c r="O1214" t="str">
        <f>VLOOKUP(A1214, Data_Set_2!$A:$D,3,FALSE)</f>
        <v>Fivespan</v>
      </c>
      <c r="P1214" t="str">
        <f>VLOOKUP(A1214, Data_Set_2!$A:$D,4,FALSE)</f>
        <v>Community Outreach Specialist</v>
      </c>
      <c r="Q1214" t="str">
        <f>_xlfn.CONCAT(Table3[[#This Row],[first_name]], " ",Table3[[#This Row],[last_name]])</f>
        <v>Phyllis James</v>
      </c>
    </row>
    <row r="1215" spans="1:17" hidden="1" x14ac:dyDescent="0.3">
      <c r="A1215">
        <v>876</v>
      </c>
      <c r="B1215" t="s">
        <v>716</v>
      </c>
      <c r="C1215" t="s">
        <v>669</v>
      </c>
      <c r="D1215" t="s">
        <v>717</v>
      </c>
      <c r="E1215" t="s">
        <v>32</v>
      </c>
      <c r="F1215" t="s">
        <v>25</v>
      </c>
      <c r="G1215" s="1">
        <v>248</v>
      </c>
      <c r="H1215" t="s">
        <v>26</v>
      </c>
      <c r="I1215" s="2">
        <v>43656</v>
      </c>
      <c r="J1215" t="s">
        <v>120</v>
      </c>
      <c r="K1215" t="s">
        <v>718</v>
      </c>
      <c r="L1215">
        <v>70187</v>
      </c>
      <c r="M1215" t="s">
        <v>21</v>
      </c>
      <c r="N1215" t="str">
        <f>VLOOKUP(A1215, Data_Set_2!$A:$D,2,FALSE)</f>
        <v>sowensob</v>
      </c>
      <c r="O1215" t="str">
        <f>VLOOKUP(A1215, Data_Set_2!$A:$D,3,FALSE)</f>
        <v>Innotype</v>
      </c>
      <c r="P1215" t="str">
        <f>VLOOKUP(A1215, Data_Set_2!$A:$D,4,FALSE)</f>
        <v>Environmental Tech</v>
      </c>
      <c r="Q1215" t="str">
        <f>_xlfn.CONCAT(Table3[[#This Row],[first_name]], " ",Table3[[#This Row],[last_name]])</f>
        <v>Sara Owens</v>
      </c>
    </row>
    <row r="1216" spans="1:17" hidden="1" x14ac:dyDescent="0.3">
      <c r="A1216">
        <v>879</v>
      </c>
      <c r="B1216" t="s">
        <v>623</v>
      </c>
      <c r="C1216" t="s">
        <v>624</v>
      </c>
      <c r="D1216" t="s">
        <v>625</v>
      </c>
      <c r="E1216" t="s">
        <v>16</v>
      </c>
      <c r="F1216" t="s">
        <v>17</v>
      </c>
      <c r="G1216" s="1">
        <v>222</v>
      </c>
      <c r="H1216" t="s">
        <v>34</v>
      </c>
      <c r="I1216" s="2">
        <v>43543</v>
      </c>
      <c r="J1216" t="s">
        <v>152</v>
      </c>
      <c r="K1216" t="s">
        <v>626</v>
      </c>
      <c r="L1216">
        <v>43699</v>
      </c>
      <c r="M1216" t="s">
        <v>21</v>
      </c>
      <c r="N1216" t="str">
        <f>VLOOKUP(A1216, Data_Set_2!$A:$D,2,FALSE)</f>
        <v>jscottoe</v>
      </c>
      <c r="O1216" t="str">
        <f>VLOOKUP(A1216, Data_Set_2!$A:$D,3,FALSE)</f>
        <v>Myworks</v>
      </c>
      <c r="P1216" t="str">
        <f>VLOOKUP(A1216, Data_Set_2!$A:$D,4,FALSE)</f>
        <v>Project Manager</v>
      </c>
      <c r="Q1216" t="str">
        <f>_xlfn.CONCAT(Table3[[#This Row],[first_name]], " ",Table3[[#This Row],[last_name]])</f>
        <v>Jose Scott</v>
      </c>
    </row>
    <row r="1217" spans="1:17" hidden="1" x14ac:dyDescent="0.3">
      <c r="A1217">
        <v>879</v>
      </c>
      <c r="B1217" t="s">
        <v>623</v>
      </c>
      <c r="C1217" t="s">
        <v>624</v>
      </c>
      <c r="D1217" t="s">
        <v>625</v>
      </c>
      <c r="E1217" t="s">
        <v>16</v>
      </c>
      <c r="F1217" t="s">
        <v>17</v>
      </c>
      <c r="G1217" s="1">
        <v>818</v>
      </c>
      <c r="H1217" t="s">
        <v>34</v>
      </c>
      <c r="I1217" s="2">
        <v>43610</v>
      </c>
      <c r="J1217" t="s">
        <v>152</v>
      </c>
      <c r="K1217" t="s">
        <v>626</v>
      </c>
      <c r="L1217">
        <v>43699</v>
      </c>
      <c r="M1217" t="s">
        <v>21</v>
      </c>
      <c r="N1217" t="str">
        <f>VLOOKUP(A1217, Data_Set_2!$A:$D,2,FALSE)</f>
        <v>jscottoe</v>
      </c>
      <c r="O1217" t="str">
        <f>VLOOKUP(A1217, Data_Set_2!$A:$D,3,FALSE)</f>
        <v>Myworks</v>
      </c>
      <c r="P1217" t="str">
        <f>VLOOKUP(A1217, Data_Set_2!$A:$D,4,FALSE)</f>
        <v>Project Manager</v>
      </c>
      <c r="Q1217" t="str">
        <f>_xlfn.CONCAT(Table3[[#This Row],[first_name]], " ",Table3[[#This Row],[last_name]])</f>
        <v>Jose Scott</v>
      </c>
    </row>
    <row r="1218" spans="1:17" hidden="1" x14ac:dyDescent="0.3">
      <c r="A1218">
        <v>879</v>
      </c>
      <c r="B1218" t="s">
        <v>623</v>
      </c>
      <c r="C1218" t="s">
        <v>624</v>
      </c>
      <c r="D1218" t="s">
        <v>625</v>
      </c>
      <c r="E1218" t="s">
        <v>16</v>
      </c>
      <c r="F1218" t="s">
        <v>17</v>
      </c>
      <c r="G1218" s="1">
        <v>40</v>
      </c>
      <c r="H1218" t="s">
        <v>34</v>
      </c>
      <c r="I1218" s="2">
        <v>43692</v>
      </c>
      <c r="J1218" t="s">
        <v>152</v>
      </c>
      <c r="K1218" t="s">
        <v>626</v>
      </c>
      <c r="L1218">
        <v>43699</v>
      </c>
      <c r="M1218" t="s">
        <v>21</v>
      </c>
      <c r="N1218" t="str">
        <f>VLOOKUP(A1218, Data_Set_2!$A:$D,2,FALSE)</f>
        <v>jscottoe</v>
      </c>
      <c r="O1218" t="str">
        <f>VLOOKUP(A1218, Data_Set_2!$A:$D,3,FALSE)</f>
        <v>Myworks</v>
      </c>
      <c r="P1218" t="str">
        <f>VLOOKUP(A1218, Data_Set_2!$A:$D,4,FALSE)</f>
        <v>Project Manager</v>
      </c>
      <c r="Q1218" t="str">
        <f>_xlfn.CONCAT(Table3[[#This Row],[first_name]], " ",Table3[[#This Row],[last_name]])</f>
        <v>Jose Scott</v>
      </c>
    </row>
    <row r="1219" spans="1:17" hidden="1" x14ac:dyDescent="0.3">
      <c r="A1219">
        <v>879</v>
      </c>
      <c r="B1219" t="s">
        <v>623</v>
      </c>
      <c r="C1219" t="s">
        <v>624</v>
      </c>
      <c r="D1219" t="s">
        <v>625</v>
      </c>
      <c r="E1219" t="s">
        <v>16</v>
      </c>
      <c r="F1219" t="s">
        <v>17</v>
      </c>
      <c r="G1219" s="1">
        <v>94</v>
      </c>
      <c r="H1219" t="s">
        <v>34</v>
      </c>
      <c r="I1219" s="2">
        <v>43705</v>
      </c>
      <c r="J1219" t="s">
        <v>152</v>
      </c>
      <c r="K1219" t="s">
        <v>626</v>
      </c>
      <c r="L1219">
        <v>43699</v>
      </c>
      <c r="M1219" t="s">
        <v>21</v>
      </c>
      <c r="N1219" t="str">
        <f>VLOOKUP(A1219, Data_Set_2!$A:$D,2,FALSE)</f>
        <v>jscottoe</v>
      </c>
      <c r="O1219" t="str">
        <f>VLOOKUP(A1219, Data_Set_2!$A:$D,3,FALSE)</f>
        <v>Myworks</v>
      </c>
      <c r="P1219" t="str">
        <f>VLOOKUP(A1219, Data_Set_2!$A:$D,4,FALSE)</f>
        <v>Project Manager</v>
      </c>
      <c r="Q1219" t="str">
        <f>_xlfn.CONCAT(Table3[[#This Row],[first_name]], " ",Table3[[#This Row],[last_name]])</f>
        <v>Jose Scott</v>
      </c>
    </row>
    <row r="1220" spans="1:17" hidden="1" x14ac:dyDescent="0.3">
      <c r="A1220">
        <v>879</v>
      </c>
      <c r="B1220" t="s">
        <v>623</v>
      </c>
      <c r="C1220" t="s">
        <v>624</v>
      </c>
      <c r="D1220" t="s">
        <v>625</v>
      </c>
      <c r="E1220" t="s">
        <v>16</v>
      </c>
      <c r="F1220" t="s">
        <v>17</v>
      </c>
      <c r="G1220" s="1">
        <v>43</v>
      </c>
      <c r="H1220" t="s">
        <v>34</v>
      </c>
      <c r="I1220" s="2">
        <v>43767</v>
      </c>
      <c r="J1220" t="s">
        <v>152</v>
      </c>
      <c r="K1220" t="s">
        <v>626</v>
      </c>
      <c r="L1220">
        <v>43699</v>
      </c>
      <c r="M1220" t="s">
        <v>21</v>
      </c>
      <c r="N1220" t="str">
        <f>VLOOKUP(A1220, Data_Set_2!$A:$D,2,FALSE)</f>
        <v>jscottoe</v>
      </c>
      <c r="O1220" t="str">
        <f>VLOOKUP(A1220, Data_Set_2!$A:$D,3,FALSE)</f>
        <v>Myworks</v>
      </c>
      <c r="P1220" t="str">
        <f>VLOOKUP(A1220, Data_Set_2!$A:$D,4,FALSE)</f>
        <v>Project Manager</v>
      </c>
      <c r="Q1220" t="str">
        <f>_xlfn.CONCAT(Table3[[#This Row],[first_name]], " ",Table3[[#This Row],[last_name]])</f>
        <v>Jose Scott</v>
      </c>
    </row>
    <row r="1221" spans="1:17" hidden="1" x14ac:dyDescent="0.3">
      <c r="A1221">
        <v>879</v>
      </c>
      <c r="B1221" t="s">
        <v>623</v>
      </c>
      <c r="C1221" t="s">
        <v>624</v>
      </c>
      <c r="D1221" t="s">
        <v>625</v>
      </c>
      <c r="E1221" t="s">
        <v>16</v>
      </c>
      <c r="F1221" t="s">
        <v>17</v>
      </c>
      <c r="G1221" s="1">
        <v>174</v>
      </c>
      <c r="H1221" t="s">
        <v>34</v>
      </c>
      <c r="I1221" s="2">
        <v>43914</v>
      </c>
      <c r="J1221" t="s">
        <v>152</v>
      </c>
      <c r="K1221" t="s">
        <v>626</v>
      </c>
      <c r="L1221">
        <v>43699</v>
      </c>
      <c r="M1221" t="s">
        <v>21</v>
      </c>
      <c r="N1221" t="str">
        <f>VLOOKUP(A1221, Data_Set_2!$A:$D,2,FALSE)</f>
        <v>jscottoe</v>
      </c>
      <c r="O1221" t="str">
        <f>VLOOKUP(A1221, Data_Set_2!$A:$D,3,FALSE)</f>
        <v>Myworks</v>
      </c>
      <c r="P1221" t="str">
        <f>VLOOKUP(A1221, Data_Set_2!$A:$D,4,FALSE)</f>
        <v>Project Manager</v>
      </c>
      <c r="Q1221" t="str">
        <f>_xlfn.CONCAT(Table3[[#This Row],[first_name]], " ",Table3[[#This Row],[last_name]])</f>
        <v>Jose Scott</v>
      </c>
    </row>
    <row r="1222" spans="1:17" hidden="1" x14ac:dyDescent="0.3">
      <c r="A1222">
        <v>879</v>
      </c>
      <c r="B1222" t="s">
        <v>623</v>
      </c>
      <c r="C1222" t="s">
        <v>624</v>
      </c>
      <c r="D1222" t="s">
        <v>625</v>
      </c>
      <c r="E1222" t="s">
        <v>16</v>
      </c>
      <c r="F1222" t="s">
        <v>17</v>
      </c>
      <c r="G1222" s="1">
        <v>781</v>
      </c>
      <c r="H1222" t="s">
        <v>34</v>
      </c>
      <c r="I1222" s="2">
        <v>43986</v>
      </c>
      <c r="J1222" t="s">
        <v>152</v>
      </c>
      <c r="K1222" t="s">
        <v>626</v>
      </c>
      <c r="L1222">
        <v>43699</v>
      </c>
      <c r="M1222" t="s">
        <v>21</v>
      </c>
      <c r="N1222" t="str">
        <f>VLOOKUP(A1222, Data_Set_2!$A:$D,2,FALSE)</f>
        <v>jscottoe</v>
      </c>
      <c r="O1222" t="str">
        <f>VLOOKUP(A1222, Data_Set_2!$A:$D,3,FALSE)</f>
        <v>Myworks</v>
      </c>
      <c r="P1222" t="str">
        <f>VLOOKUP(A1222, Data_Set_2!$A:$D,4,FALSE)</f>
        <v>Project Manager</v>
      </c>
      <c r="Q1222" t="str">
        <f>_xlfn.CONCAT(Table3[[#This Row],[first_name]], " ",Table3[[#This Row],[last_name]])</f>
        <v>Jose Scott</v>
      </c>
    </row>
    <row r="1223" spans="1:17" hidden="1" x14ac:dyDescent="0.3">
      <c r="A1223">
        <v>879</v>
      </c>
      <c r="B1223" t="s">
        <v>623</v>
      </c>
      <c r="C1223" t="s">
        <v>624</v>
      </c>
      <c r="D1223" t="s">
        <v>625</v>
      </c>
      <c r="E1223" t="s">
        <v>16</v>
      </c>
      <c r="F1223" t="s">
        <v>17</v>
      </c>
      <c r="G1223" s="1">
        <v>110</v>
      </c>
      <c r="H1223" t="s">
        <v>34</v>
      </c>
      <c r="I1223" s="2">
        <v>44131</v>
      </c>
      <c r="J1223" t="s">
        <v>152</v>
      </c>
      <c r="K1223" t="s">
        <v>626</v>
      </c>
      <c r="L1223">
        <v>43699</v>
      </c>
      <c r="M1223" t="s">
        <v>21</v>
      </c>
      <c r="N1223" t="str">
        <f>VLOOKUP(A1223, Data_Set_2!$A:$D,2,FALSE)</f>
        <v>jscottoe</v>
      </c>
      <c r="O1223" t="str">
        <f>VLOOKUP(A1223, Data_Set_2!$A:$D,3,FALSE)</f>
        <v>Myworks</v>
      </c>
      <c r="P1223" t="str">
        <f>VLOOKUP(A1223, Data_Set_2!$A:$D,4,FALSE)</f>
        <v>Project Manager</v>
      </c>
      <c r="Q1223" t="str">
        <f>_xlfn.CONCAT(Table3[[#This Row],[first_name]], " ",Table3[[#This Row],[last_name]])</f>
        <v>Jose Scott</v>
      </c>
    </row>
    <row r="1224" spans="1:17" hidden="1" x14ac:dyDescent="0.3">
      <c r="A1224">
        <v>879</v>
      </c>
      <c r="B1224" t="s">
        <v>623</v>
      </c>
      <c r="C1224" t="s">
        <v>624</v>
      </c>
      <c r="D1224" t="s">
        <v>625</v>
      </c>
      <c r="E1224" t="s">
        <v>16</v>
      </c>
      <c r="F1224" t="s">
        <v>17</v>
      </c>
      <c r="G1224" s="1">
        <v>968</v>
      </c>
      <c r="H1224" t="s">
        <v>34</v>
      </c>
      <c r="I1224" s="2">
        <v>44256</v>
      </c>
      <c r="J1224" t="s">
        <v>152</v>
      </c>
      <c r="K1224" t="s">
        <v>626</v>
      </c>
      <c r="L1224">
        <v>43699</v>
      </c>
      <c r="M1224" t="s">
        <v>21</v>
      </c>
      <c r="N1224" t="str">
        <f>VLOOKUP(A1224, Data_Set_2!$A:$D,2,FALSE)</f>
        <v>jscottoe</v>
      </c>
      <c r="O1224" t="str">
        <f>VLOOKUP(A1224, Data_Set_2!$A:$D,3,FALSE)</f>
        <v>Myworks</v>
      </c>
      <c r="P1224" t="str">
        <f>VLOOKUP(A1224, Data_Set_2!$A:$D,4,FALSE)</f>
        <v>Project Manager</v>
      </c>
      <c r="Q1224" t="str">
        <f>_xlfn.CONCAT(Table3[[#This Row],[first_name]], " ",Table3[[#This Row],[last_name]])</f>
        <v>Jose Scott</v>
      </c>
    </row>
    <row r="1225" spans="1:17" hidden="1" x14ac:dyDescent="0.3">
      <c r="A1225">
        <v>879</v>
      </c>
      <c r="B1225" t="s">
        <v>623</v>
      </c>
      <c r="C1225" t="s">
        <v>624</v>
      </c>
      <c r="D1225" t="s">
        <v>625</v>
      </c>
      <c r="E1225" t="s">
        <v>16</v>
      </c>
      <c r="F1225" t="s">
        <v>17</v>
      </c>
      <c r="G1225" s="1">
        <v>256</v>
      </c>
      <c r="H1225" t="s">
        <v>34</v>
      </c>
      <c r="I1225" s="2">
        <v>44291</v>
      </c>
      <c r="J1225" t="s">
        <v>152</v>
      </c>
      <c r="K1225" t="s">
        <v>626</v>
      </c>
      <c r="L1225">
        <v>43699</v>
      </c>
      <c r="M1225" t="s">
        <v>21</v>
      </c>
      <c r="N1225" t="str">
        <f>VLOOKUP(A1225, Data_Set_2!$A:$D,2,FALSE)</f>
        <v>jscottoe</v>
      </c>
      <c r="O1225" t="str">
        <f>VLOOKUP(A1225, Data_Set_2!$A:$D,3,FALSE)</f>
        <v>Myworks</v>
      </c>
      <c r="P1225" t="str">
        <f>VLOOKUP(A1225, Data_Set_2!$A:$D,4,FALSE)</f>
        <v>Project Manager</v>
      </c>
      <c r="Q1225" t="str">
        <f>_xlfn.CONCAT(Table3[[#This Row],[first_name]], " ",Table3[[#This Row],[last_name]])</f>
        <v>Jose Scott</v>
      </c>
    </row>
    <row r="1226" spans="1:17" hidden="1" x14ac:dyDescent="0.3">
      <c r="A1226">
        <v>879</v>
      </c>
      <c r="B1226" t="s">
        <v>623</v>
      </c>
      <c r="C1226" t="s">
        <v>624</v>
      </c>
      <c r="D1226" t="s">
        <v>625</v>
      </c>
      <c r="E1226" t="s">
        <v>16</v>
      </c>
      <c r="F1226" t="s">
        <v>17</v>
      </c>
      <c r="G1226" s="1">
        <v>310</v>
      </c>
      <c r="H1226" t="s">
        <v>34</v>
      </c>
      <c r="I1226" s="2">
        <v>44694</v>
      </c>
      <c r="J1226" t="s">
        <v>152</v>
      </c>
      <c r="K1226" t="s">
        <v>626</v>
      </c>
      <c r="L1226">
        <v>43699</v>
      </c>
      <c r="M1226" t="s">
        <v>21</v>
      </c>
      <c r="N1226" t="str">
        <f>VLOOKUP(A1226, Data_Set_2!$A:$D,2,FALSE)</f>
        <v>jscottoe</v>
      </c>
      <c r="O1226" t="str">
        <f>VLOOKUP(A1226, Data_Set_2!$A:$D,3,FALSE)</f>
        <v>Myworks</v>
      </c>
      <c r="P1226" t="str">
        <f>VLOOKUP(A1226, Data_Set_2!$A:$D,4,FALSE)</f>
        <v>Project Manager</v>
      </c>
      <c r="Q1226" t="str">
        <f>_xlfn.CONCAT(Table3[[#This Row],[first_name]], " ",Table3[[#This Row],[last_name]])</f>
        <v>Jose Scott</v>
      </c>
    </row>
    <row r="1227" spans="1:17" hidden="1" x14ac:dyDescent="0.3">
      <c r="A1227">
        <v>879</v>
      </c>
      <c r="B1227" t="s">
        <v>623</v>
      </c>
      <c r="C1227" t="s">
        <v>624</v>
      </c>
      <c r="D1227" t="s">
        <v>625</v>
      </c>
      <c r="E1227" t="s">
        <v>16</v>
      </c>
      <c r="F1227" t="s">
        <v>17</v>
      </c>
      <c r="G1227" s="1">
        <v>885</v>
      </c>
      <c r="H1227" t="s">
        <v>34</v>
      </c>
      <c r="I1227" s="2">
        <v>44809</v>
      </c>
      <c r="J1227" t="s">
        <v>152</v>
      </c>
      <c r="K1227" t="s">
        <v>626</v>
      </c>
      <c r="L1227">
        <v>43699</v>
      </c>
      <c r="M1227" t="s">
        <v>21</v>
      </c>
      <c r="N1227" t="str">
        <f>VLOOKUP(A1227, Data_Set_2!$A:$D,2,FALSE)</f>
        <v>jscottoe</v>
      </c>
      <c r="O1227" t="str">
        <f>VLOOKUP(A1227, Data_Set_2!$A:$D,3,FALSE)</f>
        <v>Myworks</v>
      </c>
      <c r="P1227" t="str">
        <f>VLOOKUP(A1227, Data_Set_2!$A:$D,4,FALSE)</f>
        <v>Project Manager</v>
      </c>
      <c r="Q1227" t="str">
        <f>_xlfn.CONCAT(Table3[[#This Row],[first_name]], " ",Table3[[#This Row],[last_name]])</f>
        <v>Jose Scott</v>
      </c>
    </row>
    <row r="1228" spans="1:17" hidden="1" x14ac:dyDescent="0.3">
      <c r="A1228">
        <v>879</v>
      </c>
      <c r="B1228" t="s">
        <v>623</v>
      </c>
      <c r="C1228" t="s">
        <v>624</v>
      </c>
      <c r="D1228" t="s">
        <v>625</v>
      </c>
      <c r="E1228" t="s">
        <v>16</v>
      </c>
      <c r="F1228" t="s">
        <v>17</v>
      </c>
      <c r="G1228" s="1">
        <v>565</v>
      </c>
      <c r="H1228" t="s">
        <v>34</v>
      </c>
      <c r="I1228" s="2">
        <v>44893</v>
      </c>
      <c r="J1228" t="s">
        <v>152</v>
      </c>
      <c r="K1228" t="s">
        <v>626</v>
      </c>
      <c r="L1228">
        <v>43699</v>
      </c>
      <c r="M1228" t="s">
        <v>21</v>
      </c>
      <c r="N1228" t="str">
        <f>VLOOKUP(A1228, Data_Set_2!$A:$D,2,FALSE)</f>
        <v>jscottoe</v>
      </c>
      <c r="O1228" t="str">
        <f>VLOOKUP(A1228, Data_Set_2!$A:$D,3,FALSE)</f>
        <v>Myworks</v>
      </c>
      <c r="P1228" t="str">
        <f>VLOOKUP(A1228, Data_Set_2!$A:$D,4,FALSE)</f>
        <v>Project Manager</v>
      </c>
      <c r="Q1228" t="str">
        <f>_xlfn.CONCAT(Table3[[#This Row],[first_name]], " ",Table3[[#This Row],[last_name]])</f>
        <v>Jose Scott</v>
      </c>
    </row>
    <row r="1229" spans="1:17" hidden="1" x14ac:dyDescent="0.3">
      <c r="A1229">
        <v>880</v>
      </c>
      <c r="B1229" t="s">
        <v>112</v>
      </c>
      <c r="C1229" t="s">
        <v>195</v>
      </c>
      <c r="D1229" t="s">
        <v>587</v>
      </c>
      <c r="E1229" t="s">
        <v>32</v>
      </c>
      <c r="F1229" t="s">
        <v>33</v>
      </c>
      <c r="G1229" s="1">
        <v>701</v>
      </c>
      <c r="H1229" t="s">
        <v>26</v>
      </c>
      <c r="I1229" s="2">
        <v>43488</v>
      </c>
      <c r="J1229" t="s">
        <v>78</v>
      </c>
      <c r="K1229" t="s">
        <v>105</v>
      </c>
      <c r="L1229">
        <v>48206</v>
      </c>
      <c r="M1229" t="s">
        <v>21</v>
      </c>
      <c r="N1229" t="str">
        <f>VLOOKUP(A1229, Data_Set_2!$A:$D,2,FALSE)</f>
        <v>nturnerof</v>
      </c>
      <c r="O1229" t="str">
        <f>VLOOKUP(A1229, Data_Set_2!$A:$D,3,FALSE)</f>
        <v>Quaxo</v>
      </c>
      <c r="P1229" t="str">
        <f>VLOOKUP(A1229, Data_Set_2!$A:$D,4,FALSE)</f>
        <v>Administrative Officer</v>
      </c>
      <c r="Q1229" t="str">
        <f>_xlfn.CONCAT(Table3[[#This Row],[first_name]], " ",Table3[[#This Row],[last_name]])</f>
        <v>Norma Turner</v>
      </c>
    </row>
    <row r="1230" spans="1:17" x14ac:dyDescent="0.3">
      <c r="A1230">
        <v>881</v>
      </c>
      <c r="B1230" t="s">
        <v>623</v>
      </c>
      <c r="C1230" t="s">
        <v>986</v>
      </c>
      <c r="D1230" t="s">
        <v>987</v>
      </c>
      <c r="E1230" t="s">
        <v>16</v>
      </c>
      <c r="F1230" t="s">
        <v>33</v>
      </c>
      <c r="G1230" s="1">
        <v>48</v>
      </c>
      <c r="H1230" t="s">
        <v>95</v>
      </c>
      <c r="I1230" s="2">
        <v>44195</v>
      </c>
      <c r="J1230" t="s">
        <v>291</v>
      </c>
      <c r="K1230" t="s">
        <v>988</v>
      </c>
      <c r="L1230">
        <v>21747</v>
      </c>
      <c r="M1230" t="s">
        <v>21</v>
      </c>
      <c r="N1230" t="str">
        <f>VLOOKUP(A1230, Data_Set_2!$A:$D,2,FALSE)</f>
        <v>jriveraog</v>
      </c>
      <c r="O1230" t="str">
        <f>VLOOKUP(A1230, Data_Set_2!$A:$D,3,FALSE)</f>
        <v>Photojam</v>
      </c>
      <c r="P1230" t="str">
        <f>VLOOKUP(A1230, Data_Set_2!$A:$D,4,FALSE)</f>
        <v>Office Assistant IV</v>
      </c>
      <c r="Q1230" t="str">
        <f>_xlfn.CONCAT(Table3[[#This Row],[first_name]], " ",Table3[[#This Row],[last_name]])</f>
        <v>Jose Rivera</v>
      </c>
    </row>
    <row r="1231" spans="1:17" hidden="1" x14ac:dyDescent="0.3">
      <c r="A1231">
        <v>882</v>
      </c>
      <c r="B1231" t="s">
        <v>537</v>
      </c>
      <c r="C1231" t="s">
        <v>66</v>
      </c>
      <c r="D1231" t="s">
        <v>1101</v>
      </c>
      <c r="E1231" t="s">
        <v>16</v>
      </c>
      <c r="F1231" t="s">
        <v>17</v>
      </c>
      <c r="G1231" s="1">
        <v>996</v>
      </c>
      <c r="H1231" t="s">
        <v>73</v>
      </c>
      <c r="I1231" s="2">
        <v>44506</v>
      </c>
      <c r="J1231" t="s">
        <v>152</v>
      </c>
      <c r="K1231" t="s">
        <v>484</v>
      </c>
      <c r="L1231">
        <v>45408</v>
      </c>
      <c r="M1231" t="s">
        <v>21</v>
      </c>
      <c r="N1231" t="str">
        <f>VLOOKUP(A1231, Data_Set_2!$A:$D,2,FALSE)</f>
        <v>gperryoh</v>
      </c>
      <c r="O1231" t="str">
        <f>VLOOKUP(A1231, Data_Set_2!$A:$D,3,FALSE)</f>
        <v>Jaxnation</v>
      </c>
      <c r="P1231" t="str">
        <f>VLOOKUP(A1231, Data_Set_2!$A:$D,4,FALSE)</f>
        <v>General Manager</v>
      </c>
      <c r="Q1231" t="str">
        <f>_xlfn.CONCAT(Table3[[#This Row],[first_name]], " ",Table3[[#This Row],[last_name]])</f>
        <v>Gregory Perry</v>
      </c>
    </row>
    <row r="1232" spans="1:17" hidden="1" x14ac:dyDescent="0.3">
      <c r="A1232">
        <v>883</v>
      </c>
      <c r="B1232" t="s">
        <v>313</v>
      </c>
      <c r="C1232" t="s">
        <v>113</v>
      </c>
      <c r="D1232" t="s">
        <v>911</v>
      </c>
      <c r="E1232" t="s">
        <v>16</v>
      </c>
      <c r="F1232" t="s">
        <v>33</v>
      </c>
      <c r="G1232" s="1">
        <v>882</v>
      </c>
      <c r="H1232" t="s">
        <v>34</v>
      </c>
      <c r="I1232" s="2">
        <v>44039</v>
      </c>
      <c r="J1232" t="s">
        <v>704</v>
      </c>
      <c r="K1232" t="s">
        <v>705</v>
      </c>
      <c r="L1232">
        <v>73135</v>
      </c>
      <c r="M1232" t="s">
        <v>21</v>
      </c>
      <c r="N1232" t="str">
        <f>VLOOKUP(A1232, Data_Set_2!$A:$D,2,FALSE)</f>
        <v>hcooperoi</v>
      </c>
      <c r="O1232" t="str">
        <f>VLOOKUP(A1232, Data_Set_2!$A:$D,3,FALSE)</f>
        <v>Midel</v>
      </c>
      <c r="P1232" t="str">
        <f>VLOOKUP(A1232, Data_Set_2!$A:$D,4,FALSE)</f>
        <v>Food Chemist</v>
      </c>
      <c r="Q1232" t="str">
        <f>_xlfn.CONCAT(Table3[[#This Row],[first_name]], " ",Table3[[#This Row],[last_name]])</f>
        <v>Henry Cooper</v>
      </c>
    </row>
    <row r="1233" spans="1:17" hidden="1" x14ac:dyDescent="0.3">
      <c r="A1233">
        <v>884</v>
      </c>
      <c r="B1233" t="s">
        <v>327</v>
      </c>
      <c r="C1233" t="s">
        <v>310</v>
      </c>
      <c r="D1233" t="s">
        <v>328</v>
      </c>
      <c r="E1233" t="s">
        <v>32</v>
      </c>
      <c r="F1233" t="s">
        <v>33</v>
      </c>
      <c r="G1233" s="1">
        <v>779</v>
      </c>
      <c r="H1233" t="s">
        <v>73</v>
      </c>
      <c r="I1233" s="2">
        <v>43239</v>
      </c>
      <c r="J1233" t="s">
        <v>96</v>
      </c>
      <c r="K1233" t="s">
        <v>329</v>
      </c>
      <c r="L1233">
        <v>47732</v>
      </c>
      <c r="M1233" t="s">
        <v>21</v>
      </c>
      <c r="N1233" t="str">
        <f>VLOOKUP(A1233, Data_Set_2!$A:$D,2,FALSE)</f>
        <v>kwillisoj</v>
      </c>
      <c r="O1233" t="str">
        <f>VLOOKUP(A1233, Data_Set_2!$A:$D,3,FALSE)</f>
        <v>Avavee</v>
      </c>
      <c r="P1233" t="str">
        <f>VLOOKUP(A1233, Data_Set_2!$A:$D,4,FALSE)</f>
        <v>Human Resources Manager</v>
      </c>
      <c r="Q1233" t="str">
        <f>_xlfn.CONCAT(Table3[[#This Row],[first_name]], " ",Table3[[#This Row],[last_name]])</f>
        <v>Kathy Willis</v>
      </c>
    </row>
    <row r="1234" spans="1:17" hidden="1" x14ac:dyDescent="0.3">
      <c r="A1234">
        <v>885</v>
      </c>
      <c r="B1234" t="s">
        <v>89</v>
      </c>
      <c r="C1234" t="s">
        <v>90</v>
      </c>
      <c r="D1234" t="s">
        <v>91</v>
      </c>
      <c r="E1234" t="s">
        <v>16</v>
      </c>
      <c r="F1234" t="s">
        <v>17</v>
      </c>
      <c r="G1234" s="1">
        <v>887</v>
      </c>
      <c r="H1234" t="s">
        <v>73</v>
      </c>
      <c r="I1234" s="2">
        <v>43119</v>
      </c>
      <c r="J1234" t="s">
        <v>68</v>
      </c>
      <c r="K1234" t="s">
        <v>69</v>
      </c>
      <c r="L1234">
        <v>78732</v>
      </c>
      <c r="M1234" t="s">
        <v>21</v>
      </c>
      <c r="N1234" t="str">
        <f>VLOOKUP(A1234, Data_Set_2!$A:$D,2,FALSE)</f>
        <v>sromerook</v>
      </c>
      <c r="O1234" t="str">
        <f>VLOOKUP(A1234, Data_Set_2!$A:$D,3,FALSE)</f>
        <v>Einti</v>
      </c>
      <c r="P1234" t="str">
        <f>VLOOKUP(A1234, Data_Set_2!$A:$D,4,FALSE)</f>
        <v>Design Engineer</v>
      </c>
      <c r="Q1234" t="str">
        <f>_xlfn.CONCAT(Table3[[#This Row],[first_name]], " ",Table3[[#This Row],[last_name]])</f>
        <v>Stephen Romero</v>
      </c>
    </row>
    <row r="1235" spans="1:17" hidden="1" x14ac:dyDescent="0.3">
      <c r="A1235">
        <v>888</v>
      </c>
      <c r="B1235" t="s">
        <v>687</v>
      </c>
      <c r="C1235" t="s">
        <v>1255</v>
      </c>
      <c r="D1235" t="s">
        <v>1256</v>
      </c>
      <c r="E1235" t="s">
        <v>16</v>
      </c>
      <c r="F1235" t="s">
        <v>33</v>
      </c>
      <c r="G1235" s="1">
        <v>660</v>
      </c>
      <c r="H1235" t="s">
        <v>73</v>
      </c>
      <c r="I1235" s="2">
        <v>44889</v>
      </c>
      <c r="J1235" t="s">
        <v>74</v>
      </c>
      <c r="K1235" t="s">
        <v>1257</v>
      </c>
      <c r="L1235">
        <v>30045</v>
      </c>
      <c r="M1235" t="s">
        <v>21</v>
      </c>
      <c r="N1235" t="str">
        <f>VLOOKUP(A1235, Data_Set_2!$A:$D,2,FALSE)</f>
        <v>rbarneson</v>
      </c>
      <c r="O1235" t="str">
        <f>VLOOKUP(A1235, Data_Set_2!$A:$D,3,FALSE)</f>
        <v>Skinder</v>
      </c>
      <c r="P1235" t="str">
        <f>VLOOKUP(A1235, Data_Set_2!$A:$D,4,FALSE)</f>
        <v>Geologist III</v>
      </c>
      <c r="Q1235" t="str">
        <f>_xlfn.CONCAT(Table3[[#This Row],[first_name]], " ",Table3[[#This Row],[last_name]])</f>
        <v>Robert Barnes</v>
      </c>
    </row>
    <row r="1236" spans="1:17" hidden="1" x14ac:dyDescent="0.3">
      <c r="A1236">
        <v>890</v>
      </c>
      <c r="B1236" t="s">
        <v>43</v>
      </c>
      <c r="C1236" t="s">
        <v>60</v>
      </c>
      <c r="D1236" t="s">
        <v>61</v>
      </c>
      <c r="E1236" t="s">
        <v>16</v>
      </c>
      <c r="F1236" t="s">
        <v>25</v>
      </c>
      <c r="G1236" s="1">
        <v>78</v>
      </c>
      <c r="H1236" t="s">
        <v>62</v>
      </c>
      <c r="I1236" s="2">
        <v>43110</v>
      </c>
      <c r="J1236" t="s">
        <v>63</v>
      </c>
      <c r="K1236" t="s">
        <v>64</v>
      </c>
      <c r="L1236">
        <v>68117</v>
      </c>
      <c r="M1236" t="s">
        <v>21</v>
      </c>
      <c r="N1236" t="str">
        <f>VLOOKUP(A1236, Data_Set_2!$A:$D,2,FALSE)</f>
        <v>bjacobsop</v>
      </c>
      <c r="O1236" t="str">
        <f>VLOOKUP(A1236, Data_Set_2!$A:$D,3,FALSE)</f>
        <v>JumpXS</v>
      </c>
      <c r="P1236" t="str">
        <f>VLOOKUP(A1236, Data_Set_2!$A:$D,4,FALSE)</f>
        <v>Associate Professor</v>
      </c>
      <c r="Q1236" t="str">
        <f>_xlfn.CONCAT(Table3[[#This Row],[first_name]], " ",Table3[[#This Row],[last_name]])</f>
        <v>Brandon Jacobs</v>
      </c>
    </row>
    <row r="1237" spans="1:17" hidden="1" x14ac:dyDescent="0.3">
      <c r="A1237">
        <v>890</v>
      </c>
      <c r="B1237" t="s">
        <v>43</v>
      </c>
      <c r="C1237" t="s">
        <v>60</v>
      </c>
      <c r="D1237" t="s">
        <v>61</v>
      </c>
      <c r="E1237" t="s">
        <v>16</v>
      </c>
      <c r="F1237" t="s">
        <v>25</v>
      </c>
      <c r="G1237" s="1">
        <v>404</v>
      </c>
      <c r="H1237" t="s">
        <v>62</v>
      </c>
      <c r="I1237" s="2">
        <v>43137</v>
      </c>
      <c r="J1237" t="s">
        <v>63</v>
      </c>
      <c r="K1237" t="s">
        <v>64</v>
      </c>
      <c r="L1237">
        <v>68117</v>
      </c>
      <c r="M1237" t="s">
        <v>21</v>
      </c>
      <c r="N1237" t="str">
        <f>VLOOKUP(A1237, Data_Set_2!$A:$D,2,FALSE)</f>
        <v>bjacobsop</v>
      </c>
      <c r="O1237" t="str">
        <f>VLOOKUP(A1237, Data_Set_2!$A:$D,3,FALSE)</f>
        <v>JumpXS</v>
      </c>
      <c r="P1237" t="str">
        <f>VLOOKUP(A1237, Data_Set_2!$A:$D,4,FALSE)</f>
        <v>Associate Professor</v>
      </c>
      <c r="Q1237" t="str">
        <f>_xlfn.CONCAT(Table3[[#This Row],[first_name]], " ",Table3[[#This Row],[last_name]])</f>
        <v>Brandon Jacobs</v>
      </c>
    </row>
    <row r="1238" spans="1:17" hidden="1" x14ac:dyDescent="0.3">
      <c r="A1238">
        <v>890</v>
      </c>
      <c r="B1238" t="s">
        <v>43</v>
      </c>
      <c r="C1238" t="s">
        <v>60</v>
      </c>
      <c r="D1238" t="s">
        <v>61</v>
      </c>
      <c r="E1238" t="s">
        <v>16</v>
      </c>
      <c r="F1238" t="s">
        <v>25</v>
      </c>
      <c r="G1238" s="1">
        <v>963</v>
      </c>
      <c r="H1238" t="s">
        <v>62</v>
      </c>
      <c r="I1238" s="2">
        <v>43149</v>
      </c>
      <c r="J1238" t="s">
        <v>63</v>
      </c>
      <c r="K1238" t="s">
        <v>64</v>
      </c>
      <c r="L1238">
        <v>68117</v>
      </c>
      <c r="M1238" t="s">
        <v>21</v>
      </c>
      <c r="N1238" t="str">
        <f>VLOOKUP(A1238, Data_Set_2!$A:$D,2,FALSE)</f>
        <v>bjacobsop</v>
      </c>
      <c r="O1238" t="str">
        <f>VLOOKUP(A1238, Data_Set_2!$A:$D,3,FALSE)</f>
        <v>JumpXS</v>
      </c>
      <c r="P1238" t="str">
        <f>VLOOKUP(A1238, Data_Set_2!$A:$D,4,FALSE)</f>
        <v>Associate Professor</v>
      </c>
      <c r="Q1238" t="str">
        <f>_xlfn.CONCAT(Table3[[#This Row],[first_name]], " ",Table3[[#This Row],[last_name]])</f>
        <v>Brandon Jacobs</v>
      </c>
    </row>
    <row r="1239" spans="1:17" hidden="1" x14ac:dyDescent="0.3">
      <c r="A1239">
        <v>890</v>
      </c>
      <c r="B1239" t="s">
        <v>43</v>
      </c>
      <c r="C1239" t="s">
        <v>60</v>
      </c>
      <c r="D1239" t="s">
        <v>61</v>
      </c>
      <c r="E1239" t="s">
        <v>16</v>
      </c>
      <c r="F1239" t="s">
        <v>25</v>
      </c>
      <c r="G1239" s="1">
        <v>762</v>
      </c>
      <c r="H1239" t="s">
        <v>62</v>
      </c>
      <c r="I1239" s="2">
        <v>43150</v>
      </c>
      <c r="J1239" t="s">
        <v>63</v>
      </c>
      <c r="K1239" t="s">
        <v>64</v>
      </c>
      <c r="L1239">
        <v>68117</v>
      </c>
      <c r="M1239" t="s">
        <v>21</v>
      </c>
      <c r="N1239" t="str">
        <f>VLOOKUP(A1239, Data_Set_2!$A:$D,2,FALSE)</f>
        <v>bjacobsop</v>
      </c>
      <c r="O1239" t="str">
        <f>VLOOKUP(A1239, Data_Set_2!$A:$D,3,FALSE)</f>
        <v>JumpXS</v>
      </c>
      <c r="P1239" t="str">
        <f>VLOOKUP(A1239, Data_Set_2!$A:$D,4,FALSE)</f>
        <v>Associate Professor</v>
      </c>
      <c r="Q1239" t="str">
        <f>_xlfn.CONCAT(Table3[[#This Row],[first_name]], " ",Table3[[#This Row],[last_name]])</f>
        <v>Brandon Jacobs</v>
      </c>
    </row>
    <row r="1240" spans="1:17" hidden="1" x14ac:dyDescent="0.3">
      <c r="A1240">
        <v>890</v>
      </c>
      <c r="B1240" t="s">
        <v>43</v>
      </c>
      <c r="C1240" t="s">
        <v>60</v>
      </c>
      <c r="D1240" t="s">
        <v>61</v>
      </c>
      <c r="E1240" t="s">
        <v>16</v>
      </c>
      <c r="F1240" t="s">
        <v>25</v>
      </c>
      <c r="G1240" s="1">
        <v>178</v>
      </c>
      <c r="H1240" t="s">
        <v>62</v>
      </c>
      <c r="I1240" s="2">
        <v>43191</v>
      </c>
      <c r="J1240" t="s">
        <v>63</v>
      </c>
      <c r="K1240" t="s">
        <v>64</v>
      </c>
      <c r="L1240">
        <v>68117</v>
      </c>
      <c r="M1240" t="s">
        <v>21</v>
      </c>
      <c r="N1240" t="str">
        <f>VLOOKUP(A1240, Data_Set_2!$A:$D,2,FALSE)</f>
        <v>bjacobsop</v>
      </c>
      <c r="O1240" t="str">
        <f>VLOOKUP(A1240, Data_Set_2!$A:$D,3,FALSE)</f>
        <v>JumpXS</v>
      </c>
      <c r="P1240" t="str">
        <f>VLOOKUP(A1240, Data_Set_2!$A:$D,4,FALSE)</f>
        <v>Associate Professor</v>
      </c>
      <c r="Q1240" t="str">
        <f>_xlfn.CONCAT(Table3[[#This Row],[first_name]], " ",Table3[[#This Row],[last_name]])</f>
        <v>Brandon Jacobs</v>
      </c>
    </row>
    <row r="1241" spans="1:17" hidden="1" x14ac:dyDescent="0.3">
      <c r="A1241">
        <v>890</v>
      </c>
      <c r="B1241" t="s">
        <v>43</v>
      </c>
      <c r="C1241" t="s">
        <v>60</v>
      </c>
      <c r="D1241" t="s">
        <v>61</v>
      </c>
      <c r="E1241" t="s">
        <v>16</v>
      </c>
      <c r="F1241" t="s">
        <v>25</v>
      </c>
      <c r="G1241" s="1">
        <v>928</v>
      </c>
      <c r="H1241" t="s">
        <v>62</v>
      </c>
      <c r="I1241" s="2">
        <v>43222</v>
      </c>
      <c r="J1241" t="s">
        <v>63</v>
      </c>
      <c r="K1241" t="s">
        <v>64</v>
      </c>
      <c r="L1241">
        <v>68117</v>
      </c>
      <c r="M1241" t="s">
        <v>21</v>
      </c>
      <c r="N1241" t="str">
        <f>VLOOKUP(A1241, Data_Set_2!$A:$D,2,FALSE)</f>
        <v>bjacobsop</v>
      </c>
      <c r="O1241" t="str">
        <f>VLOOKUP(A1241, Data_Set_2!$A:$D,3,FALSE)</f>
        <v>JumpXS</v>
      </c>
      <c r="P1241" t="str">
        <f>VLOOKUP(A1241, Data_Set_2!$A:$D,4,FALSE)</f>
        <v>Associate Professor</v>
      </c>
      <c r="Q1241" t="str">
        <f>_xlfn.CONCAT(Table3[[#This Row],[first_name]], " ",Table3[[#This Row],[last_name]])</f>
        <v>Brandon Jacobs</v>
      </c>
    </row>
    <row r="1242" spans="1:17" hidden="1" x14ac:dyDescent="0.3">
      <c r="A1242">
        <v>890</v>
      </c>
      <c r="B1242" t="s">
        <v>43</v>
      </c>
      <c r="C1242" t="s">
        <v>60</v>
      </c>
      <c r="D1242" t="s">
        <v>61</v>
      </c>
      <c r="E1242" t="s">
        <v>16</v>
      </c>
      <c r="F1242" t="s">
        <v>25</v>
      </c>
      <c r="G1242" s="1">
        <v>608</v>
      </c>
      <c r="H1242" t="s">
        <v>62</v>
      </c>
      <c r="I1242" s="2">
        <v>43310</v>
      </c>
      <c r="J1242" t="s">
        <v>63</v>
      </c>
      <c r="K1242" t="s">
        <v>64</v>
      </c>
      <c r="L1242">
        <v>68117</v>
      </c>
      <c r="M1242" t="s">
        <v>21</v>
      </c>
      <c r="N1242" t="str">
        <f>VLOOKUP(A1242, Data_Set_2!$A:$D,2,FALSE)</f>
        <v>bjacobsop</v>
      </c>
      <c r="O1242" t="str">
        <f>VLOOKUP(A1242, Data_Set_2!$A:$D,3,FALSE)</f>
        <v>JumpXS</v>
      </c>
      <c r="P1242" t="str">
        <f>VLOOKUP(A1242, Data_Set_2!$A:$D,4,FALSE)</f>
        <v>Associate Professor</v>
      </c>
      <c r="Q1242" t="str">
        <f>_xlfn.CONCAT(Table3[[#This Row],[first_name]], " ",Table3[[#This Row],[last_name]])</f>
        <v>Brandon Jacobs</v>
      </c>
    </row>
    <row r="1243" spans="1:17" hidden="1" x14ac:dyDescent="0.3">
      <c r="A1243">
        <v>890</v>
      </c>
      <c r="B1243" t="s">
        <v>43</v>
      </c>
      <c r="C1243" t="s">
        <v>60</v>
      </c>
      <c r="D1243" t="s">
        <v>61</v>
      </c>
      <c r="E1243" t="s">
        <v>16</v>
      </c>
      <c r="F1243" t="s">
        <v>25</v>
      </c>
      <c r="G1243" s="1">
        <v>789</v>
      </c>
      <c r="H1243" t="s">
        <v>62</v>
      </c>
      <c r="I1243" s="2">
        <v>43512</v>
      </c>
      <c r="J1243" t="s">
        <v>63</v>
      </c>
      <c r="K1243" t="s">
        <v>64</v>
      </c>
      <c r="L1243">
        <v>68117</v>
      </c>
      <c r="M1243" t="s">
        <v>21</v>
      </c>
      <c r="N1243" t="str">
        <f>VLOOKUP(A1243, Data_Set_2!$A:$D,2,FALSE)</f>
        <v>bjacobsop</v>
      </c>
      <c r="O1243" t="str">
        <f>VLOOKUP(A1243, Data_Set_2!$A:$D,3,FALSE)</f>
        <v>JumpXS</v>
      </c>
      <c r="P1243" t="str">
        <f>VLOOKUP(A1243, Data_Set_2!$A:$D,4,FALSE)</f>
        <v>Associate Professor</v>
      </c>
      <c r="Q1243" t="str">
        <f>_xlfn.CONCAT(Table3[[#This Row],[first_name]], " ",Table3[[#This Row],[last_name]])</f>
        <v>Brandon Jacobs</v>
      </c>
    </row>
    <row r="1244" spans="1:17" hidden="1" x14ac:dyDescent="0.3">
      <c r="A1244">
        <v>890</v>
      </c>
      <c r="B1244" t="s">
        <v>43</v>
      </c>
      <c r="C1244" t="s">
        <v>60</v>
      </c>
      <c r="D1244" t="s">
        <v>61</v>
      </c>
      <c r="E1244" t="s">
        <v>16</v>
      </c>
      <c r="F1244" t="s">
        <v>25</v>
      </c>
      <c r="G1244" s="1">
        <v>254</v>
      </c>
      <c r="H1244" t="s">
        <v>62</v>
      </c>
      <c r="I1244" s="2">
        <v>43670</v>
      </c>
      <c r="J1244" t="s">
        <v>63</v>
      </c>
      <c r="K1244" t="s">
        <v>64</v>
      </c>
      <c r="L1244">
        <v>68117</v>
      </c>
      <c r="M1244" t="s">
        <v>21</v>
      </c>
      <c r="N1244" t="str">
        <f>VLOOKUP(A1244, Data_Set_2!$A:$D,2,FALSE)</f>
        <v>bjacobsop</v>
      </c>
      <c r="O1244" t="str">
        <f>VLOOKUP(A1244, Data_Set_2!$A:$D,3,FALSE)</f>
        <v>JumpXS</v>
      </c>
      <c r="P1244" t="str">
        <f>VLOOKUP(A1244, Data_Set_2!$A:$D,4,FALSE)</f>
        <v>Associate Professor</v>
      </c>
      <c r="Q1244" t="str">
        <f>_xlfn.CONCAT(Table3[[#This Row],[first_name]], " ",Table3[[#This Row],[last_name]])</f>
        <v>Brandon Jacobs</v>
      </c>
    </row>
    <row r="1245" spans="1:17" hidden="1" x14ac:dyDescent="0.3">
      <c r="A1245">
        <v>890</v>
      </c>
      <c r="B1245" t="s">
        <v>43</v>
      </c>
      <c r="C1245" t="s">
        <v>60</v>
      </c>
      <c r="D1245" t="s">
        <v>61</v>
      </c>
      <c r="E1245" t="s">
        <v>16</v>
      </c>
      <c r="F1245" t="s">
        <v>25</v>
      </c>
      <c r="G1245" s="1">
        <v>819</v>
      </c>
      <c r="H1245" t="s">
        <v>62</v>
      </c>
      <c r="I1245" s="2">
        <v>43704</v>
      </c>
      <c r="J1245" t="s">
        <v>63</v>
      </c>
      <c r="K1245" t="s">
        <v>64</v>
      </c>
      <c r="L1245">
        <v>68117</v>
      </c>
      <c r="M1245" t="s">
        <v>21</v>
      </c>
      <c r="N1245" t="str">
        <f>VLOOKUP(A1245, Data_Set_2!$A:$D,2,FALSE)</f>
        <v>bjacobsop</v>
      </c>
      <c r="O1245" t="str">
        <f>VLOOKUP(A1245, Data_Set_2!$A:$D,3,FALSE)</f>
        <v>JumpXS</v>
      </c>
      <c r="P1245" t="str">
        <f>VLOOKUP(A1245, Data_Set_2!$A:$D,4,FALSE)</f>
        <v>Associate Professor</v>
      </c>
      <c r="Q1245" t="str">
        <f>_xlfn.CONCAT(Table3[[#This Row],[first_name]], " ",Table3[[#This Row],[last_name]])</f>
        <v>Brandon Jacobs</v>
      </c>
    </row>
    <row r="1246" spans="1:17" hidden="1" x14ac:dyDescent="0.3">
      <c r="A1246">
        <v>890</v>
      </c>
      <c r="B1246" t="s">
        <v>43</v>
      </c>
      <c r="C1246" t="s">
        <v>60</v>
      </c>
      <c r="D1246" t="s">
        <v>61</v>
      </c>
      <c r="E1246" t="s">
        <v>16</v>
      </c>
      <c r="F1246" t="s">
        <v>25</v>
      </c>
      <c r="G1246" s="1">
        <v>989</v>
      </c>
      <c r="H1246" t="s">
        <v>62</v>
      </c>
      <c r="I1246" s="2">
        <v>43737</v>
      </c>
      <c r="J1246" t="s">
        <v>63</v>
      </c>
      <c r="K1246" t="s">
        <v>64</v>
      </c>
      <c r="L1246">
        <v>68117</v>
      </c>
      <c r="M1246" t="s">
        <v>21</v>
      </c>
      <c r="N1246" t="str">
        <f>VLOOKUP(A1246, Data_Set_2!$A:$D,2,FALSE)</f>
        <v>bjacobsop</v>
      </c>
      <c r="O1246" t="str">
        <f>VLOOKUP(A1246, Data_Set_2!$A:$D,3,FALSE)</f>
        <v>JumpXS</v>
      </c>
      <c r="P1246" t="str">
        <f>VLOOKUP(A1246, Data_Set_2!$A:$D,4,FALSE)</f>
        <v>Associate Professor</v>
      </c>
      <c r="Q1246" t="str">
        <f>_xlfn.CONCAT(Table3[[#This Row],[first_name]], " ",Table3[[#This Row],[last_name]])</f>
        <v>Brandon Jacobs</v>
      </c>
    </row>
    <row r="1247" spans="1:17" hidden="1" x14ac:dyDescent="0.3">
      <c r="A1247">
        <v>890</v>
      </c>
      <c r="B1247" t="s">
        <v>43</v>
      </c>
      <c r="C1247" t="s">
        <v>60</v>
      </c>
      <c r="D1247" t="s">
        <v>61</v>
      </c>
      <c r="E1247" t="s">
        <v>16</v>
      </c>
      <c r="F1247" t="s">
        <v>25</v>
      </c>
      <c r="G1247" s="1">
        <v>124</v>
      </c>
      <c r="H1247" t="s">
        <v>62</v>
      </c>
      <c r="I1247" s="2">
        <v>43748</v>
      </c>
      <c r="J1247" t="s">
        <v>63</v>
      </c>
      <c r="K1247" t="s">
        <v>64</v>
      </c>
      <c r="L1247">
        <v>68117</v>
      </c>
      <c r="M1247" t="s">
        <v>21</v>
      </c>
      <c r="N1247" t="str">
        <f>VLOOKUP(A1247, Data_Set_2!$A:$D,2,FALSE)</f>
        <v>bjacobsop</v>
      </c>
      <c r="O1247" t="str">
        <f>VLOOKUP(A1247, Data_Set_2!$A:$D,3,FALSE)</f>
        <v>JumpXS</v>
      </c>
      <c r="P1247" t="str">
        <f>VLOOKUP(A1247, Data_Set_2!$A:$D,4,FALSE)</f>
        <v>Associate Professor</v>
      </c>
      <c r="Q1247" t="str">
        <f>_xlfn.CONCAT(Table3[[#This Row],[first_name]], " ",Table3[[#This Row],[last_name]])</f>
        <v>Brandon Jacobs</v>
      </c>
    </row>
    <row r="1248" spans="1:17" hidden="1" x14ac:dyDescent="0.3">
      <c r="A1248">
        <v>890</v>
      </c>
      <c r="B1248" t="s">
        <v>43</v>
      </c>
      <c r="C1248" t="s">
        <v>60</v>
      </c>
      <c r="D1248" t="s">
        <v>61</v>
      </c>
      <c r="E1248" t="s">
        <v>16</v>
      </c>
      <c r="F1248" t="s">
        <v>25</v>
      </c>
      <c r="G1248" s="1">
        <v>537</v>
      </c>
      <c r="H1248" t="s">
        <v>62</v>
      </c>
      <c r="I1248" s="2">
        <v>43755</v>
      </c>
      <c r="J1248" t="s">
        <v>63</v>
      </c>
      <c r="K1248" t="s">
        <v>64</v>
      </c>
      <c r="L1248">
        <v>68117</v>
      </c>
      <c r="M1248" t="s">
        <v>21</v>
      </c>
      <c r="N1248" t="str">
        <f>VLOOKUP(A1248, Data_Set_2!$A:$D,2,FALSE)</f>
        <v>bjacobsop</v>
      </c>
      <c r="O1248" t="str">
        <f>VLOOKUP(A1248, Data_Set_2!$A:$D,3,FALSE)</f>
        <v>JumpXS</v>
      </c>
      <c r="P1248" t="str">
        <f>VLOOKUP(A1248, Data_Set_2!$A:$D,4,FALSE)</f>
        <v>Associate Professor</v>
      </c>
      <c r="Q1248" t="str">
        <f>_xlfn.CONCAT(Table3[[#This Row],[first_name]], " ",Table3[[#This Row],[last_name]])</f>
        <v>Brandon Jacobs</v>
      </c>
    </row>
    <row r="1249" spans="1:17" hidden="1" x14ac:dyDescent="0.3">
      <c r="A1249">
        <v>890</v>
      </c>
      <c r="B1249" t="s">
        <v>43</v>
      </c>
      <c r="C1249" t="s">
        <v>60</v>
      </c>
      <c r="D1249" t="s">
        <v>61</v>
      </c>
      <c r="E1249" t="s">
        <v>16</v>
      </c>
      <c r="F1249" t="s">
        <v>25</v>
      </c>
      <c r="G1249" s="1">
        <v>298</v>
      </c>
      <c r="H1249" t="s">
        <v>62</v>
      </c>
      <c r="I1249" s="2">
        <v>43823</v>
      </c>
      <c r="J1249" t="s">
        <v>63</v>
      </c>
      <c r="K1249" t="s">
        <v>64</v>
      </c>
      <c r="L1249">
        <v>68117</v>
      </c>
      <c r="M1249" t="s">
        <v>21</v>
      </c>
      <c r="N1249" t="str">
        <f>VLOOKUP(A1249, Data_Set_2!$A:$D,2,FALSE)</f>
        <v>bjacobsop</v>
      </c>
      <c r="O1249" t="str">
        <f>VLOOKUP(A1249, Data_Set_2!$A:$D,3,FALSE)</f>
        <v>JumpXS</v>
      </c>
      <c r="P1249" t="str">
        <f>VLOOKUP(A1249, Data_Set_2!$A:$D,4,FALSE)</f>
        <v>Associate Professor</v>
      </c>
      <c r="Q1249" t="str">
        <f>_xlfn.CONCAT(Table3[[#This Row],[first_name]], " ",Table3[[#This Row],[last_name]])</f>
        <v>Brandon Jacobs</v>
      </c>
    </row>
    <row r="1250" spans="1:17" hidden="1" x14ac:dyDescent="0.3">
      <c r="A1250">
        <v>890</v>
      </c>
      <c r="B1250" t="s">
        <v>43</v>
      </c>
      <c r="C1250" t="s">
        <v>60</v>
      </c>
      <c r="D1250" t="s">
        <v>61</v>
      </c>
      <c r="E1250" t="s">
        <v>16</v>
      </c>
      <c r="F1250" t="s">
        <v>25</v>
      </c>
      <c r="G1250" s="1">
        <v>133</v>
      </c>
      <c r="H1250" t="s">
        <v>62</v>
      </c>
      <c r="I1250" s="2">
        <v>43847</v>
      </c>
      <c r="J1250" t="s">
        <v>63</v>
      </c>
      <c r="K1250" t="s">
        <v>64</v>
      </c>
      <c r="L1250">
        <v>68117</v>
      </c>
      <c r="M1250" t="s">
        <v>21</v>
      </c>
      <c r="N1250" t="str">
        <f>VLOOKUP(A1250, Data_Set_2!$A:$D,2,FALSE)</f>
        <v>bjacobsop</v>
      </c>
      <c r="O1250" t="str">
        <f>VLOOKUP(A1250, Data_Set_2!$A:$D,3,FALSE)</f>
        <v>JumpXS</v>
      </c>
      <c r="P1250" t="str">
        <f>VLOOKUP(A1250, Data_Set_2!$A:$D,4,FALSE)</f>
        <v>Associate Professor</v>
      </c>
      <c r="Q1250" t="str">
        <f>_xlfn.CONCAT(Table3[[#This Row],[first_name]], " ",Table3[[#This Row],[last_name]])</f>
        <v>Brandon Jacobs</v>
      </c>
    </row>
    <row r="1251" spans="1:17" hidden="1" x14ac:dyDescent="0.3">
      <c r="A1251">
        <v>890</v>
      </c>
      <c r="B1251" t="s">
        <v>43</v>
      </c>
      <c r="C1251" t="s">
        <v>60</v>
      </c>
      <c r="D1251" t="s">
        <v>61</v>
      </c>
      <c r="E1251" t="s">
        <v>16</v>
      </c>
      <c r="F1251" t="s">
        <v>25</v>
      </c>
      <c r="G1251" s="1">
        <v>894</v>
      </c>
      <c r="H1251" t="s">
        <v>62</v>
      </c>
      <c r="I1251" s="2">
        <v>43880</v>
      </c>
      <c r="J1251" t="s">
        <v>63</v>
      </c>
      <c r="K1251" t="s">
        <v>64</v>
      </c>
      <c r="L1251">
        <v>68117</v>
      </c>
      <c r="M1251" t="s">
        <v>21</v>
      </c>
      <c r="N1251" t="str">
        <f>VLOOKUP(A1251, Data_Set_2!$A:$D,2,FALSE)</f>
        <v>bjacobsop</v>
      </c>
      <c r="O1251" t="str">
        <f>VLOOKUP(A1251, Data_Set_2!$A:$D,3,FALSE)</f>
        <v>JumpXS</v>
      </c>
      <c r="P1251" t="str">
        <f>VLOOKUP(A1251, Data_Set_2!$A:$D,4,FALSE)</f>
        <v>Associate Professor</v>
      </c>
      <c r="Q1251" t="str">
        <f>_xlfn.CONCAT(Table3[[#This Row],[first_name]], " ",Table3[[#This Row],[last_name]])</f>
        <v>Brandon Jacobs</v>
      </c>
    </row>
    <row r="1252" spans="1:17" hidden="1" x14ac:dyDescent="0.3">
      <c r="A1252">
        <v>890</v>
      </c>
      <c r="B1252" t="s">
        <v>43</v>
      </c>
      <c r="C1252" t="s">
        <v>60</v>
      </c>
      <c r="D1252" t="s">
        <v>61</v>
      </c>
      <c r="E1252" t="s">
        <v>16</v>
      </c>
      <c r="F1252" t="s">
        <v>25</v>
      </c>
      <c r="G1252" s="1">
        <v>997</v>
      </c>
      <c r="H1252" t="s">
        <v>62</v>
      </c>
      <c r="I1252" s="2">
        <v>43934</v>
      </c>
      <c r="J1252" t="s">
        <v>63</v>
      </c>
      <c r="K1252" t="s">
        <v>64</v>
      </c>
      <c r="L1252">
        <v>68117</v>
      </c>
      <c r="M1252" t="s">
        <v>21</v>
      </c>
      <c r="N1252" t="str">
        <f>VLOOKUP(A1252, Data_Set_2!$A:$D,2,FALSE)</f>
        <v>bjacobsop</v>
      </c>
      <c r="O1252" t="str">
        <f>VLOOKUP(A1252, Data_Set_2!$A:$D,3,FALSE)</f>
        <v>JumpXS</v>
      </c>
      <c r="P1252" t="str">
        <f>VLOOKUP(A1252, Data_Set_2!$A:$D,4,FALSE)</f>
        <v>Associate Professor</v>
      </c>
      <c r="Q1252" t="str">
        <f>_xlfn.CONCAT(Table3[[#This Row],[first_name]], " ",Table3[[#This Row],[last_name]])</f>
        <v>Brandon Jacobs</v>
      </c>
    </row>
    <row r="1253" spans="1:17" hidden="1" x14ac:dyDescent="0.3">
      <c r="A1253">
        <v>890</v>
      </c>
      <c r="B1253" t="s">
        <v>43</v>
      </c>
      <c r="C1253" t="s">
        <v>60</v>
      </c>
      <c r="D1253" t="s">
        <v>61</v>
      </c>
      <c r="E1253" t="s">
        <v>16</v>
      </c>
      <c r="F1253" t="s">
        <v>25</v>
      </c>
      <c r="G1253" s="1">
        <v>852</v>
      </c>
      <c r="H1253" t="s">
        <v>62</v>
      </c>
      <c r="I1253" s="2">
        <v>43959</v>
      </c>
      <c r="J1253" t="s">
        <v>63</v>
      </c>
      <c r="K1253" t="s">
        <v>64</v>
      </c>
      <c r="L1253">
        <v>68117</v>
      </c>
      <c r="M1253" t="s">
        <v>21</v>
      </c>
      <c r="N1253" t="str">
        <f>VLOOKUP(A1253, Data_Set_2!$A:$D,2,FALSE)</f>
        <v>bjacobsop</v>
      </c>
      <c r="O1253" t="str">
        <f>VLOOKUP(A1253, Data_Set_2!$A:$D,3,FALSE)</f>
        <v>JumpXS</v>
      </c>
      <c r="P1253" t="str">
        <f>VLOOKUP(A1253, Data_Set_2!$A:$D,4,FALSE)</f>
        <v>Associate Professor</v>
      </c>
      <c r="Q1253" t="str">
        <f>_xlfn.CONCAT(Table3[[#This Row],[first_name]], " ",Table3[[#This Row],[last_name]])</f>
        <v>Brandon Jacobs</v>
      </c>
    </row>
    <row r="1254" spans="1:17" hidden="1" x14ac:dyDescent="0.3">
      <c r="A1254">
        <v>890</v>
      </c>
      <c r="B1254" t="s">
        <v>43</v>
      </c>
      <c r="C1254" t="s">
        <v>60</v>
      </c>
      <c r="D1254" t="s">
        <v>61</v>
      </c>
      <c r="E1254" t="s">
        <v>16</v>
      </c>
      <c r="F1254" t="s">
        <v>25</v>
      </c>
      <c r="G1254" s="1">
        <v>850</v>
      </c>
      <c r="H1254" t="s">
        <v>62</v>
      </c>
      <c r="I1254" s="2">
        <v>43975</v>
      </c>
      <c r="J1254" t="s">
        <v>63</v>
      </c>
      <c r="K1254" t="s">
        <v>64</v>
      </c>
      <c r="L1254">
        <v>68117</v>
      </c>
      <c r="M1254" t="s">
        <v>21</v>
      </c>
      <c r="N1254" t="str">
        <f>VLOOKUP(A1254, Data_Set_2!$A:$D,2,FALSE)</f>
        <v>bjacobsop</v>
      </c>
      <c r="O1254" t="str">
        <f>VLOOKUP(A1254, Data_Set_2!$A:$D,3,FALSE)</f>
        <v>JumpXS</v>
      </c>
      <c r="P1254" t="str">
        <f>VLOOKUP(A1254, Data_Set_2!$A:$D,4,FALSE)</f>
        <v>Associate Professor</v>
      </c>
      <c r="Q1254" t="str">
        <f>_xlfn.CONCAT(Table3[[#This Row],[first_name]], " ",Table3[[#This Row],[last_name]])</f>
        <v>Brandon Jacobs</v>
      </c>
    </row>
    <row r="1255" spans="1:17" hidden="1" x14ac:dyDescent="0.3">
      <c r="A1255">
        <v>890</v>
      </c>
      <c r="B1255" t="s">
        <v>43</v>
      </c>
      <c r="C1255" t="s">
        <v>60</v>
      </c>
      <c r="D1255" t="s">
        <v>61</v>
      </c>
      <c r="E1255" t="s">
        <v>16</v>
      </c>
      <c r="F1255" t="s">
        <v>25</v>
      </c>
      <c r="G1255" s="1">
        <v>626</v>
      </c>
      <c r="H1255" t="s">
        <v>62</v>
      </c>
      <c r="I1255" s="2">
        <v>43995</v>
      </c>
      <c r="J1255" t="s">
        <v>63</v>
      </c>
      <c r="K1255" t="s">
        <v>64</v>
      </c>
      <c r="L1255">
        <v>68117</v>
      </c>
      <c r="M1255" t="s">
        <v>21</v>
      </c>
      <c r="N1255" t="str">
        <f>VLOOKUP(A1255, Data_Set_2!$A:$D,2,FALSE)</f>
        <v>bjacobsop</v>
      </c>
      <c r="O1255" t="str">
        <f>VLOOKUP(A1255, Data_Set_2!$A:$D,3,FALSE)</f>
        <v>JumpXS</v>
      </c>
      <c r="P1255" t="str">
        <f>VLOOKUP(A1255, Data_Set_2!$A:$D,4,FALSE)</f>
        <v>Associate Professor</v>
      </c>
      <c r="Q1255" t="str">
        <f>_xlfn.CONCAT(Table3[[#This Row],[first_name]], " ",Table3[[#This Row],[last_name]])</f>
        <v>Brandon Jacobs</v>
      </c>
    </row>
    <row r="1256" spans="1:17" hidden="1" x14ac:dyDescent="0.3">
      <c r="A1256">
        <v>890</v>
      </c>
      <c r="B1256" t="s">
        <v>43</v>
      </c>
      <c r="C1256" t="s">
        <v>60</v>
      </c>
      <c r="D1256" t="s">
        <v>61</v>
      </c>
      <c r="E1256" t="s">
        <v>16</v>
      </c>
      <c r="F1256" t="s">
        <v>25</v>
      </c>
      <c r="G1256" s="1">
        <v>676</v>
      </c>
      <c r="H1256" t="s">
        <v>62</v>
      </c>
      <c r="I1256" s="2">
        <v>43999</v>
      </c>
      <c r="J1256" t="s">
        <v>63</v>
      </c>
      <c r="K1256" t="s">
        <v>64</v>
      </c>
      <c r="L1256">
        <v>68117</v>
      </c>
      <c r="M1256" t="s">
        <v>21</v>
      </c>
      <c r="N1256" t="str">
        <f>VLOOKUP(A1256, Data_Set_2!$A:$D,2,FALSE)</f>
        <v>bjacobsop</v>
      </c>
      <c r="O1256" t="str">
        <f>VLOOKUP(A1256, Data_Set_2!$A:$D,3,FALSE)</f>
        <v>JumpXS</v>
      </c>
      <c r="P1256" t="str">
        <f>VLOOKUP(A1256, Data_Set_2!$A:$D,4,FALSE)</f>
        <v>Associate Professor</v>
      </c>
      <c r="Q1256" t="str">
        <f>_xlfn.CONCAT(Table3[[#This Row],[first_name]], " ",Table3[[#This Row],[last_name]])</f>
        <v>Brandon Jacobs</v>
      </c>
    </row>
    <row r="1257" spans="1:17" hidden="1" x14ac:dyDescent="0.3">
      <c r="A1257">
        <v>890</v>
      </c>
      <c r="B1257" t="s">
        <v>43</v>
      </c>
      <c r="C1257" t="s">
        <v>60</v>
      </c>
      <c r="D1257" t="s">
        <v>61</v>
      </c>
      <c r="E1257" t="s">
        <v>16</v>
      </c>
      <c r="F1257" t="s">
        <v>25</v>
      </c>
      <c r="G1257" s="1">
        <v>547</v>
      </c>
      <c r="H1257" t="s">
        <v>62</v>
      </c>
      <c r="I1257" s="2">
        <v>44046</v>
      </c>
      <c r="J1257" t="s">
        <v>63</v>
      </c>
      <c r="K1257" t="s">
        <v>64</v>
      </c>
      <c r="L1257">
        <v>68117</v>
      </c>
      <c r="M1257" t="s">
        <v>21</v>
      </c>
      <c r="N1257" t="str">
        <f>VLOOKUP(A1257, Data_Set_2!$A:$D,2,FALSE)</f>
        <v>bjacobsop</v>
      </c>
      <c r="O1257" t="str">
        <f>VLOOKUP(A1257, Data_Set_2!$A:$D,3,FALSE)</f>
        <v>JumpXS</v>
      </c>
      <c r="P1257" t="str">
        <f>VLOOKUP(A1257, Data_Set_2!$A:$D,4,FALSE)</f>
        <v>Associate Professor</v>
      </c>
      <c r="Q1257" t="str">
        <f>_xlfn.CONCAT(Table3[[#This Row],[first_name]], " ",Table3[[#This Row],[last_name]])</f>
        <v>Brandon Jacobs</v>
      </c>
    </row>
    <row r="1258" spans="1:17" hidden="1" x14ac:dyDescent="0.3">
      <c r="A1258">
        <v>890</v>
      </c>
      <c r="B1258" t="s">
        <v>43</v>
      </c>
      <c r="C1258" t="s">
        <v>60</v>
      </c>
      <c r="D1258" t="s">
        <v>61</v>
      </c>
      <c r="E1258" t="s">
        <v>16</v>
      </c>
      <c r="F1258" t="s">
        <v>25</v>
      </c>
      <c r="G1258" s="1">
        <v>477</v>
      </c>
      <c r="H1258" t="s">
        <v>62</v>
      </c>
      <c r="I1258" s="2">
        <v>44047</v>
      </c>
      <c r="J1258" t="s">
        <v>63</v>
      </c>
      <c r="K1258" t="s">
        <v>64</v>
      </c>
      <c r="L1258">
        <v>68117</v>
      </c>
      <c r="M1258" t="s">
        <v>21</v>
      </c>
      <c r="N1258" t="str">
        <f>VLOOKUP(A1258, Data_Set_2!$A:$D,2,FALSE)</f>
        <v>bjacobsop</v>
      </c>
      <c r="O1258" t="str">
        <f>VLOOKUP(A1258, Data_Set_2!$A:$D,3,FALSE)</f>
        <v>JumpXS</v>
      </c>
      <c r="P1258" t="str">
        <f>VLOOKUP(A1258, Data_Set_2!$A:$D,4,FALSE)</f>
        <v>Associate Professor</v>
      </c>
      <c r="Q1258" t="str">
        <f>_xlfn.CONCAT(Table3[[#This Row],[first_name]], " ",Table3[[#This Row],[last_name]])</f>
        <v>Brandon Jacobs</v>
      </c>
    </row>
    <row r="1259" spans="1:17" hidden="1" x14ac:dyDescent="0.3">
      <c r="A1259">
        <v>890</v>
      </c>
      <c r="B1259" t="s">
        <v>43</v>
      </c>
      <c r="C1259" t="s">
        <v>60</v>
      </c>
      <c r="D1259" t="s">
        <v>61</v>
      </c>
      <c r="E1259" t="s">
        <v>16</v>
      </c>
      <c r="F1259" t="s">
        <v>25</v>
      </c>
      <c r="G1259" s="1">
        <v>219</v>
      </c>
      <c r="H1259" t="s">
        <v>62</v>
      </c>
      <c r="I1259" s="2">
        <v>44057</v>
      </c>
      <c r="J1259" t="s">
        <v>63</v>
      </c>
      <c r="K1259" t="s">
        <v>64</v>
      </c>
      <c r="L1259">
        <v>68117</v>
      </c>
      <c r="M1259" t="s">
        <v>21</v>
      </c>
      <c r="N1259" t="str">
        <f>VLOOKUP(A1259, Data_Set_2!$A:$D,2,FALSE)</f>
        <v>bjacobsop</v>
      </c>
      <c r="O1259" t="str">
        <f>VLOOKUP(A1259, Data_Set_2!$A:$D,3,FALSE)</f>
        <v>JumpXS</v>
      </c>
      <c r="P1259" t="str">
        <f>VLOOKUP(A1259, Data_Set_2!$A:$D,4,FALSE)</f>
        <v>Associate Professor</v>
      </c>
      <c r="Q1259" t="str">
        <f>_xlfn.CONCAT(Table3[[#This Row],[first_name]], " ",Table3[[#This Row],[last_name]])</f>
        <v>Brandon Jacobs</v>
      </c>
    </row>
    <row r="1260" spans="1:17" hidden="1" x14ac:dyDescent="0.3">
      <c r="A1260">
        <v>890</v>
      </c>
      <c r="B1260" t="s">
        <v>43</v>
      </c>
      <c r="C1260" t="s">
        <v>60</v>
      </c>
      <c r="D1260" t="s">
        <v>61</v>
      </c>
      <c r="E1260" t="s">
        <v>16</v>
      </c>
      <c r="F1260" t="s">
        <v>25</v>
      </c>
      <c r="G1260" s="1">
        <v>975</v>
      </c>
      <c r="H1260" t="s">
        <v>62</v>
      </c>
      <c r="I1260" s="2">
        <v>44090</v>
      </c>
      <c r="J1260" t="s">
        <v>63</v>
      </c>
      <c r="K1260" t="s">
        <v>64</v>
      </c>
      <c r="L1260">
        <v>68117</v>
      </c>
      <c r="M1260" t="s">
        <v>21</v>
      </c>
      <c r="N1260" t="str">
        <f>VLOOKUP(A1260, Data_Set_2!$A:$D,2,FALSE)</f>
        <v>bjacobsop</v>
      </c>
      <c r="O1260" t="str">
        <f>VLOOKUP(A1260, Data_Set_2!$A:$D,3,FALSE)</f>
        <v>JumpXS</v>
      </c>
      <c r="P1260" t="str">
        <f>VLOOKUP(A1260, Data_Set_2!$A:$D,4,FALSE)</f>
        <v>Associate Professor</v>
      </c>
      <c r="Q1260" t="str">
        <f>_xlfn.CONCAT(Table3[[#This Row],[first_name]], " ",Table3[[#This Row],[last_name]])</f>
        <v>Brandon Jacobs</v>
      </c>
    </row>
    <row r="1261" spans="1:17" hidden="1" x14ac:dyDescent="0.3">
      <c r="A1261">
        <v>890</v>
      </c>
      <c r="B1261" t="s">
        <v>43</v>
      </c>
      <c r="C1261" t="s">
        <v>60</v>
      </c>
      <c r="D1261" t="s">
        <v>61</v>
      </c>
      <c r="E1261" t="s">
        <v>16</v>
      </c>
      <c r="F1261" t="s">
        <v>25</v>
      </c>
      <c r="G1261" s="1">
        <v>732</v>
      </c>
      <c r="H1261" t="s">
        <v>62</v>
      </c>
      <c r="I1261" s="2">
        <v>44147</v>
      </c>
      <c r="J1261" t="s">
        <v>63</v>
      </c>
      <c r="K1261" t="s">
        <v>64</v>
      </c>
      <c r="L1261">
        <v>68117</v>
      </c>
      <c r="M1261" t="s">
        <v>21</v>
      </c>
      <c r="N1261" t="str">
        <f>VLOOKUP(A1261, Data_Set_2!$A:$D,2,FALSE)</f>
        <v>bjacobsop</v>
      </c>
      <c r="O1261" t="str">
        <f>VLOOKUP(A1261, Data_Set_2!$A:$D,3,FALSE)</f>
        <v>JumpXS</v>
      </c>
      <c r="P1261" t="str">
        <f>VLOOKUP(A1261, Data_Set_2!$A:$D,4,FALSE)</f>
        <v>Associate Professor</v>
      </c>
      <c r="Q1261" t="str">
        <f>_xlfn.CONCAT(Table3[[#This Row],[first_name]], " ",Table3[[#This Row],[last_name]])</f>
        <v>Brandon Jacobs</v>
      </c>
    </row>
    <row r="1262" spans="1:17" hidden="1" x14ac:dyDescent="0.3">
      <c r="A1262">
        <v>890</v>
      </c>
      <c r="B1262" t="s">
        <v>43</v>
      </c>
      <c r="C1262" t="s">
        <v>60</v>
      </c>
      <c r="D1262" t="s">
        <v>61</v>
      </c>
      <c r="E1262" t="s">
        <v>16</v>
      </c>
      <c r="F1262" t="s">
        <v>25</v>
      </c>
      <c r="G1262" s="1">
        <v>138</v>
      </c>
      <c r="H1262" t="s">
        <v>62</v>
      </c>
      <c r="I1262" s="2">
        <v>44263</v>
      </c>
      <c r="J1262" t="s">
        <v>63</v>
      </c>
      <c r="K1262" t="s">
        <v>64</v>
      </c>
      <c r="L1262">
        <v>68117</v>
      </c>
      <c r="M1262" t="s">
        <v>21</v>
      </c>
      <c r="N1262" t="str">
        <f>VLOOKUP(A1262, Data_Set_2!$A:$D,2,FALSE)</f>
        <v>bjacobsop</v>
      </c>
      <c r="O1262" t="str">
        <f>VLOOKUP(A1262, Data_Set_2!$A:$D,3,FALSE)</f>
        <v>JumpXS</v>
      </c>
      <c r="P1262" t="str">
        <f>VLOOKUP(A1262, Data_Set_2!$A:$D,4,FALSE)</f>
        <v>Associate Professor</v>
      </c>
      <c r="Q1262" t="str">
        <f>_xlfn.CONCAT(Table3[[#This Row],[first_name]], " ",Table3[[#This Row],[last_name]])</f>
        <v>Brandon Jacobs</v>
      </c>
    </row>
    <row r="1263" spans="1:17" hidden="1" x14ac:dyDescent="0.3">
      <c r="A1263">
        <v>890</v>
      </c>
      <c r="B1263" t="s">
        <v>43</v>
      </c>
      <c r="C1263" t="s">
        <v>60</v>
      </c>
      <c r="D1263" t="s">
        <v>61</v>
      </c>
      <c r="E1263" t="s">
        <v>16</v>
      </c>
      <c r="F1263" t="s">
        <v>25</v>
      </c>
      <c r="G1263" s="1">
        <v>574</v>
      </c>
      <c r="H1263" t="s">
        <v>62</v>
      </c>
      <c r="I1263" s="2">
        <v>44276</v>
      </c>
      <c r="J1263" t="s">
        <v>63</v>
      </c>
      <c r="K1263" t="s">
        <v>64</v>
      </c>
      <c r="L1263">
        <v>68117</v>
      </c>
      <c r="M1263" t="s">
        <v>21</v>
      </c>
      <c r="N1263" t="str">
        <f>VLOOKUP(A1263, Data_Set_2!$A:$D,2,FALSE)</f>
        <v>bjacobsop</v>
      </c>
      <c r="O1263" t="str">
        <f>VLOOKUP(A1263, Data_Set_2!$A:$D,3,FALSE)</f>
        <v>JumpXS</v>
      </c>
      <c r="P1263" t="str">
        <f>VLOOKUP(A1263, Data_Set_2!$A:$D,4,FALSE)</f>
        <v>Associate Professor</v>
      </c>
      <c r="Q1263" t="str">
        <f>_xlfn.CONCAT(Table3[[#This Row],[first_name]], " ",Table3[[#This Row],[last_name]])</f>
        <v>Brandon Jacobs</v>
      </c>
    </row>
    <row r="1264" spans="1:17" hidden="1" x14ac:dyDescent="0.3">
      <c r="A1264">
        <v>890</v>
      </c>
      <c r="B1264" t="s">
        <v>43</v>
      </c>
      <c r="C1264" t="s">
        <v>60</v>
      </c>
      <c r="D1264" t="s">
        <v>61</v>
      </c>
      <c r="E1264" t="s">
        <v>16</v>
      </c>
      <c r="F1264" t="s">
        <v>25</v>
      </c>
      <c r="G1264" s="1">
        <v>803</v>
      </c>
      <c r="H1264" t="s">
        <v>62</v>
      </c>
      <c r="I1264" s="2">
        <v>44311</v>
      </c>
      <c r="J1264" t="s">
        <v>63</v>
      </c>
      <c r="K1264" t="s">
        <v>64</v>
      </c>
      <c r="L1264">
        <v>68117</v>
      </c>
      <c r="M1264" t="s">
        <v>21</v>
      </c>
      <c r="N1264" t="str">
        <f>VLOOKUP(A1264, Data_Set_2!$A:$D,2,FALSE)</f>
        <v>bjacobsop</v>
      </c>
      <c r="O1264" t="str">
        <f>VLOOKUP(A1264, Data_Set_2!$A:$D,3,FALSE)</f>
        <v>JumpXS</v>
      </c>
      <c r="P1264" t="str">
        <f>VLOOKUP(A1264, Data_Set_2!$A:$D,4,FALSE)</f>
        <v>Associate Professor</v>
      </c>
      <c r="Q1264" t="str">
        <f>_xlfn.CONCAT(Table3[[#This Row],[first_name]], " ",Table3[[#This Row],[last_name]])</f>
        <v>Brandon Jacobs</v>
      </c>
    </row>
    <row r="1265" spans="1:17" hidden="1" x14ac:dyDescent="0.3">
      <c r="A1265">
        <v>890</v>
      </c>
      <c r="B1265" t="s">
        <v>43</v>
      </c>
      <c r="C1265" t="s">
        <v>60</v>
      </c>
      <c r="D1265" t="s">
        <v>61</v>
      </c>
      <c r="E1265" t="s">
        <v>16</v>
      </c>
      <c r="F1265" t="s">
        <v>25</v>
      </c>
      <c r="G1265" s="1">
        <v>288</v>
      </c>
      <c r="H1265" t="s">
        <v>62</v>
      </c>
      <c r="I1265" s="2">
        <v>44373</v>
      </c>
      <c r="J1265" t="s">
        <v>63</v>
      </c>
      <c r="K1265" t="s">
        <v>64</v>
      </c>
      <c r="L1265">
        <v>68117</v>
      </c>
      <c r="M1265" t="s">
        <v>21</v>
      </c>
      <c r="N1265" t="str">
        <f>VLOOKUP(A1265, Data_Set_2!$A:$D,2,FALSE)</f>
        <v>bjacobsop</v>
      </c>
      <c r="O1265" t="str">
        <f>VLOOKUP(A1265, Data_Set_2!$A:$D,3,FALSE)</f>
        <v>JumpXS</v>
      </c>
      <c r="P1265" t="str">
        <f>VLOOKUP(A1265, Data_Set_2!$A:$D,4,FALSE)</f>
        <v>Associate Professor</v>
      </c>
      <c r="Q1265" t="str">
        <f>_xlfn.CONCAT(Table3[[#This Row],[first_name]], " ",Table3[[#This Row],[last_name]])</f>
        <v>Brandon Jacobs</v>
      </c>
    </row>
    <row r="1266" spans="1:17" hidden="1" x14ac:dyDescent="0.3">
      <c r="A1266">
        <v>890</v>
      </c>
      <c r="B1266" t="s">
        <v>43</v>
      </c>
      <c r="C1266" t="s">
        <v>60</v>
      </c>
      <c r="D1266" t="s">
        <v>61</v>
      </c>
      <c r="E1266" t="s">
        <v>16</v>
      </c>
      <c r="F1266" t="s">
        <v>25</v>
      </c>
      <c r="G1266" s="1">
        <v>220</v>
      </c>
      <c r="H1266" t="s">
        <v>62</v>
      </c>
      <c r="I1266" s="2">
        <v>44409</v>
      </c>
      <c r="J1266" t="s">
        <v>63</v>
      </c>
      <c r="K1266" t="s">
        <v>64</v>
      </c>
      <c r="L1266">
        <v>68117</v>
      </c>
      <c r="M1266" t="s">
        <v>21</v>
      </c>
      <c r="N1266" t="str">
        <f>VLOOKUP(A1266, Data_Set_2!$A:$D,2,FALSE)</f>
        <v>bjacobsop</v>
      </c>
      <c r="O1266" t="str">
        <f>VLOOKUP(A1266, Data_Set_2!$A:$D,3,FALSE)</f>
        <v>JumpXS</v>
      </c>
      <c r="P1266" t="str">
        <f>VLOOKUP(A1266, Data_Set_2!$A:$D,4,FALSE)</f>
        <v>Associate Professor</v>
      </c>
      <c r="Q1266" t="str">
        <f>_xlfn.CONCAT(Table3[[#This Row],[first_name]], " ",Table3[[#This Row],[last_name]])</f>
        <v>Brandon Jacobs</v>
      </c>
    </row>
    <row r="1267" spans="1:17" hidden="1" x14ac:dyDescent="0.3">
      <c r="A1267">
        <v>890</v>
      </c>
      <c r="B1267" t="s">
        <v>43</v>
      </c>
      <c r="C1267" t="s">
        <v>60</v>
      </c>
      <c r="D1267" t="s">
        <v>61</v>
      </c>
      <c r="E1267" t="s">
        <v>16</v>
      </c>
      <c r="F1267" t="s">
        <v>25</v>
      </c>
      <c r="G1267" s="1">
        <v>793</v>
      </c>
      <c r="H1267" t="s">
        <v>62</v>
      </c>
      <c r="I1267" s="2">
        <v>44423</v>
      </c>
      <c r="J1267" t="s">
        <v>63</v>
      </c>
      <c r="K1267" t="s">
        <v>64</v>
      </c>
      <c r="L1267">
        <v>68117</v>
      </c>
      <c r="M1267" t="s">
        <v>21</v>
      </c>
      <c r="N1267" t="str">
        <f>VLOOKUP(A1267, Data_Set_2!$A:$D,2,FALSE)</f>
        <v>bjacobsop</v>
      </c>
      <c r="O1267" t="str">
        <f>VLOOKUP(A1267, Data_Set_2!$A:$D,3,FALSE)</f>
        <v>JumpXS</v>
      </c>
      <c r="P1267" t="str">
        <f>VLOOKUP(A1267, Data_Set_2!$A:$D,4,FALSE)</f>
        <v>Associate Professor</v>
      </c>
      <c r="Q1267" t="str">
        <f>_xlfn.CONCAT(Table3[[#This Row],[first_name]], " ",Table3[[#This Row],[last_name]])</f>
        <v>Brandon Jacobs</v>
      </c>
    </row>
    <row r="1268" spans="1:17" hidden="1" x14ac:dyDescent="0.3">
      <c r="A1268">
        <v>890</v>
      </c>
      <c r="B1268" t="s">
        <v>43</v>
      </c>
      <c r="C1268" t="s">
        <v>60</v>
      </c>
      <c r="D1268" t="s">
        <v>61</v>
      </c>
      <c r="E1268" t="s">
        <v>16</v>
      </c>
      <c r="F1268" t="s">
        <v>25</v>
      </c>
      <c r="G1268" s="1">
        <v>295</v>
      </c>
      <c r="H1268" t="s">
        <v>62</v>
      </c>
      <c r="I1268" s="2">
        <v>44447</v>
      </c>
      <c r="J1268" t="s">
        <v>63</v>
      </c>
      <c r="K1268" t="s">
        <v>64</v>
      </c>
      <c r="L1268">
        <v>68117</v>
      </c>
      <c r="M1268" t="s">
        <v>21</v>
      </c>
      <c r="N1268" t="str">
        <f>VLOOKUP(A1268, Data_Set_2!$A:$D,2,FALSE)</f>
        <v>bjacobsop</v>
      </c>
      <c r="O1268" t="str">
        <f>VLOOKUP(A1268, Data_Set_2!$A:$D,3,FALSE)</f>
        <v>JumpXS</v>
      </c>
      <c r="P1268" t="str">
        <f>VLOOKUP(A1268, Data_Set_2!$A:$D,4,FALSE)</f>
        <v>Associate Professor</v>
      </c>
      <c r="Q1268" t="str">
        <f>_xlfn.CONCAT(Table3[[#This Row],[first_name]], " ",Table3[[#This Row],[last_name]])</f>
        <v>Brandon Jacobs</v>
      </c>
    </row>
    <row r="1269" spans="1:17" hidden="1" x14ac:dyDescent="0.3">
      <c r="A1269">
        <v>890</v>
      </c>
      <c r="B1269" t="s">
        <v>43</v>
      </c>
      <c r="C1269" t="s">
        <v>60</v>
      </c>
      <c r="D1269" t="s">
        <v>61</v>
      </c>
      <c r="E1269" t="s">
        <v>16</v>
      </c>
      <c r="F1269" t="s">
        <v>25</v>
      </c>
      <c r="G1269" s="1">
        <v>762</v>
      </c>
      <c r="H1269" t="s">
        <v>62</v>
      </c>
      <c r="I1269" s="2">
        <v>44475</v>
      </c>
      <c r="J1269" t="s">
        <v>63</v>
      </c>
      <c r="K1269" t="s">
        <v>64</v>
      </c>
      <c r="L1269">
        <v>68117</v>
      </c>
      <c r="M1269" t="s">
        <v>21</v>
      </c>
      <c r="N1269" t="str">
        <f>VLOOKUP(A1269, Data_Set_2!$A:$D,2,FALSE)</f>
        <v>bjacobsop</v>
      </c>
      <c r="O1269" t="str">
        <f>VLOOKUP(A1269, Data_Set_2!$A:$D,3,FALSE)</f>
        <v>JumpXS</v>
      </c>
      <c r="P1269" t="str">
        <f>VLOOKUP(A1269, Data_Set_2!$A:$D,4,FALSE)</f>
        <v>Associate Professor</v>
      </c>
      <c r="Q1269" t="str">
        <f>_xlfn.CONCAT(Table3[[#This Row],[first_name]], " ",Table3[[#This Row],[last_name]])</f>
        <v>Brandon Jacobs</v>
      </c>
    </row>
    <row r="1270" spans="1:17" hidden="1" x14ac:dyDescent="0.3">
      <c r="A1270">
        <v>890</v>
      </c>
      <c r="B1270" t="s">
        <v>43</v>
      </c>
      <c r="C1270" t="s">
        <v>60</v>
      </c>
      <c r="D1270" t="s">
        <v>61</v>
      </c>
      <c r="E1270" t="s">
        <v>16</v>
      </c>
      <c r="F1270" t="s">
        <v>25</v>
      </c>
      <c r="G1270" s="1">
        <v>487</v>
      </c>
      <c r="H1270" t="s">
        <v>62</v>
      </c>
      <c r="I1270" s="2">
        <v>44480</v>
      </c>
      <c r="J1270" t="s">
        <v>63</v>
      </c>
      <c r="K1270" t="s">
        <v>64</v>
      </c>
      <c r="L1270">
        <v>68117</v>
      </c>
      <c r="M1270" t="s">
        <v>21</v>
      </c>
      <c r="N1270" t="str">
        <f>VLOOKUP(A1270, Data_Set_2!$A:$D,2,FALSE)</f>
        <v>bjacobsop</v>
      </c>
      <c r="O1270" t="str">
        <f>VLOOKUP(A1270, Data_Set_2!$A:$D,3,FALSE)</f>
        <v>JumpXS</v>
      </c>
      <c r="P1270" t="str">
        <f>VLOOKUP(A1270, Data_Set_2!$A:$D,4,FALSE)</f>
        <v>Associate Professor</v>
      </c>
      <c r="Q1270" t="str">
        <f>_xlfn.CONCAT(Table3[[#This Row],[first_name]], " ",Table3[[#This Row],[last_name]])</f>
        <v>Brandon Jacobs</v>
      </c>
    </row>
    <row r="1271" spans="1:17" hidden="1" x14ac:dyDescent="0.3">
      <c r="A1271">
        <v>890</v>
      </c>
      <c r="B1271" t="s">
        <v>43</v>
      </c>
      <c r="C1271" t="s">
        <v>60</v>
      </c>
      <c r="D1271" t="s">
        <v>61</v>
      </c>
      <c r="E1271" t="s">
        <v>16</v>
      </c>
      <c r="F1271" t="s">
        <v>25</v>
      </c>
      <c r="G1271" s="1">
        <v>11</v>
      </c>
      <c r="H1271" t="s">
        <v>62</v>
      </c>
      <c r="I1271" s="2">
        <v>44489</v>
      </c>
      <c r="J1271" t="s">
        <v>63</v>
      </c>
      <c r="K1271" t="s">
        <v>64</v>
      </c>
      <c r="L1271">
        <v>68117</v>
      </c>
      <c r="M1271" t="s">
        <v>21</v>
      </c>
      <c r="N1271" t="str">
        <f>VLOOKUP(A1271, Data_Set_2!$A:$D,2,FALSE)</f>
        <v>bjacobsop</v>
      </c>
      <c r="O1271" t="str">
        <f>VLOOKUP(A1271, Data_Set_2!$A:$D,3,FALSE)</f>
        <v>JumpXS</v>
      </c>
      <c r="P1271" t="str">
        <f>VLOOKUP(A1271, Data_Set_2!$A:$D,4,FALSE)</f>
        <v>Associate Professor</v>
      </c>
      <c r="Q1271" t="str">
        <f>_xlfn.CONCAT(Table3[[#This Row],[first_name]], " ",Table3[[#This Row],[last_name]])</f>
        <v>Brandon Jacobs</v>
      </c>
    </row>
    <row r="1272" spans="1:17" hidden="1" x14ac:dyDescent="0.3">
      <c r="A1272">
        <v>890</v>
      </c>
      <c r="B1272" t="s">
        <v>43</v>
      </c>
      <c r="C1272" t="s">
        <v>60</v>
      </c>
      <c r="D1272" t="s">
        <v>61</v>
      </c>
      <c r="E1272" t="s">
        <v>16</v>
      </c>
      <c r="F1272" t="s">
        <v>25</v>
      </c>
      <c r="G1272" s="1">
        <v>95</v>
      </c>
      <c r="H1272" t="s">
        <v>62</v>
      </c>
      <c r="I1272" s="2">
        <v>44551</v>
      </c>
      <c r="J1272" t="s">
        <v>63</v>
      </c>
      <c r="K1272" t="s">
        <v>64</v>
      </c>
      <c r="L1272">
        <v>68117</v>
      </c>
      <c r="M1272" t="s">
        <v>21</v>
      </c>
      <c r="N1272" t="str">
        <f>VLOOKUP(A1272, Data_Set_2!$A:$D,2,FALSE)</f>
        <v>bjacobsop</v>
      </c>
      <c r="O1272" t="str">
        <f>VLOOKUP(A1272, Data_Set_2!$A:$D,3,FALSE)</f>
        <v>JumpXS</v>
      </c>
      <c r="P1272" t="str">
        <f>VLOOKUP(A1272, Data_Set_2!$A:$D,4,FALSE)</f>
        <v>Associate Professor</v>
      </c>
      <c r="Q1272" t="str">
        <f>_xlfn.CONCAT(Table3[[#This Row],[first_name]], " ",Table3[[#This Row],[last_name]])</f>
        <v>Brandon Jacobs</v>
      </c>
    </row>
    <row r="1273" spans="1:17" hidden="1" x14ac:dyDescent="0.3">
      <c r="A1273">
        <v>890</v>
      </c>
      <c r="B1273" t="s">
        <v>43</v>
      </c>
      <c r="C1273" t="s">
        <v>60</v>
      </c>
      <c r="D1273" t="s">
        <v>61</v>
      </c>
      <c r="E1273" t="s">
        <v>16</v>
      </c>
      <c r="F1273" t="s">
        <v>25</v>
      </c>
      <c r="G1273" s="1">
        <v>601</v>
      </c>
      <c r="H1273" t="s">
        <v>62</v>
      </c>
      <c r="I1273" s="2">
        <v>44561</v>
      </c>
      <c r="J1273" t="s">
        <v>63</v>
      </c>
      <c r="K1273" t="s">
        <v>64</v>
      </c>
      <c r="L1273">
        <v>68117</v>
      </c>
      <c r="M1273" t="s">
        <v>21</v>
      </c>
      <c r="N1273" t="str">
        <f>VLOOKUP(A1273, Data_Set_2!$A:$D,2,FALSE)</f>
        <v>bjacobsop</v>
      </c>
      <c r="O1273" t="str">
        <f>VLOOKUP(A1273, Data_Set_2!$A:$D,3,FALSE)</f>
        <v>JumpXS</v>
      </c>
      <c r="P1273" t="str">
        <f>VLOOKUP(A1273, Data_Set_2!$A:$D,4,FALSE)</f>
        <v>Associate Professor</v>
      </c>
      <c r="Q1273" t="str">
        <f>_xlfn.CONCAT(Table3[[#This Row],[first_name]], " ",Table3[[#This Row],[last_name]])</f>
        <v>Brandon Jacobs</v>
      </c>
    </row>
    <row r="1274" spans="1:17" hidden="1" x14ac:dyDescent="0.3">
      <c r="A1274">
        <v>890</v>
      </c>
      <c r="B1274" t="s">
        <v>43</v>
      </c>
      <c r="C1274" t="s">
        <v>60</v>
      </c>
      <c r="D1274" t="s">
        <v>61</v>
      </c>
      <c r="E1274" t="s">
        <v>16</v>
      </c>
      <c r="F1274" t="s">
        <v>25</v>
      </c>
      <c r="G1274" s="1">
        <v>91</v>
      </c>
      <c r="H1274" t="s">
        <v>62</v>
      </c>
      <c r="I1274" s="2">
        <v>44626</v>
      </c>
      <c r="J1274" t="s">
        <v>63</v>
      </c>
      <c r="K1274" t="s">
        <v>64</v>
      </c>
      <c r="L1274">
        <v>68117</v>
      </c>
      <c r="M1274" t="s">
        <v>21</v>
      </c>
      <c r="N1274" t="str">
        <f>VLOOKUP(A1274, Data_Set_2!$A:$D,2,FALSE)</f>
        <v>bjacobsop</v>
      </c>
      <c r="O1274" t="str">
        <f>VLOOKUP(A1274, Data_Set_2!$A:$D,3,FALSE)</f>
        <v>JumpXS</v>
      </c>
      <c r="P1274" t="str">
        <f>VLOOKUP(A1274, Data_Set_2!$A:$D,4,FALSE)</f>
        <v>Associate Professor</v>
      </c>
      <c r="Q1274" t="str">
        <f>_xlfn.CONCAT(Table3[[#This Row],[first_name]], " ",Table3[[#This Row],[last_name]])</f>
        <v>Brandon Jacobs</v>
      </c>
    </row>
    <row r="1275" spans="1:17" hidden="1" x14ac:dyDescent="0.3">
      <c r="A1275">
        <v>890</v>
      </c>
      <c r="B1275" t="s">
        <v>43</v>
      </c>
      <c r="C1275" t="s">
        <v>60</v>
      </c>
      <c r="D1275" t="s">
        <v>61</v>
      </c>
      <c r="E1275" t="s">
        <v>16</v>
      </c>
      <c r="F1275" t="s">
        <v>25</v>
      </c>
      <c r="G1275" s="1">
        <v>488</v>
      </c>
      <c r="H1275" t="s">
        <v>62</v>
      </c>
      <c r="I1275" s="2">
        <v>44636</v>
      </c>
      <c r="J1275" t="s">
        <v>63</v>
      </c>
      <c r="K1275" t="s">
        <v>64</v>
      </c>
      <c r="L1275">
        <v>68117</v>
      </c>
      <c r="M1275" t="s">
        <v>21</v>
      </c>
      <c r="N1275" t="str">
        <f>VLOOKUP(A1275, Data_Set_2!$A:$D,2,FALSE)</f>
        <v>bjacobsop</v>
      </c>
      <c r="O1275" t="str">
        <f>VLOOKUP(A1275, Data_Set_2!$A:$D,3,FALSE)</f>
        <v>JumpXS</v>
      </c>
      <c r="P1275" t="str">
        <f>VLOOKUP(A1275, Data_Set_2!$A:$D,4,FALSE)</f>
        <v>Associate Professor</v>
      </c>
      <c r="Q1275" t="str">
        <f>_xlfn.CONCAT(Table3[[#This Row],[first_name]], " ",Table3[[#This Row],[last_name]])</f>
        <v>Brandon Jacobs</v>
      </c>
    </row>
    <row r="1276" spans="1:17" hidden="1" x14ac:dyDescent="0.3">
      <c r="A1276">
        <v>890</v>
      </c>
      <c r="B1276" t="s">
        <v>43</v>
      </c>
      <c r="C1276" t="s">
        <v>60</v>
      </c>
      <c r="D1276" t="s">
        <v>61</v>
      </c>
      <c r="E1276" t="s">
        <v>16</v>
      </c>
      <c r="F1276" t="s">
        <v>25</v>
      </c>
      <c r="G1276" s="1">
        <v>847</v>
      </c>
      <c r="H1276" t="s">
        <v>62</v>
      </c>
      <c r="I1276" s="2">
        <v>44649</v>
      </c>
      <c r="J1276" t="s">
        <v>63</v>
      </c>
      <c r="K1276" t="s">
        <v>64</v>
      </c>
      <c r="L1276">
        <v>68117</v>
      </c>
      <c r="M1276" t="s">
        <v>21</v>
      </c>
      <c r="N1276" t="str">
        <f>VLOOKUP(A1276, Data_Set_2!$A:$D,2,FALSE)</f>
        <v>bjacobsop</v>
      </c>
      <c r="O1276" t="str">
        <f>VLOOKUP(A1276, Data_Set_2!$A:$D,3,FALSE)</f>
        <v>JumpXS</v>
      </c>
      <c r="P1276" t="str">
        <f>VLOOKUP(A1276, Data_Set_2!$A:$D,4,FALSE)</f>
        <v>Associate Professor</v>
      </c>
      <c r="Q1276" t="str">
        <f>_xlfn.CONCAT(Table3[[#This Row],[first_name]], " ",Table3[[#This Row],[last_name]])</f>
        <v>Brandon Jacobs</v>
      </c>
    </row>
    <row r="1277" spans="1:17" hidden="1" x14ac:dyDescent="0.3">
      <c r="A1277">
        <v>890</v>
      </c>
      <c r="B1277" t="s">
        <v>43</v>
      </c>
      <c r="C1277" t="s">
        <v>60</v>
      </c>
      <c r="D1277" t="s">
        <v>61</v>
      </c>
      <c r="E1277" t="s">
        <v>16</v>
      </c>
      <c r="F1277" t="s">
        <v>25</v>
      </c>
      <c r="G1277" s="1">
        <v>837</v>
      </c>
      <c r="H1277" t="s">
        <v>62</v>
      </c>
      <c r="I1277" s="2">
        <v>44690</v>
      </c>
      <c r="J1277" t="s">
        <v>63</v>
      </c>
      <c r="K1277" t="s">
        <v>64</v>
      </c>
      <c r="L1277">
        <v>68117</v>
      </c>
      <c r="M1277" t="s">
        <v>21</v>
      </c>
      <c r="N1277" t="str">
        <f>VLOOKUP(A1277, Data_Set_2!$A:$D,2,FALSE)</f>
        <v>bjacobsop</v>
      </c>
      <c r="O1277" t="str">
        <f>VLOOKUP(A1277, Data_Set_2!$A:$D,3,FALSE)</f>
        <v>JumpXS</v>
      </c>
      <c r="P1277" t="str">
        <f>VLOOKUP(A1277, Data_Set_2!$A:$D,4,FALSE)</f>
        <v>Associate Professor</v>
      </c>
      <c r="Q1277" t="str">
        <f>_xlfn.CONCAT(Table3[[#This Row],[first_name]], " ",Table3[[#This Row],[last_name]])</f>
        <v>Brandon Jacobs</v>
      </c>
    </row>
    <row r="1278" spans="1:17" hidden="1" x14ac:dyDescent="0.3">
      <c r="A1278">
        <v>890</v>
      </c>
      <c r="B1278" t="s">
        <v>43</v>
      </c>
      <c r="C1278" t="s">
        <v>60</v>
      </c>
      <c r="D1278" t="s">
        <v>61</v>
      </c>
      <c r="E1278" t="s">
        <v>16</v>
      </c>
      <c r="F1278" t="s">
        <v>25</v>
      </c>
      <c r="G1278" s="1">
        <v>618</v>
      </c>
      <c r="H1278" t="s">
        <v>62</v>
      </c>
      <c r="I1278" s="2">
        <v>44719</v>
      </c>
      <c r="J1278" t="s">
        <v>63</v>
      </c>
      <c r="K1278" t="s">
        <v>64</v>
      </c>
      <c r="L1278">
        <v>68117</v>
      </c>
      <c r="M1278" t="s">
        <v>21</v>
      </c>
      <c r="N1278" t="str">
        <f>VLOOKUP(A1278, Data_Set_2!$A:$D,2,FALSE)</f>
        <v>bjacobsop</v>
      </c>
      <c r="O1278" t="str">
        <f>VLOOKUP(A1278, Data_Set_2!$A:$D,3,FALSE)</f>
        <v>JumpXS</v>
      </c>
      <c r="P1278" t="str">
        <f>VLOOKUP(A1278, Data_Set_2!$A:$D,4,FALSE)</f>
        <v>Associate Professor</v>
      </c>
      <c r="Q1278" t="str">
        <f>_xlfn.CONCAT(Table3[[#This Row],[first_name]], " ",Table3[[#This Row],[last_name]])</f>
        <v>Brandon Jacobs</v>
      </c>
    </row>
    <row r="1279" spans="1:17" hidden="1" x14ac:dyDescent="0.3">
      <c r="A1279">
        <v>890</v>
      </c>
      <c r="B1279" t="s">
        <v>43</v>
      </c>
      <c r="C1279" t="s">
        <v>60</v>
      </c>
      <c r="D1279" t="s">
        <v>61</v>
      </c>
      <c r="E1279" t="s">
        <v>16</v>
      </c>
      <c r="F1279" t="s">
        <v>25</v>
      </c>
      <c r="G1279" s="1">
        <v>912</v>
      </c>
      <c r="H1279" t="s">
        <v>62</v>
      </c>
      <c r="I1279" s="2">
        <v>44725</v>
      </c>
      <c r="J1279" t="s">
        <v>63</v>
      </c>
      <c r="K1279" t="s">
        <v>64</v>
      </c>
      <c r="L1279">
        <v>68117</v>
      </c>
      <c r="M1279" t="s">
        <v>21</v>
      </c>
      <c r="N1279" t="str">
        <f>VLOOKUP(A1279, Data_Set_2!$A:$D,2,FALSE)</f>
        <v>bjacobsop</v>
      </c>
      <c r="O1279" t="str">
        <f>VLOOKUP(A1279, Data_Set_2!$A:$D,3,FALSE)</f>
        <v>JumpXS</v>
      </c>
      <c r="P1279" t="str">
        <f>VLOOKUP(A1279, Data_Set_2!$A:$D,4,FALSE)</f>
        <v>Associate Professor</v>
      </c>
      <c r="Q1279" t="str">
        <f>_xlfn.CONCAT(Table3[[#This Row],[first_name]], " ",Table3[[#This Row],[last_name]])</f>
        <v>Brandon Jacobs</v>
      </c>
    </row>
    <row r="1280" spans="1:17" hidden="1" x14ac:dyDescent="0.3">
      <c r="A1280">
        <v>890</v>
      </c>
      <c r="B1280" t="s">
        <v>43</v>
      </c>
      <c r="C1280" t="s">
        <v>60</v>
      </c>
      <c r="D1280" t="s">
        <v>61</v>
      </c>
      <c r="E1280" t="s">
        <v>16</v>
      </c>
      <c r="F1280" t="s">
        <v>25</v>
      </c>
      <c r="G1280" s="1">
        <v>288</v>
      </c>
      <c r="H1280" t="s">
        <v>62</v>
      </c>
      <c r="I1280" s="2">
        <v>44736</v>
      </c>
      <c r="J1280" t="s">
        <v>63</v>
      </c>
      <c r="K1280" t="s">
        <v>64</v>
      </c>
      <c r="L1280">
        <v>68117</v>
      </c>
      <c r="M1280" t="s">
        <v>21</v>
      </c>
      <c r="N1280" t="str">
        <f>VLOOKUP(A1280, Data_Set_2!$A:$D,2,FALSE)</f>
        <v>bjacobsop</v>
      </c>
      <c r="O1280" t="str">
        <f>VLOOKUP(A1280, Data_Set_2!$A:$D,3,FALSE)</f>
        <v>JumpXS</v>
      </c>
      <c r="P1280" t="str">
        <f>VLOOKUP(A1280, Data_Set_2!$A:$D,4,FALSE)</f>
        <v>Associate Professor</v>
      </c>
      <c r="Q1280" t="str">
        <f>_xlfn.CONCAT(Table3[[#This Row],[first_name]], " ",Table3[[#This Row],[last_name]])</f>
        <v>Brandon Jacobs</v>
      </c>
    </row>
    <row r="1281" spans="1:17" hidden="1" x14ac:dyDescent="0.3">
      <c r="A1281">
        <v>890</v>
      </c>
      <c r="B1281" t="s">
        <v>43</v>
      </c>
      <c r="C1281" t="s">
        <v>60</v>
      </c>
      <c r="D1281" t="s">
        <v>61</v>
      </c>
      <c r="E1281" t="s">
        <v>16</v>
      </c>
      <c r="F1281" t="s">
        <v>25</v>
      </c>
      <c r="G1281" s="1">
        <v>987</v>
      </c>
      <c r="H1281" t="s">
        <v>62</v>
      </c>
      <c r="I1281" s="2">
        <v>44831</v>
      </c>
      <c r="J1281" t="s">
        <v>63</v>
      </c>
      <c r="K1281" t="s">
        <v>64</v>
      </c>
      <c r="L1281">
        <v>68117</v>
      </c>
      <c r="M1281" t="s">
        <v>21</v>
      </c>
      <c r="N1281" t="str">
        <f>VLOOKUP(A1281, Data_Set_2!$A:$D,2,FALSE)</f>
        <v>bjacobsop</v>
      </c>
      <c r="O1281" t="str">
        <f>VLOOKUP(A1281, Data_Set_2!$A:$D,3,FALSE)</f>
        <v>JumpXS</v>
      </c>
      <c r="P1281" t="str">
        <f>VLOOKUP(A1281, Data_Set_2!$A:$D,4,FALSE)</f>
        <v>Associate Professor</v>
      </c>
      <c r="Q1281" t="str">
        <f>_xlfn.CONCAT(Table3[[#This Row],[first_name]], " ",Table3[[#This Row],[last_name]])</f>
        <v>Brandon Jacobs</v>
      </c>
    </row>
    <row r="1282" spans="1:17" hidden="1" x14ac:dyDescent="0.3">
      <c r="A1282">
        <v>890</v>
      </c>
      <c r="B1282" t="s">
        <v>43</v>
      </c>
      <c r="C1282" t="s">
        <v>60</v>
      </c>
      <c r="D1282" t="s">
        <v>61</v>
      </c>
      <c r="E1282" t="s">
        <v>16</v>
      </c>
      <c r="F1282" t="s">
        <v>25</v>
      </c>
      <c r="G1282" s="1">
        <v>849</v>
      </c>
      <c r="H1282" t="s">
        <v>62</v>
      </c>
      <c r="I1282" s="2">
        <v>44845</v>
      </c>
      <c r="J1282" t="s">
        <v>63</v>
      </c>
      <c r="K1282" t="s">
        <v>64</v>
      </c>
      <c r="L1282">
        <v>68117</v>
      </c>
      <c r="M1282" t="s">
        <v>21</v>
      </c>
      <c r="N1282" t="str">
        <f>VLOOKUP(A1282, Data_Set_2!$A:$D,2,FALSE)</f>
        <v>bjacobsop</v>
      </c>
      <c r="O1282" t="str">
        <f>VLOOKUP(A1282, Data_Set_2!$A:$D,3,FALSE)</f>
        <v>JumpXS</v>
      </c>
      <c r="P1282" t="str">
        <f>VLOOKUP(A1282, Data_Set_2!$A:$D,4,FALSE)</f>
        <v>Associate Professor</v>
      </c>
      <c r="Q1282" t="str">
        <f>_xlfn.CONCAT(Table3[[#This Row],[first_name]], " ",Table3[[#This Row],[last_name]])</f>
        <v>Brandon Jacobs</v>
      </c>
    </row>
    <row r="1283" spans="1:17" hidden="1" x14ac:dyDescent="0.3">
      <c r="A1283">
        <v>890</v>
      </c>
      <c r="B1283" t="s">
        <v>43</v>
      </c>
      <c r="C1283" t="s">
        <v>60</v>
      </c>
      <c r="D1283" t="s">
        <v>61</v>
      </c>
      <c r="E1283" t="s">
        <v>16</v>
      </c>
      <c r="F1283" t="s">
        <v>25</v>
      </c>
      <c r="G1283" s="1">
        <v>572</v>
      </c>
      <c r="H1283" t="s">
        <v>62</v>
      </c>
      <c r="I1283" s="2">
        <v>44887</v>
      </c>
      <c r="J1283" t="s">
        <v>63</v>
      </c>
      <c r="K1283" t="s">
        <v>64</v>
      </c>
      <c r="L1283">
        <v>68117</v>
      </c>
      <c r="M1283" t="s">
        <v>21</v>
      </c>
      <c r="N1283" t="str">
        <f>VLOOKUP(A1283, Data_Set_2!$A:$D,2,FALSE)</f>
        <v>bjacobsop</v>
      </c>
      <c r="O1283" t="str">
        <f>VLOOKUP(A1283, Data_Set_2!$A:$D,3,FALSE)</f>
        <v>JumpXS</v>
      </c>
      <c r="P1283" t="str">
        <f>VLOOKUP(A1283, Data_Set_2!$A:$D,4,FALSE)</f>
        <v>Associate Professor</v>
      </c>
      <c r="Q1283" t="str">
        <f>_xlfn.CONCAT(Table3[[#This Row],[first_name]], " ",Table3[[#This Row],[last_name]])</f>
        <v>Brandon Jacobs</v>
      </c>
    </row>
    <row r="1284" spans="1:17" hidden="1" x14ac:dyDescent="0.3">
      <c r="A1284">
        <v>890</v>
      </c>
      <c r="B1284" t="s">
        <v>43</v>
      </c>
      <c r="C1284" t="s">
        <v>60</v>
      </c>
      <c r="D1284" t="s">
        <v>61</v>
      </c>
      <c r="E1284" t="s">
        <v>16</v>
      </c>
      <c r="F1284" t="s">
        <v>25</v>
      </c>
      <c r="G1284" s="1">
        <v>270</v>
      </c>
      <c r="H1284" t="s">
        <v>62</v>
      </c>
      <c r="I1284" s="2">
        <v>44902</v>
      </c>
      <c r="J1284" t="s">
        <v>63</v>
      </c>
      <c r="K1284" t="s">
        <v>64</v>
      </c>
      <c r="L1284">
        <v>68117</v>
      </c>
      <c r="M1284" t="s">
        <v>21</v>
      </c>
      <c r="N1284" t="str">
        <f>VLOOKUP(A1284, Data_Set_2!$A:$D,2,FALSE)</f>
        <v>bjacobsop</v>
      </c>
      <c r="O1284" t="str">
        <f>VLOOKUP(A1284, Data_Set_2!$A:$D,3,FALSE)</f>
        <v>JumpXS</v>
      </c>
      <c r="P1284" t="str">
        <f>VLOOKUP(A1284, Data_Set_2!$A:$D,4,FALSE)</f>
        <v>Associate Professor</v>
      </c>
      <c r="Q1284" t="str">
        <f>_xlfn.CONCAT(Table3[[#This Row],[first_name]], " ",Table3[[#This Row],[last_name]])</f>
        <v>Brandon Jacobs</v>
      </c>
    </row>
    <row r="1285" spans="1:17" hidden="1" x14ac:dyDescent="0.3">
      <c r="A1285">
        <v>891</v>
      </c>
      <c r="B1285" t="s">
        <v>207</v>
      </c>
      <c r="C1285" t="s">
        <v>561</v>
      </c>
      <c r="D1285" t="s">
        <v>1237</v>
      </c>
      <c r="E1285" t="s">
        <v>16</v>
      </c>
      <c r="F1285" t="s">
        <v>33</v>
      </c>
      <c r="G1285" s="1">
        <v>271</v>
      </c>
      <c r="H1285" t="s">
        <v>4036</v>
      </c>
      <c r="I1285" s="2">
        <v>44853</v>
      </c>
      <c r="J1285" t="s">
        <v>115</v>
      </c>
      <c r="K1285" t="s">
        <v>116</v>
      </c>
      <c r="L1285">
        <v>34479</v>
      </c>
      <c r="M1285" t="s">
        <v>21</v>
      </c>
      <c r="N1285" t="str">
        <f>VLOOKUP(A1285, Data_Set_2!$A:$D,2,FALSE)</f>
        <v>mrogersoq</v>
      </c>
      <c r="O1285" t="str">
        <f>VLOOKUP(A1285, Data_Set_2!$A:$D,3,FALSE)</f>
        <v>Gabtype</v>
      </c>
      <c r="P1285" t="str">
        <f>VLOOKUP(A1285, Data_Set_2!$A:$D,4,FALSE)</f>
        <v>Tax Accountant</v>
      </c>
      <c r="Q1285" t="str">
        <f>_xlfn.CONCAT(Table3[[#This Row],[first_name]], " ",Table3[[#This Row],[last_name]])</f>
        <v>Martin Rogers</v>
      </c>
    </row>
    <row r="1286" spans="1:17" hidden="1" x14ac:dyDescent="0.3">
      <c r="A1286">
        <v>892</v>
      </c>
      <c r="B1286" t="s">
        <v>157</v>
      </c>
      <c r="C1286" t="s">
        <v>946</v>
      </c>
      <c r="D1286" t="s">
        <v>947</v>
      </c>
      <c r="E1286" t="s">
        <v>16</v>
      </c>
      <c r="F1286" t="s">
        <v>33</v>
      </c>
      <c r="G1286" s="1">
        <v>801</v>
      </c>
      <c r="H1286" t="s">
        <v>4035</v>
      </c>
      <c r="I1286" s="2">
        <v>44098</v>
      </c>
      <c r="J1286" t="s">
        <v>35</v>
      </c>
      <c r="K1286" t="s">
        <v>326</v>
      </c>
      <c r="L1286">
        <v>91125</v>
      </c>
      <c r="M1286" t="s">
        <v>21</v>
      </c>
      <c r="N1286" t="str">
        <f>VLOOKUP(A1286, Data_Set_2!$A:$D,2,FALSE)</f>
        <v>ecollinsor</v>
      </c>
      <c r="O1286" t="str">
        <f>VLOOKUP(A1286, Data_Set_2!$A:$D,3,FALSE)</f>
        <v>Realcube</v>
      </c>
      <c r="P1286" t="str">
        <f>VLOOKUP(A1286, Data_Set_2!$A:$D,4,FALSE)</f>
        <v>Accountant II</v>
      </c>
      <c r="Q1286" t="str">
        <f>_xlfn.CONCAT(Table3[[#This Row],[first_name]], " ",Table3[[#This Row],[last_name]])</f>
        <v>Eric Collins</v>
      </c>
    </row>
    <row r="1287" spans="1:17" hidden="1" x14ac:dyDescent="0.3">
      <c r="A1287">
        <v>893</v>
      </c>
      <c r="B1287" t="s">
        <v>213</v>
      </c>
      <c r="C1287" t="s">
        <v>232</v>
      </c>
      <c r="D1287" t="s">
        <v>233</v>
      </c>
      <c r="E1287" t="s">
        <v>16</v>
      </c>
      <c r="F1287" t="s">
        <v>51</v>
      </c>
      <c r="G1287" s="1">
        <v>880</v>
      </c>
      <c r="H1287" t="s">
        <v>26</v>
      </c>
      <c r="I1287" s="2">
        <v>43190</v>
      </c>
      <c r="J1287" t="s">
        <v>68</v>
      </c>
      <c r="K1287" t="s">
        <v>234</v>
      </c>
      <c r="L1287">
        <v>77035</v>
      </c>
      <c r="M1287" t="s">
        <v>21</v>
      </c>
      <c r="N1287" t="str">
        <f>VLOOKUP(A1287, Data_Set_2!$A:$D,2,FALSE)</f>
        <v>awardos</v>
      </c>
      <c r="O1287" t="str">
        <f>VLOOKUP(A1287, Data_Set_2!$A:$D,3,FALSE)</f>
        <v>Feedbug</v>
      </c>
      <c r="P1287" t="str">
        <f>VLOOKUP(A1287, Data_Set_2!$A:$D,4,FALSE)</f>
        <v>Operator</v>
      </c>
      <c r="Q1287" t="str">
        <f>_xlfn.CONCAT(Table3[[#This Row],[first_name]], " ",Table3[[#This Row],[last_name]])</f>
        <v>Alan Ward</v>
      </c>
    </row>
    <row r="1288" spans="1:17" hidden="1" x14ac:dyDescent="0.3">
      <c r="A1288">
        <v>894</v>
      </c>
      <c r="B1288" t="s">
        <v>135</v>
      </c>
      <c r="C1288" t="s">
        <v>473</v>
      </c>
      <c r="D1288" t="s">
        <v>939</v>
      </c>
      <c r="E1288" t="s">
        <v>32</v>
      </c>
      <c r="F1288" t="s">
        <v>25</v>
      </c>
      <c r="G1288" s="1">
        <v>785</v>
      </c>
      <c r="H1288" t="s">
        <v>4036</v>
      </c>
      <c r="I1288" s="2">
        <v>44089</v>
      </c>
      <c r="J1288" t="s">
        <v>192</v>
      </c>
      <c r="K1288" t="s">
        <v>400</v>
      </c>
      <c r="L1288">
        <v>55805</v>
      </c>
      <c r="M1288" t="s">
        <v>21</v>
      </c>
      <c r="N1288" t="str">
        <f>VLOOKUP(A1288, Data_Set_2!$A:$D,2,FALSE)</f>
        <v>cmarshallot</v>
      </c>
      <c r="O1288" t="str">
        <f>VLOOKUP(A1288, Data_Set_2!$A:$D,3,FALSE)</f>
        <v>Yoveo</v>
      </c>
      <c r="P1288" t="str">
        <f>VLOOKUP(A1288, Data_Set_2!$A:$D,4,FALSE)</f>
        <v>Computer Systems Analyst III</v>
      </c>
      <c r="Q1288" t="str">
        <f>_xlfn.CONCAT(Table3[[#This Row],[first_name]], " ",Table3[[#This Row],[last_name]])</f>
        <v>Christina Marshall</v>
      </c>
    </row>
    <row r="1289" spans="1:17" hidden="1" x14ac:dyDescent="0.3">
      <c r="A1289">
        <v>895</v>
      </c>
      <c r="B1289" t="s">
        <v>1106</v>
      </c>
      <c r="C1289" t="s">
        <v>1107</v>
      </c>
      <c r="D1289" t="s">
        <v>1108</v>
      </c>
      <c r="E1289" t="s">
        <v>16</v>
      </c>
      <c r="F1289" t="s">
        <v>25</v>
      </c>
      <c r="G1289" s="1">
        <v>25</v>
      </c>
      <c r="H1289" t="s">
        <v>62</v>
      </c>
      <c r="I1289" s="2">
        <v>44514</v>
      </c>
      <c r="J1289" t="s">
        <v>287</v>
      </c>
      <c r="K1289" t="s">
        <v>288</v>
      </c>
      <c r="L1289">
        <v>85705</v>
      </c>
      <c r="M1289" t="s">
        <v>21</v>
      </c>
      <c r="N1289" t="str">
        <f>VLOOKUP(A1289, Data_Set_2!$A:$D,2,FALSE)</f>
        <v>sduncanou</v>
      </c>
      <c r="O1289" t="str">
        <f>VLOOKUP(A1289, Data_Set_2!$A:$D,3,FALSE)</f>
        <v>Topicshots</v>
      </c>
      <c r="P1289" t="str">
        <f>VLOOKUP(A1289, Data_Set_2!$A:$D,4,FALSE)</f>
        <v>Budget/Accounting Analyst I</v>
      </c>
      <c r="Q1289" t="str">
        <f>_xlfn.CONCAT(Table3[[#This Row],[first_name]], " ",Table3[[#This Row],[last_name]])</f>
        <v>Samuel Duncan</v>
      </c>
    </row>
    <row r="1290" spans="1:17" hidden="1" x14ac:dyDescent="0.3">
      <c r="A1290">
        <v>896</v>
      </c>
      <c r="B1290" t="s">
        <v>420</v>
      </c>
      <c r="C1290" t="s">
        <v>272</v>
      </c>
      <c r="D1290" t="s">
        <v>778</v>
      </c>
      <c r="E1290" t="s">
        <v>16</v>
      </c>
      <c r="F1290" t="s">
        <v>33</v>
      </c>
      <c r="G1290" s="1">
        <v>220</v>
      </c>
      <c r="H1290" t="s">
        <v>34</v>
      </c>
      <c r="I1290" s="2">
        <v>43736</v>
      </c>
      <c r="J1290" t="s">
        <v>115</v>
      </c>
      <c r="K1290" t="s">
        <v>351</v>
      </c>
      <c r="L1290">
        <v>32819</v>
      </c>
      <c r="M1290" t="s">
        <v>21</v>
      </c>
      <c r="N1290" t="str">
        <f>VLOOKUP(A1290, Data_Set_2!$A:$D,2,FALSE)</f>
        <v>aboydov</v>
      </c>
      <c r="O1290" t="str">
        <f>VLOOKUP(A1290, Data_Set_2!$A:$D,3,FALSE)</f>
        <v>Oozz</v>
      </c>
      <c r="P1290" t="str">
        <f>VLOOKUP(A1290, Data_Set_2!$A:$D,4,FALSE)</f>
        <v>Junior Executive</v>
      </c>
      <c r="Q1290" t="str">
        <f>_xlfn.CONCAT(Table3[[#This Row],[first_name]], " ",Table3[[#This Row],[last_name]])</f>
        <v>Antonio Boyd</v>
      </c>
    </row>
    <row r="1291" spans="1:17" hidden="1" x14ac:dyDescent="0.3">
      <c r="A1291">
        <v>898</v>
      </c>
      <c r="B1291" t="s">
        <v>210</v>
      </c>
      <c r="C1291" t="s">
        <v>167</v>
      </c>
      <c r="D1291" t="s">
        <v>1147</v>
      </c>
      <c r="E1291" t="s">
        <v>32</v>
      </c>
      <c r="F1291" t="s">
        <v>33</v>
      </c>
      <c r="G1291" s="1">
        <v>966</v>
      </c>
      <c r="H1291" t="s">
        <v>4037</v>
      </c>
      <c r="I1291" s="2">
        <v>44588</v>
      </c>
      <c r="J1291" t="s">
        <v>246</v>
      </c>
      <c r="K1291" t="s">
        <v>247</v>
      </c>
      <c r="L1291">
        <v>62756</v>
      </c>
      <c r="M1291" t="s">
        <v>21</v>
      </c>
      <c r="N1291" t="str">
        <f>VLOOKUP(A1291, Data_Set_2!$A:$D,2,FALSE)</f>
        <v>dmeyerox</v>
      </c>
      <c r="O1291" t="str">
        <f>VLOOKUP(A1291, Data_Set_2!$A:$D,3,FALSE)</f>
        <v>Dabtype</v>
      </c>
      <c r="P1291" t="str">
        <f>VLOOKUP(A1291, Data_Set_2!$A:$D,4,FALSE)</f>
        <v>Senior Cost Accountant</v>
      </c>
      <c r="Q1291" t="str">
        <f>_xlfn.CONCAT(Table3[[#This Row],[first_name]], " ",Table3[[#This Row],[last_name]])</f>
        <v>Dorothy Meyer</v>
      </c>
    </row>
    <row r="1292" spans="1:17" hidden="1" x14ac:dyDescent="0.3">
      <c r="A1292">
        <v>899</v>
      </c>
      <c r="B1292" t="s">
        <v>471</v>
      </c>
      <c r="C1292" t="s">
        <v>603</v>
      </c>
      <c r="D1292" t="s">
        <v>660</v>
      </c>
      <c r="E1292" t="s">
        <v>32</v>
      </c>
      <c r="F1292" t="s">
        <v>17</v>
      </c>
      <c r="G1292" s="1">
        <v>253</v>
      </c>
      <c r="H1292" t="s">
        <v>26</v>
      </c>
      <c r="I1292" s="2">
        <v>43576</v>
      </c>
      <c r="J1292" t="s">
        <v>115</v>
      </c>
      <c r="K1292" t="s">
        <v>143</v>
      </c>
      <c r="L1292">
        <v>33233</v>
      </c>
      <c r="M1292" t="s">
        <v>21</v>
      </c>
      <c r="N1292" t="str">
        <f>VLOOKUP(A1292, Data_Set_2!$A:$D,2,FALSE)</f>
        <v>lporteroy</v>
      </c>
      <c r="O1292" t="str">
        <f>VLOOKUP(A1292, Data_Set_2!$A:$D,3,FALSE)</f>
        <v>Abatz</v>
      </c>
      <c r="P1292" t="str">
        <f>VLOOKUP(A1292, Data_Set_2!$A:$D,4,FALSE)</f>
        <v>Human Resources Assistant II</v>
      </c>
      <c r="Q1292" t="str">
        <f>_xlfn.CONCAT(Table3[[#This Row],[first_name]], " ",Table3[[#This Row],[last_name]])</f>
        <v>Linda Porter</v>
      </c>
    </row>
    <row r="1293" spans="1:17" hidden="1" x14ac:dyDescent="0.3">
      <c r="A1293">
        <v>900</v>
      </c>
      <c r="B1293" t="s">
        <v>457</v>
      </c>
      <c r="C1293" t="s">
        <v>572</v>
      </c>
      <c r="D1293" t="s">
        <v>573</v>
      </c>
      <c r="E1293" t="s">
        <v>16</v>
      </c>
      <c r="F1293" t="s">
        <v>17</v>
      </c>
      <c r="G1293" s="1">
        <v>580</v>
      </c>
      <c r="H1293" t="s">
        <v>26</v>
      </c>
      <c r="I1293" s="2">
        <v>43474</v>
      </c>
      <c r="J1293" t="s">
        <v>489</v>
      </c>
      <c r="K1293" t="s">
        <v>490</v>
      </c>
      <c r="L1293">
        <v>89120</v>
      </c>
      <c r="M1293" t="s">
        <v>21</v>
      </c>
      <c r="N1293" t="str">
        <f>VLOOKUP(A1293, Data_Set_2!$A:$D,2,FALSE)</f>
        <v>gparkeroz</v>
      </c>
      <c r="O1293" t="str">
        <f>VLOOKUP(A1293, Data_Set_2!$A:$D,3,FALSE)</f>
        <v>Dabvine</v>
      </c>
      <c r="P1293" t="str">
        <f>VLOOKUP(A1293, Data_Set_2!$A:$D,4,FALSE)</f>
        <v>Data Coordiator</v>
      </c>
      <c r="Q1293" t="str">
        <f>_xlfn.CONCAT(Table3[[#This Row],[first_name]], " ",Table3[[#This Row],[last_name]])</f>
        <v>Gary Parker</v>
      </c>
    </row>
    <row r="1294" spans="1:17" hidden="1" x14ac:dyDescent="0.3">
      <c r="A1294">
        <v>901</v>
      </c>
      <c r="B1294" t="s">
        <v>70</v>
      </c>
      <c r="C1294" t="s">
        <v>1077</v>
      </c>
      <c r="D1294" t="s">
        <v>1227</v>
      </c>
      <c r="E1294" t="s">
        <v>32</v>
      </c>
      <c r="F1294" t="s">
        <v>17</v>
      </c>
      <c r="G1294" s="1">
        <v>984</v>
      </c>
      <c r="H1294" t="s">
        <v>34</v>
      </c>
      <c r="I1294" s="2">
        <v>44790</v>
      </c>
      <c r="J1294" t="s">
        <v>35</v>
      </c>
      <c r="K1294" t="s">
        <v>908</v>
      </c>
      <c r="L1294">
        <v>92121</v>
      </c>
      <c r="M1294" t="s">
        <v>21</v>
      </c>
      <c r="N1294" t="str">
        <f>VLOOKUP(A1294, Data_Set_2!$A:$D,2,FALSE)</f>
        <v>rallenp0</v>
      </c>
      <c r="O1294" t="str">
        <f>VLOOKUP(A1294, Data_Set_2!$A:$D,3,FALSE)</f>
        <v>Topicware</v>
      </c>
      <c r="P1294" t="str">
        <f>VLOOKUP(A1294, Data_Set_2!$A:$D,4,FALSE)</f>
        <v>Professor</v>
      </c>
      <c r="Q1294" t="str">
        <f>_xlfn.CONCAT(Table3[[#This Row],[first_name]], " ",Table3[[#This Row],[last_name]])</f>
        <v>Ruth Allen</v>
      </c>
    </row>
    <row r="1295" spans="1:17" hidden="1" x14ac:dyDescent="0.3">
      <c r="A1295">
        <v>902</v>
      </c>
      <c r="B1295" t="s">
        <v>22</v>
      </c>
      <c r="C1295" t="s">
        <v>534</v>
      </c>
      <c r="D1295" t="s">
        <v>535</v>
      </c>
      <c r="E1295" t="s">
        <v>16</v>
      </c>
      <c r="F1295" t="s">
        <v>33</v>
      </c>
      <c r="G1295" s="1">
        <v>867</v>
      </c>
      <c r="H1295" t="s">
        <v>26</v>
      </c>
      <c r="I1295" s="2">
        <v>43442</v>
      </c>
      <c r="J1295" t="s">
        <v>115</v>
      </c>
      <c r="K1295" t="s">
        <v>536</v>
      </c>
      <c r="L1295">
        <v>33064</v>
      </c>
      <c r="M1295" t="s">
        <v>21</v>
      </c>
      <c r="N1295" t="str">
        <f>VLOOKUP(A1295, Data_Set_2!$A:$D,2,FALSE)</f>
        <v>afosterp1</v>
      </c>
      <c r="O1295" t="str">
        <f>VLOOKUP(A1295, Data_Set_2!$A:$D,3,FALSE)</f>
        <v>Eidel</v>
      </c>
      <c r="P1295" t="str">
        <f>VLOOKUP(A1295, Data_Set_2!$A:$D,4,FALSE)</f>
        <v>Paralegal</v>
      </c>
      <c r="Q1295" t="str">
        <f>_xlfn.CONCAT(Table3[[#This Row],[first_name]], " ",Table3[[#This Row],[last_name]])</f>
        <v>Albert Foster</v>
      </c>
    </row>
    <row r="1296" spans="1:17" hidden="1" x14ac:dyDescent="0.3">
      <c r="A1296">
        <v>906</v>
      </c>
      <c r="B1296" t="s">
        <v>102</v>
      </c>
      <c r="C1296" t="s">
        <v>800</v>
      </c>
      <c r="D1296" t="s">
        <v>822</v>
      </c>
      <c r="E1296" t="s">
        <v>32</v>
      </c>
      <c r="F1296" t="s">
        <v>25</v>
      </c>
      <c r="G1296" s="1">
        <v>905</v>
      </c>
      <c r="H1296" t="s">
        <v>34</v>
      </c>
      <c r="I1296" s="2">
        <v>43807</v>
      </c>
      <c r="J1296" t="s">
        <v>451</v>
      </c>
      <c r="K1296" t="s">
        <v>823</v>
      </c>
      <c r="L1296">
        <v>84105</v>
      </c>
      <c r="M1296" t="s">
        <v>21</v>
      </c>
      <c r="N1296" t="str">
        <f>VLOOKUP(A1296, Data_Set_2!$A:$D,2,FALSE)</f>
        <v>pcoxp5</v>
      </c>
      <c r="O1296" t="str">
        <f>VLOOKUP(A1296, Data_Set_2!$A:$D,3,FALSE)</f>
        <v>Jayo</v>
      </c>
      <c r="P1296" t="str">
        <f>VLOOKUP(A1296, Data_Set_2!$A:$D,4,FALSE)</f>
        <v>Environmental Specialist</v>
      </c>
      <c r="Q1296" t="str">
        <f>_xlfn.CONCAT(Table3[[#This Row],[first_name]], " ",Table3[[#This Row],[last_name]])</f>
        <v>Pamela Cox</v>
      </c>
    </row>
    <row r="1297" spans="1:17" hidden="1" x14ac:dyDescent="0.3">
      <c r="A1297">
        <v>907</v>
      </c>
      <c r="B1297" t="s">
        <v>624</v>
      </c>
      <c r="C1297" t="s">
        <v>307</v>
      </c>
      <c r="D1297" t="s">
        <v>1235</v>
      </c>
      <c r="E1297" t="s">
        <v>16</v>
      </c>
      <c r="F1297" t="s">
        <v>17</v>
      </c>
      <c r="G1297" s="1">
        <v>789</v>
      </c>
      <c r="H1297" t="s">
        <v>26</v>
      </c>
      <c r="I1297" s="2">
        <v>44841</v>
      </c>
      <c r="J1297" t="s">
        <v>780</v>
      </c>
      <c r="K1297" t="s">
        <v>481</v>
      </c>
      <c r="L1297">
        <v>19714</v>
      </c>
      <c r="M1297" t="s">
        <v>21</v>
      </c>
      <c r="N1297" t="str">
        <f>VLOOKUP(A1297, Data_Set_2!$A:$D,2,FALSE)</f>
        <v>swilliamsonp6</v>
      </c>
      <c r="O1297" t="str">
        <f>VLOOKUP(A1297, Data_Set_2!$A:$D,3,FALSE)</f>
        <v>Kayveo</v>
      </c>
      <c r="P1297" t="str">
        <f>VLOOKUP(A1297, Data_Set_2!$A:$D,4,FALSE)</f>
        <v>Database Administrator IV</v>
      </c>
      <c r="Q1297" t="str">
        <f>_xlfn.CONCAT(Table3[[#This Row],[first_name]], " ",Table3[[#This Row],[last_name]])</f>
        <v>Scott Williamson</v>
      </c>
    </row>
    <row r="1298" spans="1:17" hidden="1" x14ac:dyDescent="0.3">
      <c r="A1298">
        <v>908</v>
      </c>
      <c r="B1298" t="s">
        <v>851</v>
      </c>
      <c r="C1298" t="s">
        <v>610</v>
      </c>
      <c r="D1298" t="s">
        <v>1005</v>
      </c>
      <c r="E1298" t="s">
        <v>16</v>
      </c>
      <c r="F1298" t="s">
        <v>17</v>
      </c>
      <c r="G1298" s="1">
        <v>803</v>
      </c>
      <c r="H1298" t="s">
        <v>26</v>
      </c>
      <c r="I1298" s="2">
        <v>44222</v>
      </c>
      <c r="J1298" t="s">
        <v>152</v>
      </c>
      <c r="K1298" t="s">
        <v>571</v>
      </c>
      <c r="L1298">
        <v>44118</v>
      </c>
      <c r="M1298" t="s">
        <v>21</v>
      </c>
      <c r="N1298" t="str">
        <f>VLOOKUP(A1298, Data_Set_2!$A:$D,2,FALSE)</f>
        <v>kgardnerp7</v>
      </c>
      <c r="O1298" t="str">
        <f>VLOOKUP(A1298, Data_Set_2!$A:$D,3,FALSE)</f>
        <v>Jabbercube</v>
      </c>
      <c r="P1298" t="str">
        <f>VLOOKUP(A1298, Data_Set_2!$A:$D,4,FALSE)</f>
        <v>Software Test Engineer II</v>
      </c>
      <c r="Q1298" t="str">
        <f>_xlfn.CONCAT(Table3[[#This Row],[first_name]], " ",Table3[[#This Row],[last_name]])</f>
        <v>Keith Gardner</v>
      </c>
    </row>
    <row r="1299" spans="1:17" hidden="1" x14ac:dyDescent="0.3">
      <c r="A1299">
        <v>909</v>
      </c>
      <c r="B1299" t="s">
        <v>422</v>
      </c>
      <c r="C1299" t="s">
        <v>993</v>
      </c>
      <c r="D1299" t="s">
        <v>1034</v>
      </c>
      <c r="E1299" t="s">
        <v>16</v>
      </c>
      <c r="F1299" t="s">
        <v>33</v>
      </c>
      <c r="G1299" s="1">
        <v>410</v>
      </c>
      <c r="H1299" t="s">
        <v>26</v>
      </c>
      <c r="I1299" s="2">
        <v>44299</v>
      </c>
      <c r="J1299" t="s">
        <v>120</v>
      </c>
      <c r="K1299" t="s">
        <v>718</v>
      </c>
      <c r="L1299">
        <v>70154</v>
      </c>
      <c r="M1299" t="s">
        <v>21</v>
      </c>
      <c r="N1299" t="str">
        <f>VLOOKUP(A1299, Data_Set_2!$A:$D,2,FALSE)</f>
        <v>ddixonp8</v>
      </c>
      <c r="O1299" t="str">
        <f>VLOOKUP(A1299, Data_Set_2!$A:$D,3,FALSE)</f>
        <v>Skajo</v>
      </c>
      <c r="P1299" t="str">
        <f>VLOOKUP(A1299, Data_Set_2!$A:$D,4,FALSE)</f>
        <v>Data Coordiator</v>
      </c>
      <c r="Q1299" t="str">
        <f>_xlfn.CONCAT(Table3[[#This Row],[first_name]], " ",Table3[[#This Row],[last_name]])</f>
        <v>David Dixon</v>
      </c>
    </row>
    <row r="1300" spans="1:17" hidden="1" x14ac:dyDescent="0.3">
      <c r="A1300">
        <v>911</v>
      </c>
      <c r="B1300" t="s">
        <v>154</v>
      </c>
      <c r="C1300" t="s">
        <v>136</v>
      </c>
      <c r="D1300" t="s">
        <v>724</v>
      </c>
      <c r="E1300" t="s">
        <v>16</v>
      </c>
      <c r="F1300" t="s">
        <v>33</v>
      </c>
      <c r="G1300" s="1">
        <v>841</v>
      </c>
      <c r="H1300" t="s">
        <v>34</v>
      </c>
      <c r="I1300" s="2">
        <v>43658</v>
      </c>
      <c r="J1300" t="s">
        <v>68</v>
      </c>
      <c r="K1300" t="s">
        <v>725</v>
      </c>
      <c r="L1300">
        <v>78044</v>
      </c>
      <c r="M1300" t="s">
        <v>21</v>
      </c>
      <c r="N1300" t="str">
        <f>VLOOKUP(A1300, Data_Set_2!$A:$D,2,FALSE)</f>
        <v>wfoxpa</v>
      </c>
      <c r="O1300" t="str">
        <f>VLOOKUP(A1300, Data_Set_2!$A:$D,3,FALSE)</f>
        <v>Abatz</v>
      </c>
      <c r="P1300" t="str">
        <f>VLOOKUP(A1300, Data_Set_2!$A:$D,4,FALSE)</f>
        <v>Environmental Specialist</v>
      </c>
      <c r="Q1300" t="str">
        <f>_xlfn.CONCAT(Table3[[#This Row],[first_name]], " ",Table3[[#This Row],[last_name]])</f>
        <v>Wayne Fox</v>
      </c>
    </row>
    <row r="1301" spans="1:17" hidden="1" x14ac:dyDescent="0.3">
      <c r="A1301">
        <v>912</v>
      </c>
      <c r="B1301" t="s">
        <v>243</v>
      </c>
      <c r="C1301" t="s">
        <v>244</v>
      </c>
      <c r="D1301" t="s">
        <v>245</v>
      </c>
      <c r="E1301" t="s">
        <v>16</v>
      </c>
      <c r="F1301" t="s">
        <v>33</v>
      </c>
      <c r="G1301" s="1">
        <v>721</v>
      </c>
      <c r="H1301" t="s">
        <v>26</v>
      </c>
      <c r="I1301" s="2">
        <v>43192</v>
      </c>
      <c r="J1301" t="s">
        <v>246</v>
      </c>
      <c r="K1301" t="s">
        <v>247</v>
      </c>
      <c r="L1301">
        <v>62723</v>
      </c>
      <c r="M1301" t="s">
        <v>21</v>
      </c>
      <c r="N1301" t="str">
        <f>VLOOKUP(A1301, Data_Set_2!$A:$D,2,FALSE)</f>
        <v>pmoralespb</v>
      </c>
      <c r="O1301" t="str">
        <f>VLOOKUP(A1301, Data_Set_2!$A:$D,3,FALSE)</f>
        <v>Avaveo</v>
      </c>
      <c r="P1301" t="str">
        <f>VLOOKUP(A1301, Data_Set_2!$A:$D,4,FALSE)</f>
        <v>Editor</v>
      </c>
      <c r="Q1301" t="str">
        <f>_xlfn.CONCAT(Table3[[#This Row],[first_name]], " ",Table3[[#This Row],[last_name]])</f>
        <v>Peter Morales</v>
      </c>
    </row>
    <row r="1302" spans="1:17" hidden="1" x14ac:dyDescent="0.3">
      <c r="A1302">
        <v>913</v>
      </c>
      <c r="B1302" t="s">
        <v>584</v>
      </c>
      <c r="C1302" t="s">
        <v>650</v>
      </c>
      <c r="D1302" t="s">
        <v>651</v>
      </c>
      <c r="E1302" t="s">
        <v>32</v>
      </c>
      <c r="F1302" t="s">
        <v>33</v>
      </c>
      <c r="G1302" s="1">
        <v>212</v>
      </c>
      <c r="H1302" t="s">
        <v>4034</v>
      </c>
      <c r="I1302" s="2">
        <v>43565</v>
      </c>
      <c r="J1302" t="s">
        <v>96</v>
      </c>
      <c r="K1302" t="s">
        <v>502</v>
      </c>
      <c r="L1302">
        <v>47812</v>
      </c>
      <c r="M1302" t="s">
        <v>21</v>
      </c>
      <c r="N1302" t="str">
        <f>VLOOKUP(A1302, Data_Set_2!$A:$D,2,FALSE)</f>
        <v>srussellpc</v>
      </c>
      <c r="O1302" t="str">
        <f>VLOOKUP(A1302, Data_Set_2!$A:$D,3,FALSE)</f>
        <v>Aimbo</v>
      </c>
      <c r="P1302" t="str">
        <f>VLOOKUP(A1302, Data_Set_2!$A:$D,4,FALSE)</f>
        <v>Technical Writer</v>
      </c>
      <c r="Q1302" t="str">
        <f>_xlfn.CONCAT(Table3[[#This Row],[first_name]], " ",Table3[[#This Row],[last_name]])</f>
        <v>Stephanie Russell</v>
      </c>
    </row>
    <row r="1303" spans="1:17" hidden="1" x14ac:dyDescent="0.3">
      <c r="A1303">
        <v>913</v>
      </c>
      <c r="B1303" t="s">
        <v>584</v>
      </c>
      <c r="C1303" t="s">
        <v>650</v>
      </c>
      <c r="D1303" t="s">
        <v>651</v>
      </c>
      <c r="E1303" t="s">
        <v>32</v>
      </c>
      <c r="F1303" t="s">
        <v>33</v>
      </c>
      <c r="G1303" s="1">
        <v>113</v>
      </c>
      <c r="H1303" t="s">
        <v>4034</v>
      </c>
      <c r="I1303" s="2">
        <v>43706</v>
      </c>
      <c r="J1303" t="s">
        <v>96</v>
      </c>
      <c r="K1303" t="s">
        <v>502</v>
      </c>
      <c r="L1303">
        <v>47812</v>
      </c>
      <c r="M1303" t="s">
        <v>21</v>
      </c>
      <c r="N1303" t="str">
        <f>VLOOKUP(A1303, Data_Set_2!$A:$D,2,FALSE)</f>
        <v>srussellpc</v>
      </c>
      <c r="O1303" t="str">
        <f>VLOOKUP(A1303, Data_Set_2!$A:$D,3,FALSE)</f>
        <v>Aimbo</v>
      </c>
      <c r="P1303" t="str">
        <f>VLOOKUP(A1303, Data_Set_2!$A:$D,4,FALSE)</f>
        <v>Technical Writer</v>
      </c>
      <c r="Q1303" t="str">
        <f>_xlfn.CONCAT(Table3[[#This Row],[first_name]], " ",Table3[[#This Row],[last_name]])</f>
        <v>Stephanie Russell</v>
      </c>
    </row>
    <row r="1304" spans="1:17" hidden="1" x14ac:dyDescent="0.3">
      <c r="A1304">
        <v>913</v>
      </c>
      <c r="B1304" t="s">
        <v>584</v>
      </c>
      <c r="C1304" t="s">
        <v>650</v>
      </c>
      <c r="D1304" t="s">
        <v>651</v>
      </c>
      <c r="E1304" t="s">
        <v>32</v>
      </c>
      <c r="F1304" t="s">
        <v>33</v>
      </c>
      <c r="G1304" s="1">
        <v>73</v>
      </c>
      <c r="H1304" t="s">
        <v>4034</v>
      </c>
      <c r="I1304" s="2">
        <v>43889</v>
      </c>
      <c r="J1304" t="s">
        <v>96</v>
      </c>
      <c r="K1304" t="s">
        <v>502</v>
      </c>
      <c r="L1304">
        <v>47812</v>
      </c>
      <c r="M1304" t="s">
        <v>21</v>
      </c>
      <c r="N1304" t="str">
        <f>VLOOKUP(A1304, Data_Set_2!$A:$D,2,FALSE)</f>
        <v>srussellpc</v>
      </c>
      <c r="O1304" t="str">
        <f>VLOOKUP(A1304, Data_Set_2!$A:$D,3,FALSE)</f>
        <v>Aimbo</v>
      </c>
      <c r="P1304" t="str">
        <f>VLOOKUP(A1304, Data_Set_2!$A:$D,4,FALSE)</f>
        <v>Technical Writer</v>
      </c>
      <c r="Q1304" t="str">
        <f>_xlfn.CONCAT(Table3[[#This Row],[first_name]], " ",Table3[[#This Row],[last_name]])</f>
        <v>Stephanie Russell</v>
      </c>
    </row>
    <row r="1305" spans="1:17" hidden="1" x14ac:dyDescent="0.3">
      <c r="A1305">
        <v>913</v>
      </c>
      <c r="B1305" t="s">
        <v>584</v>
      </c>
      <c r="C1305" t="s">
        <v>650</v>
      </c>
      <c r="D1305" t="s">
        <v>651</v>
      </c>
      <c r="E1305" t="s">
        <v>32</v>
      </c>
      <c r="F1305" t="s">
        <v>33</v>
      </c>
      <c r="G1305" s="1">
        <v>42</v>
      </c>
      <c r="H1305" t="s">
        <v>4034</v>
      </c>
      <c r="I1305" s="2">
        <v>44181</v>
      </c>
      <c r="J1305" t="s">
        <v>96</v>
      </c>
      <c r="K1305" t="s">
        <v>502</v>
      </c>
      <c r="L1305">
        <v>47812</v>
      </c>
      <c r="M1305" t="s">
        <v>21</v>
      </c>
      <c r="N1305" t="str">
        <f>VLOOKUP(A1305, Data_Set_2!$A:$D,2,FALSE)</f>
        <v>srussellpc</v>
      </c>
      <c r="O1305" t="str">
        <f>VLOOKUP(A1305, Data_Set_2!$A:$D,3,FALSE)</f>
        <v>Aimbo</v>
      </c>
      <c r="P1305" t="str">
        <f>VLOOKUP(A1305, Data_Set_2!$A:$D,4,FALSE)</f>
        <v>Technical Writer</v>
      </c>
      <c r="Q1305" t="str">
        <f>_xlfn.CONCAT(Table3[[#This Row],[first_name]], " ",Table3[[#This Row],[last_name]])</f>
        <v>Stephanie Russell</v>
      </c>
    </row>
    <row r="1306" spans="1:17" hidden="1" x14ac:dyDescent="0.3">
      <c r="A1306">
        <v>913</v>
      </c>
      <c r="B1306" t="s">
        <v>584</v>
      </c>
      <c r="C1306" t="s">
        <v>650</v>
      </c>
      <c r="D1306" t="s">
        <v>651</v>
      </c>
      <c r="E1306" t="s">
        <v>32</v>
      </c>
      <c r="F1306" t="s">
        <v>33</v>
      </c>
      <c r="G1306" s="1">
        <v>487</v>
      </c>
      <c r="H1306" t="s">
        <v>4034</v>
      </c>
      <c r="I1306" s="2">
        <v>44371</v>
      </c>
      <c r="J1306" t="s">
        <v>96</v>
      </c>
      <c r="K1306" t="s">
        <v>502</v>
      </c>
      <c r="L1306">
        <v>47812</v>
      </c>
      <c r="M1306" t="s">
        <v>21</v>
      </c>
      <c r="N1306" t="str">
        <f>VLOOKUP(A1306, Data_Set_2!$A:$D,2,FALSE)</f>
        <v>srussellpc</v>
      </c>
      <c r="O1306" t="str">
        <f>VLOOKUP(A1306, Data_Set_2!$A:$D,3,FALSE)</f>
        <v>Aimbo</v>
      </c>
      <c r="P1306" t="str">
        <f>VLOOKUP(A1306, Data_Set_2!$A:$D,4,FALSE)</f>
        <v>Technical Writer</v>
      </c>
      <c r="Q1306" t="str">
        <f>_xlfn.CONCAT(Table3[[#This Row],[first_name]], " ",Table3[[#This Row],[last_name]])</f>
        <v>Stephanie Russell</v>
      </c>
    </row>
    <row r="1307" spans="1:17" hidden="1" x14ac:dyDescent="0.3">
      <c r="A1307">
        <v>913</v>
      </c>
      <c r="B1307" t="s">
        <v>584</v>
      </c>
      <c r="C1307" t="s">
        <v>650</v>
      </c>
      <c r="D1307" t="s">
        <v>651</v>
      </c>
      <c r="E1307" t="s">
        <v>32</v>
      </c>
      <c r="F1307" t="s">
        <v>33</v>
      </c>
      <c r="G1307" s="1">
        <v>585</v>
      </c>
      <c r="H1307" t="s">
        <v>4034</v>
      </c>
      <c r="I1307" s="2">
        <v>44446</v>
      </c>
      <c r="J1307" t="s">
        <v>96</v>
      </c>
      <c r="K1307" t="s">
        <v>502</v>
      </c>
      <c r="L1307">
        <v>47812</v>
      </c>
      <c r="M1307" t="s">
        <v>21</v>
      </c>
      <c r="N1307" t="str">
        <f>VLOOKUP(A1307, Data_Set_2!$A:$D,2,FALSE)</f>
        <v>srussellpc</v>
      </c>
      <c r="O1307" t="str">
        <f>VLOOKUP(A1307, Data_Set_2!$A:$D,3,FALSE)</f>
        <v>Aimbo</v>
      </c>
      <c r="P1307" t="str">
        <f>VLOOKUP(A1307, Data_Set_2!$A:$D,4,FALSE)</f>
        <v>Technical Writer</v>
      </c>
      <c r="Q1307" t="str">
        <f>_xlfn.CONCAT(Table3[[#This Row],[first_name]], " ",Table3[[#This Row],[last_name]])</f>
        <v>Stephanie Russell</v>
      </c>
    </row>
    <row r="1308" spans="1:17" hidden="1" x14ac:dyDescent="0.3">
      <c r="A1308">
        <v>913</v>
      </c>
      <c r="B1308" t="s">
        <v>584</v>
      </c>
      <c r="C1308" t="s">
        <v>650</v>
      </c>
      <c r="D1308" t="s">
        <v>651</v>
      </c>
      <c r="E1308" t="s">
        <v>32</v>
      </c>
      <c r="F1308" t="s">
        <v>33</v>
      </c>
      <c r="G1308" s="1">
        <v>682</v>
      </c>
      <c r="H1308" t="s">
        <v>4034</v>
      </c>
      <c r="I1308" s="2">
        <v>44466</v>
      </c>
      <c r="J1308" t="s">
        <v>96</v>
      </c>
      <c r="K1308" t="s">
        <v>502</v>
      </c>
      <c r="L1308">
        <v>47812</v>
      </c>
      <c r="M1308" t="s">
        <v>21</v>
      </c>
      <c r="N1308" t="str">
        <f>VLOOKUP(A1308, Data_Set_2!$A:$D,2,FALSE)</f>
        <v>srussellpc</v>
      </c>
      <c r="O1308" t="str">
        <f>VLOOKUP(A1308, Data_Set_2!$A:$D,3,FALSE)</f>
        <v>Aimbo</v>
      </c>
      <c r="P1308" t="str">
        <f>VLOOKUP(A1308, Data_Set_2!$A:$D,4,FALSE)</f>
        <v>Technical Writer</v>
      </c>
      <c r="Q1308" t="str">
        <f>_xlfn.CONCAT(Table3[[#This Row],[first_name]], " ",Table3[[#This Row],[last_name]])</f>
        <v>Stephanie Russell</v>
      </c>
    </row>
    <row r="1309" spans="1:17" hidden="1" x14ac:dyDescent="0.3">
      <c r="A1309">
        <v>913</v>
      </c>
      <c r="B1309" t="s">
        <v>584</v>
      </c>
      <c r="C1309" t="s">
        <v>650</v>
      </c>
      <c r="D1309" t="s">
        <v>651</v>
      </c>
      <c r="E1309" t="s">
        <v>32</v>
      </c>
      <c r="F1309" t="s">
        <v>33</v>
      </c>
      <c r="G1309" s="1">
        <v>205</v>
      </c>
      <c r="H1309" t="s">
        <v>4034</v>
      </c>
      <c r="I1309" s="2">
        <v>44729</v>
      </c>
      <c r="J1309" t="s">
        <v>96</v>
      </c>
      <c r="K1309" t="s">
        <v>502</v>
      </c>
      <c r="L1309">
        <v>47812</v>
      </c>
      <c r="M1309" t="s">
        <v>21</v>
      </c>
      <c r="N1309" t="str">
        <f>VLOOKUP(A1309, Data_Set_2!$A:$D,2,FALSE)</f>
        <v>srussellpc</v>
      </c>
      <c r="O1309" t="str">
        <f>VLOOKUP(A1309, Data_Set_2!$A:$D,3,FALSE)</f>
        <v>Aimbo</v>
      </c>
      <c r="P1309" t="str">
        <f>VLOOKUP(A1309, Data_Set_2!$A:$D,4,FALSE)</f>
        <v>Technical Writer</v>
      </c>
      <c r="Q1309" t="str">
        <f>_xlfn.CONCAT(Table3[[#This Row],[first_name]], " ",Table3[[#This Row],[last_name]])</f>
        <v>Stephanie Russell</v>
      </c>
    </row>
    <row r="1310" spans="1:17" hidden="1" x14ac:dyDescent="0.3">
      <c r="A1310">
        <v>913</v>
      </c>
      <c r="B1310" t="s">
        <v>584</v>
      </c>
      <c r="C1310" t="s">
        <v>650</v>
      </c>
      <c r="D1310" t="s">
        <v>651</v>
      </c>
      <c r="E1310" t="s">
        <v>32</v>
      </c>
      <c r="F1310" t="s">
        <v>33</v>
      </c>
      <c r="G1310" s="1">
        <v>845</v>
      </c>
      <c r="H1310" t="s">
        <v>4034</v>
      </c>
      <c r="I1310" s="2">
        <v>44820</v>
      </c>
      <c r="J1310" t="s">
        <v>96</v>
      </c>
      <c r="K1310" t="s">
        <v>502</v>
      </c>
      <c r="L1310">
        <v>47812</v>
      </c>
      <c r="M1310" t="s">
        <v>21</v>
      </c>
      <c r="N1310" t="str">
        <f>VLOOKUP(A1310, Data_Set_2!$A:$D,2,FALSE)</f>
        <v>srussellpc</v>
      </c>
      <c r="O1310" t="str">
        <f>VLOOKUP(A1310, Data_Set_2!$A:$D,3,FALSE)</f>
        <v>Aimbo</v>
      </c>
      <c r="P1310" t="str">
        <f>VLOOKUP(A1310, Data_Set_2!$A:$D,4,FALSE)</f>
        <v>Technical Writer</v>
      </c>
      <c r="Q1310" t="str">
        <f>_xlfn.CONCAT(Table3[[#This Row],[first_name]], " ",Table3[[#This Row],[last_name]])</f>
        <v>Stephanie Russell</v>
      </c>
    </row>
    <row r="1311" spans="1:17" hidden="1" x14ac:dyDescent="0.3">
      <c r="A1311">
        <v>913</v>
      </c>
      <c r="B1311" t="s">
        <v>584</v>
      </c>
      <c r="C1311" t="s">
        <v>650</v>
      </c>
      <c r="D1311" t="s">
        <v>651</v>
      </c>
      <c r="E1311" t="s">
        <v>32</v>
      </c>
      <c r="F1311" t="s">
        <v>33</v>
      </c>
      <c r="G1311" s="1">
        <v>538</v>
      </c>
      <c r="H1311" t="s">
        <v>4034</v>
      </c>
      <c r="I1311" s="2">
        <v>44895</v>
      </c>
      <c r="J1311" t="s">
        <v>96</v>
      </c>
      <c r="K1311" t="s">
        <v>502</v>
      </c>
      <c r="L1311">
        <v>47812</v>
      </c>
      <c r="M1311" t="s">
        <v>21</v>
      </c>
      <c r="N1311" t="str">
        <f>VLOOKUP(A1311, Data_Set_2!$A:$D,2,FALSE)</f>
        <v>srussellpc</v>
      </c>
      <c r="O1311" t="str">
        <f>VLOOKUP(A1311, Data_Set_2!$A:$D,3,FALSE)</f>
        <v>Aimbo</v>
      </c>
      <c r="P1311" t="str">
        <f>VLOOKUP(A1311, Data_Set_2!$A:$D,4,FALSE)</f>
        <v>Technical Writer</v>
      </c>
      <c r="Q1311" t="str">
        <f>_xlfn.CONCAT(Table3[[#This Row],[first_name]], " ",Table3[[#This Row],[last_name]])</f>
        <v>Stephanie Russell</v>
      </c>
    </row>
    <row r="1312" spans="1:17" hidden="1" x14ac:dyDescent="0.3">
      <c r="A1312">
        <v>913</v>
      </c>
      <c r="B1312" t="s">
        <v>584</v>
      </c>
      <c r="C1312" t="s">
        <v>650</v>
      </c>
      <c r="D1312" t="s">
        <v>651</v>
      </c>
      <c r="E1312" t="s">
        <v>32</v>
      </c>
      <c r="F1312" t="s">
        <v>33</v>
      </c>
      <c r="G1312" s="1">
        <v>674</v>
      </c>
      <c r="H1312" t="s">
        <v>4034</v>
      </c>
      <c r="I1312" s="2">
        <v>44918</v>
      </c>
      <c r="J1312" t="s">
        <v>96</v>
      </c>
      <c r="K1312" t="s">
        <v>502</v>
      </c>
      <c r="L1312">
        <v>47812</v>
      </c>
      <c r="M1312" t="s">
        <v>21</v>
      </c>
      <c r="N1312" t="str">
        <f>VLOOKUP(A1312, Data_Set_2!$A:$D,2,FALSE)</f>
        <v>srussellpc</v>
      </c>
      <c r="O1312" t="str">
        <f>VLOOKUP(A1312, Data_Set_2!$A:$D,3,FALSE)</f>
        <v>Aimbo</v>
      </c>
      <c r="P1312" t="str">
        <f>VLOOKUP(A1312, Data_Set_2!$A:$D,4,FALSE)</f>
        <v>Technical Writer</v>
      </c>
      <c r="Q1312" t="str">
        <f>_xlfn.CONCAT(Table3[[#This Row],[first_name]], " ",Table3[[#This Row],[last_name]])</f>
        <v>Stephanie Russell</v>
      </c>
    </row>
    <row r="1313" spans="1:17" hidden="1" x14ac:dyDescent="0.3">
      <c r="A1313">
        <v>914</v>
      </c>
      <c r="B1313" t="s">
        <v>222</v>
      </c>
      <c r="C1313" t="s">
        <v>825</v>
      </c>
      <c r="D1313" t="s">
        <v>826</v>
      </c>
      <c r="E1313" t="s">
        <v>32</v>
      </c>
      <c r="F1313" t="s">
        <v>25</v>
      </c>
      <c r="G1313" s="1">
        <v>405</v>
      </c>
      <c r="H1313" t="s">
        <v>34</v>
      </c>
      <c r="I1313" s="2">
        <v>43816</v>
      </c>
      <c r="J1313" t="s">
        <v>204</v>
      </c>
      <c r="K1313" t="s">
        <v>827</v>
      </c>
      <c r="L1313">
        <v>22234</v>
      </c>
      <c r="M1313" t="s">
        <v>21</v>
      </c>
      <c r="N1313" t="str">
        <f>VLOOKUP(A1313, Data_Set_2!$A:$D,2,FALSE)</f>
        <v>speterspd</v>
      </c>
      <c r="O1313" t="str">
        <f>VLOOKUP(A1313, Data_Set_2!$A:$D,3,FALSE)</f>
        <v>Voonte</v>
      </c>
      <c r="P1313" t="str">
        <f>VLOOKUP(A1313, Data_Set_2!$A:$D,4,FALSE)</f>
        <v>Environmental Tech</v>
      </c>
      <c r="Q1313" t="str">
        <f>_xlfn.CONCAT(Table3[[#This Row],[first_name]], " ",Table3[[#This Row],[last_name]])</f>
        <v>Sharon Peters</v>
      </c>
    </row>
    <row r="1314" spans="1:17" hidden="1" x14ac:dyDescent="0.3">
      <c r="A1314">
        <v>915</v>
      </c>
      <c r="B1314" t="s">
        <v>1245</v>
      </c>
      <c r="C1314" t="s">
        <v>954</v>
      </c>
      <c r="D1314" t="s">
        <v>1246</v>
      </c>
      <c r="E1314" t="s">
        <v>16</v>
      </c>
      <c r="F1314" t="s">
        <v>33</v>
      </c>
      <c r="G1314" s="1">
        <v>610</v>
      </c>
      <c r="H1314" t="s">
        <v>34</v>
      </c>
      <c r="I1314" s="2">
        <v>44867</v>
      </c>
      <c r="J1314" t="s">
        <v>68</v>
      </c>
      <c r="K1314" t="s">
        <v>1247</v>
      </c>
      <c r="L1314">
        <v>76905</v>
      </c>
      <c r="M1314" t="s">
        <v>21</v>
      </c>
      <c r="N1314" t="str">
        <f>VLOOKUP(A1314, Data_Set_2!$A:$D,2,FALSE)</f>
        <v>jmasonpe</v>
      </c>
      <c r="O1314" t="str">
        <f>VLOOKUP(A1314, Data_Set_2!$A:$D,3,FALSE)</f>
        <v>Jaxbean</v>
      </c>
      <c r="P1314" t="str">
        <f>VLOOKUP(A1314, Data_Set_2!$A:$D,4,FALSE)</f>
        <v>VP Sales</v>
      </c>
      <c r="Q1314" t="str">
        <f>_xlfn.CONCAT(Table3[[#This Row],[first_name]], " ",Table3[[#This Row],[last_name]])</f>
        <v>Jonathan Mason</v>
      </c>
    </row>
    <row r="1315" spans="1:17" hidden="1" x14ac:dyDescent="0.3">
      <c r="A1315">
        <v>916</v>
      </c>
      <c r="B1315" t="s">
        <v>413</v>
      </c>
      <c r="C1315" t="s">
        <v>23</v>
      </c>
      <c r="D1315" t="s">
        <v>633</v>
      </c>
      <c r="E1315" t="s">
        <v>32</v>
      </c>
      <c r="F1315" t="s">
        <v>25</v>
      </c>
      <c r="G1315" s="1">
        <v>276</v>
      </c>
      <c r="H1315" t="s">
        <v>4036</v>
      </c>
      <c r="I1315" s="2">
        <v>43553</v>
      </c>
      <c r="J1315" t="s">
        <v>35</v>
      </c>
      <c r="K1315" t="s">
        <v>634</v>
      </c>
      <c r="L1315">
        <v>93291</v>
      </c>
      <c r="M1315" t="s">
        <v>21</v>
      </c>
      <c r="N1315" t="str">
        <f>VLOOKUP(A1315, Data_Set_2!$A:$D,2,FALSE)</f>
        <v>kmurraypf</v>
      </c>
      <c r="O1315" t="str">
        <f>VLOOKUP(A1315, Data_Set_2!$A:$D,3,FALSE)</f>
        <v>Livetube</v>
      </c>
      <c r="P1315" t="str">
        <f>VLOOKUP(A1315, Data_Set_2!$A:$D,4,FALSE)</f>
        <v>Cost Accountant</v>
      </c>
      <c r="Q1315" t="str">
        <f>_xlfn.CONCAT(Table3[[#This Row],[first_name]], " ",Table3[[#This Row],[last_name]])</f>
        <v>Kathryn Murray</v>
      </c>
    </row>
    <row r="1316" spans="1:17" hidden="1" x14ac:dyDescent="0.3">
      <c r="A1316">
        <v>917</v>
      </c>
      <c r="B1316" t="s">
        <v>112</v>
      </c>
      <c r="C1316" t="s">
        <v>849</v>
      </c>
      <c r="D1316" t="s">
        <v>1036</v>
      </c>
      <c r="E1316" t="s">
        <v>32</v>
      </c>
      <c r="F1316" t="s">
        <v>33</v>
      </c>
      <c r="G1316" s="1">
        <v>662</v>
      </c>
      <c r="H1316" t="s">
        <v>26</v>
      </c>
      <c r="I1316" s="2">
        <v>44304</v>
      </c>
      <c r="J1316" t="s">
        <v>220</v>
      </c>
      <c r="K1316" t="s">
        <v>295</v>
      </c>
      <c r="L1316">
        <v>98109</v>
      </c>
      <c r="M1316" t="s">
        <v>21</v>
      </c>
      <c r="N1316" t="str">
        <f>VLOOKUP(A1316, Data_Set_2!$A:$D,2,FALSE)</f>
        <v>nmatthewspg</v>
      </c>
      <c r="O1316" t="str">
        <f>VLOOKUP(A1316, Data_Set_2!$A:$D,3,FALSE)</f>
        <v>Vidoo</v>
      </c>
      <c r="P1316" t="str">
        <f>VLOOKUP(A1316, Data_Set_2!$A:$D,4,FALSE)</f>
        <v>Human Resources Assistant IV</v>
      </c>
      <c r="Q1316" t="str">
        <f>_xlfn.CONCAT(Table3[[#This Row],[first_name]], " ",Table3[[#This Row],[last_name]])</f>
        <v>Norma Matthews</v>
      </c>
    </row>
    <row r="1317" spans="1:17" hidden="1" x14ac:dyDescent="0.3">
      <c r="A1317">
        <v>919</v>
      </c>
      <c r="B1317" t="s">
        <v>186</v>
      </c>
      <c r="C1317" t="s">
        <v>187</v>
      </c>
      <c r="D1317" t="s">
        <v>188</v>
      </c>
      <c r="E1317" t="s">
        <v>32</v>
      </c>
      <c r="F1317" t="s">
        <v>33</v>
      </c>
      <c r="G1317" s="1">
        <v>281</v>
      </c>
      <c r="H1317" t="s">
        <v>26</v>
      </c>
      <c r="I1317" s="2">
        <v>43152</v>
      </c>
      <c r="J1317" t="s">
        <v>52</v>
      </c>
      <c r="K1317" t="s">
        <v>189</v>
      </c>
      <c r="L1317">
        <v>25326</v>
      </c>
      <c r="M1317" t="s">
        <v>21</v>
      </c>
      <c r="N1317" t="str">
        <f>VLOOKUP(A1317, Data_Set_2!$A:$D,2,FALSE)</f>
        <v>jcarpenterpi</v>
      </c>
      <c r="O1317" t="str">
        <f>VLOOKUP(A1317, Data_Set_2!$A:$D,3,FALSE)</f>
        <v>Meedoo</v>
      </c>
      <c r="P1317" t="str">
        <f>VLOOKUP(A1317, Data_Set_2!$A:$D,4,FALSE)</f>
        <v>Associate Professor</v>
      </c>
      <c r="Q1317" t="str">
        <f>_xlfn.CONCAT(Table3[[#This Row],[first_name]], " ",Table3[[#This Row],[last_name]])</f>
        <v>Judy Carpenter</v>
      </c>
    </row>
    <row r="1318" spans="1:17" hidden="1" x14ac:dyDescent="0.3">
      <c r="A1318">
        <v>921</v>
      </c>
      <c r="B1318" t="s">
        <v>194</v>
      </c>
      <c r="C1318" t="s">
        <v>665</v>
      </c>
      <c r="D1318" t="s">
        <v>734</v>
      </c>
      <c r="E1318" t="s">
        <v>32</v>
      </c>
      <c r="F1318" t="s">
        <v>17</v>
      </c>
      <c r="G1318" s="1">
        <v>419</v>
      </c>
      <c r="H1318" t="s">
        <v>4037</v>
      </c>
      <c r="I1318" s="2">
        <v>43677</v>
      </c>
      <c r="J1318" t="s">
        <v>35</v>
      </c>
      <c r="K1318" t="s">
        <v>735</v>
      </c>
      <c r="L1318">
        <v>90831</v>
      </c>
      <c r="M1318" t="s">
        <v>21</v>
      </c>
      <c r="N1318" t="str">
        <f>VLOOKUP(A1318, Data_Set_2!$A:$D,2,FALSE)</f>
        <v>eperezpk</v>
      </c>
      <c r="O1318" t="str">
        <f>VLOOKUP(A1318, Data_Set_2!$A:$D,3,FALSE)</f>
        <v>Jabbersphere</v>
      </c>
      <c r="P1318" t="str">
        <f>VLOOKUP(A1318, Data_Set_2!$A:$D,4,FALSE)</f>
        <v>Senior Cost Accountant</v>
      </c>
      <c r="Q1318" t="str">
        <f>_xlfn.CONCAT(Table3[[#This Row],[first_name]], " ",Table3[[#This Row],[last_name]])</f>
        <v>Evelyn Perez</v>
      </c>
    </row>
    <row r="1319" spans="1:17" hidden="1" x14ac:dyDescent="0.3">
      <c r="A1319">
        <v>923</v>
      </c>
      <c r="B1319" t="s">
        <v>773</v>
      </c>
      <c r="C1319" t="s">
        <v>534</v>
      </c>
      <c r="D1319" t="s">
        <v>774</v>
      </c>
      <c r="E1319" t="s">
        <v>16</v>
      </c>
      <c r="F1319" t="s">
        <v>33</v>
      </c>
      <c r="G1319" s="1">
        <v>420</v>
      </c>
      <c r="H1319" t="s">
        <v>26</v>
      </c>
      <c r="I1319" s="2">
        <v>43728</v>
      </c>
      <c r="J1319" t="s">
        <v>192</v>
      </c>
      <c r="K1319" t="s">
        <v>193</v>
      </c>
      <c r="L1319">
        <v>55417</v>
      </c>
      <c r="M1319" t="s">
        <v>21</v>
      </c>
      <c r="N1319" t="str">
        <f>VLOOKUP(A1319, Data_Set_2!$A:$D,2,FALSE)</f>
        <v>rfosterpm</v>
      </c>
      <c r="O1319" t="str">
        <f>VLOOKUP(A1319, Data_Set_2!$A:$D,3,FALSE)</f>
        <v>Agimba</v>
      </c>
      <c r="P1319" t="str">
        <f>VLOOKUP(A1319, Data_Set_2!$A:$D,4,FALSE)</f>
        <v>Graphic Designer</v>
      </c>
      <c r="Q1319" t="str">
        <f>_xlfn.CONCAT(Table3[[#This Row],[first_name]], " ",Table3[[#This Row],[last_name]])</f>
        <v>Richard Foster</v>
      </c>
    </row>
    <row r="1320" spans="1:17" hidden="1" x14ac:dyDescent="0.3">
      <c r="A1320">
        <v>925</v>
      </c>
      <c r="B1320" t="s">
        <v>602</v>
      </c>
      <c r="C1320" t="s">
        <v>639</v>
      </c>
      <c r="D1320" t="s">
        <v>728</v>
      </c>
      <c r="E1320" t="s">
        <v>32</v>
      </c>
      <c r="F1320" t="s">
        <v>33</v>
      </c>
      <c r="G1320" s="1">
        <v>599</v>
      </c>
      <c r="H1320" t="s">
        <v>4037</v>
      </c>
      <c r="I1320" s="2">
        <v>43672</v>
      </c>
      <c r="J1320" t="s">
        <v>68</v>
      </c>
      <c r="K1320" t="s">
        <v>234</v>
      </c>
      <c r="L1320">
        <v>77276</v>
      </c>
      <c r="M1320" t="s">
        <v>21</v>
      </c>
      <c r="N1320" t="str">
        <f>VLOOKUP(A1320, Data_Set_2!$A:$D,2,FALSE)</f>
        <v>dharrispo</v>
      </c>
      <c r="O1320" t="str">
        <f>VLOOKUP(A1320, Data_Set_2!$A:$D,3,FALSE)</f>
        <v>Topiczoom</v>
      </c>
      <c r="P1320" t="str">
        <f>VLOOKUP(A1320, Data_Set_2!$A:$D,4,FALSE)</f>
        <v>Account Coordinator</v>
      </c>
      <c r="Q1320" t="str">
        <f>_xlfn.CONCAT(Table3[[#This Row],[first_name]], " ",Table3[[#This Row],[last_name]])</f>
        <v>Diane Harris</v>
      </c>
    </row>
    <row r="1321" spans="1:17" hidden="1" x14ac:dyDescent="0.3">
      <c r="A1321">
        <v>926</v>
      </c>
      <c r="B1321" t="s">
        <v>352</v>
      </c>
      <c r="C1321" t="s">
        <v>617</v>
      </c>
      <c r="D1321" t="s">
        <v>710</v>
      </c>
      <c r="E1321" t="s">
        <v>32</v>
      </c>
      <c r="F1321" t="s">
        <v>17</v>
      </c>
      <c r="G1321" s="1">
        <v>652</v>
      </c>
      <c r="H1321" t="s">
        <v>26</v>
      </c>
      <c r="I1321" s="2">
        <v>43648</v>
      </c>
      <c r="J1321" t="s">
        <v>74</v>
      </c>
      <c r="K1321" t="s">
        <v>711</v>
      </c>
      <c r="L1321">
        <v>30066</v>
      </c>
      <c r="M1321" t="s">
        <v>21</v>
      </c>
      <c r="N1321" t="str">
        <f>VLOOKUP(A1321, Data_Set_2!$A:$D,2,FALSE)</f>
        <v>rcarrollpp</v>
      </c>
      <c r="O1321" t="str">
        <f>VLOOKUP(A1321, Data_Set_2!$A:$D,3,FALSE)</f>
        <v>Voonder</v>
      </c>
      <c r="P1321" t="str">
        <f>VLOOKUP(A1321, Data_Set_2!$A:$D,4,FALSE)</f>
        <v>Database Administrator IV</v>
      </c>
      <c r="Q1321" t="str">
        <f>_xlfn.CONCAT(Table3[[#This Row],[first_name]], " ",Table3[[#This Row],[last_name]])</f>
        <v>Rachel Carroll</v>
      </c>
    </row>
    <row r="1322" spans="1:17" hidden="1" x14ac:dyDescent="0.3">
      <c r="A1322">
        <v>928</v>
      </c>
      <c r="B1322" t="s">
        <v>359</v>
      </c>
      <c r="C1322" t="s">
        <v>567</v>
      </c>
      <c r="D1322" t="s">
        <v>568</v>
      </c>
      <c r="E1322" t="s">
        <v>32</v>
      </c>
      <c r="F1322" t="s">
        <v>33</v>
      </c>
      <c r="G1322" s="1">
        <v>741</v>
      </c>
      <c r="H1322" t="s">
        <v>26</v>
      </c>
      <c r="I1322" s="2">
        <v>43467</v>
      </c>
      <c r="J1322" t="s">
        <v>68</v>
      </c>
      <c r="K1322" t="s">
        <v>326</v>
      </c>
      <c r="L1322">
        <v>77505</v>
      </c>
      <c r="M1322" t="s">
        <v>21</v>
      </c>
      <c r="N1322" t="str">
        <f>VLOOKUP(A1322, Data_Set_2!$A:$D,2,FALSE)</f>
        <v>djordanpr</v>
      </c>
      <c r="O1322" t="str">
        <f>VLOOKUP(A1322, Data_Set_2!$A:$D,3,FALSE)</f>
        <v>Feedfire</v>
      </c>
      <c r="P1322" t="str">
        <f>VLOOKUP(A1322, Data_Set_2!$A:$D,4,FALSE)</f>
        <v>Operator</v>
      </c>
      <c r="Q1322" t="str">
        <f>_xlfn.CONCAT(Table3[[#This Row],[first_name]], " ",Table3[[#This Row],[last_name]])</f>
        <v>Deborah Jordan</v>
      </c>
    </row>
    <row r="1323" spans="1:17" hidden="1" x14ac:dyDescent="0.3">
      <c r="A1323">
        <v>929</v>
      </c>
      <c r="B1323" t="s">
        <v>304</v>
      </c>
      <c r="C1323" t="s">
        <v>396</v>
      </c>
      <c r="D1323" t="s">
        <v>937</v>
      </c>
      <c r="E1323" t="s">
        <v>32</v>
      </c>
      <c r="F1323" t="s">
        <v>33</v>
      </c>
      <c r="G1323" s="1">
        <v>565</v>
      </c>
      <c r="H1323" t="s">
        <v>18</v>
      </c>
      <c r="I1323" s="2">
        <v>44082</v>
      </c>
      <c r="J1323" t="s">
        <v>35</v>
      </c>
      <c r="K1323" t="s">
        <v>180</v>
      </c>
      <c r="L1323">
        <v>95194</v>
      </c>
      <c r="M1323" t="s">
        <v>21</v>
      </c>
      <c r="N1323" t="str">
        <f>VLOOKUP(A1323, Data_Set_2!$A:$D,2,FALSE)</f>
        <v>rgordonps</v>
      </c>
      <c r="O1323" t="str">
        <f>VLOOKUP(A1323, Data_Set_2!$A:$D,3,FALSE)</f>
        <v>Zoonder</v>
      </c>
      <c r="P1323" t="str">
        <f>VLOOKUP(A1323, Data_Set_2!$A:$D,4,FALSE)</f>
        <v>Structural Engineer</v>
      </c>
      <c r="Q1323" t="str">
        <f>_xlfn.CONCAT(Table3[[#This Row],[first_name]], " ",Table3[[#This Row],[last_name]])</f>
        <v>Rebecca Gordon</v>
      </c>
    </row>
    <row r="1324" spans="1:17" hidden="1" x14ac:dyDescent="0.3">
      <c r="A1324">
        <v>931</v>
      </c>
      <c r="B1324" t="s">
        <v>844</v>
      </c>
      <c r="C1324" t="s">
        <v>187</v>
      </c>
      <c r="D1324" t="s">
        <v>1225</v>
      </c>
      <c r="E1324" t="s">
        <v>32</v>
      </c>
      <c r="F1324" t="s">
        <v>17</v>
      </c>
      <c r="G1324" s="1">
        <v>458</v>
      </c>
      <c r="H1324" t="s">
        <v>4035</v>
      </c>
      <c r="I1324" s="2">
        <v>44789</v>
      </c>
      <c r="J1324" t="s">
        <v>204</v>
      </c>
      <c r="K1324" t="s">
        <v>1226</v>
      </c>
      <c r="L1324">
        <v>24009</v>
      </c>
      <c r="M1324" t="s">
        <v>21</v>
      </c>
      <c r="N1324" t="str">
        <f>VLOOKUP(A1324, Data_Set_2!$A:$D,2,FALSE)</f>
        <v>jcarpenterpu</v>
      </c>
      <c r="O1324" t="str">
        <f>VLOOKUP(A1324, Data_Set_2!$A:$D,3,FALSE)</f>
        <v>Skyvu</v>
      </c>
      <c r="P1324" t="str">
        <f>VLOOKUP(A1324, Data_Set_2!$A:$D,4,FALSE)</f>
        <v>Technical Writer</v>
      </c>
      <c r="Q1324" t="str">
        <f>_xlfn.CONCAT(Table3[[#This Row],[first_name]], " ",Table3[[#This Row],[last_name]])</f>
        <v>Jacqueline Carpenter</v>
      </c>
    </row>
    <row r="1325" spans="1:17" hidden="1" x14ac:dyDescent="0.3">
      <c r="A1325">
        <v>935</v>
      </c>
      <c r="B1325" t="s">
        <v>336</v>
      </c>
      <c r="C1325" t="s">
        <v>764</v>
      </c>
      <c r="D1325" t="s">
        <v>1109</v>
      </c>
      <c r="E1325" t="s">
        <v>16</v>
      </c>
      <c r="F1325" t="s">
        <v>25</v>
      </c>
      <c r="G1325" s="1">
        <v>905</v>
      </c>
      <c r="H1325" t="s">
        <v>4034</v>
      </c>
      <c r="I1325" s="2">
        <v>44517</v>
      </c>
      <c r="J1325" t="s">
        <v>68</v>
      </c>
      <c r="K1325" t="s">
        <v>475</v>
      </c>
      <c r="L1325">
        <v>75310</v>
      </c>
      <c r="M1325" t="s">
        <v>21</v>
      </c>
      <c r="N1325" t="str">
        <f>VLOOKUP(A1325, Data_Set_2!$A:$D,2,FALSE)</f>
        <v>rtuckerpy</v>
      </c>
      <c r="O1325" t="str">
        <f>VLOOKUP(A1325, Data_Set_2!$A:$D,3,FALSE)</f>
        <v>Miboo</v>
      </c>
      <c r="P1325" t="str">
        <f>VLOOKUP(A1325, Data_Set_2!$A:$D,4,FALSE)</f>
        <v>Accountant II</v>
      </c>
      <c r="Q1325" t="str">
        <f>_xlfn.CONCAT(Table3[[#This Row],[first_name]], " ",Table3[[#This Row],[last_name]])</f>
        <v>Ronald Tucker</v>
      </c>
    </row>
    <row r="1326" spans="1:17" hidden="1" x14ac:dyDescent="0.3">
      <c r="A1326">
        <v>936</v>
      </c>
      <c r="B1326" t="s">
        <v>443</v>
      </c>
      <c r="C1326" t="s">
        <v>347</v>
      </c>
      <c r="D1326" t="s">
        <v>444</v>
      </c>
      <c r="E1326" t="s">
        <v>32</v>
      </c>
      <c r="F1326" t="s">
        <v>33</v>
      </c>
      <c r="G1326" s="1">
        <v>73</v>
      </c>
      <c r="H1326" t="s">
        <v>62</v>
      </c>
      <c r="I1326" s="2">
        <v>43323</v>
      </c>
      <c r="J1326" t="s">
        <v>115</v>
      </c>
      <c r="K1326" t="s">
        <v>143</v>
      </c>
      <c r="L1326">
        <v>33147</v>
      </c>
      <c r="M1326" t="s">
        <v>21</v>
      </c>
      <c r="N1326" t="str">
        <f>VLOOKUP(A1326, Data_Set_2!$A:$D,2,FALSE)</f>
        <v>mbrookspz</v>
      </c>
      <c r="O1326" t="str">
        <f>VLOOKUP(A1326, Data_Set_2!$A:$D,3,FALSE)</f>
        <v>Youspan</v>
      </c>
      <c r="P1326" t="str">
        <f>VLOOKUP(A1326, Data_Set_2!$A:$D,4,FALSE)</f>
        <v>Geologist IV</v>
      </c>
      <c r="Q1326" t="str">
        <f>_xlfn.CONCAT(Table3[[#This Row],[first_name]], " ",Table3[[#This Row],[last_name]])</f>
        <v>Marilyn Brooks</v>
      </c>
    </row>
    <row r="1327" spans="1:17" hidden="1" x14ac:dyDescent="0.3">
      <c r="A1327">
        <v>937</v>
      </c>
      <c r="B1327" t="s">
        <v>745</v>
      </c>
      <c r="C1327" t="s">
        <v>430</v>
      </c>
      <c r="D1327" t="s">
        <v>1096</v>
      </c>
      <c r="E1327" t="s">
        <v>16</v>
      </c>
      <c r="F1327" t="s">
        <v>33</v>
      </c>
      <c r="G1327" s="1">
        <v>118</v>
      </c>
      <c r="H1327" t="s">
        <v>34</v>
      </c>
      <c r="I1327" s="2">
        <v>44481</v>
      </c>
      <c r="J1327" t="s">
        <v>35</v>
      </c>
      <c r="K1327" t="s">
        <v>908</v>
      </c>
      <c r="L1327">
        <v>92186</v>
      </c>
      <c r="M1327" t="s">
        <v>21</v>
      </c>
      <c r="N1327" t="str">
        <f>VLOOKUP(A1327, Data_Set_2!$A:$D,2,FALSE)</f>
        <v>hmooreq0</v>
      </c>
      <c r="O1327" t="str">
        <f>VLOOKUP(A1327, Data_Set_2!$A:$D,3,FALSE)</f>
        <v>Wikido</v>
      </c>
      <c r="P1327" t="str">
        <f>VLOOKUP(A1327, Data_Set_2!$A:$D,4,FALSE)</f>
        <v>Safety Technician I</v>
      </c>
      <c r="Q1327" t="str">
        <f>_xlfn.CONCAT(Table3[[#This Row],[first_name]], " ",Table3[[#This Row],[last_name]])</f>
        <v>Harry Moore</v>
      </c>
    </row>
    <row r="1328" spans="1:17" hidden="1" x14ac:dyDescent="0.3">
      <c r="A1328">
        <v>938</v>
      </c>
      <c r="B1328" t="s">
        <v>799</v>
      </c>
      <c r="C1328" t="s">
        <v>410</v>
      </c>
      <c r="D1328" t="s">
        <v>904</v>
      </c>
      <c r="E1328" t="s">
        <v>16</v>
      </c>
      <c r="F1328" t="s">
        <v>33</v>
      </c>
      <c r="G1328" s="1">
        <v>819</v>
      </c>
      <c r="H1328" t="s">
        <v>26</v>
      </c>
      <c r="I1328" s="2">
        <v>44012</v>
      </c>
      <c r="J1328" t="s">
        <v>110</v>
      </c>
      <c r="K1328" t="s">
        <v>160</v>
      </c>
      <c r="L1328">
        <v>19172</v>
      </c>
      <c r="M1328" t="s">
        <v>21</v>
      </c>
      <c r="N1328" t="str">
        <f>VLOOKUP(A1328, Data_Set_2!$A:$D,2,FALSE)</f>
        <v>dmorenoq1</v>
      </c>
      <c r="O1328" t="str">
        <f>VLOOKUP(A1328, Data_Set_2!$A:$D,3,FALSE)</f>
        <v>Wikido</v>
      </c>
      <c r="P1328" t="str">
        <f>VLOOKUP(A1328, Data_Set_2!$A:$D,4,FALSE)</f>
        <v>Accounting Assistant I</v>
      </c>
      <c r="Q1328" t="str">
        <f>_xlfn.CONCAT(Table3[[#This Row],[first_name]], " ",Table3[[#This Row],[last_name]])</f>
        <v>Daniel Moreno</v>
      </c>
    </row>
    <row r="1329" spans="1:17" hidden="1" x14ac:dyDescent="0.3">
      <c r="A1329">
        <v>939</v>
      </c>
      <c r="B1329" t="s">
        <v>369</v>
      </c>
      <c r="C1329" t="s">
        <v>519</v>
      </c>
      <c r="D1329" t="s">
        <v>1098</v>
      </c>
      <c r="E1329" t="s">
        <v>16</v>
      </c>
      <c r="F1329" t="s">
        <v>17</v>
      </c>
      <c r="G1329" s="1">
        <v>569</v>
      </c>
      <c r="H1329" t="s">
        <v>26</v>
      </c>
      <c r="I1329" s="2">
        <v>44493</v>
      </c>
      <c r="J1329" t="s">
        <v>184</v>
      </c>
      <c r="K1329" t="s">
        <v>197</v>
      </c>
      <c r="L1329">
        <v>10110</v>
      </c>
      <c r="M1329" t="s">
        <v>21</v>
      </c>
      <c r="N1329" t="str">
        <f>VLOOKUP(A1329, Data_Set_2!$A:$D,2,FALSE)</f>
        <v>wbutlerq2</v>
      </c>
      <c r="O1329" t="str">
        <f>VLOOKUP(A1329, Data_Set_2!$A:$D,3,FALSE)</f>
        <v>Zoozzy</v>
      </c>
      <c r="P1329" t="str">
        <f>VLOOKUP(A1329, Data_Set_2!$A:$D,4,FALSE)</f>
        <v>Chief Design Engineer</v>
      </c>
      <c r="Q1329" t="str">
        <f>_xlfn.CONCAT(Table3[[#This Row],[first_name]], " ",Table3[[#This Row],[last_name]])</f>
        <v>William Butler</v>
      </c>
    </row>
    <row r="1330" spans="1:17" hidden="1" x14ac:dyDescent="0.3">
      <c r="A1330">
        <v>940</v>
      </c>
      <c r="B1330" t="s">
        <v>749</v>
      </c>
      <c r="C1330" t="s">
        <v>433</v>
      </c>
      <c r="D1330" t="s">
        <v>1189</v>
      </c>
      <c r="E1330" t="s">
        <v>32</v>
      </c>
      <c r="F1330" t="s">
        <v>33</v>
      </c>
      <c r="G1330" s="1">
        <v>173</v>
      </c>
      <c r="H1330" t="s">
        <v>4036</v>
      </c>
      <c r="I1330" s="2">
        <v>44688</v>
      </c>
      <c r="J1330" t="s">
        <v>74</v>
      </c>
      <c r="K1330" t="s">
        <v>75</v>
      </c>
      <c r="L1330">
        <v>30301</v>
      </c>
      <c r="M1330" t="s">
        <v>21</v>
      </c>
      <c r="N1330" t="str">
        <f>VLOOKUP(A1330, Data_Set_2!$A:$D,2,FALSE)</f>
        <v>dcunninghamq3</v>
      </c>
      <c r="O1330" t="str">
        <f>VLOOKUP(A1330, Data_Set_2!$A:$D,3,FALSE)</f>
        <v>Photojam</v>
      </c>
      <c r="P1330" t="str">
        <f>VLOOKUP(A1330, Data_Set_2!$A:$D,4,FALSE)</f>
        <v>Nuclear Power Engineer</v>
      </c>
      <c r="Q1330" t="str">
        <f>_xlfn.CONCAT(Table3[[#This Row],[first_name]], " ",Table3[[#This Row],[last_name]])</f>
        <v>Doris Cunningham</v>
      </c>
    </row>
    <row r="1331" spans="1:17" hidden="1" x14ac:dyDescent="0.3">
      <c r="A1331">
        <v>941</v>
      </c>
      <c r="B1331" t="s">
        <v>726</v>
      </c>
      <c r="C1331" t="s">
        <v>232</v>
      </c>
      <c r="D1331" t="s">
        <v>940</v>
      </c>
      <c r="E1331" t="s">
        <v>16</v>
      </c>
      <c r="F1331" t="s">
        <v>33</v>
      </c>
      <c r="G1331" s="1">
        <v>522</v>
      </c>
      <c r="H1331" t="s">
        <v>4035</v>
      </c>
      <c r="I1331" s="2">
        <v>44092</v>
      </c>
      <c r="J1331" t="s">
        <v>115</v>
      </c>
      <c r="K1331" t="s">
        <v>941</v>
      </c>
      <c r="L1331">
        <v>34745</v>
      </c>
      <c r="M1331" t="s">
        <v>21</v>
      </c>
      <c r="N1331" t="str">
        <f>VLOOKUP(A1331, Data_Set_2!$A:$D,2,FALSE)</f>
        <v>cwardq4</v>
      </c>
      <c r="O1331" t="str">
        <f>VLOOKUP(A1331, Data_Set_2!$A:$D,3,FALSE)</f>
        <v>Linkbridge</v>
      </c>
      <c r="P1331" t="str">
        <f>VLOOKUP(A1331, Data_Set_2!$A:$D,4,FALSE)</f>
        <v>General Manager</v>
      </c>
      <c r="Q1331" t="str">
        <f>_xlfn.CONCAT(Table3[[#This Row],[first_name]], " ",Table3[[#This Row],[last_name]])</f>
        <v>Clarence Ward</v>
      </c>
    </row>
    <row r="1332" spans="1:17" hidden="1" x14ac:dyDescent="0.3">
      <c r="A1332">
        <v>942</v>
      </c>
      <c r="B1332" t="s">
        <v>389</v>
      </c>
      <c r="C1332" t="s">
        <v>170</v>
      </c>
      <c r="D1332" t="s">
        <v>1214</v>
      </c>
      <c r="E1332" t="s">
        <v>32</v>
      </c>
      <c r="F1332" t="s">
        <v>33</v>
      </c>
      <c r="G1332" s="1">
        <v>223</v>
      </c>
      <c r="H1332" t="s">
        <v>26</v>
      </c>
      <c r="I1332" s="2">
        <v>44772</v>
      </c>
      <c r="J1332" t="s">
        <v>115</v>
      </c>
      <c r="K1332" t="s">
        <v>1165</v>
      </c>
      <c r="L1332">
        <v>33499</v>
      </c>
      <c r="M1332" t="s">
        <v>21</v>
      </c>
      <c r="N1332" t="str">
        <f>VLOOKUP(A1332, Data_Set_2!$A:$D,2,FALSE)</f>
        <v>irichardsq5</v>
      </c>
      <c r="O1332" t="str">
        <f>VLOOKUP(A1332, Data_Set_2!$A:$D,3,FALSE)</f>
        <v>Photojam</v>
      </c>
      <c r="P1332" t="str">
        <f>VLOOKUP(A1332, Data_Set_2!$A:$D,4,FALSE)</f>
        <v>Software Engineer IV</v>
      </c>
      <c r="Q1332" t="str">
        <f>_xlfn.CONCAT(Table3[[#This Row],[first_name]], " ",Table3[[#This Row],[last_name]])</f>
        <v>Irene Richards</v>
      </c>
    </row>
    <row r="1333" spans="1:17" hidden="1" x14ac:dyDescent="0.3">
      <c r="A1333">
        <v>944</v>
      </c>
      <c r="B1333" t="s">
        <v>593</v>
      </c>
      <c r="C1333" t="s">
        <v>49</v>
      </c>
      <c r="D1333" t="s">
        <v>594</v>
      </c>
      <c r="E1333" t="s">
        <v>32</v>
      </c>
      <c r="F1333" t="s">
        <v>33</v>
      </c>
      <c r="G1333" s="1">
        <v>938</v>
      </c>
      <c r="H1333" t="s">
        <v>73</v>
      </c>
      <c r="I1333" s="2">
        <v>43505</v>
      </c>
      <c r="J1333" t="s">
        <v>35</v>
      </c>
      <c r="K1333" t="s">
        <v>438</v>
      </c>
      <c r="L1333">
        <v>90025</v>
      </c>
      <c r="M1333" t="s">
        <v>21</v>
      </c>
      <c r="N1333" t="str">
        <f>VLOOKUP(A1333, Data_Set_2!$A:$D,2,FALSE)</f>
        <v>hhartq7</v>
      </c>
      <c r="O1333" t="str">
        <f>VLOOKUP(A1333, Data_Set_2!$A:$D,3,FALSE)</f>
        <v>Tekfly</v>
      </c>
      <c r="P1333" t="str">
        <f>VLOOKUP(A1333, Data_Set_2!$A:$D,4,FALSE)</f>
        <v>Pharmacist</v>
      </c>
      <c r="Q1333" t="str">
        <f>_xlfn.CONCAT(Table3[[#This Row],[first_name]], " ",Table3[[#This Row],[last_name]])</f>
        <v>Helen Hart</v>
      </c>
    </row>
    <row r="1334" spans="1:17" hidden="1" x14ac:dyDescent="0.3">
      <c r="A1334">
        <v>944</v>
      </c>
      <c r="B1334" t="s">
        <v>593</v>
      </c>
      <c r="C1334" t="s">
        <v>49</v>
      </c>
      <c r="D1334" t="s">
        <v>594</v>
      </c>
      <c r="E1334" t="s">
        <v>32</v>
      </c>
      <c r="F1334" t="s">
        <v>33</v>
      </c>
      <c r="G1334" s="1">
        <v>164</v>
      </c>
      <c r="H1334" t="s">
        <v>73</v>
      </c>
      <c r="I1334" s="2">
        <v>43550</v>
      </c>
      <c r="J1334" t="s">
        <v>35</v>
      </c>
      <c r="K1334" t="s">
        <v>438</v>
      </c>
      <c r="L1334">
        <v>90025</v>
      </c>
      <c r="M1334" t="s">
        <v>21</v>
      </c>
      <c r="N1334" t="str">
        <f>VLOOKUP(A1334, Data_Set_2!$A:$D,2,FALSE)</f>
        <v>hhartq7</v>
      </c>
      <c r="O1334" t="str">
        <f>VLOOKUP(A1334, Data_Set_2!$A:$D,3,FALSE)</f>
        <v>Tekfly</v>
      </c>
      <c r="P1334" t="str">
        <f>VLOOKUP(A1334, Data_Set_2!$A:$D,4,FALSE)</f>
        <v>Pharmacist</v>
      </c>
      <c r="Q1334" t="str">
        <f>_xlfn.CONCAT(Table3[[#This Row],[first_name]], " ",Table3[[#This Row],[last_name]])</f>
        <v>Helen Hart</v>
      </c>
    </row>
    <row r="1335" spans="1:17" hidden="1" x14ac:dyDescent="0.3">
      <c r="A1335">
        <v>944</v>
      </c>
      <c r="B1335" t="s">
        <v>593</v>
      </c>
      <c r="C1335" t="s">
        <v>49</v>
      </c>
      <c r="D1335" t="s">
        <v>594</v>
      </c>
      <c r="E1335" t="s">
        <v>32</v>
      </c>
      <c r="F1335" t="s">
        <v>33</v>
      </c>
      <c r="G1335" s="1">
        <v>530</v>
      </c>
      <c r="H1335" t="s">
        <v>73</v>
      </c>
      <c r="I1335" s="2">
        <v>43682</v>
      </c>
      <c r="J1335" t="s">
        <v>35</v>
      </c>
      <c r="K1335" t="s">
        <v>438</v>
      </c>
      <c r="L1335">
        <v>90025</v>
      </c>
      <c r="M1335" t="s">
        <v>21</v>
      </c>
      <c r="N1335" t="str">
        <f>VLOOKUP(A1335, Data_Set_2!$A:$D,2,FALSE)</f>
        <v>hhartq7</v>
      </c>
      <c r="O1335" t="str">
        <f>VLOOKUP(A1335, Data_Set_2!$A:$D,3,FALSE)</f>
        <v>Tekfly</v>
      </c>
      <c r="P1335" t="str">
        <f>VLOOKUP(A1335, Data_Set_2!$A:$D,4,FALSE)</f>
        <v>Pharmacist</v>
      </c>
      <c r="Q1335" t="str">
        <f>_xlfn.CONCAT(Table3[[#This Row],[first_name]], " ",Table3[[#This Row],[last_name]])</f>
        <v>Helen Hart</v>
      </c>
    </row>
    <row r="1336" spans="1:17" hidden="1" x14ac:dyDescent="0.3">
      <c r="A1336">
        <v>944</v>
      </c>
      <c r="B1336" t="s">
        <v>593</v>
      </c>
      <c r="C1336" t="s">
        <v>49</v>
      </c>
      <c r="D1336" t="s">
        <v>594</v>
      </c>
      <c r="E1336" t="s">
        <v>32</v>
      </c>
      <c r="F1336" t="s">
        <v>33</v>
      </c>
      <c r="G1336" s="1">
        <v>310</v>
      </c>
      <c r="H1336" t="s">
        <v>73</v>
      </c>
      <c r="I1336" s="2">
        <v>43924</v>
      </c>
      <c r="J1336" t="s">
        <v>35</v>
      </c>
      <c r="K1336" t="s">
        <v>438</v>
      </c>
      <c r="L1336">
        <v>90025</v>
      </c>
      <c r="M1336" t="s">
        <v>21</v>
      </c>
      <c r="N1336" t="str">
        <f>VLOOKUP(A1336, Data_Set_2!$A:$D,2,FALSE)</f>
        <v>hhartq7</v>
      </c>
      <c r="O1336" t="str">
        <f>VLOOKUP(A1336, Data_Set_2!$A:$D,3,FALSE)</f>
        <v>Tekfly</v>
      </c>
      <c r="P1336" t="str">
        <f>VLOOKUP(A1336, Data_Set_2!$A:$D,4,FALSE)</f>
        <v>Pharmacist</v>
      </c>
      <c r="Q1336" t="str">
        <f>_xlfn.CONCAT(Table3[[#This Row],[first_name]], " ",Table3[[#This Row],[last_name]])</f>
        <v>Helen Hart</v>
      </c>
    </row>
    <row r="1337" spans="1:17" hidden="1" x14ac:dyDescent="0.3">
      <c r="A1337">
        <v>944</v>
      </c>
      <c r="B1337" t="s">
        <v>593</v>
      </c>
      <c r="C1337" t="s">
        <v>49</v>
      </c>
      <c r="D1337" t="s">
        <v>594</v>
      </c>
      <c r="E1337" t="s">
        <v>32</v>
      </c>
      <c r="F1337" t="s">
        <v>33</v>
      </c>
      <c r="G1337" s="1">
        <v>785</v>
      </c>
      <c r="H1337" t="s">
        <v>73</v>
      </c>
      <c r="I1337" s="2">
        <v>43937</v>
      </c>
      <c r="J1337" t="s">
        <v>35</v>
      </c>
      <c r="K1337" t="s">
        <v>438</v>
      </c>
      <c r="L1337">
        <v>90025</v>
      </c>
      <c r="M1337" t="s">
        <v>21</v>
      </c>
      <c r="N1337" t="str">
        <f>VLOOKUP(A1337, Data_Set_2!$A:$D,2,FALSE)</f>
        <v>hhartq7</v>
      </c>
      <c r="O1337" t="str">
        <f>VLOOKUP(A1337, Data_Set_2!$A:$D,3,FALSE)</f>
        <v>Tekfly</v>
      </c>
      <c r="P1337" t="str">
        <f>VLOOKUP(A1337, Data_Set_2!$A:$D,4,FALSE)</f>
        <v>Pharmacist</v>
      </c>
      <c r="Q1337" t="str">
        <f>_xlfn.CONCAT(Table3[[#This Row],[first_name]], " ",Table3[[#This Row],[last_name]])</f>
        <v>Helen Hart</v>
      </c>
    </row>
    <row r="1338" spans="1:17" hidden="1" x14ac:dyDescent="0.3">
      <c r="A1338">
        <v>944</v>
      </c>
      <c r="B1338" t="s">
        <v>593</v>
      </c>
      <c r="C1338" t="s">
        <v>49</v>
      </c>
      <c r="D1338" t="s">
        <v>594</v>
      </c>
      <c r="E1338" t="s">
        <v>32</v>
      </c>
      <c r="F1338" t="s">
        <v>33</v>
      </c>
      <c r="G1338" s="1">
        <v>790</v>
      </c>
      <c r="H1338" t="s">
        <v>73</v>
      </c>
      <c r="I1338" s="2">
        <v>43940</v>
      </c>
      <c r="J1338" t="s">
        <v>35</v>
      </c>
      <c r="K1338" t="s">
        <v>438</v>
      </c>
      <c r="L1338">
        <v>90025</v>
      </c>
      <c r="M1338" t="s">
        <v>21</v>
      </c>
      <c r="N1338" t="str">
        <f>VLOOKUP(A1338, Data_Set_2!$A:$D,2,FALSE)</f>
        <v>hhartq7</v>
      </c>
      <c r="O1338" t="str">
        <f>VLOOKUP(A1338, Data_Set_2!$A:$D,3,FALSE)</f>
        <v>Tekfly</v>
      </c>
      <c r="P1338" t="str">
        <f>VLOOKUP(A1338, Data_Set_2!$A:$D,4,FALSE)</f>
        <v>Pharmacist</v>
      </c>
      <c r="Q1338" t="str">
        <f>_xlfn.CONCAT(Table3[[#This Row],[first_name]], " ",Table3[[#This Row],[last_name]])</f>
        <v>Helen Hart</v>
      </c>
    </row>
    <row r="1339" spans="1:17" hidden="1" x14ac:dyDescent="0.3">
      <c r="A1339">
        <v>944</v>
      </c>
      <c r="B1339" t="s">
        <v>593</v>
      </c>
      <c r="C1339" t="s">
        <v>49</v>
      </c>
      <c r="D1339" t="s">
        <v>594</v>
      </c>
      <c r="E1339" t="s">
        <v>32</v>
      </c>
      <c r="F1339" t="s">
        <v>33</v>
      </c>
      <c r="G1339" s="1">
        <v>146</v>
      </c>
      <c r="H1339" t="s">
        <v>73</v>
      </c>
      <c r="I1339" s="2">
        <v>44171</v>
      </c>
      <c r="J1339" t="s">
        <v>35</v>
      </c>
      <c r="K1339" t="s">
        <v>438</v>
      </c>
      <c r="L1339">
        <v>90025</v>
      </c>
      <c r="M1339" t="s">
        <v>21</v>
      </c>
      <c r="N1339" t="str">
        <f>VLOOKUP(A1339, Data_Set_2!$A:$D,2,FALSE)</f>
        <v>hhartq7</v>
      </c>
      <c r="O1339" t="str">
        <f>VLOOKUP(A1339, Data_Set_2!$A:$D,3,FALSE)</f>
        <v>Tekfly</v>
      </c>
      <c r="P1339" t="str">
        <f>VLOOKUP(A1339, Data_Set_2!$A:$D,4,FALSE)</f>
        <v>Pharmacist</v>
      </c>
      <c r="Q1339" t="str">
        <f>_xlfn.CONCAT(Table3[[#This Row],[first_name]], " ",Table3[[#This Row],[last_name]])</f>
        <v>Helen Hart</v>
      </c>
    </row>
    <row r="1340" spans="1:17" hidden="1" x14ac:dyDescent="0.3">
      <c r="A1340">
        <v>944</v>
      </c>
      <c r="B1340" t="s">
        <v>593</v>
      </c>
      <c r="C1340" t="s">
        <v>49</v>
      </c>
      <c r="D1340" t="s">
        <v>594</v>
      </c>
      <c r="E1340" t="s">
        <v>32</v>
      </c>
      <c r="F1340" t="s">
        <v>33</v>
      </c>
      <c r="G1340" s="1">
        <v>820</v>
      </c>
      <c r="H1340" t="s">
        <v>73</v>
      </c>
      <c r="I1340" s="2">
        <v>44690</v>
      </c>
      <c r="J1340" t="s">
        <v>35</v>
      </c>
      <c r="K1340" t="s">
        <v>438</v>
      </c>
      <c r="L1340">
        <v>90025</v>
      </c>
      <c r="M1340" t="s">
        <v>21</v>
      </c>
      <c r="N1340" t="str">
        <f>VLOOKUP(A1340, Data_Set_2!$A:$D,2,FALSE)</f>
        <v>hhartq7</v>
      </c>
      <c r="O1340" t="str">
        <f>VLOOKUP(A1340, Data_Set_2!$A:$D,3,FALSE)</f>
        <v>Tekfly</v>
      </c>
      <c r="P1340" t="str">
        <f>VLOOKUP(A1340, Data_Set_2!$A:$D,4,FALSE)</f>
        <v>Pharmacist</v>
      </c>
      <c r="Q1340" t="str">
        <f>_xlfn.CONCAT(Table3[[#This Row],[first_name]], " ",Table3[[#This Row],[last_name]])</f>
        <v>Helen Hart</v>
      </c>
    </row>
    <row r="1341" spans="1:17" hidden="1" x14ac:dyDescent="0.3">
      <c r="A1341">
        <v>945</v>
      </c>
      <c r="B1341" t="s">
        <v>122</v>
      </c>
      <c r="C1341" t="s">
        <v>741</v>
      </c>
      <c r="D1341" t="s">
        <v>888</v>
      </c>
      <c r="E1341" t="s">
        <v>32</v>
      </c>
      <c r="F1341" t="s">
        <v>17</v>
      </c>
      <c r="G1341" s="1">
        <v>146</v>
      </c>
      <c r="H1341" t="s">
        <v>26</v>
      </c>
      <c r="I1341" s="2">
        <v>43955</v>
      </c>
      <c r="J1341" t="s">
        <v>35</v>
      </c>
      <c r="K1341" t="s">
        <v>599</v>
      </c>
      <c r="L1341">
        <v>95894</v>
      </c>
      <c r="M1341" t="s">
        <v>21</v>
      </c>
      <c r="N1341" t="str">
        <f>VLOOKUP(A1341, Data_Set_2!$A:$D,2,FALSE)</f>
        <v>abowmanq8</v>
      </c>
      <c r="O1341" t="str">
        <f>VLOOKUP(A1341, Data_Set_2!$A:$D,3,FALSE)</f>
        <v>Jabbertype</v>
      </c>
      <c r="P1341" t="str">
        <f>VLOOKUP(A1341, Data_Set_2!$A:$D,4,FALSE)</f>
        <v>Internal Auditor</v>
      </c>
      <c r="Q1341" t="str">
        <f>_xlfn.CONCAT(Table3[[#This Row],[first_name]], " ",Table3[[#This Row],[last_name]])</f>
        <v>Andrea Bowman</v>
      </c>
    </row>
    <row r="1342" spans="1:17" hidden="1" x14ac:dyDescent="0.3">
      <c r="A1342">
        <v>946</v>
      </c>
      <c r="B1342" t="s">
        <v>130</v>
      </c>
      <c r="C1342" t="s">
        <v>849</v>
      </c>
      <c r="D1342" t="s">
        <v>1146</v>
      </c>
      <c r="E1342" t="s">
        <v>32</v>
      </c>
      <c r="F1342" t="s">
        <v>33</v>
      </c>
      <c r="G1342" s="1">
        <v>390</v>
      </c>
      <c r="H1342" t="s">
        <v>18</v>
      </c>
      <c r="I1342" s="2">
        <v>44585</v>
      </c>
      <c r="J1342" t="s">
        <v>35</v>
      </c>
      <c r="K1342" t="s">
        <v>620</v>
      </c>
      <c r="L1342">
        <v>94164</v>
      </c>
      <c r="M1342" t="s">
        <v>21</v>
      </c>
      <c r="N1342" t="str">
        <f>VLOOKUP(A1342, Data_Set_2!$A:$D,2,FALSE)</f>
        <v>smatthewsq9</v>
      </c>
      <c r="O1342" t="str">
        <f>VLOOKUP(A1342, Data_Set_2!$A:$D,3,FALSE)</f>
        <v>Izio</v>
      </c>
      <c r="P1342" t="str">
        <f>VLOOKUP(A1342, Data_Set_2!$A:$D,4,FALSE)</f>
        <v>Automation Specialist I</v>
      </c>
      <c r="Q1342" t="str">
        <f>_xlfn.CONCAT(Table3[[#This Row],[first_name]], " ",Table3[[#This Row],[last_name]])</f>
        <v>Susan Matthews</v>
      </c>
    </row>
    <row r="1343" spans="1:17" hidden="1" x14ac:dyDescent="0.3">
      <c r="A1343">
        <v>947</v>
      </c>
      <c r="B1343" t="s">
        <v>161</v>
      </c>
      <c r="C1343" t="s">
        <v>528</v>
      </c>
      <c r="D1343" t="s">
        <v>529</v>
      </c>
      <c r="E1343" t="s">
        <v>16</v>
      </c>
      <c r="F1343" t="s">
        <v>51</v>
      </c>
      <c r="G1343" s="1">
        <v>774</v>
      </c>
      <c r="H1343" t="s">
        <v>18</v>
      </c>
      <c r="I1343" s="2">
        <v>43417</v>
      </c>
      <c r="J1343" t="s">
        <v>68</v>
      </c>
      <c r="K1343" t="s">
        <v>530</v>
      </c>
      <c r="L1343">
        <v>76205</v>
      </c>
      <c r="M1343" t="s">
        <v>21</v>
      </c>
      <c r="N1343" t="str">
        <f>VLOOKUP(A1343, Data_Set_2!$A:$D,2,FALSE)</f>
        <v>mpowellqa</v>
      </c>
      <c r="O1343" t="str">
        <f>VLOOKUP(A1343, Data_Set_2!$A:$D,3,FALSE)</f>
        <v>Camido</v>
      </c>
      <c r="P1343" t="str">
        <f>VLOOKUP(A1343, Data_Set_2!$A:$D,4,FALSE)</f>
        <v>Food Chemist</v>
      </c>
      <c r="Q1343" t="str">
        <f>_xlfn.CONCAT(Table3[[#This Row],[first_name]], " ",Table3[[#This Row],[last_name]])</f>
        <v>Michael Powell</v>
      </c>
    </row>
    <row r="1344" spans="1:17" hidden="1" x14ac:dyDescent="0.3">
      <c r="A1344">
        <v>947</v>
      </c>
      <c r="B1344" t="s">
        <v>161</v>
      </c>
      <c r="C1344" t="s">
        <v>528</v>
      </c>
      <c r="D1344" t="s">
        <v>529</v>
      </c>
      <c r="E1344" t="s">
        <v>16</v>
      </c>
      <c r="F1344" t="s">
        <v>51</v>
      </c>
      <c r="G1344" s="1">
        <v>264</v>
      </c>
      <c r="H1344" t="s">
        <v>18</v>
      </c>
      <c r="I1344" s="2">
        <v>43509</v>
      </c>
      <c r="J1344" t="s">
        <v>68</v>
      </c>
      <c r="K1344" t="s">
        <v>530</v>
      </c>
      <c r="L1344">
        <v>76205</v>
      </c>
      <c r="M1344" t="s">
        <v>21</v>
      </c>
      <c r="N1344" t="str">
        <f>VLOOKUP(A1344, Data_Set_2!$A:$D,2,FALSE)</f>
        <v>mpowellqa</v>
      </c>
      <c r="O1344" t="str">
        <f>VLOOKUP(A1344, Data_Set_2!$A:$D,3,FALSE)</f>
        <v>Camido</v>
      </c>
      <c r="P1344" t="str">
        <f>VLOOKUP(A1344, Data_Set_2!$A:$D,4,FALSE)</f>
        <v>Food Chemist</v>
      </c>
      <c r="Q1344" t="str">
        <f>_xlfn.CONCAT(Table3[[#This Row],[first_name]], " ",Table3[[#This Row],[last_name]])</f>
        <v>Michael Powell</v>
      </c>
    </row>
    <row r="1345" spans="1:17" hidden="1" x14ac:dyDescent="0.3">
      <c r="A1345">
        <v>947</v>
      </c>
      <c r="B1345" t="s">
        <v>161</v>
      </c>
      <c r="C1345" t="s">
        <v>528</v>
      </c>
      <c r="D1345" t="s">
        <v>529</v>
      </c>
      <c r="E1345" t="s">
        <v>16</v>
      </c>
      <c r="F1345" t="s">
        <v>51</v>
      </c>
      <c r="G1345" s="1">
        <v>912</v>
      </c>
      <c r="H1345" t="s">
        <v>18</v>
      </c>
      <c r="I1345" s="2">
        <v>43775</v>
      </c>
      <c r="J1345" t="s">
        <v>68</v>
      </c>
      <c r="K1345" t="s">
        <v>530</v>
      </c>
      <c r="L1345">
        <v>76205</v>
      </c>
      <c r="M1345" t="s">
        <v>21</v>
      </c>
      <c r="N1345" t="str">
        <f>VLOOKUP(A1345, Data_Set_2!$A:$D,2,FALSE)</f>
        <v>mpowellqa</v>
      </c>
      <c r="O1345" t="str">
        <f>VLOOKUP(A1345, Data_Set_2!$A:$D,3,FALSE)</f>
        <v>Camido</v>
      </c>
      <c r="P1345" t="str">
        <f>VLOOKUP(A1345, Data_Set_2!$A:$D,4,FALSE)</f>
        <v>Food Chemist</v>
      </c>
      <c r="Q1345" t="str">
        <f>_xlfn.CONCAT(Table3[[#This Row],[first_name]], " ",Table3[[#This Row],[last_name]])</f>
        <v>Michael Powell</v>
      </c>
    </row>
    <row r="1346" spans="1:17" hidden="1" x14ac:dyDescent="0.3">
      <c r="A1346">
        <v>947</v>
      </c>
      <c r="B1346" t="s">
        <v>161</v>
      </c>
      <c r="C1346" t="s">
        <v>528</v>
      </c>
      <c r="D1346" t="s">
        <v>529</v>
      </c>
      <c r="E1346" t="s">
        <v>16</v>
      </c>
      <c r="F1346" t="s">
        <v>51</v>
      </c>
      <c r="G1346" s="1">
        <v>929</v>
      </c>
      <c r="H1346" t="s">
        <v>18</v>
      </c>
      <c r="I1346" s="2">
        <v>43789</v>
      </c>
      <c r="J1346" t="s">
        <v>68</v>
      </c>
      <c r="K1346" t="s">
        <v>530</v>
      </c>
      <c r="L1346">
        <v>76205</v>
      </c>
      <c r="M1346" t="s">
        <v>21</v>
      </c>
      <c r="N1346" t="str">
        <f>VLOOKUP(A1346, Data_Set_2!$A:$D,2,FALSE)</f>
        <v>mpowellqa</v>
      </c>
      <c r="O1346" t="str">
        <f>VLOOKUP(A1346, Data_Set_2!$A:$D,3,FALSE)</f>
        <v>Camido</v>
      </c>
      <c r="P1346" t="str">
        <f>VLOOKUP(A1346, Data_Set_2!$A:$D,4,FALSE)</f>
        <v>Food Chemist</v>
      </c>
      <c r="Q1346" t="str">
        <f>_xlfn.CONCAT(Table3[[#This Row],[first_name]], " ",Table3[[#This Row],[last_name]])</f>
        <v>Michael Powell</v>
      </c>
    </row>
    <row r="1347" spans="1:17" hidden="1" x14ac:dyDescent="0.3">
      <c r="A1347">
        <v>947</v>
      </c>
      <c r="B1347" t="s">
        <v>161</v>
      </c>
      <c r="C1347" t="s">
        <v>528</v>
      </c>
      <c r="D1347" t="s">
        <v>529</v>
      </c>
      <c r="E1347" t="s">
        <v>16</v>
      </c>
      <c r="F1347" t="s">
        <v>51</v>
      </c>
      <c r="G1347" s="1">
        <v>947</v>
      </c>
      <c r="H1347" t="s">
        <v>18</v>
      </c>
      <c r="I1347" s="2">
        <v>43990</v>
      </c>
      <c r="J1347" t="s">
        <v>68</v>
      </c>
      <c r="K1347" t="s">
        <v>530</v>
      </c>
      <c r="L1347">
        <v>76205</v>
      </c>
      <c r="M1347" t="s">
        <v>21</v>
      </c>
      <c r="N1347" t="str">
        <f>VLOOKUP(A1347, Data_Set_2!$A:$D,2,FALSE)</f>
        <v>mpowellqa</v>
      </c>
      <c r="O1347" t="str">
        <f>VLOOKUP(A1347, Data_Set_2!$A:$D,3,FALSE)</f>
        <v>Camido</v>
      </c>
      <c r="P1347" t="str">
        <f>VLOOKUP(A1347, Data_Set_2!$A:$D,4,FALSE)</f>
        <v>Food Chemist</v>
      </c>
      <c r="Q1347" t="str">
        <f>_xlfn.CONCAT(Table3[[#This Row],[first_name]], " ",Table3[[#This Row],[last_name]])</f>
        <v>Michael Powell</v>
      </c>
    </row>
    <row r="1348" spans="1:17" hidden="1" x14ac:dyDescent="0.3">
      <c r="A1348">
        <v>947</v>
      </c>
      <c r="B1348" t="s">
        <v>161</v>
      </c>
      <c r="C1348" t="s">
        <v>528</v>
      </c>
      <c r="D1348" t="s">
        <v>529</v>
      </c>
      <c r="E1348" t="s">
        <v>16</v>
      </c>
      <c r="F1348" t="s">
        <v>51</v>
      </c>
      <c r="G1348" s="1">
        <v>861</v>
      </c>
      <c r="H1348" t="s">
        <v>18</v>
      </c>
      <c r="I1348" s="2">
        <v>44038</v>
      </c>
      <c r="J1348" t="s">
        <v>68</v>
      </c>
      <c r="K1348" t="s">
        <v>530</v>
      </c>
      <c r="L1348">
        <v>76205</v>
      </c>
      <c r="M1348" t="s">
        <v>21</v>
      </c>
      <c r="N1348" t="str">
        <f>VLOOKUP(A1348, Data_Set_2!$A:$D,2,FALSE)</f>
        <v>mpowellqa</v>
      </c>
      <c r="O1348" t="str">
        <f>VLOOKUP(A1348, Data_Set_2!$A:$D,3,FALSE)</f>
        <v>Camido</v>
      </c>
      <c r="P1348" t="str">
        <f>VLOOKUP(A1348, Data_Set_2!$A:$D,4,FALSE)</f>
        <v>Food Chemist</v>
      </c>
      <c r="Q1348" t="str">
        <f>_xlfn.CONCAT(Table3[[#This Row],[first_name]], " ",Table3[[#This Row],[last_name]])</f>
        <v>Michael Powell</v>
      </c>
    </row>
    <row r="1349" spans="1:17" hidden="1" x14ac:dyDescent="0.3">
      <c r="A1349">
        <v>947</v>
      </c>
      <c r="B1349" t="s">
        <v>161</v>
      </c>
      <c r="C1349" t="s">
        <v>528</v>
      </c>
      <c r="D1349" t="s">
        <v>529</v>
      </c>
      <c r="E1349" t="s">
        <v>16</v>
      </c>
      <c r="F1349" t="s">
        <v>51</v>
      </c>
      <c r="G1349" s="1">
        <v>803</v>
      </c>
      <c r="H1349" t="s">
        <v>18</v>
      </c>
      <c r="I1349" s="2">
        <v>44247</v>
      </c>
      <c r="J1349" t="s">
        <v>68</v>
      </c>
      <c r="K1349" t="s">
        <v>530</v>
      </c>
      <c r="L1349">
        <v>76205</v>
      </c>
      <c r="M1349" t="s">
        <v>21</v>
      </c>
      <c r="N1349" t="str">
        <f>VLOOKUP(A1349, Data_Set_2!$A:$D,2,FALSE)</f>
        <v>mpowellqa</v>
      </c>
      <c r="O1349" t="str">
        <f>VLOOKUP(A1349, Data_Set_2!$A:$D,3,FALSE)</f>
        <v>Camido</v>
      </c>
      <c r="P1349" t="str">
        <f>VLOOKUP(A1349, Data_Set_2!$A:$D,4,FALSE)</f>
        <v>Food Chemist</v>
      </c>
      <c r="Q1349" t="str">
        <f>_xlfn.CONCAT(Table3[[#This Row],[first_name]], " ",Table3[[#This Row],[last_name]])</f>
        <v>Michael Powell</v>
      </c>
    </row>
    <row r="1350" spans="1:17" hidden="1" x14ac:dyDescent="0.3">
      <c r="A1350">
        <v>947</v>
      </c>
      <c r="B1350" t="s">
        <v>161</v>
      </c>
      <c r="C1350" t="s">
        <v>528</v>
      </c>
      <c r="D1350" t="s">
        <v>529</v>
      </c>
      <c r="E1350" t="s">
        <v>16</v>
      </c>
      <c r="F1350" t="s">
        <v>51</v>
      </c>
      <c r="G1350" s="1">
        <v>866</v>
      </c>
      <c r="H1350" t="s">
        <v>18</v>
      </c>
      <c r="I1350" s="2">
        <v>44506</v>
      </c>
      <c r="J1350" t="s">
        <v>68</v>
      </c>
      <c r="K1350" t="s">
        <v>530</v>
      </c>
      <c r="L1350">
        <v>76205</v>
      </c>
      <c r="M1350" t="s">
        <v>21</v>
      </c>
      <c r="N1350" t="str">
        <f>VLOOKUP(A1350, Data_Set_2!$A:$D,2,FALSE)</f>
        <v>mpowellqa</v>
      </c>
      <c r="O1350" t="str">
        <f>VLOOKUP(A1350, Data_Set_2!$A:$D,3,FALSE)</f>
        <v>Camido</v>
      </c>
      <c r="P1350" t="str">
        <f>VLOOKUP(A1350, Data_Set_2!$A:$D,4,FALSE)</f>
        <v>Food Chemist</v>
      </c>
      <c r="Q1350" t="str">
        <f>_xlfn.CONCAT(Table3[[#This Row],[first_name]], " ",Table3[[#This Row],[last_name]])</f>
        <v>Michael Powell</v>
      </c>
    </row>
    <row r="1351" spans="1:17" hidden="1" x14ac:dyDescent="0.3">
      <c r="A1351">
        <v>949</v>
      </c>
      <c r="B1351" t="s">
        <v>239</v>
      </c>
      <c r="C1351" t="s">
        <v>1210</v>
      </c>
      <c r="D1351" t="s">
        <v>1211</v>
      </c>
      <c r="E1351" t="s">
        <v>32</v>
      </c>
      <c r="F1351" t="s">
        <v>17</v>
      </c>
      <c r="G1351" s="1">
        <v>109</v>
      </c>
      <c r="H1351" t="s">
        <v>26</v>
      </c>
      <c r="I1351" s="2">
        <v>44760</v>
      </c>
      <c r="J1351" t="s">
        <v>78</v>
      </c>
      <c r="K1351" t="s">
        <v>105</v>
      </c>
      <c r="L1351">
        <v>48232</v>
      </c>
      <c r="M1351" t="s">
        <v>21</v>
      </c>
      <c r="N1351" t="str">
        <f>VLOOKUP(A1351, Data_Set_2!$A:$D,2,FALSE)</f>
        <v>jruizqc</v>
      </c>
      <c r="O1351" t="str">
        <f>VLOOKUP(A1351, Data_Set_2!$A:$D,3,FALSE)</f>
        <v>Jetwire</v>
      </c>
      <c r="P1351" t="str">
        <f>VLOOKUP(A1351, Data_Set_2!$A:$D,4,FALSE)</f>
        <v>Quality Control Specialist</v>
      </c>
      <c r="Q1351" t="str">
        <f>_xlfn.CONCAT(Table3[[#This Row],[first_name]], " ",Table3[[#This Row],[last_name]])</f>
        <v>Janet Ruiz</v>
      </c>
    </row>
    <row r="1352" spans="1:17" hidden="1" x14ac:dyDescent="0.3">
      <c r="A1352">
        <v>950</v>
      </c>
      <c r="B1352" t="s">
        <v>650</v>
      </c>
      <c r="C1352" t="s">
        <v>694</v>
      </c>
      <c r="D1352" t="s">
        <v>695</v>
      </c>
      <c r="E1352" t="s">
        <v>16</v>
      </c>
      <c r="F1352" t="s">
        <v>17</v>
      </c>
      <c r="G1352" s="1">
        <v>865</v>
      </c>
      <c r="H1352" t="s">
        <v>26</v>
      </c>
      <c r="I1352" s="2">
        <v>43635</v>
      </c>
      <c r="J1352" t="s">
        <v>696</v>
      </c>
      <c r="K1352" t="s">
        <v>697</v>
      </c>
      <c r="L1352">
        <v>72199</v>
      </c>
      <c r="M1352" t="s">
        <v>21</v>
      </c>
      <c r="N1352" t="str">
        <f>VLOOKUP(A1352, Data_Set_2!$A:$D,2,FALSE)</f>
        <v>rbakerqd</v>
      </c>
      <c r="O1352" t="str">
        <f>VLOOKUP(A1352, Data_Set_2!$A:$D,3,FALSE)</f>
        <v>Dabshots</v>
      </c>
      <c r="P1352" t="str">
        <f>VLOOKUP(A1352, Data_Set_2!$A:$D,4,FALSE)</f>
        <v>Cost Accountant</v>
      </c>
      <c r="Q1352" t="str">
        <f>_xlfn.CONCAT(Table3[[#This Row],[first_name]], " ",Table3[[#This Row],[last_name]])</f>
        <v>Russell Baker</v>
      </c>
    </row>
    <row r="1353" spans="1:17" hidden="1" x14ac:dyDescent="0.3">
      <c r="A1353">
        <v>951</v>
      </c>
      <c r="B1353" t="s">
        <v>176</v>
      </c>
      <c r="C1353" t="s">
        <v>805</v>
      </c>
      <c r="D1353" t="s">
        <v>806</v>
      </c>
      <c r="E1353" t="s">
        <v>32</v>
      </c>
      <c r="F1353" t="s">
        <v>17</v>
      </c>
      <c r="G1353" s="1">
        <v>943</v>
      </c>
      <c r="H1353" t="s">
        <v>4037</v>
      </c>
      <c r="I1353" s="2">
        <v>43781</v>
      </c>
      <c r="J1353" t="s">
        <v>345</v>
      </c>
      <c r="K1353" t="s">
        <v>220</v>
      </c>
      <c r="L1353">
        <v>20566</v>
      </c>
      <c r="M1353" t="s">
        <v>21</v>
      </c>
      <c r="N1353" t="str">
        <f>VLOOKUP(A1353, Data_Set_2!$A:$D,2,FALSE)</f>
        <v>ssandersqe</v>
      </c>
      <c r="O1353" t="str">
        <f>VLOOKUP(A1353, Data_Set_2!$A:$D,3,FALSE)</f>
        <v>Thoughtmix</v>
      </c>
      <c r="P1353" t="str">
        <f>VLOOKUP(A1353, Data_Set_2!$A:$D,4,FALSE)</f>
        <v>Geologist I</v>
      </c>
      <c r="Q1353" t="str">
        <f>_xlfn.CONCAT(Table3[[#This Row],[first_name]], " ",Table3[[#This Row],[last_name]])</f>
        <v>Shirley Sanders</v>
      </c>
    </row>
    <row r="1354" spans="1:17" hidden="1" x14ac:dyDescent="0.3">
      <c r="A1354">
        <v>952</v>
      </c>
      <c r="B1354" t="s">
        <v>304</v>
      </c>
      <c r="C1354" t="s">
        <v>954</v>
      </c>
      <c r="D1354" t="s">
        <v>955</v>
      </c>
      <c r="E1354" t="s">
        <v>32</v>
      </c>
      <c r="F1354" t="s">
        <v>33</v>
      </c>
      <c r="G1354" s="1">
        <v>972</v>
      </c>
      <c r="H1354" t="s">
        <v>26</v>
      </c>
      <c r="I1354" s="2">
        <v>44110</v>
      </c>
      <c r="J1354" t="s">
        <v>291</v>
      </c>
      <c r="K1354" t="s">
        <v>292</v>
      </c>
      <c r="L1354">
        <v>21203</v>
      </c>
      <c r="M1354" t="s">
        <v>21</v>
      </c>
      <c r="N1354" t="str">
        <f>VLOOKUP(A1354, Data_Set_2!$A:$D,2,FALSE)</f>
        <v>rmasonqf</v>
      </c>
      <c r="O1354" t="str">
        <f>VLOOKUP(A1354, Data_Set_2!$A:$D,3,FALSE)</f>
        <v>Dynazzy</v>
      </c>
      <c r="P1354" t="str">
        <f>VLOOKUP(A1354, Data_Set_2!$A:$D,4,FALSE)</f>
        <v>VP Marketing</v>
      </c>
      <c r="Q1354" t="str">
        <f>_xlfn.CONCAT(Table3[[#This Row],[first_name]], " ",Table3[[#This Row],[last_name]])</f>
        <v>Rebecca Mason</v>
      </c>
    </row>
    <row r="1355" spans="1:17" hidden="1" x14ac:dyDescent="0.3">
      <c r="A1355">
        <v>953</v>
      </c>
      <c r="B1355" t="s">
        <v>795</v>
      </c>
      <c r="C1355" t="s">
        <v>796</v>
      </c>
      <c r="D1355" t="s">
        <v>797</v>
      </c>
      <c r="E1355" t="s">
        <v>32</v>
      </c>
      <c r="F1355" t="s">
        <v>17</v>
      </c>
      <c r="G1355" s="1">
        <v>786</v>
      </c>
      <c r="H1355" t="s">
        <v>34</v>
      </c>
      <c r="I1355" s="2">
        <v>43773</v>
      </c>
      <c r="J1355" t="s">
        <v>125</v>
      </c>
      <c r="K1355" t="s">
        <v>419</v>
      </c>
      <c r="L1355">
        <v>64187</v>
      </c>
      <c r="M1355" t="s">
        <v>21</v>
      </c>
      <c r="N1355" t="str">
        <f>VLOOKUP(A1355, Data_Set_2!$A:$D,2,FALSE)</f>
        <v>adayqg</v>
      </c>
      <c r="O1355" t="str">
        <f>VLOOKUP(A1355, Data_Set_2!$A:$D,3,FALSE)</f>
        <v>Ntags</v>
      </c>
      <c r="P1355" t="str">
        <f>VLOOKUP(A1355, Data_Set_2!$A:$D,4,FALSE)</f>
        <v>Compensation Analyst</v>
      </c>
      <c r="Q1355" t="str">
        <f>_xlfn.CONCAT(Table3[[#This Row],[first_name]], " ",Table3[[#This Row],[last_name]])</f>
        <v>Anne Day</v>
      </c>
    </row>
    <row r="1356" spans="1:17" hidden="1" x14ac:dyDescent="0.3">
      <c r="A1356">
        <v>955</v>
      </c>
      <c r="B1356" t="s">
        <v>795</v>
      </c>
      <c r="C1356" t="s">
        <v>349</v>
      </c>
      <c r="D1356" t="s">
        <v>1190</v>
      </c>
      <c r="E1356" t="s">
        <v>32</v>
      </c>
      <c r="F1356" t="s">
        <v>25</v>
      </c>
      <c r="G1356" s="1">
        <v>13</v>
      </c>
      <c r="H1356" t="s">
        <v>26</v>
      </c>
      <c r="I1356" s="2">
        <v>44690</v>
      </c>
      <c r="J1356" t="s">
        <v>35</v>
      </c>
      <c r="K1356" t="s">
        <v>908</v>
      </c>
      <c r="L1356">
        <v>92145</v>
      </c>
      <c r="M1356" t="s">
        <v>21</v>
      </c>
      <c r="N1356" t="str">
        <f>VLOOKUP(A1356, Data_Set_2!$A:$D,2,FALSE)</f>
        <v>aolsonqi</v>
      </c>
      <c r="O1356" t="str">
        <f>VLOOKUP(A1356, Data_Set_2!$A:$D,3,FALSE)</f>
        <v>Muxo</v>
      </c>
      <c r="P1356" t="str">
        <f>VLOOKUP(A1356, Data_Set_2!$A:$D,4,FALSE)</f>
        <v>Computer Systems Analyst II</v>
      </c>
      <c r="Q1356" t="str">
        <f>_xlfn.CONCAT(Table3[[#This Row],[first_name]], " ",Table3[[#This Row],[last_name]])</f>
        <v>Anne Olson</v>
      </c>
    </row>
    <row r="1357" spans="1:17" hidden="1" x14ac:dyDescent="0.3">
      <c r="A1357">
        <v>957</v>
      </c>
      <c r="B1357" t="s">
        <v>22</v>
      </c>
      <c r="C1357" t="s">
        <v>382</v>
      </c>
      <c r="D1357" t="s">
        <v>793</v>
      </c>
      <c r="E1357" t="s">
        <v>16</v>
      </c>
      <c r="F1357" t="s">
        <v>33</v>
      </c>
      <c r="G1357" s="1">
        <v>321</v>
      </c>
      <c r="H1357" t="s">
        <v>26</v>
      </c>
      <c r="I1357" s="2">
        <v>43772</v>
      </c>
      <c r="J1357" t="s">
        <v>254</v>
      </c>
      <c r="K1357" t="s">
        <v>794</v>
      </c>
      <c r="L1357">
        <v>52245</v>
      </c>
      <c r="M1357" t="s">
        <v>21</v>
      </c>
      <c r="N1357" t="str">
        <f>VLOOKUP(A1357, Data_Set_2!$A:$D,2,FALSE)</f>
        <v>astanleyqk</v>
      </c>
      <c r="O1357" t="str">
        <f>VLOOKUP(A1357, Data_Set_2!$A:$D,3,FALSE)</f>
        <v>Lajo</v>
      </c>
      <c r="P1357" t="str">
        <f>VLOOKUP(A1357, Data_Set_2!$A:$D,4,FALSE)</f>
        <v>VP Accounting</v>
      </c>
      <c r="Q1357" t="str">
        <f>_xlfn.CONCAT(Table3[[#This Row],[first_name]], " ",Table3[[#This Row],[last_name]])</f>
        <v>Albert Stanley</v>
      </c>
    </row>
    <row r="1358" spans="1:17" hidden="1" x14ac:dyDescent="0.3">
      <c r="A1358">
        <v>958</v>
      </c>
      <c r="B1358" t="s">
        <v>293</v>
      </c>
      <c r="C1358" t="s">
        <v>433</v>
      </c>
      <c r="D1358" t="s">
        <v>493</v>
      </c>
      <c r="E1358" t="s">
        <v>16</v>
      </c>
      <c r="F1358" t="s">
        <v>33</v>
      </c>
      <c r="G1358" s="1">
        <v>697</v>
      </c>
      <c r="H1358" t="s">
        <v>4034</v>
      </c>
      <c r="I1358" s="2">
        <v>43376</v>
      </c>
      <c r="J1358" t="s">
        <v>35</v>
      </c>
      <c r="K1358" t="s">
        <v>494</v>
      </c>
      <c r="L1358">
        <v>94605</v>
      </c>
      <c r="M1358" t="s">
        <v>21</v>
      </c>
      <c r="N1358" t="str">
        <f>VLOOKUP(A1358, Data_Set_2!$A:$D,2,FALSE)</f>
        <v>tcunninghamql</v>
      </c>
      <c r="O1358" t="str">
        <f>VLOOKUP(A1358, Data_Set_2!$A:$D,3,FALSE)</f>
        <v>JumpXS</v>
      </c>
      <c r="P1358" t="str">
        <f>VLOOKUP(A1358, Data_Set_2!$A:$D,4,FALSE)</f>
        <v>Design Engineer</v>
      </c>
      <c r="Q1358" t="str">
        <f>_xlfn.CONCAT(Table3[[#This Row],[first_name]], " ",Table3[[#This Row],[last_name]])</f>
        <v>Thomas Cunningham</v>
      </c>
    </row>
    <row r="1359" spans="1:17" hidden="1" x14ac:dyDescent="0.3">
      <c r="A1359">
        <v>959</v>
      </c>
      <c r="B1359" t="s">
        <v>560</v>
      </c>
      <c r="C1359" t="s">
        <v>1069</v>
      </c>
      <c r="D1359" t="s">
        <v>1070</v>
      </c>
      <c r="E1359" t="s">
        <v>32</v>
      </c>
      <c r="F1359" t="s">
        <v>33</v>
      </c>
      <c r="G1359" s="1">
        <v>667</v>
      </c>
      <c r="H1359" t="s">
        <v>26</v>
      </c>
      <c r="I1359" s="2">
        <v>44379</v>
      </c>
      <c r="J1359" t="s">
        <v>35</v>
      </c>
      <c r="K1359" t="s">
        <v>438</v>
      </c>
      <c r="L1359">
        <v>90035</v>
      </c>
      <c r="M1359" t="s">
        <v>21</v>
      </c>
      <c r="N1359" t="str">
        <f>VLOOKUP(A1359, Data_Set_2!$A:$D,2,FALSE)</f>
        <v>twilliamsqm</v>
      </c>
      <c r="O1359" t="str">
        <f>VLOOKUP(A1359, Data_Set_2!$A:$D,3,FALSE)</f>
        <v>Roomm</v>
      </c>
      <c r="P1359" t="str">
        <f>VLOOKUP(A1359, Data_Set_2!$A:$D,4,FALSE)</f>
        <v>Librarian</v>
      </c>
      <c r="Q1359" t="str">
        <f>_xlfn.CONCAT(Table3[[#This Row],[first_name]], " ",Table3[[#This Row],[last_name]])</f>
        <v>Theresa Williams</v>
      </c>
    </row>
    <row r="1360" spans="1:17" hidden="1" x14ac:dyDescent="0.3">
      <c r="A1360">
        <v>960</v>
      </c>
      <c r="B1360" t="s">
        <v>395</v>
      </c>
      <c r="C1360" t="s">
        <v>228</v>
      </c>
      <c r="D1360" t="s">
        <v>590</v>
      </c>
      <c r="E1360" t="s">
        <v>32</v>
      </c>
      <c r="F1360" t="s">
        <v>17</v>
      </c>
      <c r="G1360" s="1">
        <v>102</v>
      </c>
      <c r="H1360" t="s">
        <v>18</v>
      </c>
      <c r="I1360" s="2">
        <v>43492</v>
      </c>
      <c r="J1360" t="s">
        <v>184</v>
      </c>
      <c r="K1360" t="s">
        <v>197</v>
      </c>
      <c r="L1360">
        <v>10270</v>
      </c>
      <c r="M1360" t="s">
        <v>21</v>
      </c>
      <c r="N1360" t="str">
        <f>VLOOKUP(A1360, Data_Set_2!$A:$D,2,FALSE)</f>
        <v>ewatkinsqn</v>
      </c>
      <c r="O1360" t="str">
        <f>VLOOKUP(A1360, Data_Set_2!$A:$D,3,FALSE)</f>
        <v>Zoomlounge</v>
      </c>
      <c r="P1360" t="str">
        <f>VLOOKUP(A1360, Data_Set_2!$A:$D,4,FALSE)</f>
        <v>Teacher</v>
      </c>
      <c r="Q1360" t="str">
        <f>_xlfn.CONCAT(Table3[[#This Row],[first_name]], " ",Table3[[#This Row],[last_name]])</f>
        <v>Emily Watkins</v>
      </c>
    </row>
    <row r="1361" spans="1:17" hidden="1" x14ac:dyDescent="0.3">
      <c r="A1361">
        <v>962</v>
      </c>
      <c r="B1361" t="s">
        <v>210</v>
      </c>
      <c r="C1361" t="s">
        <v>349</v>
      </c>
      <c r="D1361" t="s">
        <v>350</v>
      </c>
      <c r="E1361" t="s">
        <v>32</v>
      </c>
      <c r="F1361" t="s">
        <v>25</v>
      </c>
      <c r="G1361" s="1">
        <v>993</v>
      </c>
      <c r="H1361" t="s">
        <v>26</v>
      </c>
      <c r="I1361" s="2">
        <v>43259</v>
      </c>
      <c r="J1361" t="s">
        <v>115</v>
      </c>
      <c r="K1361" t="s">
        <v>351</v>
      </c>
      <c r="L1361">
        <v>32859</v>
      </c>
      <c r="M1361" t="s">
        <v>21</v>
      </c>
      <c r="N1361" t="str">
        <f>VLOOKUP(A1361, Data_Set_2!$A:$D,2,FALSE)</f>
        <v>dolsonqp</v>
      </c>
      <c r="O1361" t="str">
        <f>VLOOKUP(A1361, Data_Set_2!$A:$D,3,FALSE)</f>
        <v>Wikivu</v>
      </c>
      <c r="P1361" t="str">
        <f>VLOOKUP(A1361, Data_Set_2!$A:$D,4,FALSE)</f>
        <v>Geological Engineer</v>
      </c>
      <c r="Q1361" t="str">
        <f>_xlfn.CONCAT(Table3[[#This Row],[first_name]], " ",Table3[[#This Row],[last_name]])</f>
        <v>Dorothy Olson</v>
      </c>
    </row>
    <row r="1362" spans="1:17" hidden="1" x14ac:dyDescent="0.3">
      <c r="A1362">
        <v>964</v>
      </c>
      <c r="B1362" t="s">
        <v>623</v>
      </c>
      <c r="C1362" t="s">
        <v>123</v>
      </c>
      <c r="D1362" t="s">
        <v>889</v>
      </c>
      <c r="E1362" t="s">
        <v>16</v>
      </c>
      <c r="F1362" t="s">
        <v>25</v>
      </c>
      <c r="G1362" s="1">
        <v>974</v>
      </c>
      <c r="H1362" t="s">
        <v>62</v>
      </c>
      <c r="I1362" s="2">
        <v>43962</v>
      </c>
      <c r="J1362" t="s">
        <v>125</v>
      </c>
      <c r="K1362" t="s">
        <v>419</v>
      </c>
      <c r="L1362">
        <v>64142</v>
      </c>
      <c r="M1362" t="s">
        <v>21</v>
      </c>
      <c r="N1362" t="str">
        <f>VLOOKUP(A1362, Data_Set_2!$A:$D,2,FALSE)</f>
        <v>jholmesqr</v>
      </c>
      <c r="O1362" t="str">
        <f>VLOOKUP(A1362, Data_Set_2!$A:$D,3,FALSE)</f>
        <v>Dabfeed</v>
      </c>
      <c r="P1362" t="str">
        <f>VLOOKUP(A1362, Data_Set_2!$A:$D,4,FALSE)</f>
        <v>Pharmacist</v>
      </c>
      <c r="Q1362" t="str">
        <f>_xlfn.CONCAT(Table3[[#This Row],[first_name]], " ",Table3[[#This Row],[last_name]])</f>
        <v>Jose Holmes</v>
      </c>
    </row>
    <row r="1363" spans="1:17" hidden="1" x14ac:dyDescent="0.3">
      <c r="A1363">
        <v>968</v>
      </c>
      <c r="B1363" t="s">
        <v>687</v>
      </c>
      <c r="C1363" t="s">
        <v>1212</v>
      </c>
      <c r="D1363" t="s">
        <v>1213</v>
      </c>
      <c r="E1363" t="s">
        <v>16</v>
      </c>
      <c r="F1363" t="s">
        <v>33</v>
      </c>
      <c r="G1363" s="1">
        <v>703</v>
      </c>
      <c r="H1363" t="s">
        <v>26</v>
      </c>
      <c r="I1363" s="2">
        <v>44767</v>
      </c>
      <c r="J1363" t="s">
        <v>192</v>
      </c>
      <c r="K1363" t="s">
        <v>193</v>
      </c>
      <c r="L1363">
        <v>55480</v>
      </c>
      <c r="M1363" t="s">
        <v>21</v>
      </c>
      <c r="N1363" t="str">
        <f>VLOOKUP(A1363, Data_Set_2!$A:$D,2,FALSE)</f>
        <v>rlaneqv</v>
      </c>
      <c r="O1363" t="str">
        <f>VLOOKUP(A1363, Data_Set_2!$A:$D,3,FALSE)</f>
        <v>Zoomlounge</v>
      </c>
      <c r="P1363" t="str">
        <f>VLOOKUP(A1363, Data_Set_2!$A:$D,4,FALSE)</f>
        <v>Occupational Therapist</v>
      </c>
      <c r="Q1363" t="str">
        <f>_xlfn.CONCAT(Table3[[#This Row],[first_name]], " ",Table3[[#This Row],[last_name]])</f>
        <v>Robert Lane</v>
      </c>
    </row>
    <row r="1364" spans="1:17" hidden="1" x14ac:dyDescent="0.3">
      <c r="A1364">
        <v>969</v>
      </c>
      <c r="B1364" t="s">
        <v>609</v>
      </c>
      <c r="C1364" t="s">
        <v>610</v>
      </c>
      <c r="D1364" t="s">
        <v>611</v>
      </c>
      <c r="E1364" t="s">
        <v>32</v>
      </c>
      <c r="F1364" t="s">
        <v>33</v>
      </c>
      <c r="G1364" s="1">
        <v>963</v>
      </c>
      <c r="H1364" t="s">
        <v>26</v>
      </c>
      <c r="I1364" s="2">
        <v>43533</v>
      </c>
      <c r="J1364" t="s">
        <v>41</v>
      </c>
      <c r="K1364" t="s">
        <v>42</v>
      </c>
      <c r="L1364">
        <v>40233</v>
      </c>
      <c r="M1364" t="s">
        <v>21</v>
      </c>
      <c r="N1364" t="str">
        <f>VLOOKUP(A1364, Data_Set_2!$A:$D,2,FALSE)</f>
        <v>ngardnerqw</v>
      </c>
      <c r="O1364" t="str">
        <f>VLOOKUP(A1364, Data_Set_2!$A:$D,3,FALSE)</f>
        <v>Bubblemix</v>
      </c>
      <c r="P1364" t="str">
        <f>VLOOKUP(A1364, Data_Set_2!$A:$D,4,FALSE)</f>
        <v>VP Accounting</v>
      </c>
      <c r="Q1364" t="str">
        <f>_xlfn.CONCAT(Table3[[#This Row],[first_name]], " ",Table3[[#This Row],[last_name]])</f>
        <v>Nancy Gardner</v>
      </c>
    </row>
    <row r="1365" spans="1:17" x14ac:dyDescent="0.3">
      <c r="A1365">
        <v>971</v>
      </c>
      <c r="B1365" t="s">
        <v>432</v>
      </c>
      <c r="C1365" t="s">
        <v>433</v>
      </c>
      <c r="D1365" t="s">
        <v>434</v>
      </c>
      <c r="E1365" t="s">
        <v>16</v>
      </c>
      <c r="F1365" t="s">
        <v>33</v>
      </c>
      <c r="G1365" s="1">
        <v>521</v>
      </c>
      <c r="H1365" t="s">
        <v>95</v>
      </c>
      <c r="I1365" s="2">
        <v>43307</v>
      </c>
      <c r="J1365" t="s">
        <v>435</v>
      </c>
      <c r="K1365" t="s">
        <v>436</v>
      </c>
      <c r="L1365">
        <v>87190</v>
      </c>
      <c r="M1365" t="s">
        <v>21</v>
      </c>
      <c r="N1365" t="str">
        <f>VLOOKUP(A1365, Data_Set_2!$A:$D,2,FALSE)</f>
        <v>scunninghamqy</v>
      </c>
      <c r="O1365" t="str">
        <f>VLOOKUP(A1365, Data_Set_2!$A:$D,3,FALSE)</f>
        <v>Aibox</v>
      </c>
      <c r="P1365" t="str">
        <f>VLOOKUP(A1365, Data_Set_2!$A:$D,4,FALSE)</f>
        <v>Information Systems Manager</v>
      </c>
      <c r="Q1365" t="str">
        <f>_xlfn.CONCAT(Table3[[#This Row],[first_name]], " ",Table3[[#This Row],[last_name]])</f>
        <v>Steven Cunningham</v>
      </c>
    </row>
    <row r="1366" spans="1:17" hidden="1" x14ac:dyDescent="0.3">
      <c r="A1366">
        <v>974</v>
      </c>
      <c r="B1366" t="s">
        <v>1053</v>
      </c>
      <c r="C1366" t="s">
        <v>1039</v>
      </c>
      <c r="D1366" t="s">
        <v>1054</v>
      </c>
      <c r="E1366" t="s">
        <v>32</v>
      </c>
      <c r="F1366" t="s">
        <v>33</v>
      </c>
      <c r="G1366" s="1">
        <v>262</v>
      </c>
      <c r="H1366" t="s">
        <v>4034</v>
      </c>
      <c r="I1366" s="2">
        <v>44324</v>
      </c>
      <c r="J1366" t="s">
        <v>269</v>
      </c>
      <c r="K1366" t="s">
        <v>1055</v>
      </c>
      <c r="L1366">
        <v>99517</v>
      </c>
      <c r="M1366" t="s">
        <v>21</v>
      </c>
      <c r="N1366" t="str">
        <f>VLOOKUP(A1366, Data_Set_2!$A:$D,2,FALSE)</f>
        <v>mmontgomeryr1</v>
      </c>
      <c r="O1366" t="str">
        <f>VLOOKUP(A1366, Data_Set_2!$A:$D,3,FALSE)</f>
        <v>Ainyx</v>
      </c>
      <c r="P1366" t="str">
        <f>VLOOKUP(A1366, Data_Set_2!$A:$D,4,FALSE)</f>
        <v>VP Accounting</v>
      </c>
      <c r="Q1366" t="str">
        <f>_xlfn.CONCAT(Table3[[#This Row],[first_name]], " ",Table3[[#This Row],[last_name]])</f>
        <v>Martha Montgomery</v>
      </c>
    </row>
    <row r="1367" spans="1:17" hidden="1" x14ac:dyDescent="0.3">
      <c r="A1367">
        <v>977</v>
      </c>
      <c r="B1367" t="s">
        <v>799</v>
      </c>
      <c r="C1367" t="s">
        <v>641</v>
      </c>
      <c r="D1367" t="s">
        <v>1080</v>
      </c>
      <c r="E1367" t="s">
        <v>16</v>
      </c>
      <c r="F1367" t="s">
        <v>51</v>
      </c>
      <c r="G1367" s="1">
        <v>327</v>
      </c>
      <c r="H1367" t="s">
        <v>26</v>
      </c>
      <c r="I1367" s="2">
        <v>44424</v>
      </c>
      <c r="J1367" t="s">
        <v>35</v>
      </c>
      <c r="K1367" t="s">
        <v>1081</v>
      </c>
      <c r="L1367">
        <v>95064</v>
      </c>
      <c r="M1367" t="s">
        <v>21</v>
      </c>
      <c r="N1367" t="str">
        <f>VLOOKUP(A1367, Data_Set_2!$A:$D,2,FALSE)</f>
        <v>dwalkerr4</v>
      </c>
      <c r="O1367" t="str">
        <f>VLOOKUP(A1367, Data_Set_2!$A:$D,3,FALSE)</f>
        <v>Voomm</v>
      </c>
      <c r="P1367" t="str">
        <f>VLOOKUP(A1367, Data_Set_2!$A:$D,4,FALSE)</f>
        <v>Administrative Assistant I</v>
      </c>
      <c r="Q1367" t="str">
        <f>_xlfn.CONCAT(Table3[[#This Row],[first_name]], " ",Table3[[#This Row],[last_name]])</f>
        <v>Daniel Walker</v>
      </c>
    </row>
    <row r="1368" spans="1:17" hidden="1" x14ac:dyDescent="0.3">
      <c r="A1368">
        <v>978</v>
      </c>
      <c r="B1368" t="s">
        <v>395</v>
      </c>
      <c r="C1368" t="s">
        <v>321</v>
      </c>
      <c r="D1368" t="s">
        <v>663</v>
      </c>
      <c r="E1368" t="s">
        <v>32</v>
      </c>
      <c r="F1368" t="s">
        <v>33</v>
      </c>
      <c r="G1368" s="1">
        <v>395</v>
      </c>
      <c r="H1368" t="s">
        <v>26</v>
      </c>
      <c r="I1368" s="2">
        <v>43584</v>
      </c>
      <c r="J1368" t="s">
        <v>68</v>
      </c>
      <c r="K1368" t="s">
        <v>169</v>
      </c>
      <c r="L1368">
        <v>79977</v>
      </c>
      <c r="M1368" t="s">
        <v>21</v>
      </c>
      <c r="N1368" t="str">
        <f>VLOOKUP(A1368, Data_Set_2!$A:$D,2,FALSE)</f>
        <v>ecarterr5</v>
      </c>
      <c r="O1368" t="str">
        <f>VLOOKUP(A1368, Data_Set_2!$A:$D,3,FALSE)</f>
        <v>Kazio</v>
      </c>
      <c r="P1368" t="str">
        <f>VLOOKUP(A1368, Data_Set_2!$A:$D,4,FALSE)</f>
        <v>Programmer Analyst III</v>
      </c>
      <c r="Q1368" t="str">
        <f>_xlfn.CONCAT(Table3[[#This Row],[first_name]], " ",Table3[[#This Row],[last_name]])</f>
        <v>Emily Carter</v>
      </c>
    </row>
    <row r="1369" spans="1:17" hidden="1" x14ac:dyDescent="0.3">
      <c r="A1369">
        <v>979</v>
      </c>
      <c r="B1369" t="s">
        <v>537</v>
      </c>
      <c r="C1369" t="s">
        <v>913</v>
      </c>
      <c r="D1369" t="s">
        <v>1124</v>
      </c>
      <c r="E1369" t="s">
        <v>16</v>
      </c>
      <c r="F1369" t="s">
        <v>17</v>
      </c>
      <c r="G1369" s="1">
        <v>405</v>
      </c>
      <c r="H1369" t="s">
        <v>26</v>
      </c>
      <c r="I1369" s="2">
        <v>44536</v>
      </c>
      <c r="J1369" t="s">
        <v>524</v>
      </c>
      <c r="K1369" t="s">
        <v>872</v>
      </c>
      <c r="L1369">
        <v>35810</v>
      </c>
      <c r="M1369" t="s">
        <v>21</v>
      </c>
      <c r="N1369" t="str">
        <f>VLOOKUP(A1369, Data_Set_2!$A:$D,2,FALSE)</f>
        <v>glarsonr6</v>
      </c>
      <c r="O1369" t="str">
        <f>VLOOKUP(A1369, Data_Set_2!$A:$D,3,FALSE)</f>
        <v>Dabvine</v>
      </c>
      <c r="P1369" t="str">
        <f>VLOOKUP(A1369, Data_Set_2!$A:$D,4,FALSE)</f>
        <v>Systems Administrator IV</v>
      </c>
      <c r="Q1369" t="str">
        <f>_xlfn.CONCAT(Table3[[#This Row],[first_name]], " ",Table3[[#This Row],[last_name]])</f>
        <v>Gregory Larson</v>
      </c>
    </row>
    <row r="1370" spans="1:17" hidden="1" x14ac:dyDescent="0.3">
      <c r="A1370">
        <v>980</v>
      </c>
      <c r="B1370" t="s">
        <v>565</v>
      </c>
      <c r="C1370" t="s">
        <v>574</v>
      </c>
      <c r="D1370" t="s">
        <v>575</v>
      </c>
      <c r="E1370" t="s">
        <v>16</v>
      </c>
      <c r="F1370" t="s">
        <v>25</v>
      </c>
      <c r="G1370" s="1">
        <v>107</v>
      </c>
      <c r="H1370" t="s">
        <v>4035</v>
      </c>
      <c r="I1370" s="2">
        <v>43478</v>
      </c>
      <c r="J1370" t="s">
        <v>41</v>
      </c>
      <c r="K1370" t="s">
        <v>576</v>
      </c>
      <c r="L1370">
        <v>41905</v>
      </c>
      <c r="M1370" t="s">
        <v>21</v>
      </c>
      <c r="N1370" t="str">
        <f>VLOOKUP(A1370, Data_Set_2!$A:$D,2,FALSE)</f>
        <v>ppayner7</v>
      </c>
      <c r="O1370" t="str">
        <f>VLOOKUP(A1370, Data_Set_2!$A:$D,3,FALSE)</f>
        <v>Jabbersphere</v>
      </c>
      <c r="P1370" t="str">
        <f>VLOOKUP(A1370, Data_Set_2!$A:$D,4,FALSE)</f>
        <v>Analyst Programmer</v>
      </c>
      <c r="Q1370" t="str">
        <f>_xlfn.CONCAT(Table3[[#This Row],[first_name]], " ",Table3[[#This Row],[last_name]])</f>
        <v>Patrick Payne</v>
      </c>
    </row>
    <row r="1371" spans="1:17" hidden="1" x14ac:dyDescent="0.3">
      <c r="A1371">
        <v>981</v>
      </c>
      <c r="B1371" t="s">
        <v>417</v>
      </c>
      <c r="C1371" t="s">
        <v>981</v>
      </c>
      <c r="D1371" t="s">
        <v>982</v>
      </c>
      <c r="E1371" t="s">
        <v>16</v>
      </c>
      <c r="F1371" t="s">
        <v>33</v>
      </c>
      <c r="G1371" s="1">
        <v>527</v>
      </c>
      <c r="H1371" t="s">
        <v>18</v>
      </c>
      <c r="I1371" s="2">
        <v>44168</v>
      </c>
      <c r="J1371" t="s">
        <v>27</v>
      </c>
      <c r="K1371" t="s">
        <v>215</v>
      </c>
      <c r="L1371">
        <v>80920</v>
      </c>
      <c r="M1371" t="s">
        <v>21</v>
      </c>
      <c r="N1371" t="str">
        <f>VLOOKUP(A1371, Data_Set_2!$A:$D,2,FALSE)</f>
        <v>wreidr8</v>
      </c>
      <c r="O1371" t="str">
        <f>VLOOKUP(A1371, Data_Set_2!$A:$D,3,FALSE)</f>
        <v>Fanoodle</v>
      </c>
      <c r="P1371" t="str">
        <f>VLOOKUP(A1371, Data_Set_2!$A:$D,4,FALSE)</f>
        <v>Operator</v>
      </c>
      <c r="Q1371" t="str">
        <f>_xlfn.CONCAT(Table3[[#This Row],[first_name]], " ",Table3[[#This Row],[last_name]])</f>
        <v>Willie Reid</v>
      </c>
    </row>
    <row r="1372" spans="1:17" x14ac:dyDescent="0.3">
      <c r="A1372">
        <v>982</v>
      </c>
      <c r="B1372" t="s">
        <v>352</v>
      </c>
      <c r="C1372" t="s">
        <v>353</v>
      </c>
      <c r="D1372" t="s">
        <v>354</v>
      </c>
      <c r="E1372" t="s">
        <v>32</v>
      </c>
      <c r="F1372" t="s">
        <v>33</v>
      </c>
      <c r="G1372" s="1">
        <v>522</v>
      </c>
      <c r="H1372" t="s">
        <v>95</v>
      </c>
      <c r="I1372" s="2">
        <v>43261</v>
      </c>
      <c r="J1372" t="s">
        <v>35</v>
      </c>
      <c r="K1372" t="s">
        <v>355</v>
      </c>
      <c r="L1372">
        <v>94913</v>
      </c>
      <c r="M1372" t="s">
        <v>21</v>
      </c>
      <c r="N1372" t="str">
        <f>VLOOKUP(A1372, Data_Set_2!$A:$D,2,FALSE)</f>
        <v>rfowlerr9</v>
      </c>
      <c r="O1372" t="str">
        <f>VLOOKUP(A1372, Data_Set_2!$A:$D,3,FALSE)</f>
        <v>Meezzy</v>
      </c>
      <c r="P1372" t="str">
        <f>VLOOKUP(A1372, Data_Set_2!$A:$D,4,FALSE)</f>
        <v>Editor</v>
      </c>
      <c r="Q1372" t="str">
        <f>_xlfn.CONCAT(Table3[[#This Row],[first_name]], " ",Table3[[#This Row],[last_name]])</f>
        <v>Rachel Fowler</v>
      </c>
    </row>
    <row r="1373" spans="1:17" hidden="1" x14ac:dyDescent="0.3">
      <c r="A1373">
        <v>983</v>
      </c>
      <c r="B1373" t="s">
        <v>560</v>
      </c>
      <c r="C1373" t="s">
        <v>635</v>
      </c>
      <c r="D1373" t="s">
        <v>1178</v>
      </c>
      <c r="E1373" t="s">
        <v>32</v>
      </c>
      <c r="F1373" t="s">
        <v>17</v>
      </c>
      <c r="G1373" s="1">
        <v>120</v>
      </c>
      <c r="H1373" t="s">
        <v>62</v>
      </c>
      <c r="I1373" s="2">
        <v>44674</v>
      </c>
      <c r="J1373" t="s">
        <v>230</v>
      </c>
      <c r="K1373" t="s">
        <v>260</v>
      </c>
      <c r="L1373">
        <v>28242</v>
      </c>
      <c r="M1373" t="s">
        <v>21</v>
      </c>
      <c r="N1373" t="str">
        <f>VLOOKUP(A1373, Data_Set_2!$A:$D,2,FALSE)</f>
        <v>tnguyenra</v>
      </c>
      <c r="O1373" t="str">
        <f>VLOOKUP(A1373, Data_Set_2!$A:$D,3,FALSE)</f>
        <v>Skyba</v>
      </c>
      <c r="P1373" t="str">
        <f>VLOOKUP(A1373, Data_Set_2!$A:$D,4,FALSE)</f>
        <v>Administrative Assistant I</v>
      </c>
      <c r="Q1373" t="str">
        <f>_xlfn.CONCAT(Table3[[#This Row],[first_name]], " ",Table3[[#This Row],[last_name]])</f>
        <v>Theresa Nguyen</v>
      </c>
    </row>
    <row r="1374" spans="1:17" hidden="1" x14ac:dyDescent="0.3">
      <c r="A1374">
        <v>984</v>
      </c>
      <c r="B1374" t="s">
        <v>235</v>
      </c>
      <c r="C1374" t="s">
        <v>236</v>
      </c>
      <c r="D1374" t="s">
        <v>237</v>
      </c>
      <c r="E1374" t="s">
        <v>32</v>
      </c>
      <c r="F1374" t="s">
        <v>33</v>
      </c>
      <c r="G1374" s="1">
        <v>936</v>
      </c>
      <c r="H1374" t="s">
        <v>4037</v>
      </c>
      <c r="I1374" s="2">
        <v>43191</v>
      </c>
      <c r="J1374" t="s">
        <v>68</v>
      </c>
      <c r="K1374" t="s">
        <v>238</v>
      </c>
      <c r="L1374">
        <v>75507</v>
      </c>
      <c r="M1374" t="s">
        <v>21</v>
      </c>
      <c r="N1374" t="str">
        <f>VLOOKUP(A1374, Data_Set_2!$A:$D,2,FALSE)</f>
        <v>sclarkrb</v>
      </c>
      <c r="O1374" t="str">
        <f>VLOOKUP(A1374, Data_Set_2!$A:$D,3,FALSE)</f>
        <v>Teklist</v>
      </c>
      <c r="P1374" t="str">
        <f>VLOOKUP(A1374, Data_Set_2!$A:$D,4,FALSE)</f>
        <v>Clinical Specialist</v>
      </c>
      <c r="Q1374" t="str">
        <f>_xlfn.CONCAT(Table3[[#This Row],[first_name]], " ",Table3[[#This Row],[last_name]])</f>
        <v>Sarah Clark</v>
      </c>
    </row>
    <row r="1375" spans="1:17" hidden="1" x14ac:dyDescent="0.3">
      <c r="A1375">
        <v>985</v>
      </c>
      <c r="B1375" t="s">
        <v>569</v>
      </c>
      <c r="C1375" t="s">
        <v>507</v>
      </c>
      <c r="D1375" t="s">
        <v>570</v>
      </c>
      <c r="E1375" t="s">
        <v>16</v>
      </c>
      <c r="F1375" t="s">
        <v>33</v>
      </c>
      <c r="G1375" s="1">
        <v>171</v>
      </c>
      <c r="H1375" t="s">
        <v>34</v>
      </c>
      <c r="I1375" s="2">
        <v>43467</v>
      </c>
      <c r="J1375" t="s">
        <v>152</v>
      </c>
      <c r="K1375" t="s">
        <v>571</v>
      </c>
      <c r="L1375">
        <v>44177</v>
      </c>
      <c r="M1375" t="s">
        <v>21</v>
      </c>
      <c r="N1375" t="str">
        <f>VLOOKUP(A1375, Data_Set_2!$A:$D,2,FALSE)</f>
        <v>ncastillorc</v>
      </c>
      <c r="O1375" t="str">
        <f>VLOOKUP(A1375, Data_Set_2!$A:$D,3,FALSE)</f>
        <v>Chatterbridge</v>
      </c>
      <c r="P1375" t="str">
        <f>VLOOKUP(A1375, Data_Set_2!$A:$D,4,FALSE)</f>
        <v>Safety Technician II</v>
      </c>
      <c r="Q1375" t="str">
        <f>_xlfn.CONCAT(Table3[[#This Row],[first_name]], " ",Table3[[#This Row],[last_name]])</f>
        <v>Nicholas Castillo</v>
      </c>
    </row>
    <row r="1376" spans="1:17" hidden="1" x14ac:dyDescent="0.3">
      <c r="A1376">
        <v>986</v>
      </c>
      <c r="B1376" t="s">
        <v>721</v>
      </c>
      <c r="C1376" t="s">
        <v>1240</v>
      </c>
      <c r="D1376" t="s">
        <v>1241</v>
      </c>
      <c r="E1376" t="s">
        <v>16</v>
      </c>
      <c r="F1376" t="s">
        <v>33</v>
      </c>
      <c r="G1376" s="1">
        <v>478</v>
      </c>
      <c r="H1376" t="s">
        <v>26</v>
      </c>
      <c r="I1376" s="2">
        <v>44858</v>
      </c>
      <c r="J1376" t="s">
        <v>35</v>
      </c>
      <c r="K1376" t="s">
        <v>1081</v>
      </c>
      <c r="L1376">
        <v>95064</v>
      </c>
      <c r="M1376" t="s">
        <v>21</v>
      </c>
      <c r="N1376" t="str">
        <f>VLOOKUP(A1376, Data_Set_2!$A:$D,2,FALSE)</f>
        <v>jstevensrd</v>
      </c>
      <c r="O1376" t="str">
        <f>VLOOKUP(A1376, Data_Set_2!$A:$D,3,FALSE)</f>
        <v>Wikivu</v>
      </c>
      <c r="P1376" t="str">
        <f>VLOOKUP(A1376, Data_Set_2!$A:$D,4,FALSE)</f>
        <v>Operator</v>
      </c>
      <c r="Q1376" t="str">
        <f>_xlfn.CONCAT(Table3[[#This Row],[first_name]], " ",Table3[[#This Row],[last_name]])</f>
        <v>Juan Stevens</v>
      </c>
    </row>
    <row r="1377" spans="1:17" hidden="1" x14ac:dyDescent="0.3">
      <c r="A1377">
        <v>988</v>
      </c>
      <c r="B1377" t="s">
        <v>761</v>
      </c>
      <c r="C1377" t="s">
        <v>762</v>
      </c>
      <c r="D1377" t="s">
        <v>763</v>
      </c>
      <c r="E1377" t="s">
        <v>16</v>
      </c>
      <c r="F1377" t="s">
        <v>17</v>
      </c>
      <c r="G1377" s="1">
        <v>164</v>
      </c>
      <c r="H1377" t="s">
        <v>18</v>
      </c>
      <c r="I1377" s="2">
        <v>43710</v>
      </c>
      <c r="J1377" t="s">
        <v>152</v>
      </c>
      <c r="K1377" t="s">
        <v>626</v>
      </c>
      <c r="L1377">
        <v>43635</v>
      </c>
      <c r="M1377" t="s">
        <v>21</v>
      </c>
      <c r="N1377" t="str">
        <f>VLOOKUP(A1377, Data_Set_2!$A:$D,2,FALSE)</f>
        <v>lnicholsrf</v>
      </c>
      <c r="O1377" t="str">
        <f>VLOOKUP(A1377, Data_Set_2!$A:$D,3,FALSE)</f>
        <v>Oyondu</v>
      </c>
      <c r="P1377" t="str">
        <f>VLOOKUP(A1377, Data_Set_2!$A:$D,4,FALSE)</f>
        <v>Senior Sales Associate</v>
      </c>
      <c r="Q1377" t="str">
        <f>_xlfn.CONCAT(Table3[[#This Row],[first_name]], " ",Table3[[#This Row],[last_name]])</f>
        <v>Louis Nichols</v>
      </c>
    </row>
    <row r="1378" spans="1:17" x14ac:dyDescent="0.3">
      <c r="A1378">
        <v>989</v>
      </c>
      <c r="B1378" t="s">
        <v>13</v>
      </c>
      <c r="C1378" t="s">
        <v>281</v>
      </c>
      <c r="D1378" t="s">
        <v>659</v>
      </c>
      <c r="E1378" t="s">
        <v>16</v>
      </c>
      <c r="F1378" t="s">
        <v>33</v>
      </c>
      <c r="G1378" s="1">
        <v>813</v>
      </c>
      <c r="H1378" t="s">
        <v>95</v>
      </c>
      <c r="I1378" s="2">
        <v>43575</v>
      </c>
      <c r="J1378" t="s">
        <v>35</v>
      </c>
      <c r="K1378" t="s">
        <v>599</v>
      </c>
      <c r="L1378">
        <v>94250</v>
      </c>
      <c r="M1378" t="s">
        <v>21</v>
      </c>
      <c r="N1378" t="str">
        <f>VLOOKUP(A1378, Data_Set_2!$A:$D,2,FALSE)</f>
        <v>swarrenrg</v>
      </c>
      <c r="O1378" t="str">
        <f>VLOOKUP(A1378, Data_Set_2!$A:$D,3,FALSE)</f>
        <v>Blogtag</v>
      </c>
      <c r="P1378" t="str">
        <f>VLOOKUP(A1378, Data_Set_2!$A:$D,4,FALSE)</f>
        <v>Technical Writer</v>
      </c>
      <c r="Q1378" t="str">
        <f>_xlfn.CONCAT(Table3[[#This Row],[first_name]], " ",Table3[[#This Row],[last_name]])</f>
        <v>Shawn Warren</v>
      </c>
    </row>
    <row r="1379" spans="1:17" x14ac:dyDescent="0.3">
      <c r="A1379">
        <v>990</v>
      </c>
      <c r="B1379" t="s">
        <v>366</v>
      </c>
      <c r="C1379" t="s">
        <v>367</v>
      </c>
      <c r="D1379" t="s">
        <v>368</v>
      </c>
      <c r="E1379" t="s">
        <v>32</v>
      </c>
      <c r="F1379" t="s">
        <v>17</v>
      </c>
      <c r="G1379" s="1">
        <v>22</v>
      </c>
      <c r="H1379" t="s">
        <v>95</v>
      </c>
      <c r="I1379" s="2">
        <v>43269</v>
      </c>
      <c r="J1379" t="s">
        <v>184</v>
      </c>
      <c r="K1379" t="s">
        <v>197</v>
      </c>
      <c r="L1379">
        <v>10079</v>
      </c>
      <c r="M1379" t="s">
        <v>21</v>
      </c>
      <c r="N1379" t="str">
        <f>VLOOKUP(A1379, Data_Set_2!$A:$D,2,FALSE)</f>
        <v>rkimrh</v>
      </c>
      <c r="O1379" t="str">
        <f>VLOOKUP(A1379, Data_Set_2!$A:$D,3,FALSE)</f>
        <v>Skalith</v>
      </c>
      <c r="P1379" t="str">
        <f>VLOOKUP(A1379, Data_Set_2!$A:$D,4,FALSE)</f>
        <v>Environmental Tech</v>
      </c>
      <c r="Q1379" t="str">
        <f>_xlfn.CONCAT(Table3[[#This Row],[first_name]], " ",Table3[[#This Row],[last_name]])</f>
        <v>Rose Kim</v>
      </c>
    </row>
    <row r="1380" spans="1:17" x14ac:dyDescent="0.3">
      <c r="A1380">
        <v>990</v>
      </c>
      <c r="B1380" t="s">
        <v>366</v>
      </c>
      <c r="C1380" t="s">
        <v>367</v>
      </c>
      <c r="D1380" t="s">
        <v>368</v>
      </c>
      <c r="E1380" t="s">
        <v>32</v>
      </c>
      <c r="F1380" t="s">
        <v>17</v>
      </c>
      <c r="G1380" s="1">
        <v>437</v>
      </c>
      <c r="H1380" t="s">
        <v>95</v>
      </c>
      <c r="I1380" s="2">
        <v>43322</v>
      </c>
      <c r="J1380" t="s">
        <v>184</v>
      </c>
      <c r="K1380" t="s">
        <v>197</v>
      </c>
      <c r="L1380">
        <v>10079</v>
      </c>
      <c r="M1380" t="s">
        <v>21</v>
      </c>
      <c r="N1380" t="str">
        <f>VLOOKUP(A1380, Data_Set_2!$A:$D,2,FALSE)</f>
        <v>rkimrh</v>
      </c>
      <c r="O1380" t="str">
        <f>VLOOKUP(A1380, Data_Set_2!$A:$D,3,FALSE)</f>
        <v>Skalith</v>
      </c>
      <c r="P1380" t="str">
        <f>VLOOKUP(A1380, Data_Set_2!$A:$D,4,FALSE)</f>
        <v>Environmental Tech</v>
      </c>
      <c r="Q1380" t="str">
        <f>_xlfn.CONCAT(Table3[[#This Row],[first_name]], " ",Table3[[#This Row],[last_name]])</f>
        <v>Rose Kim</v>
      </c>
    </row>
    <row r="1381" spans="1:17" x14ac:dyDescent="0.3">
      <c r="A1381">
        <v>990</v>
      </c>
      <c r="B1381" t="s">
        <v>366</v>
      </c>
      <c r="C1381" t="s">
        <v>367</v>
      </c>
      <c r="D1381" t="s">
        <v>368</v>
      </c>
      <c r="E1381" t="s">
        <v>32</v>
      </c>
      <c r="F1381" t="s">
        <v>17</v>
      </c>
      <c r="G1381" s="1">
        <v>636</v>
      </c>
      <c r="H1381" t="s">
        <v>95</v>
      </c>
      <c r="I1381" s="2">
        <v>43441</v>
      </c>
      <c r="J1381" t="s">
        <v>184</v>
      </c>
      <c r="K1381" t="s">
        <v>197</v>
      </c>
      <c r="L1381">
        <v>10079</v>
      </c>
      <c r="M1381" t="s">
        <v>21</v>
      </c>
      <c r="N1381" t="str">
        <f>VLOOKUP(A1381, Data_Set_2!$A:$D,2,FALSE)</f>
        <v>rkimrh</v>
      </c>
      <c r="O1381" t="str">
        <f>VLOOKUP(A1381, Data_Set_2!$A:$D,3,FALSE)</f>
        <v>Skalith</v>
      </c>
      <c r="P1381" t="str">
        <f>VLOOKUP(A1381, Data_Set_2!$A:$D,4,FALSE)</f>
        <v>Environmental Tech</v>
      </c>
      <c r="Q1381" t="str">
        <f>_xlfn.CONCAT(Table3[[#This Row],[first_name]], " ",Table3[[#This Row],[last_name]])</f>
        <v>Rose Kim</v>
      </c>
    </row>
    <row r="1382" spans="1:17" x14ac:dyDescent="0.3">
      <c r="A1382">
        <v>990</v>
      </c>
      <c r="B1382" t="s">
        <v>366</v>
      </c>
      <c r="C1382" t="s">
        <v>367</v>
      </c>
      <c r="D1382" t="s">
        <v>368</v>
      </c>
      <c r="E1382" t="s">
        <v>32</v>
      </c>
      <c r="F1382" t="s">
        <v>17</v>
      </c>
      <c r="G1382" s="1">
        <v>518</v>
      </c>
      <c r="H1382" t="s">
        <v>95</v>
      </c>
      <c r="I1382" s="2">
        <v>43450</v>
      </c>
      <c r="J1382" t="s">
        <v>184</v>
      </c>
      <c r="K1382" t="s">
        <v>197</v>
      </c>
      <c r="L1382">
        <v>10079</v>
      </c>
      <c r="M1382" t="s">
        <v>21</v>
      </c>
      <c r="N1382" t="str">
        <f>VLOOKUP(A1382, Data_Set_2!$A:$D,2,FALSE)</f>
        <v>rkimrh</v>
      </c>
      <c r="O1382" t="str">
        <f>VLOOKUP(A1382, Data_Set_2!$A:$D,3,FALSE)</f>
        <v>Skalith</v>
      </c>
      <c r="P1382" t="str">
        <f>VLOOKUP(A1382, Data_Set_2!$A:$D,4,FALSE)</f>
        <v>Environmental Tech</v>
      </c>
      <c r="Q1382" t="str">
        <f>_xlfn.CONCAT(Table3[[#This Row],[first_name]], " ",Table3[[#This Row],[last_name]])</f>
        <v>Rose Kim</v>
      </c>
    </row>
    <row r="1383" spans="1:17" x14ac:dyDescent="0.3">
      <c r="A1383">
        <v>990</v>
      </c>
      <c r="B1383" t="s">
        <v>366</v>
      </c>
      <c r="C1383" t="s">
        <v>367</v>
      </c>
      <c r="D1383" t="s">
        <v>368</v>
      </c>
      <c r="E1383" t="s">
        <v>32</v>
      </c>
      <c r="F1383" t="s">
        <v>17</v>
      </c>
      <c r="G1383" s="1">
        <v>298</v>
      </c>
      <c r="H1383" t="s">
        <v>95</v>
      </c>
      <c r="I1383" s="2">
        <v>43584</v>
      </c>
      <c r="J1383" t="s">
        <v>184</v>
      </c>
      <c r="K1383" t="s">
        <v>197</v>
      </c>
      <c r="L1383">
        <v>10079</v>
      </c>
      <c r="M1383" t="s">
        <v>21</v>
      </c>
      <c r="N1383" t="str">
        <f>VLOOKUP(A1383, Data_Set_2!$A:$D,2,FALSE)</f>
        <v>rkimrh</v>
      </c>
      <c r="O1383" t="str">
        <f>VLOOKUP(A1383, Data_Set_2!$A:$D,3,FALSE)</f>
        <v>Skalith</v>
      </c>
      <c r="P1383" t="str">
        <f>VLOOKUP(A1383, Data_Set_2!$A:$D,4,FALSE)</f>
        <v>Environmental Tech</v>
      </c>
      <c r="Q1383" t="str">
        <f>_xlfn.CONCAT(Table3[[#This Row],[first_name]], " ",Table3[[#This Row],[last_name]])</f>
        <v>Rose Kim</v>
      </c>
    </row>
    <row r="1384" spans="1:17" x14ac:dyDescent="0.3">
      <c r="A1384">
        <v>990</v>
      </c>
      <c r="B1384" t="s">
        <v>366</v>
      </c>
      <c r="C1384" t="s">
        <v>367</v>
      </c>
      <c r="D1384" t="s">
        <v>368</v>
      </c>
      <c r="E1384" t="s">
        <v>32</v>
      </c>
      <c r="F1384" t="s">
        <v>17</v>
      </c>
      <c r="G1384" s="1">
        <v>342</v>
      </c>
      <c r="H1384" t="s">
        <v>95</v>
      </c>
      <c r="I1384" s="2">
        <v>43726</v>
      </c>
      <c r="J1384" t="s">
        <v>184</v>
      </c>
      <c r="K1384" t="s">
        <v>197</v>
      </c>
      <c r="L1384">
        <v>10079</v>
      </c>
      <c r="M1384" t="s">
        <v>21</v>
      </c>
      <c r="N1384" t="str">
        <f>VLOOKUP(A1384, Data_Set_2!$A:$D,2,FALSE)</f>
        <v>rkimrh</v>
      </c>
      <c r="O1384" t="str">
        <f>VLOOKUP(A1384, Data_Set_2!$A:$D,3,FALSE)</f>
        <v>Skalith</v>
      </c>
      <c r="P1384" t="str">
        <f>VLOOKUP(A1384, Data_Set_2!$A:$D,4,FALSE)</f>
        <v>Environmental Tech</v>
      </c>
      <c r="Q1384" t="str">
        <f>_xlfn.CONCAT(Table3[[#This Row],[first_name]], " ",Table3[[#This Row],[last_name]])</f>
        <v>Rose Kim</v>
      </c>
    </row>
    <row r="1385" spans="1:17" x14ac:dyDescent="0.3">
      <c r="A1385">
        <v>990</v>
      </c>
      <c r="B1385" t="s">
        <v>366</v>
      </c>
      <c r="C1385" t="s">
        <v>367</v>
      </c>
      <c r="D1385" t="s">
        <v>368</v>
      </c>
      <c r="E1385" t="s">
        <v>32</v>
      </c>
      <c r="F1385" t="s">
        <v>17</v>
      </c>
      <c r="G1385" s="1">
        <v>971</v>
      </c>
      <c r="H1385" t="s">
        <v>95</v>
      </c>
      <c r="I1385" s="2">
        <v>43784</v>
      </c>
      <c r="J1385" t="s">
        <v>184</v>
      </c>
      <c r="K1385" t="s">
        <v>197</v>
      </c>
      <c r="L1385">
        <v>10079</v>
      </c>
      <c r="M1385" t="s">
        <v>21</v>
      </c>
      <c r="N1385" t="str">
        <f>VLOOKUP(A1385, Data_Set_2!$A:$D,2,FALSE)</f>
        <v>rkimrh</v>
      </c>
      <c r="O1385" t="str">
        <f>VLOOKUP(A1385, Data_Set_2!$A:$D,3,FALSE)</f>
        <v>Skalith</v>
      </c>
      <c r="P1385" t="str">
        <f>VLOOKUP(A1385, Data_Set_2!$A:$D,4,FALSE)</f>
        <v>Environmental Tech</v>
      </c>
      <c r="Q1385" t="str">
        <f>_xlfn.CONCAT(Table3[[#This Row],[first_name]], " ",Table3[[#This Row],[last_name]])</f>
        <v>Rose Kim</v>
      </c>
    </row>
    <row r="1386" spans="1:17" x14ac:dyDescent="0.3">
      <c r="A1386">
        <v>990</v>
      </c>
      <c r="B1386" t="s">
        <v>366</v>
      </c>
      <c r="C1386" t="s">
        <v>367</v>
      </c>
      <c r="D1386" t="s">
        <v>368</v>
      </c>
      <c r="E1386" t="s">
        <v>32</v>
      </c>
      <c r="F1386" t="s">
        <v>17</v>
      </c>
      <c r="G1386" s="1">
        <v>810</v>
      </c>
      <c r="H1386" t="s">
        <v>95</v>
      </c>
      <c r="I1386" s="2">
        <v>43909</v>
      </c>
      <c r="J1386" t="s">
        <v>184</v>
      </c>
      <c r="K1386" t="s">
        <v>197</v>
      </c>
      <c r="L1386">
        <v>10079</v>
      </c>
      <c r="M1386" t="s">
        <v>21</v>
      </c>
      <c r="N1386" t="str">
        <f>VLOOKUP(A1386, Data_Set_2!$A:$D,2,FALSE)</f>
        <v>rkimrh</v>
      </c>
      <c r="O1386" t="str">
        <f>VLOOKUP(A1386, Data_Set_2!$A:$D,3,FALSE)</f>
        <v>Skalith</v>
      </c>
      <c r="P1386" t="str">
        <f>VLOOKUP(A1386, Data_Set_2!$A:$D,4,FALSE)</f>
        <v>Environmental Tech</v>
      </c>
      <c r="Q1386" t="str">
        <f>_xlfn.CONCAT(Table3[[#This Row],[first_name]], " ",Table3[[#This Row],[last_name]])</f>
        <v>Rose Kim</v>
      </c>
    </row>
    <row r="1387" spans="1:17" x14ac:dyDescent="0.3">
      <c r="A1387">
        <v>990</v>
      </c>
      <c r="B1387" t="s">
        <v>366</v>
      </c>
      <c r="C1387" t="s">
        <v>367</v>
      </c>
      <c r="D1387" t="s">
        <v>368</v>
      </c>
      <c r="E1387" t="s">
        <v>32</v>
      </c>
      <c r="F1387" t="s">
        <v>17</v>
      </c>
      <c r="G1387" s="1">
        <v>822</v>
      </c>
      <c r="H1387" t="s">
        <v>95</v>
      </c>
      <c r="I1387" s="2">
        <v>43990</v>
      </c>
      <c r="J1387" t="s">
        <v>184</v>
      </c>
      <c r="K1387" t="s">
        <v>197</v>
      </c>
      <c r="L1387">
        <v>10079</v>
      </c>
      <c r="M1387" t="s">
        <v>21</v>
      </c>
      <c r="N1387" t="str">
        <f>VLOOKUP(A1387, Data_Set_2!$A:$D,2,FALSE)</f>
        <v>rkimrh</v>
      </c>
      <c r="O1387" t="str">
        <f>VLOOKUP(A1387, Data_Set_2!$A:$D,3,FALSE)</f>
        <v>Skalith</v>
      </c>
      <c r="P1387" t="str">
        <f>VLOOKUP(A1387, Data_Set_2!$A:$D,4,FALSE)</f>
        <v>Environmental Tech</v>
      </c>
      <c r="Q1387" t="str">
        <f>_xlfn.CONCAT(Table3[[#This Row],[first_name]], " ",Table3[[#This Row],[last_name]])</f>
        <v>Rose Kim</v>
      </c>
    </row>
    <row r="1388" spans="1:17" x14ac:dyDescent="0.3">
      <c r="A1388">
        <v>990</v>
      </c>
      <c r="B1388" t="s">
        <v>366</v>
      </c>
      <c r="C1388" t="s">
        <v>367</v>
      </c>
      <c r="D1388" t="s">
        <v>368</v>
      </c>
      <c r="E1388" t="s">
        <v>32</v>
      </c>
      <c r="F1388" t="s">
        <v>17</v>
      </c>
      <c r="G1388" s="1">
        <v>305</v>
      </c>
      <c r="H1388" t="s">
        <v>95</v>
      </c>
      <c r="I1388" s="2">
        <v>44142</v>
      </c>
      <c r="J1388" t="s">
        <v>184</v>
      </c>
      <c r="K1388" t="s">
        <v>197</v>
      </c>
      <c r="L1388">
        <v>10079</v>
      </c>
      <c r="M1388" t="s">
        <v>21</v>
      </c>
      <c r="N1388" t="str">
        <f>VLOOKUP(A1388, Data_Set_2!$A:$D,2,FALSE)</f>
        <v>rkimrh</v>
      </c>
      <c r="O1388" t="str">
        <f>VLOOKUP(A1388, Data_Set_2!$A:$D,3,FALSE)</f>
        <v>Skalith</v>
      </c>
      <c r="P1388" t="str">
        <f>VLOOKUP(A1388, Data_Set_2!$A:$D,4,FALSE)</f>
        <v>Environmental Tech</v>
      </c>
      <c r="Q1388" t="str">
        <f>_xlfn.CONCAT(Table3[[#This Row],[first_name]], " ",Table3[[#This Row],[last_name]])</f>
        <v>Rose Kim</v>
      </c>
    </row>
    <row r="1389" spans="1:17" hidden="1" x14ac:dyDescent="0.3">
      <c r="A1389">
        <v>991</v>
      </c>
      <c r="B1389" t="s">
        <v>579</v>
      </c>
      <c r="C1389" t="s">
        <v>652</v>
      </c>
      <c r="D1389" t="s">
        <v>698</v>
      </c>
      <c r="E1389" t="s">
        <v>16</v>
      </c>
      <c r="F1389" t="s">
        <v>33</v>
      </c>
      <c r="G1389" s="1">
        <v>158</v>
      </c>
      <c r="H1389" t="s">
        <v>26</v>
      </c>
      <c r="I1389" s="2">
        <v>43636</v>
      </c>
      <c r="J1389" t="s">
        <v>27</v>
      </c>
      <c r="K1389" t="s">
        <v>215</v>
      </c>
      <c r="L1389">
        <v>80910</v>
      </c>
      <c r="M1389" t="s">
        <v>21</v>
      </c>
      <c r="N1389" t="str">
        <f>VLOOKUP(A1389, Data_Set_2!$A:$D,2,FALSE)</f>
        <v>ckellyri</v>
      </c>
      <c r="O1389" t="str">
        <f>VLOOKUP(A1389, Data_Set_2!$A:$D,3,FALSE)</f>
        <v>Yadel</v>
      </c>
      <c r="P1389" t="str">
        <f>VLOOKUP(A1389, Data_Set_2!$A:$D,4,FALSE)</f>
        <v>General Manager</v>
      </c>
      <c r="Q1389" t="str">
        <f>_xlfn.CONCAT(Table3[[#This Row],[first_name]], " ",Table3[[#This Row],[last_name]])</f>
        <v>Carlos Kelly</v>
      </c>
    </row>
    <row r="1390" spans="1:17" hidden="1" x14ac:dyDescent="0.3">
      <c r="A1390">
        <v>992</v>
      </c>
      <c r="B1390" t="s">
        <v>243</v>
      </c>
      <c r="C1390" t="s">
        <v>750</v>
      </c>
      <c r="D1390" t="s">
        <v>1260</v>
      </c>
      <c r="E1390" t="s">
        <v>16</v>
      </c>
      <c r="F1390" t="s">
        <v>33</v>
      </c>
      <c r="G1390" s="1">
        <v>613</v>
      </c>
      <c r="H1390" t="s">
        <v>18</v>
      </c>
      <c r="I1390" s="2">
        <v>44894</v>
      </c>
      <c r="J1390" t="s">
        <v>152</v>
      </c>
      <c r="K1390" t="s">
        <v>484</v>
      </c>
      <c r="L1390">
        <v>45454</v>
      </c>
      <c r="M1390" t="s">
        <v>21</v>
      </c>
      <c r="N1390" t="str">
        <f>VLOOKUP(A1390, Data_Set_2!$A:$D,2,FALSE)</f>
        <v>pbaileyrj</v>
      </c>
      <c r="O1390" t="str">
        <f>VLOOKUP(A1390, Data_Set_2!$A:$D,3,FALSE)</f>
        <v>Meedoo</v>
      </c>
      <c r="P1390" t="str">
        <f>VLOOKUP(A1390, Data_Set_2!$A:$D,4,FALSE)</f>
        <v>Research Nurse</v>
      </c>
      <c r="Q1390" t="str">
        <f>_xlfn.CONCAT(Table3[[#This Row],[first_name]], " ",Table3[[#This Row],[last_name]])</f>
        <v>Peter Bailey</v>
      </c>
    </row>
    <row r="1391" spans="1:17" x14ac:dyDescent="0.3">
      <c r="A1391">
        <v>993</v>
      </c>
      <c r="B1391" t="s">
        <v>439</v>
      </c>
      <c r="C1391" t="s">
        <v>440</v>
      </c>
      <c r="D1391" t="s">
        <v>441</v>
      </c>
      <c r="E1391" t="s">
        <v>32</v>
      </c>
      <c r="F1391" t="s">
        <v>25</v>
      </c>
      <c r="G1391" s="1">
        <v>547</v>
      </c>
      <c r="H1391" t="s">
        <v>95</v>
      </c>
      <c r="I1391" s="2">
        <v>43321</v>
      </c>
      <c r="J1391" t="s">
        <v>41</v>
      </c>
      <c r="K1391" t="s">
        <v>442</v>
      </c>
      <c r="L1391">
        <v>40505</v>
      </c>
      <c r="M1391" t="s">
        <v>21</v>
      </c>
      <c r="N1391" t="str">
        <f>VLOOKUP(A1391, Data_Set_2!$A:$D,2,FALSE)</f>
        <v>jkelleyrk</v>
      </c>
      <c r="O1391" t="str">
        <f>VLOOKUP(A1391, Data_Set_2!$A:$D,3,FALSE)</f>
        <v>Skinder</v>
      </c>
      <c r="P1391" t="str">
        <f>VLOOKUP(A1391, Data_Set_2!$A:$D,4,FALSE)</f>
        <v>Community Outreach Specialist</v>
      </c>
      <c r="Q1391" t="str">
        <f>_xlfn.CONCAT(Table3[[#This Row],[first_name]], " ",Table3[[#This Row],[last_name]])</f>
        <v>Jean Kelley</v>
      </c>
    </row>
    <row r="1392" spans="1:17" hidden="1" x14ac:dyDescent="0.3">
      <c r="A1392">
        <v>995</v>
      </c>
      <c r="B1392" t="s">
        <v>313</v>
      </c>
      <c r="C1392" t="s">
        <v>314</v>
      </c>
      <c r="D1392" t="s">
        <v>315</v>
      </c>
      <c r="E1392" t="s">
        <v>16</v>
      </c>
      <c r="F1392" t="s">
        <v>33</v>
      </c>
      <c r="G1392" s="1">
        <v>792</v>
      </c>
      <c r="H1392" t="s">
        <v>34</v>
      </c>
      <c r="I1392" s="2">
        <v>43227</v>
      </c>
      <c r="J1392" t="s">
        <v>74</v>
      </c>
      <c r="K1392" t="s">
        <v>201</v>
      </c>
      <c r="L1392">
        <v>30605</v>
      </c>
      <c r="M1392" t="s">
        <v>21</v>
      </c>
      <c r="N1392" t="str">
        <f>VLOOKUP(A1392, Data_Set_2!$A:$D,2,FALSE)</f>
        <v>hpiercerm</v>
      </c>
      <c r="O1392" t="str">
        <f>VLOOKUP(A1392, Data_Set_2!$A:$D,3,FALSE)</f>
        <v>Zava</v>
      </c>
      <c r="P1392" t="str">
        <f>VLOOKUP(A1392, Data_Set_2!$A:$D,4,FALSE)</f>
        <v>Internal Auditor</v>
      </c>
      <c r="Q1392" t="str">
        <f>_xlfn.CONCAT(Table3[[#This Row],[first_name]], " ",Table3[[#This Row],[last_name]])</f>
        <v>Henry Pierce</v>
      </c>
    </row>
    <row r="1393" spans="1:17" hidden="1" x14ac:dyDescent="0.3">
      <c r="A1393">
        <v>996</v>
      </c>
      <c r="B1393" t="s">
        <v>661</v>
      </c>
      <c r="C1393" t="s">
        <v>236</v>
      </c>
      <c r="D1393" t="s">
        <v>662</v>
      </c>
      <c r="E1393" t="s">
        <v>16</v>
      </c>
      <c r="F1393" t="s">
        <v>33</v>
      </c>
      <c r="G1393" s="1">
        <v>310</v>
      </c>
      <c r="H1393" t="s">
        <v>62</v>
      </c>
      <c r="I1393" s="2">
        <v>43578</v>
      </c>
      <c r="J1393" t="s">
        <v>393</v>
      </c>
      <c r="K1393" t="s">
        <v>578</v>
      </c>
      <c r="L1393">
        <v>38168</v>
      </c>
      <c r="M1393" t="s">
        <v>21</v>
      </c>
      <c r="N1393" t="str">
        <f>VLOOKUP(A1393, Data_Set_2!$A:$D,2,FALSE)</f>
        <v>wclarkrn</v>
      </c>
      <c r="O1393" t="str">
        <f>VLOOKUP(A1393, Data_Set_2!$A:$D,3,FALSE)</f>
        <v>Photojam</v>
      </c>
      <c r="P1393" t="str">
        <f>VLOOKUP(A1393, Data_Set_2!$A:$D,4,FALSE)</f>
        <v>Senior Editor</v>
      </c>
      <c r="Q1393" t="str">
        <f>_xlfn.CONCAT(Table3[[#This Row],[first_name]], " ",Table3[[#This Row],[last_name]])</f>
        <v>Walter Clark</v>
      </c>
    </row>
    <row r="1394" spans="1:17" hidden="1" x14ac:dyDescent="0.3">
      <c r="A1394">
        <v>998</v>
      </c>
      <c r="B1394" t="s">
        <v>92</v>
      </c>
      <c r="C1394" t="s">
        <v>612</v>
      </c>
      <c r="D1394" t="s">
        <v>882</v>
      </c>
      <c r="E1394" t="s">
        <v>16</v>
      </c>
      <c r="F1394" t="s">
        <v>361</v>
      </c>
      <c r="G1394" s="1">
        <v>814</v>
      </c>
      <c r="H1394" t="s">
        <v>26</v>
      </c>
      <c r="I1394" s="2">
        <v>43945</v>
      </c>
      <c r="J1394" t="s">
        <v>220</v>
      </c>
      <c r="K1394" t="s">
        <v>221</v>
      </c>
      <c r="L1394">
        <v>98405</v>
      </c>
      <c r="M1394" t="s">
        <v>21</v>
      </c>
      <c r="N1394" t="str">
        <f>VLOOKUP(A1394, Data_Set_2!$A:$D,2,FALSE)</f>
        <v>rgonzalezrp</v>
      </c>
      <c r="O1394" t="str">
        <f>VLOOKUP(A1394, Data_Set_2!$A:$D,3,FALSE)</f>
        <v>Podcat</v>
      </c>
      <c r="P1394" t="str">
        <f>VLOOKUP(A1394, Data_Set_2!$A:$D,4,FALSE)</f>
        <v>Programmer IV</v>
      </c>
      <c r="Q1394" t="str">
        <f>_xlfn.CONCAT(Table3[[#This Row],[first_name]], " ",Table3[[#This Row],[last_name]])</f>
        <v>Ralph Gonzalez</v>
      </c>
    </row>
    <row r="1395" spans="1:17" hidden="1" x14ac:dyDescent="0.3">
      <c r="A1395">
        <v>999</v>
      </c>
      <c r="B1395" t="s">
        <v>1130</v>
      </c>
      <c r="C1395" t="s">
        <v>167</v>
      </c>
      <c r="D1395" t="s">
        <v>1131</v>
      </c>
      <c r="E1395" t="s">
        <v>16</v>
      </c>
      <c r="F1395" t="s">
        <v>33</v>
      </c>
      <c r="G1395" s="1">
        <v>803</v>
      </c>
      <c r="H1395" t="s">
        <v>26</v>
      </c>
      <c r="I1395" s="2">
        <v>44544</v>
      </c>
      <c r="J1395" t="s">
        <v>704</v>
      </c>
      <c r="K1395" t="s">
        <v>705</v>
      </c>
      <c r="L1395">
        <v>73197</v>
      </c>
      <c r="M1395" t="s">
        <v>21</v>
      </c>
      <c r="N1395" t="str">
        <f>VLOOKUP(A1395, Data_Set_2!$A:$D,2,FALSE)</f>
        <v>rmeyerrq</v>
      </c>
      <c r="O1395" t="str">
        <f>VLOOKUP(A1395, Data_Set_2!$A:$D,3,FALSE)</f>
        <v>Youfeed</v>
      </c>
      <c r="P1395" t="str">
        <f>VLOOKUP(A1395, Data_Set_2!$A:$D,4,FALSE)</f>
        <v>Nurse Practicioner</v>
      </c>
      <c r="Q1395" t="str">
        <f>_xlfn.CONCAT(Table3[[#This Row],[first_name]], " ",Table3[[#This Row],[last_name]])</f>
        <v>Randy Meyer</v>
      </c>
    </row>
    <row r="1396" spans="1:17" hidden="1" x14ac:dyDescent="0.3">
      <c r="A1396">
        <v>1000</v>
      </c>
      <c r="B1396" t="s">
        <v>775</v>
      </c>
      <c r="C1396" t="s">
        <v>1022</v>
      </c>
      <c r="D1396" t="s">
        <v>1023</v>
      </c>
      <c r="E1396" t="s">
        <v>16</v>
      </c>
      <c r="F1396" t="s">
        <v>17</v>
      </c>
      <c r="G1396" s="1">
        <v>38</v>
      </c>
      <c r="H1396" t="s">
        <v>34</v>
      </c>
      <c r="I1396" s="2">
        <v>44279</v>
      </c>
      <c r="J1396" t="s">
        <v>35</v>
      </c>
      <c r="K1396" t="s">
        <v>129</v>
      </c>
      <c r="L1396">
        <v>93726</v>
      </c>
      <c r="M1396" t="s">
        <v>21</v>
      </c>
      <c r="N1396" t="str">
        <f>VLOOKUP(A1396, Data_Set_2!$A:$D,2,FALSE)</f>
        <v>jwatsonrr</v>
      </c>
      <c r="O1396" t="str">
        <f>VLOOKUP(A1396, Data_Set_2!$A:$D,3,FALSE)</f>
        <v>Buzzbean</v>
      </c>
      <c r="P1396" t="str">
        <f>VLOOKUP(A1396, Data_Set_2!$A:$D,4,FALSE)</f>
        <v>Safety Technician I</v>
      </c>
      <c r="Q1396" t="str">
        <f>_xlfn.CONCAT(Table3[[#This Row],[first_name]], " ",Table3[[#This Row],[last_name]])</f>
        <v>Jeffrey Watson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56931-DDEE-43C6-9B78-7FF35BE97429}">
  <dimension ref="A1:J18"/>
  <sheetViews>
    <sheetView workbookViewId="0">
      <selection activeCell="K1" sqref="K1"/>
    </sheetView>
  </sheetViews>
  <sheetFormatPr defaultRowHeight="14.4" x14ac:dyDescent="0.3"/>
  <cols>
    <col min="1" max="1" width="8.88671875" customWidth="1"/>
    <col min="2" max="2" width="22" customWidth="1"/>
    <col min="3" max="3" width="17.5546875" bestFit="1" customWidth="1"/>
    <col min="6" max="6" width="19.44140625" bestFit="1" customWidth="1"/>
    <col min="8" max="8" width="22" bestFit="1" customWidth="1"/>
    <col min="9" max="10" width="12.21875" bestFit="1" customWidth="1"/>
  </cols>
  <sheetData>
    <row r="1" spans="1:10" x14ac:dyDescent="0.3">
      <c r="A1" s="3" t="s">
        <v>4067</v>
      </c>
      <c r="B1" t="s">
        <v>4599</v>
      </c>
      <c r="C1" t="s">
        <v>4611</v>
      </c>
      <c r="D1" s="3" t="s">
        <v>4601</v>
      </c>
      <c r="E1" t="s">
        <v>4600</v>
      </c>
      <c r="F1" t="s">
        <v>4610</v>
      </c>
      <c r="G1" s="3" t="s">
        <v>4602</v>
      </c>
      <c r="H1" t="s">
        <v>5</v>
      </c>
      <c r="I1" t="s">
        <v>16</v>
      </c>
      <c r="J1" t="s">
        <v>32</v>
      </c>
    </row>
    <row r="2" spans="1:10" x14ac:dyDescent="0.3">
      <c r="B2" t="s">
        <v>33</v>
      </c>
      <c r="C2">
        <f>COUNTIF(Worksheet!$B:$B,B2)</f>
        <v>295</v>
      </c>
      <c r="E2" t="s">
        <v>32</v>
      </c>
      <c r="F2">
        <f>COUNTIF(Worksheet!$C:$C,E2)</f>
        <v>281</v>
      </c>
      <c r="H2" t="s">
        <v>33</v>
      </c>
      <c r="I2" s="5">
        <f>SUMIFS(Worksheet!$D:$D,Worksheet!$B:$B,Table5[[#This Row],[Race]],Worksheet!$C:$C,Table5[[#Headers],[Male]])</f>
        <v>185388</v>
      </c>
      <c r="J2" s="5">
        <f>SUMIFS(Worksheet!$D:$D,Worksheet!$B:$B,Table5[[#This Row],[Race]],Worksheet!$C:$C,Table5[[#Headers],[Female]])</f>
        <v>110592</v>
      </c>
    </row>
    <row r="3" spans="1:10" x14ac:dyDescent="0.3">
      <c r="B3" t="s">
        <v>17</v>
      </c>
      <c r="C3">
        <f>COUNTIF(Worksheet!$B:$B,B3)</f>
        <v>122</v>
      </c>
      <c r="E3" t="s">
        <v>16</v>
      </c>
      <c r="F3">
        <f>COUNTIF(Worksheet!$C:$C,E3)</f>
        <v>277</v>
      </c>
      <c r="H3" t="s">
        <v>17</v>
      </c>
      <c r="I3" s="5">
        <f>SUMIFS(Worksheet!$D:$D,Worksheet!$B:$B,Table5[[#This Row],[Race]],Worksheet!$C:$C,Table5[[#Headers],[Male]])</f>
        <v>88376</v>
      </c>
      <c r="J3" s="5">
        <f>SUMIFS(Worksheet!$D:$D,Worksheet!$B:$B,Table5[[#This Row],[Race]],Worksheet!$C:$C,Table5[[#Headers],[Female]])</f>
        <v>97666</v>
      </c>
    </row>
    <row r="4" spans="1:10" x14ac:dyDescent="0.3">
      <c r="B4" t="s">
        <v>454</v>
      </c>
      <c r="C4">
        <f>COUNTIF(Worksheet!$B:$B,B4)</f>
        <v>4</v>
      </c>
      <c r="H4" t="s">
        <v>454</v>
      </c>
      <c r="I4" s="5">
        <f>SUMIFS(Worksheet!$D:$D,Worksheet!$B:$B,Table5[[#This Row],[Race]],Worksheet!$C:$C,Table5[[#Headers],[Male]])</f>
        <v>197</v>
      </c>
      <c r="J4" s="5">
        <f>SUMIFS(Worksheet!$D:$D,Worksheet!$B:$B,Table5[[#This Row],[Race]],Worksheet!$C:$C,Table5[[#Headers],[Female]])</f>
        <v>2544</v>
      </c>
    </row>
    <row r="5" spans="1:10" x14ac:dyDescent="0.3">
      <c r="B5" t="s">
        <v>25</v>
      </c>
      <c r="C5">
        <f>COUNTIF(Worksheet!$B:$B,B5)</f>
        <v>82</v>
      </c>
      <c r="H5" t="s">
        <v>25</v>
      </c>
      <c r="I5" s="5">
        <f>SUMIFS(Worksheet!$D:$D,Worksheet!$B:$B,Table5[[#This Row],[Race]],Worksheet!$C:$C,Table5[[#Headers],[Male]])</f>
        <v>71354</v>
      </c>
      <c r="J5" s="5">
        <f>SUMIFS(Worksheet!$D:$D,Worksheet!$B:$B,Table5[[#This Row],[Race]],Worksheet!$C:$C,Table5[[#Headers],[Female]])</f>
        <v>45119</v>
      </c>
    </row>
    <row r="6" spans="1:10" x14ac:dyDescent="0.3">
      <c r="B6" t="s">
        <v>51</v>
      </c>
      <c r="C6">
        <f>COUNTIF(Worksheet!$B:$B,B6)</f>
        <v>34</v>
      </c>
      <c r="H6" t="s">
        <v>51</v>
      </c>
      <c r="I6" s="5">
        <f>SUMIFS(Worksheet!$D:$D,Worksheet!$B:$B,Table5[[#This Row],[Race]],Worksheet!$C:$C,Table5[[#Headers],[Male]])</f>
        <v>45235</v>
      </c>
      <c r="J6" s="5">
        <f>SUMIFS(Worksheet!$D:$D,Worksheet!$B:$B,Table5[[#This Row],[Race]],Worksheet!$C:$C,Table5[[#Headers],[Female]])</f>
        <v>34993</v>
      </c>
    </row>
    <row r="7" spans="1:10" x14ac:dyDescent="0.3">
      <c r="B7" t="s">
        <v>361</v>
      </c>
      <c r="C7">
        <f>COUNTIF(Worksheet!$B:$B,B7)</f>
        <v>3</v>
      </c>
      <c r="H7" t="s">
        <v>361</v>
      </c>
      <c r="I7" s="5">
        <f>SUMIFS(Worksheet!$D:$D,Worksheet!$B:$B,Table5[[#This Row],[Race]],Worksheet!$C:$C,Table5[[#Headers],[Male]])</f>
        <v>909</v>
      </c>
      <c r="J7" s="5">
        <f>SUMIFS(Worksheet!$D:$D,Worksheet!$B:$B,Table5[[#This Row],[Race]],Worksheet!$C:$C,Table5[[#Headers],[Female]])</f>
        <v>8503</v>
      </c>
    </row>
    <row r="8" spans="1:10" x14ac:dyDescent="0.3">
      <c r="B8" t="s">
        <v>280</v>
      </c>
      <c r="C8">
        <f>COUNTIF(Worksheet!$B:$B,B8)</f>
        <v>2</v>
      </c>
      <c r="H8" t="s">
        <v>280</v>
      </c>
      <c r="I8" s="5">
        <f>SUMIFS(Worksheet!$D:$D,Worksheet!$B:$B,Table5[[#This Row],[Race]],Worksheet!$C:$C,Table5[[#Headers],[Male]])</f>
        <v>3831</v>
      </c>
      <c r="J8" s="5">
        <f>SUMIFS(Worksheet!$D:$D,Worksheet!$B:$B,Table5[[#This Row],[Race]],Worksheet!$C:$C,Table5[[#Headers],[Female]])</f>
        <v>0</v>
      </c>
    </row>
    <row r="9" spans="1:10" x14ac:dyDescent="0.3">
      <c r="B9" t="s">
        <v>274</v>
      </c>
      <c r="C9">
        <f>COUNTIF(Worksheet!$B:$B,B9)</f>
        <v>4</v>
      </c>
      <c r="H9" t="s">
        <v>274</v>
      </c>
      <c r="I9" s="5">
        <f>SUMIFS(Worksheet!$D:$D,Worksheet!$B:$B,Table5[[#This Row],[Race]],Worksheet!$C:$C,Table5[[#Headers],[Male]])</f>
        <v>2574</v>
      </c>
      <c r="J9" s="5">
        <f>SUMIFS(Worksheet!$D:$D,Worksheet!$B:$B,Table5[[#This Row],[Race]],Worksheet!$C:$C,Table5[[#Headers],[Female]])</f>
        <v>1503</v>
      </c>
    </row>
    <row r="10" spans="1:10" x14ac:dyDescent="0.3">
      <c r="B10" t="s">
        <v>553</v>
      </c>
      <c r="C10">
        <f>COUNTIF(Worksheet!$B:$B,B10)</f>
        <v>5</v>
      </c>
      <c r="H10" t="s">
        <v>553</v>
      </c>
      <c r="I10" s="5">
        <f>SUMIFS(Worksheet!$D:$D,Worksheet!$B:$B,Table5[[#This Row],[Race]],Worksheet!$C:$C,Table5[[#Headers],[Male]])</f>
        <v>3145</v>
      </c>
      <c r="J10" s="5">
        <f>SUMIFS(Worksheet!$D:$D,Worksheet!$B:$B,Table5[[#This Row],[Race]],Worksheet!$C:$C,Table5[[#Headers],[Female]])</f>
        <v>1633</v>
      </c>
    </row>
    <row r="11" spans="1:10" x14ac:dyDescent="0.3">
      <c r="B11" t="s">
        <v>151</v>
      </c>
      <c r="C11">
        <f>COUNTIF(Worksheet!$B:$B,B11)</f>
        <v>2</v>
      </c>
      <c r="H11" t="s">
        <v>151</v>
      </c>
      <c r="I11" s="5">
        <f>SUMIFS(Worksheet!$D:$D,Worksheet!$B:$B,Table5[[#This Row],[Race]],Worksheet!$C:$C,Table5[[#Headers],[Male]])</f>
        <v>614</v>
      </c>
      <c r="J11" s="5">
        <f>SUMIFS(Worksheet!$D:$D,Worksheet!$B:$B,Table5[[#This Row],[Race]],Worksheet!$C:$C,Table5[[#Headers],[Female]])</f>
        <v>1338</v>
      </c>
    </row>
    <row r="12" spans="1:10" x14ac:dyDescent="0.3">
      <c r="B12" t="s">
        <v>406</v>
      </c>
      <c r="C12">
        <f>COUNTIF(Worksheet!$B:$B,B12)</f>
        <v>2</v>
      </c>
      <c r="H12" t="s">
        <v>406</v>
      </c>
      <c r="I12" s="5">
        <f>SUMIFS(Worksheet!$D:$D,Worksheet!$B:$B,Table5[[#This Row],[Race]],Worksheet!$C:$C,Table5[[#Headers],[Male]])</f>
        <v>0</v>
      </c>
      <c r="J12" s="5">
        <f>SUMIFS(Worksheet!$D:$D,Worksheet!$B:$B,Table5[[#This Row],[Race]],Worksheet!$C:$C,Table5[[#Headers],[Female]])</f>
        <v>1407</v>
      </c>
    </row>
    <row r="13" spans="1:10" x14ac:dyDescent="0.3">
      <c r="B13" t="s">
        <v>543</v>
      </c>
      <c r="C13">
        <f>COUNTIF(Worksheet!$B:$B,B13)</f>
        <v>1</v>
      </c>
      <c r="H13" t="s">
        <v>543</v>
      </c>
      <c r="I13" s="5">
        <f>SUMIFS(Worksheet!$D:$D,Worksheet!$B:$B,Table5[[#This Row],[Race]],Worksheet!$C:$C,Table5[[#Headers],[Male]])</f>
        <v>0</v>
      </c>
      <c r="J13" s="5">
        <f>SUMIFS(Worksheet!$D:$D,Worksheet!$B:$B,Table5[[#This Row],[Race]],Worksheet!$C:$C,Table5[[#Headers],[Female]])</f>
        <v>3263</v>
      </c>
    </row>
    <row r="14" spans="1:10" x14ac:dyDescent="0.3">
      <c r="B14" t="s">
        <v>179</v>
      </c>
      <c r="C14">
        <f>COUNTIF(Worksheet!$B:$B,B14)</f>
        <v>2</v>
      </c>
      <c r="H14" t="s">
        <v>179</v>
      </c>
      <c r="I14" s="5">
        <f>SUMIFS(Worksheet!$D:$D,Worksheet!$B:$B,Table5[[#This Row],[Race]],Worksheet!$C:$C,Table5[[#Headers],[Male]])</f>
        <v>0</v>
      </c>
      <c r="J14" s="5">
        <f>SUMIFS(Worksheet!$D:$D,Worksheet!$B:$B,Table5[[#This Row],[Race]],Worksheet!$C:$C,Table5[[#Headers],[Female]])</f>
        <v>5614</v>
      </c>
    </row>
    <row r="16" spans="1:10" x14ac:dyDescent="0.3">
      <c r="A16" s="3" t="s">
        <v>4604</v>
      </c>
      <c r="B16" s="3"/>
    </row>
    <row r="18" spans="3:3" x14ac:dyDescent="0.3">
      <c r="C18" s="3" t="s">
        <v>4619</v>
      </c>
    </row>
  </sheetData>
  <conditionalFormatting sqref="I2:J14">
    <cfRule type="colorScale" priority="1">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0A7EA-7827-4B90-966A-342268727593}">
  <dimension ref="A1:H10"/>
  <sheetViews>
    <sheetView workbookViewId="0">
      <selection activeCell="H2" sqref="H2"/>
    </sheetView>
  </sheetViews>
  <sheetFormatPr defaultRowHeight="14.4" x14ac:dyDescent="0.3"/>
  <cols>
    <col min="1" max="1" width="11.33203125" customWidth="1"/>
    <col min="2" max="2" width="29" bestFit="1" customWidth="1"/>
    <col min="3" max="3" width="21.33203125" bestFit="1" customWidth="1"/>
    <col min="5" max="5" width="32.6640625" bestFit="1" customWidth="1"/>
    <col min="6" max="6" width="26.33203125" bestFit="1" customWidth="1"/>
    <col min="8" max="8" width="18.21875" bestFit="1" customWidth="1"/>
  </cols>
  <sheetData>
    <row r="1" spans="1:8" x14ac:dyDescent="0.3">
      <c r="A1" s="3" t="s">
        <v>4605</v>
      </c>
      <c r="B1" t="s">
        <v>4612</v>
      </c>
      <c r="C1" t="s">
        <v>4613</v>
      </c>
      <c r="D1" s="3" t="s">
        <v>4607</v>
      </c>
      <c r="E1" t="s">
        <v>4614</v>
      </c>
      <c r="F1" t="s">
        <v>4615</v>
      </c>
      <c r="G1" s="3" t="s">
        <v>4608</v>
      </c>
      <c r="H1" t="s">
        <v>4609</v>
      </c>
    </row>
    <row r="2" spans="1:8" x14ac:dyDescent="0.3">
      <c r="B2" t="str">
        <f>INDEX(Worksheet!$A:$A,MATCH(LARGE(Worksheet!$E:$E,1),Worksheet!$E:$E,0))</f>
        <v>Kenneth Perry</v>
      </c>
      <c r="C2">
        <f>VLOOKUP(B2,Worksheet!$A:$E,5,FALSE)</f>
        <v>150</v>
      </c>
      <c r="E2" t="str">
        <f>INDEX(Worksheet!$A:$A,MATCH(LARGE(Worksheet!$D:$D,1),Worksheet!$D:$D,0))</f>
        <v>Kenneth Perry</v>
      </c>
      <c r="F2" s="4">
        <f>VLOOKUP(E2,Worksheet!$A:$E,4,FALSE)</f>
        <v>78731</v>
      </c>
      <c r="H2" t="str">
        <f>_xlfn.XLOOKUP(E2,'Part A'!$Q:$Q,'Part A'!$H:$H,0,0,1)</f>
        <v>jcb</v>
      </c>
    </row>
    <row r="3" spans="1:8" x14ac:dyDescent="0.3">
      <c r="B3" t="str">
        <f>INDEX(Worksheet!$A:$A,MATCH(LARGE(Worksheet!$E:$E,2),Worksheet!$E:$E,0))</f>
        <v>Brandon Jacobs</v>
      </c>
      <c r="C3">
        <f>VLOOKUP(B3,Worksheet!$A:$E,5,FALSE)</f>
        <v>49</v>
      </c>
      <c r="E3" t="str">
        <f>INDEX(Worksheet!$A:$A,MATCH(LARGE(Worksheet!$D:$D,2),Worksheet!$D:$D,0))</f>
        <v>Brandon Jacobs</v>
      </c>
      <c r="F3" s="4">
        <f>VLOOKUP(E3,Worksheet!$A:$E,4,FALSE)</f>
        <v>27535</v>
      </c>
      <c r="H3" t="str">
        <f>_xlfn.XLOOKUP(E3,'Part A'!$Q:$Q,'Part A'!$H:$H,0,0,1)</f>
        <v>maestro</v>
      </c>
    </row>
    <row r="4" spans="1:8" x14ac:dyDescent="0.3">
      <c r="B4" t="str">
        <f>INDEX(Worksheet!$A:$A,MATCH(LARGE(Worksheet!$E:$E,3),Worksheet!$E:$E,0))</f>
        <v>Brandon Hawkins</v>
      </c>
      <c r="C4">
        <f>VLOOKUP(B4,Worksheet!$A:$E,5,FALSE)</f>
        <v>33</v>
      </c>
      <c r="E4" t="str">
        <f>INDEX(Worksheet!$A:$A,MATCH(LARGE(Worksheet!$D:$D,3),Worksheet!$D:$D,0))</f>
        <v>Brandon Hawkins</v>
      </c>
      <c r="F4" s="4">
        <f>VLOOKUP(E4,Worksheet!$A:$E,4,FALSE)</f>
        <v>16474</v>
      </c>
      <c r="H4" t="str">
        <f>_xlfn.XLOOKUP(E4,'Part A'!$Q:$Q,'Part A'!$H:$H,0,0,1)</f>
        <v>jcb</v>
      </c>
    </row>
    <row r="5" spans="1:8" x14ac:dyDescent="0.3">
      <c r="B5" t="str">
        <f>INDEX(Worksheet!$A:$A,MATCH(LARGE(Worksheet!$E:$E,4),Worksheet!$E:$E,0))</f>
        <v>Janet Bradley</v>
      </c>
      <c r="C5">
        <f>VLOOKUP(B5,Worksheet!$A:$E,5,FALSE)</f>
        <v>26</v>
      </c>
      <c r="E5" t="str">
        <f>INDEX(Worksheet!$A:$A,MATCH(LARGE(Worksheet!$D:$D,4),Worksheet!$D:$D,0))</f>
        <v>Janet Bradley</v>
      </c>
      <c r="F5" s="4">
        <f>VLOOKUP(E5,Worksheet!$A:$E,4,FALSE)</f>
        <v>14270</v>
      </c>
      <c r="H5" t="str">
        <f>_xlfn.XLOOKUP(E5,'Part A'!$Q:$Q,'Part A'!$H:$H,0,0,1)</f>
        <v>solo</v>
      </c>
    </row>
    <row r="6" spans="1:8" x14ac:dyDescent="0.3">
      <c r="B6" t="str">
        <f>INDEX(Worksheet!$A:$A,MATCH(LARGE(Worksheet!$E:$E,5),Worksheet!$E:$E,0))</f>
        <v>Phillip Simpson</v>
      </c>
      <c r="C6">
        <f>VLOOKUP(B6,Worksheet!$A:$E,5,FALSE)</f>
        <v>23</v>
      </c>
      <c r="E6" t="str">
        <f>INDEX(Worksheet!$A:$A,MATCH(LARGE(Worksheet!$D:$D,5),Worksheet!$D:$D,0))</f>
        <v>Phillip Simpson</v>
      </c>
      <c r="F6" s="4">
        <f>VLOOKUP(E6,Worksheet!$A:$E,4,FALSE)</f>
        <v>11365</v>
      </c>
      <c r="H6" t="str">
        <f>_xlfn.XLOOKUP(E6,'Part A'!$Q:$Q,'Part A'!$H:$H,0,0,1)</f>
        <v>jcb</v>
      </c>
    </row>
    <row r="10" spans="1:8" x14ac:dyDescent="0.3">
      <c r="A10" s="3" t="s">
        <v>4604</v>
      </c>
      <c r="B1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5C0A2-A6AB-4A37-A403-CE0D6AEB2806}">
  <dimension ref="A1:S1284"/>
  <sheetViews>
    <sheetView workbookViewId="0">
      <selection activeCell="D19" sqref="D19"/>
    </sheetView>
  </sheetViews>
  <sheetFormatPr defaultRowHeight="14.4" x14ac:dyDescent="0.3"/>
  <cols>
    <col min="1" max="1" width="5" bestFit="1" customWidth="1"/>
    <col min="2" max="2" width="12" bestFit="1" customWidth="1"/>
    <col min="3" max="3" width="11.77734375" bestFit="1" customWidth="1"/>
    <col min="4" max="4" width="31.109375" bestFit="1" customWidth="1"/>
    <col min="5" max="5" width="14.109375" bestFit="1" customWidth="1"/>
    <col min="6" max="6" width="16.21875" bestFit="1" customWidth="1"/>
    <col min="7" max="7" width="32.77734375" bestFit="1" customWidth="1"/>
    <col min="9" max="9" width="41.33203125" bestFit="1" customWidth="1"/>
    <col min="10" max="10" width="10.88671875" bestFit="1" customWidth="1"/>
    <col min="11" max="11" width="22.44140625" bestFit="1" customWidth="1"/>
    <col min="12" max="12" width="10.33203125" bestFit="1" customWidth="1"/>
    <col min="13" max="13" width="16.77734375" bestFit="1" customWidth="1"/>
    <col min="14" max="14" width="21.5546875" bestFit="1" customWidth="1"/>
    <col min="15" max="15" width="12.77734375" bestFit="1" customWidth="1"/>
    <col min="16" max="16" width="11.5546875" bestFit="1" customWidth="1"/>
    <col min="17" max="17" width="9.77734375" bestFit="1" customWidth="1"/>
    <col min="18" max="18" width="9.6640625" bestFit="1" customWidth="1"/>
    <col min="19" max="19" width="6.88671875" bestFit="1" customWidth="1"/>
  </cols>
  <sheetData>
    <row r="1" spans="1:19" x14ac:dyDescent="0.3">
      <c r="A1" t="s">
        <v>1271</v>
      </c>
      <c r="B1" t="s">
        <v>1</v>
      </c>
      <c r="C1" t="s">
        <v>2</v>
      </c>
      <c r="D1" t="s">
        <v>3</v>
      </c>
      <c r="E1" t="s">
        <v>1272</v>
      </c>
      <c r="F1" t="s">
        <v>1273</v>
      </c>
      <c r="G1" t="s">
        <v>1274</v>
      </c>
      <c r="H1" t="s">
        <v>4</v>
      </c>
      <c r="I1" t="s">
        <v>5</v>
      </c>
      <c r="J1" t="s">
        <v>6</v>
      </c>
      <c r="K1" t="s">
        <v>7</v>
      </c>
      <c r="L1" t="s">
        <v>8</v>
      </c>
      <c r="M1" t="s">
        <v>9</v>
      </c>
      <c r="N1" t="s">
        <v>10</v>
      </c>
      <c r="O1" t="s">
        <v>11</v>
      </c>
      <c r="P1" t="s">
        <v>12</v>
      </c>
      <c r="Q1" t="s">
        <v>4616</v>
      </c>
      <c r="R1" t="s">
        <v>4617</v>
      </c>
      <c r="S1" t="s">
        <v>4618</v>
      </c>
    </row>
    <row r="2" spans="1:19" x14ac:dyDescent="0.3">
      <c r="A2">
        <v>1021</v>
      </c>
      <c r="B2" t="s">
        <v>495</v>
      </c>
      <c r="C2" t="s">
        <v>567</v>
      </c>
      <c r="D2" t="s">
        <v>2795</v>
      </c>
      <c r="E2" t="s">
        <v>2796</v>
      </c>
      <c r="F2" t="s">
        <v>1330</v>
      </c>
      <c r="G2" t="s">
        <v>1863</v>
      </c>
      <c r="H2" t="s">
        <v>32</v>
      </c>
      <c r="I2" t="s">
        <v>17</v>
      </c>
      <c r="J2">
        <v>755</v>
      </c>
      <c r="K2" t="s">
        <v>164</v>
      </c>
      <c r="L2" s="2">
        <v>43101</v>
      </c>
      <c r="M2" t="s">
        <v>78</v>
      </c>
      <c r="N2" t="s">
        <v>2797</v>
      </c>
      <c r="O2">
        <v>48555</v>
      </c>
      <c r="P2" t="s">
        <v>21</v>
      </c>
      <c r="Q2" t="str">
        <f>TEXT(Data_Set_3[[#This Row],[date]],"mmmm")</f>
        <v>January</v>
      </c>
      <c r="R2">
        <f>MONTH(Data_Set_3[[#This Row],[date]])</f>
        <v>1</v>
      </c>
      <c r="S2">
        <f>YEAR(Data_Set_3[[#This Row],[date]])</f>
        <v>2018</v>
      </c>
    </row>
    <row r="3" spans="1:19" x14ac:dyDescent="0.3">
      <c r="A3">
        <v>1772</v>
      </c>
      <c r="B3" t="s">
        <v>384</v>
      </c>
      <c r="C3" t="s">
        <v>713</v>
      </c>
      <c r="D3" t="s">
        <v>2798</v>
      </c>
      <c r="E3" t="s">
        <v>2799</v>
      </c>
      <c r="F3" t="s">
        <v>1515</v>
      </c>
      <c r="G3" t="s">
        <v>2078</v>
      </c>
      <c r="H3" t="s">
        <v>16</v>
      </c>
      <c r="I3" t="s">
        <v>25</v>
      </c>
      <c r="J3">
        <v>390</v>
      </c>
      <c r="K3" t="s">
        <v>26</v>
      </c>
      <c r="L3" s="2">
        <v>43101</v>
      </c>
      <c r="M3" t="s">
        <v>35</v>
      </c>
      <c r="N3" t="s">
        <v>1253</v>
      </c>
      <c r="O3">
        <v>93407</v>
      </c>
      <c r="P3" t="s">
        <v>21</v>
      </c>
      <c r="Q3" t="str">
        <f>TEXT(Data_Set_3[[#This Row],[date]],"mmmm")</f>
        <v>January</v>
      </c>
      <c r="R3">
        <f>MONTH(Data_Set_3[[#This Row],[date]])</f>
        <v>1</v>
      </c>
      <c r="S3">
        <f>YEAR(Data_Set_3[[#This Row],[date]])</f>
        <v>2018</v>
      </c>
    </row>
    <row r="4" spans="1:19" x14ac:dyDescent="0.3">
      <c r="A4">
        <v>1524</v>
      </c>
      <c r="B4" t="s">
        <v>950</v>
      </c>
      <c r="C4" t="s">
        <v>754</v>
      </c>
      <c r="D4" t="s">
        <v>2800</v>
      </c>
      <c r="E4" t="s">
        <v>2801</v>
      </c>
      <c r="F4" t="s">
        <v>2802</v>
      </c>
      <c r="G4" t="s">
        <v>2159</v>
      </c>
      <c r="H4" t="s">
        <v>16</v>
      </c>
      <c r="I4" t="s">
        <v>553</v>
      </c>
      <c r="J4">
        <v>323</v>
      </c>
      <c r="K4" t="s">
        <v>259</v>
      </c>
      <c r="L4" s="2">
        <v>43102</v>
      </c>
      <c r="M4" t="s">
        <v>204</v>
      </c>
      <c r="N4" t="s">
        <v>242</v>
      </c>
      <c r="O4">
        <v>23293</v>
      </c>
      <c r="P4" t="s">
        <v>21</v>
      </c>
      <c r="Q4" t="str">
        <f>TEXT(Data_Set_3[[#This Row],[date]],"mmmm")</f>
        <v>January</v>
      </c>
      <c r="R4">
        <f>MONTH(Data_Set_3[[#This Row],[date]])</f>
        <v>1</v>
      </c>
      <c r="S4">
        <f>YEAR(Data_Set_3[[#This Row],[date]])</f>
        <v>2018</v>
      </c>
    </row>
    <row r="5" spans="1:19" x14ac:dyDescent="0.3">
      <c r="A5">
        <v>1116</v>
      </c>
      <c r="B5" t="s">
        <v>135</v>
      </c>
      <c r="C5" t="s">
        <v>2803</v>
      </c>
      <c r="D5" t="s">
        <v>2804</v>
      </c>
      <c r="E5" t="s">
        <v>2805</v>
      </c>
      <c r="F5" t="s">
        <v>1770</v>
      </c>
      <c r="G5" t="s">
        <v>2110</v>
      </c>
      <c r="H5" t="s">
        <v>32</v>
      </c>
      <c r="I5" t="s">
        <v>51</v>
      </c>
      <c r="J5">
        <v>347</v>
      </c>
      <c r="K5" t="s">
        <v>95</v>
      </c>
      <c r="L5" s="2">
        <v>43106</v>
      </c>
      <c r="M5" t="s">
        <v>74</v>
      </c>
      <c r="N5" t="s">
        <v>400</v>
      </c>
      <c r="O5">
        <v>30096</v>
      </c>
      <c r="P5" t="s">
        <v>21</v>
      </c>
      <c r="Q5" t="str">
        <f>TEXT(Data_Set_3[[#This Row],[date]],"mmmm")</f>
        <v>January</v>
      </c>
      <c r="R5">
        <f>MONTH(Data_Set_3[[#This Row],[date]])</f>
        <v>1</v>
      </c>
      <c r="S5">
        <f>YEAR(Data_Set_3[[#This Row],[date]])</f>
        <v>2018</v>
      </c>
    </row>
    <row r="6" spans="1:19" x14ac:dyDescent="0.3">
      <c r="A6">
        <v>1234</v>
      </c>
      <c r="B6" t="s">
        <v>2806</v>
      </c>
      <c r="C6" t="s">
        <v>752</v>
      </c>
      <c r="D6" t="s">
        <v>2807</v>
      </c>
      <c r="E6" t="s">
        <v>2808</v>
      </c>
      <c r="F6" t="s">
        <v>1460</v>
      </c>
      <c r="G6" t="s">
        <v>2125</v>
      </c>
      <c r="H6" t="s">
        <v>16</v>
      </c>
      <c r="I6" t="s">
        <v>33</v>
      </c>
      <c r="J6">
        <v>917</v>
      </c>
      <c r="K6" t="s">
        <v>62</v>
      </c>
      <c r="L6" s="2">
        <v>43106</v>
      </c>
      <c r="M6" t="s">
        <v>68</v>
      </c>
      <c r="N6" t="s">
        <v>69</v>
      </c>
      <c r="O6">
        <v>78710</v>
      </c>
      <c r="P6" t="s">
        <v>21</v>
      </c>
      <c r="Q6" t="str">
        <f>TEXT(Data_Set_3[[#This Row],[date]],"mmmm")</f>
        <v>January</v>
      </c>
      <c r="R6">
        <f>MONTH(Data_Set_3[[#This Row],[date]])</f>
        <v>1</v>
      </c>
      <c r="S6">
        <f>YEAR(Data_Set_3[[#This Row],[date]])</f>
        <v>2018</v>
      </c>
    </row>
    <row r="7" spans="1:19" x14ac:dyDescent="0.3">
      <c r="A7">
        <v>1528</v>
      </c>
      <c r="B7" t="s">
        <v>2809</v>
      </c>
      <c r="C7" t="s">
        <v>1000</v>
      </c>
      <c r="D7" t="s">
        <v>2810</v>
      </c>
      <c r="E7" t="s">
        <v>2811</v>
      </c>
      <c r="F7" t="s">
        <v>2812</v>
      </c>
      <c r="G7" t="s">
        <v>1653</v>
      </c>
      <c r="H7" t="s">
        <v>32</v>
      </c>
      <c r="I7" t="s">
        <v>2813</v>
      </c>
      <c r="J7">
        <v>824</v>
      </c>
      <c r="K7" t="s">
        <v>95</v>
      </c>
      <c r="L7" s="2">
        <v>43108</v>
      </c>
      <c r="M7" t="s">
        <v>35</v>
      </c>
      <c r="N7" t="s">
        <v>266</v>
      </c>
      <c r="O7">
        <v>91406</v>
      </c>
      <c r="P7" t="s">
        <v>21</v>
      </c>
      <c r="Q7" t="str">
        <f>TEXT(Data_Set_3[[#This Row],[date]],"mmmm")</f>
        <v>January</v>
      </c>
      <c r="R7">
        <f>MONTH(Data_Set_3[[#This Row],[date]])</f>
        <v>1</v>
      </c>
      <c r="S7">
        <f>YEAR(Data_Set_3[[#This Row],[date]])</f>
        <v>2018</v>
      </c>
    </row>
    <row r="8" spans="1:19" x14ac:dyDescent="0.3">
      <c r="A8">
        <v>1026</v>
      </c>
      <c r="B8" t="s">
        <v>844</v>
      </c>
      <c r="C8" t="s">
        <v>671</v>
      </c>
      <c r="D8" t="s">
        <v>2814</v>
      </c>
      <c r="E8" t="s">
        <v>2815</v>
      </c>
      <c r="F8" t="s">
        <v>2816</v>
      </c>
      <c r="G8" t="s">
        <v>2554</v>
      </c>
      <c r="H8" t="s">
        <v>32</v>
      </c>
      <c r="I8" t="s">
        <v>17</v>
      </c>
      <c r="J8">
        <v>98</v>
      </c>
      <c r="K8" t="s">
        <v>26</v>
      </c>
      <c r="L8" s="2">
        <v>43110</v>
      </c>
      <c r="M8" t="s">
        <v>184</v>
      </c>
      <c r="N8" t="s">
        <v>185</v>
      </c>
      <c r="O8">
        <v>10469</v>
      </c>
      <c r="P8" t="s">
        <v>21</v>
      </c>
      <c r="Q8" t="str">
        <f>TEXT(Data_Set_3[[#This Row],[date]],"mmmm")</f>
        <v>January</v>
      </c>
      <c r="R8">
        <f>MONTH(Data_Set_3[[#This Row],[date]])</f>
        <v>1</v>
      </c>
      <c r="S8">
        <f>YEAR(Data_Set_3[[#This Row],[date]])</f>
        <v>2018</v>
      </c>
    </row>
    <row r="9" spans="1:19" x14ac:dyDescent="0.3">
      <c r="A9">
        <v>1489</v>
      </c>
      <c r="B9" t="s">
        <v>860</v>
      </c>
      <c r="C9" t="s">
        <v>849</v>
      </c>
      <c r="D9" t="s">
        <v>2817</v>
      </c>
      <c r="E9" t="s">
        <v>2818</v>
      </c>
      <c r="F9" t="s">
        <v>1606</v>
      </c>
      <c r="G9" t="s">
        <v>1899</v>
      </c>
      <c r="H9" t="s">
        <v>16</v>
      </c>
      <c r="I9" t="s">
        <v>17</v>
      </c>
      <c r="J9">
        <v>224</v>
      </c>
      <c r="K9" t="s">
        <v>62</v>
      </c>
      <c r="L9" s="2">
        <v>43110</v>
      </c>
      <c r="M9" t="s">
        <v>204</v>
      </c>
      <c r="N9" t="s">
        <v>1135</v>
      </c>
      <c r="O9">
        <v>23668</v>
      </c>
      <c r="P9" t="s">
        <v>21</v>
      </c>
      <c r="Q9" t="str">
        <f>TEXT(Data_Set_3[[#This Row],[date]],"mmmm")</f>
        <v>January</v>
      </c>
      <c r="R9">
        <f>MONTH(Data_Set_3[[#This Row],[date]])</f>
        <v>1</v>
      </c>
      <c r="S9">
        <f>YEAR(Data_Set_3[[#This Row],[date]])</f>
        <v>2018</v>
      </c>
    </row>
    <row r="10" spans="1:19" x14ac:dyDescent="0.3">
      <c r="A10">
        <v>1397</v>
      </c>
      <c r="B10" t="s">
        <v>194</v>
      </c>
      <c r="C10" t="s">
        <v>347</v>
      </c>
      <c r="D10" t="s">
        <v>2819</v>
      </c>
      <c r="E10" t="s">
        <v>2820</v>
      </c>
      <c r="F10" t="s">
        <v>1561</v>
      </c>
      <c r="G10" t="s">
        <v>2782</v>
      </c>
      <c r="H10" t="s">
        <v>32</v>
      </c>
      <c r="I10" t="s">
        <v>2821</v>
      </c>
      <c r="J10">
        <v>229</v>
      </c>
      <c r="K10" t="s">
        <v>109</v>
      </c>
      <c r="L10" s="2">
        <v>43111</v>
      </c>
      <c r="M10" t="s">
        <v>254</v>
      </c>
      <c r="N10" t="s">
        <v>1169</v>
      </c>
      <c r="O10">
        <v>52410</v>
      </c>
      <c r="P10" t="s">
        <v>21</v>
      </c>
      <c r="Q10" t="str">
        <f>TEXT(Data_Set_3[[#This Row],[date]],"mmmm")</f>
        <v>January</v>
      </c>
      <c r="R10">
        <f>MONTH(Data_Set_3[[#This Row],[date]])</f>
        <v>1</v>
      </c>
      <c r="S10">
        <f>YEAR(Data_Set_3[[#This Row],[date]])</f>
        <v>2018</v>
      </c>
    </row>
    <row r="11" spans="1:19" x14ac:dyDescent="0.3">
      <c r="A11">
        <v>1929</v>
      </c>
      <c r="B11" t="s">
        <v>661</v>
      </c>
      <c r="C11" t="s">
        <v>2822</v>
      </c>
      <c r="D11" t="s">
        <v>2823</v>
      </c>
      <c r="E11" t="s">
        <v>2824</v>
      </c>
      <c r="F11" t="s">
        <v>2588</v>
      </c>
      <c r="G11" t="s">
        <v>2310</v>
      </c>
      <c r="H11" t="s">
        <v>16</v>
      </c>
      <c r="I11" t="s">
        <v>280</v>
      </c>
      <c r="J11">
        <v>619</v>
      </c>
      <c r="K11" t="s">
        <v>95</v>
      </c>
      <c r="L11" s="2">
        <v>43111</v>
      </c>
      <c r="M11" t="s">
        <v>120</v>
      </c>
      <c r="N11" t="s">
        <v>2825</v>
      </c>
      <c r="O11">
        <v>70607</v>
      </c>
      <c r="P11" t="s">
        <v>21</v>
      </c>
      <c r="Q11" t="str">
        <f>TEXT(Data_Set_3[[#This Row],[date]],"mmmm")</f>
        <v>January</v>
      </c>
      <c r="R11">
        <f>MONTH(Data_Set_3[[#This Row],[date]])</f>
        <v>1</v>
      </c>
      <c r="S11">
        <f>YEAR(Data_Set_3[[#This Row],[date]])</f>
        <v>2018</v>
      </c>
    </row>
    <row r="12" spans="1:19" x14ac:dyDescent="0.3">
      <c r="A12">
        <v>1998</v>
      </c>
      <c r="B12" t="s">
        <v>627</v>
      </c>
      <c r="C12" t="s">
        <v>833</v>
      </c>
      <c r="D12" t="s">
        <v>2826</v>
      </c>
      <c r="E12" t="s">
        <v>2827</v>
      </c>
      <c r="F12" t="s">
        <v>2221</v>
      </c>
      <c r="G12" t="s">
        <v>2170</v>
      </c>
      <c r="H12" t="s">
        <v>16</v>
      </c>
      <c r="I12" t="s">
        <v>361</v>
      </c>
      <c r="J12">
        <v>271</v>
      </c>
      <c r="K12" t="s">
        <v>26</v>
      </c>
      <c r="L12" s="2">
        <v>43113</v>
      </c>
      <c r="M12" t="s">
        <v>192</v>
      </c>
      <c r="N12" t="s">
        <v>515</v>
      </c>
      <c r="O12">
        <v>55146</v>
      </c>
      <c r="P12" t="s">
        <v>21</v>
      </c>
      <c r="Q12" t="str">
        <f>TEXT(Data_Set_3[[#This Row],[date]],"mmmm")</f>
        <v>January</v>
      </c>
      <c r="R12">
        <f>MONTH(Data_Set_3[[#This Row],[date]])</f>
        <v>1</v>
      </c>
      <c r="S12">
        <f>YEAR(Data_Set_3[[#This Row],[date]])</f>
        <v>2018</v>
      </c>
    </row>
    <row r="13" spans="1:19" x14ac:dyDescent="0.3">
      <c r="A13">
        <v>1212</v>
      </c>
      <c r="B13" t="s">
        <v>547</v>
      </c>
      <c r="C13" t="s">
        <v>337</v>
      </c>
      <c r="D13" t="s">
        <v>2828</v>
      </c>
      <c r="E13" t="s">
        <v>2829</v>
      </c>
      <c r="F13" t="s">
        <v>1608</v>
      </c>
      <c r="G13" t="s">
        <v>2830</v>
      </c>
      <c r="H13" t="s">
        <v>32</v>
      </c>
      <c r="I13" t="s">
        <v>33</v>
      </c>
      <c r="J13">
        <v>208</v>
      </c>
      <c r="K13" t="s">
        <v>34</v>
      </c>
      <c r="L13" s="2">
        <v>43116</v>
      </c>
      <c r="M13" t="s">
        <v>46</v>
      </c>
      <c r="N13" t="s">
        <v>47</v>
      </c>
      <c r="O13">
        <v>6183</v>
      </c>
      <c r="P13" t="s">
        <v>21</v>
      </c>
      <c r="Q13" t="str">
        <f>TEXT(Data_Set_3[[#This Row],[date]],"mmmm")</f>
        <v>January</v>
      </c>
      <c r="R13">
        <f>MONTH(Data_Set_3[[#This Row],[date]])</f>
        <v>1</v>
      </c>
      <c r="S13">
        <f>YEAR(Data_Set_3[[#This Row],[date]])</f>
        <v>2018</v>
      </c>
    </row>
    <row r="14" spans="1:19" x14ac:dyDescent="0.3">
      <c r="A14">
        <v>1489</v>
      </c>
      <c r="B14" t="s">
        <v>860</v>
      </c>
      <c r="C14" t="s">
        <v>849</v>
      </c>
      <c r="D14" t="s">
        <v>2817</v>
      </c>
      <c r="E14" t="s">
        <v>2818</v>
      </c>
      <c r="F14" t="s">
        <v>1606</v>
      </c>
      <c r="G14" t="s">
        <v>1899</v>
      </c>
      <c r="H14" t="s">
        <v>16</v>
      </c>
      <c r="I14" t="s">
        <v>17</v>
      </c>
      <c r="J14">
        <v>326</v>
      </c>
      <c r="K14" t="s">
        <v>62</v>
      </c>
      <c r="L14" s="2">
        <v>43119</v>
      </c>
      <c r="M14" t="s">
        <v>204</v>
      </c>
      <c r="N14" t="s">
        <v>1135</v>
      </c>
      <c r="O14">
        <v>23668</v>
      </c>
      <c r="P14" t="s">
        <v>21</v>
      </c>
      <c r="Q14" t="str">
        <f>TEXT(Data_Set_3[[#This Row],[date]],"mmmm")</f>
        <v>January</v>
      </c>
      <c r="R14">
        <f>MONTH(Data_Set_3[[#This Row],[date]])</f>
        <v>1</v>
      </c>
      <c r="S14">
        <f>YEAR(Data_Set_3[[#This Row],[date]])</f>
        <v>2018</v>
      </c>
    </row>
    <row r="15" spans="1:19" x14ac:dyDescent="0.3">
      <c r="A15">
        <v>1880</v>
      </c>
      <c r="B15" t="s">
        <v>304</v>
      </c>
      <c r="C15" t="s">
        <v>526</v>
      </c>
      <c r="D15" t="s">
        <v>2831</v>
      </c>
      <c r="E15" t="s">
        <v>2832</v>
      </c>
      <c r="F15" t="s">
        <v>1376</v>
      </c>
      <c r="G15" t="s">
        <v>2577</v>
      </c>
      <c r="H15" t="s">
        <v>32</v>
      </c>
      <c r="I15" t="s">
        <v>274</v>
      </c>
      <c r="J15">
        <v>699</v>
      </c>
      <c r="K15" t="s">
        <v>26</v>
      </c>
      <c r="L15" s="2">
        <v>43119</v>
      </c>
      <c r="M15" t="s">
        <v>246</v>
      </c>
      <c r="N15" t="s">
        <v>339</v>
      </c>
      <c r="O15">
        <v>60614</v>
      </c>
      <c r="P15" t="s">
        <v>21</v>
      </c>
      <c r="Q15" t="str">
        <f>TEXT(Data_Set_3[[#This Row],[date]],"mmmm")</f>
        <v>January</v>
      </c>
      <c r="R15">
        <f>MONTH(Data_Set_3[[#This Row],[date]])</f>
        <v>1</v>
      </c>
      <c r="S15">
        <f>YEAR(Data_Set_3[[#This Row],[date]])</f>
        <v>2018</v>
      </c>
    </row>
    <row r="16" spans="1:19" x14ac:dyDescent="0.3">
      <c r="A16">
        <v>1954</v>
      </c>
      <c r="B16" t="s">
        <v>89</v>
      </c>
      <c r="C16" t="s">
        <v>264</v>
      </c>
      <c r="D16" t="s">
        <v>2833</v>
      </c>
      <c r="E16" t="s">
        <v>2834</v>
      </c>
      <c r="F16" t="s">
        <v>2588</v>
      </c>
      <c r="G16" t="s">
        <v>2735</v>
      </c>
      <c r="H16" t="s">
        <v>16</v>
      </c>
      <c r="I16" t="s">
        <v>553</v>
      </c>
      <c r="J16">
        <v>143</v>
      </c>
      <c r="K16" t="s">
        <v>225</v>
      </c>
      <c r="L16" s="2">
        <v>43122</v>
      </c>
      <c r="M16" t="s">
        <v>27</v>
      </c>
      <c r="N16" t="s">
        <v>28</v>
      </c>
      <c r="O16">
        <v>80255</v>
      </c>
      <c r="P16" t="s">
        <v>21</v>
      </c>
      <c r="Q16" t="str">
        <f>TEXT(Data_Set_3[[#This Row],[date]],"mmmm")</f>
        <v>January</v>
      </c>
      <c r="R16">
        <f>MONTH(Data_Set_3[[#This Row],[date]])</f>
        <v>1</v>
      </c>
      <c r="S16">
        <f>YEAR(Data_Set_3[[#This Row],[date]])</f>
        <v>2018</v>
      </c>
    </row>
    <row r="17" spans="1:19" x14ac:dyDescent="0.3">
      <c r="A17">
        <v>1014</v>
      </c>
      <c r="B17" t="s">
        <v>1106</v>
      </c>
      <c r="C17" t="s">
        <v>216</v>
      </c>
      <c r="D17" t="s">
        <v>2835</v>
      </c>
      <c r="E17" t="s">
        <v>2836</v>
      </c>
      <c r="F17" t="s">
        <v>1279</v>
      </c>
      <c r="G17" t="s">
        <v>2265</v>
      </c>
      <c r="H17" t="s">
        <v>16</v>
      </c>
      <c r="I17" t="s">
        <v>17</v>
      </c>
      <c r="J17">
        <v>724</v>
      </c>
      <c r="K17" t="s">
        <v>26</v>
      </c>
      <c r="L17" s="2">
        <v>43127</v>
      </c>
      <c r="M17" t="s">
        <v>184</v>
      </c>
      <c r="N17" t="s">
        <v>1105</v>
      </c>
      <c r="O17">
        <v>14276</v>
      </c>
      <c r="P17" t="s">
        <v>21</v>
      </c>
      <c r="Q17" t="str">
        <f>TEXT(Data_Set_3[[#This Row],[date]],"mmmm")</f>
        <v>January</v>
      </c>
      <c r="R17">
        <f>MONTH(Data_Set_3[[#This Row],[date]])</f>
        <v>1</v>
      </c>
      <c r="S17">
        <f>YEAR(Data_Set_3[[#This Row],[date]])</f>
        <v>2018</v>
      </c>
    </row>
    <row r="18" spans="1:19" x14ac:dyDescent="0.3">
      <c r="A18">
        <v>1170</v>
      </c>
      <c r="B18" t="s">
        <v>22</v>
      </c>
      <c r="C18" t="s">
        <v>883</v>
      </c>
      <c r="D18" t="s">
        <v>2837</v>
      </c>
      <c r="E18" t="s">
        <v>2838</v>
      </c>
      <c r="F18" t="s">
        <v>2430</v>
      </c>
      <c r="G18" t="s">
        <v>1333</v>
      </c>
      <c r="H18" t="s">
        <v>16</v>
      </c>
      <c r="I18" t="s">
        <v>33</v>
      </c>
      <c r="J18">
        <v>425</v>
      </c>
      <c r="K18" t="s">
        <v>164</v>
      </c>
      <c r="L18" s="2">
        <v>43127</v>
      </c>
      <c r="M18" t="s">
        <v>68</v>
      </c>
      <c r="N18" t="s">
        <v>169</v>
      </c>
      <c r="O18">
        <v>88574</v>
      </c>
      <c r="P18" t="s">
        <v>21</v>
      </c>
      <c r="Q18" t="str">
        <f>TEXT(Data_Set_3[[#This Row],[date]],"mmmm")</f>
        <v>January</v>
      </c>
      <c r="R18">
        <f>MONTH(Data_Set_3[[#This Row],[date]])</f>
        <v>1</v>
      </c>
      <c r="S18">
        <f>YEAR(Data_Set_3[[#This Row],[date]])</f>
        <v>2018</v>
      </c>
    </row>
    <row r="19" spans="1:19" x14ac:dyDescent="0.3">
      <c r="A19">
        <v>1880</v>
      </c>
      <c r="B19" t="s">
        <v>304</v>
      </c>
      <c r="C19" t="s">
        <v>526</v>
      </c>
      <c r="D19" t="s">
        <v>2831</v>
      </c>
      <c r="E19" t="s">
        <v>2832</v>
      </c>
      <c r="F19" t="s">
        <v>1376</v>
      </c>
      <c r="G19" t="s">
        <v>2577</v>
      </c>
      <c r="H19" t="s">
        <v>32</v>
      </c>
      <c r="I19" t="s">
        <v>274</v>
      </c>
      <c r="J19">
        <v>292</v>
      </c>
      <c r="K19" t="s">
        <v>26</v>
      </c>
      <c r="L19" s="2">
        <v>43128</v>
      </c>
      <c r="M19" t="s">
        <v>246</v>
      </c>
      <c r="N19" t="s">
        <v>339</v>
      </c>
      <c r="O19">
        <v>60614</v>
      </c>
      <c r="P19" t="s">
        <v>21</v>
      </c>
      <c r="Q19" t="str">
        <f>TEXT(Data_Set_3[[#This Row],[date]],"mmmm")</f>
        <v>January</v>
      </c>
      <c r="R19">
        <f>MONTH(Data_Set_3[[#This Row],[date]])</f>
        <v>1</v>
      </c>
      <c r="S19">
        <f>YEAR(Data_Set_3[[#This Row],[date]])</f>
        <v>2018</v>
      </c>
    </row>
    <row r="20" spans="1:19" x14ac:dyDescent="0.3">
      <c r="A20">
        <v>1991</v>
      </c>
      <c r="B20" t="s">
        <v>602</v>
      </c>
      <c r="C20" t="s">
        <v>624</v>
      </c>
      <c r="D20" t="s">
        <v>2839</v>
      </c>
      <c r="E20" t="s">
        <v>2840</v>
      </c>
      <c r="F20" t="s">
        <v>2255</v>
      </c>
      <c r="G20" t="s">
        <v>2159</v>
      </c>
      <c r="H20" t="s">
        <v>32</v>
      </c>
      <c r="I20" t="s">
        <v>33</v>
      </c>
      <c r="J20">
        <v>794</v>
      </c>
      <c r="K20" t="s">
        <v>26</v>
      </c>
      <c r="L20" s="2">
        <v>43131</v>
      </c>
      <c r="M20" t="s">
        <v>435</v>
      </c>
      <c r="N20" t="s">
        <v>436</v>
      </c>
      <c r="O20">
        <v>87180</v>
      </c>
      <c r="P20" t="s">
        <v>21</v>
      </c>
      <c r="Q20" t="str">
        <f>TEXT(Data_Set_3[[#This Row],[date]],"mmmm")</f>
        <v>January</v>
      </c>
      <c r="R20">
        <f>MONTH(Data_Set_3[[#This Row],[date]])</f>
        <v>1</v>
      </c>
      <c r="S20">
        <f>YEAR(Data_Set_3[[#This Row],[date]])</f>
        <v>2018</v>
      </c>
    </row>
    <row r="21" spans="1:19" x14ac:dyDescent="0.3">
      <c r="A21">
        <v>1996</v>
      </c>
      <c r="B21" t="s">
        <v>359</v>
      </c>
      <c r="C21" t="s">
        <v>2841</v>
      </c>
      <c r="D21" t="s">
        <v>2842</v>
      </c>
      <c r="E21" t="s">
        <v>2843</v>
      </c>
      <c r="F21" t="s">
        <v>1696</v>
      </c>
      <c r="G21" t="s">
        <v>2606</v>
      </c>
      <c r="H21" t="s">
        <v>32</v>
      </c>
      <c r="I21" t="s">
        <v>33</v>
      </c>
      <c r="J21">
        <v>100</v>
      </c>
      <c r="K21" t="s">
        <v>164</v>
      </c>
      <c r="L21" s="2">
        <v>43132</v>
      </c>
      <c r="M21" t="s">
        <v>125</v>
      </c>
      <c r="N21" t="s">
        <v>419</v>
      </c>
      <c r="O21">
        <v>64160</v>
      </c>
      <c r="P21" t="s">
        <v>21</v>
      </c>
      <c r="Q21" t="str">
        <f>TEXT(Data_Set_3[[#This Row],[date]],"mmmm")</f>
        <v>February</v>
      </c>
      <c r="R21">
        <f>MONTH(Data_Set_3[[#This Row],[date]])</f>
        <v>2</v>
      </c>
      <c r="S21">
        <f>YEAR(Data_Set_3[[#This Row],[date]])</f>
        <v>2018</v>
      </c>
    </row>
    <row r="22" spans="1:19" x14ac:dyDescent="0.3">
      <c r="A22">
        <v>1084</v>
      </c>
      <c r="B22" t="s">
        <v>809</v>
      </c>
      <c r="C22" t="s">
        <v>1006</v>
      </c>
      <c r="D22" t="s">
        <v>2844</v>
      </c>
      <c r="E22" t="s">
        <v>2845</v>
      </c>
      <c r="F22" t="s">
        <v>2124</v>
      </c>
      <c r="G22" t="s">
        <v>1952</v>
      </c>
      <c r="H22" t="s">
        <v>16</v>
      </c>
      <c r="I22" t="s">
        <v>51</v>
      </c>
      <c r="J22">
        <v>256</v>
      </c>
      <c r="K22" t="s">
        <v>26</v>
      </c>
      <c r="L22" s="2">
        <v>43134</v>
      </c>
      <c r="M22" t="s">
        <v>19</v>
      </c>
      <c r="N22" t="s">
        <v>2846</v>
      </c>
      <c r="O22">
        <v>2453</v>
      </c>
      <c r="P22" t="s">
        <v>21</v>
      </c>
      <c r="Q22" t="str">
        <f>TEXT(Data_Set_3[[#This Row],[date]],"mmmm")</f>
        <v>February</v>
      </c>
      <c r="R22">
        <f>MONTH(Data_Set_3[[#This Row],[date]])</f>
        <v>2</v>
      </c>
      <c r="S22">
        <f>YEAR(Data_Set_3[[#This Row],[date]])</f>
        <v>2018</v>
      </c>
    </row>
    <row r="23" spans="1:19" x14ac:dyDescent="0.3">
      <c r="A23">
        <v>1526</v>
      </c>
      <c r="B23" t="s">
        <v>950</v>
      </c>
      <c r="C23" t="s">
        <v>671</v>
      </c>
      <c r="D23" t="s">
        <v>2847</v>
      </c>
      <c r="E23" t="s">
        <v>2848</v>
      </c>
      <c r="F23" t="s">
        <v>2849</v>
      </c>
      <c r="G23" t="s">
        <v>2850</v>
      </c>
      <c r="H23" t="s">
        <v>16</v>
      </c>
      <c r="I23" t="s">
        <v>274</v>
      </c>
      <c r="J23">
        <v>760</v>
      </c>
      <c r="K23" t="s">
        <v>62</v>
      </c>
      <c r="L23" s="2">
        <v>43137</v>
      </c>
      <c r="M23" t="s">
        <v>230</v>
      </c>
      <c r="N23" t="s">
        <v>260</v>
      </c>
      <c r="O23">
        <v>28230</v>
      </c>
      <c r="P23" t="s">
        <v>21</v>
      </c>
      <c r="Q23" t="str">
        <f>TEXT(Data_Set_3[[#This Row],[date]],"mmmm")</f>
        <v>February</v>
      </c>
      <c r="R23">
        <f>MONTH(Data_Set_3[[#This Row],[date]])</f>
        <v>2</v>
      </c>
      <c r="S23">
        <f>YEAR(Data_Set_3[[#This Row],[date]])</f>
        <v>2018</v>
      </c>
    </row>
    <row r="24" spans="1:19" x14ac:dyDescent="0.3">
      <c r="A24">
        <v>1435</v>
      </c>
      <c r="B24" t="s">
        <v>80</v>
      </c>
      <c r="C24" t="s">
        <v>1045</v>
      </c>
      <c r="D24" t="s">
        <v>2851</v>
      </c>
      <c r="E24" t="s">
        <v>2852</v>
      </c>
      <c r="F24" t="s">
        <v>1853</v>
      </c>
      <c r="G24" t="s">
        <v>2697</v>
      </c>
      <c r="H24" t="s">
        <v>16</v>
      </c>
      <c r="I24" t="s">
        <v>25</v>
      </c>
      <c r="J24">
        <v>846</v>
      </c>
      <c r="K24" t="s">
        <v>83</v>
      </c>
      <c r="L24" s="2">
        <v>43143</v>
      </c>
      <c r="M24" t="s">
        <v>110</v>
      </c>
      <c r="N24" t="s">
        <v>1150</v>
      </c>
      <c r="O24">
        <v>19605</v>
      </c>
      <c r="P24" t="s">
        <v>21</v>
      </c>
      <c r="Q24" t="str">
        <f>TEXT(Data_Set_3[[#This Row],[date]],"mmmm")</f>
        <v>February</v>
      </c>
      <c r="R24">
        <f>MONTH(Data_Set_3[[#This Row],[date]])</f>
        <v>2</v>
      </c>
      <c r="S24">
        <f>YEAR(Data_Set_3[[#This Row],[date]])</f>
        <v>2018</v>
      </c>
    </row>
    <row r="25" spans="1:19" x14ac:dyDescent="0.3">
      <c r="A25">
        <v>1030</v>
      </c>
      <c r="B25" t="s">
        <v>366</v>
      </c>
      <c r="C25" t="s">
        <v>2853</v>
      </c>
      <c r="D25" t="s">
        <v>2854</v>
      </c>
      <c r="E25" t="s">
        <v>2855</v>
      </c>
      <c r="F25" t="s">
        <v>2124</v>
      </c>
      <c r="G25" t="s">
        <v>2657</v>
      </c>
      <c r="H25" t="s">
        <v>32</v>
      </c>
      <c r="I25" t="s">
        <v>17</v>
      </c>
      <c r="J25">
        <v>359</v>
      </c>
      <c r="K25" t="s">
        <v>416</v>
      </c>
      <c r="L25" s="2">
        <v>43144</v>
      </c>
      <c r="M25" t="s">
        <v>204</v>
      </c>
      <c r="N25" t="s">
        <v>2856</v>
      </c>
      <c r="O25">
        <v>22036</v>
      </c>
      <c r="P25" t="s">
        <v>21</v>
      </c>
      <c r="Q25" t="str">
        <f>TEXT(Data_Set_3[[#This Row],[date]],"mmmm")</f>
        <v>February</v>
      </c>
      <c r="R25">
        <f>MONTH(Data_Set_3[[#This Row],[date]])</f>
        <v>2</v>
      </c>
      <c r="S25">
        <f>YEAR(Data_Set_3[[#This Row],[date]])</f>
        <v>2018</v>
      </c>
    </row>
    <row r="26" spans="1:19" x14ac:dyDescent="0.3">
      <c r="A26">
        <v>1767</v>
      </c>
      <c r="B26" t="s">
        <v>1093</v>
      </c>
      <c r="C26" t="s">
        <v>816</v>
      </c>
      <c r="D26" t="s">
        <v>2857</v>
      </c>
      <c r="E26" t="s">
        <v>2858</v>
      </c>
      <c r="F26" t="s">
        <v>1963</v>
      </c>
      <c r="G26" t="s">
        <v>2046</v>
      </c>
      <c r="H26" t="s">
        <v>16</v>
      </c>
      <c r="I26" t="s">
        <v>25</v>
      </c>
      <c r="J26">
        <v>708</v>
      </c>
      <c r="K26" t="s">
        <v>62</v>
      </c>
      <c r="L26" s="2">
        <v>43145</v>
      </c>
      <c r="M26" t="s">
        <v>63</v>
      </c>
      <c r="N26" t="s">
        <v>448</v>
      </c>
      <c r="O26">
        <v>68505</v>
      </c>
      <c r="P26" t="s">
        <v>21</v>
      </c>
      <c r="Q26" t="str">
        <f>TEXT(Data_Set_3[[#This Row],[date]],"mmmm")</f>
        <v>February</v>
      </c>
      <c r="R26">
        <f>MONTH(Data_Set_3[[#This Row],[date]])</f>
        <v>2</v>
      </c>
      <c r="S26">
        <f>YEAR(Data_Set_3[[#This Row],[date]])</f>
        <v>2018</v>
      </c>
    </row>
    <row r="27" spans="1:19" x14ac:dyDescent="0.3">
      <c r="A27">
        <v>1079</v>
      </c>
      <c r="B27" t="s">
        <v>299</v>
      </c>
      <c r="C27" t="s">
        <v>934</v>
      </c>
      <c r="D27" t="s">
        <v>2859</v>
      </c>
      <c r="E27" t="s">
        <v>2860</v>
      </c>
      <c r="F27" t="s">
        <v>1543</v>
      </c>
      <c r="G27" t="s">
        <v>2560</v>
      </c>
      <c r="H27" t="s">
        <v>32</v>
      </c>
      <c r="I27" t="s">
        <v>51</v>
      </c>
      <c r="J27">
        <v>473</v>
      </c>
      <c r="K27" t="s">
        <v>341</v>
      </c>
      <c r="L27" s="2">
        <v>43146</v>
      </c>
      <c r="M27" t="s">
        <v>96</v>
      </c>
      <c r="N27" t="s">
        <v>457</v>
      </c>
      <c r="O27">
        <v>46406</v>
      </c>
      <c r="P27" t="s">
        <v>21</v>
      </c>
      <c r="Q27" t="str">
        <f>TEXT(Data_Set_3[[#This Row],[date]],"mmmm")</f>
        <v>February</v>
      </c>
      <c r="R27">
        <f>MONTH(Data_Set_3[[#This Row],[date]])</f>
        <v>2</v>
      </c>
      <c r="S27">
        <f>YEAR(Data_Set_3[[#This Row],[date]])</f>
        <v>2018</v>
      </c>
    </row>
    <row r="28" spans="1:19" x14ac:dyDescent="0.3">
      <c r="A28">
        <v>1277</v>
      </c>
      <c r="B28" t="s">
        <v>43</v>
      </c>
      <c r="C28" t="s">
        <v>783</v>
      </c>
      <c r="D28" t="s">
        <v>2861</v>
      </c>
      <c r="E28" t="s">
        <v>2862</v>
      </c>
      <c r="F28" t="s">
        <v>1850</v>
      </c>
      <c r="G28" t="s">
        <v>2219</v>
      </c>
      <c r="H28" t="s">
        <v>16</v>
      </c>
      <c r="I28" t="s">
        <v>454</v>
      </c>
      <c r="J28">
        <v>29</v>
      </c>
      <c r="K28" t="s">
        <v>416</v>
      </c>
      <c r="L28" s="2">
        <v>43146</v>
      </c>
      <c r="M28" t="s">
        <v>152</v>
      </c>
      <c r="N28" t="s">
        <v>251</v>
      </c>
      <c r="O28">
        <v>44310</v>
      </c>
      <c r="P28" t="s">
        <v>21</v>
      </c>
      <c r="Q28" t="str">
        <f>TEXT(Data_Set_3[[#This Row],[date]],"mmmm")</f>
        <v>February</v>
      </c>
      <c r="R28">
        <f>MONTH(Data_Set_3[[#This Row],[date]])</f>
        <v>2</v>
      </c>
      <c r="S28">
        <f>YEAR(Data_Set_3[[#This Row],[date]])</f>
        <v>2018</v>
      </c>
    </row>
    <row r="29" spans="1:19" x14ac:dyDescent="0.3">
      <c r="A29">
        <v>1812</v>
      </c>
      <c r="B29" t="s">
        <v>1130</v>
      </c>
      <c r="C29" t="s">
        <v>639</v>
      </c>
      <c r="D29" t="s">
        <v>2863</v>
      </c>
      <c r="E29" t="s">
        <v>2864</v>
      </c>
      <c r="F29" t="s">
        <v>2641</v>
      </c>
      <c r="G29" t="s">
        <v>1653</v>
      </c>
      <c r="H29" t="s">
        <v>16</v>
      </c>
      <c r="I29" t="s">
        <v>543</v>
      </c>
      <c r="J29">
        <v>510</v>
      </c>
      <c r="K29" t="s">
        <v>34</v>
      </c>
      <c r="L29" s="2">
        <v>43146</v>
      </c>
      <c r="M29" t="s">
        <v>524</v>
      </c>
      <c r="N29" t="s">
        <v>815</v>
      </c>
      <c r="O29">
        <v>35220</v>
      </c>
      <c r="P29" t="s">
        <v>21</v>
      </c>
      <c r="Q29" t="str">
        <f>TEXT(Data_Set_3[[#This Row],[date]],"mmmm")</f>
        <v>February</v>
      </c>
      <c r="R29">
        <f>MONTH(Data_Set_3[[#This Row],[date]])</f>
        <v>2</v>
      </c>
      <c r="S29">
        <f>YEAR(Data_Set_3[[#This Row],[date]])</f>
        <v>2018</v>
      </c>
    </row>
    <row r="30" spans="1:19" x14ac:dyDescent="0.3">
      <c r="A30">
        <v>1080</v>
      </c>
      <c r="B30" t="s">
        <v>712</v>
      </c>
      <c r="C30" t="s">
        <v>603</v>
      </c>
      <c r="D30" t="s">
        <v>2865</v>
      </c>
      <c r="E30" t="s">
        <v>1951</v>
      </c>
      <c r="F30" t="s">
        <v>1511</v>
      </c>
      <c r="G30" t="s">
        <v>2110</v>
      </c>
      <c r="H30" t="s">
        <v>32</v>
      </c>
      <c r="I30" t="s">
        <v>51</v>
      </c>
      <c r="J30">
        <v>54</v>
      </c>
      <c r="K30" t="s">
        <v>57</v>
      </c>
      <c r="L30" s="2">
        <v>43149</v>
      </c>
      <c r="M30" t="s">
        <v>704</v>
      </c>
      <c r="N30" t="s">
        <v>705</v>
      </c>
      <c r="O30">
        <v>73114</v>
      </c>
      <c r="P30" t="s">
        <v>21</v>
      </c>
      <c r="Q30" t="str">
        <f>TEXT(Data_Set_3[[#This Row],[date]],"mmmm")</f>
        <v>February</v>
      </c>
      <c r="R30">
        <f>MONTH(Data_Set_3[[#This Row],[date]])</f>
        <v>2</v>
      </c>
      <c r="S30">
        <f>YEAR(Data_Set_3[[#This Row],[date]])</f>
        <v>2018</v>
      </c>
    </row>
    <row r="31" spans="1:19" x14ac:dyDescent="0.3">
      <c r="A31">
        <v>1534</v>
      </c>
      <c r="B31" t="s">
        <v>909</v>
      </c>
      <c r="C31" t="s">
        <v>737</v>
      </c>
      <c r="D31" t="s">
        <v>2866</v>
      </c>
      <c r="E31" t="s">
        <v>2867</v>
      </c>
      <c r="F31" t="s">
        <v>1442</v>
      </c>
      <c r="G31" t="s">
        <v>2560</v>
      </c>
      <c r="H31" t="s">
        <v>32</v>
      </c>
      <c r="I31" t="s">
        <v>17</v>
      </c>
      <c r="J31">
        <v>994</v>
      </c>
      <c r="K31" t="s">
        <v>225</v>
      </c>
      <c r="L31" s="2">
        <v>43149</v>
      </c>
      <c r="M31" t="s">
        <v>35</v>
      </c>
      <c r="N31" t="s">
        <v>2868</v>
      </c>
      <c r="O31">
        <v>92812</v>
      </c>
      <c r="P31" t="s">
        <v>21</v>
      </c>
      <c r="Q31" t="str">
        <f>TEXT(Data_Set_3[[#This Row],[date]],"mmmm")</f>
        <v>February</v>
      </c>
      <c r="R31">
        <f>MONTH(Data_Set_3[[#This Row],[date]])</f>
        <v>2</v>
      </c>
      <c r="S31">
        <f>YEAR(Data_Set_3[[#This Row],[date]])</f>
        <v>2018</v>
      </c>
    </row>
    <row r="32" spans="1:19" x14ac:dyDescent="0.3">
      <c r="A32">
        <v>1812</v>
      </c>
      <c r="B32" t="s">
        <v>1130</v>
      </c>
      <c r="C32" t="s">
        <v>639</v>
      </c>
      <c r="D32" t="s">
        <v>2863</v>
      </c>
      <c r="E32" t="s">
        <v>2864</v>
      </c>
      <c r="F32" t="s">
        <v>2641</v>
      </c>
      <c r="G32" t="s">
        <v>1653</v>
      </c>
      <c r="H32" t="s">
        <v>16</v>
      </c>
      <c r="I32" t="s">
        <v>543</v>
      </c>
      <c r="J32">
        <v>553</v>
      </c>
      <c r="K32" t="s">
        <v>34</v>
      </c>
      <c r="L32" s="2">
        <v>43150</v>
      </c>
      <c r="M32" t="s">
        <v>524</v>
      </c>
      <c r="N32" t="s">
        <v>815</v>
      </c>
      <c r="O32">
        <v>35220</v>
      </c>
      <c r="P32" t="s">
        <v>21</v>
      </c>
      <c r="Q32" t="str">
        <f>TEXT(Data_Set_3[[#This Row],[date]],"mmmm")</f>
        <v>February</v>
      </c>
      <c r="R32">
        <f>MONTH(Data_Set_3[[#This Row],[date]])</f>
        <v>2</v>
      </c>
      <c r="S32">
        <f>YEAR(Data_Set_3[[#This Row],[date]])</f>
        <v>2018</v>
      </c>
    </row>
    <row r="33" spans="1:19" x14ac:dyDescent="0.3">
      <c r="A33">
        <v>1085</v>
      </c>
      <c r="B33" t="s">
        <v>2869</v>
      </c>
      <c r="C33" t="s">
        <v>465</v>
      </c>
      <c r="D33" t="s">
        <v>2870</v>
      </c>
      <c r="E33" t="s">
        <v>2871</v>
      </c>
      <c r="F33" t="s">
        <v>1659</v>
      </c>
      <c r="G33" t="s">
        <v>1728</v>
      </c>
      <c r="H33" t="s">
        <v>16</v>
      </c>
      <c r="I33" t="s">
        <v>51</v>
      </c>
      <c r="J33">
        <v>751</v>
      </c>
      <c r="K33" t="s">
        <v>26</v>
      </c>
      <c r="L33" s="2">
        <v>43151</v>
      </c>
      <c r="M33" t="s">
        <v>74</v>
      </c>
      <c r="N33" t="s">
        <v>201</v>
      </c>
      <c r="O33">
        <v>30605</v>
      </c>
      <c r="P33" t="s">
        <v>21</v>
      </c>
      <c r="Q33" t="str">
        <f>TEXT(Data_Set_3[[#This Row],[date]],"mmmm")</f>
        <v>February</v>
      </c>
      <c r="R33">
        <f>MONTH(Data_Set_3[[#This Row],[date]])</f>
        <v>2</v>
      </c>
      <c r="S33">
        <f>YEAR(Data_Set_3[[#This Row],[date]])</f>
        <v>2018</v>
      </c>
    </row>
    <row r="34" spans="1:19" x14ac:dyDescent="0.3">
      <c r="A34">
        <v>1756</v>
      </c>
      <c r="B34" t="s">
        <v>102</v>
      </c>
      <c r="C34" t="s">
        <v>810</v>
      </c>
      <c r="D34" t="s">
        <v>2872</v>
      </c>
      <c r="E34" t="s">
        <v>2873</v>
      </c>
      <c r="F34" t="s">
        <v>1572</v>
      </c>
      <c r="G34" t="s">
        <v>2384</v>
      </c>
      <c r="H34" t="s">
        <v>32</v>
      </c>
      <c r="I34" t="s">
        <v>406</v>
      </c>
      <c r="J34">
        <v>766</v>
      </c>
      <c r="K34" t="s">
        <v>164</v>
      </c>
      <c r="L34" s="2">
        <v>43151</v>
      </c>
      <c r="M34" t="s">
        <v>115</v>
      </c>
      <c r="N34" t="s">
        <v>1165</v>
      </c>
      <c r="O34">
        <v>33499</v>
      </c>
      <c r="P34" t="s">
        <v>21</v>
      </c>
      <c r="Q34" t="str">
        <f>TEXT(Data_Set_3[[#This Row],[date]],"mmmm")</f>
        <v>February</v>
      </c>
      <c r="R34">
        <f>MONTH(Data_Set_3[[#This Row],[date]])</f>
        <v>2</v>
      </c>
      <c r="S34">
        <f>YEAR(Data_Set_3[[#This Row],[date]])</f>
        <v>2018</v>
      </c>
    </row>
    <row r="35" spans="1:19" x14ac:dyDescent="0.3">
      <c r="A35">
        <v>1001</v>
      </c>
      <c r="B35" t="s">
        <v>289</v>
      </c>
      <c r="C35" t="s">
        <v>1017</v>
      </c>
      <c r="D35" t="s">
        <v>2874</v>
      </c>
      <c r="E35" t="s">
        <v>2875</v>
      </c>
      <c r="F35" t="s">
        <v>2249</v>
      </c>
      <c r="G35" t="s">
        <v>1766</v>
      </c>
      <c r="H35" t="s">
        <v>16</v>
      </c>
      <c r="I35" t="s">
        <v>17</v>
      </c>
      <c r="J35">
        <v>669</v>
      </c>
      <c r="K35" t="s">
        <v>34</v>
      </c>
      <c r="L35" s="2">
        <v>43152</v>
      </c>
      <c r="M35" t="s">
        <v>68</v>
      </c>
      <c r="N35" t="s">
        <v>169</v>
      </c>
      <c r="O35">
        <v>88563</v>
      </c>
      <c r="P35" t="s">
        <v>21</v>
      </c>
      <c r="Q35" t="str">
        <f>TEXT(Data_Set_3[[#This Row],[date]],"mmmm")</f>
        <v>February</v>
      </c>
      <c r="R35">
        <f>MONTH(Data_Set_3[[#This Row],[date]])</f>
        <v>2</v>
      </c>
      <c r="S35">
        <f>YEAR(Data_Set_3[[#This Row],[date]])</f>
        <v>2018</v>
      </c>
    </row>
    <row r="36" spans="1:19" x14ac:dyDescent="0.3">
      <c r="A36">
        <v>1649</v>
      </c>
      <c r="B36" t="s">
        <v>595</v>
      </c>
      <c r="C36" t="s">
        <v>883</v>
      </c>
      <c r="D36" t="s">
        <v>2876</v>
      </c>
      <c r="E36" t="s">
        <v>2877</v>
      </c>
      <c r="F36" t="s">
        <v>1385</v>
      </c>
      <c r="G36" t="s">
        <v>1794</v>
      </c>
      <c r="H36" t="s">
        <v>32</v>
      </c>
      <c r="I36" t="s">
        <v>17</v>
      </c>
      <c r="J36">
        <v>706</v>
      </c>
      <c r="K36" t="s">
        <v>34</v>
      </c>
      <c r="L36" s="2">
        <v>43152</v>
      </c>
      <c r="M36" t="s">
        <v>68</v>
      </c>
      <c r="N36" t="s">
        <v>518</v>
      </c>
      <c r="O36">
        <v>78260</v>
      </c>
      <c r="P36" t="s">
        <v>21</v>
      </c>
      <c r="Q36" t="str">
        <f>TEXT(Data_Set_3[[#This Row],[date]],"mmmm")</f>
        <v>February</v>
      </c>
      <c r="R36">
        <f>MONTH(Data_Set_3[[#This Row],[date]])</f>
        <v>2</v>
      </c>
      <c r="S36">
        <f>YEAR(Data_Set_3[[#This Row],[date]])</f>
        <v>2018</v>
      </c>
    </row>
    <row r="37" spans="1:19" x14ac:dyDescent="0.3">
      <c r="A37">
        <v>1971</v>
      </c>
      <c r="B37" t="s">
        <v>89</v>
      </c>
      <c r="C37" t="s">
        <v>511</v>
      </c>
      <c r="D37" t="s">
        <v>2878</v>
      </c>
      <c r="E37" t="s">
        <v>2879</v>
      </c>
      <c r="F37" t="s">
        <v>2262</v>
      </c>
      <c r="G37" t="s">
        <v>2432</v>
      </c>
      <c r="H37" t="s">
        <v>16</v>
      </c>
      <c r="I37" t="s">
        <v>406</v>
      </c>
      <c r="J37">
        <v>224</v>
      </c>
      <c r="K37" t="s">
        <v>164</v>
      </c>
      <c r="L37" s="2">
        <v>43155</v>
      </c>
      <c r="M37" t="s">
        <v>115</v>
      </c>
      <c r="N37" t="s">
        <v>536</v>
      </c>
      <c r="O37">
        <v>33075</v>
      </c>
      <c r="P37" t="s">
        <v>21</v>
      </c>
      <c r="Q37" t="str">
        <f>TEXT(Data_Set_3[[#This Row],[date]],"mmmm")</f>
        <v>February</v>
      </c>
      <c r="R37">
        <f>MONTH(Data_Set_3[[#This Row],[date]])</f>
        <v>2</v>
      </c>
      <c r="S37">
        <f>YEAR(Data_Set_3[[#This Row],[date]])</f>
        <v>2018</v>
      </c>
    </row>
    <row r="38" spans="1:19" x14ac:dyDescent="0.3">
      <c r="A38">
        <v>1567</v>
      </c>
      <c r="B38" t="s">
        <v>289</v>
      </c>
      <c r="C38" t="s">
        <v>426</v>
      </c>
      <c r="D38" t="s">
        <v>2880</v>
      </c>
      <c r="E38" t="s">
        <v>2881</v>
      </c>
      <c r="F38" t="s">
        <v>1956</v>
      </c>
      <c r="G38" t="s">
        <v>2525</v>
      </c>
      <c r="H38" t="s">
        <v>16</v>
      </c>
      <c r="I38" t="s">
        <v>274</v>
      </c>
      <c r="J38">
        <v>896</v>
      </c>
      <c r="K38" t="s">
        <v>26</v>
      </c>
      <c r="L38" s="2">
        <v>43157</v>
      </c>
      <c r="M38" t="s">
        <v>147</v>
      </c>
      <c r="N38" t="s">
        <v>1129</v>
      </c>
      <c r="O38">
        <v>53205</v>
      </c>
      <c r="P38" t="s">
        <v>21</v>
      </c>
      <c r="Q38" t="str">
        <f>TEXT(Data_Set_3[[#This Row],[date]],"mmmm")</f>
        <v>February</v>
      </c>
      <c r="R38">
        <f>MONTH(Data_Set_3[[#This Row],[date]])</f>
        <v>2</v>
      </c>
      <c r="S38">
        <f>YEAR(Data_Set_3[[#This Row],[date]])</f>
        <v>2018</v>
      </c>
    </row>
    <row r="39" spans="1:19" x14ac:dyDescent="0.3">
      <c r="A39">
        <v>1170</v>
      </c>
      <c r="B39" t="s">
        <v>22</v>
      </c>
      <c r="C39" t="s">
        <v>883</v>
      </c>
      <c r="D39" t="s">
        <v>2837</v>
      </c>
      <c r="E39" t="s">
        <v>2838</v>
      </c>
      <c r="F39" t="s">
        <v>2430</v>
      </c>
      <c r="G39" t="s">
        <v>1333</v>
      </c>
      <c r="H39" t="s">
        <v>16</v>
      </c>
      <c r="I39" t="s">
        <v>33</v>
      </c>
      <c r="J39">
        <v>79</v>
      </c>
      <c r="K39" t="s">
        <v>164</v>
      </c>
      <c r="L39" s="2">
        <v>43158</v>
      </c>
      <c r="M39" t="s">
        <v>68</v>
      </c>
      <c r="N39" t="s">
        <v>169</v>
      </c>
      <c r="O39">
        <v>88574</v>
      </c>
      <c r="P39" t="s">
        <v>21</v>
      </c>
      <c r="Q39" t="str">
        <f>TEXT(Data_Set_3[[#This Row],[date]],"mmmm")</f>
        <v>February</v>
      </c>
      <c r="R39">
        <f>MONTH(Data_Set_3[[#This Row],[date]])</f>
        <v>2</v>
      </c>
      <c r="S39">
        <f>YEAR(Data_Set_3[[#This Row],[date]])</f>
        <v>2018</v>
      </c>
    </row>
    <row r="40" spans="1:19" x14ac:dyDescent="0.3">
      <c r="A40">
        <v>1436</v>
      </c>
      <c r="B40" t="s">
        <v>356</v>
      </c>
      <c r="C40" t="s">
        <v>737</v>
      </c>
      <c r="D40" t="s">
        <v>2882</v>
      </c>
      <c r="E40" t="s">
        <v>2883</v>
      </c>
      <c r="F40" t="s">
        <v>1359</v>
      </c>
      <c r="G40" t="s">
        <v>2495</v>
      </c>
      <c r="H40" t="s">
        <v>32</v>
      </c>
      <c r="I40" t="s">
        <v>151</v>
      </c>
      <c r="J40">
        <v>91</v>
      </c>
      <c r="K40" t="s">
        <v>26</v>
      </c>
      <c r="L40" s="2">
        <v>43159</v>
      </c>
      <c r="M40" t="s">
        <v>489</v>
      </c>
      <c r="N40" t="s">
        <v>490</v>
      </c>
      <c r="O40">
        <v>89145</v>
      </c>
      <c r="P40" t="s">
        <v>21</v>
      </c>
      <c r="Q40" t="str">
        <f>TEXT(Data_Set_3[[#This Row],[date]],"mmmm")</f>
        <v>February</v>
      </c>
      <c r="R40">
        <f>MONTH(Data_Set_3[[#This Row],[date]])</f>
        <v>2</v>
      </c>
      <c r="S40">
        <f>YEAR(Data_Set_3[[#This Row],[date]])</f>
        <v>2018</v>
      </c>
    </row>
    <row r="41" spans="1:19" x14ac:dyDescent="0.3">
      <c r="A41">
        <v>1783</v>
      </c>
      <c r="B41" t="s">
        <v>721</v>
      </c>
      <c r="C41" t="s">
        <v>2884</v>
      </c>
      <c r="D41" t="s">
        <v>2885</v>
      </c>
      <c r="E41" t="s">
        <v>2886</v>
      </c>
      <c r="F41" t="s">
        <v>1539</v>
      </c>
      <c r="G41" t="s">
        <v>2887</v>
      </c>
      <c r="H41" t="s">
        <v>16</v>
      </c>
      <c r="I41" t="s">
        <v>25</v>
      </c>
      <c r="J41">
        <v>621</v>
      </c>
      <c r="K41" t="s">
        <v>57</v>
      </c>
      <c r="L41" s="2">
        <v>43161</v>
      </c>
      <c r="M41" t="s">
        <v>287</v>
      </c>
      <c r="N41" t="s">
        <v>288</v>
      </c>
      <c r="O41">
        <v>85715</v>
      </c>
      <c r="P41" t="s">
        <v>21</v>
      </c>
      <c r="Q41" t="str">
        <f>TEXT(Data_Set_3[[#This Row],[date]],"mmmm")</f>
        <v>March</v>
      </c>
      <c r="R41">
        <f>MONTH(Data_Set_3[[#This Row],[date]])</f>
        <v>3</v>
      </c>
      <c r="S41">
        <f>YEAR(Data_Set_3[[#This Row],[date]])</f>
        <v>2018</v>
      </c>
    </row>
    <row r="42" spans="1:19" x14ac:dyDescent="0.3">
      <c r="A42">
        <v>1001</v>
      </c>
      <c r="B42" t="s">
        <v>289</v>
      </c>
      <c r="C42" t="s">
        <v>1017</v>
      </c>
      <c r="D42" t="s">
        <v>2874</v>
      </c>
      <c r="E42" t="s">
        <v>2875</v>
      </c>
      <c r="F42" t="s">
        <v>2249</v>
      </c>
      <c r="G42" t="s">
        <v>1766</v>
      </c>
      <c r="H42" t="s">
        <v>16</v>
      </c>
      <c r="I42" t="s">
        <v>17</v>
      </c>
      <c r="J42">
        <v>266</v>
      </c>
      <c r="K42" t="s">
        <v>34</v>
      </c>
      <c r="L42" s="2">
        <v>43162</v>
      </c>
      <c r="M42" t="s">
        <v>68</v>
      </c>
      <c r="N42" t="s">
        <v>169</v>
      </c>
      <c r="O42">
        <v>88563</v>
      </c>
      <c r="P42" t="s">
        <v>21</v>
      </c>
      <c r="Q42" t="str">
        <f>TEXT(Data_Set_3[[#This Row],[date]],"mmmm")</f>
        <v>March</v>
      </c>
      <c r="R42">
        <f>MONTH(Data_Set_3[[#This Row],[date]])</f>
        <v>3</v>
      </c>
      <c r="S42">
        <f>YEAR(Data_Set_3[[#This Row],[date]])</f>
        <v>2018</v>
      </c>
    </row>
    <row r="43" spans="1:19" x14ac:dyDescent="0.3">
      <c r="A43">
        <v>1020</v>
      </c>
      <c r="B43" t="s">
        <v>122</v>
      </c>
      <c r="C43" t="s">
        <v>954</v>
      </c>
      <c r="D43" t="s">
        <v>2888</v>
      </c>
      <c r="E43" t="s">
        <v>2889</v>
      </c>
      <c r="F43" t="s">
        <v>1998</v>
      </c>
      <c r="G43" t="s">
        <v>1926</v>
      </c>
      <c r="H43" t="s">
        <v>32</v>
      </c>
      <c r="I43" t="s">
        <v>17</v>
      </c>
      <c r="J43">
        <v>783</v>
      </c>
      <c r="K43" t="s">
        <v>26</v>
      </c>
      <c r="L43" s="2">
        <v>43162</v>
      </c>
      <c r="M43" t="s">
        <v>35</v>
      </c>
      <c r="N43" t="s">
        <v>620</v>
      </c>
      <c r="O43">
        <v>94105</v>
      </c>
      <c r="P43" t="s">
        <v>21</v>
      </c>
      <c r="Q43" t="str">
        <f>TEXT(Data_Set_3[[#This Row],[date]],"mmmm")</f>
        <v>March</v>
      </c>
      <c r="R43">
        <f>MONTH(Data_Set_3[[#This Row],[date]])</f>
        <v>3</v>
      </c>
      <c r="S43">
        <f>YEAR(Data_Set_3[[#This Row],[date]])</f>
        <v>2018</v>
      </c>
    </row>
    <row r="44" spans="1:19" x14ac:dyDescent="0.3">
      <c r="A44">
        <v>1235</v>
      </c>
      <c r="B44" t="s">
        <v>595</v>
      </c>
      <c r="C44" t="s">
        <v>800</v>
      </c>
      <c r="D44" t="s">
        <v>2890</v>
      </c>
      <c r="E44" t="s">
        <v>2891</v>
      </c>
      <c r="F44" t="s">
        <v>1642</v>
      </c>
      <c r="G44" t="s">
        <v>2219</v>
      </c>
      <c r="H44" t="s">
        <v>32</v>
      </c>
      <c r="I44" t="s">
        <v>33</v>
      </c>
      <c r="J44">
        <v>843</v>
      </c>
      <c r="K44" t="s">
        <v>109</v>
      </c>
      <c r="L44" s="2">
        <v>43163</v>
      </c>
      <c r="M44" t="s">
        <v>184</v>
      </c>
      <c r="N44" t="s">
        <v>2892</v>
      </c>
      <c r="O44">
        <v>11054</v>
      </c>
      <c r="P44" t="s">
        <v>21</v>
      </c>
      <c r="Q44" t="str">
        <f>TEXT(Data_Set_3[[#This Row],[date]],"mmmm")</f>
        <v>March</v>
      </c>
      <c r="R44">
        <f>MONTH(Data_Set_3[[#This Row],[date]])</f>
        <v>3</v>
      </c>
      <c r="S44">
        <f>YEAR(Data_Set_3[[#This Row],[date]])</f>
        <v>2018</v>
      </c>
    </row>
    <row r="45" spans="1:19" x14ac:dyDescent="0.3">
      <c r="A45">
        <v>1404</v>
      </c>
      <c r="B45" t="s">
        <v>541</v>
      </c>
      <c r="C45" t="s">
        <v>1240</v>
      </c>
      <c r="D45" t="s">
        <v>2893</v>
      </c>
      <c r="E45" t="s">
        <v>2894</v>
      </c>
      <c r="F45" t="s">
        <v>2895</v>
      </c>
      <c r="G45" t="s">
        <v>2664</v>
      </c>
      <c r="H45" t="s">
        <v>32</v>
      </c>
      <c r="I45" t="s">
        <v>274</v>
      </c>
      <c r="J45">
        <v>396</v>
      </c>
      <c r="K45" t="s">
        <v>26</v>
      </c>
      <c r="L45" s="2">
        <v>43163</v>
      </c>
      <c r="M45" t="s">
        <v>96</v>
      </c>
      <c r="N45" t="s">
        <v>329</v>
      </c>
      <c r="O45">
        <v>47725</v>
      </c>
      <c r="P45" t="s">
        <v>21</v>
      </c>
      <c r="Q45" t="str">
        <f>TEXT(Data_Set_3[[#This Row],[date]],"mmmm")</f>
        <v>March</v>
      </c>
      <c r="R45">
        <f>MONTH(Data_Set_3[[#This Row],[date]])</f>
        <v>3</v>
      </c>
      <c r="S45">
        <f>YEAR(Data_Set_3[[#This Row],[date]])</f>
        <v>2018</v>
      </c>
    </row>
    <row r="46" spans="1:19" x14ac:dyDescent="0.3">
      <c r="A46">
        <v>1525</v>
      </c>
      <c r="B46" t="s">
        <v>721</v>
      </c>
      <c r="C46" t="s">
        <v>694</v>
      </c>
      <c r="D46" t="s">
        <v>2896</v>
      </c>
      <c r="E46" t="s">
        <v>2897</v>
      </c>
      <c r="F46" t="s">
        <v>1674</v>
      </c>
      <c r="G46" t="s">
        <v>2016</v>
      </c>
      <c r="H46" t="s">
        <v>16</v>
      </c>
      <c r="I46" t="s">
        <v>274</v>
      </c>
      <c r="J46">
        <v>637</v>
      </c>
      <c r="K46" t="s">
        <v>34</v>
      </c>
      <c r="L46" s="2">
        <v>43164</v>
      </c>
      <c r="M46" t="s">
        <v>68</v>
      </c>
      <c r="N46" t="s">
        <v>234</v>
      </c>
      <c r="O46">
        <v>77276</v>
      </c>
      <c r="P46" t="s">
        <v>21</v>
      </c>
      <c r="Q46" t="str">
        <f>TEXT(Data_Set_3[[#This Row],[date]],"mmmm")</f>
        <v>March</v>
      </c>
      <c r="R46">
        <f>MONTH(Data_Set_3[[#This Row],[date]])</f>
        <v>3</v>
      </c>
      <c r="S46">
        <f>YEAR(Data_Set_3[[#This Row],[date]])</f>
        <v>2018</v>
      </c>
    </row>
    <row r="47" spans="1:19" x14ac:dyDescent="0.3">
      <c r="A47">
        <v>1662</v>
      </c>
      <c r="B47" t="s">
        <v>1251</v>
      </c>
      <c r="C47" t="s">
        <v>195</v>
      </c>
      <c r="D47" t="s">
        <v>2898</v>
      </c>
      <c r="E47" t="s">
        <v>2899</v>
      </c>
      <c r="F47" t="s">
        <v>2430</v>
      </c>
      <c r="G47" t="s">
        <v>1564</v>
      </c>
      <c r="H47" t="s">
        <v>32</v>
      </c>
      <c r="I47" t="s">
        <v>17</v>
      </c>
      <c r="J47">
        <v>622</v>
      </c>
      <c r="K47" t="s">
        <v>62</v>
      </c>
      <c r="L47" s="2">
        <v>43169</v>
      </c>
      <c r="M47" t="s">
        <v>63</v>
      </c>
      <c r="N47" t="s">
        <v>448</v>
      </c>
      <c r="O47">
        <v>68517</v>
      </c>
      <c r="P47" t="s">
        <v>21</v>
      </c>
      <c r="Q47" t="str">
        <f>TEXT(Data_Set_3[[#This Row],[date]],"mmmm")</f>
        <v>March</v>
      </c>
      <c r="R47">
        <f>MONTH(Data_Set_3[[#This Row],[date]])</f>
        <v>3</v>
      </c>
      <c r="S47">
        <f>YEAR(Data_Set_3[[#This Row],[date]])</f>
        <v>2018</v>
      </c>
    </row>
    <row r="48" spans="1:19" x14ac:dyDescent="0.3">
      <c r="A48">
        <v>1298</v>
      </c>
      <c r="B48" t="s">
        <v>595</v>
      </c>
      <c r="C48" t="s">
        <v>293</v>
      </c>
      <c r="D48" t="s">
        <v>2900</v>
      </c>
      <c r="E48" t="s">
        <v>2901</v>
      </c>
      <c r="F48" t="s">
        <v>1539</v>
      </c>
      <c r="G48" t="s">
        <v>1952</v>
      </c>
      <c r="H48" t="s">
        <v>32</v>
      </c>
      <c r="I48" t="s">
        <v>543</v>
      </c>
      <c r="J48">
        <v>466</v>
      </c>
      <c r="K48" t="s">
        <v>73</v>
      </c>
      <c r="L48" s="2">
        <v>43170</v>
      </c>
      <c r="M48" t="s">
        <v>115</v>
      </c>
      <c r="N48" t="s">
        <v>351</v>
      </c>
      <c r="O48">
        <v>32891</v>
      </c>
      <c r="P48" t="s">
        <v>21</v>
      </c>
      <c r="Q48" t="str">
        <f>TEXT(Data_Set_3[[#This Row],[date]],"mmmm")</f>
        <v>March</v>
      </c>
      <c r="R48">
        <f>MONTH(Data_Set_3[[#This Row],[date]])</f>
        <v>3</v>
      </c>
      <c r="S48">
        <f>YEAR(Data_Set_3[[#This Row],[date]])</f>
        <v>2018</v>
      </c>
    </row>
    <row r="49" spans="1:19" x14ac:dyDescent="0.3">
      <c r="A49">
        <v>1939</v>
      </c>
      <c r="B49" t="s">
        <v>588</v>
      </c>
      <c r="C49" t="s">
        <v>652</v>
      </c>
      <c r="D49" t="s">
        <v>2902</v>
      </c>
      <c r="E49" t="s">
        <v>2903</v>
      </c>
      <c r="F49" t="s">
        <v>2319</v>
      </c>
      <c r="G49" t="s">
        <v>2687</v>
      </c>
      <c r="H49" t="s">
        <v>16</v>
      </c>
      <c r="I49" t="s">
        <v>361</v>
      </c>
      <c r="J49">
        <v>15</v>
      </c>
      <c r="K49" t="s">
        <v>26</v>
      </c>
      <c r="L49" s="2">
        <v>43172</v>
      </c>
      <c r="M49" t="s">
        <v>184</v>
      </c>
      <c r="N49" t="s">
        <v>656</v>
      </c>
      <c r="O49">
        <v>11241</v>
      </c>
      <c r="P49" t="s">
        <v>21</v>
      </c>
      <c r="Q49" t="str">
        <f>TEXT(Data_Set_3[[#This Row],[date]],"mmmm")</f>
        <v>March</v>
      </c>
      <c r="R49">
        <f>MONTH(Data_Set_3[[#This Row],[date]])</f>
        <v>3</v>
      </c>
      <c r="S49">
        <f>YEAR(Data_Set_3[[#This Row],[date]])</f>
        <v>2018</v>
      </c>
    </row>
    <row r="50" spans="1:19" x14ac:dyDescent="0.3">
      <c r="A50">
        <v>1020</v>
      </c>
      <c r="B50" t="s">
        <v>122</v>
      </c>
      <c r="C50" t="s">
        <v>954</v>
      </c>
      <c r="D50" t="s">
        <v>2888</v>
      </c>
      <c r="E50" t="s">
        <v>2889</v>
      </c>
      <c r="F50" t="s">
        <v>1998</v>
      </c>
      <c r="G50" t="s">
        <v>1926</v>
      </c>
      <c r="H50" t="s">
        <v>32</v>
      </c>
      <c r="I50" t="s">
        <v>17</v>
      </c>
      <c r="J50">
        <v>574</v>
      </c>
      <c r="K50" t="s">
        <v>26</v>
      </c>
      <c r="L50" s="2">
        <v>43181</v>
      </c>
      <c r="M50" t="s">
        <v>35</v>
      </c>
      <c r="N50" t="s">
        <v>620</v>
      </c>
      <c r="O50">
        <v>94105</v>
      </c>
      <c r="P50" t="s">
        <v>21</v>
      </c>
      <c r="Q50" t="str">
        <f>TEXT(Data_Set_3[[#This Row],[date]],"mmmm")</f>
        <v>March</v>
      </c>
      <c r="R50">
        <f>MONTH(Data_Set_3[[#This Row],[date]])</f>
        <v>3</v>
      </c>
      <c r="S50">
        <f>YEAR(Data_Set_3[[#This Row],[date]])</f>
        <v>2018</v>
      </c>
    </row>
    <row r="51" spans="1:19" x14ac:dyDescent="0.3">
      <c r="A51">
        <v>1260</v>
      </c>
      <c r="B51" t="s">
        <v>417</v>
      </c>
      <c r="C51" t="s">
        <v>2904</v>
      </c>
      <c r="D51" t="s">
        <v>2905</v>
      </c>
      <c r="E51" t="s">
        <v>2906</v>
      </c>
      <c r="F51" t="s">
        <v>1777</v>
      </c>
      <c r="G51" t="s">
        <v>2571</v>
      </c>
      <c r="H51" t="s">
        <v>16</v>
      </c>
      <c r="I51" t="s">
        <v>543</v>
      </c>
      <c r="J51">
        <v>778</v>
      </c>
      <c r="K51" t="s">
        <v>26</v>
      </c>
      <c r="L51" s="2">
        <v>43181</v>
      </c>
      <c r="M51" t="s">
        <v>220</v>
      </c>
      <c r="N51" t="s">
        <v>2907</v>
      </c>
      <c r="O51">
        <v>99215</v>
      </c>
      <c r="P51" t="s">
        <v>21</v>
      </c>
      <c r="Q51" t="str">
        <f>TEXT(Data_Set_3[[#This Row],[date]],"mmmm")</f>
        <v>March</v>
      </c>
      <c r="R51">
        <f>MONTH(Data_Set_3[[#This Row],[date]])</f>
        <v>3</v>
      </c>
      <c r="S51">
        <f>YEAR(Data_Set_3[[#This Row],[date]])</f>
        <v>2018</v>
      </c>
    </row>
    <row r="52" spans="1:19" x14ac:dyDescent="0.3">
      <c r="A52">
        <v>1739</v>
      </c>
      <c r="B52" t="s">
        <v>630</v>
      </c>
      <c r="C52" t="s">
        <v>741</v>
      </c>
      <c r="D52" t="s">
        <v>2908</v>
      </c>
      <c r="E52" t="s">
        <v>2909</v>
      </c>
      <c r="F52" t="s">
        <v>2910</v>
      </c>
      <c r="G52" t="s">
        <v>2234</v>
      </c>
      <c r="H52" t="s">
        <v>32</v>
      </c>
      <c r="I52" t="s">
        <v>179</v>
      </c>
      <c r="J52">
        <v>953</v>
      </c>
      <c r="K52" t="s">
        <v>225</v>
      </c>
      <c r="L52" s="2">
        <v>43184</v>
      </c>
      <c r="M52" t="s">
        <v>192</v>
      </c>
      <c r="N52" t="s">
        <v>515</v>
      </c>
      <c r="O52">
        <v>55146</v>
      </c>
      <c r="P52" t="s">
        <v>21</v>
      </c>
      <c r="Q52" t="str">
        <f>TEXT(Data_Set_3[[#This Row],[date]],"mmmm")</f>
        <v>March</v>
      </c>
      <c r="R52">
        <f>MONTH(Data_Set_3[[#This Row],[date]])</f>
        <v>3</v>
      </c>
      <c r="S52">
        <f>YEAR(Data_Set_3[[#This Row],[date]])</f>
        <v>2018</v>
      </c>
    </row>
    <row r="53" spans="1:19" x14ac:dyDescent="0.3">
      <c r="A53">
        <v>1298</v>
      </c>
      <c r="B53" t="s">
        <v>595</v>
      </c>
      <c r="C53" t="s">
        <v>293</v>
      </c>
      <c r="D53" t="s">
        <v>2900</v>
      </c>
      <c r="E53" t="s">
        <v>2901</v>
      </c>
      <c r="F53" t="s">
        <v>1539</v>
      </c>
      <c r="G53" t="s">
        <v>1952</v>
      </c>
      <c r="H53" t="s">
        <v>32</v>
      </c>
      <c r="I53" t="s">
        <v>543</v>
      </c>
      <c r="J53">
        <v>511</v>
      </c>
      <c r="K53" t="s">
        <v>73</v>
      </c>
      <c r="L53" s="2">
        <v>43189</v>
      </c>
      <c r="M53" t="s">
        <v>115</v>
      </c>
      <c r="N53" t="s">
        <v>351</v>
      </c>
      <c r="O53">
        <v>32891</v>
      </c>
      <c r="P53" t="s">
        <v>21</v>
      </c>
      <c r="Q53" t="str">
        <f>TEXT(Data_Set_3[[#This Row],[date]],"mmmm")</f>
        <v>March</v>
      </c>
      <c r="R53">
        <f>MONTH(Data_Set_3[[#This Row],[date]])</f>
        <v>3</v>
      </c>
      <c r="S53">
        <f>YEAR(Data_Set_3[[#This Row],[date]])</f>
        <v>2018</v>
      </c>
    </row>
    <row r="54" spans="1:19" x14ac:dyDescent="0.3">
      <c r="A54">
        <v>1687</v>
      </c>
      <c r="B54" t="s">
        <v>2869</v>
      </c>
      <c r="C54" t="s">
        <v>762</v>
      </c>
      <c r="D54" t="s">
        <v>2911</v>
      </c>
      <c r="E54" t="s">
        <v>2912</v>
      </c>
      <c r="F54" t="s">
        <v>1372</v>
      </c>
      <c r="G54" t="s">
        <v>1302</v>
      </c>
      <c r="H54" t="s">
        <v>16</v>
      </c>
      <c r="I54" t="s">
        <v>17</v>
      </c>
      <c r="J54">
        <v>591</v>
      </c>
      <c r="K54" t="s">
        <v>26</v>
      </c>
      <c r="L54" s="2">
        <v>43189</v>
      </c>
      <c r="M54" t="s">
        <v>35</v>
      </c>
      <c r="N54" t="s">
        <v>438</v>
      </c>
      <c r="O54">
        <v>90101</v>
      </c>
      <c r="P54" t="s">
        <v>21</v>
      </c>
      <c r="Q54" t="str">
        <f>TEXT(Data_Set_3[[#This Row],[date]],"mmmm")</f>
        <v>March</v>
      </c>
      <c r="R54">
        <f>MONTH(Data_Set_3[[#This Row],[date]])</f>
        <v>3</v>
      </c>
      <c r="S54">
        <f>YEAR(Data_Set_3[[#This Row],[date]])</f>
        <v>2018</v>
      </c>
    </row>
    <row r="55" spans="1:19" x14ac:dyDescent="0.3">
      <c r="A55">
        <v>1489</v>
      </c>
      <c r="B55" t="s">
        <v>860</v>
      </c>
      <c r="C55" t="s">
        <v>849</v>
      </c>
      <c r="D55" t="s">
        <v>2817</v>
      </c>
      <c r="E55" t="s">
        <v>2818</v>
      </c>
      <c r="F55" t="s">
        <v>1606</v>
      </c>
      <c r="G55" t="s">
        <v>1899</v>
      </c>
      <c r="H55" t="s">
        <v>16</v>
      </c>
      <c r="I55" t="s">
        <v>17</v>
      </c>
      <c r="J55">
        <v>314</v>
      </c>
      <c r="K55" t="s">
        <v>62</v>
      </c>
      <c r="L55" s="2">
        <v>43192</v>
      </c>
      <c r="M55" t="s">
        <v>204</v>
      </c>
      <c r="N55" t="s">
        <v>1135</v>
      </c>
      <c r="O55">
        <v>23668</v>
      </c>
      <c r="P55" t="s">
        <v>21</v>
      </c>
      <c r="Q55" t="str">
        <f>TEXT(Data_Set_3[[#This Row],[date]],"mmmm")</f>
        <v>April</v>
      </c>
      <c r="R55">
        <f>MONTH(Data_Set_3[[#This Row],[date]])</f>
        <v>4</v>
      </c>
      <c r="S55">
        <f>YEAR(Data_Set_3[[#This Row],[date]])</f>
        <v>2018</v>
      </c>
    </row>
    <row r="56" spans="1:19" x14ac:dyDescent="0.3">
      <c r="A56">
        <v>1275</v>
      </c>
      <c r="B56" t="s">
        <v>795</v>
      </c>
      <c r="C56" t="s">
        <v>446</v>
      </c>
      <c r="D56" t="s">
        <v>2913</v>
      </c>
      <c r="E56" t="s">
        <v>2914</v>
      </c>
      <c r="F56" t="s">
        <v>1287</v>
      </c>
      <c r="G56" t="s">
        <v>1615</v>
      </c>
      <c r="H56" t="s">
        <v>32</v>
      </c>
      <c r="I56" t="s">
        <v>454</v>
      </c>
      <c r="J56">
        <v>575</v>
      </c>
      <c r="K56" t="s">
        <v>57</v>
      </c>
      <c r="L56" s="2">
        <v>43195</v>
      </c>
      <c r="M56" t="s">
        <v>35</v>
      </c>
      <c r="N56" t="s">
        <v>494</v>
      </c>
      <c r="O56">
        <v>94622</v>
      </c>
      <c r="P56" t="s">
        <v>21</v>
      </c>
      <c r="Q56" t="str">
        <f>TEXT(Data_Set_3[[#This Row],[date]],"mmmm")</f>
        <v>April</v>
      </c>
      <c r="R56">
        <f>MONTH(Data_Set_3[[#This Row],[date]])</f>
        <v>4</v>
      </c>
      <c r="S56">
        <f>YEAR(Data_Set_3[[#This Row],[date]])</f>
        <v>2018</v>
      </c>
    </row>
    <row r="57" spans="1:19" x14ac:dyDescent="0.3">
      <c r="A57">
        <v>1468</v>
      </c>
      <c r="B57" t="s">
        <v>2915</v>
      </c>
      <c r="C57" t="s">
        <v>722</v>
      </c>
      <c r="D57" t="s">
        <v>2916</v>
      </c>
      <c r="E57" t="s">
        <v>2917</v>
      </c>
      <c r="F57" t="s">
        <v>2918</v>
      </c>
      <c r="G57" t="s">
        <v>1559</v>
      </c>
      <c r="H57" t="s">
        <v>32</v>
      </c>
      <c r="I57" t="s">
        <v>33</v>
      </c>
      <c r="J57">
        <v>77</v>
      </c>
      <c r="K57" t="s">
        <v>259</v>
      </c>
      <c r="L57" s="2">
        <v>43195</v>
      </c>
      <c r="M57" t="s">
        <v>120</v>
      </c>
      <c r="N57" t="s">
        <v>718</v>
      </c>
      <c r="O57">
        <v>70116</v>
      </c>
      <c r="P57" t="s">
        <v>21</v>
      </c>
      <c r="Q57" t="str">
        <f>TEXT(Data_Set_3[[#This Row],[date]],"mmmm")</f>
        <v>April</v>
      </c>
      <c r="R57">
        <f>MONTH(Data_Set_3[[#This Row],[date]])</f>
        <v>4</v>
      </c>
      <c r="S57">
        <f>YEAR(Data_Set_3[[#This Row],[date]])</f>
        <v>2018</v>
      </c>
    </row>
    <row r="58" spans="1:19" x14ac:dyDescent="0.3">
      <c r="A58">
        <v>1725</v>
      </c>
      <c r="B58" t="s">
        <v>699</v>
      </c>
      <c r="C58" t="s">
        <v>934</v>
      </c>
      <c r="D58" t="s">
        <v>2919</v>
      </c>
      <c r="E58" t="s">
        <v>2920</v>
      </c>
      <c r="F58" t="s">
        <v>1372</v>
      </c>
      <c r="G58" t="s">
        <v>2432</v>
      </c>
      <c r="H58" t="s">
        <v>16</v>
      </c>
      <c r="I58" t="s">
        <v>25</v>
      </c>
      <c r="J58">
        <v>805</v>
      </c>
      <c r="K58" t="s">
        <v>95</v>
      </c>
      <c r="L58" s="2">
        <v>43197</v>
      </c>
      <c r="M58" t="s">
        <v>68</v>
      </c>
      <c r="N58" t="s">
        <v>2921</v>
      </c>
      <c r="O58">
        <v>79605</v>
      </c>
      <c r="P58" t="s">
        <v>21</v>
      </c>
      <c r="Q58" t="str">
        <f>TEXT(Data_Set_3[[#This Row],[date]],"mmmm")</f>
        <v>April</v>
      </c>
      <c r="R58">
        <f>MONTH(Data_Set_3[[#This Row],[date]])</f>
        <v>4</v>
      </c>
      <c r="S58">
        <f>YEAR(Data_Set_3[[#This Row],[date]])</f>
        <v>2018</v>
      </c>
    </row>
    <row r="59" spans="1:19" x14ac:dyDescent="0.3">
      <c r="A59">
        <v>1810</v>
      </c>
      <c r="B59" t="s">
        <v>204</v>
      </c>
      <c r="C59" t="s">
        <v>522</v>
      </c>
      <c r="D59" t="s">
        <v>2922</v>
      </c>
      <c r="E59" t="s">
        <v>2923</v>
      </c>
      <c r="F59" t="s">
        <v>1768</v>
      </c>
      <c r="G59" t="s">
        <v>2356</v>
      </c>
      <c r="H59" t="s">
        <v>32</v>
      </c>
      <c r="I59" t="s">
        <v>361</v>
      </c>
      <c r="J59">
        <v>207</v>
      </c>
      <c r="K59" t="s">
        <v>26</v>
      </c>
      <c r="L59" s="2">
        <v>43199</v>
      </c>
      <c r="M59" t="s">
        <v>138</v>
      </c>
      <c r="N59" t="s">
        <v>2924</v>
      </c>
      <c r="O59">
        <v>97312</v>
      </c>
      <c r="P59" t="s">
        <v>21</v>
      </c>
      <c r="Q59" t="str">
        <f>TEXT(Data_Set_3[[#This Row],[date]],"mmmm")</f>
        <v>April</v>
      </c>
      <c r="R59">
        <f>MONTH(Data_Set_3[[#This Row],[date]])</f>
        <v>4</v>
      </c>
      <c r="S59">
        <f>YEAR(Data_Set_3[[#This Row],[date]])</f>
        <v>2018</v>
      </c>
    </row>
    <row r="60" spans="1:19" x14ac:dyDescent="0.3">
      <c r="A60">
        <v>1880</v>
      </c>
      <c r="B60" t="s">
        <v>304</v>
      </c>
      <c r="C60" t="s">
        <v>526</v>
      </c>
      <c r="D60" t="s">
        <v>2831</v>
      </c>
      <c r="E60" t="s">
        <v>2832</v>
      </c>
      <c r="F60" t="s">
        <v>1376</v>
      </c>
      <c r="G60" t="s">
        <v>2577</v>
      </c>
      <c r="H60" t="s">
        <v>32</v>
      </c>
      <c r="I60" t="s">
        <v>274</v>
      </c>
      <c r="J60">
        <v>693</v>
      </c>
      <c r="K60" t="s">
        <v>26</v>
      </c>
      <c r="L60" s="2">
        <v>43199</v>
      </c>
      <c r="M60" t="s">
        <v>246</v>
      </c>
      <c r="N60" t="s">
        <v>339</v>
      </c>
      <c r="O60">
        <v>60614</v>
      </c>
      <c r="P60" t="s">
        <v>21</v>
      </c>
      <c r="Q60" t="str">
        <f>TEXT(Data_Set_3[[#This Row],[date]],"mmmm")</f>
        <v>April</v>
      </c>
      <c r="R60">
        <f>MONTH(Data_Set_3[[#This Row],[date]])</f>
        <v>4</v>
      </c>
      <c r="S60">
        <f>YEAR(Data_Set_3[[#This Row],[date]])</f>
        <v>2018</v>
      </c>
    </row>
    <row r="61" spans="1:19" x14ac:dyDescent="0.3">
      <c r="A61">
        <v>1720</v>
      </c>
      <c r="B61" t="s">
        <v>2925</v>
      </c>
      <c r="C61" t="s">
        <v>682</v>
      </c>
      <c r="D61" t="s">
        <v>2926</v>
      </c>
      <c r="E61" t="s">
        <v>2927</v>
      </c>
      <c r="F61" t="s">
        <v>1617</v>
      </c>
      <c r="G61" t="s">
        <v>1425</v>
      </c>
      <c r="H61" t="s">
        <v>32</v>
      </c>
      <c r="I61" t="s">
        <v>17</v>
      </c>
      <c r="J61">
        <v>591</v>
      </c>
      <c r="K61" t="s">
        <v>40</v>
      </c>
      <c r="L61" s="2">
        <v>43201</v>
      </c>
      <c r="M61" t="s">
        <v>68</v>
      </c>
      <c r="N61" t="s">
        <v>169</v>
      </c>
      <c r="O61">
        <v>79923</v>
      </c>
      <c r="P61" t="s">
        <v>21</v>
      </c>
      <c r="Q61" t="str">
        <f>TEXT(Data_Set_3[[#This Row],[date]],"mmmm")</f>
        <v>April</v>
      </c>
      <c r="R61">
        <f>MONTH(Data_Set_3[[#This Row],[date]])</f>
        <v>4</v>
      </c>
      <c r="S61">
        <f>YEAR(Data_Set_3[[#This Row],[date]])</f>
        <v>2018</v>
      </c>
    </row>
    <row r="62" spans="1:19" x14ac:dyDescent="0.3">
      <c r="A62">
        <v>1234</v>
      </c>
      <c r="B62" t="s">
        <v>2806</v>
      </c>
      <c r="C62" t="s">
        <v>752</v>
      </c>
      <c r="D62" t="s">
        <v>2807</v>
      </c>
      <c r="E62" t="s">
        <v>2808</v>
      </c>
      <c r="F62" t="s">
        <v>1460</v>
      </c>
      <c r="G62" t="s">
        <v>2125</v>
      </c>
      <c r="H62" t="s">
        <v>16</v>
      </c>
      <c r="I62" t="s">
        <v>33</v>
      </c>
      <c r="J62">
        <v>641</v>
      </c>
      <c r="K62" t="s">
        <v>62</v>
      </c>
      <c r="L62" s="2">
        <v>43204</v>
      </c>
      <c r="M62" t="s">
        <v>68</v>
      </c>
      <c r="N62" t="s">
        <v>69</v>
      </c>
      <c r="O62">
        <v>78710</v>
      </c>
      <c r="P62" t="s">
        <v>21</v>
      </c>
      <c r="Q62" t="str">
        <f>TEXT(Data_Set_3[[#This Row],[date]],"mmmm")</f>
        <v>April</v>
      </c>
      <c r="R62">
        <f>MONTH(Data_Set_3[[#This Row],[date]])</f>
        <v>4</v>
      </c>
      <c r="S62">
        <f>YEAR(Data_Set_3[[#This Row],[date]])</f>
        <v>2018</v>
      </c>
    </row>
    <row r="63" spans="1:19" x14ac:dyDescent="0.3">
      <c r="A63">
        <v>1400</v>
      </c>
      <c r="B63" t="s">
        <v>248</v>
      </c>
      <c r="C63" t="s">
        <v>430</v>
      </c>
      <c r="D63" t="s">
        <v>2928</v>
      </c>
      <c r="E63" t="s">
        <v>2929</v>
      </c>
      <c r="F63" t="s">
        <v>1715</v>
      </c>
      <c r="G63" t="s">
        <v>1985</v>
      </c>
      <c r="H63" t="s">
        <v>16</v>
      </c>
      <c r="I63" t="s">
        <v>25</v>
      </c>
      <c r="J63">
        <v>328</v>
      </c>
      <c r="K63" t="s">
        <v>26</v>
      </c>
      <c r="L63" s="2">
        <v>43205</v>
      </c>
      <c r="M63" t="s">
        <v>110</v>
      </c>
      <c r="N63" t="s">
        <v>111</v>
      </c>
      <c r="O63">
        <v>15274</v>
      </c>
      <c r="P63" t="s">
        <v>21</v>
      </c>
      <c r="Q63" t="str">
        <f>TEXT(Data_Set_3[[#This Row],[date]],"mmmm")</f>
        <v>April</v>
      </c>
      <c r="R63">
        <f>MONTH(Data_Set_3[[#This Row],[date]])</f>
        <v>4</v>
      </c>
      <c r="S63">
        <f>YEAR(Data_Set_3[[#This Row],[date]])</f>
        <v>2018</v>
      </c>
    </row>
    <row r="64" spans="1:19" x14ac:dyDescent="0.3">
      <c r="A64">
        <v>1116</v>
      </c>
      <c r="B64" t="s">
        <v>135</v>
      </c>
      <c r="C64" t="s">
        <v>2803</v>
      </c>
      <c r="D64" t="s">
        <v>2804</v>
      </c>
      <c r="E64" t="s">
        <v>2805</v>
      </c>
      <c r="F64" t="s">
        <v>1770</v>
      </c>
      <c r="G64" t="s">
        <v>2110</v>
      </c>
      <c r="H64" t="s">
        <v>32</v>
      </c>
      <c r="I64" t="s">
        <v>51</v>
      </c>
      <c r="J64">
        <v>402</v>
      </c>
      <c r="K64" t="s">
        <v>95</v>
      </c>
      <c r="L64" s="2">
        <v>43208</v>
      </c>
      <c r="M64" t="s">
        <v>74</v>
      </c>
      <c r="N64" t="s">
        <v>400</v>
      </c>
      <c r="O64">
        <v>30096</v>
      </c>
      <c r="P64" t="s">
        <v>21</v>
      </c>
      <c r="Q64" t="str">
        <f>TEXT(Data_Set_3[[#This Row],[date]],"mmmm")</f>
        <v>April</v>
      </c>
      <c r="R64">
        <f>MONTH(Data_Set_3[[#This Row],[date]])</f>
        <v>4</v>
      </c>
      <c r="S64">
        <f>YEAR(Data_Set_3[[#This Row],[date]])</f>
        <v>2018</v>
      </c>
    </row>
    <row r="65" spans="1:19" x14ac:dyDescent="0.3">
      <c r="A65">
        <v>1999</v>
      </c>
      <c r="B65" t="s">
        <v>2930</v>
      </c>
      <c r="C65" t="s">
        <v>567</v>
      </c>
      <c r="D65" t="s">
        <v>2931</v>
      </c>
      <c r="E65" t="s">
        <v>2932</v>
      </c>
      <c r="F65" t="s">
        <v>1529</v>
      </c>
      <c r="G65" t="s">
        <v>2687</v>
      </c>
      <c r="H65" t="s">
        <v>16</v>
      </c>
      <c r="I65" t="s">
        <v>406</v>
      </c>
      <c r="J65">
        <v>381</v>
      </c>
      <c r="K65" t="s">
        <v>26</v>
      </c>
      <c r="L65" s="2">
        <v>43212</v>
      </c>
      <c r="M65" t="s">
        <v>74</v>
      </c>
      <c r="N65" t="s">
        <v>643</v>
      </c>
      <c r="O65">
        <v>31914</v>
      </c>
      <c r="P65" t="s">
        <v>21</v>
      </c>
      <c r="Q65" t="str">
        <f>TEXT(Data_Set_3[[#This Row],[date]],"mmmm")</f>
        <v>April</v>
      </c>
      <c r="R65">
        <f>MONTH(Data_Set_3[[#This Row],[date]])</f>
        <v>4</v>
      </c>
      <c r="S65">
        <f>YEAR(Data_Set_3[[#This Row],[date]])</f>
        <v>2018</v>
      </c>
    </row>
    <row r="66" spans="1:19" x14ac:dyDescent="0.3">
      <c r="A66">
        <v>1163</v>
      </c>
      <c r="B66" t="s">
        <v>905</v>
      </c>
      <c r="C66" t="s">
        <v>617</v>
      </c>
      <c r="D66" t="s">
        <v>2933</v>
      </c>
      <c r="E66" t="s">
        <v>2934</v>
      </c>
      <c r="F66" t="s">
        <v>2505</v>
      </c>
      <c r="G66" t="s">
        <v>1363</v>
      </c>
      <c r="H66" t="s">
        <v>16</v>
      </c>
      <c r="I66" t="s">
        <v>25</v>
      </c>
      <c r="J66">
        <v>67</v>
      </c>
      <c r="K66" t="s">
        <v>26</v>
      </c>
      <c r="L66" s="2">
        <v>43213</v>
      </c>
      <c r="M66" t="s">
        <v>68</v>
      </c>
      <c r="N66" t="s">
        <v>169</v>
      </c>
      <c r="O66">
        <v>88584</v>
      </c>
      <c r="P66" t="s">
        <v>21</v>
      </c>
      <c r="Q66" t="str">
        <f>TEXT(Data_Set_3[[#This Row],[date]],"mmmm")</f>
        <v>April</v>
      </c>
      <c r="R66">
        <f>MONTH(Data_Set_3[[#This Row],[date]])</f>
        <v>4</v>
      </c>
      <c r="S66">
        <f>YEAR(Data_Set_3[[#This Row],[date]])</f>
        <v>2018</v>
      </c>
    </row>
    <row r="67" spans="1:19" x14ac:dyDescent="0.3">
      <c r="A67">
        <v>1562</v>
      </c>
      <c r="B67" t="s">
        <v>256</v>
      </c>
      <c r="C67" t="s">
        <v>202</v>
      </c>
      <c r="D67" t="s">
        <v>2935</v>
      </c>
      <c r="E67" t="s">
        <v>2936</v>
      </c>
      <c r="F67" t="s">
        <v>1640</v>
      </c>
      <c r="G67" t="s">
        <v>1634</v>
      </c>
      <c r="H67" t="s">
        <v>32</v>
      </c>
      <c r="I67" t="s">
        <v>179</v>
      </c>
      <c r="J67">
        <v>648</v>
      </c>
      <c r="K67" t="s">
        <v>83</v>
      </c>
      <c r="L67" s="2">
        <v>43213</v>
      </c>
      <c r="M67" t="s">
        <v>68</v>
      </c>
      <c r="N67" t="s">
        <v>2937</v>
      </c>
      <c r="O67">
        <v>78475</v>
      </c>
      <c r="P67" t="s">
        <v>21</v>
      </c>
      <c r="Q67" t="str">
        <f>TEXT(Data_Set_3[[#This Row],[date]],"mmmm")</f>
        <v>April</v>
      </c>
      <c r="R67">
        <f>MONTH(Data_Set_3[[#This Row],[date]])</f>
        <v>4</v>
      </c>
      <c r="S67">
        <f>YEAR(Data_Set_3[[#This Row],[date]])</f>
        <v>2018</v>
      </c>
    </row>
    <row r="68" spans="1:19" x14ac:dyDescent="0.3">
      <c r="A68">
        <v>1298</v>
      </c>
      <c r="B68" t="s">
        <v>595</v>
      </c>
      <c r="C68" t="s">
        <v>293</v>
      </c>
      <c r="D68" t="s">
        <v>2900</v>
      </c>
      <c r="E68" t="s">
        <v>2901</v>
      </c>
      <c r="F68" t="s">
        <v>1539</v>
      </c>
      <c r="G68" t="s">
        <v>1952</v>
      </c>
      <c r="H68" t="s">
        <v>32</v>
      </c>
      <c r="I68" t="s">
        <v>543</v>
      </c>
      <c r="J68">
        <v>290</v>
      </c>
      <c r="K68" t="s">
        <v>73</v>
      </c>
      <c r="L68" s="2">
        <v>43214</v>
      </c>
      <c r="M68" t="s">
        <v>115</v>
      </c>
      <c r="N68" t="s">
        <v>351</v>
      </c>
      <c r="O68">
        <v>32891</v>
      </c>
      <c r="P68" t="s">
        <v>21</v>
      </c>
      <c r="Q68" t="str">
        <f>TEXT(Data_Set_3[[#This Row],[date]],"mmmm")</f>
        <v>April</v>
      </c>
      <c r="R68">
        <f>MONTH(Data_Set_3[[#This Row],[date]])</f>
        <v>4</v>
      </c>
      <c r="S68">
        <f>YEAR(Data_Set_3[[#This Row],[date]])</f>
        <v>2018</v>
      </c>
    </row>
    <row r="69" spans="1:19" x14ac:dyDescent="0.3">
      <c r="A69">
        <v>1880</v>
      </c>
      <c r="B69" t="s">
        <v>304</v>
      </c>
      <c r="C69" t="s">
        <v>526</v>
      </c>
      <c r="D69" t="s">
        <v>2831</v>
      </c>
      <c r="E69" t="s">
        <v>2832</v>
      </c>
      <c r="F69" t="s">
        <v>1376</v>
      </c>
      <c r="G69" t="s">
        <v>2577</v>
      </c>
      <c r="H69" t="s">
        <v>32</v>
      </c>
      <c r="I69" t="s">
        <v>274</v>
      </c>
      <c r="J69">
        <v>288</v>
      </c>
      <c r="K69" t="s">
        <v>26</v>
      </c>
      <c r="L69" s="2">
        <v>43214</v>
      </c>
      <c r="M69" t="s">
        <v>246</v>
      </c>
      <c r="N69" t="s">
        <v>339</v>
      </c>
      <c r="O69">
        <v>60614</v>
      </c>
      <c r="P69" t="s">
        <v>21</v>
      </c>
      <c r="Q69" t="str">
        <f>TEXT(Data_Set_3[[#This Row],[date]],"mmmm")</f>
        <v>April</v>
      </c>
      <c r="R69">
        <f>MONTH(Data_Set_3[[#This Row],[date]])</f>
        <v>4</v>
      </c>
      <c r="S69">
        <f>YEAR(Data_Set_3[[#This Row],[date]])</f>
        <v>2018</v>
      </c>
    </row>
    <row r="70" spans="1:19" x14ac:dyDescent="0.3">
      <c r="A70">
        <v>1277</v>
      </c>
      <c r="B70" t="s">
        <v>43</v>
      </c>
      <c r="C70" t="s">
        <v>783</v>
      </c>
      <c r="D70" t="s">
        <v>2861</v>
      </c>
      <c r="E70" t="s">
        <v>2862</v>
      </c>
      <c r="F70" t="s">
        <v>1850</v>
      </c>
      <c r="G70" t="s">
        <v>2219</v>
      </c>
      <c r="H70" t="s">
        <v>16</v>
      </c>
      <c r="I70" t="s">
        <v>454</v>
      </c>
      <c r="J70">
        <v>889</v>
      </c>
      <c r="K70" t="s">
        <v>416</v>
      </c>
      <c r="L70" s="2">
        <v>43216</v>
      </c>
      <c r="M70" t="s">
        <v>152</v>
      </c>
      <c r="N70" t="s">
        <v>251</v>
      </c>
      <c r="O70">
        <v>44310</v>
      </c>
      <c r="P70" t="s">
        <v>21</v>
      </c>
      <c r="Q70" t="str">
        <f>TEXT(Data_Set_3[[#This Row],[date]],"mmmm")</f>
        <v>April</v>
      </c>
      <c r="R70">
        <f>MONTH(Data_Set_3[[#This Row],[date]])</f>
        <v>4</v>
      </c>
      <c r="S70">
        <f>YEAR(Data_Set_3[[#This Row],[date]])</f>
        <v>2018</v>
      </c>
    </row>
    <row r="71" spans="1:19" x14ac:dyDescent="0.3">
      <c r="A71">
        <v>1601</v>
      </c>
      <c r="B71" t="s">
        <v>2938</v>
      </c>
      <c r="C71" t="s">
        <v>707</v>
      </c>
      <c r="D71" t="s">
        <v>2939</v>
      </c>
      <c r="E71" t="s">
        <v>2940</v>
      </c>
      <c r="F71" t="s">
        <v>1340</v>
      </c>
      <c r="G71" t="s">
        <v>1863</v>
      </c>
      <c r="H71" t="s">
        <v>16</v>
      </c>
      <c r="I71" t="s">
        <v>2941</v>
      </c>
      <c r="J71">
        <v>540</v>
      </c>
      <c r="K71" t="s">
        <v>34</v>
      </c>
      <c r="L71" s="2">
        <v>43217</v>
      </c>
      <c r="M71" t="s">
        <v>35</v>
      </c>
      <c r="N71" t="s">
        <v>620</v>
      </c>
      <c r="O71">
        <v>94110</v>
      </c>
      <c r="P71" t="s">
        <v>21</v>
      </c>
      <c r="Q71" t="str">
        <f>TEXT(Data_Set_3[[#This Row],[date]],"mmmm")</f>
        <v>April</v>
      </c>
      <c r="R71">
        <f>MONTH(Data_Set_3[[#This Row],[date]])</f>
        <v>4</v>
      </c>
      <c r="S71">
        <f>YEAR(Data_Set_3[[#This Row],[date]])</f>
        <v>2018</v>
      </c>
    </row>
    <row r="72" spans="1:19" x14ac:dyDescent="0.3">
      <c r="A72">
        <v>1298</v>
      </c>
      <c r="B72" t="s">
        <v>595</v>
      </c>
      <c r="C72" t="s">
        <v>293</v>
      </c>
      <c r="D72" t="s">
        <v>2900</v>
      </c>
      <c r="E72" t="s">
        <v>2901</v>
      </c>
      <c r="F72" t="s">
        <v>1539</v>
      </c>
      <c r="G72" t="s">
        <v>1952</v>
      </c>
      <c r="H72" t="s">
        <v>32</v>
      </c>
      <c r="I72" t="s">
        <v>543</v>
      </c>
      <c r="J72">
        <v>311</v>
      </c>
      <c r="K72" t="s">
        <v>73</v>
      </c>
      <c r="L72" s="2">
        <v>43221</v>
      </c>
      <c r="M72" t="s">
        <v>115</v>
      </c>
      <c r="N72" t="s">
        <v>351</v>
      </c>
      <c r="O72">
        <v>32891</v>
      </c>
      <c r="P72" t="s">
        <v>21</v>
      </c>
      <c r="Q72" t="str">
        <f>TEXT(Data_Set_3[[#This Row],[date]],"mmmm")</f>
        <v>May</v>
      </c>
      <c r="R72">
        <f>MONTH(Data_Set_3[[#This Row],[date]])</f>
        <v>5</v>
      </c>
      <c r="S72">
        <f>YEAR(Data_Set_3[[#This Row],[date]])</f>
        <v>2018</v>
      </c>
    </row>
    <row r="73" spans="1:19" x14ac:dyDescent="0.3">
      <c r="A73">
        <v>1488</v>
      </c>
      <c r="B73" t="s">
        <v>749</v>
      </c>
      <c r="C73" t="s">
        <v>446</v>
      </c>
      <c r="D73" t="s">
        <v>2942</v>
      </c>
      <c r="E73" t="s">
        <v>2943</v>
      </c>
      <c r="F73" t="s">
        <v>1950</v>
      </c>
      <c r="G73" t="s">
        <v>1277</v>
      </c>
      <c r="H73" t="s">
        <v>32</v>
      </c>
      <c r="I73" t="s">
        <v>454</v>
      </c>
      <c r="J73">
        <v>960</v>
      </c>
      <c r="K73" t="s">
        <v>26</v>
      </c>
      <c r="L73" s="2">
        <v>43223</v>
      </c>
      <c r="M73" t="s">
        <v>115</v>
      </c>
      <c r="N73" t="s">
        <v>2944</v>
      </c>
      <c r="O73">
        <v>32314</v>
      </c>
      <c r="P73" t="s">
        <v>21</v>
      </c>
      <c r="Q73" t="str">
        <f>TEXT(Data_Set_3[[#This Row],[date]],"mmmm")</f>
        <v>May</v>
      </c>
      <c r="R73">
        <f>MONTH(Data_Set_3[[#This Row],[date]])</f>
        <v>5</v>
      </c>
      <c r="S73">
        <f>YEAR(Data_Set_3[[#This Row],[date]])</f>
        <v>2018</v>
      </c>
    </row>
    <row r="74" spans="1:19" x14ac:dyDescent="0.3">
      <c r="A74">
        <v>1020</v>
      </c>
      <c r="B74" t="s">
        <v>122</v>
      </c>
      <c r="C74" t="s">
        <v>954</v>
      </c>
      <c r="D74" t="s">
        <v>2888</v>
      </c>
      <c r="E74" t="s">
        <v>2889</v>
      </c>
      <c r="F74" t="s">
        <v>1998</v>
      </c>
      <c r="G74" t="s">
        <v>1926</v>
      </c>
      <c r="H74" t="s">
        <v>32</v>
      </c>
      <c r="I74" t="s">
        <v>17</v>
      </c>
      <c r="J74">
        <v>425</v>
      </c>
      <c r="K74" t="s">
        <v>26</v>
      </c>
      <c r="L74" s="2">
        <v>43225</v>
      </c>
      <c r="M74" t="s">
        <v>35</v>
      </c>
      <c r="N74" t="s">
        <v>620</v>
      </c>
      <c r="O74">
        <v>94105</v>
      </c>
      <c r="P74" t="s">
        <v>21</v>
      </c>
      <c r="Q74" t="str">
        <f>TEXT(Data_Set_3[[#This Row],[date]],"mmmm")</f>
        <v>May</v>
      </c>
      <c r="R74">
        <f>MONTH(Data_Set_3[[#This Row],[date]])</f>
        <v>5</v>
      </c>
      <c r="S74">
        <f>YEAR(Data_Set_3[[#This Row],[date]])</f>
        <v>2018</v>
      </c>
    </row>
    <row r="75" spans="1:19" x14ac:dyDescent="0.3">
      <c r="A75">
        <v>1602</v>
      </c>
      <c r="B75" t="s">
        <v>304</v>
      </c>
      <c r="C75" t="s">
        <v>107</v>
      </c>
      <c r="D75" t="s">
        <v>2945</v>
      </c>
      <c r="E75" t="s">
        <v>2946</v>
      </c>
      <c r="F75" t="s">
        <v>1765</v>
      </c>
      <c r="G75" t="s">
        <v>1845</v>
      </c>
      <c r="H75" t="s">
        <v>32</v>
      </c>
      <c r="I75" t="s">
        <v>151</v>
      </c>
      <c r="J75">
        <v>998</v>
      </c>
      <c r="K75" t="s">
        <v>18</v>
      </c>
      <c r="L75" s="2">
        <v>43226</v>
      </c>
      <c r="M75" t="s">
        <v>35</v>
      </c>
      <c r="N75" t="s">
        <v>599</v>
      </c>
      <c r="O75">
        <v>95894</v>
      </c>
      <c r="P75" t="s">
        <v>21</v>
      </c>
      <c r="Q75" t="str">
        <f>TEXT(Data_Set_3[[#This Row],[date]],"mmmm")</f>
        <v>May</v>
      </c>
      <c r="R75">
        <f>MONTH(Data_Set_3[[#This Row],[date]])</f>
        <v>5</v>
      </c>
      <c r="S75">
        <f>YEAR(Data_Set_3[[#This Row],[date]])</f>
        <v>2018</v>
      </c>
    </row>
    <row r="76" spans="1:19" x14ac:dyDescent="0.3">
      <c r="A76">
        <v>1812</v>
      </c>
      <c r="B76" t="s">
        <v>1130</v>
      </c>
      <c r="C76" t="s">
        <v>639</v>
      </c>
      <c r="D76" t="s">
        <v>2863</v>
      </c>
      <c r="E76" t="s">
        <v>2864</v>
      </c>
      <c r="F76" t="s">
        <v>2641</v>
      </c>
      <c r="G76" t="s">
        <v>1653</v>
      </c>
      <c r="H76" t="s">
        <v>16</v>
      </c>
      <c r="I76" t="s">
        <v>543</v>
      </c>
      <c r="J76">
        <v>477</v>
      </c>
      <c r="K76" t="s">
        <v>34</v>
      </c>
      <c r="L76" s="2">
        <v>43226</v>
      </c>
      <c r="M76" t="s">
        <v>524</v>
      </c>
      <c r="N76" t="s">
        <v>815</v>
      </c>
      <c r="O76">
        <v>35220</v>
      </c>
      <c r="P76" t="s">
        <v>21</v>
      </c>
      <c r="Q76" t="str">
        <f>TEXT(Data_Set_3[[#This Row],[date]],"mmmm")</f>
        <v>May</v>
      </c>
      <c r="R76">
        <f>MONTH(Data_Set_3[[#This Row],[date]])</f>
        <v>5</v>
      </c>
      <c r="S76">
        <f>YEAR(Data_Set_3[[#This Row],[date]])</f>
        <v>2018</v>
      </c>
    </row>
    <row r="77" spans="1:19" x14ac:dyDescent="0.3">
      <c r="A77">
        <v>1434</v>
      </c>
      <c r="B77" t="s">
        <v>2915</v>
      </c>
      <c r="C77" t="s">
        <v>167</v>
      </c>
      <c r="D77" t="s">
        <v>2947</v>
      </c>
      <c r="E77" t="s">
        <v>2948</v>
      </c>
      <c r="F77" t="s">
        <v>1664</v>
      </c>
      <c r="G77" t="s">
        <v>2546</v>
      </c>
      <c r="H77" t="s">
        <v>32</v>
      </c>
      <c r="I77" t="s">
        <v>25</v>
      </c>
      <c r="J77">
        <v>127</v>
      </c>
      <c r="K77" t="s">
        <v>26</v>
      </c>
      <c r="L77" s="2">
        <v>43228</v>
      </c>
      <c r="M77" t="s">
        <v>192</v>
      </c>
      <c r="N77" t="s">
        <v>193</v>
      </c>
      <c r="O77">
        <v>55436</v>
      </c>
      <c r="P77" t="s">
        <v>21</v>
      </c>
      <c r="Q77" t="str">
        <f>TEXT(Data_Set_3[[#This Row],[date]],"mmmm")</f>
        <v>May</v>
      </c>
      <c r="R77">
        <f>MONTH(Data_Set_3[[#This Row],[date]])</f>
        <v>5</v>
      </c>
      <c r="S77">
        <f>YEAR(Data_Set_3[[#This Row],[date]])</f>
        <v>2018</v>
      </c>
    </row>
    <row r="78" spans="1:19" x14ac:dyDescent="0.3">
      <c r="A78">
        <v>1838</v>
      </c>
      <c r="B78" t="s">
        <v>893</v>
      </c>
      <c r="C78" t="s">
        <v>2949</v>
      </c>
      <c r="D78" t="s">
        <v>2950</v>
      </c>
      <c r="E78" t="s">
        <v>2951</v>
      </c>
      <c r="F78" t="s">
        <v>2505</v>
      </c>
      <c r="G78" t="s">
        <v>1834</v>
      </c>
      <c r="H78" t="s">
        <v>32</v>
      </c>
      <c r="I78" t="s">
        <v>17</v>
      </c>
      <c r="J78">
        <v>104</v>
      </c>
      <c r="K78" t="s">
        <v>26</v>
      </c>
      <c r="L78" s="2">
        <v>43228</v>
      </c>
      <c r="M78" t="s">
        <v>489</v>
      </c>
      <c r="N78" t="s">
        <v>490</v>
      </c>
      <c r="O78">
        <v>89130</v>
      </c>
      <c r="P78" t="s">
        <v>21</v>
      </c>
      <c r="Q78" t="str">
        <f>TEXT(Data_Set_3[[#This Row],[date]],"mmmm")</f>
        <v>May</v>
      </c>
      <c r="R78">
        <f>MONTH(Data_Set_3[[#This Row],[date]])</f>
        <v>5</v>
      </c>
      <c r="S78">
        <f>YEAR(Data_Set_3[[#This Row],[date]])</f>
        <v>2018</v>
      </c>
    </row>
    <row r="79" spans="1:19" x14ac:dyDescent="0.3">
      <c r="A79">
        <v>1951</v>
      </c>
      <c r="B79" t="s">
        <v>595</v>
      </c>
      <c r="C79" t="s">
        <v>669</v>
      </c>
      <c r="D79" t="s">
        <v>2952</v>
      </c>
      <c r="E79" t="s">
        <v>2953</v>
      </c>
      <c r="F79" t="s">
        <v>1491</v>
      </c>
      <c r="G79" t="s">
        <v>1845</v>
      </c>
      <c r="H79" t="s">
        <v>32</v>
      </c>
      <c r="I79" t="s">
        <v>151</v>
      </c>
      <c r="J79">
        <v>43</v>
      </c>
      <c r="K79" t="s">
        <v>18</v>
      </c>
      <c r="L79" s="2">
        <v>43228</v>
      </c>
      <c r="M79" t="s">
        <v>220</v>
      </c>
      <c r="N79" t="s">
        <v>2954</v>
      </c>
      <c r="O79">
        <v>98206</v>
      </c>
      <c r="P79" t="s">
        <v>21</v>
      </c>
      <c r="Q79" t="str">
        <f>TEXT(Data_Set_3[[#This Row],[date]],"mmmm")</f>
        <v>May</v>
      </c>
      <c r="R79">
        <f>MONTH(Data_Set_3[[#This Row],[date]])</f>
        <v>5</v>
      </c>
      <c r="S79">
        <f>YEAR(Data_Set_3[[#This Row],[date]])</f>
        <v>2018</v>
      </c>
    </row>
    <row r="80" spans="1:19" x14ac:dyDescent="0.3">
      <c r="A80">
        <v>1433</v>
      </c>
      <c r="B80" t="s">
        <v>745</v>
      </c>
      <c r="C80" t="s">
        <v>482</v>
      </c>
      <c r="D80" t="s">
        <v>2955</v>
      </c>
      <c r="E80" t="s">
        <v>2956</v>
      </c>
      <c r="F80" t="s">
        <v>1983</v>
      </c>
      <c r="G80" t="s">
        <v>1834</v>
      </c>
      <c r="H80" t="s">
        <v>16</v>
      </c>
      <c r="I80" t="s">
        <v>274</v>
      </c>
      <c r="J80">
        <v>698</v>
      </c>
      <c r="K80" t="s">
        <v>95</v>
      </c>
      <c r="L80" s="2">
        <v>43233</v>
      </c>
      <c r="M80" t="s">
        <v>345</v>
      </c>
      <c r="N80" t="s">
        <v>220</v>
      </c>
      <c r="O80">
        <v>20420</v>
      </c>
      <c r="P80" t="s">
        <v>21</v>
      </c>
      <c r="Q80" t="str">
        <f>TEXT(Data_Set_3[[#This Row],[date]],"mmmm")</f>
        <v>May</v>
      </c>
      <c r="R80">
        <f>MONTH(Data_Set_3[[#This Row],[date]])</f>
        <v>5</v>
      </c>
      <c r="S80">
        <f>YEAR(Data_Set_3[[#This Row],[date]])</f>
        <v>2018</v>
      </c>
    </row>
    <row r="81" spans="1:19" x14ac:dyDescent="0.3">
      <c r="A81">
        <v>1880</v>
      </c>
      <c r="B81" t="s">
        <v>304</v>
      </c>
      <c r="C81" t="s">
        <v>526</v>
      </c>
      <c r="D81" t="s">
        <v>2831</v>
      </c>
      <c r="E81" t="s">
        <v>2832</v>
      </c>
      <c r="F81" t="s">
        <v>1376</v>
      </c>
      <c r="G81" t="s">
        <v>2577</v>
      </c>
      <c r="H81" t="s">
        <v>32</v>
      </c>
      <c r="I81" t="s">
        <v>274</v>
      </c>
      <c r="J81">
        <v>292</v>
      </c>
      <c r="K81" t="s">
        <v>26</v>
      </c>
      <c r="L81" s="2">
        <v>43233</v>
      </c>
      <c r="M81" t="s">
        <v>246</v>
      </c>
      <c r="N81" t="s">
        <v>339</v>
      </c>
      <c r="O81">
        <v>60614</v>
      </c>
      <c r="P81" t="s">
        <v>21</v>
      </c>
      <c r="Q81" t="str">
        <f>TEXT(Data_Set_3[[#This Row],[date]],"mmmm")</f>
        <v>May</v>
      </c>
      <c r="R81">
        <f>MONTH(Data_Set_3[[#This Row],[date]])</f>
        <v>5</v>
      </c>
      <c r="S81">
        <f>YEAR(Data_Set_3[[#This Row],[date]])</f>
        <v>2018</v>
      </c>
    </row>
    <row r="82" spans="1:19" x14ac:dyDescent="0.3">
      <c r="A82">
        <v>1365</v>
      </c>
      <c r="B82" t="s">
        <v>1183</v>
      </c>
      <c r="C82" t="s">
        <v>813</v>
      </c>
      <c r="D82" t="s">
        <v>2957</v>
      </c>
      <c r="E82" t="s">
        <v>2958</v>
      </c>
      <c r="F82" t="s">
        <v>1644</v>
      </c>
      <c r="G82" t="s">
        <v>2061</v>
      </c>
      <c r="H82" t="s">
        <v>16</v>
      </c>
      <c r="I82" t="s">
        <v>51</v>
      </c>
      <c r="J82">
        <v>625</v>
      </c>
      <c r="K82" t="s">
        <v>62</v>
      </c>
      <c r="L82" s="2">
        <v>43234</v>
      </c>
      <c r="M82" t="s">
        <v>115</v>
      </c>
      <c r="N82" t="s">
        <v>143</v>
      </c>
      <c r="O82">
        <v>33261</v>
      </c>
      <c r="P82" t="s">
        <v>21</v>
      </c>
      <c r="Q82" t="str">
        <f>TEXT(Data_Set_3[[#This Row],[date]],"mmmm")</f>
        <v>May</v>
      </c>
      <c r="R82">
        <f>MONTH(Data_Set_3[[#This Row],[date]])</f>
        <v>5</v>
      </c>
      <c r="S82">
        <f>YEAR(Data_Set_3[[#This Row],[date]])</f>
        <v>2018</v>
      </c>
    </row>
    <row r="83" spans="1:19" x14ac:dyDescent="0.3">
      <c r="A83">
        <v>1619</v>
      </c>
      <c r="B83" t="s">
        <v>65</v>
      </c>
      <c r="C83" t="s">
        <v>285</v>
      </c>
      <c r="D83" t="s">
        <v>2959</v>
      </c>
      <c r="E83" t="s">
        <v>2960</v>
      </c>
      <c r="F83" t="s">
        <v>2240</v>
      </c>
      <c r="G83" t="s">
        <v>1936</v>
      </c>
      <c r="H83" t="s">
        <v>16</v>
      </c>
      <c r="I83" t="s">
        <v>17</v>
      </c>
      <c r="J83">
        <v>558</v>
      </c>
      <c r="K83" t="s">
        <v>34</v>
      </c>
      <c r="L83" s="2">
        <v>43235</v>
      </c>
      <c r="M83" t="s">
        <v>68</v>
      </c>
      <c r="N83" t="s">
        <v>2961</v>
      </c>
      <c r="O83">
        <v>75044</v>
      </c>
      <c r="P83" t="s">
        <v>21</v>
      </c>
      <c r="Q83" t="str">
        <f>TEXT(Data_Set_3[[#This Row],[date]],"mmmm")</f>
        <v>May</v>
      </c>
      <c r="R83">
        <f>MONTH(Data_Set_3[[#This Row],[date]])</f>
        <v>5</v>
      </c>
      <c r="S83">
        <f>YEAR(Data_Set_3[[#This Row],[date]])</f>
        <v>2018</v>
      </c>
    </row>
    <row r="84" spans="1:19" x14ac:dyDescent="0.3">
      <c r="A84">
        <v>1658</v>
      </c>
      <c r="B84" t="s">
        <v>920</v>
      </c>
      <c r="C84" t="s">
        <v>652</v>
      </c>
      <c r="D84" t="s">
        <v>2962</v>
      </c>
      <c r="E84" t="s">
        <v>2963</v>
      </c>
      <c r="F84" t="s">
        <v>1790</v>
      </c>
      <c r="G84" t="s">
        <v>2188</v>
      </c>
      <c r="H84" t="s">
        <v>16</v>
      </c>
      <c r="I84" t="s">
        <v>17</v>
      </c>
      <c r="J84">
        <v>764</v>
      </c>
      <c r="K84" t="s">
        <v>225</v>
      </c>
      <c r="L84" s="2">
        <v>43235</v>
      </c>
      <c r="M84" t="s">
        <v>345</v>
      </c>
      <c r="N84" t="s">
        <v>220</v>
      </c>
      <c r="O84">
        <v>20425</v>
      </c>
      <c r="P84" t="s">
        <v>21</v>
      </c>
      <c r="Q84" t="str">
        <f>TEXT(Data_Set_3[[#This Row],[date]],"mmmm")</f>
        <v>May</v>
      </c>
      <c r="R84">
        <f>MONTH(Data_Set_3[[#This Row],[date]])</f>
        <v>5</v>
      </c>
      <c r="S84">
        <f>YEAR(Data_Set_3[[#This Row],[date]])</f>
        <v>2018</v>
      </c>
    </row>
    <row r="85" spans="1:19" x14ac:dyDescent="0.3">
      <c r="A85">
        <v>1433</v>
      </c>
      <c r="B85" t="s">
        <v>745</v>
      </c>
      <c r="C85" t="s">
        <v>482</v>
      </c>
      <c r="D85" t="s">
        <v>2955</v>
      </c>
      <c r="E85" t="s">
        <v>2956</v>
      </c>
      <c r="F85" t="s">
        <v>1983</v>
      </c>
      <c r="G85" t="s">
        <v>1834</v>
      </c>
      <c r="H85" t="s">
        <v>16</v>
      </c>
      <c r="I85" t="s">
        <v>274</v>
      </c>
      <c r="J85">
        <v>50</v>
      </c>
      <c r="K85" t="s">
        <v>95</v>
      </c>
      <c r="L85" s="2">
        <v>43239</v>
      </c>
      <c r="M85" t="s">
        <v>345</v>
      </c>
      <c r="N85" t="s">
        <v>220</v>
      </c>
      <c r="O85">
        <v>20420</v>
      </c>
      <c r="P85" t="s">
        <v>21</v>
      </c>
      <c r="Q85" t="str">
        <f>TEXT(Data_Set_3[[#This Row],[date]],"mmmm")</f>
        <v>May</v>
      </c>
      <c r="R85">
        <f>MONTH(Data_Set_3[[#This Row],[date]])</f>
        <v>5</v>
      </c>
      <c r="S85">
        <f>YEAR(Data_Set_3[[#This Row],[date]])</f>
        <v>2018</v>
      </c>
    </row>
    <row r="86" spans="1:19" x14ac:dyDescent="0.3">
      <c r="A86">
        <v>1298</v>
      </c>
      <c r="B86" t="s">
        <v>595</v>
      </c>
      <c r="C86" t="s">
        <v>293</v>
      </c>
      <c r="D86" t="s">
        <v>2900</v>
      </c>
      <c r="E86" t="s">
        <v>2901</v>
      </c>
      <c r="F86" t="s">
        <v>1539</v>
      </c>
      <c r="G86" t="s">
        <v>1952</v>
      </c>
      <c r="H86" t="s">
        <v>32</v>
      </c>
      <c r="I86" t="s">
        <v>543</v>
      </c>
      <c r="J86">
        <v>931</v>
      </c>
      <c r="K86" t="s">
        <v>73</v>
      </c>
      <c r="L86" s="2">
        <v>43240</v>
      </c>
      <c r="M86" t="s">
        <v>115</v>
      </c>
      <c r="N86" t="s">
        <v>351</v>
      </c>
      <c r="O86">
        <v>32891</v>
      </c>
      <c r="P86" t="s">
        <v>21</v>
      </c>
      <c r="Q86" t="str">
        <f>TEXT(Data_Set_3[[#This Row],[date]],"mmmm")</f>
        <v>May</v>
      </c>
      <c r="R86">
        <f>MONTH(Data_Set_3[[#This Row],[date]])</f>
        <v>5</v>
      </c>
      <c r="S86">
        <f>YEAR(Data_Set_3[[#This Row],[date]])</f>
        <v>2018</v>
      </c>
    </row>
    <row r="87" spans="1:19" x14ac:dyDescent="0.3">
      <c r="A87">
        <v>1627</v>
      </c>
      <c r="B87" t="s">
        <v>13</v>
      </c>
      <c r="C87" t="s">
        <v>93</v>
      </c>
      <c r="D87" t="s">
        <v>2964</v>
      </c>
      <c r="E87" t="s">
        <v>2965</v>
      </c>
      <c r="F87" t="s">
        <v>1517</v>
      </c>
      <c r="G87" t="s">
        <v>2286</v>
      </c>
      <c r="H87" t="s">
        <v>16</v>
      </c>
      <c r="I87" t="s">
        <v>17</v>
      </c>
      <c r="J87">
        <v>380</v>
      </c>
      <c r="K87" t="s">
        <v>34</v>
      </c>
      <c r="L87" s="2">
        <v>43240</v>
      </c>
      <c r="M87" t="s">
        <v>41</v>
      </c>
      <c r="N87" t="s">
        <v>442</v>
      </c>
      <c r="O87">
        <v>40524</v>
      </c>
      <c r="P87" t="s">
        <v>21</v>
      </c>
      <c r="Q87" t="str">
        <f>TEXT(Data_Set_3[[#This Row],[date]],"mmmm")</f>
        <v>May</v>
      </c>
      <c r="R87">
        <f>MONTH(Data_Set_3[[#This Row],[date]])</f>
        <v>5</v>
      </c>
      <c r="S87">
        <f>YEAR(Data_Set_3[[#This Row],[date]])</f>
        <v>2018</v>
      </c>
    </row>
    <row r="88" spans="1:19" x14ac:dyDescent="0.3">
      <c r="A88">
        <v>1671</v>
      </c>
      <c r="B88" t="s">
        <v>243</v>
      </c>
      <c r="C88" t="s">
        <v>805</v>
      </c>
      <c r="D88" t="s">
        <v>2966</v>
      </c>
      <c r="E88" t="s">
        <v>2967</v>
      </c>
      <c r="F88" t="s">
        <v>1956</v>
      </c>
      <c r="G88" t="s">
        <v>2560</v>
      </c>
      <c r="H88" t="s">
        <v>16</v>
      </c>
      <c r="I88" t="s">
        <v>17</v>
      </c>
      <c r="J88">
        <v>995</v>
      </c>
      <c r="K88" t="s">
        <v>62</v>
      </c>
      <c r="L88" s="2">
        <v>43241</v>
      </c>
      <c r="M88" t="s">
        <v>230</v>
      </c>
      <c r="N88" t="s">
        <v>2968</v>
      </c>
      <c r="O88">
        <v>27710</v>
      </c>
      <c r="P88" t="s">
        <v>21</v>
      </c>
      <c r="Q88" t="str">
        <f>TEXT(Data_Set_3[[#This Row],[date]],"mmmm")</f>
        <v>May</v>
      </c>
      <c r="R88">
        <f>MONTH(Data_Set_3[[#This Row],[date]])</f>
        <v>5</v>
      </c>
      <c r="S88">
        <f>YEAR(Data_Set_3[[#This Row],[date]])</f>
        <v>2018</v>
      </c>
    </row>
    <row r="89" spans="1:19" x14ac:dyDescent="0.3">
      <c r="A89">
        <v>1812</v>
      </c>
      <c r="B89" t="s">
        <v>1130</v>
      </c>
      <c r="C89" t="s">
        <v>639</v>
      </c>
      <c r="D89" t="s">
        <v>2863</v>
      </c>
      <c r="E89" t="s">
        <v>2864</v>
      </c>
      <c r="F89" t="s">
        <v>2641</v>
      </c>
      <c r="G89" t="s">
        <v>1653</v>
      </c>
      <c r="H89" t="s">
        <v>16</v>
      </c>
      <c r="I89" t="s">
        <v>543</v>
      </c>
      <c r="J89">
        <v>887</v>
      </c>
      <c r="K89" t="s">
        <v>34</v>
      </c>
      <c r="L89" s="2">
        <v>43244</v>
      </c>
      <c r="M89" t="s">
        <v>524</v>
      </c>
      <c r="N89" t="s">
        <v>815</v>
      </c>
      <c r="O89">
        <v>35220</v>
      </c>
      <c r="P89" t="s">
        <v>21</v>
      </c>
      <c r="Q89" t="str">
        <f>TEXT(Data_Set_3[[#This Row],[date]],"mmmm")</f>
        <v>May</v>
      </c>
      <c r="R89">
        <f>MONTH(Data_Set_3[[#This Row],[date]])</f>
        <v>5</v>
      </c>
      <c r="S89">
        <f>YEAR(Data_Set_3[[#This Row],[date]])</f>
        <v>2018</v>
      </c>
    </row>
    <row r="90" spans="1:19" x14ac:dyDescent="0.3">
      <c r="A90">
        <v>1654</v>
      </c>
      <c r="B90" t="s">
        <v>1183</v>
      </c>
      <c r="C90" t="s">
        <v>752</v>
      </c>
      <c r="D90" t="s">
        <v>2969</v>
      </c>
      <c r="E90" t="s">
        <v>2970</v>
      </c>
      <c r="F90" t="s">
        <v>1335</v>
      </c>
      <c r="G90" t="s">
        <v>1468</v>
      </c>
      <c r="H90" t="s">
        <v>16</v>
      </c>
      <c r="I90" t="s">
        <v>17</v>
      </c>
      <c r="J90">
        <v>565</v>
      </c>
      <c r="K90" t="s">
        <v>73</v>
      </c>
      <c r="L90" s="2">
        <v>43245</v>
      </c>
      <c r="M90" t="s">
        <v>68</v>
      </c>
      <c r="N90" t="s">
        <v>518</v>
      </c>
      <c r="O90">
        <v>78230</v>
      </c>
      <c r="P90" t="s">
        <v>21</v>
      </c>
      <c r="Q90" t="str">
        <f>TEXT(Data_Set_3[[#This Row],[date]],"mmmm")</f>
        <v>May</v>
      </c>
      <c r="R90">
        <f>MONTH(Data_Set_3[[#This Row],[date]])</f>
        <v>5</v>
      </c>
      <c r="S90">
        <f>YEAR(Data_Set_3[[#This Row],[date]])</f>
        <v>2018</v>
      </c>
    </row>
    <row r="91" spans="1:19" x14ac:dyDescent="0.3">
      <c r="A91">
        <v>1164</v>
      </c>
      <c r="B91" t="s">
        <v>263</v>
      </c>
      <c r="C91" t="s">
        <v>820</v>
      </c>
      <c r="D91" t="s">
        <v>2971</v>
      </c>
      <c r="E91" t="s">
        <v>2972</v>
      </c>
      <c r="F91" t="s">
        <v>2910</v>
      </c>
      <c r="G91" t="s">
        <v>1653</v>
      </c>
      <c r="H91" t="s">
        <v>16</v>
      </c>
      <c r="I91" t="s">
        <v>25</v>
      </c>
      <c r="J91">
        <v>396</v>
      </c>
      <c r="K91" t="s">
        <v>26</v>
      </c>
      <c r="L91" s="2">
        <v>43249</v>
      </c>
      <c r="M91" t="s">
        <v>184</v>
      </c>
      <c r="N91" t="s">
        <v>197</v>
      </c>
      <c r="O91">
        <v>10203</v>
      </c>
      <c r="P91" t="s">
        <v>21</v>
      </c>
      <c r="Q91" t="str">
        <f>TEXT(Data_Set_3[[#This Row],[date]],"mmmm")</f>
        <v>May</v>
      </c>
      <c r="R91">
        <f>MONTH(Data_Set_3[[#This Row],[date]])</f>
        <v>5</v>
      </c>
      <c r="S91">
        <f>YEAR(Data_Set_3[[#This Row],[date]])</f>
        <v>2018</v>
      </c>
    </row>
    <row r="92" spans="1:19" x14ac:dyDescent="0.3">
      <c r="A92">
        <v>1462</v>
      </c>
      <c r="B92" t="s">
        <v>2938</v>
      </c>
      <c r="C92" t="s">
        <v>423</v>
      </c>
      <c r="D92" t="s">
        <v>2973</v>
      </c>
      <c r="E92" t="s">
        <v>2974</v>
      </c>
      <c r="F92" t="s">
        <v>1670</v>
      </c>
      <c r="G92" t="s">
        <v>2196</v>
      </c>
      <c r="H92" t="s">
        <v>16</v>
      </c>
      <c r="I92" t="s">
        <v>454</v>
      </c>
      <c r="J92">
        <v>458</v>
      </c>
      <c r="K92" t="s">
        <v>26</v>
      </c>
      <c r="L92" s="2">
        <v>43250</v>
      </c>
      <c r="M92" t="s">
        <v>246</v>
      </c>
      <c r="N92" t="s">
        <v>2975</v>
      </c>
      <c r="O92">
        <v>60193</v>
      </c>
      <c r="P92" t="s">
        <v>21</v>
      </c>
      <c r="Q92" t="str">
        <f>TEXT(Data_Set_3[[#This Row],[date]],"mmmm")</f>
        <v>May</v>
      </c>
      <c r="R92">
        <f>MONTH(Data_Set_3[[#This Row],[date]])</f>
        <v>5</v>
      </c>
      <c r="S92">
        <f>YEAR(Data_Set_3[[#This Row],[date]])</f>
        <v>2018</v>
      </c>
    </row>
    <row r="93" spans="1:19" x14ac:dyDescent="0.3">
      <c r="A93">
        <v>1880</v>
      </c>
      <c r="B93" t="s">
        <v>304</v>
      </c>
      <c r="C93" t="s">
        <v>526</v>
      </c>
      <c r="D93" t="s">
        <v>2831</v>
      </c>
      <c r="E93" t="s">
        <v>2832</v>
      </c>
      <c r="F93" t="s">
        <v>1376</v>
      </c>
      <c r="G93" t="s">
        <v>2577</v>
      </c>
      <c r="H93" t="s">
        <v>32</v>
      </c>
      <c r="I93" t="s">
        <v>274</v>
      </c>
      <c r="J93">
        <v>605</v>
      </c>
      <c r="K93" t="s">
        <v>26</v>
      </c>
      <c r="L93" s="2">
        <v>43250</v>
      </c>
      <c r="M93" t="s">
        <v>246</v>
      </c>
      <c r="N93" t="s">
        <v>339</v>
      </c>
      <c r="O93">
        <v>60614</v>
      </c>
      <c r="P93" t="s">
        <v>21</v>
      </c>
      <c r="Q93" t="str">
        <f>TEXT(Data_Set_3[[#This Row],[date]],"mmmm")</f>
        <v>May</v>
      </c>
      <c r="R93">
        <f>MONTH(Data_Set_3[[#This Row],[date]])</f>
        <v>5</v>
      </c>
      <c r="S93">
        <f>YEAR(Data_Set_3[[#This Row],[date]])</f>
        <v>2018</v>
      </c>
    </row>
    <row r="94" spans="1:19" x14ac:dyDescent="0.3">
      <c r="A94">
        <v>1092</v>
      </c>
      <c r="B94" t="s">
        <v>516</v>
      </c>
      <c r="C94" t="s">
        <v>455</v>
      </c>
      <c r="D94" t="s">
        <v>2976</v>
      </c>
      <c r="E94" t="s">
        <v>2977</v>
      </c>
      <c r="F94" t="s">
        <v>1763</v>
      </c>
      <c r="G94" t="s">
        <v>1486</v>
      </c>
      <c r="H94" t="s">
        <v>32</v>
      </c>
      <c r="I94" t="s">
        <v>51</v>
      </c>
      <c r="J94">
        <v>568</v>
      </c>
      <c r="K94" t="s">
        <v>73</v>
      </c>
      <c r="L94" s="2">
        <v>43251</v>
      </c>
      <c r="M94" t="s">
        <v>115</v>
      </c>
      <c r="N94" t="s">
        <v>1048</v>
      </c>
      <c r="O94">
        <v>34233</v>
      </c>
      <c r="P94" t="s">
        <v>21</v>
      </c>
      <c r="Q94" t="str">
        <f>TEXT(Data_Set_3[[#This Row],[date]],"mmmm")</f>
        <v>May</v>
      </c>
      <c r="R94">
        <f>MONTH(Data_Set_3[[#This Row],[date]])</f>
        <v>5</v>
      </c>
      <c r="S94">
        <f>YEAR(Data_Set_3[[#This Row],[date]])</f>
        <v>2018</v>
      </c>
    </row>
    <row r="95" spans="1:19" x14ac:dyDescent="0.3">
      <c r="A95">
        <v>1455</v>
      </c>
      <c r="B95" t="s">
        <v>204</v>
      </c>
      <c r="C95" t="s">
        <v>423</v>
      </c>
      <c r="D95" t="s">
        <v>2978</v>
      </c>
      <c r="E95" t="s">
        <v>2979</v>
      </c>
      <c r="F95" t="s">
        <v>1770</v>
      </c>
      <c r="G95" t="s">
        <v>2334</v>
      </c>
      <c r="H95" t="s">
        <v>32</v>
      </c>
      <c r="I95" t="s">
        <v>151</v>
      </c>
      <c r="J95">
        <v>433</v>
      </c>
      <c r="K95" t="s">
        <v>34</v>
      </c>
      <c r="L95" s="2">
        <v>43251</v>
      </c>
      <c r="M95" t="s">
        <v>110</v>
      </c>
      <c r="N95" t="s">
        <v>160</v>
      </c>
      <c r="O95">
        <v>19141</v>
      </c>
      <c r="P95" t="s">
        <v>21</v>
      </c>
      <c r="Q95" t="str">
        <f>TEXT(Data_Set_3[[#This Row],[date]],"mmmm")</f>
        <v>May</v>
      </c>
      <c r="R95">
        <f>MONTH(Data_Set_3[[#This Row],[date]])</f>
        <v>5</v>
      </c>
      <c r="S95">
        <f>YEAR(Data_Set_3[[#This Row],[date]])</f>
        <v>2018</v>
      </c>
    </row>
    <row r="96" spans="1:19" x14ac:dyDescent="0.3">
      <c r="A96">
        <v>1081</v>
      </c>
      <c r="B96" t="s">
        <v>29</v>
      </c>
      <c r="C96" t="s">
        <v>906</v>
      </c>
      <c r="D96" t="s">
        <v>2980</v>
      </c>
      <c r="E96" t="s">
        <v>2981</v>
      </c>
      <c r="F96" t="s">
        <v>2342</v>
      </c>
      <c r="G96" t="s">
        <v>2286</v>
      </c>
      <c r="H96" t="s">
        <v>32</v>
      </c>
      <c r="I96" t="s">
        <v>51</v>
      </c>
      <c r="J96">
        <v>767</v>
      </c>
      <c r="K96" t="s">
        <v>18</v>
      </c>
      <c r="L96" s="2">
        <v>43253</v>
      </c>
      <c r="M96" t="s">
        <v>152</v>
      </c>
      <c r="N96" t="s">
        <v>484</v>
      </c>
      <c r="O96">
        <v>45426</v>
      </c>
      <c r="P96" t="s">
        <v>21</v>
      </c>
      <c r="Q96" t="str">
        <f>TEXT(Data_Set_3[[#This Row],[date]],"mmmm")</f>
        <v>June</v>
      </c>
      <c r="R96">
        <f>MONTH(Data_Set_3[[#This Row],[date]])</f>
        <v>6</v>
      </c>
      <c r="S96">
        <f>YEAR(Data_Set_3[[#This Row],[date]])</f>
        <v>2018</v>
      </c>
    </row>
    <row r="97" spans="1:19" x14ac:dyDescent="0.3">
      <c r="A97">
        <v>1520</v>
      </c>
      <c r="B97" t="s">
        <v>1118</v>
      </c>
      <c r="C97" t="s">
        <v>641</v>
      </c>
      <c r="D97" t="s">
        <v>2982</v>
      </c>
      <c r="E97" t="s">
        <v>2983</v>
      </c>
      <c r="F97" t="s">
        <v>2247</v>
      </c>
      <c r="G97" t="s">
        <v>2188</v>
      </c>
      <c r="H97" t="s">
        <v>32</v>
      </c>
      <c r="I97" t="s">
        <v>553</v>
      </c>
      <c r="J97">
        <v>456</v>
      </c>
      <c r="K97" t="s">
        <v>26</v>
      </c>
      <c r="L97" s="2">
        <v>43254</v>
      </c>
      <c r="M97" t="s">
        <v>35</v>
      </c>
      <c r="N97" t="s">
        <v>620</v>
      </c>
      <c r="O97">
        <v>94110</v>
      </c>
      <c r="P97" t="s">
        <v>21</v>
      </c>
      <c r="Q97" t="str">
        <f>TEXT(Data_Set_3[[#This Row],[date]],"mmmm")</f>
        <v>June</v>
      </c>
      <c r="R97">
        <f>MONTH(Data_Set_3[[#This Row],[date]])</f>
        <v>6</v>
      </c>
      <c r="S97">
        <f>YEAR(Data_Set_3[[#This Row],[date]])</f>
        <v>2018</v>
      </c>
    </row>
    <row r="98" spans="1:19" x14ac:dyDescent="0.3">
      <c r="A98">
        <v>1650</v>
      </c>
      <c r="B98" t="s">
        <v>284</v>
      </c>
      <c r="C98" t="s">
        <v>232</v>
      </c>
      <c r="D98" t="s">
        <v>2984</v>
      </c>
      <c r="E98" t="s">
        <v>2985</v>
      </c>
      <c r="F98" t="s">
        <v>2986</v>
      </c>
      <c r="G98" t="s">
        <v>2409</v>
      </c>
      <c r="H98" t="s">
        <v>32</v>
      </c>
      <c r="I98" t="s">
        <v>17</v>
      </c>
      <c r="J98">
        <v>280</v>
      </c>
      <c r="K98" t="s">
        <v>18</v>
      </c>
      <c r="L98" s="2">
        <v>43256</v>
      </c>
      <c r="M98" t="s">
        <v>138</v>
      </c>
      <c r="N98" t="s">
        <v>139</v>
      </c>
      <c r="O98">
        <v>97221</v>
      </c>
      <c r="P98" t="s">
        <v>21</v>
      </c>
      <c r="Q98" t="str">
        <f>TEXT(Data_Set_3[[#This Row],[date]],"mmmm")</f>
        <v>June</v>
      </c>
      <c r="R98">
        <f>MONTH(Data_Set_3[[#This Row],[date]])</f>
        <v>6</v>
      </c>
      <c r="S98">
        <f>YEAR(Data_Set_3[[#This Row],[date]])</f>
        <v>2018</v>
      </c>
    </row>
    <row r="99" spans="1:19" x14ac:dyDescent="0.3">
      <c r="A99">
        <v>1043</v>
      </c>
      <c r="B99" t="s">
        <v>661</v>
      </c>
      <c r="C99" t="s">
        <v>883</v>
      </c>
      <c r="D99" t="s">
        <v>2987</v>
      </c>
      <c r="E99" t="s">
        <v>2988</v>
      </c>
      <c r="F99" t="s">
        <v>1353</v>
      </c>
      <c r="G99" t="s">
        <v>2546</v>
      </c>
      <c r="H99" t="s">
        <v>16</v>
      </c>
      <c r="I99" t="s">
        <v>17</v>
      </c>
      <c r="J99">
        <v>442</v>
      </c>
      <c r="K99" t="s">
        <v>164</v>
      </c>
      <c r="L99" s="2">
        <v>43259</v>
      </c>
      <c r="M99" t="s">
        <v>489</v>
      </c>
      <c r="N99" t="s">
        <v>490</v>
      </c>
      <c r="O99">
        <v>89140</v>
      </c>
      <c r="P99" t="s">
        <v>21</v>
      </c>
      <c r="Q99" t="str">
        <f>TEXT(Data_Set_3[[#This Row],[date]],"mmmm")</f>
        <v>June</v>
      </c>
      <c r="R99">
        <f>MONTH(Data_Set_3[[#This Row],[date]])</f>
        <v>6</v>
      </c>
      <c r="S99">
        <f>YEAR(Data_Set_3[[#This Row],[date]])</f>
        <v>2018</v>
      </c>
    </row>
    <row r="100" spans="1:19" x14ac:dyDescent="0.3">
      <c r="A100">
        <v>1095</v>
      </c>
      <c r="B100" t="s">
        <v>395</v>
      </c>
      <c r="C100" t="s">
        <v>876</v>
      </c>
      <c r="D100" t="s">
        <v>2989</v>
      </c>
      <c r="E100" t="s">
        <v>2990</v>
      </c>
      <c r="F100" t="s">
        <v>1323</v>
      </c>
      <c r="G100" t="s">
        <v>1453</v>
      </c>
      <c r="H100" t="s">
        <v>32</v>
      </c>
      <c r="I100" t="s">
        <v>51</v>
      </c>
      <c r="J100">
        <v>701</v>
      </c>
      <c r="K100" t="s">
        <v>34</v>
      </c>
      <c r="L100" s="2">
        <v>43260</v>
      </c>
      <c r="M100" t="s">
        <v>68</v>
      </c>
      <c r="N100" t="s">
        <v>234</v>
      </c>
      <c r="O100">
        <v>77040</v>
      </c>
      <c r="P100" t="s">
        <v>21</v>
      </c>
      <c r="Q100" t="str">
        <f>TEXT(Data_Set_3[[#This Row],[date]],"mmmm")</f>
        <v>June</v>
      </c>
      <c r="R100">
        <f>MONTH(Data_Set_3[[#This Row],[date]])</f>
        <v>6</v>
      </c>
      <c r="S100">
        <f>YEAR(Data_Set_3[[#This Row],[date]])</f>
        <v>2018</v>
      </c>
    </row>
    <row r="101" spans="1:19" x14ac:dyDescent="0.3">
      <c r="A101">
        <v>1116</v>
      </c>
      <c r="B101" t="s">
        <v>135</v>
      </c>
      <c r="C101" t="s">
        <v>2803</v>
      </c>
      <c r="D101" t="s">
        <v>2804</v>
      </c>
      <c r="E101" t="s">
        <v>2805</v>
      </c>
      <c r="F101" t="s">
        <v>1770</v>
      </c>
      <c r="G101" t="s">
        <v>2110</v>
      </c>
      <c r="H101" t="s">
        <v>32</v>
      </c>
      <c r="I101" t="s">
        <v>51</v>
      </c>
      <c r="J101">
        <v>388</v>
      </c>
      <c r="K101" t="s">
        <v>95</v>
      </c>
      <c r="L101" s="2">
        <v>43261</v>
      </c>
      <c r="M101" t="s">
        <v>74</v>
      </c>
      <c r="N101" t="s">
        <v>400</v>
      </c>
      <c r="O101">
        <v>30096</v>
      </c>
      <c r="P101" t="s">
        <v>21</v>
      </c>
      <c r="Q101" t="str">
        <f>TEXT(Data_Set_3[[#This Row],[date]],"mmmm")</f>
        <v>June</v>
      </c>
      <c r="R101">
        <f>MONTH(Data_Set_3[[#This Row],[date]])</f>
        <v>6</v>
      </c>
      <c r="S101">
        <f>YEAR(Data_Set_3[[#This Row],[date]])</f>
        <v>2018</v>
      </c>
    </row>
    <row r="102" spans="1:19" x14ac:dyDescent="0.3">
      <c r="A102">
        <v>1298</v>
      </c>
      <c r="B102" t="s">
        <v>595</v>
      </c>
      <c r="C102" t="s">
        <v>293</v>
      </c>
      <c r="D102" t="s">
        <v>2900</v>
      </c>
      <c r="E102" t="s">
        <v>2901</v>
      </c>
      <c r="F102" t="s">
        <v>1539</v>
      </c>
      <c r="G102" t="s">
        <v>1952</v>
      </c>
      <c r="H102" t="s">
        <v>32</v>
      </c>
      <c r="I102" t="s">
        <v>543</v>
      </c>
      <c r="J102">
        <v>91</v>
      </c>
      <c r="K102" t="s">
        <v>73</v>
      </c>
      <c r="L102" s="2">
        <v>43261</v>
      </c>
      <c r="M102" t="s">
        <v>115</v>
      </c>
      <c r="N102" t="s">
        <v>351</v>
      </c>
      <c r="O102">
        <v>32891</v>
      </c>
      <c r="P102" t="s">
        <v>21</v>
      </c>
      <c r="Q102" t="str">
        <f>TEXT(Data_Set_3[[#This Row],[date]],"mmmm")</f>
        <v>June</v>
      </c>
      <c r="R102">
        <f>MONTH(Data_Set_3[[#This Row],[date]])</f>
        <v>6</v>
      </c>
      <c r="S102">
        <f>YEAR(Data_Set_3[[#This Row],[date]])</f>
        <v>2018</v>
      </c>
    </row>
    <row r="103" spans="1:19" x14ac:dyDescent="0.3">
      <c r="A103">
        <v>1989</v>
      </c>
      <c r="B103" t="s">
        <v>429</v>
      </c>
      <c r="C103" t="s">
        <v>2991</v>
      </c>
      <c r="D103" t="s">
        <v>2992</v>
      </c>
      <c r="E103" t="s">
        <v>2993</v>
      </c>
      <c r="F103" t="s">
        <v>1455</v>
      </c>
      <c r="G103" t="s">
        <v>1453</v>
      </c>
      <c r="H103" t="s">
        <v>16</v>
      </c>
      <c r="I103" t="s">
        <v>33</v>
      </c>
      <c r="J103">
        <v>452</v>
      </c>
      <c r="K103" t="s">
        <v>26</v>
      </c>
      <c r="L103" s="2">
        <v>43262</v>
      </c>
      <c r="M103" t="s">
        <v>68</v>
      </c>
      <c r="N103" t="s">
        <v>2994</v>
      </c>
      <c r="O103">
        <v>77346</v>
      </c>
      <c r="P103" t="s">
        <v>21</v>
      </c>
      <c r="Q103" t="str">
        <f>TEXT(Data_Set_3[[#This Row],[date]],"mmmm")</f>
        <v>June</v>
      </c>
      <c r="R103">
        <f>MONTH(Data_Set_3[[#This Row],[date]])</f>
        <v>6</v>
      </c>
      <c r="S103">
        <f>YEAR(Data_Set_3[[#This Row],[date]])</f>
        <v>2018</v>
      </c>
    </row>
    <row r="104" spans="1:19" x14ac:dyDescent="0.3">
      <c r="A104">
        <v>1995</v>
      </c>
      <c r="B104" t="s">
        <v>445</v>
      </c>
      <c r="C104" t="s">
        <v>505</v>
      </c>
      <c r="D104" t="s">
        <v>2995</v>
      </c>
      <c r="E104" t="s">
        <v>2996</v>
      </c>
      <c r="F104" t="s">
        <v>1595</v>
      </c>
      <c r="G104" t="s">
        <v>1388</v>
      </c>
      <c r="H104" t="s">
        <v>32</v>
      </c>
      <c r="I104" t="s">
        <v>33</v>
      </c>
      <c r="J104">
        <v>719</v>
      </c>
      <c r="K104" t="s">
        <v>34</v>
      </c>
      <c r="L104" s="2">
        <v>43262</v>
      </c>
      <c r="M104" t="s">
        <v>393</v>
      </c>
      <c r="N104" t="s">
        <v>394</v>
      </c>
      <c r="O104">
        <v>37939</v>
      </c>
      <c r="P104" t="s">
        <v>21</v>
      </c>
      <c r="Q104" t="str">
        <f>TEXT(Data_Set_3[[#This Row],[date]],"mmmm")</f>
        <v>June</v>
      </c>
      <c r="R104">
        <f>MONTH(Data_Set_3[[#This Row],[date]])</f>
        <v>6</v>
      </c>
      <c r="S104">
        <f>YEAR(Data_Set_3[[#This Row],[date]])</f>
        <v>2018</v>
      </c>
    </row>
    <row r="105" spans="1:19" x14ac:dyDescent="0.3">
      <c r="A105">
        <v>1212</v>
      </c>
      <c r="B105" t="s">
        <v>547</v>
      </c>
      <c r="C105" t="s">
        <v>337</v>
      </c>
      <c r="D105" t="s">
        <v>2828</v>
      </c>
      <c r="E105" t="s">
        <v>2829</v>
      </c>
      <c r="F105" t="s">
        <v>1608</v>
      </c>
      <c r="G105" t="s">
        <v>2830</v>
      </c>
      <c r="H105" t="s">
        <v>32</v>
      </c>
      <c r="I105" t="s">
        <v>33</v>
      </c>
      <c r="J105">
        <v>110</v>
      </c>
      <c r="K105" t="s">
        <v>34</v>
      </c>
      <c r="L105" s="2">
        <v>43263</v>
      </c>
      <c r="M105" t="s">
        <v>46</v>
      </c>
      <c r="N105" t="s">
        <v>47</v>
      </c>
      <c r="O105">
        <v>6183</v>
      </c>
      <c r="P105" t="s">
        <v>21</v>
      </c>
      <c r="Q105" t="str">
        <f>TEXT(Data_Set_3[[#This Row],[date]],"mmmm")</f>
        <v>June</v>
      </c>
      <c r="R105">
        <f>MONTH(Data_Set_3[[#This Row],[date]])</f>
        <v>6</v>
      </c>
      <c r="S105">
        <f>YEAR(Data_Set_3[[#This Row],[date]])</f>
        <v>2018</v>
      </c>
    </row>
    <row r="106" spans="1:19" x14ac:dyDescent="0.3">
      <c r="A106">
        <v>1683</v>
      </c>
      <c r="B106" t="s">
        <v>198</v>
      </c>
      <c r="C106" t="s">
        <v>236</v>
      </c>
      <c r="D106" t="s">
        <v>2997</v>
      </c>
      <c r="E106" t="s">
        <v>2998</v>
      </c>
      <c r="F106" t="s">
        <v>1402</v>
      </c>
      <c r="G106" t="s">
        <v>2830</v>
      </c>
      <c r="H106" t="s">
        <v>16</v>
      </c>
      <c r="I106" t="s">
        <v>17</v>
      </c>
      <c r="J106">
        <v>621</v>
      </c>
      <c r="K106" t="s">
        <v>57</v>
      </c>
      <c r="L106" s="2">
        <v>43263</v>
      </c>
      <c r="M106" t="s">
        <v>120</v>
      </c>
      <c r="N106" t="s">
        <v>718</v>
      </c>
      <c r="O106">
        <v>70124</v>
      </c>
      <c r="P106" t="s">
        <v>21</v>
      </c>
      <c r="Q106" t="str">
        <f>TEXT(Data_Set_3[[#This Row],[date]],"mmmm")</f>
        <v>June</v>
      </c>
      <c r="R106">
        <f>MONTH(Data_Set_3[[#This Row],[date]])</f>
        <v>6</v>
      </c>
      <c r="S106">
        <f>YEAR(Data_Set_3[[#This Row],[date]])</f>
        <v>2018</v>
      </c>
    </row>
    <row r="107" spans="1:19" x14ac:dyDescent="0.3">
      <c r="A107">
        <v>1260</v>
      </c>
      <c r="B107" t="s">
        <v>417</v>
      </c>
      <c r="C107" t="s">
        <v>2904</v>
      </c>
      <c r="D107" t="s">
        <v>2905</v>
      </c>
      <c r="E107" t="s">
        <v>2906</v>
      </c>
      <c r="F107" t="s">
        <v>1777</v>
      </c>
      <c r="G107" t="s">
        <v>2571</v>
      </c>
      <c r="H107" t="s">
        <v>16</v>
      </c>
      <c r="I107" t="s">
        <v>543</v>
      </c>
      <c r="J107">
        <v>511</v>
      </c>
      <c r="K107" t="s">
        <v>26</v>
      </c>
      <c r="L107" s="2">
        <v>43264</v>
      </c>
      <c r="M107" t="s">
        <v>220</v>
      </c>
      <c r="N107" t="s">
        <v>2907</v>
      </c>
      <c r="O107">
        <v>99215</v>
      </c>
      <c r="P107" t="s">
        <v>21</v>
      </c>
      <c r="Q107" t="str">
        <f>TEXT(Data_Set_3[[#This Row],[date]],"mmmm")</f>
        <v>June</v>
      </c>
      <c r="R107">
        <f>MONTH(Data_Set_3[[#This Row],[date]])</f>
        <v>6</v>
      </c>
      <c r="S107">
        <f>YEAR(Data_Set_3[[#This Row],[date]])</f>
        <v>2018</v>
      </c>
    </row>
    <row r="108" spans="1:19" x14ac:dyDescent="0.3">
      <c r="A108">
        <v>1844</v>
      </c>
      <c r="B108" t="s">
        <v>495</v>
      </c>
      <c r="C108" t="s">
        <v>99</v>
      </c>
      <c r="D108" t="s">
        <v>2999</v>
      </c>
      <c r="E108" t="s">
        <v>3000</v>
      </c>
      <c r="F108" t="s">
        <v>2021</v>
      </c>
      <c r="G108" t="s">
        <v>2554</v>
      </c>
      <c r="H108" t="s">
        <v>32</v>
      </c>
      <c r="I108" t="s">
        <v>274</v>
      </c>
      <c r="J108">
        <v>437</v>
      </c>
      <c r="K108" t="s">
        <v>164</v>
      </c>
      <c r="L108" s="2">
        <v>43265</v>
      </c>
      <c r="M108" t="s">
        <v>246</v>
      </c>
      <c r="N108" t="s">
        <v>247</v>
      </c>
      <c r="O108">
        <v>62723</v>
      </c>
      <c r="P108" t="s">
        <v>21</v>
      </c>
      <c r="Q108" t="str">
        <f>TEXT(Data_Set_3[[#This Row],[date]],"mmmm")</f>
        <v>June</v>
      </c>
      <c r="R108">
        <f>MONTH(Data_Set_3[[#This Row],[date]])</f>
        <v>6</v>
      </c>
      <c r="S108">
        <f>YEAR(Data_Set_3[[#This Row],[date]])</f>
        <v>2018</v>
      </c>
    </row>
    <row r="109" spans="1:19" x14ac:dyDescent="0.3">
      <c r="A109">
        <v>1095</v>
      </c>
      <c r="B109" t="s">
        <v>395</v>
      </c>
      <c r="C109" t="s">
        <v>876</v>
      </c>
      <c r="D109" t="s">
        <v>2989</v>
      </c>
      <c r="E109" t="s">
        <v>2990</v>
      </c>
      <c r="F109" t="s">
        <v>1323</v>
      </c>
      <c r="G109" t="s">
        <v>1453</v>
      </c>
      <c r="H109" t="s">
        <v>32</v>
      </c>
      <c r="I109" t="s">
        <v>51</v>
      </c>
      <c r="J109">
        <v>324</v>
      </c>
      <c r="K109" t="s">
        <v>34</v>
      </c>
      <c r="L109" s="2">
        <v>43268</v>
      </c>
      <c r="M109" t="s">
        <v>68</v>
      </c>
      <c r="N109" t="s">
        <v>234</v>
      </c>
      <c r="O109">
        <v>77040</v>
      </c>
      <c r="P109" t="s">
        <v>21</v>
      </c>
      <c r="Q109" t="str">
        <f>TEXT(Data_Set_3[[#This Row],[date]],"mmmm")</f>
        <v>June</v>
      </c>
      <c r="R109">
        <f>MONTH(Data_Set_3[[#This Row],[date]])</f>
        <v>6</v>
      </c>
      <c r="S109">
        <f>YEAR(Data_Set_3[[#This Row],[date]])</f>
        <v>2018</v>
      </c>
    </row>
    <row r="110" spans="1:19" x14ac:dyDescent="0.3">
      <c r="A110">
        <v>1023</v>
      </c>
      <c r="B110" t="s">
        <v>420</v>
      </c>
      <c r="C110" t="s">
        <v>669</v>
      </c>
      <c r="D110" t="s">
        <v>3001</v>
      </c>
      <c r="E110" t="s">
        <v>3002</v>
      </c>
      <c r="F110" t="s">
        <v>2910</v>
      </c>
      <c r="G110" t="s">
        <v>1794</v>
      </c>
      <c r="H110" t="s">
        <v>16</v>
      </c>
      <c r="I110" t="s">
        <v>17</v>
      </c>
      <c r="J110">
        <v>344</v>
      </c>
      <c r="K110" t="s">
        <v>26</v>
      </c>
      <c r="L110" s="2">
        <v>43270</v>
      </c>
      <c r="M110" t="s">
        <v>152</v>
      </c>
      <c r="N110" t="s">
        <v>643</v>
      </c>
      <c r="O110">
        <v>43210</v>
      </c>
      <c r="P110" t="s">
        <v>21</v>
      </c>
      <c r="Q110" t="str">
        <f>TEXT(Data_Set_3[[#This Row],[date]],"mmmm")</f>
        <v>June</v>
      </c>
      <c r="R110">
        <f>MONTH(Data_Set_3[[#This Row],[date]])</f>
        <v>6</v>
      </c>
      <c r="S110">
        <f>YEAR(Data_Set_3[[#This Row],[date]])</f>
        <v>2018</v>
      </c>
    </row>
    <row r="111" spans="1:19" x14ac:dyDescent="0.3">
      <c r="A111">
        <v>1170</v>
      </c>
      <c r="B111" t="s">
        <v>22</v>
      </c>
      <c r="C111" t="s">
        <v>883</v>
      </c>
      <c r="D111" t="s">
        <v>2837</v>
      </c>
      <c r="E111" t="s">
        <v>2838</v>
      </c>
      <c r="F111" t="s">
        <v>2430</v>
      </c>
      <c r="G111" t="s">
        <v>1333</v>
      </c>
      <c r="H111" t="s">
        <v>16</v>
      </c>
      <c r="I111" t="s">
        <v>33</v>
      </c>
      <c r="J111">
        <v>712</v>
      </c>
      <c r="K111" t="s">
        <v>164</v>
      </c>
      <c r="L111" s="2">
        <v>43270</v>
      </c>
      <c r="M111" t="s">
        <v>68</v>
      </c>
      <c r="N111" t="s">
        <v>169</v>
      </c>
      <c r="O111">
        <v>88574</v>
      </c>
      <c r="P111" t="s">
        <v>21</v>
      </c>
      <c r="Q111" t="str">
        <f>TEXT(Data_Set_3[[#This Row],[date]],"mmmm")</f>
        <v>June</v>
      </c>
      <c r="R111">
        <f>MONTH(Data_Set_3[[#This Row],[date]])</f>
        <v>6</v>
      </c>
      <c r="S111">
        <f>YEAR(Data_Set_3[[#This Row],[date]])</f>
        <v>2018</v>
      </c>
    </row>
    <row r="112" spans="1:19" x14ac:dyDescent="0.3">
      <c r="A112">
        <v>1543</v>
      </c>
      <c r="B112" t="s">
        <v>624</v>
      </c>
      <c r="C112" t="s">
        <v>1000</v>
      </c>
      <c r="D112" t="s">
        <v>3003</v>
      </c>
      <c r="E112" t="s">
        <v>3004</v>
      </c>
      <c r="F112" t="s">
        <v>1712</v>
      </c>
      <c r="G112" t="s">
        <v>1425</v>
      </c>
      <c r="H112" t="s">
        <v>16</v>
      </c>
      <c r="I112" t="s">
        <v>553</v>
      </c>
      <c r="J112">
        <v>916</v>
      </c>
      <c r="K112" t="s">
        <v>164</v>
      </c>
      <c r="L112" s="2">
        <v>43270</v>
      </c>
      <c r="M112" t="s">
        <v>435</v>
      </c>
      <c r="N112" t="s">
        <v>436</v>
      </c>
      <c r="O112">
        <v>87180</v>
      </c>
      <c r="P112" t="s">
        <v>21</v>
      </c>
      <c r="Q112" t="str">
        <f>TEXT(Data_Set_3[[#This Row],[date]],"mmmm")</f>
        <v>June</v>
      </c>
      <c r="R112">
        <f>MONTH(Data_Set_3[[#This Row],[date]])</f>
        <v>6</v>
      </c>
      <c r="S112">
        <f>YEAR(Data_Set_3[[#This Row],[date]])</f>
        <v>2018</v>
      </c>
    </row>
    <row r="113" spans="1:19" x14ac:dyDescent="0.3">
      <c r="A113">
        <v>1020</v>
      </c>
      <c r="B113" t="s">
        <v>122</v>
      </c>
      <c r="C113" t="s">
        <v>954</v>
      </c>
      <c r="D113" t="s">
        <v>2888</v>
      </c>
      <c r="E113" t="s">
        <v>2889</v>
      </c>
      <c r="F113" t="s">
        <v>1998</v>
      </c>
      <c r="G113" t="s">
        <v>1926</v>
      </c>
      <c r="H113" t="s">
        <v>32</v>
      </c>
      <c r="I113" t="s">
        <v>17</v>
      </c>
      <c r="J113">
        <v>757</v>
      </c>
      <c r="K113" t="s">
        <v>26</v>
      </c>
      <c r="L113" s="2">
        <v>43272</v>
      </c>
      <c r="M113" t="s">
        <v>35</v>
      </c>
      <c r="N113" t="s">
        <v>620</v>
      </c>
      <c r="O113">
        <v>94105</v>
      </c>
      <c r="P113" t="s">
        <v>21</v>
      </c>
      <c r="Q113" t="str">
        <f>TEXT(Data_Set_3[[#This Row],[date]],"mmmm")</f>
        <v>June</v>
      </c>
      <c r="R113">
        <f>MONTH(Data_Set_3[[#This Row],[date]])</f>
        <v>6</v>
      </c>
      <c r="S113">
        <f>YEAR(Data_Set_3[[#This Row],[date]])</f>
        <v>2018</v>
      </c>
    </row>
    <row r="114" spans="1:19" x14ac:dyDescent="0.3">
      <c r="A114">
        <v>1277</v>
      </c>
      <c r="B114" t="s">
        <v>43</v>
      </c>
      <c r="C114" t="s">
        <v>783</v>
      </c>
      <c r="D114" t="s">
        <v>2861</v>
      </c>
      <c r="E114" t="s">
        <v>2862</v>
      </c>
      <c r="F114" t="s">
        <v>1850</v>
      </c>
      <c r="G114" t="s">
        <v>2219</v>
      </c>
      <c r="H114" t="s">
        <v>16</v>
      </c>
      <c r="I114" t="s">
        <v>454</v>
      </c>
      <c r="J114">
        <v>632</v>
      </c>
      <c r="K114" t="s">
        <v>416</v>
      </c>
      <c r="L114" s="2">
        <v>43274</v>
      </c>
      <c r="M114" t="s">
        <v>152</v>
      </c>
      <c r="N114" t="s">
        <v>251</v>
      </c>
      <c r="O114">
        <v>44310</v>
      </c>
      <c r="P114" t="s">
        <v>21</v>
      </c>
      <c r="Q114" t="str">
        <f>TEXT(Data_Set_3[[#This Row],[date]],"mmmm")</f>
        <v>June</v>
      </c>
      <c r="R114">
        <f>MONTH(Data_Set_3[[#This Row],[date]])</f>
        <v>6</v>
      </c>
      <c r="S114">
        <f>YEAR(Data_Set_3[[#This Row],[date]])</f>
        <v>2018</v>
      </c>
    </row>
    <row r="115" spans="1:19" x14ac:dyDescent="0.3">
      <c r="A115">
        <v>1358</v>
      </c>
      <c r="B115" t="s">
        <v>837</v>
      </c>
      <c r="C115" t="s">
        <v>930</v>
      </c>
      <c r="D115" t="s">
        <v>3005</v>
      </c>
      <c r="E115" t="s">
        <v>3006</v>
      </c>
      <c r="F115" t="s">
        <v>3007</v>
      </c>
      <c r="G115" t="s">
        <v>2310</v>
      </c>
      <c r="H115" t="s">
        <v>16</v>
      </c>
      <c r="I115" t="s">
        <v>25</v>
      </c>
      <c r="J115">
        <v>825</v>
      </c>
      <c r="K115" t="s">
        <v>26</v>
      </c>
      <c r="L115" s="2">
        <v>43274</v>
      </c>
      <c r="M115" t="s">
        <v>345</v>
      </c>
      <c r="N115" t="s">
        <v>220</v>
      </c>
      <c r="O115">
        <v>20310</v>
      </c>
      <c r="P115" t="s">
        <v>21</v>
      </c>
      <c r="Q115" t="str">
        <f>TEXT(Data_Set_3[[#This Row],[date]],"mmmm")</f>
        <v>June</v>
      </c>
      <c r="R115">
        <f>MONTH(Data_Set_3[[#This Row],[date]])</f>
        <v>6</v>
      </c>
      <c r="S115">
        <f>YEAR(Data_Set_3[[#This Row],[date]])</f>
        <v>2018</v>
      </c>
    </row>
    <row r="116" spans="1:19" x14ac:dyDescent="0.3">
      <c r="A116">
        <v>1022</v>
      </c>
      <c r="B116" t="s">
        <v>769</v>
      </c>
      <c r="C116" t="s">
        <v>825</v>
      </c>
      <c r="D116" t="s">
        <v>3008</v>
      </c>
      <c r="E116" t="s">
        <v>3009</v>
      </c>
      <c r="F116" t="s">
        <v>1888</v>
      </c>
      <c r="G116" t="s">
        <v>1794</v>
      </c>
      <c r="H116" t="s">
        <v>16</v>
      </c>
      <c r="I116" t="s">
        <v>17</v>
      </c>
      <c r="J116">
        <v>820</v>
      </c>
      <c r="K116" t="s">
        <v>26</v>
      </c>
      <c r="L116" s="2">
        <v>43279</v>
      </c>
      <c r="M116" t="s">
        <v>345</v>
      </c>
      <c r="N116" t="s">
        <v>220</v>
      </c>
      <c r="O116">
        <v>20430</v>
      </c>
      <c r="P116" t="s">
        <v>21</v>
      </c>
      <c r="Q116" t="str">
        <f>TEXT(Data_Set_3[[#This Row],[date]],"mmmm")</f>
        <v>June</v>
      </c>
      <c r="R116">
        <f>MONTH(Data_Set_3[[#This Row],[date]])</f>
        <v>6</v>
      </c>
      <c r="S116">
        <f>YEAR(Data_Set_3[[#This Row],[date]])</f>
        <v>2018</v>
      </c>
    </row>
    <row r="117" spans="1:19" x14ac:dyDescent="0.3">
      <c r="A117">
        <v>1092</v>
      </c>
      <c r="B117" t="s">
        <v>516</v>
      </c>
      <c r="C117" t="s">
        <v>455</v>
      </c>
      <c r="D117" t="s">
        <v>2976</v>
      </c>
      <c r="E117" t="s">
        <v>2977</v>
      </c>
      <c r="F117" t="s">
        <v>1763</v>
      </c>
      <c r="G117" t="s">
        <v>1486</v>
      </c>
      <c r="H117" t="s">
        <v>32</v>
      </c>
      <c r="I117" t="s">
        <v>51</v>
      </c>
      <c r="J117">
        <v>451</v>
      </c>
      <c r="K117" t="s">
        <v>73</v>
      </c>
      <c r="L117" s="2">
        <v>43281</v>
      </c>
      <c r="M117" t="s">
        <v>115</v>
      </c>
      <c r="N117" t="s">
        <v>1048</v>
      </c>
      <c r="O117">
        <v>34233</v>
      </c>
      <c r="P117" t="s">
        <v>21</v>
      </c>
      <c r="Q117" t="str">
        <f>TEXT(Data_Set_3[[#This Row],[date]],"mmmm")</f>
        <v>June</v>
      </c>
      <c r="R117">
        <f>MONTH(Data_Set_3[[#This Row],[date]])</f>
        <v>6</v>
      </c>
      <c r="S117">
        <f>YEAR(Data_Set_3[[#This Row],[date]])</f>
        <v>2018</v>
      </c>
    </row>
    <row r="118" spans="1:19" x14ac:dyDescent="0.3">
      <c r="A118">
        <v>1032</v>
      </c>
      <c r="B118" t="s">
        <v>2930</v>
      </c>
      <c r="C118" t="s">
        <v>669</v>
      </c>
      <c r="D118" t="s">
        <v>3010</v>
      </c>
      <c r="E118" t="s">
        <v>3011</v>
      </c>
      <c r="F118" t="s">
        <v>2986</v>
      </c>
      <c r="G118" t="s">
        <v>1899</v>
      </c>
      <c r="H118" t="s">
        <v>16</v>
      </c>
      <c r="I118" t="s">
        <v>17</v>
      </c>
      <c r="J118">
        <v>140</v>
      </c>
      <c r="K118" t="s">
        <v>95</v>
      </c>
      <c r="L118" s="2">
        <v>43282</v>
      </c>
      <c r="M118" t="s">
        <v>110</v>
      </c>
      <c r="N118" t="s">
        <v>160</v>
      </c>
      <c r="O118">
        <v>19104</v>
      </c>
      <c r="P118" t="s">
        <v>21</v>
      </c>
      <c r="Q118" t="str">
        <f>TEXT(Data_Set_3[[#This Row],[date]],"mmmm")</f>
        <v>July</v>
      </c>
      <c r="R118">
        <f>MONTH(Data_Set_3[[#This Row],[date]])</f>
        <v>7</v>
      </c>
      <c r="S118">
        <f>YEAR(Data_Set_3[[#This Row],[date]])</f>
        <v>2018</v>
      </c>
    </row>
    <row r="119" spans="1:19" x14ac:dyDescent="0.3">
      <c r="A119">
        <v>1880</v>
      </c>
      <c r="B119" t="s">
        <v>304</v>
      </c>
      <c r="C119" t="s">
        <v>526</v>
      </c>
      <c r="D119" t="s">
        <v>2831</v>
      </c>
      <c r="E119" t="s">
        <v>2832</v>
      </c>
      <c r="F119" t="s">
        <v>1376</v>
      </c>
      <c r="G119" t="s">
        <v>2577</v>
      </c>
      <c r="H119" t="s">
        <v>32</v>
      </c>
      <c r="I119" t="s">
        <v>274</v>
      </c>
      <c r="J119">
        <v>725</v>
      </c>
      <c r="K119" t="s">
        <v>26</v>
      </c>
      <c r="L119" s="2">
        <v>43284</v>
      </c>
      <c r="M119" t="s">
        <v>246</v>
      </c>
      <c r="N119" t="s">
        <v>339</v>
      </c>
      <c r="O119">
        <v>60614</v>
      </c>
      <c r="P119" t="s">
        <v>21</v>
      </c>
      <c r="Q119" t="str">
        <f>TEXT(Data_Set_3[[#This Row],[date]],"mmmm")</f>
        <v>July</v>
      </c>
      <c r="R119">
        <f>MONTH(Data_Set_3[[#This Row],[date]])</f>
        <v>7</v>
      </c>
      <c r="S119">
        <f>YEAR(Data_Set_3[[#This Row],[date]])</f>
        <v>2018</v>
      </c>
    </row>
    <row r="120" spans="1:19" x14ac:dyDescent="0.3">
      <c r="A120">
        <v>1468</v>
      </c>
      <c r="B120" t="s">
        <v>2915</v>
      </c>
      <c r="C120" t="s">
        <v>722</v>
      </c>
      <c r="D120" t="s">
        <v>2916</v>
      </c>
      <c r="E120" t="s">
        <v>2917</v>
      </c>
      <c r="F120" t="s">
        <v>2918</v>
      </c>
      <c r="G120" t="s">
        <v>1559</v>
      </c>
      <c r="H120" t="s">
        <v>32</v>
      </c>
      <c r="I120" t="s">
        <v>33</v>
      </c>
      <c r="J120">
        <v>952</v>
      </c>
      <c r="K120" t="s">
        <v>259</v>
      </c>
      <c r="L120" s="2">
        <v>43285</v>
      </c>
      <c r="M120" t="s">
        <v>120</v>
      </c>
      <c r="N120" t="s">
        <v>718</v>
      </c>
      <c r="O120">
        <v>70116</v>
      </c>
      <c r="P120" t="s">
        <v>21</v>
      </c>
      <c r="Q120" t="str">
        <f>TEXT(Data_Set_3[[#This Row],[date]],"mmmm")</f>
        <v>July</v>
      </c>
      <c r="R120">
        <f>MONTH(Data_Set_3[[#This Row],[date]])</f>
        <v>7</v>
      </c>
      <c r="S120">
        <f>YEAR(Data_Set_3[[#This Row],[date]])</f>
        <v>2018</v>
      </c>
    </row>
    <row r="121" spans="1:19" x14ac:dyDescent="0.3">
      <c r="A121">
        <v>1781</v>
      </c>
      <c r="B121" t="s">
        <v>3012</v>
      </c>
      <c r="C121" t="s">
        <v>612</v>
      </c>
      <c r="D121" t="s">
        <v>3013</v>
      </c>
      <c r="E121" t="s">
        <v>3014</v>
      </c>
      <c r="F121" t="s">
        <v>1648</v>
      </c>
      <c r="G121" t="s">
        <v>2540</v>
      </c>
      <c r="H121" t="s">
        <v>16</v>
      </c>
      <c r="I121" t="s">
        <v>25</v>
      </c>
      <c r="J121">
        <v>665</v>
      </c>
      <c r="K121" t="s">
        <v>26</v>
      </c>
      <c r="L121" s="2">
        <v>43286</v>
      </c>
      <c r="M121" t="s">
        <v>345</v>
      </c>
      <c r="N121" t="s">
        <v>220</v>
      </c>
      <c r="O121">
        <v>20238</v>
      </c>
      <c r="P121" t="s">
        <v>21</v>
      </c>
      <c r="Q121" t="str">
        <f>TEXT(Data_Set_3[[#This Row],[date]],"mmmm")</f>
        <v>July</v>
      </c>
      <c r="R121">
        <f>MONTH(Data_Set_3[[#This Row],[date]])</f>
        <v>7</v>
      </c>
      <c r="S121">
        <f>YEAR(Data_Set_3[[#This Row],[date]])</f>
        <v>2018</v>
      </c>
    </row>
    <row r="122" spans="1:19" x14ac:dyDescent="0.3">
      <c r="A122">
        <v>1851</v>
      </c>
      <c r="B122" t="s">
        <v>471</v>
      </c>
      <c r="C122" t="s">
        <v>220</v>
      </c>
      <c r="D122" t="s">
        <v>3015</v>
      </c>
      <c r="E122" t="s">
        <v>3016</v>
      </c>
      <c r="F122" t="s">
        <v>3017</v>
      </c>
      <c r="G122" t="s">
        <v>2697</v>
      </c>
      <c r="H122" t="s">
        <v>32</v>
      </c>
      <c r="I122" t="s">
        <v>33</v>
      </c>
      <c r="J122">
        <v>71</v>
      </c>
      <c r="K122" t="s">
        <v>73</v>
      </c>
      <c r="L122" s="2">
        <v>43286</v>
      </c>
      <c r="M122" t="s">
        <v>184</v>
      </c>
      <c r="N122" t="s">
        <v>656</v>
      </c>
      <c r="O122">
        <v>11210</v>
      </c>
      <c r="P122" t="s">
        <v>21</v>
      </c>
      <c r="Q122" t="str">
        <f>TEXT(Data_Set_3[[#This Row],[date]],"mmmm")</f>
        <v>July</v>
      </c>
      <c r="R122">
        <f>MONTH(Data_Set_3[[#This Row],[date]])</f>
        <v>7</v>
      </c>
      <c r="S122">
        <f>YEAR(Data_Set_3[[#This Row],[date]])</f>
        <v>2018</v>
      </c>
    </row>
    <row r="123" spans="1:19" x14ac:dyDescent="0.3">
      <c r="A123">
        <v>1547</v>
      </c>
      <c r="B123" t="s">
        <v>429</v>
      </c>
      <c r="C123" t="s">
        <v>207</v>
      </c>
      <c r="D123" t="s">
        <v>3018</v>
      </c>
      <c r="E123" t="s">
        <v>3019</v>
      </c>
      <c r="F123" t="s">
        <v>1614</v>
      </c>
      <c r="G123" t="s">
        <v>1333</v>
      </c>
      <c r="H123" t="s">
        <v>16</v>
      </c>
      <c r="I123" t="s">
        <v>17</v>
      </c>
      <c r="J123">
        <v>685</v>
      </c>
      <c r="K123" t="s">
        <v>34</v>
      </c>
      <c r="L123" s="2">
        <v>43288</v>
      </c>
      <c r="M123" t="s">
        <v>78</v>
      </c>
      <c r="N123" t="s">
        <v>105</v>
      </c>
      <c r="O123">
        <v>48275</v>
      </c>
      <c r="P123" t="s">
        <v>21</v>
      </c>
      <c r="Q123" t="str">
        <f>TEXT(Data_Set_3[[#This Row],[date]],"mmmm")</f>
        <v>July</v>
      </c>
      <c r="R123">
        <f>MONTH(Data_Set_3[[#This Row],[date]])</f>
        <v>7</v>
      </c>
      <c r="S123">
        <f>YEAR(Data_Set_3[[#This Row],[date]])</f>
        <v>2018</v>
      </c>
    </row>
    <row r="124" spans="1:19" x14ac:dyDescent="0.3">
      <c r="A124">
        <v>1012</v>
      </c>
      <c r="B124" t="s">
        <v>3012</v>
      </c>
      <c r="C124" t="s">
        <v>1133</v>
      </c>
      <c r="D124" t="s">
        <v>3020</v>
      </c>
      <c r="E124" t="s">
        <v>3021</v>
      </c>
      <c r="F124" t="s">
        <v>2244</v>
      </c>
      <c r="G124" t="s">
        <v>2627</v>
      </c>
      <c r="H124" t="s">
        <v>16</v>
      </c>
      <c r="I124" t="s">
        <v>17</v>
      </c>
      <c r="J124">
        <v>463</v>
      </c>
      <c r="K124" t="s">
        <v>34</v>
      </c>
      <c r="L124" s="2">
        <v>43292</v>
      </c>
      <c r="M124" t="s">
        <v>68</v>
      </c>
      <c r="N124" t="s">
        <v>1234</v>
      </c>
      <c r="O124">
        <v>75037</v>
      </c>
      <c r="P124" t="s">
        <v>21</v>
      </c>
      <c r="Q124" t="str">
        <f>TEXT(Data_Set_3[[#This Row],[date]],"mmmm")</f>
        <v>July</v>
      </c>
      <c r="R124">
        <f>MONTH(Data_Set_3[[#This Row],[date]])</f>
        <v>7</v>
      </c>
      <c r="S124">
        <f>YEAR(Data_Set_3[[#This Row],[date]])</f>
        <v>2018</v>
      </c>
    </row>
    <row r="125" spans="1:19" x14ac:dyDescent="0.3">
      <c r="A125">
        <v>1298</v>
      </c>
      <c r="B125" t="s">
        <v>595</v>
      </c>
      <c r="C125" t="s">
        <v>293</v>
      </c>
      <c r="D125" t="s">
        <v>2900</v>
      </c>
      <c r="E125" t="s">
        <v>2901</v>
      </c>
      <c r="F125" t="s">
        <v>1539</v>
      </c>
      <c r="G125" t="s">
        <v>1952</v>
      </c>
      <c r="H125" t="s">
        <v>32</v>
      </c>
      <c r="I125" t="s">
        <v>543</v>
      </c>
      <c r="J125">
        <v>394</v>
      </c>
      <c r="K125" t="s">
        <v>73</v>
      </c>
      <c r="L125" s="2">
        <v>43293</v>
      </c>
      <c r="M125" t="s">
        <v>115</v>
      </c>
      <c r="N125" t="s">
        <v>351</v>
      </c>
      <c r="O125">
        <v>32891</v>
      </c>
      <c r="P125" t="s">
        <v>21</v>
      </c>
      <c r="Q125" t="str">
        <f>TEXT(Data_Set_3[[#This Row],[date]],"mmmm")</f>
        <v>July</v>
      </c>
      <c r="R125">
        <f>MONTH(Data_Set_3[[#This Row],[date]])</f>
        <v>7</v>
      </c>
      <c r="S125">
        <f>YEAR(Data_Set_3[[#This Row],[date]])</f>
        <v>2018</v>
      </c>
    </row>
    <row r="126" spans="1:19" x14ac:dyDescent="0.3">
      <c r="A126">
        <v>1983</v>
      </c>
      <c r="B126" t="s">
        <v>117</v>
      </c>
      <c r="C126" t="s">
        <v>930</v>
      </c>
      <c r="D126" t="s">
        <v>3022</v>
      </c>
      <c r="E126" t="s">
        <v>3023</v>
      </c>
      <c r="F126" t="s">
        <v>1420</v>
      </c>
      <c r="G126" t="s">
        <v>1863</v>
      </c>
      <c r="H126" t="s">
        <v>32</v>
      </c>
      <c r="I126" t="s">
        <v>33</v>
      </c>
      <c r="J126">
        <v>322</v>
      </c>
      <c r="K126" t="s">
        <v>26</v>
      </c>
      <c r="L126" s="2">
        <v>43294</v>
      </c>
      <c r="M126" t="s">
        <v>58</v>
      </c>
      <c r="N126" t="s">
        <v>419</v>
      </c>
      <c r="O126">
        <v>66112</v>
      </c>
      <c r="P126" t="s">
        <v>21</v>
      </c>
      <c r="Q126" t="str">
        <f>TEXT(Data_Set_3[[#This Row],[date]],"mmmm")</f>
        <v>July</v>
      </c>
      <c r="R126">
        <f>MONTH(Data_Set_3[[#This Row],[date]])</f>
        <v>7</v>
      </c>
      <c r="S126">
        <f>YEAR(Data_Set_3[[#This Row],[date]])</f>
        <v>2018</v>
      </c>
    </row>
    <row r="127" spans="1:19" x14ac:dyDescent="0.3">
      <c r="A127">
        <v>1587</v>
      </c>
      <c r="B127" t="s">
        <v>920</v>
      </c>
      <c r="C127" t="s">
        <v>880</v>
      </c>
      <c r="D127" t="s">
        <v>3024</v>
      </c>
      <c r="E127" t="s">
        <v>3025</v>
      </c>
      <c r="F127" t="s">
        <v>2624</v>
      </c>
      <c r="G127" t="s">
        <v>2170</v>
      </c>
      <c r="H127" t="s">
        <v>16</v>
      </c>
      <c r="I127" t="s">
        <v>179</v>
      </c>
      <c r="J127">
        <v>114</v>
      </c>
      <c r="K127" t="s">
        <v>26</v>
      </c>
      <c r="L127" s="2">
        <v>43295</v>
      </c>
      <c r="M127" t="s">
        <v>35</v>
      </c>
      <c r="N127" t="s">
        <v>438</v>
      </c>
      <c r="O127">
        <v>90025</v>
      </c>
      <c r="P127" t="s">
        <v>21</v>
      </c>
      <c r="Q127" t="str">
        <f>TEXT(Data_Set_3[[#This Row],[date]],"mmmm")</f>
        <v>July</v>
      </c>
      <c r="R127">
        <f>MONTH(Data_Set_3[[#This Row],[date]])</f>
        <v>7</v>
      </c>
      <c r="S127">
        <f>YEAR(Data_Set_3[[#This Row],[date]])</f>
        <v>2018</v>
      </c>
    </row>
    <row r="128" spans="1:19" x14ac:dyDescent="0.3">
      <c r="A128">
        <v>1991</v>
      </c>
      <c r="B128" t="s">
        <v>602</v>
      </c>
      <c r="C128" t="s">
        <v>624</v>
      </c>
      <c r="D128" t="s">
        <v>2839</v>
      </c>
      <c r="E128" t="s">
        <v>2840</v>
      </c>
      <c r="F128" t="s">
        <v>2255</v>
      </c>
      <c r="G128" t="s">
        <v>2159</v>
      </c>
      <c r="H128" t="s">
        <v>32</v>
      </c>
      <c r="I128" t="s">
        <v>33</v>
      </c>
      <c r="J128">
        <v>655</v>
      </c>
      <c r="K128" t="s">
        <v>26</v>
      </c>
      <c r="L128" s="2">
        <v>43295</v>
      </c>
      <c r="M128" t="s">
        <v>435</v>
      </c>
      <c r="N128" t="s">
        <v>436</v>
      </c>
      <c r="O128">
        <v>87180</v>
      </c>
      <c r="P128" t="s">
        <v>21</v>
      </c>
      <c r="Q128" t="str">
        <f>TEXT(Data_Set_3[[#This Row],[date]],"mmmm")</f>
        <v>July</v>
      </c>
      <c r="R128">
        <f>MONTH(Data_Set_3[[#This Row],[date]])</f>
        <v>7</v>
      </c>
      <c r="S128">
        <f>YEAR(Data_Set_3[[#This Row],[date]])</f>
        <v>2018</v>
      </c>
    </row>
    <row r="129" spans="1:19" x14ac:dyDescent="0.3">
      <c r="A129">
        <v>1043</v>
      </c>
      <c r="B129" t="s">
        <v>661</v>
      </c>
      <c r="C129" t="s">
        <v>883</v>
      </c>
      <c r="D129" t="s">
        <v>2987</v>
      </c>
      <c r="E129" t="s">
        <v>2988</v>
      </c>
      <c r="F129" t="s">
        <v>1353</v>
      </c>
      <c r="G129" t="s">
        <v>2546</v>
      </c>
      <c r="H129" t="s">
        <v>16</v>
      </c>
      <c r="I129" t="s">
        <v>17</v>
      </c>
      <c r="J129">
        <v>550</v>
      </c>
      <c r="K129" t="s">
        <v>164</v>
      </c>
      <c r="L129" s="2">
        <v>43297</v>
      </c>
      <c r="M129" t="s">
        <v>489</v>
      </c>
      <c r="N129" t="s">
        <v>490</v>
      </c>
      <c r="O129">
        <v>89140</v>
      </c>
      <c r="P129" t="s">
        <v>21</v>
      </c>
      <c r="Q129" t="str">
        <f>TEXT(Data_Set_3[[#This Row],[date]],"mmmm")</f>
        <v>July</v>
      </c>
      <c r="R129">
        <f>MONTH(Data_Set_3[[#This Row],[date]])</f>
        <v>7</v>
      </c>
      <c r="S129">
        <f>YEAR(Data_Set_3[[#This Row],[date]])</f>
        <v>2018</v>
      </c>
    </row>
    <row r="130" spans="1:19" x14ac:dyDescent="0.3">
      <c r="A130">
        <v>1722</v>
      </c>
      <c r="B130" t="s">
        <v>968</v>
      </c>
      <c r="C130" t="s">
        <v>401</v>
      </c>
      <c r="D130" t="s">
        <v>3026</v>
      </c>
      <c r="E130" t="s">
        <v>3027</v>
      </c>
      <c r="F130" t="s">
        <v>1600</v>
      </c>
      <c r="G130" t="s">
        <v>2786</v>
      </c>
      <c r="H130" t="s">
        <v>16</v>
      </c>
      <c r="I130" t="s">
        <v>17</v>
      </c>
      <c r="J130">
        <v>646</v>
      </c>
      <c r="K130" t="s">
        <v>18</v>
      </c>
      <c r="L130" s="2">
        <v>43297</v>
      </c>
      <c r="M130" t="s">
        <v>27</v>
      </c>
      <c r="N130" t="s">
        <v>3028</v>
      </c>
      <c r="O130">
        <v>80005</v>
      </c>
      <c r="P130" t="s">
        <v>21</v>
      </c>
      <c r="Q130" t="str">
        <f>TEXT(Data_Set_3[[#This Row],[date]],"mmmm")</f>
        <v>July</v>
      </c>
      <c r="R130">
        <f>MONTH(Data_Set_3[[#This Row],[date]])</f>
        <v>7</v>
      </c>
      <c r="S130">
        <f>YEAR(Data_Set_3[[#This Row],[date]])</f>
        <v>2018</v>
      </c>
    </row>
    <row r="131" spans="1:19" x14ac:dyDescent="0.3">
      <c r="A131">
        <v>1020</v>
      </c>
      <c r="B131" t="s">
        <v>122</v>
      </c>
      <c r="C131" t="s">
        <v>954</v>
      </c>
      <c r="D131" t="s">
        <v>2888</v>
      </c>
      <c r="E131" t="s">
        <v>2889</v>
      </c>
      <c r="F131" t="s">
        <v>1998</v>
      </c>
      <c r="G131" t="s">
        <v>1926</v>
      </c>
      <c r="H131" t="s">
        <v>32</v>
      </c>
      <c r="I131" t="s">
        <v>17</v>
      </c>
      <c r="J131">
        <v>345</v>
      </c>
      <c r="K131" t="s">
        <v>26</v>
      </c>
      <c r="L131" s="2">
        <v>43299</v>
      </c>
      <c r="M131" t="s">
        <v>35</v>
      </c>
      <c r="N131" t="s">
        <v>620</v>
      </c>
      <c r="O131">
        <v>94105</v>
      </c>
      <c r="P131" t="s">
        <v>21</v>
      </c>
      <c r="Q131" t="str">
        <f>TEXT(Data_Set_3[[#This Row],[date]],"mmmm")</f>
        <v>July</v>
      </c>
      <c r="R131">
        <f>MONTH(Data_Set_3[[#This Row],[date]])</f>
        <v>7</v>
      </c>
      <c r="S131">
        <f>YEAR(Data_Set_3[[#This Row],[date]])</f>
        <v>2018</v>
      </c>
    </row>
    <row r="132" spans="1:19" x14ac:dyDescent="0.3">
      <c r="A132">
        <v>1081</v>
      </c>
      <c r="B132" t="s">
        <v>29</v>
      </c>
      <c r="C132" t="s">
        <v>906</v>
      </c>
      <c r="D132" t="s">
        <v>2980</v>
      </c>
      <c r="E132" t="s">
        <v>2981</v>
      </c>
      <c r="F132" t="s">
        <v>2342</v>
      </c>
      <c r="G132" t="s">
        <v>2286</v>
      </c>
      <c r="H132" t="s">
        <v>32</v>
      </c>
      <c r="I132" t="s">
        <v>51</v>
      </c>
      <c r="J132">
        <v>969</v>
      </c>
      <c r="K132" t="s">
        <v>18</v>
      </c>
      <c r="L132" s="2">
        <v>43299</v>
      </c>
      <c r="M132" t="s">
        <v>152</v>
      </c>
      <c r="N132" t="s">
        <v>484</v>
      </c>
      <c r="O132">
        <v>45426</v>
      </c>
      <c r="P132" t="s">
        <v>21</v>
      </c>
      <c r="Q132" t="str">
        <f>TEXT(Data_Set_3[[#This Row],[date]],"mmmm")</f>
        <v>July</v>
      </c>
      <c r="R132">
        <f>MONTH(Data_Set_3[[#This Row],[date]])</f>
        <v>7</v>
      </c>
      <c r="S132">
        <f>YEAR(Data_Set_3[[#This Row],[date]])</f>
        <v>2018</v>
      </c>
    </row>
    <row r="133" spans="1:19" x14ac:dyDescent="0.3">
      <c r="A133">
        <v>1092</v>
      </c>
      <c r="B133" t="s">
        <v>516</v>
      </c>
      <c r="C133" t="s">
        <v>455</v>
      </c>
      <c r="D133" t="s">
        <v>2976</v>
      </c>
      <c r="E133" t="s">
        <v>2977</v>
      </c>
      <c r="F133" t="s">
        <v>1763</v>
      </c>
      <c r="G133" t="s">
        <v>1486</v>
      </c>
      <c r="H133" t="s">
        <v>32</v>
      </c>
      <c r="I133" t="s">
        <v>51</v>
      </c>
      <c r="J133">
        <v>639</v>
      </c>
      <c r="K133" t="s">
        <v>73</v>
      </c>
      <c r="L133" s="2">
        <v>43300</v>
      </c>
      <c r="M133" t="s">
        <v>115</v>
      </c>
      <c r="N133" t="s">
        <v>1048</v>
      </c>
      <c r="O133">
        <v>34233</v>
      </c>
      <c r="P133" t="s">
        <v>21</v>
      </c>
      <c r="Q133" t="str">
        <f>TEXT(Data_Set_3[[#This Row],[date]],"mmmm")</f>
        <v>July</v>
      </c>
      <c r="R133">
        <f>MONTH(Data_Set_3[[#This Row],[date]])</f>
        <v>7</v>
      </c>
      <c r="S133">
        <f>YEAR(Data_Set_3[[#This Row],[date]])</f>
        <v>2018</v>
      </c>
    </row>
    <row r="134" spans="1:19" x14ac:dyDescent="0.3">
      <c r="A134">
        <v>1460</v>
      </c>
      <c r="B134" t="s">
        <v>716</v>
      </c>
      <c r="C134" t="s">
        <v>93</v>
      </c>
      <c r="D134" t="s">
        <v>3029</v>
      </c>
      <c r="E134" t="s">
        <v>3030</v>
      </c>
      <c r="F134" t="s">
        <v>1450</v>
      </c>
      <c r="G134" t="s">
        <v>2310</v>
      </c>
      <c r="H134" t="s">
        <v>32</v>
      </c>
      <c r="I134" t="s">
        <v>361</v>
      </c>
      <c r="J134">
        <v>505</v>
      </c>
      <c r="K134" t="s">
        <v>18</v>
      </c>
      <c r="L134" s="2">
        <v>43300</v>
      </c>
      <c r="M134" t="s">
        <v>246</v>
      </c>
      <c r="N134" t="s">
        <v>247</v>
      </c>
      <c r="O134">
        <v>62723</v>
      </c>
      <c r="P134" t="s">
        <v>21</v>
      </c>
      <c r="Q134" t="str">
        <f>TEXT(Data_Set_3[[#This Row],[date]],"mmmm")</f>
        <v>July</v>
      </c>
      <c r="R134">
        <f>MONTH(Data_Set_3[[#This Row],[date]])</f>
        <v>7</v>
      </c>
      <c r="S134">
        <f>YEAR(Data_Set_3[[#This Row],[date]])</f>
        <v>2018</v>
      </c>
    </row>
    <row r="135" spans="1:19" x14ac:dyDescent="0.3">
      <c r="A135">
        <v>1123</v>
      </c>
      <c r="B135" t="s">
        <v>1130</v>
      </c>
      <c r="C135" t="s">
        <v>423</v>
      </c>
      <c r="D135" t="s">
        <v>3031</v>
      </c>
      <c r="E135" t="s">
        <v>3032</v>
      </c>
      <c r="F135" t="s">
        <v>1450</v>
      </c>
      <c r="G135" t="s">
        <v>1985</v>
      </c>
      <c r="H135" t="s">
        <v>16</v>
      </c>
      <c r="I135" t="s">
        <v>51</v>
      </c>
      <c r="J135">
        <v>180</v>
      </c>
      <c r="K135" t="s">
        <v>164</v>
      </c>
      <c r="L135" s="2">
        <v>43301</v>
      </c>
      <c r="M135" t="s">
        <v>115</v>
      </c>
      <c r="N135" t="s">
        <v>864</v>
      </c>
      <c r="O135">
        <v>33673</v>
      </c>
      <c r="P135" t="s">
        <v>21</v>
      </c>
      <c r="Q135" t="str">
        <f>TEXT(Data_Set_3[[#This Row],[date]],"mmmm")</f>
        <v>July</v>
      </c>
      <c r="R135">
        <f>MONTH(Data_Set_3[[#This Row],[date]])</f>
        <v>7</v>
      </c>
      <c r="S135">
        <f>YEAR(Data_Set_3[[#This Row],[date]])</f>
        <v>2018</v>
      </c>
    </row>
    <row r="136" spans="1:19" x14ac:dyDescent="0.3">
      <c r="A136">
        <v>1615</v>
      </c>
      <c r="B136" t="s">
        <v>176</v>
      </c>
      <c r="C136" t="s">
        <v>849</v>
      </c>
      <c r="D136" t="s">
        <v>3033</v>
      </c>
      <c r="E136" t="s">
        <v>3034</v>
      </c>
      <c r="F136" t="s">
        <v>1689</v>
      </c>
      <c r="G136" t="s">
        <v>2091</v>
      </c>
      <c r="H136" t="s">
        <v>32</v>
      </c>
      <c r="I136" t="s">
        <v>454</v>
      </c>
      <c r="J136">
        <v>217</v>
      </c>
      <c r="K136" t="s">
        <v>95</v>
      </c>
      <c r="L136" s="2">
        <v>43301</v>
      </c>
      <c r="M136" t="s">
        <v>489</v>
      </c>
      <c r="N136" t="s">
        <v>490</v>
      </c>
      <c r="O136">
        <v>89160</v>
      </c>
      <c r="P136" t="s">
        <v>21</v>
      </c>
      <c r="Q136" t="str">
        <f>TEXT(Data_Set_3[[#This Row],[date]],"mmmm")</f>
        <v>July</v>
      </c>
      <c r="R136">
        <f>MONTH(Data_Set_3[[#This Row],[date]])</f>
        <v>7</v>
      </c>
      <c r="S136">
        <f>YEAR(Data_Set_3[[#This Row],[date]])</f>
        <v>2018</v>
      </c>
    </row>
    <row r="137" spans="1:19" x14ac:dyDescent="0.3">
      <c r="A137">
        <v>1742</v>
      </c>
      <c r="B137" t="s">
        <v>29</v>
      </c>
      <c r="C137" t="s">
        <v>526</v>
      </c>
      <c r="D137" t="s">
        <v>3035</v>
      </c>
      <c r="E137" t="s">
        <v>3036</v>
      </c>
      <c r="F137" t="s">
        <v>1920</v>
      </c>
      <c r="G137" t="s">
        <v>2345</v>
      </c>
      <c r="H137" t="s">
        <v>32</v>
      </c>
      <c r="I137" t="s">
        <v>543</v>
      </c>
      <c r="J137">
        <v>926</v>
      </c>
      <c r="K137" t="s">
        <v>73</v>
      </c>
      <c r="L137" s="2">
        <v>43305</v>
      </c>
      <c r="M137" t="s">
        <v>68</v>
      </c>
      <c r="N137" t="s">
        <v>518</v>
      </c>
      <c r="O137">
        <v>78215</v>
      </c>
      <c r="P137" t="s">
        <v>21</v>
      </c>
      <c r="Q137" t="str">
        <f>TEXT(Data_Set_3[[#This Row],[date]],"mmmm")</f>
        <v>July</v>
      </c>
      <c r="R137">
        <f>MONTH(Data_Set_3[[#This Row],[date]])</f>
        <v>7</v>
      </c>
      <c r="S137">
        <f>YEAR(Data_Set_3[[#This Row],[date]])</f>
        <v>2018</v>
      </c>
    </row>
    <row r="138" spans="1:19" x14ac:dyDescent="0.3">
      <c r="A138">
        <v>1841</v>
      </c>
      <c r="B138" t="s">
        <v>284</v>
      </c>
      <c r="C138" t="s">
        <v>228</v>
      </c>
      <c r="D138" t="s">
        <v>3037</v>
      </c>
      <c r="E138" t="s">
        <v>3038</v>
      </c>
      <c r="F138" t="s">
        <v>1715</v>
      </c>
      <c r="G138" t="s">
        <v>1936</v>
      </c>
      <c r="H138" t="s">
        <v>32</v>
      </c>
      <c r="I138" t="s">
        <v>2821</v>
      </c>
      <c r="J138">
        <v>800</v>
      </c>
      <c r="K138" t="s">
        <v>26</v>
      </c>
      <c r="L138" s="2">
        <v>43305</v>
      </c>
      <c r="M138" t="s">
        <v>27</v>
      </c>
      <c r="N138" t="s">
        <v>28</v>
      </c>
      <c r="O138">
        <v>80228</v>
      </c>
      <c r="P138" t="s">
        <v>21</v>
      </c>
      <c r="Q138" t="str">
        <f>TEXT(Data_Set_3[[#This Row],[date]],"mmmm")</f>
        <v>July</v>
      </c>
      <c r="R138">
        <f>MONTH(Data_Set_3[[#This Row],[date]])</f>
        <v>7</v>
      </c>
      <c r="S138">
        <f>YEAR(Data_Set_3[[#This Row],[date]])</f>
        <v>2018</v>
      </c>
    </row>
    <row r="139" spans="1:19" x14ac:dyDescent="0.3">
      <c r="A139">
        <v>1437</v>
      </c>
      <c r="B139" t="s">
        <v>154</v>
      </c>
      <c r="C139" t="s">
        <v>310</v>
      </c>
      <c r="D139" t="s">
        <v>3039</v>
      </c>
      <c r="E139" t="s">
        <v>3040</v>
      </c>
      <c r="F139" t="s">
        <v>1602</v>
      </c>
      <c r="G139" t="s">
        <v>2571</v>
      </c>
      <c r="H139" t="s">
        <v>16</v>
      </c>
      <c r="I139" t="s">
        <v>151</v>
      </c>
      <c r="J139">
        <v>33</v>
      </c>
      <c r="K139" t="s">
        <v>26</v>
      </c>
      <c r="L139" s="2">
        <v>43306</v>
      </c>
      <c r="M139" t="s">
        <v>489</v>
      </c>
      <c r="N139" t="s">
        <v>667</v>
      </c>
      <c r="O139">
        <v>89505</v>
      </c>
      <c r="P139" t="s">
        <v>21</v>
      </c>
      <c r="Q139" t="str">
        <f>TEXT(Data_Set_3[[#This Row],[date]],"mmmm")</f>
        <v>July</v>
      </c>
      <c r="R139">
        <f>MONTH(Data_Set_3[[#This Row],[date]])</f>
        <v>7</v>
      </c>
      <c r="S139">
        <f>YEAR(Data_Set_3[[#This Row],[date]])</f>
        <v>2018</v>
      </c>
    </row>
    <row r="140" spans="1:19" x14ac:dyDescent="0.3">
      <c r="A140">
        <v>1277</v>
      </c>
      <c r="B140" t="s">
        <v>43</v>
      </c>
      <c r="C140" t="s">
        <v>783</v>
      </c>
      <c r="D140" t="s">
        <v>2861</v>
      </c>
      <c r="E140" t="s">
        <v>2862</v>
      </c>
      <c r="F140" t="s">
        <v>1850</v>
      </c>
      <c r="G140" t="s">
        <v>2219</v>
      </c>
      <c r="H140" t="s">
        <v>16</v>
      </c>
      <c r="I140" t="s">
        <v>454</v>
      </c>
      <c r="J140">
        <v>93</v>
      </c>
      <c r="K140" t="s">
        <v>416</v>
      </c>
      <c r="L140" s="2">
        <v>43307</v>
      </c>
      <c r="M140" t="s">
        <v>152</v>
      </c>
      <c r="N140" t="s">
        <v>251</v>
      </c>
      <c r="O140">
        <v>44310</v>
      </c>
      <c r="P140" t="s">
        <v>21</v>
      </c>
      <c r="Q140" t="str">
        <f>TEXT(Data_Set_3[[#This Row],[date]],"mmmm")</f>
        <v>July</v>
      </c>
      <c r="R140">
        <f>MONTH(Data_Set_3[[#This Row],[date]])</f>
        <v>7</v>
      </c>
      <c r="S140">
        <f>YEAR(Data_Set_3[[#This Row],[date]])</f>
        <v>2018</v>
      </c>
    </row>
    <row r="141" spans="1:19" x14ac:dyDescent="0.3">
      <c r="A141">
        <v>1028</v>
      </c>
      <c r="B141" t="s">
        <v>803</v>
      </c>
      <c r="C141" t="s">
        <v>3041</v>
      </c>
      <c r="D141" t="s">
        <v>3042</v>
      </c>
      <c r="E141" t="s">
        <v>3043</v>
      </c>
      <c r="F141" t="s">
        <v>1326</v>
      </c>
      <c r="G141" t="s">
        <v>2219</v>
      </c>
      <c r="H141" t="s">
        <v>32</v>
      </c>
      <c r="I141" t="s">
        <v>17</v>
      </c>
      <c r="J141">
        <v>598</v>
      </c>
      <c r="K141" t="s">
        <v>57</v>
      </c>
      <c r="L141" s="2">
        <v>43308</v>
      </c>
      <c r="M141" t="s">
        <v>68</v>
      </c>
      <c r="N141" t="s">
        <v>88</v>
      </c>
      <c r="O141">
        <v>79705</v>
      </c>
      <c r="P141" t="s">
        <v>21</v>
      </c>
      <c r="Q141" t="str">
        <f>TEXT(Data_Set_3[[#This Row],[date]],"mmmm")</f>
        <v>July</v>
      </c>
      <c r="R141">
        <f>MONTH(Data_Set_3[[#This Row],[date]])</f>
        <v>7</v>
      </c>
      <c r="S141">
        <f>YEAR(Data_Set_3[[#This Row],[date]])</f>
        <v>2018</v>
      </c>
    </row>
    <row r="142" spans="1:19" x14ac:dyDescent="0.3">
      <c r="A142">
        <v>1116</v>
      </c>
      <c r="B142" t="s">
        <v>135</v>
      </c>
      <c r="C142" t="s">
        <v>2803</v>
      </c>
      <c r="D142" t="s">
        <v>2804</v>
      </c>
      <c r="E142" t="s">
        <v>2805</v>
      </c>
      <c r="F142" t="s">
        <v>1770</v>
      </c>
      <c r="G142" t="s">
        <v>2110</v>
      </c>
      <c r="H142" t="s">
        <v>32</v>
      </c>
      <c r="I142" t="s">
        <v>51</v>
      </c>
      <c r="J142">
        <v>966</v>
      </c>
      <c r="K142" t="s">
        <v>95</v>
      </c>
      <c r="L142" s="2">
        <v>43310</v>
      </c>
      <c r="M142" t="s">
        <v>74</v>
      </c>
      <c r="N142" t="s">
        <v>400</v>
      </c>
      <c r="O142">
        <v>30096</v>
      </c>
      <c r="P142" t="s">
        <v>21</v>
      </c>
      <c r="Q142" t="str">
        <f>TEXT(Data_Set_3[[#This Row],[date]],"mmmm")</f>
        <v>July</v>
      </c>
      <c r="R142">
        <f>MONTH(Data_Set_3[[#This Row],[date]])</f>
        <v>7</v>
      </c>
      <c r="S142">
        <f>YEAR(Data_Set_3[[#This Row],[date]])</f>
        <v>2018</v>
      </c>
    </row>
    <row r="143" spans="1:19" x14ac:dyDescent="0.3">
      <c r="A143">
        <v>1851</v>
      </c>
      <c r="B143" t="s">
        <v>471</v>
      </c>
      <c r="C143" t="s">
        <v>220</v>
      </c>
      <c r="D143" t="s">
        <v>3015</v>
      </c>
      <c r="E143" t="s">
        <v>3016</v>
      </c>
      <c r="F143" t="s">
        <v>3017</v>
      </c>
      <c r="G143" t="s">
        <v>2697</v>
      </c>
      <c r="H143" t="s">
        <v>32</v>
      </c>
      <c r="I143" t="s">
        <v>33</v>
      </c>
      <c r="J143">
        <v>912</v>
      </c>
      <c r="K143" t="s">
        <v>73</v>
      </c>
      <c r="L143" s="2">
        <v>43310</v>
      </c>
      <c r="M143" t="s">
        <v>184</v>
      </c>
      <c r="N143" t="s">
        <v>656</v>
      </c>
      <c r="O143">
        <v>11210</v>
      </c>
      <c r="P143" t="s">
        <v>21</v>
      </c>
      <c r="Q143" t="str">
        <f>TEXT(Data_Set_3[[#This Row],[date]],"mmmm")</f>
        <v>July</v>
      </c>
      <c r="R143">
        <f>MONTH(Data_Set_3[[#This Row],[date]])</f>
        <v>7</v>
      </c>
      <c r="S143">
        <f>YEAR(Data_Set_3[[#This Row],[date]])</f>
        <v>2018</v>
      </c>
    </row>
    <row r="144" spans="1:19" x14ac:dyDescent="0.3">
      <c r="A144">
        <v>1950</v>
      </c>
      <c r="B144" t="s">
        <v>356</v>
      </c>
      <c r="C144" t="s">
        <v>364</v>
      </c>
      <c r="D144" t="s">
        <v>3044</v>
      </c>
      <c r="E144" t="s">
        <v>3045</v>
      </c>
      <c r="F144" t="s">
        <v>2423</v>
      </c>
      <c r="G144" t="s">
        <v>2217</v>
      </c>
      <c r="H144" t="s">
        <v>32</v>
      </c>
      <c r="I144" t="s">
        <v>406</v>
      </c>
      <c r="J144">
        <v>271</v>
      </c>
      <c r="K144" t="s">
        <v>416</v>
      </c>
      <c r="L144" s="2">
        <v>43312</v>
      </c>
      <c r="M144" t="s">
        <v>115</v>
      </c>
      <c r="N144" t="s">
        <v>1160</v>
      </c>
      <c r="O144">
        <v>33763</v>
      </c>
      <c r="P144" t="s">
        <v>21</v>
      </c>
      <c r="Q144" t="str">
        <f>TEXT(Data_Set_3[[#This Row],[date]],"mmmm")</f>
        <v>July</v>
      </c>
      <c r="R144">
        <f>MONTH(Data_Set_3[[#This Row],[date]])</f>
        <v>7</v>
      </c>
      <c r="S144">
        <f>YEAR(Data_Set_3[[#This Row],[date]])</f>
        <v>2018</v>
      </c>
    </row>
    <row r="145" spans="1:19" x14ac:dyDescent="0.3">
      <c r="A145">
        <v>1839</v>
      </c>
      <c r="B145" t="s">
        <v>166</v>
      </c>
      <c r="C145" t="s">
        <v>1039</v>
      </c>
      <c r="D145" t="s">
        <v>3046</v>
      </c>
      <c r="E145" t="s">
        <v>3047</v>
      </c>
      <c r="F145" t="s">
        <v>1668</v>
      </c>
      <c r="G145" t="s">
        <v>2709</v>
      </c>
      <c r="H145" t="s">
        <v>32</v>
      </c>
      <c r="I145" t="s">
        <v>17</v>
      </c>
      <c r="J145">
        <v>936</v>
      </c>
      <c r="K145" t="s">
        <v>26</v>
      </c>
      <c r="L145" s="2">
        <v>43313</v>
      </c>
      <c r="M145" t="s">
        <v>110</v>
      </c>
      <c r="N145" t="s">
        <v>1012</v>
      </c>
      <c r="O145">
        <v>16510</v>
      </c>
      <c r="P145" t="s">
        <v>21</v>
      </c>
      <c r="Q145" t="str">
        <f>TEXT(Data_Set_3[[#This Row],[date]],"mmmm")</f>
        <v>August</v>
      </c>
      <c r="R145">
        <f>MONTH(Data_Set_3[[#This Row],[date]])</f>
        <v>8</v>
      </c>
      <c r="S145">
        <f>YEAR(Data_Set_3[[#This Row],[date]])</f>
        <v>2018</v>
      </c>
    </row>
    <row r="146" spans="1:19" x14ac:dyDescent="0.3">
      <c r="A146">
        <v>1017</v>
      </c>
      <c r="B146" t="s">
        <v>803</v>
      </c>
      <c r="C146" t="s">
        <v>3048</v>
      </c>
      <c r="D146" t="s">
        <v>3049</v>
      </c>
      <c r="E146" t="s">
        <v>3050</v>
      </c>
      <c r="F146" t="s">
        <v>1306</v>
      </c>
      <c r="G146" t="s">
        <v>1845</v>
      </c>
      <c r="H146" t="s">
        <v>32</v>
      </c>
      <c r="I146" t="s">
        <v>17</v>
      </c>
      <c r="J146">
        <v>776</v>
      </c>
      <c r="K146" t="s">
        <v>26</v>
      </c>
      <c r="L146" s="2">
        <v>43314</v>
      </c>
      <c r="M146" t="s">
        <v>246</v>
      </c>
      <c r="N146" t="s">
        <v>339</v>
      </c>
      <c r="O146">
        <v>60663</v>
      </c>
      <c r="P146" t="s">
        <v>21</v>
      </c>
      <c r="Q146" t="str">
        <f>TEXT(Data_Set_3[[#This Row],[date]],"mmmm")</f>
        <v>August</v>
      </c>
      <c r="R146">
        <f>MONTH(Data_Set_3[[#This Row],[date]])</f>
        <v>8</v>
      </c>
      <c r="S146">
        <f>YEAR(Data_Set_3[[#This Row],[date]])</f>
        <v>2018</v>
      </c>
    </row>
    <row r="147" spans="1:19" x14ac:dyDescent="0.3">
      <c r="A147">
        <v>1298</v>
      </c>
      <c r="B147" t="s">
        <v>595</v>
      </c>
      <c r="C147" t="s">
        <v>293</v>
      </c>
      <c r="D147" t="s">
        <v>2900</v>
      </c>
      <c r="E147" t="s">
        <v>2901</v>
      </c>
      <c r="F147" t="s">
        <v>1539</v>
      </c>
      <c r="G147" t="s">
        <v>1952</v>
      </c>
      <c r="H147" t="s">
        <v>32</v>
      </c>
      <c r="I147" t="s">
        <v>543</v>
      </c>
      <c r="J147">
        <v>303</v>
      </c>
      <c r="K147" t="s">
        <v>73</v>
      </c>
      <c r="L147" s="2">
        <v>43316</v>
      </c>
      <c r="M147" t="s">
        <v>115</v>
      </c>
      <c r="N147" t="s">
        <v>351</v>
      </c>
      <c r="O147">
        <v>32891</v>
      </c>
      <c r="P147" t="s">
        <v>21</v>
      </c>
      <c r="Q147" t="str">
        <f>TEXT(Data_Set_3[[#This Row],[date]],"mmmm")</f>
        <v>August</v>
      </c>
      <c r="R147">
        <f>MONTH(Data_Set_3[[#This Row],[date]])</f>
        <v>8</v>
      </c>
      <c r="S147">
        <f>YEAR(Data_Set_3[[#This Row],[date]])</f>
        <v>2018</v>
      </c>
    </row>
    <row r="148" spans="1:19" x14ac:dyDescent="0.3">
      <c r="A148">
        <v>1234</v>
      </c>
      <c r="B148" t="s">
        <v>2806</v>
      </c>
      <c r="C148" t="s">
        <v>752</v>
      </c>
      <c r="D148" t="s">
        <v>2807</v>
      </c>
      <c r="E148" t="s">
        <v>2808</v>
      </c>
      <c r="F148" t="s">
        <v>1460</v>
      </c>
      <c r="G148" t="s">
        <v>2125</v>
      </c>
      <c r="H148" t="s">
        <v>16</v>
      </c>
      <c r="I148" t="s">
        <v>33</v>
      </c>
      <c r="J148">
        <v>185</v>
      </c>
      <c r="K148" t="s">
        <v>62</v>
      </c>
      <c r="L148" s="2">
        <v>43317</v>
      </c>
      <c r="M148" t="s">
        <v>68</v>
      </c>
      <c r="N148" t="s">
        <v>69</v>
      </c>
      <c r="O148">
        <v>78710</v>
      </c>
      <c r="P148" t="s">
        <v>21</v>
      </c>
      <c r="Q148" t="str">
        <f>TEXT(Data_Set_3[[#This Row],[date]],"mmmm")</f>
        <v>August</v>
      </c>
      <c r="R148">
        <f>MONTH(Data_Set_3[[#This Row],[date]])</f>
        <v>8</v>
      </c>
      <c r="S148">
        <f>YEAR(Data_Set_3[[#This Row],[date]])</f>
        <v>2018</v>
      </c>
    </row>
    <row r="149" spans="1:19" x14ac:dyDescent="0.3">
      <c r="A149">
        <v>1710</v>
      </c>
      <c r="B149" t="s">
        <v>359</v>
      </c>
      <c r="C149" t="s">
        <v>3051</v>
      </c>
      <c r="D149" t="s">
        <v>3052</v>
      </c>
      <c r="E149" t="s">
        <v>3053</v>
      </c>
      <c r="F149" t="s">
        <v>1768</v>
      </c>
      <c r="G149" t="s">
        <v>1596</v>
      </c>
      <c r="H149" t="s">
        <v>32</v>
      </c>
      <c r="I149" t="s">
        <v>17</v>
      </c>
      <c r="J149">
        <v>865</v>
      </c>
      <c r="K149" t="s">
        <v>18</v>
      </c>
      <c r="L149" s="2">
        <v>43318</v>
      </c>
      <c r="M149" t="s">
        <v>41</v>
      </c>
      <c r="N149" t="s">
        <v>42</v>
      </c>
      <c r="O149">
        <v>40293</v>
      </c>
      <c r="P149" t="s">
        <v>21</v>
      </c>
      <c r="Q149" t="str">
        <f>TEXT(Data_Set_3[[#This Row],[date]],"mmmm")</f>
        <v>August</v>
      </c>
      <c r="R149">
        <f>MONTH(Data_Set_3[[#This Row],[date]])</f>
        <v>8</v>
      </c>
      <c r="S149">
        <f>YEAR(Data_Set_3[[#This Row],[date]])</f>
        <v>2018</v>
      </c>
    </row>
    <row r="150" spans="1:19" x14ac:dyDescent="0.3">
      <c r="A150">
        <v>1489</v>
      </c>
      <c r="B150" t="s">
        <v>860</v>
      </c>
      <c r="C150" t="s">
        <v>849</v>
      </c>
      <c r="D150" t="s">
        <v>2817</v>
      </c>
      <c r="E150" t="s">
        <v>2818</v>
      </c>
      <c r="F150" t="s">
        <v>1606</v>
      </c>
      <c r="G150" t="s">
        <v>1899</v>
      </c>
      <c r="H150" t="s">
        <v>16</v>
      </c>
      <c r="I150" t="s">
        <v>17</v>
      </c>
      <c r="J150">
        <v>934</v>
      </c>
      <c r="K150" t="s">
        <v>62</v>
      </c>
      <c r="L150" s="2">
        <v>43319</v>
      </c>
      <c r="M150" t="s">
        <v>204</v>
      </c>
      <c r="N150" t="s">
        <v>1135</v>
      </c>
      <c r="O150">
        <v>23668</v>
      </c>
      <c r="P150" t="s">
        <v>21</v>
      </c>
      <c r="Q150" t="str">
        <f>TEXT(Data_Set_3[[#This Row],[date]],"mmmm")</f>
        <v>August</v>
      </c>
      <c r="R150">
        <f>MONTH(Data_Set_3[[#This Row],[date]])</f>
        <v>8</v>
      </c>
      <c r="S150">
        <f>YEAR(Data_Set_3[[#This Row],[date]])</f>
        <v>2018</v>
      </c>
    </row>
    <row r="151" spans="1:19" x14ac:dyDescent="0.3">
      <c r="A151">
        <v>1851</v>
      </c>
      <c r="B151" t="s">
        <v>471</v>
      </c>
      <c r="C151" t="s">
        <v>220</v>
      </c>
      <c r="D151" t="s">
        <v>3015</v>
      </c>
      <c r="E151" t="s">
        <v>3016</v>
      </c>
      <c r="F151" t="s">
        <v>3017</v>
      </c>
      <c r="G151" t="s">
        <v>2697</v>
      </c>
      <c r="H151" t="s">
        <v>32</v>
      </c>
      <c r="I151" t="s">
        <v>33</v>
      </c>
      <c r="J151">
        <v>367</v>
      </c>
      <c r="K151" t="s">
        <v>73</v>
      </c>
      <c r="L151" s="2">
        <v>43321</v>
      </c>
      <c r="M151" t="s">
        <v>184</v>
      </c>
      <c r="N151" t="s">
        <v>656</v>
      </c>
      <c r="O151">
        <v>11210</v>
      </c>
      <c r="P151" t="s">
        <v>21</v>
      </c>
      <c r="Q151" t="str">
        <f>TEXT(Data_Set_3[[#This Row],[date]],"mmmm")</f>
        <v>August</v>
      </c>
      <c r="R151">
        <f>MONTH(Data_Set_3[[#This Row],[date]])</f>
        <v>8</v>
      </c>
      <c r="S151">
        <f>YEAR(Data_Set_3[[#This Row],[date]])</f>
        <v>2018</v>
      </c>
    </row>
    <row r="152" spans="1:19" x14ac:dyDescent="0.3">
      <c r="A152">
        <v>1851</v>
      </c>
      <c r="B152" t="s">
        <v>471</v>
      </c>
      <c r="C152" t="s">
        <v>220</v>
      </c>
      <c r="D152" t="s">
        <v>3015</v>
      </c>
      <c r="E152" t="s">
        <v>3016</v>
      </c>
      <c r="F152" t="s">
        <v>3017</v>
      </c>
      <c r="G152" t="s">
        <v>2697</v>
      </c>
      <c r="H152" t="s">
        <v>32</v>
      </c>
      <c r="I152" t="s">
        <v>33</v>
      </c>
      <c r="J152">
        <v>262</v>
      </c>
      <c r="K152" t="s">
        <v>73</v>
      </c>
      <c r="L152" s="2">
        <v>43327</v>
      </c>
      <c r="M152" t="s">
        <v>184</v>
      </c>
      <c r="N152" t="s">
        <v>656</v>
      </c>
      <c r="O152">
        <v>11210</v>
      </c>
      <c r="P152" t="s">
        <v>21</v>
      </c>
      <c r="Q152" t="str">
        <f>TEXT(Data_Set_3[[#This Row],[date]],"mmmm")</f>
        <v>August</v>
      </c>
      <c r="R152">
        <f>MONTH(Data_Set_3[[#This Row],[date]])</f>
        <v>8</v>
      </c>
      <c r="S152">
        <f>YEAR(Data_Set_3[[#This Row],[date]])</f>
        <v>2018</v>
      </c>
    </row>
    <row r="153" spans="1:19" x14ac:dyDescent="0.3">
      <c r="A153">
        <v>1024</v>
      </c>
      <c r="B153" t="s">
        <v>1053</v>
      </c>
      <c r="C153" t="s">
        <v>334</v>
      </c>
      <c r="D153" t="s">
        <v>3054</v>
      </c>
      <c r="E153" t="s">
        <v>3055</v>
      </c>
      <c r="F153" t="s">
        <v>3056</v>
      </c>
      <c r="G153" t="s">
        <v>2444</v>
      </c>
      <c r="H153" t="s">
        <v>32</v>
      </c>
      <c r="I153" t="s">
        <v>17</v>
      </c>
      <c r="J153">
        <v>533</v>
      </c>
      <c r="K153" t="s">
        <v>275</v>
      </c>
      <c r="L153" s="2">
        <v>43328</v>
      </c>
      <c r="M153" t="s">
        <v>46</v>
      </c>
      <c r="N153" t="s">
        <v>47</v>
      </c>
      <c r="O153">
        <v>6145</v>
      </c>
      <c r="P153" t="s">
        <v>21</v>
      </c>
      <c r="Q153" t="str">
        <f>TEXT(Data_Set_3[[#This Row],[date]],"mmmm")</f>
        <v>August</v>
      </c>
      <c r="R153">
        <f>MONTH(Data_Set_3[[#This Row],[date]])</f>
        <v>8</v>
      </c>
      <c r="S153">
        <f>YEAR(Data_Set_3[[#This Row],[date]])</f>
        <v>2018</v>
      </c>
    </row>
    <row r="154" spans="1:19" x14ac:dyDescent="0.3">
      <c r="A154">
        <v>1170</v>
      </c>
      <c r="B154" t="s">
        <v>22</v>
      </c>
      <c r="C154" t="s">
        <v>883</v>
      </c>
      <c r="D154" t="s">
        <v>2837</v>
      </c>
      <c r="E154" t="s">
        <v>2838</v>
      </c>
      <c r="F154" t="s">
        <v>2430</v>
      </c>
      <c r="G154" t="s">
        <v>1333</v>
      </c>
      <c r="H154" t="s">
        <v>16</v>
      </c>
      <c r="I154" t="s">
        <v>33</v>
      </c>
      <c r="J154">
        <v>281</v>
      </c>
      <c r="K154" t="s">
        <v>164</v>
      </c>
      <c r="L154" s="2">
        <v>43328</v>
      </c>
      <c r="M154" t="s">
        <v>68</v>
      </c>
      <c r="N154" t="s">
        <v>169</v>
      </c>
      <c r="O154">
        <v>88574</v>
      </c>
      <c r="P154" t="s">
        <v>21</v>
      </c>
      <c r="Q154" t="str">
        <f>TEXT(Data_Set_3[[#This Row],[date]],"mmmm")</f>
        <v>August</v>
      </c>
      <c r="R154">
        <f>MONTH(Data_Set_3[[#This Row],[date]])</f>
        <v>8</v>
      </c>
      <c r="S154">
        <f>YEAR(Data_Set_3[[#This Row],[date]])</f>
        <v>2018</v>
      </c>
    </row>
    <row r="155" spans="1:19" x14ac:dyDescent="0.3">
      <c r="A155">
        <v>1074</v>
      </c>
      <c r="B155" t="s">
        <v>363</v>
      </c>
      <c r="C155" t="s">
        <v>430</v>
      </c>
      <c r="D155" t="s">
        <v>3057</v>
      </c>
      <c r="E155" t="s">
        <v>3058</v>
      </c>
      <c r="F155" t="s">
        <v>2497</v>
      </c>
      <c r="G155" t="s">
        <v>2525</v>
      </c>
      <c r="H155" t="s">
        <v>16</v>
      </c>
      <c r="I155" t="s">
        <v>51</v>
      </c>
      <c r="J155">
        <v>202</v>
      </c>
      <c r="K155" t="s">
        <v>34</v>
      </c>
      <c r="L155" s="2">
        <v>43329</v>
      </c>
      <c r="M155" t="s">
        <v>115</v>
      </c>
      <c r="N155" t="s">
        <v>351</v>
      </c>
      <c r="O155">
        <v>32803</v>
      </c>
      <c r="P155" t="s">
        <v>21</v>
      </c>
      <c r="Q155" t="str">
        <f>TEXT(Data_Set_3[[#This Row],[date]],"mmmm")</f>
        <v>August</v>
      </c>
      <c r="R155">
        <f>MONTH(Data_Set_3[[#This Row],[date]])</f>
        <v>8</v>
      </c>
      <c r="S155">
        <f>YEAR(Data_Set_3[[#This Row],[date]])</f>
        <v>2018</v>
      </c>
    </row>
    <row r="156" spans="1:19" x14ac:dyDescent="0.3">
      <c r="A156">
        <v>1234</v>
      </c>
      <c r="B156" t="s">
        <v>2806</v>
      </c>
      <c r="C156" t="s">
        <v>752</v>
      </c>
      <c r="D156" t="s">
        <v>2807</v>
      </c>
      <c r="E156" t="s">
        <v>2808</v>
      </c>
      <c r="F156" t="s">
        <v>1460</v>
      </c>
      <c r="G156" t="s">
        <v>2125</v>
      </c>
      <c r="H156" t="s">
        <v>16</v>
      </c>
      <c r="I156" t="s">
        <v>33</v>
      </c>
      <c r="J156">
        <v>818</v>
      </c>
      <c r="K156" t="s">
        <v>62</v>
      </c>
      <c r="L156" s="2">
        <v>43329</v>
      </c>
      <c r="M156" t="s">
        <v>68</v>
      </c>
      <c r="N156" t="s">
        <v>69</v>
      </c>
      <c r="O156">
        <v>78710</v>
      </c>
      <c r="P156" t="s">
        <v>21</v>
      </c>
      <c r="Q156" t="str">
        <f>TEXT(Data_Set_3[[#This Row],[date]],"mmmm")</f>
        <v>August</v>
      </c>
      <c r="R156">
        <f>MONTH(Data_Set_3[[#This Row],[date]])</f>
        <v>8</v>
      </c>
      <c r="S156">
        <f>YEAR(Data_Set_3[[#This Row],[date]])</f>
        <v>2018</v>
      </c>
    </row>
    <row r="157" spans="1:19" x14ac:dyDescent="0.3">
      <c r="A157">
        <v>2000</v>
      </c>
      <c r="B157" t="s">
        <v>547</v>
      </c>
      <c r="C157" t="s">
        <v>69</v>
      </c>
      <c r="D157" t="s">
        <v>3059</v>
      </c>
      <c r="E157" t="s">
        <v>3060</v>
      </c>
      <c r="F157" t="s">
        <v>1306</v>
      </c>
      <c r="G157" t="s">
        <v>1502</v>
      </c>
      <c r="H157" t="s">
        <v>32</v>
      </c>
      <c r="I157" t="s">
        <v>179</v>
      </c>
      <c r="J157">
        <v>590</v>
      </c>
      <c r="K157" t="s">
        <v>62</v>
      </c>
      <c r="L157" s="2">
        <v>43330</v>
      </c>
      <c r="M157" t="s">
        <v>35</v>
      </c>
      <c r="N157" t="s">
        <v>599</v>
      </c>
      <c r="O157">
        <v>94230</v>
      </c>
      <c r="P157" t="s">
        <v>21</v>
      </c>
      <c r="Q157" t="str">
        <f>TEXT(Data_Set_3[[#This Row],[date]],"mmmm")</f>
        <v>August</v>
      </c>
      <c r="R157">
        <f>MONTH(Data_Set_3[[#This Row],[date]])</f>
        <v>8</v>
      </c>
      <c r="S157">
        <f>YEAR(Data_Set_3[[#This Row],[date]])</f>
        <v>2018</v>
      </c>
    </row>
    <row r="158" spans="1:19" x14ac:dyDescent="0.3">
      <c r="A158">
        <v>1806</v>
      </c>
      <c r="B158" t="s">
        <v>832</v>
      </c>
      <c r="C158" t="s">
        <v>410</v>
      </c>
      <c r="D158" t="s">
        <v>3061</v>
      </c>
      <c r="E158" t="s">
        <v>3062</v>
      </c>
      <c r="F158" t="s">
        <v>1476</v>
      </c>
      <c r="G158" t="s">
        <v>1899</v>
      </c>
      <c r="H158" t="s">
        <v>32</v>
      </c>
      <c r="I158" t="s">
        <v>2821</v>
      </c>
      <c r="J158">
        <v>312</v>
      </c>
      <c r="K158" t="s">
        <v>40</v>
      </c>
      <c r="L158" s="2">
        <v>43331</v>
      </c>
      <c r="M158" t="s">
        <v>68</v>
      </c>
      <c r="N158" t="s">
        <v>518</v>
      </c>
      <c r="O158">
        <v>78265</v>
      </c>
      <c r="P158" t="s">
        <v>21</v>
      </c>
      <c r="Q158" t="str">
        <f>TEXT(Data_Set_3[[#This Row],[date]],"mmmm")</f>
        <v>August</v>
      </c>
      <c r="R158">
        <f>MONTH(Data_Set_3[[#This Row],[date]])</f>
        <v>8</v>
      </c>
      <c r="S158">
        <f>YEAR(Data_Set_3[[#This Row],[date]])</f>
        <v>2018</v>
      </c>
    </row>
    <row r="159" spans="1:19" x14ac:dyDescent="0.3">
      <c r="A159">
        <v>1927</v>
      </c>
      <c r="B159" t="s">
        <v>144</v>
      </c>
      <c r="C159" t="s">
        <v>23</v>
      </c>
      <c r="D159" t="s">
        <v>3063</v>
      </c>
      <c r="E159" t="s">
        <v>3064</v>
      </c>
      <c r="F159" t="s">
        <v>1860</v>
      </c>
      <c r="G159" t="s">
        <v>2685</v>
      </c>
      <c r="H159" t="s">
        <v>32</v>
      </c>
      <c r="I159" t="s">
        <v>406</v>
      </c>
      <c r="J159">
        <v>446</v>
      </c>
      <c r="K159" t="s">
        <v>26</v>
      </c>
      <c r="L159" s="2">
        <v>43331</v>
      </c>
      <c r="M159" t="s">
        <v>35</v>
      </c>
      <c r="N159" t="s">
        <v>599</v>
      </c>
      <c r="O159">
        <v>94207</v>
      </c>
      <c r="P159" t="s">
        <v>21</v>
      </c>
      <c r="Q159" t="str">
        <f>TEXT(Data_Set_3[[#This Row],[date]],"mmmm")</f>
        <v>August</v>
      </c>
      <c r="R159">
        <f>MONTH(Data_Set_3[[#This Row],[date]])</f>
        <v>8</v>
      </c>
      <c r="S159">
        <f>YEAR(Data_Set_3[[#This Row],[date]])</f>
        <v>2018</v>
      </c>
    </row>
    <row r="160" spans="1:19" x14ac:dyDescent="0.3">
      <c r="A160">
        <v>1022</v>
      </c>
      <c r="B160" t="s">
        <v>769</v>
      </c>
      <c r="C160" t="s">
        <v>825</v>
      </c>
      <c r="D160" t="s">
        <v>3008</v>
      </c>
      <c r="E160" t="s">
        <v>3009</v>
      </c>
      <c r="F160" t="s">
        <v>1888</v>
      </c>
      <c r="G160" t="s">
        <v>1794</v>
      </c>
      <c r="H160" t="s">
        <v>16</v>
      </c>
      <c r="I160" t="s">
        <v>17</v>
      </c>
      <c r="J160">
        <v>390</v>
      </c>
      <c r="K160" t="s">
        <v>26</v>
      </c>
      <c r="L160" s="2">
        <v>43332</v>
      </c>
      <c r="M160" t="s">
        <v>345</v>
      </c>
      <c r="N160" t="s">
        <v>220</v>
      </c>
      <c r="O160">
        <v>20430</v>
      </c>
      <c r="P160" t="s">
        <v>21</v>
      </c>
      <c r="Q160" t="str">
        <f>TEXT(Data_Set_3[[#This Row],[date]],"mmmm")</f>
        <v>August</v>
      </c>
      <c r="R160">
        <f>MONTH(Data_Set_3[[#This Row],[date]])</f>
        <v>8</v>
      </c>
      <c r="S160">
        <f>YEAR(Data_Set_3[[#This Row],[date]])</f>
        <v>2018</v>
      </c>
    </row>
    <row r="161" spans="1:19" x14ac:dyDescent="0.3">
      <c r="A161">
        <v>1020</v>
      </c>
      <c r="B161" t="s">
        <v>122</v>
      </c>
      <c r="C161" t="s">
        <v>954</v>
      </c>
      <c r="D161" t="s">
        <v>2888</v>
      </c>
      <c r="E161" t="s">
        <v>2889</v>
      </c>
      <c r="F161" t="s">
        <v>1998</v>
      </c>
      <c r="G161" t="s">
        <v>1926</v>
      </c>
      <c r="H161" t="s">
        <v>32</v>
      </c>
      <c r="I161" t="s">
        <v>17</v>
      </c>
      <c r="J161">
        <v>368</v>
      </c>
      <c r="K161" t="s">
        <v>26</v>
      </c>
      <c r="L161" s="2">
        <v>43333</v>
      </c>
      <c r="M161" t="s">
        <v>35</v>
      </c>
      <c r="N161" t="s">
        <v>620</v>
      </c>
      <c r="O161">
        <v>94105</v>
      </c>
      <c r="P161" t="s">
        <v>21</v>
      </c>
      <c r="Q161" t="str">
        <f>TEXT(Data_Set_3[[#This Row],[date]],"mmmm")</f>
        <v>August</v>
      </c>
      <c r="R161">
        <f>MONTH(Data_Set_3[[#This Row],[date]])</f>
        <v>8</v>
      </c>
      <c r="S161">
        <f>YEAR(Data_Set_3[[#This Row],[date]])</f>
        <v>2018</v>
      </c>
    </row>
    <row r="162" spans="1:19" x14ac:dyDescent="0.3">
      <c r="A162">
        <v>1298</v>
      </c>
      <c r="B162" t="s">
        <v>595</v>
      </c>
      <c r="C162" t="s">
        <v>293</v>
      </c>
      <c r="D162" t="s">
        <v>2900</v>
      </c>
      <c r="E162" t="s">
        <v>2901</v>
      </c>
      <c r="F162" t="s">
        <v>1539</v>
      </c>
      <c r="G162" t="s">
        <v>1952</v>
      </c>
      <c r="H162" t="s">
        <v>32</v>
      </c>
      <c r="I162" t="s">
        <v>543</v>
      </c>
      <c r="J162">
        <v>146</v>
      </c>
      <c r="K162" t="s">
        <v>73</v>
      </c>
      <c r="L162" s="2">
        <v>43333</v>
      </c>
      <c r="M162" t="s">
        <v>115</v>
      </c>
      <c r="N162" t="s">
        <v>351</v>
      </c>
      <c r="O162">
        <v>32891</v>
      </c>
      <c r="P162" t="s">
        <v>21</v>
      </c>
      <c r="Q162" t="str">
        <f>TEXT(Data_Set_3[[#This Row],[date]],"mmmm")</f>
        <v>August</v>
      </c>
      <c r="R162">
        <f>MONTH(Data_Set_3[[#This Row],[date]])</f>
        <v>8</v>
      </c>
      <c r="S162">
        <f>YEAR(Data_Set_3[[#This Row],[date]])</f>
        <v>2018</v>
      </c>
    </row>
    <row r="163" spans="1:19" x14ac:dyDescent="0.3">
      <c r="A163">
        <v>1017</v>
      </c>
      <c r="B163" t="s">
        <v>803</v>
      </c>
      <c r="C163" t="s">
        <v>3048</v>
      </c>
      <c r="D163" t="s">
        <v>3049</v>
      </c>
      <c r="E163" t="s">
        <v>3050</v>
      </c>
      <c r="F163" t="s">
        <v>1306</v>
      </c>
      <c r="G163" t="s">
        <v>1845</v>
      </c>
      <c r="H163" t="s">
        <v>32</v>
      </c>
      <c r="I163" t="s">
        <v>17</v>
      </c>
      <c r="J163">
        <v>338</v>
      </c>
      <c r="K163" t="s">
        <v>26</v>
      </c>
      <c r="L163" s="2">
        <v>43334</v>
      </c>
      <c r="M163" t="s">
        <v>246</v>
      </c>
      <c r="N163" t="s">
        <v>339</v>
      </c>
      <c r="O163">
        <v>60663</v>
      </c>
      <c r="P163" t="s">
        <v>21</v>
      </c>
      <c r="Q163" t="str">
        <f>TEXT(Data_Set_3[[#This Row],[date]],"mmmm")</f>
        <v>August</v>
      </c>
      <c r="R163">
        <f>MONTH(Data_Set_3[[#This Row],[date]])</f>
        <v>8</v>
      </c>
      <c r="S163">
        <f>YEAR(Data_Set_3[[#This Row],[date]])</f>
        <v>2018</v>
      </c>
    </row>
    <row r="164" spans="1:19" x14ac:dyDescent="0.3">
      <c r="A164">
        <v>1020</v>
      </c>
      <c r="B164" t="s">
        <v>122</v>
      </c>
      <c r="C164" t="s">
        <v>954</v>
      </c>
      <c r="D164" t="s">
        <v>2888</v>
      </c>
      <c r="E164" t="s">
        <v>2889</v>
      </c>
      <c r="F164" t="s">
        <v>1998</v>
      </c>
      <c r="G164" t="s">
        <v>1926</v>
      </c>
      <c r="H164" t="s">
        <v>32</v>
      </c>
      <c r="I164" t="s">
        <v>17</v>
      </c>
      <c r="J164">
        <v>246</v>
      </c>
      <c r="K164" t="s">
        <v>26</v>
      </c>
      <c r="L164" s="2">
        <v>43338</v>
      </c>
      <c r="M164" t="s">
        <v>35</v>
      </c>
      <c r="N164" t="s">
        <v>620</v>
      </c>
      <c r="O164">
        <v>94105</v>
      </c>
      <c r="P164" t="s">
        <v>21</v>
      </c>
      <c r="Q164" t="str">
        <f>TEXT(Data_Set_3[[#This Row],[date]],"mmmm")</f>
        <v>August</v>
      </c>
      <c r="R164">
        <f>MONTH(Data_Set_3[[#This Row],[date]])</f>
        <v>8</v>
      </c>
      <c r="S164">
        <f>YEAR(Data_Set_3[[#This Row],[date]])</f>
        <v>2018</v>
      </c>
    </row>
    <row r="165" spans="1:19" x14ac:dyDescent="0.3">
      <c r="A165">
        <v>1403</v>
      </c>
      <c r="B165" t="s">
        <v>467</v>
      </c>
      <c r="C165" t="s">
        <v>3065</v>
      </c>
      <c r="D165" t="s">
        <v>3066</v>
      </c>
      <c r="E165" t="s">
        <v>3067</v>
      </c>
      <c r="F165" t="s">
        <v>1362</v>
      </c>
      <c r="G165" t="s">
        <v>1302</v>
      </c>
      <c r="H165" t="s">
        <v>16</v>
      </c>
      <c r="I165" t="s">
        <v>2813</v>
      </c>
      <c r="J165">
        <v>209</v>
      </c>
      <c r="K165" t="s">
        <v>34</v>
      </c>
      <c r="L165" s="2">
        <v>43340</v>
      </c>
      <c r="M165" t="s">
        <v>184</v>
      </c>
      <c r="N165" t="s">
        <v>808</v>
      </c>
      <c r="O165">
        <v>11499</v>
      </c>
      <c r="P165" t="s">
        <v>21</v>
      </c>
      <c r="Q165" t="str">
        <f>TEXT(Data_Set_3[[#This Row],[date]],"mmmm")</f>
        <v>August</v>
      </c>
      <c r="R165">
        <f>MONTH(Data_Set_3[[#This Row],[date]])</f>
        <v>8</v>
      </c>
      <c r="S165">
        <f>YEAR(Data_Set_3[[#This Row],[date]])</f>
        <v>2018</v>
      </c>
    </row>
    <row r="166" spans="1:19" x14ac:dyDescent="0.3">
      <c r="A166">
        <v>1992</v>
      </c>
      <c r="B166" t="s">
        <v>630</v>
      </c>
      <c r="C166" t="s">
        <v>3068</v>
      </c>
      <c r="D166" t="s">
        <v>3069</v>
      </c>
      <c r="E166" t="s">
        <v>3070</v>
      </c>
      <c r="F166" t="s">
        <v>1993</v>
      </c>
      <c r="G166" t="s">
        <v>2735</v>
      </c>
      <c r="H166" t="s">
        <v>32</v>
      </c>
      <c r="I166" t="s">
        <v>33</v>
      </c>
      <c r="J166">
        <v>368</v>
      </c>
      <c r="K166" t="s">
        <v>26</v>
      </c>
      <c r="L166" s="2">
        <v>43341</v>
      </c>
      <c r="M166" t="s">
        <v>96</v>
      </c>
      <c r="N166" t="s">
        <v>3071</v>
      </c>
      <c r="O166">
        <v>47306</v>
      </c>
      <c r="P166" t="s">
        <v>21</v>
      </c>
      <c r="Q166" t="str">
        <f>TEXT(Data_Set_3[[#This Row],[date]],"mmmm")</f>
        <v>August</v>
      </c>
      <c r="R166">
        <f>MONTH(Data_Set_3[[#This Row],[date]])</f>
        <v>8</v>
      </c>
      <c r="S166">
        <f>YEAR(Data_Set_3[[#This Row],[date]])</f>
        <v>2018</v>
      </c>
    </row>
    <row r="167" spans="1:19" x14ac:dyDescent="0.3">
      <c r="A167">
        <v>1365</v>
      </c>
      <c r="B167" t="s">
        <v>1183</v>
      </c>
      <c r="C167" t="s">
        <v>813</v>
      </c>
      <c r="D167" t="s">
        <v>2957</v>
      </c>
      <c r="E167" t="s">
        <v>2958</v>
      </c>
      <c r="F167" t="s">
        <v>1644</v>
      </c>
      <c r="G167" t="s">
        <v>2061</v>
      </c>
      <c r="H167" t="s">
        <v>16</v>
      </c>
      <c r="I167" t="s">
        <v>51</v>
      </c>
      <c r="J167">
        <v>773</v>
      </c>
      <c r="K167" t="s">
        <v>62</v>
      </c>
      <c r="L167" s="2">
        <v>43342</v>
      </c>
      <c r="M167" t="s">
        <v>115</v>
      </c>
      <c r="N167" t="s">
        <v>143</v>
      </c>
      <c r="O167">
        <v>33261</v>
      </c>
      <c r="P167" t="s">
        <v>21</v>
      </c>
      <c r="Q167" t="str">
        <f>TEXT(Data_Set_3[[#This Row],[date]],"mmmm")</f>
        <v>August</v>
      </c>
      <c r="R167">
        <f>MONTH(Data_Set_3[[#This Row],[date]])</f>
        <v>8</v>
      </c>
      <c r="S167">
        <f>YEAR(Data_Set_3[[#This Row],[date]])</f>
        <v>2018</v>
      </c>
    </row>
    <row r="168" spans="1:19" x14ac:dyDescent="0.3">
      <c r="A168">
        <v>1025</v>
      </c>
      <c r="B168" t="s">
        <v>3072</v>
      </c>
      <c r="C168" t="s">
        <v>3073</v>
      </c>
      <c r="D168" t="s">
        <v>3074</v>
      </c>
      <c r="E168" t="s">
        <v>3075</v>
      </c>
      <c r="F168" t="s">
        <v>3076</v>
      </c>
      <c r="G168" t="s">
        <v>2887</v>
      </c>
      <c r="H168" t="s">
        <v>16</v>
      </c>
      <c r="I168" t="s">
        <v>17</v>
      </c>
      <c r="J168">
        <v>549</v>
      </c>
      <c r="K168" t="s">
        <v>83</v>
      </c>
      <c r="L168" s="2">
        <v>43343</v>
      </c>
      <c r="M168" t="s">
        <v>35</v>
      </c>
      <c r="N168" t="s">
        <v>620</v>
      </c>
      <c r="O168">
        <v>94126</v>
      </c>
      <c r="P168" t="s">
        <v>21</v>
      </c>
      <c r="Q168" t="str">
        <f>TEXT(Data_Set_3[[#This Row],[date]],"mmmm")</f>
        <v>August</v>
      </c>
      <c r="R168">
        <f>MONTH(Data_Set_3[[#This Row],[date]])</f>
        <v>8</v>
      </c>
      <c r="S168">
        <f>YEAR(Data_Set_3[[#This Row],[date]])</f>
        <v>2018</v>
      </c>
    </row>
    <row r="169" spans="1:19" x14ac:dyDescent="0.3">
      <c r="A169">
        <v>1116</v>
      </c>
      <c r="B169" t="s">
        <v>135</v>
      </c>
      <c r="C169" t="s">
        <v>2803</v>
      </c>
      <c r="D169" t="s">
        <v>2804</v>
      </c>
      <c r="E169" t="s">
        <v>2805</v>
      </c>
      <c r="F169" t="s">
        <v>1770</v>
      </c>
      <c r="G169" t="s">
        <v>2110</v>
      </c>
      <c r="H169" t="s">
        <v>32</v>
      </c>
      <c r="I169" t="s">
        <v>51</v>
      </c>
      <c r="J169">
        <v>772</v>
      </c>
      <c r="K169" t="s">
        <v>95</v>
      </c>
      <c r="L169" s="2">
        <v>43343</v>
      </c>
      <c r="M169" t="s">
        <v>74</v>
      </c>
      <c r="N169" t="s">
        <v>400</v>
      </c>
      <c r="O169">
        <v>30096</v>
      </c>
      <c r="P169" t="s">
        <v>21</v>
      </c>
      <c r="Q169" t="str">
        <f>TEXT(Data_Set_3[[#This Row],[date]],"mmmm")</f>
        <v>August</v>
      </c>
      <c r="R169">
        <f>MONTH(Data_Set_3[[#This Row],[date]])</f>
        <v>8</v>
      </c>
      <c r="S169">
        <f>YEAR(Data_Set_3[[#This Row],[date]])</f>
        <v>2018</v>
      </c>
    </row>
    <row r="170" spans="1:19" x14ac:dyDescent="0.3">
      <c r="A170">
        <v>1809</v>
      </c>
      <c r="B170" t="s">
        <v>491</v>
      </c>
      <c r="C170" t="s">
        <v>635</v>
      </c>
      <c r="D170" t="s">
        <v>3077</v>
      </c>
      <c r="E170" t="s">
        <v>3078</v>
      </c>
      <c r="F170" t="s">
        <v>1546</v>
      </c>
      <c r="G170" t="s">
        <v>2196</v>
      </c>
      <c r="H170" t="s">
        <v>32</v>
      </c>
      <c r="I170" t="s">
        <v>17</v>
      </c>
      <c r="J170">
        <v>281</v>
      </c>
      <c r="K170" t="s">
        <v>225</v>
      </c>
      <c r="L170" s="2">
        <v>43343</v>
      </c>
      <c r="M170" t="s">
        <v>254</v>
      </c>
      <c r="N170" t="s">
        <v>255</v>
      </c>
      <c r="O170">
        <v>50335</v>
      </c>
      <c r="P170" t="s">
        <v>21</v>
      </c>
      <c r="Q170" t="str">
        <f>TEXT(Data_Set_3[[#This Row],[date]],"mmmm")</f>
        <v>August</v>
      </c>
      <c r="R170">
        <f>MONTH(Data_Set_3[[#This Row],[date]])</f>
        <v>8</v>
      </c>
      <c r="S170">
        <f>YEAR(Data_Set_3[[#This Row],[date]])</f>
        <v>2018</v>
      </c>
    </row>
    <row r="171" spans="1:19" x14ac:dyDescent="0.3">
      <c r="A171">
        <v>1234</v>
      </c>
      <c r="B171" t="s">
        <v>2806</v>
      </c>
      <c r="C171" t="s">
        <v>752</v>
      </c>
      <c r="D171" t="s">
        <v>2807</v>
      </c>
      <c r="E171" t="s">
        <v>2808</v>
      </c>
      <c r="F171" t="s">
        <v>1460</v>
      </c>
      <c r="G171" t="s">
        <v>2125</v>
      </c>
      <c r="H171" t="s">
        <v>16</v>
      </c>
      <c r="I171" t="s">
        <v>33</v>
      </c>
      <c r="J171">
        <v>274</v>
      </c>
      <c r="K171" t="s">
        <v>62</v>
      </c>
      <c r="L171" s="2">
        <v>43346</v>
      </c>
      <c r="M171" t="s">
        <v>68</v>
      </c>
      <c r="N171" t="s">
        <v>69</v>
      </c>
      <c r="O171">
        <v>78710</v>
      </c>
      <c r="P171" t="s">
        <v>21</v>
      </c>
      <c r="Q171" t="str">
        <f>TEXT(Data_Set_3[[#This Row],[date]],"mmmm")</f>
        <v>September</v>
      </c>
      <c r="R171">
        <f>MONTH(Data_Set_3[[#This Row],[date]])</f>
        <v>9</v>
      </c>
      <c r="S171">
        <f>YEAR(Data_Set_3[[#This Row],[date]])</f>
        <v>2018</v>
      </c>
    </row>
    <row r="172" spans="1:19" x14ac:dyDescent="0.3">
      <c r="A172">
        <v>1433</v>
      </c>
      <c r="B172" t="s">
        <v>745</v>
      </c>
      <c r="C172" t="s">
        <v>482</v>
      </c>
      <c r="D172" t="s">
        <v>2955</v>
      </c>
      <c r="E172" t="s">
        <v>2956</v>
      </c>
      <c r="F172" t="s">
        <v>1983</v>
      </c>
      <c r="G172" t="s">
        <v>1834</v>
      </c>
      <c r="H172" t="s">
        <v>16</v>
      </c>
      <c r="I172" t="s">
        <v>274</v>
      </c>
      <c r="J172">
        <v>147</v>
      </c>
      <c r="K172" t="s">
        <v>95</v>
      </c>
      <c r="L172" s="2">
        <v>43347</v>
      </c>
      <c r="M172" t="s">
        <v>345</v>
      </c>
      <c r="N172" t="s">
        <v>220</v>
      </c>
      <c r="O172">
        <v>20420</v>
      </c>
      <c r="P172" t="s">
        <v>21</v>
      </c>
      <c r="Q172" t="str">
        <f>TEXT(Data_Set_3[[#This Row],[date]],"mmmm")</f>
        <v>September</v>
      </c>
      <c r="R172">
        <f>MONTH(Data_Set_3[[#This Row],[date]])</f>
        <v>9</v>
      </c>
      <c r="S172">
        <f>YEAR(Data_Set_3[[#This Row],[date]])</f>
        <v>2018</v>
      </c>
    </row>
    <row r="173" spans="1:19" x14ac:dyDescent="0.3">
      <c r="A173">
        <v>1298</v>
      </c>
      <c r="B173" t="s">
        <v>595</v>
      </c>
      <c r="C173" t="s">
        <v>293</v>
      </c>
      <c r="D173" t="s">
        <v>2900</v>
      </c>
      <c r="E173" t="s">
        <v>2901</v>
      </c>
      <c r="F173" t="s">
        <v>1539</v>
      </c>
      <c r="G173" t="s">
        <v>1952</v>
      </c>
      <c r="H173" t="s">
        <v>32</v>
      </c>
      <c r="I173" t="s">
        <v>543</v>
      </c>
      <c r="J173">
        <v>329</v>
      </c>
      <c r="K173" t="s">
        <v>73</v>
      </c>
      <c r="L173" s="2">
        <v>43348</v>
      </c>
      <c r="M173" t="s">
        <v>115</v>
      </c>
      <c r="N173" t="s">
        <v>351</v>
      </c>
      <c r="O173">
        <v>32891</v>
      </c>
      <c r="P173" t="s">
        <v>21</v>
      </c>
      <c r="Q173" t="str">
        <f>TEXT(Data_Set_3[[#This Row],[date]],"mmmm")</f>
        <v>September</v>
      </c>
      <c r="R173">
        <f>MONTH(Data_Set_3[[#This Row],[date]])</f>
        <v>9</v>
      </c>
      <c r="S173">
        <f>YEAR(Data_Set_3[[#This Row],[date]])</f>
        <v>2018</v>
      </c>
    </row>
    <row r="174" spans="1:19" x14ac:dyDescent="0.3">
      <c r="A174">
        <v>1709</v>
      </c>
      <c r="B174" t="s">
        <v>565</v>
      </c>
      <c r="C174" t="s">
        <v>455</v>
      </c>
      <c r="D174" t="s">
        <v>3079</v>
      </c>
      <c r="E174" t="s">
        <v>3080</v>
      </c>
      <c r="F174" t="s">
        <v>1838</v>
      </c>
      <c r="G174" t="s">
        <v>2752</v>
      </c>
      <c r="H174" t="s">
        <v>16</v>
      </c>
      <c r="I174" t="s">
        <v>17</v>
      </c>
      <c r="J174">
        <v>719</v>
      </c>
      <c r="K174" t="s">
        <v>26</v>
      </c>
      <c r="L174" s="2">
        <v>43349</v>
      </c>
      <c r="M174" t="s">
        <v>110</v>
      </c>
      <c r="N174" t="s">
        <v>111</v>
      </c>
      <c r="O174">
        <v>15266</v>
      </c>
      <c r="P174" t="s">
        <v>21</v>
      </c>
      <c r="Q174" t="str">
        <f>TEXT(Data_Set_3[[#This Row],[date]],"mmmm")</f>
        <v>September</v>
      </c>
      <c r="R174">
        <f>MONTH(Data_Set_3[[#This Row],[date]])</f>
        <v>9</v>
      </c>
      <c r="S174">
        <f>YEAR(Data_Set_3[[#This Row],[date]])</f>
        <v>2018</v>
      </c>
    </row>
    <row r="175" spans="1:19" x14ac:dyDescent="0.3">
      <c r="A175">
        <v>1170</v>
      </c>
      <c r="B175" t="s">
        <v>22</v>
      </c>
      <c r="C175" t="s">
        <v>883</v>
      </c>
      <c r="D175" t="s">
        <v>2837</v>
      </c>
      <c r="E175" t="s">
        <v>2838</v>
      </c>
      <c r="F175" t="s">
        <v>2430</v>
      </c>
      <c r="G175" t="s">
        <v>1333</v>
      </c>
      <c r="H175" t="s">
        <v>16</v>
      </c>
      <c r="I175" t="s">
        <v>33</v>
      </c>
      <c r="J175">
        <v>111</v>
      </c>
      <c r="K175" t="s">
        <v>164</v>
      </c>
      <c r="L175" s="2">
        <v>43350</v>
      </c>
      <c r="M175" t="s">
        <v>68</v>
      </c>
      <c r="N175" t="s">
        <v>169</v>
      </c>
      <c r="O175">
        <v>88574</v>
      </c>
      <c r="P175" t="s">
        <v>21</v>
      </c>
      <c r="Q175" t="str">
        <f>TEXT(Data_Set_3[[#This Row],[date]],"mmmm")</f>
        <v>September</v>
      </c>
      <c r="R175">
        <f>MONTH(Data_Set_3[[#This Row],[date]])</f>
        <v>9</v>
      </c>
      <c r="S175">
        <f>YEAR(Data_Set_3[[#This Row],[date]])</f>
        <v>2018</v>
      </c>
    </row>
    <row r="176" spans="1:19" x14ac:dyDescent="0.3">
      <c r="A176">
        <v>1277</v>
      </c>
      <c r="B176" t="s">
        <v>43</v>
      </c>
      <c r="C176" t="s">
        <v>783</v>
      </c>
      <c r="D176" t="s">
        <v>2861</v>
      </c>
      <c r="E176" t="s">
        <v>2862</v>
      </c>
      <c r="F176" t="s">
        <v>1850</v>
      </c>
      <c r="G176" t="s">
        <v>2219</v>
      </c>
      <c r="H176" t="s">
        <v>16</v>
      </c>
      <c r="I176" t="s">
        <v>454</v>
      </c>
      <c r="J176">
        <v>536</v>
      </c>
      <c r="K176" t="s">
        <v>416</v>
      </c>
      <c r="L176" s="2">
        <v>43351</v>
      </c>
      <c r="M176" t="s">
        <v>152</v>
      </c>
      <c r="N176" t="s">
        <v>251</v>
      </c>
      <c r="O176">
        <v>44310</v>
      </c>
      <c r="P176" t="s">
        <v>21</v>
      </c>
      <c r="Q176" t="str">
        <f>TEXT(Data_Set_3[[#This Row],[date]],"mmmm")</f>
        <v>September</v>
      </c>
      <c r="R176">
        <f>MONTH(Data_Set_3[[#This Row],[date]])</f>
        <v>9</v>
      </c>
      <c r="S176">
        <f>YEAR(Data_Set_3[[#This Row],[date]])</f>
        <v>2018</v>
      </c>
    </row>
    <row r="177" spans="1:19" x14ac:dyDescent="0.3">
      <c r="A177">
        <v>1880</v>
      </c>
      <c r="B177" t="s">
        <v>304</v>
      </c>
      <c r="C177" t="s">
        <v>526</v>
      </c>
      <c r="D177" t="s">
        <v>2831</v>
      </c>
      <c r="E177" t="s">
        <v>2832</v>
      </c>
      <c r="F177" t="s">
        <v>1376</v>
      </c>
      <c r="G177" t="s">
        <v>2577</v>
      </c>
      <c r="H177" t="s">
        <v>32</v>
      </c>
      <c r="I177" t="s">
        <v>274</v>
      </c>
      <c r="J177">
        <v>814</v>
      </c>
      <c r="K177" t="s">
        <v>26</v>
      </c>
      <c r="L177" s="2">
        <v>43351</v>
      </c>
      <c r="M177" t="s">
        <v>246</v>
      </c>
      <c r="N177" t="s">
        <v>339</v>
      </c>
      <c r="O177">
        <v>60614</v>
      </c>
      <c r="P177" t="s">
        <v>21</v>
      </c>
      <c r="Q177" t="str">
        <f>TEXT(Data_Set_3[[#This Row],[date]],"mmmm")</f>
        <v>September</v>
      </c>
      <c r="R177">
        <f>MONTH(Data_Set_3[[#This Row],[date]])</f>
        <v>9</v>
      </c>
      <c r="S177">
        <f>YEAR(Data_Set_3[[#This Row],[date]])</f>
        <v>2018</v>
      </c>
    </row>
    <row r="178" spans="1:19" x14ac:dyDescent="0.3">
      <c r="A178">
        <v>1880</v>
      </c>
      <c r="B178" t="s">
        <v>304</v>
      </c>
      <c r="C178" t="s">
        <v>526</v>
      </c>
      <c r="D178" t="s">
        <v>2831</v>
      </c>
      <c r="E178" t="s">
        <v>2832</v>
      </c>
      <c r="F178" t="s">
        <v>1376</v>
      </c>
      <c r="G178" t="s">
        <v>2577</v>
      </c>
      <c r="H178" t="s">
        <v>32</v>
      </c>
      <c r="I178" t="s">
        <v>274</v>
      </c>
      <c r="J178">
        <v>527</v>
      </c>
      <c r="K178" t="s">
        <v>26</v>
      </c>
      <c r="L178" s="2">
        <v>43351</v>
      </c>
      <c r="M178" t="s">
        <v>246</v>
      </c>
      <c r="N178" t="s">
        <v>339</v>
      </c>
      <c r="O178">
        <v>60614</v>
      </c>
      <c r="P178" t="s">
        <v>21</v>
      </c>
      <c r="Q178" t="str">
        <f>TEXT(Data_Set_3[[#This Row],[date]],"mmmm")</f>
        <v>September</v>
      </c>
      <c r="R178">
        <f>MONTH(Data_Set_3[[#This Row],[date]])</f>
        <v>9</v>
      </c>
      <c r="S178">
        <f>YEAR(Data_Set_3[[#This Row],[date]])</f>
        <v>2018</v>
      </c>
    </row>
    <row r="179" spans="1:19" x14ac:dyDescent="0.3">
      <c r="A179">
        <v>1880</v>
      </c>
      <c r="B179" t="s">
        <v>304</v>
      </c>
      <c r="C179" t="s">
        <v>526</v>
      </c>
      <c r="D179" t="s">
        <v>2831</v>
      </c>
      <c r="E179" t="s">
        <v>2832</v>
      </c>
      <c r="F179" t="s">
        <v>1376</v>
      </c>
      <c r="G179" t="s">
        <v>2577</v>
      </c>
      <c r="H179" t="s">
        <v>32</v>
      </c>
      <c r="I179" t="s">
        <v>274</v>
      </c>
      <c r="J179">
        <v>288</v>
      </c>
      <c r="K179" t="s">
        <v>26</v>
      </c>
      <c r="L179" s="2">
        <v>43352</v>
      </c>
      <c r="M179" t="s">
        <v>246</v>
      </c>
      <c r="N179" t="s">
        <v>339</v>
      </c>
      <c r="O179">
        <v>60614</v>
      </c>
      <c r="P179" t="s">
        <v>21</v>
      </c>
      <c r="Q179" t="str">
        <f>TEXT(Data_Set_3[[#This Row],[date]],"mmmm")</f>
        <v>September</v>
      </c>
      <c r="R179">
        <f>MONTH(Data_Set_3[[#This Row],[date]])</f>
        <v>9</v>
      </c>
      <c r="S179">
        <f>YEAR(Data_Set_3[[#This Row],[date]])</f>
        <v>2018</v>
      </c>
    </row>
    <row r="180" spans="1:19" x14ac:dyDescent="0.3">
      <c r="A180">
        <v>1020</v>
      </c>
      <c r="B180" t="s">
        <v>122</v>
      </c>
      <c r="C180" t="s">
        <v>954</v>
      </c>
      <c r="D180" t="s">
        <v>2888</v>
      </c>
      <c r="E180" t="s">
        <v>2889</v>
      </c>
      <c r="F180" t="s">
        <v>1998</v>
      </c>
      <c r="G180" t="s">
        <v>1926</v>
      </c>
      <c r="H180" t="s">
        <v>32</v>
      </c>
      <c r="I180" t="s">
        <v>17</v>
      </c>
      <c r="J180">
        <v>206</v>
      </c>
      <c r="K180" t="s">
        <v>26</v>
      </c>
      <c r="L180" s="2">
        <v>43353</v>
      </c>
      <c r="M180" t="s">
        <v>35</v>
      </c>
      <c r="N180" t="s">
        <v>620</v>
      </c>
      <c r="O180">
        <v>94105</v>
      </c>
      <c r="P180" t="s">
        <v>21</v>
      </c>
      <c r="Q180" t="str">
        <f>TEXT(Data_Set_3[[#This Row],[date]],"mmmm")</f>
        <v>September</v>
      </c>
      <c r="R180">
        <f>MONTH(Data_Set_3[[#This Row],[date]])</f>
        <v>9</v>
      </c>
      <c r="S180">
        <f>YEAR(Data_Set_3[[#This Row],[date]])</f>
        <v>2018</v>
      </c>
    </row>
    <row r="181" spans="1:19" x14ac:dyDescent="0.3">
      <c r="A181">
        <v>1994</v>
      </c>
      <c r="B181" t="s">
        <v>336</v>
      </c>
      <c r="C181" t="s">
        <v>482</v>
      </c>
      <c r="D181" t="s">
        <v>3081</v>
      </c>
      <c r="E181" t="s">
        <v>3082</v>
      </c>
      <c r="F181" t="s">
        <v>1412</v>
      </c>
      <c r="G181" t="s">
        <v>2533</v>
      </c>
      <c r="H181" t="s">
        <v>16</v>
      </c>
      <c r="I181" t="s">
        <v>33</v>
      </c>
      <c r="J181">
        <v>657</v>
      </c>
      <c r="K181" t="s">
        <v>26</v>
      </c>
      <c r="L181" s="2">
        <v>43353</v>
      </c>
      <c r="M181" t="s">
        <v>246</v>
      </c>
      <c r="N181" t="s">
        <v>868</v>
      </c>
      <c r="O181">
        <v>61651</v>
      </c>
      <c r="P181" t="s">
        <v>21</v>
      </c>
      <c r="Q181" t="str">
        <f>TEXT(Data_Set_3[[#This Row],[date]],"mmmm")</f>
        <v>September</v>
      </c>
      <c r="R181">
        <f>MONTH(Data_Set_3[[#This Row],[date]])</f>
        <v>9</v>
      </c>
      <c r="S181">
        <f>YEAR(Data_Set_3[[#This Row],[date]])</f>
        <v>2018</v>
      </c>
    </row>
    <row r="182" spans="1:19" x14ac:dyDescent="0.3">
      <c r="A182">
        <v>1119</v>
      </c>
      <c r="B182" t="s">
        <v>3083</v>
      </c>
      <c r="C182" t="s">
        <v>581</v>
      </c>
      <c r="D182" t="s">
        <v>3084</v>
      </c>
      <c r="E182" t="s">
        <v>3085</v>
      </c>
      <c r="F182" t="s">
        <v>2129</v>
      </c>
      <c r="G182" t="s">
        <v>2627</v>
      </c>
      <c r="H182" t="s">
        <v>16</v>
      </c>
      <c r="I182" t="s">
        <v>51</v>
      </c>
      <c r="J182">
        <v>918</v>
      </c>
      <c r="K182" t="s">
        <v>26</v>
      </c>
      <c r="L182" s="2">
        <v>43354</v>
      </c>
      <c r="M182" t="s">
        <v>68</v>
      </c>
      <c r="N182" t="s">
        <v>827</v>
      </c>
      <c r="O182">
        <v>76004</v>
      </c>
      <c r="P182" t="s">
        <v>21</v>
      </c>
      <c r="Q182" t="str">
        <f>TEXT(Data_Set_3[[#This Row],[date]],"mmmm")</f>
        <v>September</v>
      </c>
      <c r="R182">
        <f>MONTH(Data_Set_3[[#This Row],[date]])</f>
        <v>9</v>
      </c>
      <c r="S182">
        <f>YEAR(Data_Set_3[[#This Row],[date]])</f>
        <v>2018</v>
      </c>
    </row>
    <row r="183" spans="1:19" x14ac:dyDescent="0.3">
      <c r="A183">
        <v>1120</v>
      </c>
      <c r="B183" t="s">
        <v>593</v>
      </c>
      <c r="C183" t="s">
        <v>635</v>
      </c>
      <c r="D183" t="s">
        <v>3086</v>
      </c>
      <c r="E183" t="s">
        <v>3087</v>
      </c>
      <c r="F183" t="s">
        <v>1698</v>
      </c>
      <c r="G183" t="s">
        <v>2326</v>
      </c>
      <c r="H183" t="s">
        <v>32</v>
      </c>
      <c r="I183" t="s">
        <v>51</v>
      </c>
      <c r="J183">
        <v>1000</v>
      </c>
      <c r="K183" t="s">
        <v>95</v>
      </c>
      <c r="L183" s="2">
        <v>43358</v>
      </c>
      <c r="M183" t="s">
        <v>184</v>
      </c>
      <c r="N183" t="s">
        <v>197</v>
      </c>
      <c r="O183">
        <v>10125</v>
      </c>
      <c r="P183" t="s">
        <v>21</v>
      </c>
      <c r="Q183" t="str">
        <f>TEXT(Data_Set_3[[#This Row],[date]],"mmmm")</f>
        <v>September</v>
      </c>
      <c r="R183">
        <f>MONTH(Data_Set_3[[#This Row],[date]])</f>
        <v>9</v>
      </c>
      <c r="S183">
        <f>YEAR(Data_Set_3[[#This Row],[date]])</f>
        <v>2018</v>
      </c>
    </row>
    <row r="184" spans="1:19" x14ac:dyDescent="0.3">
      <c r="A184">
        <v>1234</v>
      </c>
      <c r="B184" t="s">
        <v>2806</v>
      </c>
      <c r="C184" t="s">
        <v>752</v>
      </c>
      <c r="D184" t="s">
        <v>2807</v>
      </c>
      <c r="E184" t="s">
        <v>2808</v>
      </c>
      <c r="F184" t="s">
        <v>1460</v>
      </c>
      <c r="G184" t="s">
        <v>2125</v>
      </c>
      <c r="H184" t="s">
        <v>16</v>
      </c>
      <c r="I184" t="s">
        <v>33</v>
      </c>
      <c r="J184">
        <v>892</v>
      </c>
      <c r="K184" t="s">
        <v>62</v>
      </c>
      <c r="L184" s="2">
        <v>43359</v>
      </c>
      <c r="M184" t="s">
        <v>68</v>
      </c>
      <c r="N184" t="s">
        <v>69</v>
      </c>
      <c r="O184">
        <v>78710</v>
      </c>
      <c r="P184" t="s">
        <v>21</v>
      </c>
      <c r="Q184" t="str">
        <f>TEXT(Data_Set_3[[#This Row],[date]],"mmmm")</f>
        <v>September</v>
      </c>
      <c r="R184">
        <f>MONTH(Data_Set_3[[#This Row],[date]])</f>
        <v>9</v>
      </c>
      <c r="S184">
        <f>YEAR(Data_Set_3[[#This Row],[date]])</f>
        <v>2018</v>
      </c>
    </row>
    <row r="185" spans="1:19" x14ac:dyDescent="0.3">
      <c r="A185">
        <v>1777</v>
      </c>
      <c r="B185" t="s">
        <v>176</v>
      </c>
      <c r="C185" t="s">
        <v>722</v>
      </c>
      <c r="D185" t="s">
        <v>3088</v>
      </c>
      <c r="E185" t="s">
        <v>3089</v>
      </c>
      <c r="F185" t="s">
        <v>1362</v>
      </c>
      <c r="G185" t="s">
        <v>2384</v>
      </c>
      <c r="H185" t="s">
        <v>32</v>
      </c>
      <c r="I185" t="s">
        <v>25</v>
      </c>
      <c r="J185">
        <v>840</v>
      </c>
      <c r="K185" t="s">
        <v>26</v>
      </c>
      <c r="L185" s="2">
        <v>43359</v>
      </c>
      <c r="M185" t="s">
        <v>120</v>
      </c>
      <c r="N185" t="s">
        <v>3090</v>
      </c>
      <c r="O185">
        <v>70883</v>
      </c>
      <c r="P185" t="s">
        <v>21</v>
      </c>
      <c r="Q185" t="str">
        <f>TEXT(Data_Set_3[[#This Row],[date]],"mmmm")</f>
        <v>September</v>
      </c>
      <c r="R185">
        <f>MONTH(Data_Set_3[[#This Row],[date]])</f>
        <v>9</v>
      </c>
      <c r="S185">
        <f>YEAR(Data_Set_3[[#This Row],[date]])</f>
        <v>2018</v>
      </c>
    </row>
    <row r="186" spans="1:19" x14ac:dyDescent="0.3">
      <c r="A186">
        <v>1081</v>
      </c>
      <c r="B186" t="s">
        <v>29</v>
      </c>
      <c r="C186" t="s">
        <v>906</v>
      </c>
      <c r="D186" t="s">
        <v>2980</v>
      </c>
      <c r="E186" t="s">
        <v>2981</v>
      </c>
      <c r="F186" t="s">
        <v>2342</v>
      </c>
      <c r="G186" t="s">
        <v>2286</v>
      </c>
      <c r="H186" t="s">
        <v>32</v>
      </c>
      <c r="I186" t="s">
        <v>51</v>
      </c>
      <c r="J186">
        <v>198</v>
      </c>
      <c r="K186" t="s">
        <v>18</v>
      </c>
      <c r="L186" s="2">
        <v>43361</v>
      </c>
      <c r="M186" t="s">
        <v>152</v>
      </c>
      <c r="N186" t="s">
        <v>484</v>
      </c>
      <c r="O186">
        <v>45426</v>
      </c>
      <c r="P186" t="s">
        <v>21</v>
      </c>
      <c r="Q186" t="str">
        <f>TEXT(Data_Set_3[[#This Row],[date]],"mmmm")</f>
        <v>September</v>
      </c>
      <c r="R186">
        <f>MONTH(Data_Set_3[[#This Row],[date]])</f>
        <v>9</v>
      </c>
      <c r="S186">
        <f>YEAR(Data_Set_3[[#This Row],[date]])</f>
        <v>2018</v>
      </c>
    </row>
    <row r="187" spans="1:19" x14ac:dyDescent="0.3">
      <c r="A187">
        <v>1730</v>
      </c>
      <c r="B187" t="s">
        <v>595</v>
      </c>
      <c r="C187" t="s">
        <v>934</v>
      </c>
      <c r="D187" t="s">
        <v>3091</v>
      </c>
      <c r="E187" t="s">
        <v>3092</v>
      </c>
      <c r="F187" t="s">
        <v>1648</v>
      </c>
      <c r="G187" t="s">
        <v>2016</v>
      </c>
      <c r="H187" t="s">
        <v>32</v>
      </c>
      <c r="I187" t="s">
        <v>179</v>
      </c>
      <c r="J187">
        <v>699</v>
      </c>
      <c r="K187" t="s">
        <v>26</v>
      </c>
      <c r="L187" s="2">
        <v>43362</v>
      </c>
      <c r="M187" t="s">
        <v>269</v>
      </c>
      <c r="N187" t="s">
        <v>1055</v>
      </c>
      <c r="O187">
        <v>99517</v>
      </c>
      <c r="P187" t="s">
        <v>21</v>
      </c>
      <c r="Q187" t="str">
        <f>TEXT(Data_Set_3[[#This Row],[date]],"mmmm")</f>
        <v>September</v>
      </c>
      <c r="R187">
        <f>MONTH(Data_Set_3[[#This Row],[date]])</f>
        <v>9</v>
      </c>
      <c r="S187">
        <f>YEAR(Data_Set_3[[#This Row],[date]])</f>
        <v>2018</v>
      </c>
    </row>
    <row r="188" spans="1:19" x14ac:dyDescent="0.3">
      <c r="A188">
        <v>1043</v>
      </c>
      <c r="B188" t="s">
        <v>661</v>
      </c>
      <c r="C188" t="s">
        <v>883</v>
      </c>
      <c r="D188" t="s">
        <v>2987</v>
      </c>
      <c r="E188" t="s">
        <v>2988</v>
      </c>
      <c r="F188" t="s">
        <v>1353</v>
      </c>
      <c r="G188" t="s">
        <v>2546</v>
      </c>
      <c r="H188" t="s">
        <v>16</v>
      </c>
      <c r="I188" t="s">
        <v>17</v>
      </c>
      <c r="J188">
        <v>649</v>
      </c>
      <c r="K188" t="s">
        <v>164</v>
      </c>
      <c r="L188" s="2">
        <v>43367</v>
      </c>
      <c r="M188" t="s">
        <v>489</v>
      </c>
      <c r="N188" t="s">
        <v>490</v>
      </c>
      <c r="O188">
        <v>89140</v>
      </c>
      <c r="P188" t="s">
        <v>21</v>
      </c>
      <c r="Q188" t="str">
        <f>TEXT(Data_Set_3[[#This Row],[date]],"mmmm")</f>
        <v>September</v>
      </c>
      <c r="R188">
        <f>MONTH(Data_Set_3[[#This Row],[date]])</f>
        <v>9</v>
      </c>
      <c r="S188">
        <f>YEAR(Data_Set_3[[#This Row],[date]])</f>
        <v>2018</v>
      </c>
    </row>
    <row r="189" spans="1:19" x14ac:dyDescent="0.3">
      <c r="A189">
        <v>1234</v>
      </c>
      <c r="B189" t="s">
        <v>2806</v>
      </c>
      <c r="C189" t="s">
        <v>752</v>
      </c>
      <c r="D189" t="s">
        <v>2807</v>
      </c>
      <c r="E189" t="s">
        <v>2808</v>
      </c>
      <c r="F189" t="s">
        <v>1460</v>
      </c>
      <c r="G189" t="s">
        <v>2125</v>
      </c>
      <c r="H189" t="s">
        <v>16</v>
      </c>
      <c r="I189" t="s">
        <v>33</v>
      </c>
      <c r="J189">
        <v>38</v>
      </c>
      <c r="K189" t="s">
        <v>62</v>
      </c>
      <c r="L189" s="2">
        <v>43367</v>
      </c>
      <c r="M189" t="s">
        <v>68</v>
      </c>
      <c r="N189" t="s">
        <v>69</v>
      </c>
      <c r="O189">
        <v>78710</v>
      </c>
      <c r="P189" t="s">
        <v>21</v>
      </c>
      <c r="Q189" t="str">
        <f>TEXT(Data_Set_3[[#This Row],[date]],"mmmm")</f>
        <v>September</v>
      </c>
      <c r="R189">
        <f>MONTH(Data_Set_3[[#This Row],[date]])</f>
        <v>9</v>
      </c>
      <c r="S189">
        <f>YEAR(Data_Set_3[[#This Row],[date]])</f>
        <v>2018</v>
      </c>
    </row>
    <row r="190" spans="1:19" x14ac:dyDescent="0.3">
      <c r="A190">
        <v>1019</v>
      </c>
      <c r="B190" t="s">
        <v>460</v>
      </c>
      <c r="C190" t="s">
        <v>446</v>
      </c>
      <c r="D190" t="s">
        <v>3093</v>
      </c>
      <c r="E190" t="s">
        <v>3094</v>
      </c>
      <c r="F190" t="s">
        <v>1323</v>
      </c>
      <c r="G190" t="s">
        <v>2495</v>
      </c>
      <c r="H190" t="s">
        <v>32</v>
      </c>
      <c r="I190" t="s">
        <v>17</v>
      </c>
      <c r="J190">
        <v>841</v>
      </c>
      <c r="K190" t="s">
        <v>62</v>
      </c>
      <c r="L190" s="2">
        <v>43368</v>
      </c>
      <c r="M190" t="s">
        <v>563</v>
      </c>
      <c r="N190" t="s">
        <v>564</v>
      </c>
      <c r="O190">
        <v>83705</v>
      </c>
      <c r="P190" t="s">
        <v>21</v>
      </c>
      <c r="Q190" t="str">
        <f>TEXT(Data_Set_3[[#This Row],[date]],"mmmm")</f>
        <v>September</v>
      </c>
      <c r="R190">
        <f>MONTH(Data_Set_3[[#This Row],[date]])</f>
        <v>9</v>
      </c>
      <c r="S190">
        <f>YEAR(Data_Set_3[[#This Row],[date]])</f>
        <v>2018</v>
      </c>
    </row>
    <row r="191" spans="1:19" x14ac:dyDescent="0.3">
      <c r="A191">
        <v>1436</v>
      </c>
      <c r="B191" t="s">
        <v>356</v>
      </c>
      <c r="C191" t="s">
        <v>737</v>
      </c>
      <c r="D191" t="s">
        <v>2882</v>
      </c>
      <c r="E191" t="s">
        <v>2883</v>
      </c>
      <c r="F191" t="s">
        <v>1359</v>
      </c>
      <c r="G191" t="s">
        <v>2495</v>
      </c>
      <c r="H191" t="s">
        <v>32</v>
      </c>
      <c r="I191" t="s">
        <v>151</v>
      </c>
      <c r="J191">
        <v>952</v>
      </c>
      <c r="K191" t="s">
        <v>26</v>
      </c>
      <c r="L191" s="2">
        <v>43369</v>
      </c>
      <c r="M191" t="s">
        <v>489</v>
      </c>
      <c r="N191" t="s">
        <v>490</v>
      </c>
      <c r="O191">
        <v>89145</v>
      </c>
      <c r="P191" t="s">
        <v>21</v>
      </c>
      <c r="Q191" t="str">
        <f>TEXT(Data_Set_3[[#This Row],[date]],"mmmm")</f>
        <v>September</v>
      </c>
      <c r="R191">
        <f>MONTH(Data_Set_3[[#This Row],[date]])</f>
        <v>9</v>
      </c>
      <c r="S191">
        <f>YEAR(Data_Set_3[[#This Row],[date]])</f>
        <v>2018</v>
      </c>
    </row>
    <row r="192" spans="1:19" x14ac:dyDescent="0.3">
      <c r="A192">
        <v>1880</v>
      </c>
      <c r="B192" t="s">
        <v>304</v>
      </c>
      <c r="C192" t="s">
        <v>526</v>
      </c>
      <c r="D192" t="s">
        <v>2831</v>
      </c>
      <c r="E192" t="s">
        <v>2832</v>
      </c>
      <c r="F192" t="s">
        <v>1376</v>
      </c>
      <c r="G192" t="s">
        <v>2577</v>
      </c>
      <c r="H192" t="s">
        <v>32</v>
      </c>
      <c r="I192" t="s">
        <v>274</v>
      </c>
      <c r="J192">
        <v>618</v>
      </c>
      <c r="K192" t="s">
        <v>26</v>
      </c>
      <c r="L192" s="2">
        <v>43369</v>
      </c>
      <c r="M192" t="s">
        <v>246</v>
      </c>
      <c r="N192" t="s">
        <v>339</v>
      </c>
      <c r="O192">
        <v>60614</v>
      </c>
      <c r="P192" t="s">
        <v>21</v>
      </c>
      <c r="Q192" t="str">
        <f>TEXT(Data_Set_3[[#This Row],[date]],"mmmm")</f>
        <v>September</v>
      </c>
      <c r="R192">
        <f>MONTH(Data_Set_3[[#This Row],[date]])</f>
        <v>9</v>
      </c>
      <c r="S192">
        <f>YEAR(Data_Set_3[[#This Row],[date]])</f>
        <v>2018</v>
      </c>
    </row>
    <row r="193" spans="1:19" x14ac:dyDescent="0.3">
      <c r="A193">
        <v>1585</v>
      </c>
      <c r="B193" t="s">
        <v>1118</v>
      </c>
      <c r="C193" t="s">
        <v>3095</v>
      </c>
      <c r="D193" t="s">
        <v>3096</v>
      </c>
      <c r="E193" t="s">
        <v>3097</v>
      </c>
      <c r="F193" t="s">
        <v>1827</v>
      </c>
      <c r="G193" t="s">
        <v>1559</v>
      </c>
      <c r="H193" t="s">
        <v>32</v>
      </c>
      <c r="I193" t="s">
        <v>151</v>
      </c>
      <c r="J193">
        <v>345</v>
      </c>
      <c r="K193" t="s">
        <v>26</v>
      </c>
      <c r="L193" s="2">
        <v>43370</v>
      </c>
      <c r="M193" t="s">
        <v>489</v>
      </c>
      <c r="N193" t="s">
        <v>972</v>
      </c>
      <c r="O193">
        <v>89714</v>
      </c>
      <c r="P193" t="s">
        <v>21</v>
      </c>
      <c r="Q193" t="str">
        <f>TEXT(Data_Set_3[[#This Row],[date]],"mmmm")</f>
        <v>September</v>
      </c>
      <c r="R193">
        <f>MONTH(Data_Set_3[[#This Row],[date]])</f>
        <v>9</v>
      </c>
      <c r="S193">
        <f>YEAR(Data_Set_3[[#This Row],[date]])</f>
        <v>2018</v>
      </c>
    </row>
    <row r="194" spans="1:19" x14ac:dyDescent="0.3">
      <c r="A194">
        <v>1999</v>
      </c>
      <c r="B194" t="s">
        <v>2930</v>
      </c>
      <c r="C194" t="s">
        <v>567</v>
      </c>
      <c r="D194" t="s">
        <v>2931</v>
      </c>
      <c r="E194" t="s">
        <v>2932</v>
      </c>
      <c r="F194" t="s">
        <v>1529</v>
      </c>
      <c r="G194" t="s">
        <v>2687</v>
      </c>
      <c r="H194" t="s">
        <v>16</v>
      </c>
      <c r="I194" t="s">
        <v>406</v>
      </c>
      <c r="J194">
        <v>488</v>
      </c>
      <c r="K194" t="s">
        <v>26</v>
      </c>
      <c r="L194" s="2">
        <v>43370</v>
      </c>
      <c r="M194" t="s">
        <v>74</v>
      </c>
      <c r="N194" t="s">
        <v>643</v>
      </c>
      <c r="O194">
        <v>31914</v>
      </c>
      <c r="P194" t="s">
        <v>21</v>
      </c>
      <c r="Q194" t="str">
        <f>TEXT(Data_Set_3[[#This Row],[date]],"mmmm")</f>
        <v>September</v>
      </c>
      <c r="R194">
        <f>MONTH(Data_Set_3[[#This Row],[date]])</f>
        <v>9</v>
      </c>
      <c r="S194">
        <f>YEAR(Data_Set_3[[#This Row],[date]])</f>
        <v>2018</v>
      </c>
    </row>
    <row r="195" spans="1:19" x14ac:dyDescent="0.3">
      <c r="A195">
        <v>1234</v>
      </c>
      <c r="B195" t="s">
        <v>2806</v>
      </c>
      <c r="C195" t="s">
        <v>752</v>
      </c>
      <c r="D195" t="s">
        <v>2807</v>
      </c>
      <c r="E195" t="s">
        <v>2808</v>
      </c>
      <c r="F195" t="s">
        <v>1460</v>
      </c>
      <c r="G195" t="s">
        <v>2125</v>
      </c>
      <c r="H195" t="s">
        <v>16</v>
      </c>
      <c r="I195" t="s">
        <v>33</v>
      </c>
      <c r="J195">
        <v>49</v>
      </c>
      <c r="K195" t="s">
        <v>62</v>
      </c>
      <c r="L195" s="2">
        <v>43371</v>
      </c>
      <c r="M195" t="s">
        <v>68</v>
      </c>
      <c r="N195" t="s">
        <v>69</v>
      </c>
      <c r="O195">
        <v>78710</v>
      </c>
      <c r="P195" t="s">
        <v>21</v>
      </c>
      <c r="Q195" t="str">
        <f>TEXT(Data_Set_3[[#This Row],[date]],"mmmm")</f>
        <v>September</v>
      </c>
      <c r="R195">
        <f>MONTH(Data_Set_3[[#This Row],[date]])</f>
        <v>9</v>
      </c>
      <c r="S195">
        <f>YEAR(Data_Set_3[[#This Row],[date]])</f>
        <v>2018</v>
      </c>
    </row>
    <row r="196" spans="1:19" x14ac:dyDescent="0.3">
      <c r="A196">
        <v>1937</v>
      </c>
      <c r="B196" t="s">
        <v>384</v>
      </c>
      <c r="C196" t="s">
        <v>3065</v>
      </c>
      <c r="D196" t="s">
        <v>3098</v>
      </c>
      <c r="E196" t="s">
        <v>3099</v>
      </c>
      <c r="F196" t="s">
        <v>1323</v>
      </c>
      <c r="G196" t="s">
        <v>2752</v>
      </c>
      <c r="H196" t="s">
        <v>16</v>
      </c>
      <c r="I196" t="s">
        <v>2821</v>
      </c>
      <c r="J196">
        <v>435</v>
      </c>
      <c r="K196" t="s">
        <v>95</v>
      </c>
      <c r="L196" s="2">
        <v>43371</v>
      </c>
      <c r="M196" t="s">
        <v>345</v>
      </c>
      <c r="N196" t="s">
        <v>220</v>
      </c>
      <c r="O196">
        <v>20231</v>
      </c>
      <c r="P196" t="s">
        <v>21</v>
      </c>
      <c r="Q196" t="str">
        <f>TEXT(Data_Set_3[[#This Row],[date]],"mmmm")</f>
        <v>September</v>
      </c>
      <c r="R196">
        <f>MONTH(Data_Set_3[[#This Row],[date]])</f>
        <v>9</v>
      </c>
      <c r="S196">
        <f>YEAR(Data_Set_3[[#This Row],[date]])</f>
        <v>2018</v>
      </c>
    </row>
    <row r="197" spans="1:19" x14ac:dyDescent="0.3">
      <c r="A197">
        <v>1365</v>
      </c>
      <c r="B197" t="s">
        <v>1183</v>
      </c>
      <c r="C197" t="s">
        <v>813</v>
      </c>
      <c r="D197" t="s">
        <v>2957</v>
      </c>
      <c r="E197" t="s">
        <v>2958</v>
      </c>
      <c r="F197" t="s">
        <v>1644</v>
      </c>
      <c r="G197" t="s">
        <v>2061</v>
      </c>
      <c r="H197" t="s">
        <v>16</v>
      </c>
      <c r="I197" t="s">
        <v>51</v>
      </c>
      <c r="J197">
        <v>63</v>
      </c>
      <c r="K197" t="s">
        <v>62</v>
      </c>
      <c r="L197" s="2">
        <v>43372</v>
      </c>
      <c r="M197" t="s">
        <v>115</v>
      </c>
      <c r="N197" t="s">
        <v>143</v>
      </c>
      <c r="O197">
        <v>33261</v>
      </c>
      <c r="P197" t="s">
        <v>21</v>
      </c>
      <c r="Q197" t="str">
        <f>TEXT(Data_Set_3[[#This Row],[date]],"mmmm")</f>
        <v>September</v>
      </c>
      <c r="R197">
        <f>MONTH(Data_Set_3[[#This Row],[date]])</f>
        <v>9</v>
      </c>
      <c r="S197">
        <f>YEAR(Data_Set_3[[#This Row],[date]])</f>
        <v>2018</v>
      </c>
    </row>
    <row r="198" spans="1:19" x14ac:dyDescent="0.3">
      <c r="A198">
        <v>1646</v>
      </c>
      <c r="B198" t="s">
        <v>644</v>
      </c>
      <c r="C198" t="s">
        <v>103</v>
      </c>
      <c r="D198" t="s">
        <v>3100</v>
      </c>
      <c r="E198" t="s">
        <v>3101</v>
      </c>
      <c r="F198" t="s">
        <v>1483</v>
      </c>
      <c r="G198" t="s">
        <v>1347</v>
      </c>
      <c r="H198" t="s">
        <v>32</v>
      </c>
      <c r="I198" t="s">
        <v>17</v>
      </c>
      <c r="J198">
        <v>537</v>
      </c>
      <c r="K198" t="s">
        <v>26</v>
      </c>
      <c r="L198" s="2">
        <v>43375</v>
      </c>
      <c r="M198" t="s">
        <v>68</v>
      </c>
      <c r="N198" t="s">
        <v>463</v>
      </c>
      <c r="O198">
        <v>79769</v>
      </c>
      <c r="P198" t="s">
        <v>21</v>
      </c>
      <c r="Q198" t="str">
        <f>TEXT(Data_Set_3[[#This Row],[date]],"mmmm")</f>
        <v>October</v>
      </c>
      <c r="R198">
        <f>MONTH(Data_Set_3[[#This Row],[date]])</f>
        <v>10</v>
      </c>
      <c r="S198">
        <f>YEAR(Data_Set_3[[#This Row],[date]])</f>
        <v>2018</v>
      </c>
    </row>
    <row r="199" spans="1:19" x14ac:dyDescent="0.3">
      <c r="A199">
        <v>1783</v>
      </c>
      <c r="B199" t="s">
        <v>721</v>
      </c>
      <c r="C199" t="s">
        <v>2884</v>
      </c>
      <c r="D199" t="s">
        <v>2885</v>
      </c>
      <c r="E199" t="s">
        <v>2886</v>
      </c>
      <c r="F199" t="s">
        <v>1539</v>
      </c>
      <c r="G199" t="s">
        <v>2887</v>
      </c>
      <c r="H199" t="s">
        <v>16</v>
      </c>
      <c r="I199" t="s">
        <v>25</v>
      </c>
      <c r="J199">
        <v>953</v>
      </c>
      <c r="K199" t="s">
        <v>57</v>
      </c>
      <c r="L199" s="2">
        <v>43376</v>
      </c>
      <c r="M199" t="s">
        <v>287</v>
      </c>
      <c r="N199" t="s">
        <v>288</v>
      </c>
      <c r="O199">
        <v>85715</v>
      </c>
      <c r="P199" t="s">
        <v>21</v>
      </c>
      <c r="Q199" t="str">
        <f>TEXT(Data_Set_3[[#This Row],[date]],"mmmm")</f>
        <v>October</v>
      </c>
      <c r="R199">
        <f>MONTH(Data_Set_3[[#This Row],[date]])</f>
        <v>10</v>
      </c>
      <c r="S199">
        <f>YEAR(Data_Set_3[[#This Row],[date]])</f>
        <v>2018</v>
      </c>
    </row>
    <row r="200" spans="1:19" x14ac:dyDescent="0.3">
      <c r="A200">
        <v>1020</v>
      </c>
      <c r="B200" t="s">
        <v>122</v>
      </c>
      <c r="C200" t="s">
        <v>954</v>
      </c>
      <c r="D200" t="s">
        <v>2888</v>
      </c>
      <c r="E200" t="s">
        <v>2889</v>
      </c>
      <c r="F200" t="s">
        <v>1998</v>
      </c>
      <c r="G200" t="s">
        <v>1926</v>
      </c>
      <c r="H200" t="s">
        <v>32</v>
      </c>
      <c r="I200" t="s">
        <v>17</v>
      </c>
      <c r="J200">
        <v>679</v>
      </c>
      <c r="K200" t="s">
        <v>26</v>
      </c>
      <c r="L200" s="2">
        <v>43379</v>
      </c>
      <c r="M200" t="s">
        <v>35</v>
      </c>
      <c r="N200" t="s">
        <v>620</v>
      </c>
      <c r="O200">
        <v>94105</v>
      </c>
      <c r="P200" t="s">
        <v>21</v>
      </c>
      <c r="Q200" t="str">
        <f>TEXT(Data_Set_3[[#This Row],[date]],"mmmm")</f>
        <v>October</v>
      </c>
      <c r="R200">
        <f>MONTH(Data_Set_3[[#This Row],[date]])</f>
        <v>10</v>
      </c>
      <c r="S200">
        <f>YEAR(Data_Set_3[[#This Row],[date]])</f>
        <v>2018</v>
      </c>
    </row>
    <row r="201" spans="1:19" x14ac:dyDescent="0.3">
      <c r="A201">
        <v>1539</v>
      </c>
      <c r="B201" t="s">
        <v>429</v>
      </c>
      <c r="C201" t="s">
        <v>684</v>
      </c>
      <c r="D201" t="s">
        <v>3102</v>
      </c>
      <c r="E201" t="s">
        <v>3103</v>
      </c>
      <c r="F201" t="s">
        <v>2849</v>
      </c>
      <c r="G201" t="s">
        <v>2752</v>
      </c>
      <c r="H201" t="s">
        <v>16</v>
      </c>
      <c r="I201" t="s">
        <v>454</v>
      </c>
      <c r="J201">
        <v>140</v>
      </c>
      <c r="K201" t="s">
        <v>95</v>
      </c>
      <c r="L201" s="2">
        <v>43381</v>
      </c>
      <c r="M201" t="s">
        <v>68</v>
      </c>
      <c r="N201" t="s">
        <v>872</v>
      </c>
      <c r="O201">
        <v>77343</v>
      </c>
      <c r="P201" t="s">
        <v>21</v>
      </c>
      <c r="Q201" t="str">
        <f>TEXT(Data_Set_3[[#This Row],[date]],"mmmm")</f>
        <v>October</v>
      </c>
      <c r="R201">
        <f>MONTH(Data_Set_3[[#This Row],[date]])</f>
        <v>10</v>
      </c>
      <c r="S201">
        <f>YEAR(Data_Set_3[[#This Row],[date]])</f>
        <v>2018</v>
      </c>
    </row>
    <row r="202" spans="1:19" x14ac:dyDescent="0.3">
      <c r="A202">
        <v>1017</v>
      </c>
      <c r="B202" t="s">
        <v>803</v>
      </c>
      <c r="C202" t="s">
        <v>3048</v>
      </c>
      <c r="D202" t="s">
        <v>3049</v>
      </c>
      <c r="E202" t="s">
        <v>3050</v>
      </c>
      <c r="F202" t="s">
        <v>1306</v>
      </c>
      <c r="G202" t="s">
        <v>1845</v>
      </c>
      <c r="H202" t="s">
        <v>32</v>
      </c>
      <c r="I202" t="s">
        <v>17</v>
      </c>
      <c r="J202">
        <v>23</v>
      </c>
      <c r="K202" t="s">
        <v>26</v>
      </c>
      <c r="L202" s="2">
        <v>43383</v>
      </c>
      <c r="M202" t="s">
        <v>246</v>
      </c>
      <c r="N202" t="s">
        <v>339</v>
      </c>
      <c r="O202">
        <v>60663</v>
      </c>
      <c r="P202" t="s">
        <v>21</v>
      </c>
      <c r="Q202" t="str">
        <f>TEXT(Data_Set_3[[#This Row],[date]],"mmmm")</f>
        <v>October</v>
      </c>
      <c r="R202">
        <f>MONTH(Data_Set_3[[#This Row],[date]])</f>
        <v>10</v>
      </c>
      <c r="S202">
        <f>YEAR(Data_Set_3[[#This Row],[date]])</f>
        <v>2018</v>
      </c>
    </row>
    <row r="203" spans="1:19" x14ac:dyDescent="0.3">
      <c r="A203">
        <v>1928</v>
      </c>
      <c r="B203" t="s">
        <v>2806</v>
      </c>
      <c r="C203" t="s">
        <v>813</v>
      </c>
      <c r="D203" t="s">
        <v>3104</v>
      </c>
      <c r="E203" t="s">
        <v>3105</v>
      </c>
      <c r="F203" t="s">
        <v>1785</v>
      </c>
      <c r="G203" t="s">
        <v>2725</v>
      </c>
      <c r="H203" t="s">
        <v>16</v>
      </c>
      <c r="I203" t="s">
        <v>406</v>
      </c>
      <c r="J203">
        <v>778</v>
      </c>
      <c r="K203" t="s">
        <v>18</v>
      </c>
      <c r="L203" s="2">
        <v>43383</v>
      </c>
      <c r="M203" t="s">
        <v>74</v>
      </c>
      <c r="N203" t="s">
        <v>75</v>
      </c>
      <c r="O203">
        <v>30336</v>
      </c>
      <c r="P203" t="s">
        <v>21</v>
      </c>
      <c r="Q203" t="str">
        <f>TEXT(Data_Set_3[[#This Row],[date]],"mmmm")</f>
        <v>October</v>
      </c>
      <c r="R203">
        <f>MONTH(Data_Set_3[[#This Row],[date]])</f>
        <v>10</v>
      </c>
      <c r="S203">
        <f>YEAR(Data_Set_3[[#This Row],[date]])</f>
        <v>2018</v>
      </c>
    </row>
    <row r="204" spans="1:19" x14ac:dyDescent="0.3">
      <c r="A204">
        <v>1677</v>
      </c>
      <c r="B204" t="s">
        <v>721</v>
      </c>
      <c r="C204" t="s">
        <v>511</v>
      </c>
      <c r="D204" t="s">
        <v>3106</v>
      </c>
      <c r="E204" t="s">
        <v>3107</v>
      </c>
      <c r="F204" t="s">
        <v>1642</v>
      </c>
      <c r="G204" t="s">
        <v>2170</v>
      </c>
      <c r="H204" t="s">
        <v>16</v>
      </c>
      <c r="I204" t="s">
        <v>17</v>
      </c>
      <c r="J204">
        <v>685</v>
      </c>
      <c r="K204" t="s">
        <v>73</v>
      </c>
      <c r="L204" s="2">
        <v>43385</v>
      </c>
      <c r="M204" t="s">
        <v>115</v>
      </c>
      <c r="N204" t="s">
        <v>864</v>
      </c>
      <c r="O204">
        <v>33605</v>
      </c>
      <c r="P204" t="s">
        <v>21</v>
      </c>
      <c r="Q204" t="str">
        <f>TEXT(Data_Set_3[[#This Row],[date]],"mmmm")</f>
        <v>October</v>
      </c>
      <c r="R204">
        <f>MONTH(Data_Set_3[[#This Row],[date]])</f>
        <v>10</v>
      </c>
      <c r="S204">
        <f>YEAR(Data_Set_3[[#This Row],[date]])</f>
        <v>2018</v>
      </c>
    </row>
    <row r="205" spans="1:19" x14ac:dyDescent="0.3">
      <c r="A205">
        <v>1068</v>
      </c>
      <c r="B205" t="s">
        <v>98</v>
      </c>
      <c r="C205" t="s">
        <v>379</v>
      </c>
      <c r="D205" t="s">
        <v>3108</v>
      </c>
      <c r="E205" t="s">
        <v>3109</v>
      </c>
      <c r="F205" t="s">
        <v>1455</v>
      </c>
      <c r="G205" t="s">
        <v>1502</v>
      </c>
      <c r="H205" t="s">
        <v>32</v>
      </c>
      <c r="I205" t="s">
        <v>51</v>
      </c>
      <c r="J205">
        <v>147</v>
      </c>
      <c r="K205" t="s">
        <v>26</v>
      </c>
      <c r="L205" s="2">
        <v>43389</v>
      </c>
      <c r="M205" t="s">
        <v>58</v>
      </c>
      <c r="N205" t="s">
        <v>1062</v>
      </c>
      <c r="O205">
        <v>66606</v>
      </c>
      <c r="P205" t="s">
        <v>21</v>
      </c>
      <c r="Q205" t="str">
        <f>TEXT(Data_Set_3[[#This Row],[date]],"mmmm")</f>
        <v>October</v>
      </c>
      <c r="R205">
        <f>MONTH(Data_Set_3[[#This Row],[date]])</f>
        <v>10</v>
      </c>
      <c r="S205">
        <f>YEAR(Data_Set_3[[#This Row],[date]])</f>
        <v>2018</v>
      </c>
    </row>
    <row r="206" spans="1:19" x14ac:dyDescent="0.3">
      <c r="A206">
        <v>1468</v>
      </c>
      <c r="B206" t="s">
        <v>2915</v>
      </c>
      <c r="C206" t="s">
        <v>722</v>
      </c>
      <c r="D206" t="s">
        <v>2916</v>
      </c>
      <c r="E206" t="s">
        <v>2917</v>
      </c>
      <c r="F206" t="s">
        <v>2918</v>
      </c>
      <c r="G206" t="s">
        <v>1559</v>
      </c>
      <c r="H206" t="s">
        <v>32</v>
      </c>
      <c r="I206" t="s">
        <v>33</v>
      </c>
      <c r="J206">
        <v>580</v>
      </c>
      <c r="K206" t="s">
        <v>259</v>
      </c>
      <c r="L206" s="2">
        <v>43390</v>
      </c>
      <c r="M206" t="s">
        <v>120</v>
      </c>
      <c r="N206" t="s">
        <v>718</v>
      </c>
      <c r="O206">
        <v>70116</v>
      </c>
      <c r="P206" t="s">
        <v>21</v>
      </c>
      <c r="Q206" t="str">
        <f>TEXT(Data_Set_3[[#This Row],[date]],"mmmm")</f>
        <v>October</v>
      </c>
      <c r="R206">
        <f>MONTH(Data_Set_3[[#This Row],[date]])</f>
        <v>10</v>
      </c>
      <c r="S206">
        <f>YEAR(Data_Set_3[[#This Row],[date]])</f>
        <v>2018</v>
      </c>
    </row>
    <row r="207" spans="1:19" x14ac:dyDescent="0.3">
      <c r="A207">
        <v>1551</v>
      </c>
      <c r="B207" t="s">
        <v>644</v>
      </c>
      <c r="C207" t="s">
        <v>236</v>
      </c>
      <c r="D207" t="s">
        <v>3110</v>
      </c>
      <c r="E207" t="s">
        <v>3111</v>
      </c>
      <c r="F207" t="s">
        <v>1378</v>
      </c>
      <c r="G207" t="s">
        <v>2125</v>
      </c>
      <c r="H207" t="s">
        <v>32</v>
      </c>
      <c r="I207" t="s">
        <v>274</v>
      </c>
      <c r="J207">
        <v>635</v>
      </c>
      <c r="K207" t="s">
        <v>164</v>
      </c>
      <c r="L207" s="2">
        <v>43392</v>
      </c>
      <c r="M207" t="s">
        <v>96</v>
      </c>
      <c r="N207" t="s">
        <v>329</v>
      </c>
      <c r="O207">
        <v>47747</v>
      </c>
      <c r="P207" t="s">
        <v>21</v>
      </c>
      <c r="Q207" t="str">
        <f>TEXT(Data_Set_3[[#This Row],[date]],"mmmm")</f>
        <v>October</v>
      </c>
      <c r="R207">
        <f>MONTH(Data_Set_3[[#This Row],[date]])</f>
        <v>10</v>
      </c>
      <c r="S207">
        <f>YEAR(Data_Set_3[[#This Row],[date]])</f>
        <v>2018</v>
      </c>
    </row>
    <row r="208" spans="1:19" x14ac:dyDescent="0.3">
      <c r="A208">
        <v>1020</v>
      </c>
      <c r="B208" t="s">
        <v>122</v>
      </c>
      <c r="C208" t="s">
        <v>954</v>
      </c>
      <c r="D208" t="s">
        <v>2888</v>
      </c>
      <c r="E208" t="s">
        <v>2889</v>
      </c>
      <c r="F208" t="s">
        <v>1998</v>
      </c>
      <c r="G208" t="s">
        <v>1926</v>
      </c>
      <c r="H208" t="s">
        <v>32</v>
      </c>
      <c r="I208" t="s">
        <v>17</v>
      </c>
      <c r="J208">
        <v>835</v>
      </c>
      <c r="K208" t="s">
        <v>26</v>
      </c>
      <c r="L208" s="2">
        <v>43393</v>
      </c>
      <c r="M208" t="s">
        <v>35</v>
      </c>
      <c r="N208" t="s">
        <v>620</v>
      </c>
      <c r="O208">
        <v>94105</v>
      </c>
      <c r="P208" t="s">
        <v>21</v>
      </c>
      <c r="Q208" t="str">
        <f>TEXT(Data_Set_3[[#This Row],[date]],"mmmm")</f>
        <v>October</v>
      </c>
      <c r="R208">
        <f>MONTH(Data_Set_3[[#This Row],[date]])</f>
        <v>10</v>
      </c>
      <c r="S208">
        <f>YEAR(Data_Set_3[[#This Row],[date]])</f>
        <v>2018</v>
      </c>
    </row>
    <row r="209" spans="1:19" x14ac:dyDescent="0.3">
      <c r="A209">
        <v>1771</v>
      </c>
      <c r="B209" t="s">
        <v>381</v>
      </c>
      <c r="C209" t="s">
        <v>991</v>
      </c>
      <c r="D209" t="s">
        <v>3112</v>
      </c>
      <c r="E209" t="s">
        <v>3113</v>
      </c>
      <c r="F209" t="s">
        <v>1572</v>
      </c>
      <c r="G209" t="s">
        <v>2416</v>
      </c>
      <c r="H209" t="s">
        <v>16</v>
      </c>
      <c r="I209" t="s">
        <v>25</v>
      </c>
      <c r="J209">
        <v>56</v>
      </c>
      <c r="K209" t="s">
        <v>26</v>
      </c>
      <c r="L209" s="2">
        <v>43393</v>
      </c>
      <c r="M209" t="s">
        <v>68</v>
      </c>
      <c r="N209" t="s">
        <v>69</v>
      </c>
      <c r="O209">
        <v>78764</v>
      </c>
      <c r="P209" t="s">
        <v>21</v>
      </c>
      <c r="Q209" t="str">
        <f>TEXT(Data_Set_3[[#This Row],[date]],"mmmm")</f>
        <v>October</v>
      </c>
      <c r="R209">
        <f>MONTH(Data_Set_3[[#This Row],[date]])</f>
        <v>10</v>
      </c>
      <c r="S209">
        <f>YEAR(Data_Set_3[[#This Row],[date]])</f>
        <v>2018</v>
      </c>
    </row>
    <row r="210" spans="1:19" x14ac:dyDescent="0.3">
      <c r="A210">
        <v>1092</v>
      </c>
      <c r="B210" t="s">
        <v>516</v>
      </c>
      <c r="C210" t="s">
        <v>455</v>
      </c>
      <c r="D210" t="s">
        <v>2976</v>
      </c>
      <c r="E210" t="s">
        <v>2977</v>
      </c>
      <c r="F210" t="s">
        <v>1763</v>
      </c>
      <c r="G210" t="s">
        <v>1486</v>
      </c>
      <c r="H210" t="s">
        <v>32</v>
      </c>
      <c r="I210" t="s">
        <v>51</v>
      </c>
      <c r="J210">
        <v>214</v>
      </c>
      <c r="K210" t="s">
        <v>73</v>
      </c>
      <c r="L210" s="2">
        <v>43394</v>
      </c>
      <c r="M210" t="s">
        <v>115</v>
      </c>
      <c r="N210" t="s">
        <v>1048</v>
      </c>
      <c r="O210">
        <v>34233</v>
      </c>
      <c r="P210" t="s">
        <v>21</v>
      </c>
      <c r="Q210" t="str">
        <f>TEXT(Data_Set_3[[#This Row],[date]],"mmmm")</f>
        <v>October</v>
      </c>
      <c r="R210">
        <f>MONTH(Data_Set_3[[#This Row],[date]])</f>
        <v>10</v>
      </c>
      <c r="S210">
        <f>YEAR(Data_Set_3[[#This Row],[date]])</f>
        <v>2018</v>
      </c>
    </row>
    <row r="211" spans="1:19" x14ac:dyDescent="0.3">
      <c r="A211">
        <v>1144</v>
      </c>
      <c r="B211" t="s">
        <v>644</v>
      </c>
      <c r="C211" t="s">
        <v>581</v>
      </c>
      <c r="D211" t="s">
        <v>3114</v>
      </c>
      <c r="E211" t="s">
        <v>3115</v>
      </c>
      <c r="F211" t="s">
        <v>2641</v>
      </c>
      <c r="G211" t="s">
        <v>2709</v>
      </c>
      <c r="H211" t="s">
        <v>32</v>
      </c>
      <c r="I211" t="s">
        <v>25</v>
      </c>
      <c r="J211">
        <v>673</v>
      </c>
      <c r="K211" t="s">
        <v>62</v>
      </c>
      <c r="L211" s="2">
        <v>43395</v>
      </c>
      <c r="M211" t="s">
        <v>184</v>
      </c>
      <c r="N211" t="s">
        <v>3116</v>
      </c>
      <c r="O211">
        <v>11355</v>
      </c>
      <c r="P211" t="s">
        <v>21</v>
      </c>
      <c r="Q211" t="str">
        <f>TEXT(Data_Set_3[[#This Row],[date]],"mmmm")</f>
        <v>October</v>
      </c>
      <c r="R211">
        <f>MONTH(Data_Set_3[[#This Row],[date]])</f>
        <v>10</v>
      </c>
      <c r="S211">
        <f>YEAR(Data_Set_3[[#This Row],[date]])</f>
        <v>2018</v>
      </c>
    </row>
    <row r="212" spans="1:19" x14ac:dyDescent="0.3">
      <c r="A212">
        <v>1170</v>
      </c>
      <c r="B212" t="s">
        <v>22</v>
      </c>
      <c r="C212" t="s">
        <v>883</v>
      </c>
      <c r="D212" t="s">
        <v>2837</v>
      </c>
      <c r="E212" t="s">
        <v>2838</v>
      </c>
      <c r="F212" t="s">
        <v>2430</v>
      </c>
      <c r="G212" t="s">
        <v>1333</v>
      </c>
      <c r="H212" t="s">
        <v>16</v>
      </c>
      <c r="I212" t="s">
        <v>33</v>
      </c>
      <c r="J212">
        <v>1000</v>
      </c>
      <c r="K212" t="s">
        <v>164</v>
      </c>
      <c r="L212" s="2">
        <v>43395</v>
      </c>
      <c r="M212" t="s">
        <v>68</v>
      </c>
      <c r="N212" t="s">
        <v>169</v>
      </c>
      <c r="O212">
        <v>88574</v>
      </c>
      <c r="P212" t="s">
        <v>21</v>
      </c>
      <c r="Q212" t="str">
        <f>TEXT(Data_Set_3[[#This Row],[date]],"mmmm")</f>
        <v>October</v>
      </c>
      <c r="R212">
        <f>MONTH(Data_Set_3[[#This Row],[date]])</f>
        <v>10</v>
      </c>
      <c r="S212">
        <f>YEAR(Data_Set_3[[#This Row],[date]])</f>
        <v>2018</v>
      </c>
    </row>
    <row r="213" spans="1:19" x14ac:dyDescent="0.3">
      <c r="A213">
        <v>1851</v>
      </c>
      <c r="B213" t="s">
        <v>471</v>
      </c>
      <c r="C213" t="s">
        <v>220</v>
      </c>
      <c r="D213" t="s">
        <v>3015</v>
      </c>
      <c r="E213" t="s">
        <v>3016</v>
      </c>
      <c r="F213" t="s">
        <v>3017</v>
      </c>
      <c r="G213" t="s">
        <v>2697</v>
      </c>
      <c r="H213" t="s">
        <v>32</v>
      </c>
      <c r="I213" t="s">
        <v>33</v>
      </c>
      <c r="J213">
        <v>183</v>
      </c>
      <c r="K213" t="s">
        <v>73</v>
      </c>
      <c r="L213" s="2">
        <v>43395</v>
      </c>
      <c r="M213" t="s">
        <v>184</v>
      </c>
      <c r="N213" t="s">
        <v>656</v>
      </c>
      <c r="O213">
        <v>11210</v>
      </c>
      <c r="P213" t="s">
        <v>21</v>
      </c>
      <c r="Q213" t="str">
        <f>TEXT(Data_Set_3[[#This Row],[date]],"mmmm")</f>
        <v>October</v>
      </c>
      <c r="R213">
        <f>MONTH(Data_Set_3[[#This Row],[date]])</f>
        <v>10</v>
      </c>
      <c r="S213">
        <f>YEAR(Data_Set_3[[#This Row],[date]])</f>
        <v>2018</v>
      </c>
    </row>
    <row r="214" spans="1:19" x14ac:dyDescent="0.3">
      <c r="A214">
        <v>1020</v>
      </c>
      <c r="B214" t="s">
        <v>122</v>
      </c>
      <c r="C214" t="s">
        <v>954</v>
      </c>
      <c r="D214" t="s">
        <v>2888</v>
      </c>
      <c r="E214" t="s">
        <v>2889</v>
      </c>
      <c r="F214" t="s">
        <v>1998</v>
      </c>
      <c r="G214" t="s">
        <v>1926</v>
      </c>
      <c r="H214" t="s">
        <v>32</v>
      </c>
      <c r="I214" t="s">
        <v>17</v>
      </c>
      <c r="J214">
        <v>253</v>
      </c>
      <c r="K214" t="s">
        <v>26</v>
      </c>
      <c r="L214" s="2">
        <v>43397</v>
      </c>
      <c r="M214" t="s">
        <v>35</v>
      </c>
      <c r="N214" t="s">
        <v>620</v>
      </c>
      <c r="O214">
        <v>94105</v>
      </c>
      <c r="P214" t="s">
        <v>21</v>
      </c>
      <c r="Q214" t="str">
        <f>TEXT(Data_Set_3[[#This Row],[date]],"mmmm")</f>
        <v>October</v>
      </c>
      <c r="R214">
        <f>MONTH(Data_Set_3[[#This Row],[date]])</f>
        <v>10</v>
      </c>
      <c r="S214">
        <f>YEAR(Data_Set_3[[#This Row],[date]])</f>
        <v>2018</v>
      </c>
    </row>
    <row r="215" spans="1:19" x14ac:dyDescent="0.3">
      <c r="A215">
        <v>1434</v>
      </c>
      <c r="B215" t="s">
        <v>2915</v>
      </c>
      <c r="C215" t="s">
        <v>167</v>
      </c>
      <c r="D215" t="s">
        <v>2947</v>
      </c>
      <c r="E215" t="s">
        <v>2948</v>
      </c>
      <c r="F215" t="s">
        <v>1664</v>
      </c>
      <c r="G215" t="s">
        <v>2546</v>
      </c>
      <c r="H215" t="s">
        <v>32</v>
      </c>
      <c r="I215" t="s">
        <v>25</v>
      </c>
      <c r="J215">
        <v>957</v>
      </c>
      <c r="K215" t="s">
        <v>26</v>
      </c>
      <c r="L215" s="2">
        <v>43397</v>
      </c>
      <c r="M215" t="s">
        <v>192</v>
      </c>
      <c r="N215" t="s">
        <v>193</v>
      </c>
      <c r="O215">
        <v>55436</v>
      </c>
      <c r="P215" t="s">
        <v>21</v>
      </c>
      <c r="Q215" t="str">
        <f>TEXT(Data_Set_3[[#This Row],[date]],"mmmm")</f>
        <v>October</v>
      </c>
      <c r="R215">
        <f>MONTH(Data_Set_3[[#This Row],[date]])</f>
        <v>10</v>
      </c>
      <c r="S215">
        <f>YEAR(Data_Set_3[[#This Row],[date]])</f>
        <v>2018</v>
      </c>
    </row>
    <row r="216" spans="1:19" x14ac:dyDescent="0.3">
      <c r="A216">
        <v>1851</v>
      </c>
      <c r="B216" t="s">
        <v>471</v>
      </c>
      <c r="C216" t="s">
        <v>220</v>
      </c>
      <c r="D216" t="s">
        <v>3015</v>
      </c>
      <c r="E216" t="s">
        <v>3016</v>
      </c>
      <c r="F216" t="s">
        <v>3017</v>
      </c>
      <c r="G216" t="s">
        <v>2697</v>
      </c>
      <c r="H216" t="s">
        <v>32</v>
      </c>
      <c r="I216" t="s">
        <v>33</v>
      </c>
      <c r="J216">
        <v>330</v>
      </c>
      <c r="K216" t="s">
        <v>73</v>
      </c>
      <c r="L216" s="2">
        <v>43397</v>
      </c>
      <c r="M216" t="s">
        <v>184</v>
      </c>
      <c r="N216" t="s">
        <v>656</v>
      </c>
      <c r="O216">
        <v>11210</v>
      </c>
      <c r="P216" t="s">
        <v>21</v>
      </c>
      <c r="Q216" t="str">
        <f>TEXT(Data_Set_3[[#This Row],[date]],"mmmm")</f>
        <v>October</v>
      </c>
      <c r="R216">
        <f>MONTH(Data_Set_3[[#This Row],[date]])</f>
        <v>10</v>
      </c>
      <c r="S216">
        <f>YEAR(Data_Set_3[[#This Row],[date]])</f>
        <v>2018</v>
      </c>
    </row>
    <row r="217" spans="1:19" x14ac:dyDescent="0.3">
      <c r="A217">
        <v>1972</v>
      </c>
      <c r="B217" t="s">
        <v>555</v>
      </c>
      <c r="C217" t="s">
        <v>964</v>
      </c>
      <c r="D217" t="s">
        <v>3117</v>
      </c>
      <c r="E217" t="s">
        <v>3118</v>
      </c>
      <c r="F217" t="s">
        <v>1847</v>
      </c>
      <c r="G217" t="s">
        <v>1615</v>
      </c>
      <c r="H217" t="s">
        <v>16</v>
      </c>
      <c r="I217" t="s">
        <v>454</v>
      </c>
      <c r="J217">
        <v>224</v>
      </c>
      <c r="K217" t="s">
        <v>62</v>
      </c>
      <c r="L217" s="2">
        <v>43397</v>
      </c>
      <c r="M217" t="s">
        <v>63</v>
      </c>
      <c r="N217" t="s">
        <v>448</v>
      </c>
      <c r="O217">
        <v>68524</v>
      </c>
      <c r="P217" t="s">
        <v>21</v>
      </c>
      <c r="Q217" t="str">
        <f>TEXT(Data_Set_3[[#This Row],[date]],"mmmm")</f>
        <v>October</v>
      </c>
      <c r="R217">
        <f>MONTH(Data_Set_3[[#This Row],[date]])</f>
        <v>10</v>
      </c>
      <c r="S217">
        <f>YEAR(Data_Set_3[[#This Row],[date]])</f>
        <v>2018</v>
      </c>
    </row>
    <row r="218" spans="1:19" x14ac:dyDescent="0.3">
      <c r="A218">
        <v>1365</v>
      </c>
      <c r="B218" t="s">
        <v>1183</v>
      </c>
      <c r="C218" t="s">
        <v>813</v>
      </c>
      <c r="D218" t="s">
        <v>2957</v>
      </c>
      <c r="E218" t="s">
        <v>2958</v>
      </c>
      <c r="F218" t="s">
        <v>1644</v>
      </c>
      <c r="G218" t="s">
        <v>2061</v>
      </c>
      <c r="H218" t="s">
        <v>16</v>
      </c>
      <c r="I218" t="s">
        <v>51</v>
      </c>
      <c r="J218">
        <v>742</v>
      </c>
      <c r="K218" t="s">
        <v>62</v>
      </c>
      <c r="L218" s="2">
        <v>43403</v>
      </c>
      <c r="M218" t="s">
        <v>115</v>
      </c>
      <c r="N218" t="s">
        <v>143</v>
      </c>
      <c r="O218">
        <v>33261</v>
      </c>
      <c r="P218" t="s">
        <v>21</v>
      </c>
      <c r="Q218" t="str">
        <f>TEXT(Data_Set_3[[#This Row],[date]],"mmmm")</f>
        <v>October</v>
      </c>
      <c r="R218">
        <f>MONTH(Data_Set_3[[#This Row],[date]])</f>
        <v>10</v>
      </c>
      <c r="S218">
        <f>YEAR(Data_Set_3[[#This Row],[date]])</f>
        <v>2018</v>
      </c>
    </row>
    <row r="219" spans="1:19" x14ac:dyDescent="0.3">
      <c r="A219">
        <v>1434</v>
      </c>
      <c r="B219" t="s">
        <v>2915</v>
      </c>
      <c r="C219" t="s">
        <v>167</v>
      </c>
      <c r="D219" t="s">
        <v>2947</v>
      </c>
      <c r="E219" t="s">
        <v>2948</v>
      </c>
      <c r="F219" t="s">
        <v>1664</v>
      </c>
      <c r="G219" t="s">
        <v>2546</v>
      </c>
      <c r="H219" t="s">
        <v>32</v>
      </c>
      <c r="I219" t="s">
        <v>25</v>
      </c>
      <c r="J219">
        <v>708</v>
      </c>
      <c r="K219" t="s">
        <v>26</v>
      </c>
      <c r="L219" s="2">
        <v>43404</v>
      </c>
      <c r="M219" t="s">
        <v>192</v>
      </c>
      <c r="N219" t="s">
        <v>193</v>
      </c>
      <c r="O219">
        <v>55436</v>
      </c>
      <c r="P219" t="s">
        <v>21</v>
      </c>
      <c r="Q219" t="str">
        <f>TEXT(Data_Set_3[[#This Row],[date]],"mmmm")</f>
        <v>October</v>
      </c>
      <c r="R219">
        <f>MONTH(Data_Set_3[[#This Row],[date]])</f>
        <v>10</v>
      </c>
      <c r="S219">
        <f>YEAR(Data_Set_3[[#This Row],[date]])</f>
        <v>2018</v>
      </c>
    </row>
    <row r="220" spans="1:19" x14ac:dyDescent="0.3">
      <c r="A220">
        <v>1020</v>
      </c>
      <c r="B220" t="s">
        <v>122</v>
      </c>
      <c r="C220" t="s">
        <v>954</v>
      </c>
      <c r="D220" t="s">
        <v>2888</v>
      </c>
      <c r="E220" t="s">
        <v>2889</v>
      </c>
      <c r="F220" t="s">
        <v>1998</v>
      </c>
      <c r="G220" t="s">
        <v>1926</v>
      </c>
      <c r="H220" t="s">
        <v>32</v>
      </c>
      <c r="I220" t="s">
        <v>17</v>
      </c>
      <c r="J220">
        <v>253</v>
      </c>
      <c r="K220" t="s">
        <v>26</v>
      </c>
      <c r="L220" s="2">
        <v>43405</v>
      </c>
      <c r="M220" t="s">
        <v>35</v>
      </c>
      <c r="N220" t="s">
        <v>620</v>
      </c>
      <c r="O220">
        <v>94105</v>
      </c>
      <c r="P220" t="s">
        <v>21</v>
      </c>
      <c r="Q220" t="str">
        <f>TEXT(Data_Set_3[[#This Row],[date]],"mmmm")</f>
        <v>November</v>
      </c>
      <c r="R220">
        <f>MONTH(Data_Set_3[[#This Row],[date]])</f>
        <v>11</v>
      </c>
      <c r="S220">
        <f>YEAR(Data_Set_3[[#This Row],[date]])</f>
        <v>2018</v>
      </c>
    </row>
    <row r="221" spans="1:19" x14ac:dyDescent="0.3">
      <c r="A221">
        <v>1123</v>
      </c>
      <c r="B221" t="s">
        <v>1130</v>
      </c>
      <c r="C221" t="s">
        <v>423</v>
      </c>
      <c r="D221" t="s">
        <v>3031</v>
      </c>
      <c r="E221" t="s">
        <v>3032</v>
      </c>
      <c r="F221" t="s">
        <v>1450</v>
      </c>
      <c r="G221" t="s">
        <v>1985</v>
      </c>
      <c r="H221" t="s">
        <v>16</v>
      </c>
      <c r="I221" t="s">
        <v>51</v>
      </c>
      <c r="J221">
        <v>548</v>
      </c>
      <c r="K221" t="s">
        <v>164</v>
      </c>
      <c r="L221" s="2">
        <v>43409</v>
      </c>
      <c r="M221" t="s">
        <v>115</v>
      </c>
      <c r="N221" t="s">
        <v>864</v>
      </c>
      <c r="O221">
        <v>33673</v>
      </c>
      <c r="P221" t="s">
        <v>21</v>
      </c>
      <c r="Q221" t="str">
        <f>TEXT(Data_Set_3[[#This Row],[date]],"mmmm")</f>
        <v>November</v>
      </c>
      <c r="R221">
        <f>MONTH(Data_Set_3[[#This Row],[date]])</f>
        <v>11</v>
      </c>
      <c r="S221">
        <f>YEAR(Data_Set_3[[#This Row],[date]])</f>
        <v>2018</v>
      </c>
    </row>
    <row r="222" spans="1:19" x14ac:dyDescent="0.3">
      <c r="A222">
        <v>1851</v>
      </c>
      <c r="B222" t="s">
        <v>471</v>
      </c>
      <c r="C222" t="s">
        <v>220</v>
      </c>
      <c r="D222" t="s">
        <v>3015</v>
      </c>
      <c r="E222" t="s">
        <v>3016</v>
      </c>
      <c r="F222" t="s">
        <v>3017</v>
      </c>
      <c r="G222" t="s">
        <v>2697</v>
      </c>
      <c r="H222" t="s">
        <v>32</v>
      </c>
      <c r="I222" t="s">
        <v>33</v>
      </c>
      <c r="J222">
        <v>412</v>
      </c>
      <c r="K222" t="s">
        <v>73</v>
      </c>
      <c r="L222" s="2">
        <v>43411</v>
      </c>
      <c r="M222" t="s">
        <v>184</v>
      </c>
      <c r="N222" t="s">
        <v>656</v>
      </c>
      <c r="O222">
        <v>11210</v>
      </c>
      <c r="P222" t="s">
        <v>21</v>
      </c>
      <c r="Q222" t="str">
        <f>TEXT(Data_Set_3[[#This Row],[date]],"mmmm")</f>
        <v>November</v>
      </c>
      <c r="R222">
        <f>MONTH(Data_Set_3[[#This Row],[date]])</f>
        <v>11</v>
      </c>
      <c r="S222">
        <f>YEAR(Data_Set_3[[#This Row],[date]])</f>
        <v>2018</v>
      </c>
    </row>
    <row r="223" spans="1:19" x14ac:dyDescent="0.3">
      <c r="A223">
        <v>1994</v>
      </c>
      <c r="B223" t="s">
        <v>336</v>
      </c>
      <c r="C223" t="s">
        <v>482</v>
      </c>
      <c r="D223" t="s">
        <v>3081</v>
      </c>
      <c r="E223" t="s">
        <v>3082</v>
      </c>
      <c r="F223" t="s">
        <v>1412</v>
      </c>
      <c r="G223" t="s">
        <v>2533</v>
      </c>
      <c r="H223" t="s">
        <v>16</v>
      </c>
      <c r="I223" t="s">
        <v>33</v>
      </c>
      <c r="J223">
        <v>808</v>
      </c>
      <c r="K223" t="s">
        <v>26</v>
      </c>
      <c r="L223" s="2">
        <v>43411</v>
      </c>
      <c r="M223" t="s">
        <v>246</v>
      </c>
      <c r="N223" t="s">
        <v>868</v>
      </c>
      <c r="O223">
        <v>61651</v>
      </c>
      <c r="P223" t="s">
        <v>21</v>
      </c>
      <c r="Q223" t="str">
        <f>TEXT(Data_Set_3[[#This Row],[date]],"mmmm")</f>
        <v>November</v>
      </c>
      <c r="R223">
        <f>MONTH(Data_Set_3[[#This Row],[date]])</f>
        <v>11</v>
      </c>
      <c r="S223">
        <f>YEAR(Data_Set_3[[#This Row],[date]])</f>
        <v>2018</v>
      </c>
    </row>
    <row r="224" spans="1:19" x14ac:dyDescent="0.3">
      <c r="A224">
        <v>1234</v>
      </c>
      <c r="B224" t="s">
        <v>2806</v>
      </c>
      <c r="C224" t="s">
        <v>752</v>
      </c>
      <c r="D224" t="s">
        <v>2807</v>
      </c>
      <c r="E224" t="s">
        <v>2808</v>
      </c>
      <c r="F224" t="s">
        <v>1460</v>
      </c>
      <c r="G224" t="s">
        <v>2125</v>
      </c>
      <c r="H224" t="s">
        <v>16</v>
      </c>
      <c r="I224" t="s">
        <v>33</v>
      </c>
      <c r="J224">
        <v>332</v>
      </c>
      <c r="K224" t="s">
        <v>62</v>
      </c>
      <c r="L224" s="2">
        <v>43412</v>
      </c>
      <c r="M224" t="s">
        <v>68</v>
      </c>
      <c r="N224" t="s">
        <v>69</v>
      </c>
      <c r="O224">
        <v>78710</v>
      </c>
      <c r="P224" t="s">
        <v>21</v>
      </c>
      <c r="Q224" t="str">
        <f>TEXT(Data_Set_3[[#This Row],[date]],"mmmm")</f>
        <v>November</v>
      </c>
      <c r="R224">
        <f>MONTH(Data_Set_3[[#This Row],[date]])</f>
        <v>11</v>
      </c>
      <c r="S224">
        <f>YEAR(Data_Set_3[[#This Row],[date]])</f>
        <v>2018</v>
      </c>
    </row>
    <row r="225" spans="1:19" x14ac:dyDescent="0.3">
      <c r="A225">
        <v>1527</v>
      </c>
      <c r="B225" t="s">
        <v>602</v>
      </c>
      <c r="C225" t="s">
        <v>167</v>
      </c>
      <c r="D225" t="s">
        <v>3119</v>
      </c>
      <c r="E225" t="s">
        <v>3120</v>
      </c>
      <c r="F225" t="s">
        <v>2462</v>
      </c>
      <c r="G225" t="s">
        <v>2170</v>
      </c>
      <c r="H225" t="s">
        <v>32</v>
      </c>
      <c r="I225" t="s">
        <v>179</v>
      </c>
      <c r="J225">
        <v>421</v>
      </c>
      <c r="K225" t="s">
        <v>18</v>
      </c>
      <c r="L225" s="2">
        <v>43412</v>
      </c>
      <c r="M225" t="s">
        <v>204</v>
      </c>
      <c r="N225" t="s">
        <v>3121</v>
      </c>
      <c r="O225">
        <v>23324</v>
      </c>
      <c r="P225" t="s">
        <v>21</v>
      </c>
      <c r="Q225" t="str">
        <f>TEXT(Data_Set_3[[#This Row],[date]],"mmmm")</f>
        <v>November</v>
      </c>
      <c r="R225">
        <f>MONTH(Data_Set_3[[#This Row],[date]])</f>
        <v>11</v>
      </c>
      <c r="S225">
        <f>YEAR(Data_Set_3[[#This Row],[date]])</f>
        <v>2018</v>
      </c>
    </row>
    <row r="226" spans="1:19" x14ac:dyDescent="0.3">
      <c r="A226">
        <v>1564</v>
      </c>
      <c r="B226" t="s">
        <v>706</v>
      </c>
      <c r="C226" t="s">
        <v>635</v>
      </c>
      <c r="D226" t="s">
        <v>3122</v>
      </c>
      <c r="E226" t="s">
        <v>3123</v>
      </c>
      <c r="F226" t="s">
        <v>1450</v>
      </c>
      <c r="G226" t="s">
        <v>2170</v>
      </c>
      <c r="H226" t="s">
        <v>32</v>
      </c>
      <c r="I226" t="s">
        <v>553</v>
      </c>
      <c r="J226">
        <v>468</v>
      </c>
      <c r="K226" t="s">
        <v>34</v>
      </c>
      <c r="L226" s="2">
        <v>43412</v>
      </c>
      <c r="M226" t="s">
        <v>696</v>
      </c>
      <c r="N226" t="s">
        <v>3124</v>
      </c>
      <c r="O226">
        <v>72916</v>
      </c>
      <c r="P226" t="s">
        <v>21</v>
      </c>
      <c r="Q226" t="str">
        <f>TEXT(Data_Set_3[[#This Row],[date]],"mmmm")</f>
        <v>November</v>
      </c>
      <c r="R226">
        <f>MONTH(Data_Set_3[[#This Row],[date]])</f>
        <v>11</v>
      </c>
      <c r="S226">
        <f>YEAR(Data_Set_3[[#This Row],[date]])</f>
        <v>2018</v>
      </c>
    </row>
    <row r="227" spans="1:19" x14ac:dyDescent="0.3">
      <c r="A227">
        <v>1987</v>
      </c>
      <c r="B227" t="s">
        <v>417</v>
      </c>
      <c r="C227" t="s">
        <v>954</v>
      </c>
      <c r="D227" t="s">
        <v>3125</v>
      </c>
      <c r="E227" t="s">
        <v>3126</v>
      </c>
      <c r="F227" t="s">
        <v>2024</v>
      </c>
      <c r="G227" t="s">
        <v>2560</v>
      </c>
      <c r="H227" t="s">
        <v>16</v>
      </c>
      <c r="I227" t="s">
        <v>33</v>
      </c>
      <c r="J227">
        <v>546</v>
      </c>
      <c r="K227" t="s">
        <v>26</v>
      </c>
      <c r="L227" s="2">
        <v>43412</v>
      </c>
      <c r="M227" t="s">
        <v>230</v>
      </c>
      <c r="N227" t="s">
        <v>3127</v>
      </c>
      <c r="O227">
        <v>28305</v>
      </c>
      <c r="P227" t="s">
        <v>21</v>
      </c>
      <c r="Q227" t="str">
        <f>TEXT(Data_Set_3[[#This Row],[date]],"mmmm")</f>
        <v>November</v>
      </c>
      <c r="R227">
        <f>MONTH(Data_Set_3[[#This Row],[date]])</f>
        <v>11</v>
      </c>
      <c r="S227">
        <f>YEAR(Data_Set_3[[#This Row],[date]])</f>
        <v>2018</v>
      </c>
    </row>
    <row r="228" spans="1:19" x14ac:dyDescent="0.3">
      <c r="A228">
        <v>1039</v>
      </c>
      <c r="B228" t="s">
        <v>1245</v>
      </c>
      <c r="C228" t="s">
        <v>883</v>
      </c>
      <c r="D228" t="s">
        <v>3128</v>
      </c>
      <c r="E228" t="s">
        <v>3129</v>
      </c>
      <c r="F228" t="s">
        <v>1901</v>
      </c>
      <c r="G228" t="s">
        <v>2508</v>
      </c>
      <c r="H228" t="s">
        <v>16</v>
      </c>
      <c r="I228" t="s">
        <v>17</v>
      </c>
      <c r="J228">
        <v>528</v>
      </c>
      <c r="K228" t="s">
        <v>57</v>
      </c>
      <c r="L228" s="2">
        <v>43418</v>
      </c>
      <c r="M228" t="s">
        <v>41</v>
      </c>
      <c r="N228" t="s">
        <v>42</v>
      </c>
      <c r="O228">
        <v>40298</v>
      </c>
      <c r="P228" t="s">
        <v>21</v>
      </c>
      <c r="Q228" t="str">
        <f>TEXT(Data_Set_3[[#This Row],[date]],"mmmm")</f>
        <v>November</v>
      </c>
      <c r="R228">
        <f>MONTH(Data_Set_3[[#This Row],[date]])</f>
        <v>11</v>
      </c>
      <c r="S228">
        <f>YEAR(Data_Set_3[[#This Row],[date]])</f>
        <v>2018</v>
      </c>
    </row>
    <row r="229" spans="1:19" x14ac:dyDescent="0.3">
      <c r="A229">
        <v>1017</v>
      </c>
      <c r="B229" t="s">
        <v>803</v>
      </c>
      <c r="C229" t="s">
        <v>3048</v>
      </c>
      <c r="D229" t="s">
        <v>3049</v>
      </c>
      <c r="E229" t="s">
        <v>3050</v>
      </c>
      <c r="F229" t="s">
        <v>1306</v>
      </c>
      <c r="G229" t="s">
        <v>1845</v>
      </c>
      <c r="H229" t="s">
        <v>32</v>
      </c>
      <c r="I229" t="s">
        <v>17</v>
      </c>
      <c r="J229">
        <v>961</v>
      </c>
      <c r="K229" t="s">
        <v>26</v>
      </c>
      <c r="L229" s="2">
        <v>43422</v>
      </c>
      <c r="M229" t="s">
        <v>246</v>
      </c>
      <c r="N229" t="s">
        <v>339</v>
      </c>
      <c r="O229">
        <v>60663</v>
      </c>
      <c r="P229" t="s">
        <v>21</v>
      </c>
      <c r="Q229" t="str">
        <f>TEXT(Data_Set_3[[#This Row],[date]],"mmmm")</f>
        <v>November</v>
      </c>
      <c r="R229">
        <f>MONTH(Data_Set_3[[#This Row],[date]])</f>
        <v>11</v>
      </c>
      <c r="S229">
        <f>YEAR(Data_Set_3[[#This Row],[date]])</f>
        <v>2018</v>
      </c>
    </row>
    <row r="230" spans="1:19" x14ac:dyDescent="0.3">
      <c r="A230">
        <v>1812</v>
      </c>
      <c r="B230" t="s">
        <v>1130</v>
      </c>
      <c r="C230" t="s">
        <v>639</v>
      </c>
      <c r="D230" t="s">
        <v>2863</v>
      </c>
      <c r="E230" t="s">
        <v>2864</v>
      </c>
      <c r="F230" t="s">
        <v>2641</v>
      </c>
      <c r="G230" t="s">
        <v>1653</v>
      </c>
      <c r="H230" t="s">
        <v>16</v>
      </c>
      <c r="I230" t="s">
        <v>543</v>
      </c>
      <c r="J230">
        <v>516</v>
      </c>
      <c r="K230" t="s">
        <v>34</v>
      </c>
      <c r="L230" s="2">
        <v>43423</v>
      </c>
      <c r="M230" t="s">
        <v>524</v>
      </c>
      <c r="N230" t="s">
        <v>815</v>
      </c>
      <c r="O230">
        <v>35220</v>
      </c>
      <c r="P230" t="s">
        <v>21</v>
      </c>
      <c r="Q230" t="str">
        <f>TEXT(Data_Set_3[[#This Row],[date]],"mmmm")</f>
        <v>November</v>
      </c>
      <c r="R230">
        <f>MONTH(Data_Set_3[[#This Row],[date]])</f>
        <v>11</v>
      </c>
      <c r="S230">
        <f>YEAR(Data_Set_3[[#This Row],[date]])</f>
        <v>2018</v>
      </c>
    </row>
    <row r="231" spans="1:19" x14ac:dyDescent="0.3">
      <c r="A231">
        <v>1072</v>
      </c>
      <c r="B231" t="s">
        <v>844</v>
      </c>
      <c r="C231" t="s">
        <v>3130</v>
      </c>
      <c r="D231" t="s">
        <v>3131</v>
      </c>
      <c r="E231" t="s">
        <v>3132</v>
      </c>
      <c r="F231" t="s">
        <v>2421</v>
      </c>
      <c r="G231" t="s">
        <v>2265</v>
      </c>
      <c r="H231" t="s">
        <v>32</v>
      </c>
      <c r="I231" t="s">
        <v>51</v>
      </c>
      <c r="J231">
        <v>922</v>
      </c>
      <c r="K231" t="s">
        <v>26</v>
      </c>
      <c r="L231" s="2">
        <v>43424</v>
      </c>
      <c r="M231" t="s">
        <v>74</v>
      </c>
      <c r="N231" t="s">
        <v>1257</v>
      </c>
      <c r="O231">
        <v>30245</v>
      </c>
      <c r="P231" t="s">
        <v>21</v>
      </c>
      <c r="Q231" t="str">
        <f>TEXT(Data_Set_3[[#This Row],[date]],"mmmm")</f>
        <v>November</v>
      </c>
      <c r="R231">
        <f>MONTH(Data_Set_3[[#This Row],[date]])</f>
        <v>11</v>
      </c>
      <c r="S231">
        <f>YEAR(Data_Set_3[[#This Row],[date]])</f>
        <v>2018</v>
      </c>
    </row>
    <row r="232" spans="1:19" x14ac:dyDescent="0.3">
      <c r="A232">
        <v>1780</v>
      </c>
      <c r="B232" t="s">
        <v>43</v>
      </c>
      <c r="C232" t="s">
        <v>2884</v>
      </c>
      <c r="D232" t="s">
        <v>3133</v>
      </c>
      <c r="E232" t="s">
        <v>3134</v>
      </c>
      <c r="F232" t="s">
        <v>3135</v>
      </c>
      <c r="G232" t="s">
        <v>2196</v>
      </c>
      <c r="H232" t="s">
        <v>16</v>
      </c>
      <c r="I232" t="s">
        <v>25</v>
      </c>
      <c r="J232">
        <v>173</v>
      </c>
      <c r="K232" t="s">
        <v>164</v>
      </c>
      <c r="L232" s="2">
        <v>43424</v>
      </c>
      <c r="M232" t="s">
        <v>68</v>
      </c>
      <c r="N232" t="s">
        <v>475</v>
      </c>
      <c r="O232">
        <v>75367</v>
      </c>
      <c r="P232" t="s">
        <v>21</v>
      </c>
      <c r="Q232" t="str">
        <f>TEXT(Data_Set_3[[#This Row],[date]],"mmmm")</f>
        <v>November</v>
      </c>
      <c r="R232">
        <f>MONTH(Data_Set_3[[#This Row],[date]])</f>
        <v>11</v>
      </c>
      <c r="S232">
        <f>YEAR(Data_Set_3[[#This Row],[date]])</f>
        <v>2018</v>
      </c>
    </row>
    <row r="233" spans="1:19" x14ac:dyDescent="0.3">
      <c r="A233">
        <v>1298</v>
      </c>
      <c r="B233" t="s">
        <v>595</v>
      </c>
      <c r="C233" t="s">
        <v>293</v>
      </c>
      <c r="D233" t="s">
        <v>2900</v>
      </c>
      <c r="E233" t="s">
        <v>2901</v>
      </c>
      <c r="F233" t="s">
        <v>1539</v>
      </c>
      <c r="G233" t="s">
        <v>1952</v>
      </c>
      <c r="H233" t="s">
        <v>32</v>
      </c>
      <c r="I233" t="s">
        <v>543</v>
      </c>
      <c r="J233">
        <v>251</v>
      </c>
      <c r="K233" t="s">
        <v>73</v>
      </c>
      <c r="L233" s="2">
        <v>43425</v>
      </c>
      <c r="M233" t="s">
        <v>115</v>
      </c>
      <c r="N233" t="s">
        <v>351</v>
      </c>
      <c r="O233">
        <v>32891</v>
      </c>
      <c r="P233" t="s">
        <v>21</v>
      </c>
      <c r="Q233" t="str">
        <f>TEXT(Data_Set_3[[#This Row],[date]],"mmmm")</f>
        <v>November</v>
      </c>
      <c r="R233">
        <f>MONTH(Data_Set_3[[#This Row],[date]])</f>
        <v>11</v>
      </c>
      <c r="S233">
        <f>YEAR(Data_Set_3[[#This Row],[date]])</f>
        <v>2018</v>
      </c>
    </row>
    <row r="234" spans="1:19" x14ac:dyDescent="0.3">
      <c r="A234">
        <v>1588</v>
      </c>
      <c r="B234" t="s">
        <v>422</v>
      </c>
      <c r="C234" t="s">
        <v>886</v>
      </c>
      <c r="D234" t="s">
        <v>3136</v>
      </c>
      <c r="E234" t="s">
        <v>3137</v>
      </c>
      <c r="F234" t="s">
        <v>2552</v>
      </c>
      <c r="G234" t="s">
        <v>1468</v>
      </c>
      <c r="H234" t="s">
        <v>16</v>
      </c>
      <c r="I234" t="s">
        <v>2941</v>
      </c>
      <c r="J234">
        <v>997</v>
      </c>
      <c r="K234" t="s">
        <v>26</v>
      </c>
      <c r="L234" s="2">
        <v>43425</v>
      </c>
      <c r="M234" t="s">
        <v>184</v>
      </c>
      <c r="N234" t="s">
        <v>656</v>
      </c>
      <c r="O234">
        <v>11205</v>
      </c>
      <c r="P234" t="s">
        <v>21</v>
      </c>
      <c r="Q234" t="str">
        <f>TEXT(Data_Set_3[[#This Row],[date]],"mmmm")</f>
        <v>November</v>
      </c>
      <c r="R234">
        <f>MONTH(Data_Set_3[[#This Row],[date]])</f>
        <v>11</v>
      </c>
      <c r="S234">
        <f>YEAR(Data_Set_3[[#This Row],[date]])</f>
        <v>2018</v>
      </c>
    </row>
    <row r="235" spans="1:19" x14ac:dyDescent="0.3">
      <c r="A235">
        <v>1298</v>
      </c>
      <c r="B235" t="s">
        <v>595</v>
      </c>
      <c r="C235" t="s">
        <v>293</v>
      </c>
      <c r="D235" t="s">
        <v>2900</v>
      </c>
      <c r="E235" t="s">
        <v>2901</v>
      </c>
      <c r="F235" t="s">
        <v>1539</v>
      </c>
      <c r="G235" t="s">
        <v>1952</v>
      </c>
      <c r="H235" t="s">
        <v>32</v>
      </c>
      <c r="I235" t="s">
        <v>543</v>
      </c>
      <c r="J235">
        <v>70</v>
      </c>
      <c r="K235" t="s">
        <v>73</v>
      </c>
      <c r="L235" s="2">
        <v>43426</v>
      </c>
      <c r="M235" t="s">
        <v>115</v>
      </c>
      <c r="N235" t="s">
        <v>351</v>
      </c>
      <c r="O235">
        <v>32891</v>
      </c>
      <c r="P235" t="s">
        <v>21</v>
      </c>
      <c r="Q235" t="str">
        <f>TEXT(Data_Set_3[[#This Row],[date]],"mmmm")</f>
        <v>November</v>
      </c>
      <c r="R235">
        <f>MONTH(Data_Set_3[[#This Row],[date]])</f>
        <v>11</v>
      </c>
      <c r="S235">
        <f>YEAR(Data_Set_3[[#This Row],[date]])</f>
        <v>2018</v>
      </c>
    </row>
    <row r="236" spans="1:19" x14ac:dyDescent="0.3">
      <c r="A236">
        <v>1714</v>
      </c>
      <c r="B236" t="s">
        <v>422</v>
      </c>
      <c r="C236" t="s">
        <v>363</v>
      </c>
      <c r="D236" t="s">
        <v>3138</v>
      </c>
      <c r="E236" t="s">
        <v>3139</v>
      </c>
      <c r="F236" t="s">
        <v>1796</v>
      </c>
      <c r="G236" t="s">
        <v>2416</v>
      </c>
      <c r="H236" t="s">
        <v>16</v>
      </c>
      <c r="I236" t="s">
        <v>17</v>
      </c>
      <c r="J236">
        <v>933</v>
      </c>
      <c r="K236" t="s">
        <v>26</v>
      </c>
      <c r="L236" s="2">
        <v>43426</v>
      </c>
      <c r="M236" t="s">
        <v>184</v>
      </c>
      <c r="N236" t="s">
        <v>1216</v>
      </c>
      <c r="O236">
        <v>10705</v>
      </c>
      <c r="P236" t="s">
        <v>21</v>
      </c>
      <c r="Q236" t="str">
        <f>TEXT(Data_Set_3[[#This Row],[date]],"mmmm")</f>
        <v>November</v>
      </c>
      <c r="R236">
        <f>MONTH(Data_Set_3[[#This Row],[date]])</f>
        <v>11</v>
      </c>
      <c r="S236">
        <f>YEAR(Data_Set_3[[#This Row],[date]])</f>
        <v>2018</v>
      </c>
    </row>
    <row r="237" spans="1:19" x14ac:dyDescent="0.3">
      <c r="A237">
        <v>1362</v>
      </c>
      <c r="B237" t="s">
        <v>356</v>
      </c>
      <c r="C237" t="s">
        <v>3048</v>
      </c>
      <c r="D237" t="s">
        <v>3140</v>
      </c>
      <c r="E237" t="s">
        <v>3141</v>
      </c>
      <c r="F237" t="s">
        <v>1474</v>
      </c>
      <c r="G237" t="s">
        <v>2102</v>
      </c>
      <c r="H237" t="s">
        <v>32</v>
      </c>
      <c r="I237" t="s">
        <v>51</v>
      </c>
      <c r="J237">
        <v>860</v>
      </c>
      <c r="K237" t="s">
        <v>164</v>
      </c>
      <c r="L237" s="2">
        <v>43429</v>
      </c>
      <c r="M237" t="s">
        <v>110</v>
      </c>
      <c r="N237" t="s">
        <v>1113</v>
      </c>
      <c r="O237">
        <v>17105</v>
      </c>
      <c r="P237" t="s">
        <v>21</v>
      </c>
      <c r="Q237" t="str">
        <f>TEXT(Data_Set_3[[#This Row],[date]],"mmmm")</f>
        <v>November</v>
      </c>
      <c r="R237">
        <f>MONTH(Data_Set_3[[#This Row],[date]])</f>
        <v>11</v>
      </c>
      <c r="S237">
        <f>YEAR(Data_Set_3[[#This Row],[date]])</f>
        <v>2018</v>
      </c>
    </row>
    <row r="238" spans="1:19" x14ac:dyDescent="0.3">
      <c r="A238">
        <v>1365</v>
      </c>
      <c r="B238" t="s">
        <v>1183</v>
      </c>
      <c r="C238" t="s">
        <v>813</v>
      </c>
      <c r="D238" t="s">
        <v>2957</v>
      </c>
      <c r="E238" t="s">
        <v>2958</v>
      </c>
      <c r="F238" t="s">
        <v>1644</v>
      </c>
      <c r="G238" t="s">
        <v>2061</v>
      </c>
      <c r="H238" t="s">
        <v>16</v>
      </c>
      <c r="I238" t="s">
        <v>51</v>
      </c>
      <c r="J238">
        <v>333</v>
      </c>
      <c r="K238" t="s">
        <v>62</v>
      </c>
      <c r="L238" s="2">
        <v>43431</v>
      </c>
      <c r="M238" t="s">
        <v>115</v>
      </c>
      <c r="N238" t="s">
        <v>143</v>
      </c>
      <c r="O238">
        <v>33261</v>
      </c>
      <c r="P238" t="s">
        <v>21</v>
      </c>
      <c r="Q238" t="str">
        <f>TEXT(Data_Set_3[[#This Row],[date]],"mmmm")</f>
        <v>November</v>
      </c>
      <c r="R238">
        <f>MONTH(Data_Set_3[[#This Row],[date]])</f>
        <v>11</v>
      </c>
      <c r="S238">
        <f>YEAR(Data_Set_3[[#This Row],[date]])</f>
        <v>2018</v>
      </c>
    </row>
    <row r="239" spans="1:19" x14ac:dyDescent="0.3">
      <c r="A239">
        <v>1716</v>
      </c>
      <c r="B239" t="s">
        <v>495</v>
      </c>
      <c r="C239" t="s">
        <v>639</v>
      </c>
      <c r="D239" t="s">
        <v>3142</v>
      </c>
      <c r="E239" t="s">
        <v>3143</v>
      </c>
      <c r="F239" t="s">
        <v>1291</v>
      </c>
      <c r="G239" t="s">
        <v>2685</v>
      </c>
      <c r="H239" t="s">
        <v>32</v>
      </c>
      <c r="I239" t="s">
        <v>17</v>
      </c>
      <c r="J239">
        <v>864</v>
      </c>
      <c r="K239" t="s">
        <v>225</v>
      </c>
      <c r="L239" s="2">
        <v>43433</v>
      </c>
      <c r="M239" t="s">
        <v>291</v>
      </c>
      <c r="N239" t="s">
        <v>3144</v>
      </c>
      <c r="O239">
        <v>20709</v>
      </c>
      <c r="P239" t="s">
        <v>21</v>
      </c>
      <c r="Q239" t="str">
        <f>TEXT(Data_Set_3[[#This Row],[date]],"mmmm")</f>
        <v>November</v>
      </c>
      <c r="R239">
        <f>MONTH(Data_Set_3[[#This Row],[date]])</f>
        <v>11</v>
      </c>
      <c r="S239">
        <f>YEAR(Data_Set_3[[#This Row],[date]])</f>
        <v>2018</v>
      </c>
    </row>
    <row r="240" spans="1:19" x14ac:dyDescent="0.3">
      <c r="A240">
        <v>1935</v>
      </c>
      <c r="B240" t="s">
        <v>263</v>
      </c>
      <c r="C240" t="s">
        <v>367</v>
      </c>
      <c r="D240" t="s">
        <v>3145</v>
      </c>
      <c r="E240" t="s">
        <v>3146</v>
      </c>
      <c r="F240" t="s">
        <v>1276</v>
      </c>
      <c r="G240" t="s">
        <v>1886</v>
      </c>
      <c r="H240" t="s">
        <v>16</v>
      </c>
      <c r="I240" t="s">
        <v>274</v>
      </c>
      <c r="J240">
        <v>705</v>
      </c>
      <c r="K240" t="s">
        <v>26</v>
      </c>
      <c r="L240" s="2">
        <v>43435</v>
      </c>
      <c r="M240" t="s">
        <v>375</v>
      </c>
      <c r="N240" t="s">
        <v>376</v>
      </c>
      <c r="O240">
        <v>57198</v>
      </c>
      <c r="P240" t="s">
        <v>21</v>
      </c>
      <c r="Q240" t="str">
        <f>TEXT(Data_Set_3[[#This Row],[date]],"mmmm")</f>
        <v>December</v>
      </c>
      <c r="R240">
        <f>MONTH(Data_Set_3[[#This Row],[date]])</f>
        <v>12</v>
      </c>
      <c r="S240">
        <f>YEAR(Data_Set_3[[#This Row],[date]])</f>
        <v>2018</v>
      </c>
    </row>
    <row r="241" spans="1:19" x14ac:dyDescent="0.3">
      <c r="A241">
        <v>1019</v>
      </c>
      <c r="B241" t="s">
        <v>460</v>
      </c>
      <c r="C241" t="s">
        <v>446</v>
      </c>
      <c r="D241" t="s">
        <v>3093</v>
      </c>
      <c r="E241" t="s">
        <v>3094</v>
      </c>
      <c r="F241" t="s">
        <v>1323</v>
      </c>
      <c r="G241" t="s">
        <v>2495</v>
      </c>
      <c r="H241" t="s">
        <v>32</v>
      </c>
      <c r="I241" t="s">
        <v>17</v>
      </c>
      <c r="J241">
        <v>346</v>
      </c>
      <c r="K241" t="s">
        <v>62</v>
      </c>
      <c r="L241" s="2">
        <v>43437</v>
      </c>
      <c r="M241" t="s">
        <v>563</v>
      </c>
      <c r="N241" t="s">
        <v>564</v>
      </c>
      <c r="O241">
        <v>83705</v>
      </c>
      <c r="P241" t="s">
        <v>21</v>
      </c>
      <c r="Q241" t="str">
        <f>TEXT(Data_Set_3[[#This Row],[date]],"mmmm")</f>
        <v>December</v>
      </c>
      <c r="R241">
        <f>MONTH(Data_Set_3[[#This Row],[date]])</f>
        <v>12</v>
      </c>
      <c r="S241">
        <f>YEAR(Data_Set_3[[#This Row],[date]])</f>
        <v>2018</v>
      </c>
    </row>
    <row r="242" spans="1:19" x14ac:dyDescent="0.3">
      <c r="A242">
        <v>1298</v>
      </c>
      <c r="B242" t="s">
        <v>595</v>
      </c>
      <c r="C242" t="s">
        <v>293</v>
      </c>
      <c r="D242" t="s">
        <v>2900</v>
      </c>
      <c r="E242" t="s">
        <v>2901</v>
      </c>
      <c r="F242" t="s">
        <v>1539</v>
      </c>
      <c r="G242" t="s">
        <v>1952</v>
      </c>
      <c r="H242" t="s">
        <v>32</v>
      </c>
      <c r="I242" t="s">
        <v>543</v>
      </c>
      <c r="J242">
        <v>568</v>
      </c>
      <c r="K242" t="s">
        <v>73</v>
      </c>
      <c r="L242" s="2">
        <v>43437</v>
      </c>
      <c r="M242" t="s">
        <v>115</v>
      </c>
      <c r="N242" t="s">
        <v>351</v>
      </c>
      <c r="O242">
        <v>32891</v>
      </c>
      <c r="P242" t="s">
        <v>21</v>
      </c>
      <c r="Q242" t="str">
        <f>TEXT(Data_Set_3[[#This Row],[date]],"mmmm")</f>
        <v>December</v>
      </c>
      <c r="R242">
        <f>MONTH(Data_Set_3[[#This Row],[date]])</f>
        <v>12</v>
      </c>
      <c r="S242">
        <f>YEAR(Data_Set_3[[#This Row],[date]])</f>
        <v>2018</v>
      </c>
    </row>
    <row r="243" spans="1:19" x14ac:dyDescent="0.3">
      <c r="A243">
        <v>1643</v>
      </c>
      <c r="B243" t="s">
        <v>117</v>
      </c>
      <c r="C243" t="s">
        <v>612</v>
      </c>
      <c r="D243" t="s">
        <v>3147</v>
      </c>
      <c r="E243" t="s">
        <v>3148</v>
      </c>
      <c r="F243" t="s">
        <v>2802</v>
      </c>
      <c r="G243" t="s">
        <v>1634</v>
      </c>
      <c r="H243" t="s">
        <v>32</v>
      </c>
      <c r="I243" t="s">
        <v>17</v>
      </c>
      <c r="J243">
        <v>337</v>
      </c>
      <c r="K243" t="s">
        <v>26</v>
      </c>
      <c r="L243" s="2">
        <v>43437</v>
      </c>
      <c r="M243" t="s">
        <v>35</v>
      </c>
      <c r="N243" t="s">
        <v>908</v>
      </c>
      <c r="O243">
        <v>92153</v>
      </c>
      <c r="P243" t="s">
        <v>21</v>
      </c>
      <c r="Q243" t="str">
        <f>TEXT(Data_Set_3[[#This Row],[date]],"mmmm")</f>
        <v>December</v>
      </c>
      <c r="R243">
        <f>MONTH(Data_Set_3[[#This Row],[date]])</f>
        <v>12</v>
      </c>
      <c r="S243">
        <f>YEAR(Data_Set_3[[#This Row],[date]])</f>
        <v>2018</v>
      </c>
    </row>
    <row r="244" spans="1:19" x14ac:dyDescent="0.3">
      <c r="A244">
        <v>1849</v>
      </c>
      <c r="B244" t="s">
        <v>597</v>
      </c>
      <c r="C244" t="s">
        <v>349</v>
      </c>
      <c r="D244" t="s">
        <v>3149</v>
      </c>
      <c r="E244" t="s">
        <v>3150</v>
      </c>
      <c r="F244" t="s">
        <v>1827</v>
      </c>
      <c r="G244" t="s">
        <v>2061</v>
      </c>
      <c r="H244" t="s">
        <v>32</v>
      </c>
      <c r="I244" t="s">
        <v>51</v>
      </c>
      <c r="J244">
        <v>626</v>
      </c>
      <c r="K244" t="s">
        <v>26</v>
      </c>
      <c r="L244" s="2">
        <v>43437</v>
      </c>
      <c r="M244" t="s">
        <v>230</v>
      </c>
      <c r="N244" t="s">
        <v>3151</v>
      </c>
      <c r="O244">
        <v>27264</v>
      </c>
      <c r="P244" t="s">
        <v>21</v>
      </c>
      <c r="Q244" t="str">
        <f>TEXT(Data_Set_3[[#This Row],[date]],"mmmm")</f>
        <v>December</v>
      </c>
      <c r="R244">
        <f>MONTH(Data_Set_3[[#This Row],[date]])</f>
        <v>12</v>
      </c>
      <c r="S244">
        <f>YEAR(Data_Set_3[[#This Row],[date]])</f>
        <v>2018</v>
      </c>
    </row>
    <row r="245" spans="1:19" x14ac:dyDescent="0.3">
      <c r="A245">
        <v>1998</v>
      </c>
      <c r="B245" t="s">
        <v>627</v>
      </c>
      <c r="C245" t="s">
        <v>833</v>
      </c>
      <c r="D245" t="s">
        <v>2826</v>
      </c>
      <c r="E245" t="s">
        <v>2827</v>
      </c>
      <c r="F245" t="s">
        <v>2221</v>
      </c>
      <c r="G245" t="s">
        <v>2170</v>
      </c>
      <c r="H245" t="s">
        <v>16</v>
      </c>
      <c r="I245" t="s">
        <v>361</v>
      </c>
      <c r="J245">
        <v>235</v>
      </c>
      <c r="K245" t="s">
        <v>26</v>
      </c>
      <c r="L245" s="2">
        <v>43437</v>
      </c>
      <c r="M245" t="s">
        <v>192</v>
      </c>
      <c r="N245" t="s">
        <v>515</v>
      </c>
      <c r="O245">
        <v>55146</v>
      </c>
      <c r="P245" t="s">
        <v>21</v>
      </c>
      <c r="Q245" t="str">
        <f>TEXT(Data_Set_3[[#This Row],[date]],"mmmm")</f>
        <v>December</v>
      </c>
      <c r="R245">
        <f>MONTH(Data_Set_3[[#This Row],[date]])</f>
        <v>12</v>
      </c>
      <c r="S245">
        <f>YEAR(Data_Set_3[[#This Row],[date]])</f>
        <v>2018</v>
      </c>
    </row>
    <row r="246" spans="1:19" x14ac:dyDescent="0.3">
      <c r="A246">
        <v>1365</v>
      </c>
      <c r="B246" t="s">
        <v>1183</v>
      </c>
      <c r="C246" t="s">
        <v>813</v>
      </c>
      <c r="D246" t="s">
        <v>2957</v>
      </c>
      <c r="E246" t="s">
        <v>2958</v>
      </c>
      <c r="F246" t="s">
        <v>1644</v>
      </c>
      <c r="G246" t="s">
        <v>2061</v>
      </c>
      <c r="H246" t="s">
        <v>16</v>
      </c>
      <c r="I246" t="s">
        <v>51</v>
      </c>
      <c r="J246">
        <v>121</v>
      </c>
      <c r="K246" t="s">
        <v>62</v>
      </c>
      <c r="L246" s="2">
        <v>43439</v>
      </c>
      <c r="M246" t="s">
        <v>115</v>
      </c>
      <c r="N246" t="s">
        <v>143</v>
      </c>
      <c r="O246">
        <v>33261</v>
      </c>
      <c r="P246" t="s">
        <v>21</v>
      </c>
      <c r="Q246" t="str">
        <f>TEXT(Data_Set_3[[#This Row],[date]],"mmmm")</f>
        <v>December</v>
      </c>
      <c r="R246">
        <f>MONTH(Data_Set_3[[#This Row],[date]])</f>
        <v>12</v>
      </c>
      <c r="S246">
        <f>YEAR(Data_Set_3[[#This Row],[date]])</f>
        <v>2018</v>
      </c>
    </row>
    <row r="247" spans="1:19" x14ac:dyDescent="0.3">
      <c r="A247">
        <v>1952</v>
      </c>
      <c r="B247" t="s">
        <v>352</v>
      </c>
      <c r="C247" t="s">
        <v>289</v>
      </c>
      <c r="D247" t="s">
        <v>3152</v>
      </c>
      <c r="E247" t="s">
        <v>3153</v>
      </c>
      <c r="F247" t="s">
        <v>1299</v>
      </c>
      <c r="G247" t="s">
        <v>2265</v>
      </c>
      <c r="H247" t="s">
        <v>32</v>
      </c>
      <c r="I247" t="s">
        <v>17</v>
      </c>
      <c r="J247">
        <v>414</v>
      </c>
      <c r="K247" t="s">
        <v>34</v>
      </c>
      <c r="L247" s="2">
        <v>43439</v>
      </c>
      <c r="M247" t="s">
        <v>78</v>
      </c>
      <c r="N247" t="s">
        <v>3154</v>
      </c>
      <c r="O247">
        <v>48930</v>
      </c>
      <c r="P247" t="s">
        <v>21</v>
      </c>
      <c r="Q247" t="str">
        <f>TEXT(Data_Set_3[[#This Row],[date]],"mmmm")</f>
        <v>December</v>
      </c>
      <c r="R247">
        <f>MONTH(Data_Set_3[[#This Row],[date]])</f>
        <v>12</v>
      </c>
      <c r="S247">
        <f>YEAR(Data_Set_3[[#This Row],[date]])</f>
        <v>2018</v>
      </c>
    </row>
    <row r="248" spans="1:19" x14ac:dyDescent="0.3">
      <c r="A248">
        <v>1987</v>
      </c>
      <c r="B248" t="s">
        <v>417</v>
      </c>
      <c r="C248" t="s">
        <v>954</v>
      </c>
      <c r="D248" t="s">
        <v>3125</v>
      </c>
      <c r="E248" t="s">
        <v>3126</v>
      </c>
      <c r="F248" t="s">
        <v>2024</v>
      </c>
      <c r="G248" t="s">
        <v>2560</v>
      </c>
      <c r="H248" t="s">
        <v>16</v>
      </c>
      <c r="I248" t="s">
        <v>33</v>
      </c>
      <c r="J248">
        <v>733</v>
      </c>
      <c r="K248" t="s">
        <v>26</v>
      </c>
      <c r="L248" s="2">
        <v>43441</v>
      </c>
      <c r="M248" t="s">
        <v>230</v>
      </c>
      <c r="N248" t="s">
        <v>3127</v>
      </c>
      <c r="O248">
        <v>28305</v>
      </c>
      <c r="P248" t="s">
        <v>21</v>
      </c>
      <c r="Q248" t="str">
        <f>TEXT(Data_Set_3[[#This Row],[date]],"mmmm")</f>
        <v>December</v>
      </c>
      <c r="R248">
        <f>MONTH(Data_Set_3[[#This Row],[date]])</f>
        <v>12</v>
      </c>
      <c r="S248">
        <f>YEAR(Data_Set_3[[#This Row],[date]])</f>
        <v>2018</v>
      </c>
    </row>
    <row r="249" spans="1:19" x14ac:dyDescent="0.3">
      <c r="A249">
        <v>1170</v>
      </c>
      <c r="B249" t="s">
        <v>22</v>
      </c>
      <c r="C249" t="s">
        <v>883</v>
      </c>
      <c r="D249" t="s">
        <v>2837</v>
      </c>
      <c r="E249" t="s">
        <v>2838</v>
      </c>
      <c r="F249" t="s">
        <v>2430</v>
      </c>
      <c r="G249" t="s">
        <v>1333</v>
      </c>
      <c r="H249" t="s">
        <v>16</v>
      </c>
      <c r="I249" t="s">
        <v>33</v>
      </c>
      <c r="J249">
        <v>773</v>
      </c>
      <c r="K249" t="s">
        <v>164</v>
      </c>
      <c r="L249" s="2">
        <v>43443</v>
      </c>
      <c r="M249" t="s">
        <v>68</v>
      </c>
      <c r="N249" t="s">
        <v>169</v>
      </c>
      <c r="O249">
        <v>88574</v>
      </c>
      <c r="P249" t="s">
        <v>21</v>
      </c>
      <c r="Q249" t="str">
        <f>TEXT(Data_Set_3[[#This Row],[date]],"mmmm")</f>
        <v>December</v>
      </c>
      <c r="R249">
        <f>MONTH(Data_Set_3[[#This Row],[date]])</f>
        <v>12</v>
      </c>
      <c r="S249">
        <f>YEAR(Data_Set_3[[#This Row],[date]])</f>
        <v>2018</v>
      </c>
    </row>
    <row r="250" spans="1:19" x14ac:dyDescent="0.3">
      <c r="A250">
        <v>1433</v>
      </c>
      <c r="B250" t="s">
        <v>745</v>
      </c>
      <c r="C250" t="s">
        <v>482</v>
      </c>
      <c r="D250" t="s">
        <v>2955</v>
      </c>
      <c r="E250" t="s">
        <v>2956</v>
      </c>
      <c r="F250" t="s">
        <v>1983</v>
      </c>
      <c r="G250" t="s">
        <v>1834</v>
      </c>
      <c r="H250" t="s">
        <v>16</v>
      </c>
      <c r="I250" t="s">
        <v>274</v>
      </c>
      <c r="J250">
        <v>411</v>
      </c>
      <c r="K250" t="s">
        <v>95</v>
      </c>
      <c r="L250" s="2">
        <v>43444</v>
      </c>
      <c r="M250" t="s">
        <v>345</v>
      </c>
      <c r="N250" t="s">
        <v>220</v>
      </c>
      <c r="O250">
        <v>20420</v>
      </c>
      <c r="P250" t="s">
        <v>21</v>
      </c>
      <c r="Q250" t="str">
        <f>TEXT(Data_Set_3[[#This Row],[date]],"mmmm")</f>
        <v>December</v>
      </c>
      <c r="R250">
        <f>MONTH(Data_Set_3[[#This Row],[date]])</f>
        <v>12</v>
      </c>
      <c r="S250">
        <f>YEAR(Data_Set_3[[#This Row],[date]])</f>
        <v>2018</v>
      </c>
    </row>
    <row r="251" spans="1:19" x14ac:dyDescent="0.3">
      <c r="A251">
        <v>1298</v>
      </c>
      <c r="B251" t="s">
        <v>595</v>
      </c>
      <c r="C251" t="s">
        <v>293</v>
      </c>
      <c r="D251" t="s">
        <v>2900</v>
      </c>
      <c r="E251" t="s">
        <v>2901</v>
      </c>
      <c r="F251" t="s">
        <v>1539</v>
      </c>
      <c r="G251" t="s">
        <v>1952</v>
      </c>
      <c r="H251" t="s">
        <v>32</v>
      </c>
      <c r="I251" t="s">
        <v>543</v>
      </c>
      <c r="J251">
        <v>581</v>
      </c>
      <c r="K251" t="s">
        <v>73</v>
      </c>
      <c r="L251" s="2">
        <v>43447</v>
      </c>
      <c r="M251" t="s">
        <v>115</v>
      </c>
      <c r="N251" t="s">
        <v>351</v>
      </c>
      <c r="O251">
        <v>32891</v>
      </c>
      <c r="P251" t="s">
        <v>21</v>
      </c>
      <c r="Q251" t="str">
        <f>TEXT(Data_Set_3[[#This Row],[date]],"mmmm")</f>
        <v>December</v>
      </c>
      <c r="R251">
        <f>MONTH(Data_Set_3[[#This Row],[date]])</f>
        <v>12</v>
      </c>
      <c r="S251">
        <f>YEAR(Data_Set_3[[#This Row],[date]])</f>
        <v>2018</v>
      </c>
    </row>
    <row r="252" spans="1:19" x14ac:dyDescent="0.3">
      <c r="A252">
        <v>1019</v>
      </c>
      <c r="B252" t="s">
        <v>460</v>
      </c>
      <c r="C252" t="s">
        <v>446</v>
      </c>
      <c r="D252" t="s">
        <v>3093</v>
      </c>
      <c r="E252" t="s">
        <v>3094</v>
      </c>
      <c r="F252" t="s">
        <v>1323</v>
      </c>
      <c r="G252" t="s">
        <v>2495</v>
      </c>
      <c r="H252" t="s">
        <v>32</v>
      </c>
      <c r="I252" t="s">
        <v>17</v>
      </c>
      <c r="J252">
        <v>231</v>
      </c>
      <c r="K252" t="s">
        <v>62</v>
      </c>
      <c r="L252" s="2">
        <v>43452</v>
      </c>
      <c r="M252" t="s">
        <v>563</v>
      </c>
      <c r="N252" t="s">
        <v>564</v>
      </c>
      <c r="O252">
        <v>83705</v>
      </c>
      <c r="P252" t="s">
        <v>21</v>
      </c>
      <c r="Q252" t="str">
        <f>TEXT(Data_Set_3[[#This Row],[date]],"mmmm")</f>
        <v>December</v>
      </c>
      <c r="R252">
        <f>MONTH(Data_Set_3[[#This Row],[date]])</f>
        <v>12</v>
      </c>
      <c r="S252">
        <f>YEAR(Data_Set_3[[#This Row],[date]])</f>
        <v>2018</v>
      </c>
    </row>
    <row r="253" spans="1:19" x14ac:dyDescent="0.3">
      <c r="A253">
        <v>1034</v>
      </c>
      <c r="B253" t="s">
        <v>3072</v>
      </c>
      <c r="C253" t="s">
        <v>240</v>
      </c>
      <c r="D253" t="s">
        <v>3155</v>
      </c>
      <c r="E253" t="s">
        <v>3156</v>
      </c>
      <c r="F253" t="s">
        <v>2514</v>
      </c>
      <c r="G253" t="s">
        <v>1429</v>
      </c>
      <c r="H253" t="s">
        <v>16</v>
      </c>
      <c r="I253" t="s">
        <v>17</v>
      </c>
      <c r="J253">
        <v>968</v>
      </c>
      <c r="K253" t="s">
        <v>164</v>
      </c>
      <c r="L253" s="2">
        <v>43455</v>
      </c>
      <c r="M253" t="s">
        <v>704</v>
      </c>
      <c r="N253" t="s">
        <v>3157</v>
      </c>
      <c r="O253">
        <v>74108</v>
      </c>
      <c r="P253" t="s">
        <v>21</v>
      </c>
      <c r="Q253" t="str">
        <f>TEXT(Data_Set_3[[#This Row],[date]],"mmmm")</f>
        <v>December</v>
      </c>
      <c r="R253">
        <f>MONTH(Data_Set_3[[#This Row],[date]])</f>
        <v>12</v>
      </c>
      <c r="S253">
        <f>YEAR(Data_Set_3[[#This Row],[date]])</f>
        <v>2018</v>
      </c>
    </row>
    <row r="254" spans="1:19" x14ac:dyDescent="0.3">
      <c r="A254">
        <v>1782</v>
      </c>
      <c r="B254" t="s">
        <v>782</v>
      </c>
      <c r="C254" t="s">
        <v>23</v>
      </c>
      <c r="D254" t="s">
        <v>3158</v>
      </c>
      <c r="E254" t="s">
        <v>3159</v>
      </c>
      <c r="F254" t="s">
        <v>1978</v>
      </c>
      <c r="G254" t="s">
        <v>2384</v>
      </c>
      <c r="H254" t="s">
        <v>32</v>
      </c>
      <c r="I254" t="s">
        <v>25</v>
      </c>
      <c r="J254">
        <v>44</v>
      </c>
      <c r="K254" t="s">
        <v>225</v>
      </c>
      <c r="L254" s="2">
        <v>43456</v>
      </c>
      <c r="M254" t="s">
        <v>58</v>
      </c>
      <c r="N254" t="s">
        <v>632</v>
      </c>
      <c r="O254">
        <v>66210</v>
      </c>
      <c r="P254" t="s">
        <v>21</v>
      </c>
      <c r="Q254" t="str">
        <f>TEXT(Data_Set_3[[#This Row],[date]],"mmmm")</f>
        <v>December</v>
      </c>
      <c r="R254">
        <f>MONTH(Data_Set_3[[#This Row],[date]])</f>
        <v>12</v>
      </c>
      <c r="S254">
        <f>YEAR(Data_Set_3[[#This Row],[date]])</f>
        <v>2018</v>
      </c>
    </row>
    <row r="255" spans="1:19" x14ac:dyDescent="0.3">
      <c r="A255">
        <v>1984</v>
      </c>
      <c r="B255" t="s">
        <v>333</v>
      </c>
      <c r="C255" t="s">
        <v>3160</v>
      </c>
      <c r="D255" t="s">
        <v>3161</v>
      </c>
      <c r="E255" t="s">
        <v>3162</v>
      </c>
      <c r="F255" t="s">
        <v>1558</v>
      </c>
      <c r="G255" t="s">
        <v>2685</v>
      </c>
      <c r="H255" t="s">
        <v>32</v>
      </c>
      <c r="I255" t="s">
        <v>33</v>
      </c>
      <c r="J255">
        <v>314</v>
      </c>
      <c r="K255" t="s">
        <v>62</v>
      </c>
      <c r="L255" s="2">
        <v>43457</v>
      </c>
      <c r="M255" t="s">
        <v>125</v>
      </c>
      <c r="N255" t="s">
        <v>247</v>
      </c>
      <c r="O255">
        <v>65810</v>
      </c>
      <c r="P255" t="s">
        <v>21</v>
      </c>
      <c r="Q255" t="str">
        <f>TEXT(Data_Set_3[[#This Row],[date]],"mmmm")</f>
        <v>December</v>
      </c>
      <c r="R255">
        <f>MONTH(Data_Set_3[[#This Row],[date]])</f>
        <v>12</v>
      </c>
      <c r="S255">
        <f>YEAR(Data_Set_3[[#This Row],[date]])</f>
        <v>2018</v>
      </c>
    </row>
    <row r="256" spans="1:19" x14ac:dyDescent="0.3">
      <c r="A256">
        <v>1552</v>
      </c>
      <c r="B256" t="s">
        <v>98</v>
      </c>
      <c r="C256" t="s">
        <v>507</v>
      </c>
      <c r="D256" t="s">
        <v>3163</v>
      </c>
      <c r="E256" t="s">
        <v>3164</v>
      </c>
      <c r="F256" t="s">
        <v>2635</v>
      </c>
      <c r="G256" t="s">
        <v>2554</v>
      </c>
      <c r="H256" t="s">
        <v>32</v>
      </c>
      <c r="I256" t="s">
        <v>51</v>
      </c>
      <c r="J256">
        <v>928</v>
      </c>
      <c r="K256" t="s">
        <v>26</v>
      </c>
      <c r="L256" s="2">
        <v>43460</v>
      </c>
      <c r="M256" t="s">
        <v>35</v>
      </c>
      <c r="N256" t="s">
        <v>908</v>
      </c>
      <c r="O256">
        <v>92145</v>
      </c>
      <c r="P256" t="s">
        <v>21</v>
      </c>
      <c r="Q256" t="str">
        <f>TEXT(Data_Set_3[[#This Row],[date]],"mmmm")</f>
        <v>December</v>
      </c>
      <c r="R256">
        <f>MONTH(Data_Set_3[[#This Row],[date]])</f>
        <v>12</v>
      </c>
      <c r="S256">
        <f>YEAR(Data_Set_3[[#This Row],[date]])</f>
        <v>2018</v>
      </c>
    </row>
    <row r="257" spans="1:19" x14ac:dyDescent="0.3">
      <c r="A257">
        <v>1980</v>
      </c>
      <c r="B257" t="s">
        <v>621</v>
      </c>
      <c r="C257" t="s">
        <v>581</v>
      </c>
      <c r="D257" t="s">
        <v>3165</v>
      </c>
      <c r="E257" t="s">
        <v>3166</v>
      </c>
      <c r="F257" t="s">
        <v>1281</v>
      </c>
      <c r="G257" t="s">
        <v>1347</v>
      </c>
      <c r="H257" t="s">
        <v>16</v>
      </c>
      <c r="I257" t="s">
        <v>33</v>
      </c>
      <c r="J257">
        <v>320</v>
      </c>
      <c r="K257" t="s">
        <v>26</v>
      </c>
      <c r="L257" s="2">
        <v>43461</v>
      </c>
      <c r="M257" t="s">
        <v>35</v>
      </c>
      <c r="N257" t="s">
        <v>180</v>
      </c>
      <c r="O257">
        <v>95138</v>
      </c>
      <c r="P257" t="s">
        <v>21</v>
      </c>
      <c r="Q257" t="str">
        <f>TEXT(Data_Set_3[[#This Row],[date]],"mmmm")</f>
        <v>December</v>
      </c>
      <c r="R257">
        <f>MONTH(Data_Set_3[[#This Row],[date]])</f>
        <v>12</v>
      </c>
      <c r="S257">
        <f>YEAR(Data_Set_3[[#This Row],[date]])</f>
        <v>2018</v>
      </c>
    </row>
    <row r="258" spans="1:19" x14ac:dyDescent="0.3">
      <c r="A258">
        <v>1594</v>
      </c>
      <c r="B258" t="s">
        <v>98</v>
      </c>
      <c r="C258" t="s">
        <v>211</v>
      </c>
      <c r="D258" t="s">
        <v>3167</v>
      </c>
      <c r="E258" t="s">
        <v>3168</v>
      </c>
      <c r="F258" t="s">
        <v>1287</v>
      </c>
      <c r="G258" t="s">
        <v>2452</v>
      </c>
      <c r="H258" t="s">
        <v>32</v>
      </c>
      <c r="I258" t="s">
        <v>361</v>
      </c>
      <c r="J258">
        <v>847</v>
      </c>
      <c r="K258" t="s">
        <v>26</v>
      </c>
      <c r="L258" s="2">
        <v>43465</v>
      </c>
      <c r="M258" t="s">
        <v>125</v>
      </c>
      <c r="N258" t="s">
        <v>419</v>
      </c>
      <c r="O258">
        <v>64125</v>
      </c>
      <c r="P258" t="s">
        <v>21</v>
      </c>
      <c r="Q258" t="str">
        <f>TEXT(Data_Set_3[[#This Row],[date]],"mmmm")</f>
        <v>December</v>
      </c>
      <c r="R258">
        <f>MONTH(Data_Set_3[[#This Row],[date]])</f>
        <v>12</v>
      </c>
      <c r="S258">
        <f>YEAR(Data_Set_3[[#This Row],[date]])</f>
        <v>2018</v>
      </c>
    </row>
    <row r="259" spans="1:19" x14ac:dyDescent="0.3">
      <c r="A259">
        <v>1016</v>
      </c>
      <c r="B259" t="s">
        <v>369</v>
      </c>
      <c r="C259" t="s">
        <v>526</v>
      </c>
      <c r="D259" t="s">
        <v>3169</v>
      </c>
      <c r="E259" t="s">
        <v>3170</v>
      </c>
      <c r="F259" t="s">
        <v>1993</v>
      </c>
      <c r="G259" t="s">
        <v>1690</v>
      </c>
      <c r="H259" t="s">
        <v>16</v>
      </c>
      <c r="I259" t="s">
        <v>17</v>
      </c>
      <c r="J259">
        <v>610</v>
      </c>
      <c r="K259" t="s">
        <v>26</v>
      </c>
      <c r="L259" s="2">
        <v>43467</v>
      </c>
      <c r="M259" t="s">
        <v>138</v>
      </c>
      <c r="N259" t="s">
        <v>139</v>
      </c>
      <c r="O259">
        <v>97296</v>
      </c>
      <c r="P259" t="s">
        <v>21</v>
      </c>
      <c r="Q259" t="str">
        <f>TEXT(Data_Set_3[[#This Row],[date]],"mmmm")</f>
        <v>January</v>
      </c>
      <c r="R259">
        <f>MONTH(Data_Set_3[[#This Row],[date]])</f>
        <v>1</v>
      </c>
      <c r="S259">
        <f>YEAR(Data_Set_3[[#This Row],[date]])</f>
        <v>2019</v>
      </c>
    </row>
    <row r="260" spans="1:19" x14ac:dyDescent="0.3">
      <c r="A260">
        <v>1365</v>
      </c>
      <c r="B260" t="s">
        <v>1183</v>
      </c>
      <c r="C260" t="s">
        <v>813</v>
      </c>
      <c r="D260" t="s">
        <v>2957</v>
      </c>
      <c r="E260" t="s">
        <v>2958</v>
      </c>
      <c r="F260" t="s">
        <v>1644</v>
      </c>
      <c r="G260" t="s">
        <v>2061</v>
      </c>
      <c r="H260" t="s">
        <v>16</v>
      </c>
      <c r="I260" t="s">
        <v>51</v>
      </c>
      <c r="J260">
        <v>508</v>
      </c>
      <c r="K260" t="s">
        <v>62</v>
      </c>
      <c r="L260" s="2">
        <v>43469</v>
      </c>
      <c r="M260" t="s">
        <v>115</v>
      </c>
      <c r="N260" t="s">
        <v>143</v>
      </c>
      <c r="O260">
        <v>33261</v>
      </c>
      <c r="P260" t="s">
        <v>21</v>
      </c>
      <c r="Q260" t="str">
        <f>TEXT(Data_Set_3[[#This Row],[date]],"mmmm")</f>
        <v>January</v>
      </c>
      <c r="R260">
        <f>MONTH(Data_Set_3[[#This Row],[date]])</f>
        <v>1</v>
      </c>
      <c r="S260">
        <f>YEAR(Data_Set_3[[#This Row],[date]])</f>
        <v>2019</v>
      </c>
    </row>
    <row r="261" spans="1:19" x14ac:dyDescent="0.3">
      <c r="A261">
        <v>1365</v>
      </c>
      <c r="B261" t="s">
        <v>1183</v>
      </c>
      <c r="C261" t="s">
        <v>813</v>
      </c>
      <c r="D261" t="s">
        <v>2957</v>
      </c>
      <c r="E261" t="s">
        <v>2958</v>
      </c>
      <c r="F261" t="s">
        <v>1644</v>
      </c>
      <c r="G261" t="s">
        <v>2061</v>
      </c>
      <c r="H261" t="s">
        <v>16</v>
      </c>
      <c r="I261" t="s">
        <v>51</v>
      </c>
      <c r="J261">
        <v>400</v>
      </c>
      <c r="K261" t="s">
        <v>62</v>
      </c>
      <c r="L261" s="2">
        <v>43472</v>
      </c>
      <c r="M261" t="s">
        <v>115</v>
      </c>
      <c r="N261" t="s">
        <v>143</v>
      </c>
      <c r="O261">
        <v>33261</v>
      </c>
      <c r="P261" t="s">
        <v>21</v>
      </c>
      <c r="Q261" t="str">
        <f>TEXT(Data_Set_3[[#This Row],[date]],"mmmm")</f>
        <v>January</v>
      </c>
      <c r="R261">
        <f>MONTH(Data_Set_3[[#This Row],[date]])</f>
        <v>1</v>
      </c>
      <c r="S261">
        <f>YEAR(Data_Set_3[[#This Row],[date]])</f>
        <v>2019</v>
      </c>
    </row>
    <row r="262" spans="1:19" x14ac:dyDescent="0.3">
      <c r="A262">
        <v>1783</v>
      </c>
      <c r="B262" t="s">
        <v>721</v>
      </c>
      <c r="C262" t="s">
        <v>2884</v>
      </c>
      <c r="D262" t="s">
        <v>2885</v>
      </c>
      <c r="E262" t="s">
        <v>2886</v>
      </c>
      <c r="F262" t="s">
        <v>1539</v>
      </c>
      <c r="G262" t="s">
        <v>2887</v>
      </c>
      <c r="H262" t="s">
        <v>16</v>
      </c>
      <c r="I262" t="s">
        <v>25</v>
      </c>
      <c r="J262">
        <v>66</v>
      </c>
      <c r="K262" t="s">
        <v>57</v>
      </c>
      <c r="L262" s="2">
        <v>43472</v>
      </c>
      <c r="M262" t="s">
        <v>287</v>
      </c>
      <c r="N262" t="s">
        <v>288</v>
      </c>
      <c r="O262">
        <v>85715</v>
      </c>
      <c r="P262" t="s">
        <v>21</v>
      </c>
      <c r="Q262" t="str">
        <f>TEXT(Data_Set_3[[#This Row],[date]],"mmmm")</f>
        <v>January</v>
      </c>
      <c r="R262">
        <f>MONTH(Data_Set_3[[#This Row],[date]])</f>
        <v>1</v>
      </c>
      <c r="S262">
        <f>YEAR(Data_Set_3[[#This Row],[date]])</f>
        <v>2019</v>
      </c>
    </row>
    <row r="263" spans="1:19" x14ac:dyDescent="0.3">
      <c r="A263">
        <v>1076</v>
      </c>
      <c r="B263" t="s">
        <v>893</v>
      </c>
      <c r="C263" t="s">
        <v>313</v>
      </c>
      <c r="D263" t="s">
        <v>3171</v>
      </c>
      <c r="E263" t="s">
        <v>3172</v>
      </c>
      <c r="F263" t="s">
        <v>2354</v>
      </c>
      <c r="G263" t="s">
        <v>2396</v>
      </c>
      <c r="H263" t="s">
        <v>32</v>
      </c>
      <c r="I263" t="s">
        <v>51</v>
      </c>
      <c r="J263">
        <v>401</v>
      </c>
      <c r="K263" t="s">
        <v>26</v>
      </c>
      <c r="L263" s="2">
        <v>43473</v>
      </c>
      <c r="M263" t="s">
        <v>230</v>
      </c>
      <c r="N263" t="s">
        <v>3173</v>
      </c>
      <c r="O263">
        <v>28055</v>
      </c>
      <c r="P263" t="s">
        <v>21</v>
      </c>
      <c r="Q263" t="str">
        <f>TEXT(Data_Set_3[[#This Row],[date]],"mmmm")</f>
        <v>January</v>
      </c>
      <c r="R263">
        <f>MONTH(Data_Set_3[[#This Row],[date]])</f>
        <v>1</v>
      </c>
      <c r="S263">
        <f>YEAR(Data_Set_3[[#This Row],[date]])</f>
        <v>2019</v>
      </c>
    </row>
    <row r="264" spans="1:19" x14ac:dyDescent="0.3">
      <c r="A264">
        <v>1020</v>
      </c>
      <c r="B264" t="s">
        <v>122</v>
      </c>
      <c r="C264" t="s">
        <v>954</v>
      </c>
      <c r="D264" t="s">
        <v>2888</v>
      </c>
      <c r="E264" t="s">
        <v>2889</v>
      </c>
      <c r="F264" t="s">
        <v>1998</v>
      </c>
      <c r="G264" t="s">
        <v>1926</v>
      </c>
      <c r="H264" t="s">
        <v>32</v>
      </c>
      <c r="I264" t="s">
        <v>17</v>
      </c>
      <c r="J264">
        <v>255</v>
      </c>
      <c r="K264" t="s">
        <v>26</v>
      </c>
      <c r="L264" s="2">
        <v>43475</v>
      </c>
      <c r="M264" t="s">
        <v>35</v>
      </c>
      <c r="N264" t="s">
        <v>620</v>
      </c>
      <c r="O264">
        <v>94105</v>
      </c>
      <c r="P264" t="s">
        <v>21</v>
      </c>
      <c r="Q264" t="str">
        <f>TEXT(Data_Set_3[[#This Row],[date]],"mmmm")</f>
        <v>January</v>
      </c>
      <c r="R264">
        <f>MONTH(Data_Set_3[[#This Row],[date]])</f>
        <v>1</v>
      </c>
      <c r="S264">
        <f>YEAR(Data_Set_3[[#This Row],[date]])</f>
        <v>2019</v>
      </c>
    </row>
    <row r="265" spans="1:19" x14ac:dyDescent="0.3">
      <c r="A265">
        <v>1170</v>
      </c>
      <c r="B265" t="s">
        <v>22</v>
      </c>
      <c r="C265" t="s">
        <v>883</v>
      </c>
      <c r="D265" t="s">
        <v>2837</v>
      </c>
      <c r="E265" t="s">
        <v>2838</v>
      </c>
      <c r="F265" t="s">
        <v>2430</v>
      </c>
      <c r="G265" t="s">
        <v>1333</v>
      </c>
      <c r="H265" t="s">
        <v>16</v>
      </c>
      <c r="I265" t="s">
        <v>33</v>
      </c>
      <c r="J265">
        <v>81</v>
      </c>
      <c r="K265" t="s">
        <v>164</v>
      </c>
      <c r="L265" s="2">
        <v>43475</v>
      </c>
      <c r="M265" t="s">
        <v>68</v>
      </c>
      <c r="N265" t="s">
        <v>169</v>
      </c>
      <c r="O265">
        <v>88574</v>
      </c>
      <c r="P265" t="s">
        <v>21</v>
      </c>
      <c r="Q265" t="str">
        <f>TEXT(Data_Set_3[[#This Row],[date]],"mmmm")</f>
        <v>January</v>
      </c>
      <c r="R265">
        <f>MONTH(Data_Set_3[[#This Row],[date]])</f>
        <v>1</v>
      </c>
      <c r="S265">
        <f>YEAR(Data_Set_3[[#This Row],[date]])</f>
        <v>2019</v>
      </c>
    </row>
    <row r="266" spans="1:19" x14ac:dyDescent="0.3">
      <c r="A266">
        <v>1998</v>
      </c>
      <c r="B266" t="s">
        <v>627</v>
      </c>
      <c r="C266" t="s">
        <v>833</v>
      </c>
      <c r="D266" t="s">
        <v>2826</v>
      </c>
      <c r="E266" t="s">
        <v>2827</v>
      </c>
      <c r="F266" t="s">
        <v>2221</v>
      </c>
      <c r="G266" t="s">
        <v>2170</v>
      </c>
      <c r="H266" t="s">
        <v>16</v>
      </c>
      <c r="I266" t="s">
        <v>361</v>
      </c>
      <c r="J266">
        <v>785</v>
      </c>
      <c r="K266" t="s">
        <v>26</v>
      </c>
      <c r="L266" s="2">
        <v>43475</v>
      </c>
      <c r="M266" t="s">
        <v>192</v>
      </c>
      <c r="N266" t="s">
        <v>515</v>
      </c>
      <c r="O266">
        <v>55146</v>
      </c>
      <c r="P266" t="s">
        <v>21</v>
      </c>
      <c r="Q266" t="str">
        <f>TEXT(Data_Set_3[[#This Row],[date]],"mmmm")</f>
        <v>January</v>
      </c>
      <c r="R266">
        <f>MONTH(Data_Set_3[[#This Row],[date]])</f>
        <v>1</v>
      </c>
      <c r="S266">
        <f>YEAR(Data_Set_3[[#This Row],[date]])</f>
        <v>2019</v>
      </c>
    </row>
    <row r="267" spans="1:19" x14ac:dyDescent="0.3">
      <c r="A267">
        <v>1276</v>
      </c>
      <c r="B267" t="s">
        <v>122</v>
      </c>
      <c r="C267" t="s">
        <v>187</v>
      </c>
      <c r="D267" t="s">
        <v>3174</v>
      </c>
      <c r="E267" t="s">
        <v>3175</v>
      </c>
      <c r="F267" t="s">
        <v>3176</v>
      </c>
      <c r="G267" t="s">
        <v>1468</v>
      </c>
      <c r="H267" t="s">
        <v>32</v>
      </c>
      <c r="I267" t="s">
        <v>51</v>
      </c>
      <c r="J267">
        <v>63</v>
      </c>
      <c r="K267" t="s">
        <v>73</v>
      </c>
      <c r="L267" s="2">
        <v>43477</v>
      </c>
      <c r="M267" t="s">
        <v>184</v>
      </c>
      <c r="N267" t="s">
        <v>197</v>
      </c>
      <c r="O267">
        <v>10079</v>
      </c>
      <c r="P267" t="s">
        <v>21</v>
      </c>
      <c r="Q267" t="str">
        <f>TEXT(Data_Set_3[[#This Row],[date]],"mmmm")</f>
        <v>January</v>
      </c>
      <c r="R267">
        <f>MONTH(Data_Set_3[[#This Row],[date]])</f>
        <v>1</v>
      </c>
      <c r="S267">
        <f>YEAR(Data_Set_3[[#This Row],[date]])</f>
        <v>2019</v>
      </c>
    </row>
    <row r="268" spans="1:19" x14ac:dyDescent="0.3">
      <c r="A268">
        <v>1021</v>
      </c>
      <c r="B268" t="s">
        <v>495</v>
      </c>
      <c r="C268" t="s">
        <v>567</v>
      </c>
      <c r="D268" t="s">
        <v>2795</v>
      </c>
      <c r="E268" t="s">
        <v>2796</v>
      </c>
      <c r="F268" t="s">
        <v>1330</v>
      </c>
      <c r="G268" t="s">
        <v>1863</v>
      </c>
      <c r="H268" t="s">
        <v>32</v>
      </c>
      <c r="I268" t="s">
        <v>17</v>
      </c>
      <c r="J268">
        <v>626</v>
      </c>
      <c r="K268" t="s">
        <v>164</v>
      </c>
      <c r="L268" s="2">
        <v>43479</v>
      </c>
      <c r="M268" t="s">
        <v>78</v>
      </c>
      <c r="N268" t="s">
        <v>2797</v>
      </c>
      <c r="O268">
        <v>48555</v>
      </c>
      <c r="P268" t="s">
        <v>21</v>
      </c>
      <c r="Q268" t="str">
        <f>TEXT(Data_Set_3[[#This Row],[date]],"mmmm")</f>
        <v>January</v>
      </c>
      <c r="R268">
        <f>MONTH(Data_Set_3[[#This Row],[date]])</f>
        <v>1</v>
      </c>
      <c r="S268">
        <f>YEAR(Data_Set_3[[#This Row],[date]])</f>
        <v>2019</v>
      </c>
    </row>
    <row r="269" spans="1:19" x14ac:dyDescent="0.3">
      <c r="A269">
        <v>1944</v>
      </c>
      <c r="B269" t="s">
        <v>2915</v>
      </c>
      <c r="C269" t="s">
        <v>366</v>
      </c>
      <c r="D269" t="s">
        <v>3177</v>
      </c>
      <c r="E269" t="s">
        <v>3178</v>
      </c>
      <c r="F269" t="s">
        <v>3179</v>
      </c>
      <c r="G269" t="s">
        <v>1468</v>
      </c>
      <c r="H269" t="s">
        <v>32</v>
      </c>
      <c r="I269" t="s">
        <v>274</v>
      </c>
      <c r="J269">
        <v>345</v>
      </c>
      <c r="K269" t="s">
        <v>57</v>
      </c>
      <c r="L269" s="2">
        <v>43479</v>
      </c>
      <c r="M269" t="s">
        <v>152</v>
      </c>
      <c r="N269" t="s">
        <v>3180</v>
      </c>
      <c r="O269">
        <v>45238</v>
      </c>
      <c r="P269" t="s">
        <v>21</v>
      </c>
      <c r="Q269" t="str">
        <f>TEXT(Data_Set_3[[#This Row],[date]],"mmmm")</f>
        <v>January</v>
      </c>
      <c r="R269">
        <f>MONTH(Data_Set_3[[#This Row],[date]])</f>
        <v>1</v>
      </c>
      <c r="S269">
        <f>YEAR(Data_Set_3[[#This Row],[date]])</f>
        <v>2019</v>
      </c>
    </row>
    <row r="270" spans="1:19" x14ac:dyDescent="0.3">
      <c r="A270">
        <v>1092</v>
      </c>
      <c r="B270" t="s">
        <v>516</v>
      </c>
      <c r="C270" t="s">
        <v>455</v>
      </c>
      <c r="D270" t="s">
        <v>2976</v>
      </c>
      <c r="E270" t="s">
        <v>2977</v>
      </c>
      <c r="F270" t="s">
        <v>1763</v>
      </c>
      <c r="G270" t="s">
        <v>1486</v>
      </c>
      <c r="H270" t="s">
        <v>32</v>
      </c>
      <c r="I270" t="s">
        <v>51</v>
      </c>
      <c r="J270">
        <v>29</v>
      </c>
      <c r="K270" t="s">
        <v>73</v>
      </c>
      <c r="L270" s="2">
        <v>43480</v>
      </c>
      <c r="M270" t="s">
        <v>115</v>
      </c>
      <c r="N270" t="s">
        <v>1048</v>
      </c>
      <c r="O270">
        <v>34233</v>
      </c>
      <c r="P270" t="s">
        <v>21</v>
      </c>
      <c r="Q270" t="str">
        <f>TEXT(Data_Set_3[[#This Row],[date]],"mmmm")</f>
        <v>January</v>
      </c>
      <c r="R270">
        <f>MONTH(Data_Set_3[[#This Row],[date]])</f>
        <v>1</v>
      </c>
      <c r="S270">
        <f>YEAR(Data_Set_3[[#This Row],[date]])</f>
        <v>2019</v>
      </c>
    </row>
    <row r="271" spans="1:19" x14ac:dyDescent="0.3">
      <c r="A271">
        <v>1022</v>
      </c>
      <c r="B271" t="s">
        <v>769</v>
      </c>
      <c r="C271" t="s">
        <v>825</v>
      </c>
      <c r="D271" t="s">
        <v>3008</v>
      </c>
      <c r="E271" t="s">
        <v>3009</v>
      </c>
      <c r="F271" t="s">
        <v>1888</v>
      </c>
      <c r="G271" t="s">
        <v>1794</v>
      </c>
      <c r="H271" t="s">
        <v>16</v>
      </c>
      <c r="I271" t="s">
        <v>17</v>
      </c>
      <c r="J271">
        <v>267</v>
      </c>
      <c r="K271" t="s">
        <v>26</v>
      </c>
      <c r="L271" s="2">
        <v>43483</v>
      </c>
      <c r="M271" t="s">
        <v>345</v>
      </c>
      <c r="N271" t="s">
        <v>220</v>
      </c>
      <c r="O271">
        <v>20430</v>
      </c>
      <c r="P271" t="s">
        <v>21</v>
      </c>
      <c r="Q271" t="str">
        <f>TEXT(Data_Set_3[[#This Row],[date]],"mmmm")</f>
        <v>January</v>
      </c>
      <c r="R271">
        <f>MONTH(Data_Set_3[[#This Row],[date]])</f>
        <v>1</v>
      </c>
      <c r="S271">
        <f>YEAR(Data_Set_3[[#This Row],[date]])</f>
        <v>2019</v>
      </c>
    </row>
    <row r="272" spans="1:19" x14ac:dyDescent="0.3">
      <c r="A272">
        <v>1464</v>
      </c>
      <c r="B272" t="s">
        <v>106</v>
      </c>
      <c r="C272" t="s">
        <v>449</v>
      </c>
      <c r="D272" t="s">
        <v>3181</v>
      </c>
      <c r="E272" t="s">
        <v>3182</v>
      </c>
      <c r="F272" t="s">
        <v>1281</v>
      </c>
      <c r="G272" t="s">
        <v>3183</v>
      </c>
      <c r="H272" t="s">
        <v>32</v>
      </c>
      <c r="I272" t="s">
        <v>2813</v>
      </c>
      <c r="J272">
        <v>310</v>
      </c>
      <c r="K272" t="s">
        <v>26</v>
      </c>
      <c r="L272" s="2">
        <v>43483</v>
      </c>
      <c r="M272" t="s">
        <v>393</v>
      </c>
      <c r="N272" t="s">
        <v>459</v>
      </c>
      <c r="O272">
        <v>37205</v>
      </c>
      <c r="P272" t="s">
        <v>21</v>
      </c>
      <c r="Q272" t="str">
        <f>TEXT(Data_Set_3[[#This Row],[date]],"mmmm")</f>
        <v>January</v>
      </c>
      <c r="R272">
        <f>MONTH(Data_Set_3[[#This Row],[date]])</f>
        <v>1</v>
      </c>
      <c r="S272">
        <f>YEAR(Data_Set_3[[#This Row],[date]])</f>
        <v>2019</v>
      </c>
    </row>
    <row r="273" spans="1:19" x14ac:dyDescent="0.3">
      <c r="A273">
        <v>1812</v>
      </c>
      <c r="B273" t="s">
        <v>1130</v>
      </c>
      <c r="C273" t="s">
        <v>639</v>
      </c>
      <c r="D273" t="s">
        <v>2863</v>
      </c>
      <c r="E273" t="s">
        <v>2864</v>
      </c>
      <c r="F273" t="s">
        <v>2641</v>
      </c>
      <c r="G273" t="s">
        <v>1653</v>
      </c>
      <c r="H273" t="s">
        <v>16</v>
      </c>
      <c r="I273" t="s">
        <v>543</v>
      </c>
      <c r="J273">
        <v>755</v>
      </c>
      <c r="K273" t="s">
        <v>34</v>
      </c>
      <c r="L273" s="2">
        <v>43483</v>
      </c>
      <c r="M273" t="s">
        <v>524</v>
      </c>
      <c r="N273" t="s">
        <v>815</v>
      </c>
      <c r="O273">
        <v>35220</v>
      </c>
      <c r="P273" t="s">
        <v>21</v>
      </c>
      <c r="Q273" t="str">
        <f>TEXT(Data_Set_3[[#This Row],[date]],"mmmm")</f>
        <v>January</v>
      </c>
      <c r="R273">
        <f>MONTH(Data_Set_3[[#This Row],[date]])</f>
        <v>1</v>
      </c>
      <c r="S273">
        <f>YEAR(Data_Set_3[[#This Row],[date]])</f>
        <v>2019</v>
      </c>
    </row>
    <row r="274" spans="1:19" x14ac:dyDescent="0.3">
      <c r="A274">
        <v>1408</v>
      </c>
      <c r="B274" t="s">
        <v>1245</v>
      </c>
      <c r="C274" t="s">
        <v>507</v>
      </c>
      <c r="D274" t="s">
        <v>3184</v>
      </c>
      <c r="E274" t="s">
        <v>3185</v>
      </c>
      <c r="F274" t="s">
        <v>1981</v>
      </c>
      <c r="G274" t="s">
        <v>1746</v>
      </c>
      <c r="H274" t="s">
        <v>16</v>
      </c>
      <c r="I274" t="s">
        <v>543</v>
      </c>
      <c r="J274">
        <v>787</v>
      </c>
      <c r="K274" t="s">
        <v>26</v>
      </c>
      <c r="L274" s="2">
        <v>43485</v>
      </c>
      <c r="M274" t="s">
        <v>68</v>
      </c>
      <c r="N274" t="s">
        <v>309</v>
      </c>
      <c r="O274">
        <v>76598</v>
      </c>
      <c r="P274" t="s">
        <v>21</v>
      </c>
      <c r="Q274" t="str">
        <f>TEXT(Data_Set_3[[#This Row],[date]],"mmmm")</f>
        <v>January</v>
      </c>
      <c r="R274">
        <f>MONTH(Data_Set_3[[#This Row],[date]])</f>
        <v>1</v>
      </c>
      <c r="S274">
        <f>YEAR(Data_Set_3[[#This Row],[date]])</f>
        <v>2019</v>
      </c>
    </row>
    <row r="275" spans="1:19" x14ac:dyDescent="0.3">
      <c r="A275">
        <v>1407</v>
      </c>
      <c r="B275" t="s">
        <v>2806</v>
      </c>
      <c r="C275" t="s">
        <v>473</v>
      </c>
      <c r="D275" t="s">
        <v>3186</v>
      </c>
      <c r="E275" t="s">
        <v>3187</v>
      </c>
      <c r="F275" t="s">
        <v>1332</v>
      </c>
      <c r="G275" t="s">
        <v>2617</v>
      </c>
      <c r="H275" t="s">
        <v>16</v>
      </c>
      <c r="I275" t="s">
        <v>2821</v>
      </c>
      <c r="J275">
        <v>687</v>
      </c>
      <c r="K275" t="s">
        <v>40</v>
      </c>
      <c r="L275" s="2">
        <v>43487</v>
      </c>
      <c r="M275" t="s">
        <v>35</v>
      </c>
      <c r="N275" t="s">
        <v>908</v>
      </c>
      <c r="O275">
        <v>92153</v>
      </c>
      <c r="P275" t="s">
        <v>21</v>
      </c>
      <c r="Q275" t="str">
        <f>TEXT(Data_Set_3[[#This Row],[date]],"mmmm")</f>
        <v>January</v>
      </c>
      <c r="R275">
        <f>MONTH(Data_Set_3[[#This Row],[date]])</f>
        <v>1</v>
      </c>
      <c r="S275">
        <f>YEAR(Data_Set_3[[#This Row],[date]])</f>
        <v>2019</v>
      </c>
    </row>
    <row r="276" spans="1:19" x14ac:dyDescent="0.3">
      <c r="A276">
        <v>1724</v>
      </c>
      <c r="B276" t="s">
        <v>395</v>
      </c>
      <c r="C276" t="s">
        <v>1074</v>
      </c>
      <c r="D276" t="s">
        <v>3188</v>
      </c>
      <c r="E276" t="s">
        <v>3189</v>
      </c>
      <c r="F276" t="s">
        <v>1598</v>
      </c>
      <c r="G276" t="s">
        <v>1913</v>
      </c>
      <c r="H276" t="s">
        <v>32</v>
      </c>
      <c r="I276" t="s">
        <v>25</v>
      </c>
      <c r="J276">
        <v>674</v>
      </c>
      <c r="K276" t="s">
        <v>416</v>
      </c>
      <c r="L276" s="2">
        <v>43488</v>
      </c>
      <c r="M276" t="s">
        <v>68</v>
      </c>
      <c r="N276" t="s">
        <v>475</v>
      </c>
      <c r="O276">
        <v>75221</v>
      </c>
      <c r="P276" t="s">
        <v>21</v>
      </c>
      <c r="Q276" t="str">
        <f>TEXT(Data_Set_3[[#This Row],[date]],"mmmm")</f>
        <v>January</v>
      </c>
      <c r="R276">
        <f>MONTH(Data_Set_3[[#This Row],[date]])</f>
        <v>1</v>
      </c>
      <c r="S276">
        <f>YEAR(Data_Set_3[[#This Row],[date]])</f>
        <v>2019</v>
      </c>
    </row>
    <row r="277" spans="1:19" x14ac:dyDescent="0.3">
      <c r="A277">
        <v>1170</v>
      </c>
      <c r="B277" t="s">
        <v>22</v>
      </c>
      <c r="C277" t="s">
        <v>883</v>
      </c>
      <c r="D277" t="s">
        <v>2837</v>
      </c>
      <c r="E277" t="s">
        <v>2838</v>
      </c>
      <c r="F277" t="s">
        <v>2430</v>
      </c>
      <c r="G277" t="s">
        <v>1333</v>
      </c>
      <c r="H277" t="s">
        <v>16</v>
      </c>
      <c r="I277" t="s">
        <v>33</v>
      </c>
      <c r="J277">
        <v>341</v>
      </c>
      <c r="K277" t="s">
        <v>164</v>
      </c>
      <c r="L277" s="2">
        <v>43497</v>
      </c>
      <c r="M277" t="s">
        <v>68</v>
      </c>
      <c r="N277" t="s">
        <v>169</v>
      </c>
      <c r="O277">
        <v>88574</v>
      </c>
      <c r="P277" t="s">
        <v>21</v>
      </c>
      <c r="Q277" t="str">
        <f>TEXT(Data_Set_3[[#This Row],[date]],"mmmm")</f>
        <v>February</v>
      </c>
      <c r="R277">
        <f>MONTH(Data_Set_3[[#This Row],[date]])</f>
        <v>2</v>
      </c>
      <c r="S277">
        <f>YEAR(Data_Set_3[[#This Row],[date]])</f>
        <v>2019</v>
      </c>
    </row>
    <row r="278" spans="1:19" x14ac:dyDescent="0.3">
      <c r="A278">
        <v>1770</v>
      </c>
      <c r="B278" t="s">
        <v>122</v>
      </c>
      <c r="C278" t="s">
        <v>232</v>
      </c>
      <c r="D278" t="s">
        <v>3190</v>
      </c>
      <c r="E278" t="s">
        <v>3191</v>
      </c>
      <c r="F278" t="s">
        <v>1853</v>
      </c>
      <c r="G278" t="s">
        <v>2763</v>
      </c>
      <c r="H278" t="s">
        <v>32</v>
      </c>
      <c r="I278" t="s">
        <v>25</v>
      </c>
      <c r="J278">
        <v>471</v>
      </c>
      <c r="K278" t="s">
        <v>18</v>
      </c>
      <c r="L278" s="2">
        <v>43498</v>
      </c>
      <c r="M278" t="s">
        <v>480</v>
      </c>
      <c r="N278" t="s">
        <v>554</v>
      </c>
      <c r="O278">
        <v>8608</v>
      </c>
      <c r="P278" t="s">
        <v>21</v>
      </c>
      <c r="Q278" t="str">
        <f>TEXT(Data_Set_3[[#This Row],[date]],"mmmm")</f>
        <v>February</v>
      </c>
      <c r="R278">
        <f>MONTH(Data_Set_3[[#This Row],[date]])</f>
        <v>2</v>
      </c>
      <c r="S278">
        <f>YEAR(Data_Set_3[[#This Row],[date]])</f>
        <v>2019</v>
      </c>
    </row>
    <row r="279" spans="1:19" x14ac:dyDescent="0.3">
      <c r="A279">
        <v>1298</v>
      </c>
      <c r="B279" t="s">
        <v>595</v>
      </c>
      <c r="C279" t="s">
        <v>293</v>
      </c>
      <c r="D279" t="s">
        <v>2900</v>
      </c>
      <c r="E279" t="s">
        <v>2901</v>
      </c>
      <c r="F279" t="s">
        <v>1539</v>
      </c>
      <c r="G279" t="s">
        <v>1952</v>
      </c>
      <c r="H279" t="s">
        <v>32</v>
      </c>
      <c r="I279" t="s">
        <v>543</v>
      </c>
      <c r="J279">
        <v>465</v>
      </c>
      <c r="K279" t="s">
        <v>73</v>
      </c>
      <c r="L279" s="2">
        <v>43503</v>
      </c>
      <c r="M279" t="s">
        <v>115</v>
      </c>
      <c r="N279" t="s">
        <v>351</v>
      </c>
      <c r="O279">
        <v>32891</v>
      </c>
      <c r="P279" t="s">
        <v>21</v>
      </c>
      <c r="Q279" t="str">
        <f>TEXT(Data_Set_3[[#This Row],[date]],"mmmm")</f>
        <v>February</v>
      </c>
      <c r="R279">
        <f>MONTH(Data_Set_3[[#This Row],[date]])</f>
        <v>2</v>
      </c>
      <c r="S279">
        <f>YEAR(Data_Set_3[[#This Row],[date]])</f>
        <v>2019</v>
      </c>
    </row>
    <row r="280" spans="1:19" x14ac:dyDescent="0.3">
      <c r="A280">
        <v>1996</v>
      </c>
      <c r="B280" t="s">
        <v>359</v>
      </c>
      <c r="C280" t="s">
        <v>2841</v>
      </c>
      <c r="D280" t="s">
        <v>2842</v>
      </c>
      <c r="E280" t="s">
        <v>2843</v>
      </c>
      <c r="F280" t="s">
        <v>1696</v>
      </c>
      <c r="G280" t="s">
        <v>2606</v>
      </c>
      <c r="H280" t="s">
        <v>32</v>
      </c>
      <c r="I280" t="s">
        <v>33</v>
      </c>
      <c r="J280">
        <v>514</v>
      </c>
      <c r="K280" t="s">
        <v>164</v>
      </c>
      <c r="L280" s="2">
        <v>43504</v>
      </c>
      <c r="M280" t="s">
        <v>125</v>
      </c>
      <c r="N280" t="s">
        <v>419</v>
      </c>
      <c r="O280">
        <v>64160</v>
      </c>
      <c r="P280" t="s">
        <v>21</v>
      </c>
      <c r="Q280" t="str">
        <f>TEXT(Data_Set_3[[#This Row],[date]],"mmmm")</f>
        <v>February</v>
      </c>
      <c r="R280">
        <f>MONTH(Data_Set_3[[#This Row],[date]])</f>
        <v>2</v>
      </c>
      <c r="S280">
        <f>YEAR(Data_Set_3[[#This Row],[date]])</f>
        <v>2019</v>
      </c>
    </row>
    <row r="281" spans="1:19" x14ac:dyDescent="0.3">
      <c r="A281">
        <v>1092</v>
      </c>
      <c r="B281" t="s">
        <v>516</v>
      </c>
      <c r="C281" t="s">
        <v>455</v>
      </c>
      <c r="D281" t="s">
        <v>2976</v>
      </c>
      <c r="E281" t="s">
        <v>2977</v>
      </c>
      <c r="F281" t="s">
        <v>1763</v>
      </c>
      <c r="G281" t="s">
        <v>1486</v>
      </c>
      <c r="H281" t="s">
        <v>32</v>
      </c>
      <c r="I281" t="s">
        <v>51</v>
      </c>
      <c r="J281">
        <v>513</v>
      </c>
      <c r="K281" t="s">
        <v>73</v>
      </c>
      <c r="L281" s="2">
        <v>43505</v>
      </c>
      <c r="M281" t="s">
        <v>115</v>
      </c>
      <c r="N281" t="s">
        <v>1048</v>
      </c>
      <c r="O281">
        <v>34233</v>
      </c>
      <c r="P281" t="s">
        <v>21</v>
      </c>
      <c r="Q281" t="str">
        <f>TEXT(Data_Set_3[[#This Row],[date]],"mmmm")</f>
        <v>February</v>
      </c>
      <c r="R281">
        <f>MONTH(Data_Set_3[[#This Row],[date]])</f>
        <v>2</v>
      </c>
      <c r="S281">
        <f>YEAR(Data_Set_3[[#This Row],[date]])</f>
        <v>2019</v>
      </c>
    </row>
    <row r="282" spans="1:19" x14ac:dyDescent="0.3">
      <c r="A282">
        <v>1612</v>
      </c>
      <c r="B282" t="s">
        <v>3083</v>
      </c>
      <c r="C282" t="s">
        <v>2803</v>
      </c>
      <c r="D282" t="s">
        <v>3192</v>
      </c>
      <c r="E282" t="s">
        <v>3193</v>
      </c>
      <c r="F282" t="s">
        <v>1680</v>
      </c>
      <c r="G282" t="s">
        <v>1676</v>
      </c>
      <c r="H282" t="s">
        <v>16</v>
      </c>
      <c r="I282" t="s">
        <v>274</v>
      </c>
      <c r="J282">
        <v>804</v>
      </c>
      <c r="K282" t="s">
        <v>57</v>
      </c>
      <c r="L282" s="2">
        <v>43505</v>
      </c>
      <c r="M282" t="s">
        <v>301</v>
      </c>
      <c r="N282" t="s">
        <v>3194</v>
      </c>
      <c r="O282">
        <v>29319</v>
      </c>
      <c r="P282" t="s">
        <v>21</v>
      </c>
      <c r="Q282" t="str">
        <f>TEXT(Data_Set_3[[#This Row],[date]],"mmmm")</f>
        <v>February</v>
      </c>
      <c r="R282">
        <f>MONTH(Data_Set_3[[#This Row],[date]])</f>
        <v>2</v>
      </c>
      <c r="S282">
        <f>YEAR(Data_Set_3[[#This Row],[date]])</f>
        <v>2019</v>
      </c>
    </row>
    <row r="283" spans="1:19" x14ac:dyDescent="0.3">
      <c r="A283">
        <v>1092</v>
      </c>
      <c r="B283" t="s">
        <v>516</v>
      </c>
      <c r="C283" t="s">
        <v>455</v>
      </c>
      <c r="D283" t="s">
        <v>2976</v>
      </c>
      <c r="E283" t="s">
        <v>2977</v>
      </c>
      <c r="F283" t="s">
        <v>1763</v>
      </c>
      <c r="G283" t="s">
        <v>1486</v>
      </c>
      <c r="H283" t="s">
        <v>32</v>
      </c>
      <c r="I283" t="s">
        <v>51</v>
      </c>
      <c r="J283">
        <v>958</v>
      </c>
      <c r="K283" t="s">
        <v>73</v>
      </c>
      <c r="L283" s="2">
        <v>43506</v>
      </c>
      <c r="M283" t="s">
        <v>115</v>
      </c>
      <c r="N283" t="s">
        <v>1048</v>
      </c>
      <c r="O283">
        <v>34233</v>
      </c>
      <c r="P283" t="s">
        <v>21</v>
      </c>
      <c r="Q283" t="str">
        <f>TEXT(Data_Set_3[[#This Row],[date]],"mmmm")</f>
        <v>February</v>
      </c>
      <c r="R283">
        <f>MONTH(Data_Set_3[[#This Row],[date]])</f>
        <v>2</v>
      </c>
      <c r="S283">
        <f>YEAR(Data_Set_3[[#This Row],[date]])</f>
        <v>2019</v>
      </c>
    </row>
    <row r="284" spans="1:19" x14ac:dyDescent="0.3">
      <c r="A284">
        <v>1707</v>
      </c>
      <c r="B284" t="s">
        <v>809</v>
      </c>
      <c r="C284" t="s">
        <v>364</v>
      </c>
      <c r="D284" t="s">
        <v>3195</v>
      </c>
      <c r="E284" t="s">
        <v>3196</v>
      </c>
      <c r="F284" t="s">
        <v>1617</v>
      </c>
      <c r="G284" t="s">
        <v>2474</v>
      </c>
      <c r="H284" t="s">
        <v>16</v>
      </c>
      <c r="I284" t="s">
        <v>17</v>
      </c>
      <c r="J284">
        <v>412</v>
      </c>
      <c r="K284" t="s">
        <v>57</v>
      </c>
      <c r="L284" s="2">
        <v>43506</v>
      </c>
      <c r="M284" t="s">
        <v>27</v>
      </c>
      <c r="N284" t="s">
        <v>28</v>
      </c>
      <c r="O284">
        <v>80223</v>
      </c>
      <c r="P284" t="s">
        <v>21</v>
      </c>
      <c r="Q284" t="str">
        <f>TEXT(Data_Set_3[[#This Row],[date]],"mmmm")</f>
        <v>February</v>
      </c>
      <c r="R284">
        <f>MONTH(Data_Set_3[[#This Row],[date]])</f>
        <v>2</v>
      </c>
      <c r="S284">
        <f>YEAR(Data_Set_3[[#This Row],[date]])</f>
        <v>2019</v>
      </c>
    </row>
    <row r="285" spans="1:19" x14ac:dyDescent="0.3">
      <c r="A285">
        <v>1593</v>
      </c>
      <c r="B285" t="s">
        <v>98</v>
      </c>
      <c r="C285" t="s">
        <v>1107</v>
      </c>
      <c r="D285" t="s">
        <v>3197</v>
      </c>
      <c r="E285" t="s">
        <v>3198</v>
      </c>
      <c r="F285" t="s">
        <v>3199</v>
      </c>
      <c r="G285" t="s">
        <v>1397</v>
      </c>
      <c r="H285" t="s">
        <v>32</v>
      </c>
      <c r="I285" t="s">
        <v>361</v>
      </c>
      <c r="J285">
        <v>546</v>
      </c>
      <c r="K285" t="s">
        <v>26</v>
      </c>
      <c r="L285" s="2">
        <v>43508</v>
      </c>
      <c r="M285" t="s">
        <v>115</v>
      </c>
      <c r="N285" t="s">
        <v>977</v>
      </c>
      <c r="O285">
        <v>33715</v>
      </c>
      <c r="P285" t="s">
        <v>21</v>
      </c>
      <c r="Q285" t="str">
        <f>TEXT(Data_Set_3[[#This Row],[date]],"mmmm")</f>
        <v>February</v>
      </c>
      <c r="R285">
        <f>MONTH(Data_Set_3[[#This Row],[date]])</f>
        <v>2</v>
      </c>
      <c r="S285">
        <f>YEAR(Data_Set_3[[#This Row],[date]])</f>
        <v>2019</v>
      </c>
    </row>
    <row r="286" spans="1:19" x14ac:dyDescent="0.3">
      <c r="A286">
        <v>1298</v>
      </c>
      <c r="B286" t="s">
        <v>595</v>
      </c>
      <c r="C286" t="s">
        <v>293</v>
      </c>
      <c r="D286" t="s">
        <v>2900</v>
      </c>
      <c r="E286" t="s">
        <v>2901</v>
      </c>
      <c r="F286" t="s">
        <v>1539</v>
      </c>
      <c r="G286" t="s">
        <v>1952</v>
      </c>
      <c r="H286" t="s">
        <v>32</v>
      </c>
      <c r="I286" t="s">
        <v>543</v>
      </c>
      <c r="J286">
        <v>684</v>
      </c>
      <c r="K286" t="s">
        <v>73</v>
      </c>
      <c r="L286" s="2">
        <v>43510</v>
      </c>
      <c r="M286" t="s">
        <v>115</v>
      </c>
      <c r="N286" t="s">
        <v>351</v>
      </c>
      <c r="O286">
        <v>32891</v>
      </c>
      <c r="P286" t="s">
        <v>21</v>
      </c>
      <c r="Q286" t="str">
        <f>TEXT(Data_Set_3[[#This Row],[date]],"mmmm")</f>
        <v>February</v>
      </c>
      <c r="R286">
        <f>MONTH(Data_Set_3[[#This Row],[date]])</f>
        <v>2</v>
      </c>
      <c r="S286">
        <f>YEAR(Data_Set_3[[#This Row],[date]])</f>
        <v>2019</v>
      </c>
    </row>
    <row r="287" spans="1:19" x14ac:dyDescent="0.3">
      <c r="A287">
        <v>1277</v>
      </c>
      <c r="B287" t="s">
        <v>43</v>
      </c>
      <c r="C287" t="s">
        <v>783</v>
      </c>
      <c r="D287" t="s">
        <v>2861</v>
      </c>
      <c r="E287" t="s">
        <v>2862</v>
      </c>
      <c r="F287" t="s">
        <v>1850</v>
      </c>
      <c r="G287" t="s">
        <v>2219</v>
      </c>
      <c r="H287" t="s">
        <v>16</v>
      </c>
      <c r="I287" t="s">
        <v>454</v>
      </c>
      <c r="J287">
        <v>385</v>
      </c>
      <c r="K287" t="s">
        <v>416</v>
      </c>
      <c r="L287" s="2">
        <v>43511</v>
      </c>
      <c r="M287" t="s">
        <v>152</v>
      </c>
      <c r="N287" t="s">
        <v>251</v>
      </c>
      <c r="O287">
        <v>44310</v>
      </c>
      <c r="P287" t="s">
        <v>21</v>
      </c>
      <c r="Q287" t="str">
        <f>TEXT(Data_Set_3[[#This Row],[date]],"mmmm")</f>
        <v>February</v>
      </c>
      <c r="R287">
        <f>MONTH(Data_Set_3[[#This Row],[date]])</f>
        <v>2</v>
      </c>
      <c r="S287">
        <f>YEAR(Data_Set_3[[#This Row],[date]])</f>
        <v>2019</v>
      </c>
    </row>
    <row r="288" spans="1:19" x14ac:dyDescent="0.3">
      <c r="A288">
        <v>1298</v>
      </c>
      <c r="B288" t="s">
        <v>595</v>
      </c>
      <c r="C288" t="s">
        <v>293</v>
      </c>
      <c r="D288" t="s">
        <v>2900</v>
      </c>
      <c r="E288" t="s">
        <v>2901</v>
      </c>
      <c r="F288" t="s">
        <v>1539</v>
      </c>
      <c r="G288" t="s">
        <v>1952</v>
      </c>
      <c r="H288" t="s">
        <v>32</v>
      </c>
      <c r="I288" t="s">
        <v>543</v>
      </c>
      <c r="J288">
        <v>306</v>
      </c>
      <c r="K288" t="s">
        <v>73</v>
      </c>
      <c r="L288" s="2">
        <v>43511</v>
      </c>
      <c r="M288" t="s">
        <v>115</v>
      </c>
      <c r="N288" t="s">
        <v>351</v>
      </c>
      <c r="O288">
        <v>32891</v>
      </c>
      <c r="P288" t="s">
        <v>21</v>
      </c>
      <c r="Q288" t="str">
        <f>TEXT(Data_Set_3[[#This Row],[date]],"mmmm")</f>
        <v>February</v>
      </c>
      <c r="R288">
        <f>MONTH(Data_Set_3[[#This Row],[date]])</f>
        <v>2</v>
      </c>
      <c r="S288">
        <f>YEAR(Data_Set_3[[#This Row],[date]])</f>
        <v>2019</v>
      </c>
    </row>
    <row r="289" spans="1:19" x14ac:dyDescent="0.3">
      <c r="A289">
        <v>1021</v>
      </c>
      <c r="B289" t="s">
        <v>495</v>
      </c>
      <c r="C289" t="s">
        <v>567</v>
      </c>
      <c r="D289" t="s">
        <v>2795</v>
      </c>
      <c r="E289" t="s">
        <v>2796</v>
      </c>
      <c r="F289" t="s">
        <v>1330</v>
      </c>
      <c r="G289" t="s">
        <v>1863</v>
      </c>
      <c r="H289" t="s">
        <v>32</v>
      </c>
      <c r="I289" t="s">
        <v>17</v>
      </c>
      <c r="J289">
        <v>310</v>
      </c>
      <c r="K289" t="s">
        <v>164</v>
      </c>
      <c r="L289" s="2">
        <v>43512</v>
      </c>
      <c r="M289" t="s">
        <v>78</v>
      </c>
      <c r="N289" t="s">
        <v>2797</v>
      </c>
      <c r="O289">
        <v>48555</v>
      </c>
      <c r="P289" t="s">
        <v>21</v>
      </c>
      <c r="Q289" t="str">
        <f>TEXT(Data_Set_3[[#This Row],[date]],"mmmm")</f>
        <v>February</v>
      </c>
      <c r="R289">
        <f>MONTH(Data_Set_3[[#This Row],[date]])</f>
        <v>2</v>
      </c>
      <c r="S289">
        <f>YEAR(Data_Set_3[[#This Row],[date]])</f>
        <v>2019</v>
      </c>
    </row>
    <row r="290" spans="1:19" x14ac:dyDescent="0.3">
      <c r="A290">
        <v>1359</v>
      </c>
      <c r="B290" t="s">
        <v>464</v>
      </c>
      <c r="C290" t="s">
        <v>107</v>
      </c>
      <c r="D290" t="s">
        <v>3200</v>
      </c>
      <c r="E290" t="s">
        <v>3201</v>
      </c>
      <c r="F290" t="s">
        <v>3202</v>
      </c>
      <c r="G290" t="s">
        <v>1569</v>
      </c>
      <c r="H290" t="s">
        <v>16</v>
      </c>
      <c r="I290" t="s">
        <v>454</v>
      </c>
      <c r="J290">
        <v>793</v>
      </c>
      <c r="K290" t="s">
        <v>62</v>
      </c>
      <c r="L290" s="2">
        <v>43512</v>
      </c>
      <c r="M290" t="s">
        <v>68</v>
      </c>
      <c r="N290" t="s">
        <v>234</v>
      </c>
      <c r="O290">
        <v>77293</v>
      </c>
      <c r="P290" t="s">
        <v>21</v>
      </c>
      <c r="Q290" t="str">
        <f>TEXT(Data_Set_3[[#This Row],[date]],"mmmm")</f>
        <v>February</v>
      </c>
      <c r="R290">
        <f>MONTH(Data_Set_3[[#This Row],[date]])</f>
        <v>2</v>
      </c>
      <c r="S290">
        <f>YEAR(Data_Set_3[[#This Row],[date]])</f>
        <v>2019</v>
      </c>
    </row>
    <row r="291" spans="1:19" x14ac:dyDescent="0.3">
      <c r="A291">
        <v>1489</v>
      </c>
      <c r="B291" t="s">
        <v>860</v>
      </c>
      <c r="C291" t="s">
        <v>849</v>
      </c>
      <c r="D291" t="s">
        <v>2817</v>
      </c>
      <c r="E291" t="s">
        <v>2818</v>
      </c>
      <c r="F291" t="s">
        <v>1606</v>
      </c>
      <c r="G291" t="s">
        <v>1899</v>
      </c>
      <c r="H291" t="s">
        <v>16</v>
      </c>
      <c r="I291" t="s">
        <v>17</v>
      </c>
      <c r="J291">
        <v>140</v>
      </c>
      <c r="K291" t="s">
        <v>62</v>
      </c>
      <c r="L291" s="2">
        <v>43512</v>
      </c>
      <c r="M291" t="s">
        <v>204</v>
      </c>
      <c r="N291" t="s">
        <v>1135</v>
      </c>
      <c r="O291">
        <v>23668</v>
      </c>
      <c r="P291" t="s">
        <v>21</v>
      </c>
      <c r="Q291" t="str">
        <f>TEXT(Data_Set_3[[#This Row],[date]],"mmmm")</f>
        <v>February</v>
      </c>
      <c r="R291">
        <f>MONTH(Data_Set_3[[#This Row],[date]])</f>
        <v>2</v>
      </c>
      <c r="S291">
        <f>YEAR(Data_Set_3[[#This Row],[date]])</f>
        <v>2019</v>
      </c>
    </row>
    <row r="292" spans="1:19" x14ac:dyDescent="0.3">
      <c r="A292">
        <v>1991</v>
      </c>
      <c r="B292" t="s">
        <v>602</v>
      </c>
      <c r="C292" t="s">
        <v>624</v>
      </c>
      <c r="D292" t="s">
        <v>2839</v>
      </c>
      <c r="E292" t="s">
        <v>2840</v>
      </c>
      <c r="F292" t="s">
        <v>2255</v>
      </c>
      <c r="G292" t="s">
        <v>2159</v>
      </c>
      <c r="H292" t="s">
        <v>32</v>
      </c>
      <c r="I292" t="s">
        <v>33</v>
      </c>
      <c r="J292">
        <v>850</v>
      </c>
      <c r="K292" t="s">
        <v>26</v>
      </c>
      <c r="L292" s="2">
        <v>43512</v>
      </c>
      <c r="M292" t="s">
        <v>435</v>
      </c>
      <c r="N292" t="s">
        <v>436</v>
      </c>
      <c r="O292">
        <v>87180</v>
      </c>
      <c r="P292" t="s">
        <v>21</v>
      </c>
      <c r="Q292" t="str">
        <f>TEXT(Data_Set_3[[#This Row],[date]],"mmmm")</f>
        <v>February</v>
      </c>
      <c r="R292">
        <f>MONTH(Data_Set_3[[#This Row],[date]])</f>
        <v>2</v>
      </c>
      <c r="S292">
        <f>YEAR(Data_Set_3[[#This Row],[date]])</f>
        <v>2019</v>
      </c>
    </row>
    <row r="293" spans="1:19" x14ac:dyDescent="0.3">
      <c r="A293">
        <v>1553</v>
      </c>
      <c r="B293" t="s">
        <v>263</v>
      </c>
      <c r="C293" t="s">
        <v>614</v>
      </c>
      <c r="D293" t="s">
        <v>3203</v>
      </c>
      <c r="E293" t="s">
        <v>3204</v>
      </c>
      <c r="F293" t="s">
        <v>1874</v>
      </c>
      <c r="G293" t="s">
        <v>2102</v>
      </c>
      <c r="H293" t="s">
        <v>16</v>
      </c>
      <c r="I293" t="s">
        <v>543</v>
      </c>
      <c r="J293">
        <v>236</v>
      </c>
      <c r="K293" t="s">
        <v>164</v>
      </c>
      <c r="L293" s="2">
        <v>43514</v>
      </c>
      <c r="M293" t="s">
        <v>68</v>
      </c>
      <c r="N293" t="s">
        <v>2937</v>
      </c>
      <c r="O293">
        <v>78470</v>
      </c>
      <c r="P293" t="s">
        <v>21</v>
      </c>
      <c r="Q293" t="str">
        <f>TEXT(Data_Set_3[[#This Row],[date]],"mmmm")</f>
        <v>February</v>
      </c>
      <c r="R293">
        <f>MONTH(Data_Set_3[[#This Row],[date]])</f>
        <v>2</v>
      </c>
      <c r="S293">
        <f>YEAR(Data_Set_3[[#This Row],[date]])</f>
        <v>2019</v>
      </c>
    </row>
    <row r="294" spans="1:19" x14ac:dyDescent="0.3">
      <c r="A294">
        <v>1745</v>
      </c>
      <c r="B294" t="s">
        <v>1130</v>
      </c>
      <c r="C294" t="s">
        <v>645</v>
      </c>
      <c r="D294" t="s">
        <v>3205</v>
      </c>
      <c r="E294" t="s">
        <v>3206</v>
      </c>
      <c r="F294" t="s">
        <v>1533</v>
      </c>
      <c r="G294" t="s">
        <v>2356</v>
      </c>
      <c r="H294" t="s">
        <v>16</v>
      </c>
      <c r="I294" t="s">
        <v>33</v>
      </c>
      <c r="J294">
        <v>663</v>
      </c>
      <c r="K294" t="s">
        <v>95</v>
      </c>
      <c r="L294" s="2">
        <v>43517</v>
      </c>
      <c r="M294" t="s">
        <v>133</v>
      </c>
      <c r="N294" t="s">
        <v>134</v>
      </c>
      <c r="O294">
        <v>96820</v>
      </c>
      <c r="P294" t="s">
        <v>21</v>
      </c>
      <c r="Q294" t="str">
        <f>TEXT(Data_Set_3[[#This Row],[date]],"mmmm")</f>
        <v>February</v>
      </c>
      <c r="R294">
        <f>MONTH(Data_Set_3[[#This Row],[date]])</f>
        <v>2</v>
      </c>
      <c r="S294">
        <f>YEAR(Data_Set_3[[#This Row],[date]])</f>
        <v>2019</v>
      </c>
    </row>
    <row r="295" spans="1:19" x14ac:dyDescent="0.3">
      <c r="A295">
        <v>1977</v>
      </c>
      <c r="B295" t="s">
        <v>207</v>
      </c>
      <c r="C295" t="s">
        <v>813</v>
      </c>
      <c r="D295" t="s">
        <v>3207</v>
      </c>
      <c r="E295" t="s">
        <v>3208</v>
      </c>
      <c r="F295" t="s">
        <v>3209</v>
      </c>
      <c r="G295" t="s">
        <v>2251</v>
      </c>
      <c r="H295" t="s">
        <v>16</v>
      </c>
      <c r="I295" t="s">
        <v>33</v>
      </c>
      <c r="J295">
        <v>935</v>
      </c>
      <c r="K295" t="s">
        <v>62</v>
      </c>
      <c r="L295" s="2">
        <v>43517</v>
      </c>
      <c r="M295" t="s">
        <v>35</v>
      </c>
      <c r="N295" t="s">
        <v>892</v>
      </c>
      <c r="O295">
        <v>92717</v>
      </c>
      <c r="P295" t="s">
        <v>21</v>
      </c>
      <c r="Q295" t="str">
        <f>TEXT(Data_Set_3[[#This Row],[date]],"mmmm")</f>
        <v>February</v>
      </c>
      <c r="R295">
        <f>MONTH(Data_Set_3[[#This Row],[date]])</f>
        <v>2</v>
      </c>
      <c r="S295">
        <f>YEAR(Data_Set_3[[#This Row],[date]])</f>
        <v>2019</v>
      </c>
    </row>
    <row r="296" spans="1:19" x14ac:dyDescent="0.3">
      <c r="A296">
        <v>1116</v>
      </c>
      <c r="B296" t="s">
        <v>135</v>
      </c>
      <c r="C296" t="s">
        <v>2803</v>
      </c>
      <c r="D296" t="s">
        <v>2804</v>
      </c>
      <c r="E296" t="s">
        <v>2805</v>
      </c>
      <c r="F296" t="s">
        <v>1770</v>
      </c>
      <c r="G296" t="s">
        <v>2110</v>
      </c>
      <c r="H296" t="s">
        <v>32</v>
      </c>
      <c r="I296" t="s">
        <v>51</v>
      </c>
      <c r="J296">
        <v>441</v>
      </c>
      <c r="K296" t="s">
        <v>95</v>
      </c>
      <c r="L296" s="2">
        <v>43518</v>
      </c>
      <c r="M296" t="s">
        <v>74</v>
      </c>
      <c r="N296" t="s">
        <v>400</v>
      </c>
      <c r="O296">
        <v>30096</v>
      </c>
      <c r="P296" t="s">
        <v>21</v>
      </c>
      <c r="Q296" t="str">
        <f>TEXT(Data_Set_3[[#This Row],[date]],"mmmm")</f>
        <v>February</v>
      </c>
      <c r="R296">
        <f>MONTH(Data_Set_3[[#This Row],[date]])</f>
        <v>2</v>
      </c>
      <c r="S296">
        <f>YEAR(Data_Set_3[[#This Row],[date]])</f>
        <v>2019</v>
      </c>
    </row>
    <row r="297" spans="1:19" x14ac:dyDescent="0.3">
      <c r="A297">
        <v>1715</v>
      </c>
      <c r="B297" t="s">
        <v>80</v>
      </c>
      <c r="C297" t="s">
        <v>1255</v>
      </c>
      <c r="D297" t="s">
        <v>3210</v>
      </c>
      <c r="E297" t="s">
        <v>3211</v>
      </c>
      <c r="F297" t="s">
        <v>1328</v>
      </c>
      <c r="G297" t="s">
        <v>1502</v>
      </c>
      <c r="H297" t="s">
        <v>16</v>
      </c>
      <c r="I297" t="s">
        <v>17</v>
      </c>
      <c r="J297">
        <v>444</v>
      </c>
      <c r="K297" t="s">
        <v>109</v>
      </c>
      <c r="L297" s="2">
        <v>43518</v>
      </c>
      <c r="M297" t="s">
        <v>52</v>
      </c>
      <c r="N297" t="s">
        <v>189</v>
      </c>
      <c r="O297">
        <v>25326</v>
      </c>
      <c r="P297" t="s">
        <v>21</v>
      </c>
      <c r="Q297" t="str">
        <f>TEXT(Data_Set_3[[#This Row],[date]],"mmmm")</f>
        <v>February</v>
      </c>
      <c r="R297">
        <f>MONTH(Data_Set_3[[#This Row],[date]])</f>
        <v>2</v>
      </c>
      <c r="S297">
        <f>YEAR(Data_Set_3[[#This Row],[date]])</f>
        <v>2019</v>
      </c>
    </row>
    <row r="298" spans="1:19" x14ac:dyDescent="0.3">
      <c r="A298">
        <v>1170</v>
      </c>
      <c r="B298" t="s">
        <v>22</v>
      </c>
      <c r="C298" t="s">
        <v>883</v>
      </c>
      <c r="D298" t="s">
        <v>2837</v>
      </c>
      <c r="E298" t="s">
        <v>2838</v>
      </c>
      <c r="F298" t="s">
        <v>2430</v>
      </c>
      <c r="G298" t="s">
        <v>1333</v>
      </c>
      <c r="H298" t="s">
        <v>16</v>
      </c>
      <c r="I298" t="s">
        <v>33</v>
      </c>
      <c r="J298">
        <v>301</v>
      </c>
      <c r="K298" t="s">
        <v>164</v>
      </c>
      <c r="L298" s="2">
        <v>43519</v>
      </c>
      <c r="M298" t="s">
        <v>68</v>
      </c>
      <c r="N298" t="s">
        <v>169</v>
      </c>
      <c r="O298">
        <v>88574</v>
      </c>
      <c r="P298" t="s">
        <v>21</v>
      </c>
      <c r="Q298" t="str">
        <f>TEXT(Data_Set_3[[#This Row],[date]],"mmmm")</f>
        <v>February</v>
      </c>
      <c r="R298">
        <f>MONTH(Data_Set_3[[#This Row],[date]])</f>
        <v>2</v>
      </c>
      <c r="S298">
        <f>YEAR(Data_Set_3[[#This Row],[date]])</f>
        <v>2019</v>
      </c>
    </row>
    <row r="299" spans="1:19" x14ac:dyDescent="0.3">
      <c r="A299">
        <v>1212</v>
      </c>
      <c r="B299" t="s">
        <v>547</v>
      </c>
      <c r="C299" t="s">
        <v>337</v>
      </c>
      <c r="D299" t="s">
        <v>2828</v>
      </c>
      <c r="E299" t="s">
        <v>2829</v>
      </c>
      <c r="F299" t="s">
        <v>1608</v>
      </c>
      <c r="G299" t="s">
        <v>2830</v>
      </c>
      <c r="H299" t="s">
        <v>32</v>
      </c>
      <c r="I299" t="s">
        <v>33</v>
      </c>
      <c r="J299">
        <v>227</v>
      </c>
      <c r="K299" t="s">
        <v>34</v>
      </c>
      <c r="L299" s="2">
        <v>43522</v>
      </c>
      <c r="M299" t="s">
        <v>46</v>
      </c>
      <c r="N299" t="s">
        <v>47</v>
      </c>
      <c r="O299">
        <v>6183</v>
      </c>
      <c r="P299" t="s">
        <v>21</v>
      </c>
      <c r="Q299" t="str">
        <f>TEXT(Data_Set_3[[#This Row],[date]],"mmmm")</f>
        <v>February</v>
      </c>
      <c r="R299">
        <f>MONTH(Data_Set_3[[#This Row],[date]])</f>
        <v>2</v>
      </c>
      <c r="S299">
        <f>YEAR(Data_Set_3[[#This Row],[date]])</f>
        <v>2019</v>
      </c>
    </row>
    <row r="300" spans="1:19" x14ac:dyDescent="0.3">
      <c r="A300">
        <v>1081</v>
      </c>
      <c r="B300" t="s">
        <v>29</v>
      </c>
      <c r="C300" t="s">
        <v>906</v>
      </c>
      <c r="D300" t="s">
        <v>2980</v>
      </c>
      <c r="E300" t="s">
        <v>2981</v>
      </c>
      <c r="F300" t="s">
        <v>2342</v>
      </c>
      <c r="G300" t="s">
        <v>2286</v>
      </c>
      <c r="H300" t="s">
        <v>32</v>
      </c>
      <c r="I300" t="s">
        <v>51</v>
      </c>
      <c r="J300">
        <v>531</v>
      </c>
      <c r="K300" t="s">
        <v>18</v>
      </c>
      <c r="L300" s="2">
        <v>43524</v>
      </c>
      <c r="M300" t="s">
        <v>152</v>
      </c>
      <c r="N300" t="s">
        <v>484</v>
      </c>
      <c r="O300">
        <v>45426</v>
      </c>
      <c r="P300" t="s">
        <v>21</v>
      </c>
      <c r="Q300" t="str">
        <f>TEXT(Data_Set_3[[#This Row],[date]],"mmmm")</f>
        <v>February</v>
      </c>
      <c r="R300">
        <f>MONTH(Data_Set_3[[#This Row],[date]])</f>
        <v>2</v>
      </c>
      <c r="S300">
        <f>YEAR(Data_Set_3[[#This Row],[date]])</f>
        <v>2019</v>
      </c>
    </row>
    <row r="301" spans="1:19" x14ac:dyDescent="0.3">
      <c r="A301">
        <v>1550</v>
      </c>
      <c r="B301" t="s">
        <v>389</v>
      </c>
      <c r="C301" t="s">
        <v>1212</v>
      </c>
      <c r="D301" t="s">
        <v>3212</v>
      </c>
      <c r="E301" t="s">
        <v>3213</v>
      </c>
      <c r="F301" t="s">
        <v>1790</v>
      </c>
      <c r="G301" t="s">
        <v>2725</v>
      </c>
      <c r="H301" t="s">
        <v>32</v>
      </c>
      <c r="I301" t="s">
        <v>2941</v>
      </c>
      <c r="J301">
        <v>147</v>
      </c>
      <c r="K301" t="s">
        <v>26</v>
      </c>
      <c r="L301" s="2">
        <v>43525</v>
      </c>
      <c r="M301" t="s">
        <v>115</v>
      </c>
      <c r="N301" t="s">
        <v>701</v>
      </c>
      <c r="O301">
        <v>32225</v>
      </c>
      <c r="P301" t="s">
        <v>21</v>
      </c>
      <c r="Q301" t="str">
        <f>TEXT(Data_Set_3[[#This Row],[date]],"mmmm")</f>
        <v>March</v>
      </c>
      <c r="R301">
        <f>MONTH(Data_Set_3[[#This Row],[date]])</f>
        <v>3</v>
      </c>
      <c r="S301">
        <f>YEAR(Data_Set_3[[#This Row],[date]])</f>
        <v>2019</v>
      </c>
    </row>
    <row r="302" spans="1:19" x14ac:dyDescent="0.3">
      <c r="A302">
        <v>1260</v>
      </c>
      <c r="B302" t="s">
        <v>417</v>
      </c>
      <c r="C302" t="s">
        <v>2904</v>
      </c>
      <c r="D302" t="s">
        <v>2905</v>
      </c>
      <c r="E302" t="s">
        <v>2906</v>
      </c>
      <c r="F302" t="s">
        <v>1777</v>
      </c>
      <c r="G302" t="s">
        <v>2571</v>
      </c>
      <c r="H302" t="s">
        <v>16</v>
      </c>
      <c r="I302" t="s">
        <v>543</v>
      </c>
      <c r="J302">
        <v>459</v>
      </c>
      <c r="K302" t="s">
        <v>26</v>
      </c>
      <c r="L302" s="2">
        <v>43527</v>
      </c>
      <c r="M302" t="s">
        <v>220</v>
      </c>
      <c r="N302" t="s">
        <v>2907</v>
      </c>
      <c r="O302">
        <v>99215</v>
      </c>
      <c r="P302" t="s">
        <v>21</v>
      </c>
      <c r="Q302" t="str">
        <f>TEXT(Data_Set_3[[#This Row],[date]],"mmmm")</f>
        <v>March</v>
      </c>
      <c r="R302">
        <f>MONTH(Data_Set_3[[#This Row],[date]])</f>
        <v>3</v>
      </c>
      <c r="S302">
        <f>YEAR(Data_Set_3[[#This Row],[date]])</f>
        <v>2019</v>
      </c>
    </row>
    <row r="303" spans="1:19" x14ac:dyDescent="0.3">
      <c r="A303">
        <v>1454</v>
      </c>
      <c r="B303" t="s">
        <v>299</v>
      </c>
      <c r="C303" t="s">
        <v>331</v>
      </c>
      <c r="D303" t="s">
        <v>3214</v>
      </c>
      <c r="E303" t="s">
        <v>3215</v>
      </c>
      <c r="F303" t="s">
        <v>1888</v>
      </c>
      <c r="G303" t="s">
        <v>2540</v>
      </c>
      <c r="H303" t="s">
        <v>32</v>
      </c>
      <c r="I303" t="s">
        <v>361</v>
      </c>
      <c r="J303">
        <v>19</v>
      </c>
      <c r="K303" t="s">
        <v>26</v>
      </c>
      <c r="L303" s="2">
        <v>43528</v>
      </c>
      <c r="M303" t="s">
        <v>78</v>
      </c>
      <c r="N303" t="s">
        <v>3216</v>
      </c>
      <c r="O303">
        <v>48335</v>
      </c>
      <c r="P303" t="s">
        <v>21</v>
      </c>
      <c r="Q303" t="str">
        <f>TEXT(Data_Set_3[[#This Row],[date]],"mmmm")</f>
        <v>March</v>
      </c>
      <c r="R303">
        <f>MONTH(Data_Set_3[[#This Row],[date]])</f>
        <v>3</v>
      </c>
      <c r="S303">
        <f>YEAR(Data_Set_3[[#This Row],[date]])</f>
        <v>2019</v>
      </c>
    </row>
    <row r="304" spans="1:19" x14ac:dyDescent="0.3">
      <c r="A304">
        <v>1435</v>
      </c>
      <c r="B304" t="s">
        <v>80</v>
      </c>
      <c r="C304" t="s">
        <v>1045</v>
      </c>
      <c r="D304" t="s">
        <v>2851</v>
      </c>
      <c r="E304" t="s">
        <v>2852</v>
      </c>
      <c r="F304" t="s">
        <v>1853</v>
      </c>
      <c r="G304" t="s">
        <v>2697</v>
      </c>
      <c r="H304" t="s">
        <v>16</v>
      </c>
      <c r="I304" t="s">
        <v>25</v>
      </c>
      <c r="J304">
        <v>674</v>
      </c>
      <c r="K304" t="s">
        <v>83</v>
      </c>
      <c r="L304" s="2">
        <v>43532</v>
      </c>
      <c r="M304" t="s">
        <v>110</v>
      </c>
      <c r="N304" t="s">
        <v>1150</v>
      </c>
      <c r="O304">
        <v>19605</v>
      </c>
      <c r="P304" t="s">
        <v>21</v>
      </c>
      <c r="Q304" t="str">
        <f>TEXT(Data_Set_3[[#This Row],[date]],"mmmm")</f>
        <v>March</v>
      </c>
      <c r="R304">
        <f>MONTH(Data_Set_3[[#This Row],[date]])</f>
        <v>3</v>
      </c>
      <c r="S304">
        <f>YEAR(Data_Set_3[[#This Row],[date]])</f>
        <v>2019</v>
      </c>
    </row>
    <row r="305" spans="1:19" x14ac:dyDescent="0.3">
      <c r="A305">
        <v>1453</v>
      </c>
      <c r="B305" t="s">
        <v>2925</v>
      </c>
      <c r="C305" t="s">
        <v>310</v>
      </c>
      <c r="D305" t="s">
        <v>3217</v>
      </c>
      <c r="E305" t="s">
        <v>3218</v>
      </c>
      <c r="F305" t="s">
        <v>2479</v>
      </c>
      <c r="G305" t="s">
        <v>2370</v>
      </c>
      <c r="H305" t="s">
        <v>32</v>
      </c>
      <c r="I305" t="s">
        <v>2813</v>
      </c>
      <c r="J305">
        <v>294</v>
      </c>
      <c r="K305" t="s">
        <v>26</v>
      </c>
      <c r="L305" s="2">
        <v>43533</v>
      </c>
      <c r="M305" t="s">
        <v>35</v>
      </c>
      <c r="N305" t="s">
        <v>599</v>
      </c>
      <c r="O305">
        <v>94263</v>
      </c>
      <c r="P305" t="s">
        <v>21</v>
      </c>
      <c r="Q305" t="str">
        <f>TEXT(Data_Set_3[[#This Row],[date]],"mmmm")</f>
        <v>March</v>
      </c>
      <c r="R305">
        <f>MONTH(Data_Set_3[[#This Row],[date]])</f>
        <v>3</v>
      </c>
      <c r="S305">
        <f>YEAR(Data_Set_3[[#This Row],[date]])</f>
        <v>2019</v>
      </c>
    </row>
    <row r="306" spans="1:19" x14ac:dyDescent="0.3">
      <c r="A306">
        <v>1783</v>
      </c>
      <c r="B306" t="s">
        <v>721</v>
      </c>
      <c r="C306" t="s">
        <v>2884</v>
      </c>
      <c r="D306" t="s">
        <v>2885</v>
      </c>
      <c r="E306" t="s">
        <v>2886</v>
      </c>
      <c r="F306" t="s">
        <v>1539</v>
      </c>
      <c r="G306" t="s">
        <v>2887</v>
      </c>
      <c r="H306" t="s">
        <v>16</v>
      </c>
      <c r="I306" t="s">
        <v>25</v>
      </c>
      <c r="J306">
        <v>439</v>
      </c>
      <c r="K306" t="s">
        <v>57</v>
      </c>
      <c r="L306" s="2">
        <v>43539</v>
      </c>
      <c r="M306" t="s">
        <v>287</v>
      </c>
      <c r="N306" t="s">
        <v>288</v>
      </c>
      <c r="O306">
        <v>85715</v>
      </c>
      <c r="P306" t="s">
        <v>21</v>
      </c>
      <c r="Q306" t="str">
        <f>TEXT(Data_Set_3[[#This Row],[date]],"mmmm")</f>
        <v>March</v>
      </c>
      <c r="R306">
        <f>MONTH(Data_Set_3[[#This Row],[date]])</f>
        <v>3</v>
      </c>
      <c r="S306">
        <f>YEAR(Data_Set_3[[#This Row],[date]])</f>
        <v>2019</v>
      </c>
    </row>
    <row r="307" spans="1:19" x14ac:dyDescent="0.3">
      <c r="A307">
        <v>1017</v>
      </c>
      <c r="B307" t="s">
        <v>803</v>
      </c>
      <c r="C307" t="s">
        <v>3048</v>
      </c>
      <c r="D307" t="s">
        <v>3049</v>
      </c>
      <c r="E307" t="s">
        <v>3050</v>
      </c>
      <c r="F307" t="s">
        <v>1306</v>
      </c>
      <c r="G307" t="s">
        <v>1845</v>
      </c>
      <c r="H307" t="s">
        <v>32</v>
      </c>
      <c r="I307" t="s">
        <v>17</v>
      </c>
      <c r="J307">
        <v>311</v>
      </c>
      <c r="K307" t="s">
        <v>26</v>
      </c>
      <c r="L307" s="2">
        <v>43540</v>
      </c>
      <c r="M307" t="s">
        <v>246</v>
      </c>
      <c r="N307" t="s">
        <v>339</v>
      </c>
      <c r="O307">
        <v>60663</v>
      </c>
      <c r="P307" t="s">
        <v>21</v>
      </c>
      <c r="Q307" t="str">
        <f>TEXT(Data_Set_3[[#This Row],[date]],"mmmm")</f>
        <v>March</v>
      </c>
      <c r="R307">
        <f>MONTH(Data_Set_3[[#This Row],[date]])</f>
        <v>3</v>
      </c>
      <c r="S307">
        <f>YEAR(Data_Set_3[[#This Row],[date]])</f>
        <v>2019</v>
      </c>
    </row>
    <row r="308" spans="1:19" x14ac:dyDescent="0.3">
      <c r="A308">
        <v>1017</v>
      </c>
      <c r="B308" t="s">
        <v>803</v>
      </c>
      <c r="C308" t="s">
        <v>3048</v>
      </c>
      <c r="D308" t="s">
        <v>3049</v>
      </c>
      <c r="E308" t="s">
        <v>3050</v>
      </c>
      <c r="F308" t="s">
        <v>1306</v>
      </c>
      <c r="G308" t="s">
        <v>1845</v>
      </c>
      <c r="H308" t="s">
        <v>32</v>
      </c>
      <c r="I308" t="s">
        <v>17</v>
      </c>
      <c r="J308">
        <v>364</v>
      </c>
      <c r="K308" t="s">
        <v>26</v>
      </c>
      <c r="L308" s="2">
        <v>43541</v>
      </c>
      <c r="M308" t="s">
        <v>246</v>
      </c>
      <c r="N308" t="s">
        <v>339</v>
      </c>
      <c r="O308">
        <v>60663</v>
      </c>
      <c r="P308" t="s">
        <v>21</v>
      </c>
      <c r="Q308" t="str">
        <f>TEXT(Data_Set_3[[#This Row],[date]],"mmmm")</f>
        <v>March</v>
      </c>
      <c r="R308">
        <f>MONTH(Data_Set_3[[#This Row],[date]])</f>
        <v>3</v>
      </c>
      <c r="S308">
        <f>YEAR(Data_Set_3[[#This Row],[date]])</f>
        <v>2019</v>
      </c>
    </row>
    <row r="309" spans="1:19" x14ac:dyDescent="0.3">
      <c r="A309">
        <v>1298</v>
      </c>
      <c r="B309" t="s">
        <v>595</v>
      </c>
      <c r="C309" t="s">
        <v>293</v>
      </c>
      <c r="D309" t="s">
        <v>2900</v>
      </c>
      <c r="E309" t="s">
        <v>2901</v>
      </c>
      <c r="F309" t="s">
        <v>1539</v>
      </c>
      <c r="G309" t="s">
        <v>1952</v>
      </c>
      <c r="H309" t="s">
        <v>32</v>
      </c>
      <c r="I309" t="s">
        <v>543</v>
      </c>
      <c r="J309">
        <v>459</v>
      </c>
      <c r="K309" t="s">
        <v>73</v>
      </c>
      <c r="L309" s="2">
        <v>43541</v>
      </c>
      <c r="M309" t="s">
        <v>115</v>
      </c>
      <c r="N309" t="s">
        <v>351</v>
      </c>
      <c r="O309">
        <v>32891</v>
      </c>
      <c r="P309" t="s">
        <v>21</v>
      </c>
      <c r="Q309" t="str">
        <f>TEXT(Data_Set_3[[#This Row],[date]],"mmmm")</f>
        <v>March</v>
      </c>
      <c r="R309">
        <f>MONTH(Data_Set_3[[#This Row],[date]])</f>
        <v>3</v>
      </c>
      <c r="S309">
        <f>YEAR(Data_Set_3[[#This Row],[date]])</f>
        <v>2019</v>
      </c>
    </row>
    <row r="310" spans="1:19" x14ac:dyDescent="0.3">
      <c r="A310">
        <v>1017</v>
      </c>
      <c r="B310" t="s">
        <v>803</v>
      </c>
      <c r="C310" t="s">
        <v>3048</v>
      </c>
      <c r="D310" t="s">
        <v>3049</v>
      </c>
      <c r="E310" t="s">
        <v>3050</v>
      </c>
      <c r="F310" t="s">
        <v>1306</v>
      </c>
      <c r="G310" t="s">
        <v>1845</v>
      </c>
      <c r="H310" t="s">
        <v>32</v>
      </c>
      <c r="I310" t="s">
        <v>17</v>
      </c>
      <c r="J310">
        <v>291</v>
      </c>
      <c r="K310" t="s">
        <v>26</v>
      </c>
      <c r="L310" s="2">
        <v>43543</v>
      </c>
      <c r="M310" t="s">
        <v>246</v>
      </c>
      <c r="N310" t="s">
        <v>339</v>
      </c>
      <c r="O310">
        <v>60663</v>
      </c>
      <c r="P310" t="s">
        <v>21</v>
      </c>
      <c r="Q310" t="str">
        <f>TEXT(Data_Set_3[[#This Row],[date]],"mmmm")</f>
        <v>March</v>
      </c>
      <c r="R310">
        <f>MONTH(Data_Set_3[[#This Row],[date]])</f>
        <v>3</v>
      </c>
      <c r="S310">
        <f>YEAR(Data_Set_3[[#This Row],[date]])</f>
        <v>2019</v>
      </c>
    </row>
    <row r="311" spans="1:19" x14ac:dyDescent="0.3">
      <c r="A311">
        <v>1737</v>
      </c>
      <c r="B311" t="s">
        <v>3012</v>
      </c>
      <c r="C311" t="s">
        <v>264</v>
      </c>
      <c r="D311" t="s">
        <v>3219</v>
      </c>
      <c r="E311" t="s">
        <v>3220</v>
      </c>
      <c r="F311" t="s">
        <v>2612</v>
      </c>
      <c r="G311" t="s">
        <v>2674</v>
      </c>
      <c r="H311" t="s">
        <v>16</v>
      </c>
      <c r="I311" t="s">
        <v>274</v>
      </c>
      <c r="J311">
        <v>17</v>
      </c>
      <c r="K311" t="s">
        <v>416</v>
      </c>
      <c r="L311" s="2">
        <v>43543</v>
      </c>
      <c r="M311" t="s">
        <v>35</v>
      </c>
      <c r="N311" t="s">
        <v>634</v>
      </c>
      <c r="O311">
        <v>93291</v>
      </c>
      <c r="P311" t="s">
        <v>21</v>
      </c>
      <c r="Q311" t="str">
        <f>TEXT(Data_Set_3[[#This Row],[date]],"mmmm")</f>
        <v>March</v>
      </c>
      <c r="R311">
        <f>MONTH(Data_Set_3[[#This Row],[date]])</f>
        <v>3</v>
      </c>
      <c r="S311">
        <f>YEAR(Data_Set_3[[#This Row],[date]])</f>
        <v>2019</v>
      </c>
    </row>
    <row r="312" spans="1:19" x14ac:dyDescent="0.3">
      <c r="A312">
        <v>1084</v>
      </c>
      <c r="B312" t="s">
        <v>809</v>
      </c>
      <c r="C312" t="s">
        <v>1006</v>
      </c>
      <c r="D312" t="s">
        <v>2844</v>
      </c>
      <c r="E312" t="s">
        <v>2845</v>
      </c>
      <c r="F312" t="s">
        <v>2124</v>
      </c>
      <c r="G312" t="s">
        <v>1952</v>
      </c>
      <c r="H312" t="s">
        <v>16</v>
      </c>
      <c r="I312" t="s">
        <v>51</v>
      </c>
      <c r="J312">
        <v>145</v>
      </c>
      <c r="K312" t="s">
        <v>26</v>
      </c>
      <c r="L312" s="2">
        <v>43547</v>
      </c>
      <c r="M312" t="s">
        <v>19</v>
      </c>
      <c r="N312" t="s">
        <v>2846</v>
      </c>
      <c r="O312">
        <v>2453</v>
      </c>
      <c r="P312" t="s">
        <v>21</v>
      </c>
      <c r="Q312" t="str">
        <f>TEXT(Data_Set_3[[#This Row],[date]],"mmmm")</f>
        <v>March</v>
      </c>
      <c r="R312">
        <f>MONTH(Data_Set_3[[#This Row],[date]])</f>
        <v>3</v>
      </c>
      <c r="S312">
        <f>YEAR(Data_Set_3[[#This Row],[date]])</f>
        <v>2019</v>
      </c>
    </row>
    <row r="313" spans="1:19" x14ac:dyDescent="0.3">
      <c r="A313">
        <v>1698</v>
      </c>
      <c r="B313" t="s">
        <v>166</v>
      </c>
      <c r="C313" t="s">
        <v>645</v>
      </c>
      <c r="D313" t="s">
        <v>3221</v>
      </c>
      <c r="E313" t="s">
        <v>3222</v>
      </c>
      <c r="F313" t="s">
        <v>1504</v>
      </c>
      <c r="G313" t="s">
        <v>2515</v>
      </c>
      <c r="H313" t="s">
        <v>32</v>
      </c>
      <c r="I313" t="s">
        <v>17</v>
      </c>
      <c r="J313">
        <v>55</v>
      </c>
      <c r="K313" t="s">
        <v>62</v>
      </c>
      <c r="L313" s="2">
        <v>43551</v>
      </c>
      <c r="M313" t="s">
        <v>19</v>
      </c>
      <c r="N313" t="s">
        <v>20</v>
      </c>
      <c r="O313">
        <v>1605</v>
      </c>
      <c r="P313" t="s">
        <v>21</v>
      </c>
      <c r="Q313" t="str">
        <f>TEXT(Data_Set_3[[#This Row],[date]],"mmmm")</f>
        <v>March</v>
      </c>
      <c r="R313">
        <f>MONTH(Data_Set_3[[#This Row],[date]])</f>
        <v>3</v>
      </c>
      <c r="S313">
        <f>YEAR(Data_Set_3[[#This Row],[date]])</f>
        <v>2019</v>
      </c>
    </row>
    <row r="314" spans="1:19" x14ac:dyDescent="0.3">
      <c r="A314">
        <v>1721</v>
      </c>
      <c r="B314" t="s">
        <v>313</v>
      </c>
      <c r="C314" t="s">
        <v>825</v>
      </c>
      <c r="D314" t="s">
        <v>3223</v>
      </c>
      <c r="E314" t="s">
        <v>3224</v>
      </c>
      <c r="F314" t="s">
        <v>3225</v>
      </c>
      <c r="G314" t="s">
        <v>2219</v>
      </c>
      <c r="H314" t="s">
        <v>16</v>
      </c>
      <c r="I314" t="s">
        <v>17</v>
      </c>
      <c r="J314">
        <v>962</v>
      </c>
      <c r="K314" t="s">
        <v>62</v>
      </c>
      <c r="L314" s="2">
        <v>43553</v>
      </c>
      <c r="M314" t="s">
        <v>345</v>
      </c>
      <c r="N314" t="s">
        <v>220</v>
      </c>
      <c r="O314">
        <v>20520</v>
      </c>
      <c r="P314" t="s">
        <v>21</v>
      </c>
      <c r="Q314" t="str">
        <f>TEXT(Data_Set_3[[#This Row],[date]],"mmmm")</f>
        <v>March</v>
      </c>
      <c r="R314">
        <f>MONTH(Data_Set_3[[#This Row],[date]])</f>
        <v>3</v>
      </c>
      <c r="S314">
        <f>YEAR(Data_Set_3[[#This Row],[date]])</f>
        <v>2019</v>
      </c>
    </row>
    <row r="315" spans="1:19" x14ac:dyDescent="0.3">
      <c r="A315">
        <v>1880</v>
      </c>
      <c r="B315" t="s">
        <v>304</v>
      </c>
      <c r="C315" t="s">
        <v>526</v>
      </c>
      <c r="D315" t="s">
        <v>2831</v>
      </c>
      <c r="E315" t="s">
        <v>2832</v>
      </c>
      <c r="F315" t="s">
        <v>1376</v>
      </c>
      <c r="G315" t="s">
        <v>2577</v>
      </c>
      <c r="H315" t="s">
        <v>32</v>
      </c>
      <c r="I315" t="s">
        <v>274</v>
      </c>
      <c r="J315">
        <v>441</v>
      </c>
      <c r="K315" t="s">
        <v>26</v>
      </c>
      <c r="L315" s="2">
        <v>43555</v>
      </c>
      <c r="M315" t="s">
        <v>246</v>
      </c>
      <c r="N315" t="s">
        <v>339</v>
      </c>
      <c r="O315">
        <v>60614</v>
      </c>
      <c r="P315" t="s">
        <v>21</v>
      </c>
      <c r="Q315" t="str">
        <f>TEXT(Data_Set_3[[#This Row],[date]],"mmmm")</f>
        <v>March</v>
      </c>
      <c r="R315">
        <f>MONTH(Data_Set_3[[#This Row],[date]])</f>
        <v>3</v>
      </c>
      <c r="S315">
        <f>YEAR(Data_Set_3[[#This Row],[date]])</f>
        <v>2019</v>
      </c>
    </row>
    <row r="316" spans="1:19" x14ac:dyDescent="0.3">
      <c r="A316">
        <v>1436</v>
      </c>
      <c r="B316" t="s">
        <v>356</v>
      </c>
      <c r="C316" t="s">
        <v>737</v>
      </c>
      <c r="D316" t="s">
        <v>2882</v>
      </c>
      <c r="E316" t="s">
        <v>2883</v>
      </c>
      <c r="F316" t="s">
        <v>1359</v>
      </c>
      <c r="G316" t="s">
        <v>2495</v>
      </c>
      <c r="H316" t="s">
        <v>32</v>
      </c>
      <c r="I316" t="s">
        <v>151</v>
      </c>
      <c r="J316">
        <v>601</v>
      </c>
      <c r="K316" t="s">
        <v>26</v>
      </c>
      <c r="L316" s="2">
        <v>43556</v>
      </c>
      <c r="M316" t="s">
        <v>489</v>
      </c>
      <c r="N316" t="s">
        <v>490</v>
      </c>
      <c r="O316">
        <v>89145</v>
      </c>
      <c r="P316" t="s">
        <v>21</v>
      </c>
      <c r="Q316" t="str">
        <f>TEXT(Data_Set_3[[#This Row],[date]],"mmmm")</f>
        <v>April</v>
      </c>
      <c r="R316">
        <f>MONTH(Data_Set_3[[#This Row],[date]])</f>
        <v>4</v>
      </c>
      <c r="S316">
        <f>YEAR(Data_Set_3[[#This Row],[date]])</f>
        <v>2019</v>
      </c>
    </row>
    <row r="317" spans="1:19" x14ac:dyDescent="0.3">
      <c r="A317">
        <v>1603</v>
      </c>
      <c r="B317" t="s">
        <v>1183</v>
      </c>
      <c r="C317" t="s">
        <v>671</v>
      </c>
      <c r="D317" t="s">
        <v>3226</v>
      </c>
      <c r="E317" t="s">
        <v>3227</v>
      </c>
      <c r="F317" t="s">
        <v>1306</v>
      </c>
      <c r="G317" t="s">
        <v>2061</v>
      </c>
      <c r="H317" t="s">
        <v>16</v>
      </c>
      <c r="I317" t="s">
        <v>2941</v>
      </c>
      <c r="J317">
        <v>987</v>
      </c>
      <c r="K317" t="s">
        <v>57</v>
      </c>
      <c r="L317" s="2">
        <v>43556</v>
      </c>
      <c r="M317" t="s">
        <v>125</v>
      </c>
      <c r="N317" t="s">
        <v>419</v>
      </c>
      <c r="O317">
        <v>64187</v>
      </c>
      <c r="P317" t="s">
        <v>21</v>
      </c>
      <c r="Q317" t="str">
        <f>TEXT(Data_Set_3[[#This Row],[date]],"mmmm")</f>
        <v>April</v>
      </c>
      <c r="R317">
        <f>MONTH(Data_Set_3[[#This Row],[date]])</f>
        <v>4</v>
      </c>
      <c r="S317">
        <f>YEAR(Data_Set_3[[#This Row],[date]])</f>
        <v>2019</v>
      </c>
    </row>
    <row r="318" spans="1:19" x14ac:dyDescent="0.3">
      <c r="A318">
        <v>1699</v>
      </c>
      <c r="B318" t="s">
        <v>263</v>
      </c>
      <c r="C318" t="s">
        <v>118</v>
      </c>
      <c r="D318" t="s">
        <v>3228</v>
      </c>
      <c r="E318" t="s">
        <v>3229</v>
      </c>
      <c r="F318" t="s">
        <v>1369</v>
      </c>
      <c r="G318" t="s">
        <v>2627</v>
      </c>
      <c r="H318" t="s">
        <v>16</v>
      </c>
      <c r="I318" t="s">
        <v>17</v>
      </c>
      <c r="J318">
        <v>361</v>
      </c>
      <c r="K318" t="s">
        <v>26</v>
      </c>
      <c r="L318" s="2">
        <v>43556</v>
      </c>
      <c r="M318" t="s">
        <v>52</v>
      </c>
      <c r="N318" t="s">
        <v>53</v>
      </c>
      <c r="O318">
        <v>25716</v>
      </c>
      <c r="P318" t="s">
        <v>21</v>
      </c>
      <c r="Q318" t="str">
        <f>TEXT(Data_Set_3[[#This Row],[date]],"mmmm")</f>
        <v>April</v>
      </c>
      <c r="R318">
        <f>MONTH(Data_Set_3[[#This Row],[date]])</f>
        <v>4</v>
      </c>
      <c r="S318">
        <f>YEAR(Data_Set_3[[#This Row],[date]])</f>
        <v>2019</v>
      </c>
    </row>
    <row r="319" spans="1:19" x14ac:dyDescent="0.3">
      <c r="A319">
        <v>1812</v>
      </c>
      <c r="B319" t="s">
        <v>1130</v>
      </c>
      <c r="C319" t="s">
        <v>639</v>
      </c>
      <c r="D319" t="s">
        <v>2863</v>
      </c>
      <c r="E319" t="s">
        <v>2864</v>
      </c>
      <c r="F319" t="s">
        <v>2641</v>
      </c>
      <c r="G319" t="s">
        <v>1653</v>
      </c>
      <c r="H319" t="s">
        <v>16</v>
      </c>
      <c r="I319" t="s">
        <v>543</v>
      </c>
      <c r="J319">
        <v>314</v>
      </c>
      <c r="K319" t="s">
        <v>34</v>
      </c>
      <c r="L319" s="2">
        <v>43558</v>
      </c>
      <c r="M319" t="s">
        <v>524</v>
      </c>
      <c r="N319" t="s">
        <v>815</v>
      </c>
      <c r="O319">
        <v>35220</v>
      </c>
      <c r="P319" t="s">
        <v>21</v>
      </c>
      <c r="Q319" t="str">
        <f>TEXT(Data_Set_3[[#This Row],[date]],"mmmm")</f>
        <v>April</v>
      </c>
      <c r="R319">
        <f>MONTH(Data_Set_3[[#This Row],[date]])</f>
        <v>4</v>
      </c>
      <c r="S319">
        <f>YEAR(Data_Set_3[[#This Row],[date]])</f>
        <v>2019</v>
      </c>
    </row>
    <row r="320" spans="1:19" x14ac:dyDescent="0.3">
      <c r="A320">
        <v>1757</v>
      </c>
      <c r="B320" t="s">
        <v>206</v>
      </c>
      <c r="C320" t="s">
        <v>805</v>
      </c>
      <c r="D320" t="s">
        <v>3230</v>
      </c>
      <c r="E320" t="s">
        <v>3231</v>
      </c>
      <c r="F320" t="s">
        <v>2060</v>
      </c>
      <c r="G320" t="s">
        <v>2749</v>
      </c>
      <c r="H320" t="s">
        <v>32</v>
      </c>
      <c r="I320" t="s">
        <v>361</v>
      </c>
      <c r="J320">
        <v>875</v>
      </c>
      <c r="K320" t="s">
        <v>26</v>
      </c>
      <c r="L320" s="2">
        <v>43562</v>
      </c>
      <c r="M320" t="s">
        <v>125</v>
      </c>
      <c r="N320" t="s">
        <v>419</v>
      </c>
      <c r="O320">
        <v>64193</v>
      </c>
      <c r="P320" t="s">
        <v>21</v>
      </c>
      <c r="Q320" t="str">
        <f>TEXT(Data_Set_3[[#This Row],[date]],"mmmm")</f>
        <v>April</v>
      </c>
      <c r="R320">
        <f>MONTH(Data_Set_3[[#This Row],[date]])</f>
        <v>4</v>
      </c>
      <c r="S320">
        <f>YEAR(Data_Set_3[[#This Row],[date]])</f>
        <v>2019</v>
      </c>
    </row>
    <row r="321" spans="1:19" x14ac:dyDescent="0.3">
      <c r="A321">
        <v>1015</v>
      </c>
      <c r="B321" t="s">
        <v>799</v>
      </c>
      <c r="C321" t="s">
        <v>382</v>
      </c>
      <c r="D321" t="s">
        <v>3232</v>
      </c>
      <c r="E321" t="s">
        <v>3233</v>
      </c>
      <c r="F321" t="s">
        <v>1291</v>
      </c>
      <c r="G321" t="s">
        <v>1926</v>
      </c>
      <c r="H321" t="s">
        <v>16</v>
      </c>
      <c r="I321" t="s">
        <v>17</v>
      </c>
      <c r="J321">
        <v>552</v>
      </c>
      <c r="K321" t="s">
        <v>26</v>
      </c>
      <c r="L321" s="2">
        <v>43563</v>
      </c>
      <c r="M321" t="s">
        <v>19</v>
      </c>
      <c r="N321" t="s">
        <v>84</v>
      </c>
      <c r="O321">
        <v>1905</v>
      </c>
      <c r="P321" t="s">
        <v>21</v>
      </c>
      <c r="Q321" t="str">
        <f>TEXT(Data_Set_3[[#This Row],[date]],"mmmm")</f>
        <v>April</v>
      </c>
      <c r="R321">
        <f>MONTH(Data_Set_3[[#This Row],[date]])</f>
        <v>4</v>
      </c>
      <c r="S321">
        <f>YEAR(Data_Set_3[[#This Row],[date]])</f>
        <v>2019</v>
      </c>
    </row>
    <row r="322" spans="1:19" x14ac:dyDescent="0.3">
      <c r="A322">
        <v>1084</v>
      </c>
      <c r="B322" t="s">
        <v>809</v>
      </c>
      <c r="C322" t="s">
        <v>1006</v>
      </c>
      <c r="D322" t="s">
        <v>2844</v>
      </c>
      <c r="E322" t="s">
        <v>2845</v>
      </c>
      <c r="F322" t="s">
        <v>2124</v>
      </c>
      <c r="G322" t="s">
        <v>1952</v>
      </c>
      <c r="H322" t="s">
        <v>16</v>
      </c>
      <c r="I322" t="s">
        <v>51</v>
      </c>
      <c r="J322">
        <v>164</v>
      </c>
      <c r="K322" t="s">
        <v>26</v>
      </c>
      <c r="L322" s="2">
        <v>43564</v>
      </c>
      <c r="M322" t="s">
        <v>19</v>
      </c>
      <c r="N322" t="s">
        <v>2846</v>
      </c>
      <c r="O322">
        <v>2453</v>
      </c>
      <c r="P322" t="s">
        <v>21</v>
      </c>
      <c r="Q322" t="str">
        <f>TEXT(Data_Set_3[[#This Row],[date]],"mmmm")</f>
        <v>April</v>
      </c>
      <c r="R322">
        <f>MONTH(Data_Set_3[[#This Row],[date]])</f>
        <v>4</v>
      </c>
      <c r="S322">
        <f>YEAR(Data_Set_3[[#This Row],[date]])</f>
        <v>2019</v>
      </c>
    </row>
    <row r="323" spans="1:19" x14ac:dyDescent="0.3">
      <c r="A323">
        <v>1436</v>
      </c>
      <c r="B323" t="s">
        <v>356</v>
      </c>
      <c r="C323" t="s">
        <v>737</v>
      </c>
      <c r="D323" t="s">
        <v>2882</v>
      </c>
      <c r="E323" t="s">
        <v>2883</v>
      </c>
      <c r="F323" t="s">
        <v>1359</v>
      </c>
      <c r="G323" t="s">
        <v>2495</v>
      </c>
      <c r="H323" t="s">
        <v>32</v>
      </c>
      <c r="I323" t="s">
        <v>151</v>
      </c>
      <c r="J323">
        <v>959</v>
      </c>
      <c r="K323" t="s">
        <v>26</v>
      </c>
      <c r="L323" s="2">
        <v>43565</v>
      </c>
      <c r="M323" t="s">
        <v>489</v>
      </c>
      <c r="N323" t="s">
        <v>490</v>
      </c>
      <c r="O323">
        <v>89145</v>
      </c>
      <c r="P323" t="s">
        <v>21</v>
      </c>
      <c r="Q323" t="str">
        <f>TEXT(Data_Set_3[[#This Row],[date]],"mmmm")</f>
        <v>April</v>
      </c>
      <c r="R323">
        <f>MONTH(Data_Set_3[[#This Row],[date]])</f>
        <v>4</v>
      </c>
      <c r="S323">
        <f>YEAR(Data_Set_3[[#This Row],[date]])</f>
        <v>2019</v>
      </c>
    </row>
    <row r="324" spans="1:19" x14ac:dyDescent="0.3">
      <c r="A324">
        <v>1436</v>
      </c>
      <c r="B324" t="s">
        <v>356</v>
      </c>
      <c r="C324" t="s">
        <v>737</v>
      </c>
      <c r="D324" t="s">
        <v>2882</v>
      </c>
      <c r="E324" t="s">
        <v>2883</v>
      </c>
      <c r="F324" t="s">
        <v>1359</v>
      </c>
      <c r="G324" t="s">
        <v>2495</v>
      </c>
      <c r="H324" t="s">
        <v>32</v>
      </c>
      <c r="I324" t="s">
        <v>151</v>
      </c>
      <c r="J324">
        <v>662</v>
      </c>
      <c r="K324" t="s">
        <v>26</v>
      </c>
      <c r="L324" s="2">
        <v>43567</v>
      </c>
      <c r="M324" t="s">
        <v>489</v>
      </c>
      <c r="N324" t="s">
        <v>490</v>
      </c>
      <c r="O324">
        <v>89145</v>
      </c>
      <c r="P324" t="s">
        <v>21</v>
      </c>
      <c r="Q324" t="str">
        <f>TEXT(Data_Set_3[[#This Row],[date]],"mmmm")</f>
        <v>April</v>
      </c>
      <c r="R324">
        <f>MONTH(Data_Set_3[[#This Row],[date]])</f>
        <v>4</v>
      </c>
      <c r="S324">
        <f>YEAR(Data_Set_3[[#This Row],[date]])</f>
        <v>2019</v>
      </c>
    </row>
    <row r="325" spans="1:19" x14ac:dyDescent="0.3">
      <c r="A325">
        <v>1996</v>
      </c>
      <c r="B325" t="s">
        <v>359</v>
      </c>
      <c r="C325" t="s">
        <v>2841</v>
      </c>
      <c r="D325" t="s">
        <v>2842</v>
      </c>
      <c r="E325" t="s">
        <v>2843</v>
      </c>
      <c r="F325" t="s">
        <v>1696</v>
      </c>
      <c r="G325" t="s">
        <v>2606</v>
      </c>
      <c r="H325" t="s">
        <v>32</v>
      </c>
      <c r="I325" t="s">
        <v>33</v>
      </c>
      <c r="J325">
        <v>366</v>
      </c>
      <c r="K325" t="s">
        <v>164</v>
      </c>
      <c r="L325" s="2">
        <v>43569</v>
      </c>
      <c r="M325" t="s">
        <v>125</v>
      </c>
      <c r="N325" t="s">
        <v>419</v>
      </c>
      <c r="O325">
        <v>64160</v>
      </c>
      <c r="P325" t="s">
        <v>21</v>
      </c>
      <c r="Q325" t="str">
        <f>TEXT(Data_Set_3[[#This Row],[date]],"mmmm")</f>
        <v>April</v>
      </c>
      <c r="R325">
        <f>MONTH(Data_Set_3[[#This Row],[date]])</f>
        <v>4</v>
      </c>
      <c r="S325">
        <f>YEAR(Data_Set_3[[#This Row],[date]])</f>
        <v>2019</v>
      </c>
    </row>
    <row r="326" spans="1:19" x14ac:dyDescent="0.3">
      <c r="A326">
        <v>1997</v>
      </c>
      <c r="B326" t="s">
        <v>899</v>
      </c>
      <c r="C326" t="s">
        <v>1069</v>
      </c>
      <c r="D326" t="s">
        <v>3234</v>
      </c>
      <c r="E326" t="s">
        <v>3235</v>
      </c>
      <c r="F326" t="s">
        <v>3236</v>
      </c>
      <c r="G326" t="s">
        <v>2326</v>
      </c>
      <c r="H326" t="s">
        <v>32</v>
      </c>
      <c r="I326" t="s">
        <v>543</v>
      </c>
      <c r="J326">
        <v>836</v>
      </c>
      <c r="K326" t="s">
        <v>26</v>
      </c>
      <c r="L326" s="2">
        <v>43570</v>
      </c>
      <c r="M326" t="s">
        <v>184</v>
      </c>
      <c r="N326" t="s">
        <v>197</v>
      </c>
      <c r="O326">
        <v>10155</v>
      </c>
      <c r="P326" t="s">
        <v>21</v>
      </c>
      <c r="Q326" t="str">
        <f>TEXT(Data_Set_3[[#This Row],[date]],"mmmm")</f>
        <v>April</v>
      </c>
      <c r="R326">
        <f>MONTH(Data_Set_3[[#This Row],[date]])</f>
        <v>4</v>
      </c>
      <c r="S326">
        <f>YEAR(Data_Set_3[[#This Row],[date]])</f>
        <v>2019</v>
      </c>
    </row>
    <row r="327" spans="1:19" x14ac:dyDescent="0.3">
      <c r="A327">
        <v>1298</v>
      </c>
      <c r="B327" t="s">
        <v>595</v>
      </c>
      <c r="C327" t="s">
        <v>293</v>
      </c>
      <c r="D327" t="s">
        <v>2900</v>
      </c>
      <c r="E327" t="s">
        <v>2901</v>
      </c>
      <c r="F327" t="s">
        <v>1539</v>
      </c>
      <c r="G327" t="s">
        <v>1952</v>
      </c>
      <c r="H327" t="s">
        <v>32</v>
      </c>
      <c r="I327" t="s">
        <v>543</v>
      </c>
      <c r="J327">
        <v>689</v>
      </c>
      <c r="K327" t="s">
        <v>73</v>
      </c>
      <c r="L327" s="2">
        <v>43571</v>
      </c>
      <c r="M327" t="s">
        <v>115</v>
      </c>
      <c r="N327" t="s">
        <v>351</v>
      </c>
      <c r="O327">
        <v>32891</v>
      </c>
      <c r="P327" t="s">
        <v>21</v>
      </c>
      <c r="Q327" t="str">
        <f>TEXT(Data_Set_3[[#This Row],[date]],"mmmm")</f>
        <v>April</v>
      </c>
      <c r="R327">
        <f>MONTH(Data_Set_3[[#This Row],[date]])</f>
        <v>4</v>
      </c>
      <c r="S327">
        <f>YEAR(Data_Set_3[[#This Row],[date]])</f>
        <v>2019</v>
      </c>
    </row>
    <row r="328" spans="1:19" x14ac:dyDescent="0.3">
      <c r="A328">
        <v>1298</v>
      </c>
      <c r="B328" t="s">
        <v>595</v>
      </c>
      <c r="C328" t="s">
        <v>293</v>
      </c>
      <c r="D328" t="s">
        <v>2900</v>
      </c>
      <c r="E328" t="s">
        <v>2901</v>
      </c>
      <c r="F328" t="s">
        <v>1539</v>
      </c>
      <c r="G328" t="s">
        <v>1952</v>
      </c>
      <c r="H328" t="s">
        <v>32</v>
      </c>
      <c r="I328" t="s">
        <v>543</v>
      </c>
      <c r="J328">
        <v>413</v>
      </c>
      <c r="K328" t="s">
        <v>73</v>
      </c>
      <c r="L328" s="2">
        <v>43573</v>
      </c>
      <c r="M328" t="s">
        <v>115</v>
      </c>
      <c r="N328" t="s">
        <v>351</v>
      </c>
      <c r="O328">
        <v>32891</v>
      </c>
      <c r="P328" t="s">
        <v>21</v>
      </c>
      <c r="Q328" t="str">
        <f>TEXT(Data_Set_3[[#This Row],[date]],"mmmm")</f>
        <v>April</v>
      </c>
      <c r="R328">
        <f>MONTH(Data_Set_3[[#This Row],[date]])</f>
        <v>4</v>
      </c>
      <c r="S328">
        <f>YEAR(Data_Set_3[[#This Row],[date]])</f>
        <v>2019</v>
      </c>
    </row>
    <row r="329" spans="1:19" x14ac:dyDescent="0.3">
      <c r="A329">
        <v>1298</v>
      </c>
      <c r="B329" t="s">
        <v>595</v>
      </c>
      <c r="C329" t="s">
        <v>293</v>
      </c>
      <c r="D329" t="s">
        <v>2900</v>
      </c>
      <c r="E329" t="s">
        <v>2901</v>
      </c>
      <c r="F329" t="s">
        <v>1539</v>
      </c>
      <c r="G329" t="s">
        <v>1952</v>
      </c>
      <c r="H329" t="s">
        <v>32</v>
      </c>
      <c r="I329" t="s">
        <v>543</v>
      </c>
      <c r="J329">
        <v>649</v>
      </c>
      <c r="K329" t="s">
        <v>73</v>
      </c>
      <c r="L329" s="2">
        <v>43573</v>
      </c>
      <c r="M329" t="s">
        <v>115</v>
      </c>
      <c r="N329" t="s">
        <v>351</v>
      </c>
      <c r="O329">
        <v>32891</v>
      </c>
      <c r="P329" t="s">
        <v>21</v>
      </c>
      <c r="Q329" t="str">
        <f>TEXT(Data_Set_3[[#This Row],[date]],"mmmm")</f>
        <v>April</v>
      </c>
      <c r="R329">
        <f>MONTH(Data_Set_3[[#This Row],[date]])</f>
        <v>4</v>
      </c>
      <c r="S329">
        <f>YEAR(Data_Set_3[[#This Row],[date]])</f>
        <v>2019</v>
      </c>
    </row>
    <row r="330" spans="1:19" x14ac:dyDescent="0.3">
      <c r="A330">
        <v>1409</v>
      </c>
      <c r="B330" t="s">
        <v>513</v>
      </c>
      <c r="C330" t="s">
        <v>3065</v>
      </c>
      <c r="D330" t="s">
        <v>3237</v>
      </c>
      <c r="E330" t="s">
        <v>3238</v>
      </c>
      <c r="F330" t="s">
        <v>1515</v>
      </c>
      <c r="G330" t="s">
        <v>1886</v>
      </c>
      <c r="H330" t="s">
        <v>16</v>
      </c>
      <c r="I330" t="s">
        <v>361</v>
      </c>
      <c r="J330">
        <v>835</v>
      </c>
      <c r="K330" t="s">
        <v>73</v>
      </c>
      <c r="L330" s="2">
        <v>43574</v>
      </c>
      <c r="M330" t="s">
        <v>480</v>
      </c>
      <c r="N330" t="s">
        <v>899</v>
      </c>
      <c r="O330">
        <v>7208</v>
      </c>
      <c r="P330" t="s">
        <v>21</v>
      </c>
      <c r="Q330" t="str">
        <f>TEXT(Data_Set_3[[#This Row],[date]],"mmmm")</f>
        <v>April</v>
      </c>
      <c r="R330">
        <f>MONTH(Data_Set_3[[#This Row],[date]])</f>
        <v>4</v>
      </c>
      <c r="S330">
        <f>YEAR(Data_Set_3[[#This Row],[date]])</f>
        <v>2019</v>
      </c>
    </row>
    <row r="331" spans="1:19" x14ac:dyDescent="0.3">
      <c r="A331">
        <v>1783</v>
      </c>
      <c r="B331" t="s">
        <v>721</v>
      </c>
      <c r="C331" t="s">
        <v>2884</v>
      </c>
      <c r="D331" t="s">
        <v>2885</v>
      </c>
      <c r="E331" t="s">
        <v>2886</v>
      </c>
      <c r="F331" t="s">
        <v>1539</v>
      </c>
      <c r="G331" t="s">
        <v>2887</v>
      </c>
      <c r="H331" t="s">
        <v>16</v>
      </c>
      <c r="I331" t="s">
        <v>25</v>
      </c>
      <c r="J331">
        <v>415</v>
      </c>
      <c r="K331" t="s">
        <v>57</v>
      </c>
      <c r="L331" s="2">
        <v>43576</v>
      </c>
      <c r="M331" t="s">
        <v>287</v>
      </c>
      <c r="N331" t="s">
        <v>288</v>
      </c>
      <c r="O331">
        <v>85715</v>
      </c>
      <c r="P331" t="s">
        <v>21</v>
      </c>
      <c r="Q331" t="str">
        <f>TEXT(Data_Set_3[[#This Row],[date]],"mmmm")</f>
        <v>April</v>
      </c>
      <c r="R331">
        <f>MONTH(Data_Set_3[[#This Row],[date]])</f>
        <v>4</v>
      </c>
      <c r="S331">
        <f>YEAR(Data_Set_3[[#This Row],[date]])</f>
        <v>2019</v>
      </c>
    </row>
    <row r="332" spans="1:19" x14ac:dyDescent="0.3">
      <c r="A332">
        <v>1026</v>
      </c>
      <c r="B332" t="s">
        <v>844</v>
      </c>
      <c r="C332" t="s">
        <v>671</v>
      </c>
      <c r="D332" t="s">
        <v>2814</v>
      </c>
      <c r="E332" t="s">
        <v>2815</v>
      </c>
      <c r="F332" t="s">
        <v>2816</v>
      </c>
      <c r="G332" t="s">
        <v>2554</v>
      </c>
      <c r="H332" t="s">
        <v>32</v>
      </c>
      <c r="I332" t="s">
        <v>17</v>
      </c>
      <c r="J332">
        <v>717</v>
      </c>
      <c r="K332" t="s">
        <v>26</v>
      </c>
      <c r="L332" s="2">
        <v>43579</v>
      </c>
      <c r="M332" t="s">
        <v>184</v>
      </c>
      <c r="N332" t="s">
        <v>185</v>
      </c>
      <c r="O332">
        <v>10469</v>
      </c>
      <c r="P332" t="s">
        <v>21</v>
      </c>
      <c r="Q332" t="str">
        <f>TEXT(Data_Set_3[[#This Row],[date]],"mmmm")</f>
        <v>April</v>
      </c>
      <c r="R332">
        <f>MONTH(Data_Set_3[[#This Row],[date]])</f>
        <v>4</v>
      </c>
      <c r="S332">
        <f>YEAR(Data_Set_3[[#This Row],[date]])</f>
        <v>2019</v>
      </c>
    </row>
    <row r="333" spans="1:19" x14ac:dyDescent="0.3">
      <c r="A333">
        <v>1090</v>
      </c>
      <c r="B333" t="s">
        <v>928</v>
      </c>
      <c r="C333" t="s">
        <v>430</v>
      </c>
      <c r="D333" t="s">
        <v>3239</v>
      </c>
      <c r="E333" t="s">
        <v>3240</v>
      </c>
      <c r="F333" t="s">
        <v>2247</v>
      </c>
      <c r="G333" t="s">
        <v>2763</v>
      </c>
      <c r="H333" t="s">
        <v>32</v>
      </c>
      <c r="I333" t="s">
        <v>51</v>
      </c>
      <c r="J333">
        <v>619</v>
      </c>
      <c r="K333" t="s">
        <v>62</v>
      </c>
      <c r="L333" s="2">
        <v>43580</v>
      </c>
      <c r="M333" t="s">
        <v>110</v>
      </c>
      <c r="N333" t="s">
        <v>160</v>
      </c>
      <c r="O333">
        <v>19136</v>
      </c>
      <c r="P333" t="s">
        <v>21</v>
      </c>
      <c r="Q333" t="str">
        <f>TEXT(Data_Set_3[[#This Row],[date]],"mmmm")</f>
        <v>April</v>
      </c>
      <c r="R333">
        <f>MONTH(Data_Set_3[[#This Row],[date]])</f>
        <v>4</v>
      </c>
      <c r="S333">
        <f>YEAR(Data_Set_3[[#This Row],[date]])</f>
        <v>2019</v>
      </c>
    </row>
    <row r="334" spans="1:19" x14ac:dyDescent="0.3">
      <c r="A334">
        <v>1584</v>
      </c>
      <c r="B334" t="s">
        <v>54</v>
      </c>
      <c r="C334" t="s">
        <v>430</v>
      </c>
      <c r="D334" t="s">
        <v>3241</v>
      </c>
      <c r="E334" t="s">
        <v>3242</v>
      </c>
      <c r="F334" t="s">
        <v>1888</v>
      </c>
      <c r="G334" t="s">
        <v>2217</v>
      </c>
      <c r="H334" t="s">
        <v>32</v>
      </c>
      <c r="I334" t="s">
        <v>361</v>
      </c>
      <c r="J334">
        <v>546</v>
      </c>
      <c r="K334" t="s">
        <v>95</v>
      </c>
      <c r="L334" s="2">
        <v>43582</v>
      </c>
      <c r="M334" t="s">
        <v>35</v>
      </c>
      <c r="N334" t="s">
        <v>438</v>
      </c>
      <c r="O334">
        <v>90005</v>
      </c>
      <c r="P334" t="s">
        <v>21</v>
      </c>
      <c r="Q334" t="str">
        <f>TEXT(Data_Set_3[[#This Row],[date]],"mmmm")</f>
        <v>April</v>
      </c>
      <c r="R334">
        <f>MONTH(Data_Set_3[[#This Row],[date]])</f>
        <v>4</v>
      </c>
      <c r="S334">
        <f>YEAR(Data_Set_3[[#This Row],[date]])</f>
        <v>2019</v>
      </c>
    </row>
    <row r="335" spans="1:19" x14ac:dyDescent="0.3">
      <c r="A335">
        <v>1774</v>
      </c>
      <c r="B335" t="s">
        <v>549</v>
      </c>
      <c r="C335" t="s">
        <v>3073</v>
      </c>
      <c r="D335" t="s">
        <v>3243</v>
      </c>
      <c r="E335" t="s">
        <v>3244</v>
      </c>
      <c r="F335" t="s">
        <v>2063</v>
      </c>
      <c r="G335" t="s">
        <v>1574</v>
      </c>
      <c r="H335" t="s">
        <v>32</v>
      </c>
      <c r="I335" t="s">
        <v>25</v>
      </c>
      <c r="J335">
        <v>978</v>
      </c>
      <c r="K335" t="s">
        <v>26</v>
      </c>
      <c r="L335" s="2">
        <v>43582</v>
      </c>
      <c r="M335" t="s">
        <v>184</v>
      </c>
      <c r="N335" t="s">
        <v>197</v>
      </c>
      <c r="O335">
        <v>10004</v>
      </c>
      <c r="P335" t="s">
        <v>21</v>
      </c>
      <c r="Q335" t="str">
        <f>TEXT(Data_Set_3[[#This Row],[date]],"mmmm")</f>
        <v>April</v>
      </c>
      <c r="R335">
        <f>MONTH(Data_Set_3[[#This Row],[date]])</f>
        <v>4</v>
      </c>
      <c r="S335">
        <f>YEAR(Data_Set_3[[#This Row],[date]])</f>
        <v>2019</v>
      </c>
    </row>
    <row r="336" spans="1:19" x14ac:dyDescent="0.3">
      <c r="A336">
        <v>1026</v>
      </c>
      <c r="B336" t="s">
        <v>844</v>
      </c>
      <c r="C336" t="s">
        <v>671</v>
      </c>
      <c r="D336" t="s">
        <v>2814</v>
      </c>
      <c r="E336" t="s">
        <v>2815</v>
      </c>
      <c r="F336" t="s">
        <v>2816</v>
      </c>
      <c r="G336" t="s">
        <v>2554</v>
      </c>
      <c r="H336" t="s">
        <v>32</v>
      </c>
      <c r="I336" t="s">
        <v>17</v>
      </c>
      <c r="J336">
        <v>42</v>
      </c>
      <c r="K336" t="s">
        <v>26</v>
      </c>
      <c r="L336" s="2">
        <v>43584</v>
      </c>
      <c r="M336" t="s">
        <v>184</v>
      </c>
      <c r="N336" t="s">
        <v>185</v>
      </c>
      <c r="O336">
        <v>10469</v>
      </c>
      <c r="P336" t="s">
        <v>21</v>
      </c>
      <c r="Q336" t="str">
        <f>TEXT(Data_Set_3[[#This Row],[date]],"mmmm")</f>
        <v>April</v>
      </c>
      <c r="R336">
        <f>MONTH(Data_Set_3[[#This Row],[date]])</f>
        <v>4</v>
      </c>
      <c r="S336">
        <f>YEAR(Data_Set_3[[#This Row],[date]])</f>
        <v>2019</v>
      </c>
    </row>
    <row r="337" spans="1:19" x14ac:dyDescent="0.3">
      <c r="A337">
        <v>1402</v>
      </c>
      <c r="B337" t="s">
        <v>621</v>
      </c>
      <c r="C337" t="s">
        <v>103</v>
      </c>
      <c r="D337" t="s">
        <v>3245</v>
      </c>
      <c r="E337" t="s">
        <v>3246</v>
      </c>
      <c r="F337" t="s">
        <v>1365</v>
      </c>
      <c r="G337" t="s">
        <v>2234</v>
      </c>
      <c r="H337" t="s">
        <v>16</v>
      </c>
      <c r="I337" t="s">
        <v>2941</v>
      </c>
      <c r="J337">
        <v>229</v>
      </c>
      <c r="K337" t="s">
        <v>34</v>
      </c>
      <c r="L337" s="2">
        <v>43586</v>
      </c>
      <c r="M337" t="s">
        <v>115</v>
      </c>
      <c r="N337" t="s">
        <v>977</v>
      </c>
      <c r="O337">
        <v>33715</v>
      </c>
      <c r="P337" t="s">
        <v>21</v>
      </c>
      <c r="Q337" t="str">
        <f>TEXT(Data_Set_3[[#This Row],[date]],"mmmm")</f>
        <v>May</v>
      </c>
      <c r="R337">
        <f>MONTH(Data_Set_3[[#This Row],[date]])</f>
        <v>5</v>
      </c>
      <c r="S337">
        <f>YEAR(Data_Set_3[[#This Row],[date]])</f>
        <v>2019</v>
      </c>
    </row>
    <row r="338" spans="1:19" x14ac:dyDescent="0.3">
      <c r="A338">
        <v>1435</v>
      </c>
      <c r="B338" t="s">
        <v>80</v>
      </c>
      <c r="C338" t="s">
        <v>1045</v>
      </c>
      <c r="D338" t="s">
        <v>2851</v>
      </c>
      <c r="E338" t="s">
        <v>2852</v>
      </c>
      <c r="F338" t="s">
        <v>1853</v>
      </c>
      <c r="G338" t="s">
        <v>2697</v>
      </c>
      <c r="H338" t="s">
        <v>16</v>
      </c>
      <c r="I338" t="s">
        <v>25</v>
      </c>
      <c r="J338">
        <v>722</v>
      </c>
      <c r="K338" t="s">
        <v>83</v>
      </c>
      <c r="L338" s="2">
        <v>43587</v>
      </c>
      <c r="M338" t="s">
        <v>110</v>
      </c>
      <c r="N338" t="s">
        <v>1150</v>
      </c>
      <c r="O338">
        <v>19605</v>
      </c>
      <c r="P338" t="s">
        <v>21</v>
      </c>
      <c r="Q338" t="str">
        <f>TEXT(Data_Set_3[[#This Row],[date]],"mmmm")</f>
        <v>May</v>
      </c>
      <c r="R338">
        <f>MONTH(Data_Set_3[[#This Row],[date]])</f>
        <v>5</v>
      </c>
      <c r="S338">
        <f>YEAR(Data_Set_3[[#This Row],[date]])</f>
        <v>2019</v>
      </c>
    </row>
    <row r="339" spans="1:19" x14ac:dyDescent="0.3">
      <c r="A339">
        <v>1170</v>
      </c>
      <c r="B339" t="s">
        <v>22</v>
      </c>
      <c r="C339" t="s">
        <v>883</v>
      </c>
      <c r="D339" t="s">
        <v>2837</v>
      </c>
      <c r="E339" t="s">
        <v>2838</v>
      </c>
      <c r="F339" t="s">
        <v>2430</v>
      </c>
      <c r="G339" t="s">
        <v>1333</v>
      </c>
      <c r="H339" t="s">
        <v>16</v>
      </c>
      <c r="I339" t="s">
        <v>33</v>
      </c>
      <c r="J339">
        <v>742</v>
      </c>
      <c r="K339" t="s">
        <v>164</v>
      </c>
      <c r="L339" s="2">
        <v>43589</v>
      </c>
      <c r="M339" t="s">
        <v>68</v>
      </c>
      <c r="N339" t="s">
        <v>169</v>
      </c>
      <c r="O339">
        <v>88574</v>
      </c>
      <c r="P339" t="s">
        <v>21</v>
      </c>
      <c r="Q339" t="str">
        <f>TEXT(Data_Set_3[[#This Row],[date]],"mmmm")</f>
        <v>May</v>
      </c>
      <c r="R339">
        <f>MONTH(Data_Set_3[[#This Row],[date]])</f>
        <v>5</v>
      </c>
      <c r="S339">
        <f>YEAR(Data_Set_3[[#This Row],[date]])</f>
        <v>2019</v>
      </c>
    </row>
    <row r="340" spans="1:19" x14ac:dyDescent="0.3">
      <c r="A340">
        <v>1880</v>
      </c>
      <c r="B340" t="s">
        <v>304</v>
      </c>
      <c r="C340" t="s">
        <v>526</v>
      </c>
      <c r="D340" t="s">
        <v>2831</v>
      </c>
      <c r="E340" t="s">
        <v>2832</v>
      </c>
      <c r="F340" t="s">
        <v>1376</v>
      </c>
      <c r="G340" t="s">
        <v>2577</v>
      </c>
      <c r="H340" t="s">
        <v>32</v>
      </c>
      <c r="I340" t="s">
        <v>274</v>
      </c>
      <c r="J340">
        <v>530</v>
      </c>
      <c r="K340" t="s">
        <v>26</v>
      </c>
      <c r="L340" s="2">
        <v>43590</v>
      </c>
      <c r="M340" t="s">
        <v>246</v>
      </c>
      <c r="N340" t="s">
        <v>339</v>
      </c>
      <c r="O340">
        <v>60614</v>
      </c>
      <c r="P340" t="s">
        <v>21</v>
      </c>
      <c r="Q340" t="str">
        <f>TEXT(Data_Set_3[[#This Row],[date]],"mmmm")</f>
        <v>May</v>
      </c>
      <c r="R340">
        <f>MONTH(Data_Set_3[[#This Row],[date]])</f>
        <v>5</v>
      </c>
      <c r="S340">
        <f>YEAR(Data_Set_3[[#This Row],[date]])</f>
        <v>2019</v>
      </c>
    </row>
    <row r="341" spans="1:19" x14ac:dyDescent="0.3">
      <c r="A341">
        <v>1436</v>
      </c>
      <c r="B341" t="s">
        <v>356</v>
      </c>
      <c r="C341" t="s">
        <v>737</v>
      </c>
      <c r="D341" t="s">
        <v>2882</v>
      </c>
      <c r="E341" t="s">
        <v>2883</v>
      </c>
      <c r="F341" t="s">
        <v>1359</v>
      </c>
      <c r="G341" t="s">
        <v>2495</v>
      </c>
      <c r="H341" t="s">
        <v>32</v>
      </c>
      <c r="I341" t="s">
        <v>151</v>
      </c>
      <c r="J341">
        <v>995</v>
      </c>
      <c r="K341" t="s">
        <v>26</v>
      </c>
      <c r="L341" s="2">
        <v>43591</v>
      </c>
      <c r="M341" t="s">
        <v>489</v>
      </c>
      <c r="N341" t="s">
        <v>490</v>
      </c>
      <c r="O341">
        <v>89145</v>
      </c>
      <c r="P341" t="s">
        <v>21</v>
      </c>
      <c r="Q341" t="str">
        <f>TEXT(Data_Set_3[[#This Row],[date]],"mmmm")</f>
        <v>May</v>
      </c>
      <c r="R341">
        <f>MONTH(Data_Set_3[[#This Row],[date]])</f>
        <v>5</v>
      </c>
      <c r="S341">
        <f>YEAR(Data_Set_3[[#This Row],[date]])</f>
        <v>2019</v>
      </c>
    </row>
    <row r="342" spans="1:19" x14ac:dyDescent="0.3">
      <c r="A342">
        <v>1996</v>
      </c>
      <c r="B342" t="s">
        <v>359</v>
      </c>
      <c r="C342" t="s">
        <v>2841</v>
      </c>
      <c r="D342" t="s">
        <v>2842</v>
      </c>
      <c r="E342" t="s">
        <v>2843</v>
      </c>
      <c r="F342" t="s">
        <v>1696</v>
      </c>
      <c r="G342" t="s">
        <v>2606</v>
      </c>
      <c r="H342" t="s">
        <v>32</v>
      </c>
      <c r="I342" t="s">
        <v>33</v>
      </c>
      <c r="J342">
        <v>788</v>
      </c>
      <c r="K342" t="s">
        <v>164</v>
      </c>
      <c r="L342" s="2">
        <v>43594</v>
      </c>
      <c r="M342" t="s">
        <v>125</v>
      </c>
      <c r="N342" t="s">
        <v>419</v>
      </c>
      <c r="O342">
        <v>64160</v>
      </c>
      <c r="P342" t="s">
        <v>21</v>
      </c>
      <c r="Q342" t="str">
        <f>TEXT(Data_Set_3[[#This Row],[date]],"mmmm")</f>
        <v>May</v>
      </c>
      <c r="R342">
        <f>MONTH(Data_Set_3[[#This Row],[date]])</f>
        <v>5</v>
      </c>
      <c r="S342">
        <f>YEAR(Data_Set_3[[#This Row],[date]])</f>
        <v>2019</v>
      </c>
    </row>
    <row r="343" spans="1:19" x14ac:dyDescent="0.3">
      <c r="A343">
        <v>1026</v>
      </c>
      <c r="B343" t="s">
        <v>844</v>
      </c>
      <c r="C343" t="s">
        <v>671</v>
      </c>
      <c r="D343" t="s">
        <v>2814</v>
      </c>
      <c r="E343" t="s">
        <v>2815</v>
      </c>
      <c r="F343" t="s">
        <v>2816</v>
      </c>
      <c r="G343" t="s">
        <v>2554</v>
      </c>
      <c r="H343" t="s">
        <v>32</v>
      </c>
      <c r="I343" t="s">
        <v>17</v>
      </c>
      <c r="J343">
        <v>208</v>
      </c>
      <c r="K343" t="s">
        <v>26</v>
      </c>
      <c r="L343" s="2">
        <v>43595</v>
      </c>
      <c r="M343" t="s">
        <v>184</v>
      </c>
      <c r="N343" t="s">
        <v>185</v>
      </c>
      <c r="O343">
        <v>10469</v>
      </c>
      <c r="P343" t="s">
        <v>21</v>
      </c>
      <c r="Q343" t="str">
        <f>TEXT(Data_Set_3[[#This Row],[date]],"mmmm")</f>
        <v>May</v>
      </c>
      <c r="R343">
        <f>MONTH(Data_Set_3[[#This Row],[date]])</f>
        <v>5</v>
      </c>
      <c r="S343">
        <f>YEAR(Data_Set_3[[#This Row],[date]])</f>
        <v>2019</v>
      </c>
    </row>
    <row r="344" spans="1:19" x14ac:dyDescent="0.3">
      <c r="A344">
        <v>1022</v>
      </c>
      <c r="B344" t="s">
        <v>769</v>
      </c>
      <c r="C344" t="s">
        <v>825</v>
      </c>
      <c r="D344" t="s">
        <v>3008</v>
      </c>
      <c r="E344" t="s">
        <v>3009</v>
      </c>
      <c r="F344" t="s">
        <v>1888</v>
      </c>
      <c r="G344" t="s">
        <v>1794</v>
      </c>
      <c r="H344" t="s">
        <v>16</v>
      </c>
      <c r="I344" t="s">
        <v>17</v>
      </c>
      <c r="J344">
        <v>501</v>
      </c>
      <c r="K344" t="s">
        <v>26</v>
      </c>
      <c r="L344" s="2">
        <v>43599</v>
      </c>
      <c r="M344" t="s">
        <v>345</v>
      </c>
      <c r="N344" t="s">
        <v>220</v>
      </c>
      <c r="O344">
        <v>20430</v>
      </c>
      <c r="P344" t="s">
        <v>21</v>
      </c>
      <c r="Q344" t="str">
        <f>TEXT(Data_Set_3[[#This Row],[date]],"mmmm")</f>
        <v>May</v>
      </c>
      <c r="R344">
        <f>MONTH(Data_Set_3[[#This Row],[date]])</f>
        <v>5</v>
      </c>
      <c r="S344">
        <f>YEAR(Data_Set_3[[#This Row],[date]])</f>
        <v>2019</v>
      </c>
    </row>
    <row r="345" spans="1:19" x14ac:dyDescent="0.3">
      <c r="A345">
        <v>1468</v>
      </c>
      <c r="B345" t="s">
        <v>2915</v>
      </c>
      <c r="C345" t="s">
        <v>722</v>
      </c>
      <c r="D345" t="s">
        <v>2916</v>
      </c>
      <c r="E345" t="s">
        <v>2917</v>
      </c>
      <c r="F345" t="s">
        <v>2918</v>
      </c>
      <c r="G345" t="s">
        <v>1559</v>
      </c>
      <c r="H345" t="s">
        <v>32</v>
      </c>
      <c r="I345" t="s">
        <v>33</v>
      </c>
      <c r="J345">
        <v>296</v>
      </c>
      <c r="K345" t="s">
        <v>259</v>
      </c>
      <c r="L345" s="2">
        <v>43599</v>
      </c>
      <c r="M345" t="s">
        <v>120</v>
      </c>
      <c r="N345" t="s">
        <v>718</v>
      </c>
      <c r="O345">
        <v>70116</v>
      </c>
      <c r="P345" t="s">
        <v>21</v>
      </c>
      <c r="Q345" t="str">
        <f>TEXT(Data_Set_3[[#This Row],[date]],"mmmm")</f>
        <v>May</v>
      </c>
      <c r="R345">
        <f>MONTH(Data_Set_3[[#This Row],[date]])</f>
        <v>5</v>
      </c>
      <c r="S345">
        <f>YEAR(Data_Set_3[[#This Row],[date]])</f>
        <v>2019</v>
      </c>
    </row>
    <row r="346" spans="1:19" x14ac:dyDescent="0.3">
      <c r="A346">
        <v>1984</v>
      </c>
      <c r="B346" t="s">
        <v>333</v>
      </c>
      <c r="C346" t="s">
        <v>3160</v>
      </c>
      <c r="D346" t="s">
        <v>3161</v>
      </c>
      <c r="E346" t="s">
        <v>3162</v>
      </c>
      <c r="F346" t="s">
        <v>1558</v>
      </c>
      <c r="G346" t="s">
        <v>2685</v>
      </c>
      <c r="H346" t="s">
        <v>32</v>
      </c>
      <c r="I346" t="s">
        <v>33</v>
      </c>
      <c r="J346">
        <v>805</v>
      </c>
      <c r="K346" t="s">
        <v>62</v>
      </c>
      <c r="L346" s="2">
        <v>43599</v>
      </c>
      <c r="M346" t="s">
        <v>125</v>
      </c>
      <c r="N346" t="s">
        <v>247</v>
      </c>
      <c r="O346">
        <v>65810</v>
      </c>
      <c r="P346" t="s">
        <v>21</v>
      </c>
      <c r="Q346" t="str">
        <f>TEXT(Data_Set_3[[#This Row],[date]],"mmmm")</f>
        <v>May</v>
      </c>
      <c r="R346">
        <f>MONTH(Data_Set_3[[#This Row],[date]])</f>
        <v>5</v>
      </c>
      <c r="S346">
        <f>YEAR(Data_Set_3[[#This Row],[date]])</f>
        <v>2019</v>
      </c>
    </row>
    <row r="347" spans="1:19" x14ac:dyDescent="0.3">
      <c r="A347">
        <v>1017</v>
      </c>
      <c r="B347" t="s">
        <v>803</v>
      </c>
      <c r="C347" t="s">
        <v>3048</v>
      </c>
      <c r="D347" t="s">
        <v>3049</v>
      </c>
      <c r="E347" t="s">
        <v>3050</v>
      </c>
      <c r="F347" t="s">
        <v>1306</v>
      </c>
      <c r="G347" t="s">
        <v>1845</v>
      </c>
      <c r="H347" t="s">
        <v>32</v>
      </c>
      <c r="I347" t="s">
        <v>17</v>
      </c>
      <c r="J347">
        <v>881</v>
      </c>
      <c r="K347" t="s">
        <v>26</v>
      </c>
      <c r="L347" s="2">
        <v>43601</v>
      </c>
      <c r="M347" t="s">
        <v>246</v>
      </c>
      <c r="N347" t="s">
        <v>339</v>
      </c>
      <c r="O347">
        <v>60663</v>
      </c>
      <c r="P347" t="s">
        <v>21</v>
      </c>
      <c r="Q347" t="str">
        <f>TEXT(Data_Set_3[[#This Row],[date]],"mmmm")</f>
        <v>May</v>
      </c>
      <c r="R347">
        <f>MONTH(Data_Set_3[[#This Row],[date]])</f>
        <v>5</v>
      </c>
      <c r="S347">
        <f>YEAR(Data_Set_3[[#This Row],[date]])</f>
        <v>2019</v>
      </c>
    </row>
    <row r="348" spans="1:19" x14ac:dyDescent="0.3">
      <c r="A348">
        <v>1489</v>
      </c>
      <c r="B348" t="s">
        <v>860</v>
      </c>
      <c r="C348" t="s">
        <v>849</v>
      </c>
      <c r="D348" t="s">
        <v>2817</v>
      </c>
      <c r="E348" t="s">
        <v>2818</v>
      </c>
      <c r="F348" t="s">
        <v>1606</v>
      </c>
      <c r="G348" t="s">
        <v>1899</v>
      </c>
      <c r="H348" t="s">
        <v>16</v>
      </c>
      <c r="I348" t="s">
        <v>17</v>
      </c>
      <c r="J348">
        <v>455</v>
      </c>
      <c r="K348" t="s">
        <v>62</v>
      </c>
      <c r="L348" s="2">
        <v>43601</v>
      </c>
      <c r="M348" t="s">
        <v>204</v>
      </c>
      <c r="N348" t="s">
        <v>1135</v>
      </c>
      <c r="O348">
        <v>23668</v>
      </c>
      <c r="P348" t="s">
        <v>21</v>
      </c>
      <c r="Q348" t="str">
        <f>TEXT(Data_Set_3[[#This Row],[date]],"mmmm")</f>
        <v>May</v>
      </c>
      <c r="R348">
        <f>MONTH(Data_Set_3[[#This Row],[date]])</f>
        <v>5</v>
      </c>
      <c r="S348">
        <f>YEAR(Data_Set_3[[#This Row],[date]])</f>
        <v>2019</v>
      </c>
    </row>
    <row r="349" spans="1:19" x14ac:dyDescent="0.3">
      <c r="A349">
        <v>1020</v>
      </c>
      <c r="B349" t="s">
        <v>122</v>
      </c>
      <c r="C349" t="s">
        <v>954</v>
      </c>
      <c r="D349" t="s">
        <v>2888</v>
      </c>
      <c r="E349" t="s">
        <v>2889</v>
      </c>
      <c r="F349" t="s">
        <v>1998</v>
      </c>
      <c r="G349" t="s">
        <v>1926</v>
      </c>
      <c r="H349" t="s">
        <v>32</v>
      </c>
      <c r="I349" t="s">
        <v>17</v>
      </c>
      <c r="J349">
        <v>674</v>
      </c>
      <c r="K349" t="s">
        <v>26</v>
      </c>
      <c r="L349" s="2">
        <v>43602</v>
      </c>
      <c r="M349" t="s">
        <v>35</v>
      </c>
      <c r="N349" t="s">
        <v>620</v>
      </c>
      <c r="O349">
        <v>94105</v>
      </c>
      <c r="P349" t="s">
        <v>21</v>
      </c>
      <c r="Q349" t="str">
        <f>TEXT(Data_Set_3[[#This Row],[date]],"mmmm")</f>
        <v>May</v>
      </c>
      <c r="R349">
        <f>MONTH(Data_Set_3[[#This Row],[date]])</f>
        <v>5</v>
      </c>
      <c r="S349">
        <f>YEAR(Data_Set_3[[#This Row],[date]])</f>
        <v>2019</v>
      </c>
    </row>
    <row r="350" spans="1:19" x14ac:dyDescent="0.3">
      <c r="A350">
        <v>1277</v>
      </c>
      <c r="B350" t="s">
        <v>43</v>
      </c>
      <c r="C350" t="s">
        <v>783</v>
      </c>
      <c r="D350" t="s">
        <v>2861</v>
      </c>
      <c r="E350" t="s">
        <v>2862</v>
      </c>
      <c r="F350" t="s">
        <v>1850</v>
      </c>
      <c r="G350" t="s">
        <v>2219</v>
      </c>
      <c r="H350" t="s">
        <v>16</v>
      </c>
      <c r="I350" t="s">
        <v>454</v>
      </c>
      <c r="J350">
        <v>310</v>
      </c>
      <c r="K350" t="s">
        <v>416</v>
      </c>
      <c r="L350" s="2">
        <v>43602</v>
      </c>
      <c r="M350" t="s">
        <v>152</v>
      </c>
      <c r="N350" t="s">
        <v>251</v>
      </c>
      <c r="O350">
        <v>44310</v>
      </c>
      <c r="P350" t="s">
        <v>21</v>
      </c>
      <c r="Q350" t="str">
        <f>TEXT(Data_Set_3[[#This Row],[date]],"mmmm")</f>
        <v>May</v>
      </c>
      <c r="R350">
        <f>MONTH(Data_Set_3[[#This Row],[date]])</f>
        <v>5</v>
      </c>
      <c r="S350">
        <f>YEAR(Data_Set_3[[#This Row],[date]])</f>
        <v>2019</v>
      </c>
    </row>
    <row r="351" spans="1:19" x14ac:dyDescent="0.3">
      <c r="A351">
        <v>1610</v>
      </c>
      <c r="B351" t="s">
        <v>161</v>
      </c>
      <c r="C351" t="s">
        <v>334</v>
      </c>
      <c r="D351" t="s">
        <v>3247</v>
      </c>
      <c r="E351" t="s">
        <v>3248</v>
      </c>
      <c r="F351" t="s">
        <v>1568</v>
      </c>
      <c r="G351" t="s">
        <v>1574</v>
      </c>
      <c r="H351" t="s">
        <v>16</v>
      </c>
      <c r="I351" t="s">
        <v>2941</v>
      </c>
      <c r="J351">
        <v>568</v>
      </c>
      <c r="K351" t="s">
        <v>34</v>
      </c>
      <c r="L351" s="2">
        <v>43602</v>
      </c>
      <c r="M351" t="s">
        <v>27</v>
      </c>
      <c r="N351" t="s">
        <v>215</v>
      </c>
      <c r="O351">
        <v>80920</v>
      </c>
      <c r="P351" t="s">
        <v>21</v>
      </c>
      <c r="Q351" t="str">
        <f>TEXT(Data_Set_3[[#This Row],[date]],"mmmm")</f>
        <v>May</v>
      </c>
      <c r="R351">
        <f>MONTH(Data_Set_3[[#This Row],[date]])</f>
        <v>5</v>
      </c>
      <c r="S351">
        <f>YEAR(Data_Set_3[[#This Row],[date]])</f>
        <v>2019</v>
      </c>
    </row>
    <row r="352" spans="1:19" x14ac:dyDescent="0.3">
      <c r="A352">
        <v>1118</v>
      </c>
      <c r="B352" t="s">
        <v>549</v>
      </c>
      <c r="C352" t="s">
        <v>337</v>
      </c>
      <c r="D352" t="s">
        <v>3249</v>
      </c>
      <c r="E352" t="s">
        <v>3250</v>
      </c>
      <c r="F352" t="s">
        <v>1321</v>
      </c>
      <c r="G352" t="s">
        <v>2554</v>
      </c>
      <c r="H352" t="s">
        <v>32</v>
      </c>
      <c r="I352" t="s">
        <v>51</v>
      </c>
      <c r="J352">
        <v>725</v>
      </c>
      <c r="K352" t="s">
        <v>26</v>
      </c>
      <c r="L352" s="2">
        <v>43607</v>
      </c>
      <c r="M352" t="s">
        <v>152</v>
      </c>
      <c r="N352" t="s">
        <v>862</v>
      </c>
      <c r="O352">
        <v>44760</v>
      </c>
      <c r="P352" t="s">
        <v>21</v>
      </c>
      <c r="Q352" t="str">
        <f>TEXT(Data_Set_3[[#This Row],[date]],"mmmm")</f>
        <v>May</v>
      </c>
      <c r="R352">
        <f>MONTH(Data_Set_3[[#This Row],[date]])</f>
        <v>5</v>
      </c>
      <c r="S352">
        <f>YEAR(Data_Set_3[[#This Row],[date]])</f>
        <v>2019</v>
      </c>
    </row>
    <row r="353" spans="1:19" x14ac:dyDescent="0.3">
      <c r="A353">
        <v>1437</v>
      </c>
      <c r="B353" t="s">
        <v>154</v>
      </c>
      <c r="C353" t="s">
        <v>310</v>
      </c>
      <c r="D353" t="s">
        <v>3039</v>
      </c>
      <c r="E353" t="s">
        <v>3040</v>
      </c>
      <c r="F353" t="s">
        <v>1602</v>
      </c>
      <c r="G353" t="s">
        <v>2571</v>
      </c>
      <c r="H353" t="s">
        <v>16</v>
      </c>
      <c r="I353" t="s">
        <v>151</v>
      </c>
      <c r="J353">
        <v>687</v>
      </c>
      <c r="K353" t="s">
        <v>26</v>
      </c>
      <c r="L353" s="2">
        <v>43611</v>
      </c>
      <c r="M353" t="s">
        <v>489</v>
      </c>
      <c r="N353" t="s">
        <v>667</v>
      </c>
      <c r="O353">
        <v>89505</v>
      </c>
      <c r="P353" t="s">
        <v>21</v>
      </c>
      <c r="Q353" t="str">
        <f>TEXT(Data_Set_3[[#This Row],[date]],"mmmm")</f>
        <v>May</v>
      </c>
      <c r="R353">
        <f>MONTH(Data_Set_3[[#This Row],[date]])</f>
        <v>5</v>
      </c>
      <c r="S353">
        <f>YEAR(Data_Set_3[[#This Row],[date]])</f>
        <v>2019</v>
      </c>
    </row>
    <row r="354" spans="1:19" x14ac:dyDescent="0.3">
      <c r="A354">
        <v>1997</v>
      </c>
      <c r="B354" t="s">
        <v>899</v>
      </c>
      <c r="C354" t="s">
        <v>1069</v>
      </c>
      <c r="D354" t="s">
        <v>3234</v>
      </c>
      <c r="E354" t="s">
        <v>3235</v>
      </c>
      <c r="F354" t="s">
        <v>3236</v>
      </c>
      <c r="G354" t="s">
        <v>2326</v>
      </c>
      <c r="H354" t="s">
        <v>32</v>
      </c>
      <c r="I354" t="s">
        <v>543</v>
      </c>
      <c r="J354">
        <v>551</v>
      </c>
      <c r="K354" t="s">
        <v>26</v>
      </c>
      <c r="L354" s="2">
        <v>43611</v>
      </c>
      <c r="M354" t="s">
        <v>184</v>
      </c>
      <c r="N354" t="s">
        <v>197</v>
      </c>
      <c r="O354">
        <v>10155</v>
      </c>
      <c r="P354" t="s">
        <v>21</v>
      </c>
      <c r="Q354" t="str">
        <f>TEXT(Data_Set_3[[#This Row],[date]],"mmmm")</f>
        <v>May</v>
      </c>
      <c r="R354">
        <f>MONTH(Data_Set_3[[#This Row],[date]])</f>
        <v>5</v>
      </c>
      <c r="S354">
        <f>YEAR(Data_Set_3[[#This Row],[date]])</f>
        <v>2019</v>
      </c>
    </row>
    <row r="355" spans="1:19" x14ac:dyDescent="0.3">
      <c r="A355">
        <v>1298</v>
      </c>
      <c r="B355" t="s">
        <v>595</v>
      </c>
      <c r="C355" t="s">
        <v>293</v>
      </c>
      <c r="D355" t="s">
        <v>2900</v>
      </c>
      <c r="E355" t="s">
        <v>2901</v>
      </c>
      <c r="F355" t="s">
        <v>1539</v>
      </c>
      <c r="G355" t="s">
        <v>1952</v>
      </c>
      <c r="H355" t="s">
        <v>32</v>
      </c>
      <c r="I355" t="s">
        <v>543</v>
      </c>
      <c r="J355">
        <v>133</v>
      </c>
      <c r="K355" t="s">
        <v>73</v>
      </c>
      <c r="L355" s="2">
        <v>43612</v>
      </c>
      <c r="M355" t="s">
        <v>115</v>
      </c>
      <c r="N355" t="s">
        <v>351</v>
      </c>
      <c r="O355">
        <v>32891</v>
      </c>
      <c r="P355" t="s">
        <v>21</v>
      </c>
      <c r="Q355" t="str">
        <f>TEXT(Data_Set_3[[#This Row],[date]],"mmmm")</f>
        <v>May</v>
      </c>
      <c r="R355">
        <f>MONTH(Data_Set_3[[#This Row],[date]])</f>
        <v>5</v>
      </c>
      <c r="S355">
        <f>YEAR(Data_Set_3[[#This Row],[date]])</f>
        <v>2019</v>
      </c>
    </row>
    <row r="356" spans="1:19" x14ac:dyDescent="0.3">
      <c r="A356">
        <v>1930</v>
      </c>
      <c r="B356" t="s">
        <v>373</v>
      </c>
      <c r="C356" t="s">
        <v>2853</v>
      </c>
      <c r="D356" t="s">
        <v>3251</v>
      </c>
      <c r="E356" t="s">
        <v>3252</v>
      </c>
      <c r="F356" t="s">
        <v>1818</v>
      </c>
      <c r="G356" t="s">
        <v>2495</v>
      </c>
      <c r="H356" t="s">
        <v>32</v>
      </c>
      <c r="I356" t="s">
        <v>274</v>
      </c>
      <c r="J356">
        <v>613</v>
      </c>
      <c r="K356" t="s">
        <v>26</v>
      </c>
      <c r="L356" s="2">
        <v>43619</v>
      </c>
      <c r="M356" t="s">
        <v>52</v>
      </c>
      <c r="N356" t="s">
        <v>189</v>
      </c>
      <c r="O356">
        <v>25362</v>
      </c>
      <c r="P356" t="s">
        <v>21</v>
      </c>
      <c r="Q356" t="str">
        <f>TEXT(Data_Set_3[[#This Row],[date]],"mmmm")</f>
        <v>June</v>
      </c>
      <c r="R356">
        <f>MONTH(Data_Set_3[[#This Row],[date]])</f>
        <v>6</v>
      </c>
      <c r="S356">
        <f>YEAR(Data_Set_3[[#This Row],[date]])</f>
        <v>2019</v>
      </c>
    </row>
    <row r="357" spans="1:19" x14ac:dyDescent="0.3">
      <c r="A357">
        <v>1019</v>
      </c>
      <c r="B357" t="s">
        <v>460</v>
      </c>
      <c r="C357" t="s">
        <v>446</v>
      </c>
      <c r="D357" t="s">
        <v>3093</v>
      </c>
      <c r="E357" t="s">
        <v>3094</v>
      </c>
      <c r="F357" t="s">
        <v>1323</v>
      </c>
      <c r="G357" t="s">
        <v>2495</v>
      </c>
      <c r="H357" t="s">
        <v>32</v>
      </c>
      <c r="I357" t="s">
        <v>17</v>
      </c>
      <c r="J357">
        <v>936</v>
      </c>
      <c r="K357" t="s">
        <v>62</v>
      </c>
      <c r="L357" s="2">
        <v>43622</v>
      </c>
      <c r="M357" t="s">
        <v>563</v>
      </c>
      <c r="N357" t="s">
        <v>564</v>
      </c>
      <c r="O357">
        <v>83705</v>
      </c>
      <c r="P357" t="s">
        <v>21</v>
      </c>
      <c r="Q357" t="str">
        <f>TEXT(Data_Set_3[[#This Row],[date]],"mmmm")</f>
        <v>June</v>
      </c>
      <c r="R357">
        <f>MONTH(Data_Set_3[[#This Row],[date]])</f>
        <v>6</v>
      </c>
      <c r="S357">
        <f>YEAR(Data_Set_3[[#This Row],[date]])</f>
        <v>2019</v>
      </c>
    </row>
    <row r="358" spans="1:19" x14ac:dyDescent="0.3">
      <c r="A358">
        <v>1994</v>
      </c>
      <c r="B358" t="s">
        <v>336</v>
      </c>
      <c r="C358" t="s">
        <v>482</v>
      </c>
      <c r="D358" t="s">
        <v>3081</v>
      </c>
      <c r="E358" t="s">
        <v>3082</v>
      </c>
      <c r="F358" t="s">
        <v>1412</v>
      </c>
      <c r="G358" t="s">
        <v>2533</v>
      </c>
      <c r="H358" t="s">
        <v>16</v>
      </c>
      <c r="I358" t="s">
        <v>33</v>
      </c>
      <c r="J358">
        <v>249</v>
      </c>
      <c r="K358" t="s">
        <v>26</v>
      </c>
      <c r="L358" s="2">
        <v>43625</v>
      </c>
      <c r="M358" t="s">
        <v>246</v>
      </c>
      <c r="N358" t="s">
        <v>868</v>
      </c>
      <c r="O358">
        <v>61651</v>
      </c>
      <c r="P358" t="s">
        <v>21</v>
      </c>
      <c r="Q358" t="str">
        <f>TEXT(Data_Set_3[[#This Row],[date]],"mmmm")</f>
        <v>June</v>
      </c>
      <c r="R358">
        <f>MONTH(Data_Set_3[[#This Row],[date]])</f>
        <v>6</v>
      </c>
      <c r="S358">
        <f>YEAR(Data_Set_3[[#This Row],[date]])</f>
        <v>2019</v>
      </c>
    </row>
    <row r="359" spans="1:19" x14ac:dyDescent="0.3">
      <c r="A359">
        <v>1081</v>
      </c>
      <c r="B359" t="s">
        <v>29</v>
      </c>
      <c r="C359" t="s">
        <v>906</v>
      </c>
      <c r="D359" t="s">
        <v>2980</v>
      </c>
      <c r="E359" t="s">
        <v>2981</v>
      </c>
      <c r="F359" t="s">
        <v>2342</v>
      </c>
      <c r="G359" t="s">
        <v>2286</v>
      </c>
      <c r="H359" t="s">
        <v>32</v>
      </c>
      <c r="I359" t="s">
        <v>51</v>
      </c>
      <c r="J359">
        <v>533</v>
      </c>
      <c r="K359" t="s">
        <v>18</v>
      </c>
      <c r="L359" s="2">
        <v>43632</v>
      </c>
      <c r="M359" t="s">
        <v>152</v>
      </c>
      <c r="N359" t="s">
        <v>484</v>
      </c>
      <c r="O359">
        <v>45426</v>
      </c>
      <c r="P359" t="s">
        <v>21</v>
      </c>
      <c r="Q359" t="str">
        <f>TEXT(Data_Set_3[[#This Row],[date]],"mmmm")</f>
        <v>June</v>
      </c>
      <c r="R359">
        <f>MONTH(Data_Set_3[[#This Row],[date]])</f>
        <v>6</v>
      </c>
      <c r="S359">
        <f>YEAR(Data_Set_3[[#This Row],[date]])</f>
        <v>2019</v>
      </c>
    </row>
    <row r="360" spans="1:19" x14ac:dyDescent="0.3">
      <c r="A360">
        <v>1648</v>
      </c>
      <c r="B360" t="s">
        <v>541</v>
      </c>
      <c r="C360" t="s">
        <v>249</v>
      </c>
      <c r="D360" t="s">
        <v>3253</v>
      </c>
      <c r="E360" t="s">
        <v>3254</v>
      </c>
      <c r="F360" t="s">
        <v>1513</v>
      </c>
      <c r="G360" t="s">
        <v>1746</v>
      </c>
      <c r="H360" t="s">
        <v>32</v>
      </c>
      <c r="I360" t="s">
        <v>17</v>
      </c>
      <c r="J360">
        <v>339</v>
      </c>
      <c r="K360" t="s">
        <v>26</v>
      </c>
      <c r="L360" s="2">
        <v>43632</v>
      </c>
      <c r="M360" t="s">
        <v>696</v>
      </c>
      <c r="N360" t="s">
        <v>3255</v>
      </c>
      <c r="O360">
        <v>71914</v>
      </c>
      <c r="P360" t="s">
        <v>21</v>
      </c>
      <c r="Q360" t="str">
        <f>TEXT(Data_Set_3[[#This Row],[date]],"mmmm")</f>
        <v>June</v>
      </c>
      <c r="R360">
        <f>MONTH(Data_Set_3[[#This Row],[date]])</f>
        <v>6</v>
      </c>
      <c r="S360">
        <f>YEAR(Data_Set_3[[#This Row],[date]])</f>
        <v>2019</v>
      </c>
    </row>
    <row r="361" spans="1:19" x14ac:dyDescent="0.3">
      <c r="A361">
        <v>1668</v>
      </c>
      <c r="B361" t="s">
        <v>584</v>
      </c>
      <c r="C361" t="s">
        <v>307</v>
      </c>
      <c r="D361" t="s">
        <v>3256</v>
      </c>
      <c r="E361" t="s">
        <v>3257</v>
      </c>
      <c r="F361" t="s">
        <v>2249</v>
      </c>
      <c r="G361" t="s">
        <v>2210</v>
      </c>
      <c r="H361" t="s">
        <v>32</v>
      </c>
      <c r="I361" t="s">
        <v>17</v>
      </c>
      <c r="J361">
        <v>12</v>
      </c>
      <c r="K361" t="s">
        <v>109</v>
      </c>
      <c r="L361" s="2">
        <v>43632</v>
      </c>
      <c r="M361" t="s">
        <v>68</v>
      </c>
      <c r="N361" t="s">
        <v>169</v>
      </c>
      <c r="O361">
        <v>79977</v>
      </c>
      <c r="P361" t="s">
        <v>21</v>
      </c>
      <c r="Q361" t="str">
        <f>TEXT(Data_Set_3[[#This Row],[date]],"mmmm")</f>
        <v>June</v>
      </c>
      <c r="R361">
        <f>MONTH(Data_Set_3[[#This Row],[date]])</f>
        <v>6</v>
      </c>
      <c r="S361">
        <f>YEAR(Data_Set_3[[#This Row],[date]])</f>
        <v>2019</v>
      </c>
    </row>
    <row r="362" spans="1:19" x14ac:dyDescent="0.3">
      <c r="A362">
        <v>1095</v>
      </c>
      <c r="B362" t="s">
        <v>395</v>
      </c>
      <c r="C362" t="s">
        <v>876</v>
      </c>
      <c r="D362" t="s">
        <v>2989</v>
      </c>
      <c r="E362" t="s">
        <v>2990</v>
      </c>
      <c r="F362" t="s">
        <v>1323</v>
      </c>
      <c r="G362" t="s">
        <v>1453</v>
      </c>
      <c r="H362" t="s">
        <v>32</v>
      </c>
      <c r="I362" t="s">
        <v>51</v>
      </c>
      <c r="J362">
        <v>246</v>
      </c>
      <c r="K362" t="s">
        <v>34</v>
      </c>
      <c r="L362" s="2">
        <v>43633</v>
      </c>
      <c r="M362" t="s">
        <v>68</v>
      </c>
      <c r="N362" t="s">
        <v>234</v>
      </c>
      <c r="O362">
        <v>77040</v>
      </c>
      <c r="P362" t="s">
        <v>21</v>
      </c>
      <c r="Q362" t="str">
        <f>TEXT(Data_Set_3[[#This Row],[date]],"mmmm")</f>
        <v>June</v>
      </c>
      <c r="R362">
        <f>MONTH(Data_Set_3[[#This Row],[date]])</f>
        <v>6</v>
      </c>
      <c r="S362">
        <f>YEAR(Data_Set_3[[#This Row],[date]])</f>
        <v>2019</v>
      </c>
    </row>
    <row r="363" spans="1:19" x14ac:dyDescent="0.3">
      <c r="A363">
        <v>1468</v>
      </c>
      <c r="B363" t="s">
        <v>2915</v>
      </c>
      <c r="C363" t="s">
        <v>722</v>
      </c>
      <c r="D363" t="s">
        <v>2916</v>
      </c>
      <c r="E363" t="s">
        <v>2917</v>
      </c>
      <c r="F363" t="s">
        <v>2918</v>
      </c>
      <c r="G363" t="s">
        <v>1559</v>
      </c>
      <c r="H363" t="s">
        <v>32</v>
      </c>
      <c r="I363" t="s">
        <v>33</v>
      </c>
      <c r="J363">
        <v>160</v>
      </c>
      <c r="K363" t="s">
        <v>259</v>
      </c>
      <c r="L363" s="2">
        <v>43633</v>
      </c>
      <c r="M363" t="s">
        <v>120</v>
      </c>
      <c r="N363" t="s">
        <v>718</v>
      </c>
      <c r="O363">
        <v>70116</v>
      </c>
      <c r="P363" t="s">
        <v>21</v>
      </c>
      <c r="Q363" t="str">
        <f>TEXT(Data_Set_3[[#This Row],[date]],"mmmm")</f>
        <v>June</v>
      </c>
      <c r="R363">
        <f>MONTH(Data_Set_3[[#This Row],[date]])</f>
        <v>6</v>
      </c>
      <c r="S363">
        <f>YEAR(Data_Set_3[[#This Row],[date]])</f>
        <v>2019</v>
      </c>
    </row>
    <row r="364" spans="1:19" x14ac:dyDescent="0.3">
      <c r="A364">
        <v>1017</v>
      </c>
      <c r="B364" t="s">
        <v>803</v>
      </c>
      <c r="C364" t="s">
        <v>3048</v>
      </c>
      <c r="D364" t="s">
        <v>3049</v>
      </c>
      <c r="E364" t="s">
        <v>3050</v>
      </c>
      <c r="F364" t="s">
        <v>1306</v>
      </c>
      <c r="G364" t="s">
        <v>1845</v>
      </c>
      <c r="H364" t="s">
        <v>32</v>
      </c>
      <c r="I364" t="s">
        <v>17</v>
      </c>
      <c r="J364">
        <v>728</v>
      </c>
      <c r="K364" t="s">
        <v>26</v>
      </c>
      <c r="L364" s="2">
        <v>43636</v>
      </c>
      <c r="M364" t="s">
        <v>246</v>
      </c>
      <c r="N364" t="s">
        <v>339</v>
      </c>
      <c r="O364">
        <v>60663</v>
      </c>
      <c r="P364" t="s">
        <v>21</v>
      </c>
      <c r="Q364" t="str">
        <f>TEXT(Data_Set_3[[#This Row],[date]],"mmmm")</f>
        <v>June</v>
      </c>
      <c r="R364">
        <f>MONTH(Data_Set_3[[#This Row],[date]])</f>
        <v>6</v>
      </c>
      <c r="S364">
        <f>YEAR(Data_Set_3[[#This Row],[date]])</f>
        <v>2019</v>
      </c>
    </row>
    <row r="365" spans="1:19" x14ac:dyDescent="0.3">
      <c r="A365">
        <v>1212</v>
      </c>
      <c r="B365" t="s">
        <v>547</v>
      </c>
      <c r="C365" t="s">
        <v>337</v>
      </c>
      <c r="D365" t="s">
        <v>2828</v>
      </c>
      <c r="E365" t="s">
        <v>2829</v>
      </c>
      <c r="F365" t="s">
        <v>1608</v>
      </c>
      <c r="G365" t="s">
        <v>2830</v>
      </c>
      <c r="H365" t="s">
        <v>32</v>
      </c>
      <c r="I365" t="s">
        <v>33</v>
      </c>
      <c r="J365">
        <v>122</v>
      </c>
      <c r="K365" t="s">
        <v>34</v>
      </c>
      <c r="L365" s="2">
        <v>43641</v>
      </c>
      <c r="M365" t="s">
        <v>46</v>
      </c>
      <c r="N365" t="s">
        <v>47</v>
      </c>
      <c r="O365">
        <v>6183</v>
      </c>
      <c r="P365" t="s">
        <v>21</v>
      </c>
      <c r="Q365" t="str">
        <f>TEXT(Data_Set_3[[#This Row],[date]],"mmmm")</f>
        <v>June</v>
      </c>
      <c r="R365">
        <f>MONTH(Data_Set_3[[#This Row],[date]])</f>
        <v>6</v>
      </c>
      <c r="S365">
        <f>YEAR(Data_Set_3[[#This Row],[date]])</f>
        <v>2019</v>
      </c>
    </row>
    <row r="366" spans="1:19" x14ac:dyDescent="0.3">
      <c r="A366">
        <v>1365</v>
      </c>
      <c r="B366" t="s">
        <v>1183</v>
      </c>
      <c r="C366" t="s">
        <v>813</v>
      </c>
      <c r="D366" t="s">
        <v>2957</v>
      </c>
      <c r="E366" t="s">
        <v>2958</v>
      </c>
      <c r="F366" t="s">
        <v>1644</v>
      </c>
      <c r="G366" t="s">
        <v>2061</v>
      </c>
      <c r="H366" t="s">
        <v>16</v>
      </c>
      <c r="I366" t="s">
        <v>51</v>
      </c>
      <c r="J366">
        <v>191</v>
      </c>
      <c r="K366" t="s">
        <v>62</v>
      </c>
      <c r="L366" s="2">
        <v>43642</v>
      </c>
      <c r="M366" t="s">
        <v>115</v>
      </c>
      <c r="N366" t="s">
        <v>143</v>
      </c>
      <c r="O366">
        <v>33261</v>
      </c>
      <c r="P366" t="s">
        <v>21</v>
      </c>
      <c r="Q366" t="str">
        <f>TEXT(Data_Set_3[[#This Row],[date]],"mmmm")</f>
        <v>June</v>
      </c>
      <c r="R366">
        <f>MONTH(Data_Set_3[[#This Row],[date]])</f>
        <v>6</v>
      </c>
      <c r="S366">
        <f>YEAR(Data_Set_3[[#This Row],[date]])</f>
        <v>2019</v>
      </c>
    </row>
    <row r="367" spans="1:19" x14ac:dyDescent="0.3">
      <c r="A367">
        <v>1970</v>
      </c>
      <c r="B367" t="s">
        <v>13</v>
      </c>
      <c r="C367" t="s">
        <v>387</v>
      </c>
      <c r="D367" t="s">
        <v>3258</v>
      </c>
      <c r="E367" t="s">
        <v>3259</v>
      </c>
      <c r="F367" t="s">
        <v>1519</v>
      </c>
      <c r="G367" t="s">
        <v>2577</v>
      </c>
      <c r="H367" t="s">
        <v>16</v>
      </c>
      <c r="I367" t="s">
        <v>33</v>
      </c>
      <c r="J367">
        <v>551</v>
      </c>
      <c r="K367" t="s">
        <v>26</v>
      </c>
      <c r="L367" s="2">
        <v>43644</v>
      </c>
      <c r="M367" t="s">
        <v>345</v>
      </c>
      <c r="N367" t="s">
        <v>220</v>
      </c>
      <c r="O367">
        <v>20088</v>
      </c>
      <c r="P367" t="s">
        <v>21</v>
      </c>
      <c r="Q367" t="str">
        <f>TEXT(Data_Set_3[[#This Row],[date]],"mmmm")</f>
        <v>June</v>
      </c>
      <c r="R367">
        <f>MONTH(Data_Set_3[[#This Row],[date]])</f>
        <v>6</v>
      </c>
      <c r="S367">
        <f>YEAR(Data_Set_3[[#This Row],[date]])</f>
        <v>2019</v>
      </c>
    </row>
    <row r="368" spans="1:19" x14ac:dyDescent="0.3">
      <c r="A368">
        <v>1298</v>
      </c>
      <c r="B368" t="s">
        <v>595</v>
      </c>
      <c r="C368" t="s">
        <v>293</v>
      </c>
      <c r="D368" t="s">
        <v>2900</v>
      </c>
      <c r="E368" t="s">
        <v>2901</v>
      </c>
      <c r="F368" t="s">
        <v>1539</v>
      </c>
      <c r="G368" t="s">
        <v>1952</v>
      </c>
      <c r="H368" t="s">
        <v>32</v>
      </c>
      <c r="I368" t="s">
        <v>543</v>
      </c>
      <c r="J368">
        <v>661</v>
      </c>
      <c r="K368" t="s">
        <v>73</v>
      </c>
      <c r="L368" s="2">
        <v>43645</v>
      </c>
      <c r="M368" t="s">
        <v>115</v>
      </c>
      <c r="N368" t="s">
        <v>351</v>
      </c>
      <c r="O368">
        <v>32891</v>
      </c>
      <c r="P368" t="s">
        <v>21</v>
      </c>
      <c r="Q368" t="str">
        <f>TEXT(Data_Set_3[[#This Row],[date]],"mmmm")</f>
        <v>June</v>
      </c>
      <c r="R368">
        <f>MONTH(Data_Set_3[[#This Row],[date]])</f>
        <v>6</v>
      </c>
      <c r="S368">
        <f>YEAR(Data_Set_3[[#This Row],[date]])</f>
        <v>2019</v>
      </c>
    </row>
    <row r="369" spans="1:19" x14ac:dyDescent="0.3">
      <c r="A369">
        <v>1559</v>
      </c>
      <c r="B369" t="s">
        <v>207</v>
      </c>
      <c r="C369" t="s">
        <v>207</v>
      </c>
      <c r="D369" t="s">
        <v>3260</v>
      </c>
      <c r="E369" t="s">
        <v>3261</v>
      </c>
      <c r="F369" t="s">
        <v>1563</v>
      </c>
      <c r="G369" t="s">
        <v>2396</v>
      </c>
      <c r="H369" t="s">
        <v>16</v>
      </c>
      <c r="I369" t="s">
        <v>543</v>
      </c>
      <c r="J369">
        <v>841</v>
      </c>
      <c r="K369" t="s">
        <v>34</v>
      </c>
      <c r="L369" s="2">
        <v>43647</v>
      </c>
      <c r="M369" t="s">
        <v>184</v>
      </c>
      <c r="N369" t="s">
        <v>319</v>
      </c>
      <c r="O369">
        <v>13505</v>
      </c>
      <c r="P369" t="s">
        <v>21</v>
      </c>
      <c r="Q369" t="str">
        <f>TEXT(Data_Set_3[[#This Row],[date]],"mmmm")</f>
        <v>July</v>
      </c>
      <c r="R369">
        <f>MONTH(Data_Set_3[[#This Row],[date]])</f>
        <v>7</v>
      </c>
      <c r="S369">
        <f>YEAR(Data_Set_3[[#This Row],[date]])</f>
        <v>2019</v>
      </c>
    </row>
    <row r="370" spans="1:19" x14ac:dyDescent="0.3">
      <c r="A370">
        <v>1689</v>
      </c>
      <c r="B370" t="s">
        <v>227</v>
      </c>
      <c r="C370" t="s">
        <v>307</v>
      </c>
      <c r="D370" t="s">
        <v>3262</v>
      </c>
      <c r="E370" t="s">
        <v>3263</v>
      </c>
      <c r="F370" t="s">
        <v>1998</v>
      </c>
      <c r="G370" t="s">
        <v>1363</v>
      </c>
      <c r="H370" t="s">
        <v>16</v>
      </c>
      <c r="I370" t="s">
        <v>17</v>
      </c>
      <c r="J370">
        <v>610</v>
      </c>
      <c r="K370" t="s">
        <v>62</v>
      </c>
      <c r="L370" s="2">
        <v>43647</v>
      </c>
      <c r="M370" t="s">
        <v>489</v>
      </c>
      <c r="N370" t="s">
        <v>972</v>
      </c>
      <c r="O370">
        <v>89714</v>
      </c>
      <c r="P370" t="s">
        <v>21</v>
      </c>
      <c r="Q370" t="str">
        <f>TEXT(Data_Set_3[[#This Row],[date]],"mmmm")</f>
        <v>July</v>
      </c>
      <c r="R370">
        <f>MONTH(Data_Set_3[[#This Row],[date]])</f>
        <v>7</v>
      </c>
      <c r="S370">
        <f>YEAR(Data_Set_3[[#This Row],[date]])</f>
        <v>2019</v>
      </c>
    </row>
    <row r="371" spans="1:19" x14ac:dyDescent="0.3">
      <c r="A371">
        <v>1277</v>
      </c>
      <c r="B371" t="s">
        <v>43</v>
      </c>
      <c r="C371" t="s">
        <v>783</v>
      </c>
      <c r="D371" t="s">
        <v>2861</v>
      </c>
      <c r="E371" t="s">
        <v>2862</v>
      </c>
      <c r="F371" t="s">
        <v>1850</v>
      </c>
      <c r="G371" t="s">
        <v>2219</v>
      </c>
      <c r="H371" t="s">
        <v>16</v>
      </c>
      <c r="I371" t="s">
        <v>454</v>
      </c>
      <c r="J371">
        <v>377</v>
      </c>
      <c r="K371" t="s">
        <v>416</v>
      </c>
      <c r="L371" s="2">
        <v>43648</v>
      </c>
      <c r="M371" t="s">
        <v>152</v>
      </c>
      <c r="N371" t="s">
        <v>251</v>
      </c>
      <c r="O371">
        <v>44310</v>
      </c>
      <c r="P371" t="s">
        <v>21</v>
      </c>
      <c r="Q371" t="str">
        <f>TEXT(Data_Set_3[[#This Row],[date]],"mmmm")</f>
        <v>July</v>
      </c>
      <c r="R371">
        <f>MONTH(Data_Set_3[[#This Row],[date]])</f>
        <v>7</v>
      </c>
      <c r="S371">
        <f>YEAR(Data_Set_3[[#This Row],[date]])</f>
        <v>2019</v>
      </c>
    </row>
    <row r="372" spans="1:19" x14ac:dyDescent="0.3">
      <c r="A372">
        <v>1920</v>
      </c>
      <c r="B372" t="s">
        <v>346</v>
      </c>
      <c r="C372" t="s">
        <v>752</v>
      </c>
      <c r="D372" t="s">
        <v>3264</v>
      </c>
      <c r="E372" t="s">
        <v>3265</v>
      </c>
      <c r="F372" t="s">
        <v>1481</v>
      </c>
      <c r="G372" t="s">
        <v>1429</v>
      </c>
      <c r="H372" t="s">
        <v>32</v>
      </c>
      <c r="I372" t="s">
        <v>454</v>
      </c>
      <c r="J372">
        <v>579</v>
      </c>
      <c r="K372" t="s">
        <v>18</v>
      </c>
      <c r="L372" s="2">
        <v>43650</v>
      </c>
      <c r="M372" t="s">
        <v>184</v>
      </c>
      <c r="N372" t="s">
        <v>197</v>
      </c>
      <c r="O372">
        <v>10099</v>
      </c>
      <c r="P372" t="s">
        <v>21</v>
      </c>
      <c r="Q372" t="str">
        <f>TEXT(Data_Set_3[[#This Row],[date]],"mmmm")</f>
        <v>July</v>
      </c>
      <c r="R372">
        <f>MONTH(Data_Set_3[[#This Row],[date]])</f>
        <v>7</v>
      </c>
      <c r="S372">
        <f>YEAR(Data_Set_3[[#This Row],[date]])</f>
        <v>2019</v>
      </c>
    </row>
    <row r="373" spans="1:19" x14ac:dyDescent="0.3">
      <c r="A373">
        <v>1043</v>
      </c>
      <c r="B373" t="s">
        <v>661</v>
      </c>
      <c r="C373" t="s">
        <v>883</v>
      </c>
      <c r="D373" t="s">
        <v>2987</v>
      </c>
      <c r="E373" t="s">
        <v>2988</v>
      </c>
      <c r="F373" t="s">
        <v>1353</v>
      </c>
      <c r="G373" t="s">
        <v>2546</v>
      </c>
      <c r="H373" t="s">
        <v>16</v>
      </c>
      <c r="I373" t="s">
        <v>17</v>
      </c>
      <c r="J373">
        <v>810</v>
      </c>
      <c r="K373" t="s">
        <v>164</v>
      </c>
      <c r="L373" s="2">
        <v>43653</v>
      </c>
      <c r="M373" t="s">
        <v>489</v>
      </c>
      <c r="N373" t="s">
        <v>490</v>
      </c>
      <c r="O373">
        <v>89140</v>
      </c>
      <c r="P373" t="s">
        <v>21</v>
      </c>
      <c r="Q373" t="str">
        <f>TEXT(Data_Set_3[[#This Row],[date]],"mmmm")</f>
        <v>July</v>
      </c>
      <c r="R373">
        <f>MONTH(Data_Set_3[[#This Row],[date]])</f>
        <v>7</v>
      </c>
      <c r="S373">
        <f>YEAR(Data_Set_3[[#This Row],[date]])</f>
        <v>2019</v>
      </c>
    </row>
    <row r="374" spans="1:19" x14ac:dyDescent="0.3">
      <c r="A374">
        <v>1001</v>
      </c>
      <c r="B374" t="s">
        <v>289</v>
      </c>
      <c r="C374" t="s">
        <v>1017</v>
      </c>
      <c r="D374" t="s">
        <v>2874</v>
      </c>
      <c r="E374" t="s">
        <v>2875</v>
      </c>
      <c r="F374" t="s">
        <v>2249</v>
      </c>
      <c r="G374" t="s">
        <v>1766</v>
      </c>
      <c r="H374" t="s">
        <v>16</v>
      </c>
      <c r="I374" t="s">
        <v>17</v>
      </c>
      <c r="J374">
        <v>80</v>
      </c>
      <c r="K374" t="s">
        <v>34</v>
      </c>
      <c r="L374" s="2">
        <v>43654</v>
      </c>
      <c r="M374" t="s">
        <v>68</v>
      </c>
      <c r="N374" t="s">
        <v>169</v>
      </c>
      <c r="O374">
        <v>88563</v>
      </c>
      <c r="P374" t="s">
        <v>21</v>
      </c>
      <c r="Q374" t="str">
        <f>TEXT(Data_Set_3[[#This Row],[date]],"mmmm")</f>
        <v>July</v>
      </c>
      <c r="R374">
        <f>MONTH(Data_Set_3[[#This Row],[date]])</f>
        <v>7</v>
      </c>
      <c r="S374">
        <f>YEAR(Data_Set_3[[#This Row],[date]])</f>
        <v>2019</v>
      </c>
    </row>
    <row r="375" spans="1:19" x14ac:dyDescent="0.3">
      <c r="A375">
        <v>1017</v>
      </c>
      <c r="B375" t="s">
        <v>803</v>
      </c>
      <c r="C375" t="s">
        <v>3048</v>
      </c>
      <c r="D375" t="s">
        <v>3049</v>
      </c>
      <c r="E375" t="s">
        <v>3050</v>
      </c>
      <c r="F375" t="s">
        <v>1306</v>
      </c>
      <c r="G375" t="s">
        <v>1845</v>
      </c>
      <c r="H375" t="s">
        <v>32</v>
      </c>
      <c r="I375" t="s">
        <v>17</v>
      </c>
      <c r="J375">
        <v>778</v>
      </c>
      <c r="K375" t="s">
        <v>26</v>
      </c>
      <c r="L375" s="2">
        <v>43654</v>
      </c>
      <c r="M375" t="s">
        <v>246</v>
      </c>
      <c r="N375" t="s">
        <v>339</v>
      </c>
      <c r="O375">
        <v>60663</v>
      </c>
      <c r="P375" t="s">
        <v>21</v>
      </c>
      <c r="Q375" t="str">
        <f>TEXT(Data_Set_3[[#This Row],[date]],"mmmm")</f>
        <v>July</v>
      </c>
      <c r="R375">
        <f>MONTH(Data_Set_3[[#This Row],[date]])</f>
        <v>7</v>
      </c>
      <c r="S375">
        <f>YEAR(Data_Set_3[[#This Row],[date]])</f>
        <v>2019</v>
      </c>
    </row>
    <row r="376" spans="1:19" x14ac:dyDescent="0.3">
      <c r="A376">
        <v>1468</v>
      </c>
      <c r="B376" t="s">
        <v>2915</v>
      </c>
      <c r="C376" t="s">
        <v>722</v>
      </c>
      <c r="D376" t="s">
        <v>2916</v>
      </c>
      <c r="E376" t="s">
        <v>2917</v>
      </c>
      <c r="F376" t="s">
        <v>2918</v>
      </c>
      <c r="G376" t="s">
        <v>1559</v>
      </c>
      <c r="H376" t="s">
        <v>32</v>
      </c>
      <c r="I376" t="s">
        <v>33</v>
      </c>
      <c r="J376">
        <v>178</v>
      </c>
      <c r="K376" t="s">
        <v>259</v>
      </c>
      <c r="L376" s="2">
        <v>43655</v>
      </c>
      <c r="M376" t="s">
        <v>120</v>
      </c>
      <c r="N376" t="s">
        <v>718</v>
      </c>
      <c r="O376">
        <v>70116</v>
      </c>
      <c r="P376" t="s">
        <v>21</v>
      </c>
      <c r="Q376" t="str">
        <f>TEXT(Data_Set_3[[#This Row],[date]],"mmmm")</f>
        <v>July</v>
      </c>
      <c r="R376">
        <f>MONTH(Data_Set_3[[#This Row],[date]])</f>
        <v>7</v>
      </c>
      <c r="S376">
        <f>YEAR(Data_Set_3[[#This Row],[date]])</f>
        <v>2019</v>
      </c>
    </row>
    <row r="377" spans="1:19" x14ac:dyDescent="0.3">
      <c r="A377">
        <v>1992</v>
      </c>
      <c r="B377" t="s">
        <v>630</v>
      </c>
      <c r="C377" t="s">
        <v>3068</v>
      </c>
      <c r="D377" t="s">
        <v>3069</v>
      </c>
      <c r="E377" t="s">
        <v>3070</v>
      </c>
      <c r="F377" t="s">
        <v>1993</v>
      </c>
      <c r="G377" t="s">
        <v>2735</v>
      </c>
      <c r="H377" t="s">
        <v>32</v>
      </c>
      <c r="I377" t="s">
        <v>33</v>
      </c>
      <c r="J377">
        <v>819</v>
      </c>
      <c r="K377" t="s">
        <v>26</v>
      </c>
      <c r="L377" s="2">
        <v>43658</v>
      </c>
      <c r="M377" t="s">
        <v>96</v>
      </c>
      <c r="N377" t="s">
        <v>3071</v>
      </c>
      <c r="O377">
        <v>47306</v>
      </c>
      <c r="P377" t="s">
        <v>21</v>
      </c>
      <c r="Q377" t="str">
        <f>TEXT(Data_Set_3[[#This Row],[date]],"mmmm")</f>
        <v>July</v>
      </c>
      <c r="R377">
        <f>MONTH(Data_Set_3[[#This Row],[date]])</f>
        <v>7</v>
      </c>
      <c r="S377">
        <f>YEAR(Data_Set_3[[#This Row],[date]])</f>
        <v>2019</v>
      </c>
    </row>
    <row r="378" spans="1:19" x14ac:dyDescent="0.3">
      <c r="A378">
        <v>1523</v>
      </c>
      <c r="B378" t="s">
        <v>190</v>
      </c>
      <c r="C378" t="s">
        <v>883</v>
      </c>
      <c r="D378" t="s">
        <v>3266</v>
      </c>
      <c r="E378" t="s">
        <v>3267</v>
      </c>
      <c r="F378" t="s">
        <v>1491</v>
      </c>
      <c r="G378" t="s">
        <v>2571</v>
      </c>
      <c r="H378" t="s">
        <v>16</v>
      </c>
      <c r="I378" t="s">
        <v>2941</v>
      </c>
      <c r="J378">
        <v>535</v>
      </c>
      <c r="K378" t="s">
        <v>26</v>
      </c>
      <c r="L378" s="2">
        <v>43660</v>
      </c>
      <c r="M378" t="s">
        <v>68</v>
      </c>
      <c r="N378" t="s">
        <v>475</v>
      </c>
      <c r="O378">
        <v>75387</v>
      </c>
      <c r="P378" t="s">
        <v>21</v>
      </c>
      <c r="Q378" t="str">
        <f>TEXT(Data_Set_3[[#This Row],[date]],"mmmm")</f>
        <v>July</v>
      </c>
      <c r="R378">
        <f>MONTH(Data_Set_3[[#This Row],[date]])</f>
        <v>7</v>
      </c>
      <c r="S378">
        <f>YEAR(Data_Set_3[[#This Row],[date]])</f>
        <v>2019</v>
      </c>
    </row>
    <row r="379" spans="1:19" x14ac:dyDescent="0.3">
      <c r="A379">
        <v>1039</v>
      </c>
      <c r="B379" t="s">
        <v>1245</v>
      </c>
      <c r="C379" t="s">
        <v>883</v>
      </c>
      <c r="D379" t="s">
        <v>3128</v>
      </c>
      <c r="E379" t="s">
        <v>3129</v>
      </c>
      <c r="F379" t="s">
        <v>1901</v>
      </c>
      <c r="G379" t="s">
        <v>2508</v>
      </c>
      <c r="H379" t="s">
        <v>16</v>
      </c>
      <c r="I379" t="s">
        <v>17</v>
      </c>
      <c r="J379">
        <v>657</v>
      </c>
      <c r="K379" t="s">
        <v>57</v>
      </c>
      <c r="L379" s="2">
        <v>43661</v>
      </c>
      <c r="M379" t="s">
        <v>41</v>
      </c>
      <c r="N379" t="s">
        <v>42</v>
      </c>
      <c r="O379">
        <v>40298</v>
      </c>
      <c r="P379" t="s">
        <v>21</v>
      </c>
      <c r="Q379" t="str">
        <f>TEXT(Data_Set_3[[#This Row],[date]],"mmmm")</f>
        <v>July</v>
      </c>
      <c r="R379">
        <f>MONTH(Data_Set_3[[#This Row],[date]])</f>
        <v>7</v>
      </c>
      <c r="S379">
        <f>YEAR(Data_Set_3[[#This Row],[date]])</f>
        <v>2019</v>
      </c>
    </row>
    <row r="380" spans="1:19" x14ac:dyDescent="0.3">
      <c r="A380">
        <v>1597</v>
      </c>
      <c r="B380" t="s">
        <v>627</v>
      </c>
      <c r="C380" t="s">
        <v>249</v>
      </c>
      <c r="D380" t="s">
        <v>3268</v>
      </c>
      <c r="E380" t="s">
        <v>3269</v>
      </c>
      <c r="F380" t="s">
        <v>1584</v>
      </c>
      <c r="G380" t="s">
        <v>3270</v>
      </c>
      <c r="H380" t="s">
        <v>16</v>
      </c>
      <c r="I380" t="s">
        <v>361</v>
      </c>
      <c r="J380">
        <v>330</v>
      </c>
      <c r="K380" t="s">
        <v>26</v>
      </c>
      <c r="L380" s="2">
        <v>43661</v>
      </c>
      <c r="M380" t="s">
        <v>74</v>
      </c>
      <c r="N380" t="s">
        <v>711</v>
      </c>
      <c r="O380">
        <v>30066</v>
      </c>
      <c r="P380" t="s">
        <v>21</v>
      </c>
      <c r="Q380" t="str">
        <f>TEXT(Data_Set_3[[#This Row],[date]],"mmmm")</f>
        <v>July</v>
      </c>
      <c r="R380">
        <f>MONTH(Data_Set_3[[#This Row],[date]])</f>
        <v>7</v>
      </c>
      <c r="S380">
        <f>YEAR(Data_Set_3[[#This Row],[date]])</f>
        <v>2019</v>
      </c>
    </row>
    <row r="381" spans="1:19" x14ac:dyDescent="0.3">
      <c r="A381">
        <v>1607</v>
      </c>
      <c r="B381" t="s">
        <v>2809</v>
      </c>
      <c r="C381" t="s">
        <v>978</v>
      </c>
      <c r="D381" t="s">
        <v>3271</v>
      </c>
      <c r="E381" t="s">
        <v>3272</v>
      </c>
      <c r="F381" t="s">
        <v>3273</v>
      </c>
      <c r="G381" t="s">
        <v>1520</v>
      </c>
      <c r="H381" t="s">
        <v>32</v>
      </c>
      <c r="I381" t="s">
        <v>543</v>
      </c>
      <c r="J381">
        <v>73</v>
      </c>
      <c r="K381" t="s">
        <v>73</v>
      </c>
      <c r="L381" s="2">
        <v>43664</v>
      </c>
      <c r="M381" t="s">
        <v>68</v>
      </c>
      <c r="N381" t="s">
        <v>2937</v>
      </c>
      <c r="O381">
        <v>78410</v>
      </c>
      <c r="P381" t="s">
        <v>21</v>
      </c>
      <c r="Q381" t="str">
        <f>TEXT(Data_Set_3[[#This Row],[date]],"mmmm")</f>
        <v>July</v>
      </c>
      <c r="R381">
        <f>MONTH(Data_Set_3[[#This Row],[date]])</f>
        <v>7</v>
      </c>
      <c r="S381">
        <f>YEAR(Data_Set_3[[#This Row],[date]])</f>
        <v>2019</v>
      </c>
    </row>
    <row r="382" spans="1:19" x14ac:dyDescent="0.3">
      <c r="A382">
        <v>1684</v>
      </c>
      <c r="B382" t="s">
        <v>243</v>
      </c>
      <c r="C382" t="s">
        <v>954</v>
      </c>
      <c r="D382" t="s">
        <v>3274</v>
      </c>
      <c r="E382" t="s">
        <v>3275</v>
      </c>
      <c r="F382" t="s">
        <v>1533</v>
      </c>
      <c r="G382" t="s">
        <v>1886</v>
      </c>
      <c r="H382" t="s">
        <v>16</v>
      </c>
      <c r="I382" t="s">
        <v>17</v>
      </c>
      <c r="J382">
        <v>841</v>
      </c>
      <c r="K382" t="s">
        <v>34</v>
      </c>
      <c r="L382" s="2">
        <v>43664</v>
      </c>
      <c r="M382" t="s">
        <v>125</v>
      </c>
      <c r="N382" t="s">
        <v>126</v>
      </c>
      <c r="O382">
        <v>63116</v>
      </c>
      <c r="P382" t="s">
        <v>21</v>
      </c>
      <c r="Q382" t="str">
        <f>TEXT(Data_Set_3[[#This Row],[date]],"mmmm")</f>
        <v>July</v>
      </c>
      <c r="R382">
        <f>MONTH(Data_Set_3[[#This Row],[date]])</f>
        <v>7</v>
      </c>
      <c r="S382">
        <f>YEAR(Data_Set_3[[#This Row],[date]])</f>
        <v>2019</v>
      </c>
    </row>
    <row r="383" spans="1:19" x14ac:dyDescent="0.3">
      <c r="A383">
        <v>1747</v>
      </c>
      <c r="B383" t="s">
        <v>256</v>
      </c>
      <c r="C383" t="s">
        <v>307</v>
      </c>
      <c r="D383" t="s">
        <v>3276</v>
      </c>
      <c r="E383" t="s">
        <v>3277</v>
      </c>
      <c r="F383" t="s">
        <v>1367</v>
      </c>
      <c r="G383" t="s">
        <v>1324</v>
      </c>
      <c r="H383" t="s">
        <v>32</v>
      </c>
      <c r="I383" t="s">
        <v>25</v>
      </c>
      <c r="J383">
        <v>641</v>
      </c>
      <c r="K383" t="s">
        <v>26</v>
      </c>
      <c r="L383" s="2">
        <v>43667</v>
      </c>
      <c r="M383" t="s">
        <v>68</v>
      </c>
      <c r="N383" t="s">
        <v>234</v>
      </c>
      <c r="O383">
        <v>77250</v>
      </c>
      <c r="P383" t="s">
        <v>21</v>
      </c>
      <c r="Q383" t="str">
        <f>TEXT(Data_Set_3[[#This Row],[date]],"mmmm")</f>
        <v>July</v>
      </c>
      <c r="R383">
        <f>MONTH(Data_Set_3[[#This Row],[date]])</f>
        <v>7</v>
      </c>
      <c r="S383">
        <f>YEAR(Data_Set_3[[#This Row],[date]])</f>
        <v>2019</v>
      </c>
    </row>
    <row r="384" spans="1:19" x14ac:dyDescent="0.3">
      <c r="A384">
        <v>1077</v>
      </c>
      <c r="B384" t="s">
        <v>3278</v>
      </c>
      <c r="C384" t="s">
        <v>3279</v>
      </c>
      <c r="D384" t="s">
        <v>3280</v>
      </c>
      <c r="E384" t="s">
        <v>3281</v>
      </c>
      <c r="F384" t="s">
        <v>2482</v>
      </c>
      <c r="G384" t="s">
        <v>1786</v>
      </c>
      <c r="H384" t="s">
        <v>16</v>
      </c>
      <c r="I384" t="s">
        <v>51</v>
      </c>
      <c r="J384">
        <v>26</v>
      </c>
      <c r="K384" t="s">
        <v>26</v>
      </c>
      <c r="L384" s="2">
        <v>43669</v>
      </c>
      <c r="M384" t="s">
        <v>230</v>
      </c>
      <c r="N384" t="s">
        <v>3127</v>
      </c>
      <c r="O384">
        <v>28305</v>
      </c>
      <c r="P384" t="s">
        <v>21</v>
      </c>
      <c r="Q384" t="str">
        <f>TEXT(Data_Set_3[[#This Row],[date]],"mmmm")</f>
        <v>July</v>
      </c>
      <c r="R384">
        <f>MONTH(Data_Set_3[[#This Row],[date]])</f>
        <v>7</v>
      </c>
      <c r="S384">
        <f>YEAR(Data_Set_3[[#This Row],[date]])</f>
        <v>2019</v>
      </c>
    </row>
    <row r="385" spans="1:19" x14ac:dyDescent="0.3">
      <c r="A385">
        <v>1298</v>
      </c>
      <c r="B385" t="s">
        <v>595</v>
      </c>
      <c r="C385" t="s">
        <v>293</v>
      </c>
      <c r="D385" t="s">
        <v>2900</v>
      </c>
      <c r="E385" t="s">
        <v>2901</v>
      </c>
      <c r="F385" t="s">
        <v>1539</v>
      </c>
      <c r="G385" t="s">
        <v>1952</v>
      </c>
      <c r="H385" t="s">
        <v>32</v>
      </c>
      <c r="I385" t="s">
        <v>543</v>
      </c>
      <c r="J385">
        <v>507</v>
      </c>
      <c r="K385" t="s">
        <v>73</v>
      </c>
      <c r="L385" s="2">
        <v>43669</v>
      </c>
      <c r="M385" t="s">
        <v>115</v>
      </c>
      <c r="N385" t="s">
        <v>351</v>
      </c>
      <c r="O385">
        <v>32891</v>
      </c>
      <c r="P385" t="s">
        <v>21</v>
      </c>
      <c r="Q385" t="str">
        <f>TEXT(Data_Set_3[[#This Row],[date]],"mmmm")</f>
        <v>July</v>
      </c>
      <c r="R385">
        <f>MONTH(Data_Set_3[[#This Row],[date]])</f>
        <v>7</v>
      </c>
      <c r="S385">
        <f>YEAR(Data_Set_3[[#This Row],[date]])</f>
        <v>2019</v>
      </c>
    </row>
    <row r="386" spans="1:19" x14ac:dyDescent="0.3">
      <c r="A386">
        <v>1773</v>
      </c>
      <c r="B386" t="s">
        <v>569</v>
      </c>
      <c r="C386" t="s">
        <v>1240</v>
      </c>
      <c r="D386" t="s">
        <v>3282</v>
      </c>
      <c r="E386" t="s">
        <v>3283</v>
      </c>
      <c r="F386" t="s">
        <v>2255</v>
      </c>
      <c r="G386" t="s">
        <v>2016</v>
      </c>
      <c r="H386" t="s">
        <v>16</v>
      </c>
      <c r="I386" t="s">
        <v>25</v>
      </c>
      <c r="J386">
        <v>195</v>
      </c>
      <c r="K386" t="s">
        <v>26</v>
      </c>
      <c r="L386" s="2">
        <v>43669</v>
      </c>
      <c r="M386" t="s">
        <v>110</v>
      </c>
      <c r="N386" t="s">
        <v>160</v>
      </c>
      <c r="O386">
        <v>19125</v>
      </c>
      <c r="P386" t="s">
        <v>21</v>
      </c>
      <c r="Q386" t="str">
        <f>TEXT(Data_Set_3[[#This Row],[date]],"mmmm")</f>
        <v>July</v>
      </c>
      <c r="R386">
        <f>MONTH(Data_Set_3[[#This Row],[date]])</f>
        <v>7</v>
      </c>
      <c r="S386">
        <f>YEAR(Data_Set_3[[#This Row],[date]])</f>
        <v>2019</v>
      </c>
    </row>
    <row r="387" spans="1:19" x14ac:dyDescent="0.3">
      <c r="A387">
        <v>1958</v>
      </c>
      <c r="B387" t="s">
        <v>654</v>
      </c>
      <c r="C387" t="s">
        <v>954</v>
      </c>
      <c r="D387" t="s">
        <v>3284</v>
      </c>
      <c r="E387" t="s">
        <v>3285</v>
      </c>
      <c r="F387" t="s">
        <v>2297</v>
      </c>
      <c r="G387" t="s">
        <v>1615</v>
      </c>
      <c r="H387" t="s">
        <v>32</v>
      </c>
      <c r="I387" t="s">
        <v>406</v>
      </c>
      <c r="J387">
        <v>146</v>
      </c>
      <c r="K387" t="s">
        <v>18</v>
      </c>
      <c r="L387" s="2">
        <v>43669</v>
      </c>
      <c r="M387" t="s">
        <v>110</v>
      </c>
      <c r="N387" t="s">
        <v>160</v>
      </c>
      <c r="O387">
        <v>19196</v>
      </c>
      <c r="P387" t="s">
        <v>21</v>
      </c>
      <c r="Q387" t="str">
        <f>TEXT(Data_Set_3[[#This Row],[date]],"mmmm")</f>
        <v>July</v>
      </c>
      <c r="R387">
        <f>MONTH(Data_Set_3[[#This Row],[date]])</f>
        <v>7</v>
      </c>
      <c r="S387">
        <f>YEAR(Data_Set_3[[#This Row],[date]])</f>
        <v>2019</v>
      </c>
    </row>
    <row r="388" spans="1:19" x14ac:dyDescent="0.3">
      <c r="A388">
        <v>1449</v>
      </c>
      <c r="B388" t="s">
        <v>2925</v>
      </c>
      <c r="C388" t="s">
        <v>978</v>
      </c>
      <c r="D388" t="s">
        <v>3286</v>
      </c>
      <c r="E388" t="s">
        <v>3287</v>
      </c>
      <c r="F388" t="s">
        <v>1351</v>
      </c>
      <c r="G388" t="s">
        <v>2219</v>
      </c>
      <c r="H388" t="s">
        <v>32</v>
      </c>
      <c r="I388" t="s">
        <v>25</v>
      </c>
      <c r="J388">
        <v>96</v>
      </c>
      <c r="K388" t="s">
        <v>26</v>
      </c>
      <c r="L388" s="2">
        <v>43670</v>
      </c>
      <c r="M388" t="s">
        <v>393</v>
      </c>
      <c r="N388" t="s">
        <v>459</v>
      </c>
      <c r="O388">
        <v>37220</v>
      </c>
      <c r="P388" t="s">
        <v>21</v>
      </c>
      <c r="Q388" t="str">
        <f>TEXT(Data_Set_3[[#This Row],[date]],"mmmm")</f>
        <v>July</v>
      </c>
      <c r="R388">
        <f>MONTH(Data_Set_3[[#This Row],[date]])</f>
        <v>7</v>
      </c>
      <c r="S388">
        <f>YEAR(Data_Set_3[[#This Row],[date]])</f>
        <v>2019</v>
      </c>
    </row>
    <row r="389" spans="1:19" x14ac:dyDescent="0.3">
      <c r="A389">
        <v>1259</v>
      </c>
      <c r="B389" t="s">
        <v>627</v>
      </c>
      <c r="C389" t="s">
        <v>835</v>
      </c>
      <c r="D389" t="s">
        <v>3288</v>
      </c>
      <c r="E389" t="s">
        <v>3289</v>
      </c>
      <c r="F389" t="s">
        <v>1442</v>
      </c>
      <c r="G389" t="s">
        <v>2265</v>
      </c>
      <c r="H389" t="s">
        <v>16</v>
      </c>
      <c r="I389" t="s">
        <v>2821</v>
      </c>
      <c r="J389">
        <v>242</v>
      </c>
      <c r="K389" t="s">
        <v>26</v>
      </c>
      <c r="L389" s="2">
        <v>43672</v>
      </c>
      <c r="M389" t="s">
        <v>115</v>
      </c>
      <c r="N389" t="s">
        <v>3290</v>
      </c>
      <c r="O389">
        <v>33811</v>
      </c>
      <c r="P389" t="s">
        <v>21</v>
      </c>
      <c r="Q389" t="str">
        <f>TEXT(Data_Set_3[[#This Row],[date]],"mmmm")</f>
        <v>July</v>
      </c>
      <c r="R389">
        <f>MONTH(Data_Set_3[[#This Row],[date]])</f>
        <v>7</v>
      </c>
      <c r="S389">
        <f>YEAR(Data_Set_3[[#This Row],[date]])</f>
        <v>2019</v>
      </c>
    </row>
    <row r="390" spans="1:19" x14ac:dyDescent="0.3">
      <c r="A390">
        <v>1966</v>
      </c>
      <c r="B390" t="s">
        <v>346</v>
      </c>
      <c r="C390" t="s">
        <v>353</v>
      </c>
      <c r="D390" t="s">
        <v>3291</v>
      </c>
      <c r="E390" t="s">
        <v>3292</v>
      </c>
      <c r="F390" t="s">
        <v>2129</v>
      </c>
      <c r="G390" t="s">
        <v>1794</v>
      </c>
      <c r="H390" t="s">
        <v>32</v>
      </c>
      <c r="I390" t="s">
        <v>274</v>
      </c>
      <c r="J390">
        <v>59</v>
      </c>
      <c r="K390" t="s">
        <v>95</v>
      </c>
      <c r="L390" s="2">
        <v>43672</v>
      </c>
      <c r="M390" t="s">
        <v>230</v>
      </c>
      <c r="N390" t="s">
        <v>260</v>
      </c>
      <c r="O390">
        <v>28247</v>
      </c>
      <c r="P390" t="s">
        <v>21</v>
      </c>
      <c r="Q390" t="str">
        <f>TEXT(Data_Set_3[[#This Row],[date]],"mmmm")</f>
        <v>July</v>
      </c>
      <c r="R390">
        <f>MONTH(Data_Set_3[[#This Row],[date]])</f>
        <v>7</v>
      </c>
      <c r="S390">
        <f>YEAR(Data_Set_3[[#This Row],[date]])</f>
        <v>2019</v>
      </c>
    </row>
    <row r="391" spans="1:19" x14ac:dyDescent="0.3">
      <c r="A391">
        <v>1988</v>
      </c>
      <c r="B391" t="s">
        <v>395</v>
      </c>
      <c r="C391" t="s">
        <v>1077</v>
      </c>
      <c r="D391" t="s">
        <v>3293</v>
      </c>
      <c r="E391" t="s">
        <v>3294</v>
      </c>
      <c r="F391" t="s">
        <v>1406</v>
      </c>
      <c r="G391" t="s">
        <v>1936</v>
      </c>
      <c r="H391" t="s">
        <v>32</v>
      </c>
      <c r="I391" t="s">
        <v>33</v>
      </c>
      <c r="J391">
        <v>691</v>
      </c>
      <c r="K391" t="s">
        <v>26</v>
      </c>
      <c r="L391" s="2">
        <v>43672</v>
      </c>
      <c r="M391" t="s">
        <v>46</v>
      </c>
      <c r="N391" t="s">
        <v>692</v>
      </c>
      <c r="O391">
        <v>6912</v>
      </c>
      <c r="P391" t="s">
        <v>21</v>
      </c>
      <c r="Q391" t="str">
        <f>TEXT(Data_Set_3[[#This Row],[date]],"mmmm")</f>
        <v>July</v>
      </c>
      <c r="R391">
        <f>MONTH(Data_Set_3[[#This Row],[date]])</f>
        <v>7</v>
      </c>
      <c r="S391">
        <f>YEAR(Data_Set_3[[#This Row],[date]])</f>
        <v>2019</v>
      </c>
    </row>
    <row r="392" spans="1:19" x14ac:dyDescent="0.3">
      <c r="A392">
        <v>1095</v>
      </c>
      <c r="B392" t="s">
        <v>395</v>
      </c>
      <c r="C392" t="s">
        <v>876</v>
      </c>
      <c r="D392" t="s">
        <v>2989</v>
      </c>
      <c r="E392" t="s">
        <v>2990</v>
      </c>
      <c r="F392" t="s">
        <v>1323</v>
      </c>
      <c r="G392" t="s">
        <v>1453</v>
      </c>
      <c r="H392" t="s">
        <v>32</v>
      </c>
      <c r="I392" t="s">
        <v>51</v>
      </c>
      <c r="J392">
        <v>152</v>
      </c>
      <c r="K392" t="s">
        <v>34</v>
      </c>
      <c r="L392" s="2">
        <v>43673</v>
      </c>
      <c r="M392" t="s">
        <v>68</v>
      </c>
      <c r="N392" t="s">
        <v>234</v>
      </c>
      <c r="O392">
        <v>77040</v>
      </c>
      <c r="P392" t="s">
        <v>21</v>
      </c>
      <c r="Q392" t="str">
        <f>TEXT(Data_Set_3[[#This Row],[date]],"mmmm")</f>
        <v>July</v>
      </c>
      <c r="R392">
        <f>MONTH(Data_Set_3[[#This Row],[date]])</f>
        <v>7</v>
      </c>
      <c r="S392">
        <f>YEAR(Data_Set_3[[#This Row],[date]])</f>
        <v>2019</v>
      </c>
    </row>
    <row r="393" spans="1:19" x14ac:dyDescent="0.3">
      <c r="A393">
        <v>1084</v>
      </c>
      <c r="B393" t="s">
        <v>809</v>
      </c>
      <c r="C393" t="s">
        <v>1006</v>
      </c>
      <c r="D393" t="s">
        <v>2844</v>
      </c>
      <c r="E393" t="s">
        <v>2845</v>
      </c>
      <c r="F393" t="s">
        <v>2124</v>
      </c>
      <c r="G393" t="s">
        <v>1952</v>
      </c>
      <c r="H393" t="s">
        <v>16</v>
      </c>
      <c r="I393" t="s">
        <v>51</v>
      </c>
      <c r="J393">
        <v>629</v>
      </c>
      <c r="K393" t="s">
        <v>26</v>
      </c>
      <c r="L393" s="2">
        <v>43674</v>
      </c>
      <c r="M393" t="s">
        <v>19</v>
      </c>
      <c r="N393" t="s">
        <v>2846</v>
      </c>
      <c r="O393">
        <v>2453</v>
      </c>
      <c r="P393" t="s">
        <v>21</v>
      </c>
      <c r="Q393" t="str">
        <f>TEXT(Data_Set_3[[#This Row],[date]],"mmmm")</f>
        <v>July</v>
      </c>
      <c r="R393">
        <f>MONTH(Data_Set_3[[#This Row],[date]])</f>
        <v>7</v>
      </c>
      <c r="S393">
        <f>YEAR(Data_Set_3[[#This Row],[date]])</f>
        <v>2019</v>
      </c>
    </row>
    <row r="394" spans="1:19" x14ac:dyDescent="0.3">
      <c r="A394">
        <v>1298</v>
      </c>
      <c r="B394" t="s">
        <v>595</v>
      </c>
      <c r="C394" t="s">
        <v>293</v>
      </c>
      <c r="D394" t="s">
        <v>2900</v>
      </c>
      <c r="E394" t="s">
        <v>2901</v>
      </c>
      <c r="F394" t="s">
        <v>1539</v>
      </c>
      <c r="G394" t="s">
        <v>1952</v>
      </c>
      <c r="H394" t="s">
        <v>32</v>
      </c>
      <c r="I394" t="s">
        <v>543</v>
      </c>
      <c r="J394">
        <v>879</v>
      </c>
      <c r="K394" t="s">
        <v>73</v>
      </c>
      <c r="L394" s="2">
        <v>43674</v>
      </c>
      <c r="M394" t="s">
        <v>115</v>
      </c>
      <c r="N394" t="s">
        <v>351</v>
      </c>
      <c r="O394">
        <v>32891</v>
      </c>
      <c r="P394" t="s">
        <v>21</v>
      </c>
      <c r="Q394" t="str">
        <f>TEXT(Data_Set_3[[#This Row],[date]],"mmmm")</f>
        <v>July</v>
      </c>
      <c r="R394">
        <f>MONTH(Data_Set_3[[#This Row],[date]])</f>
        <v>7</v>
      </c>
      <c r="S394">
        <f>YEAR(Data_Set_3[[#This Row],[date]])</f>
        <v>2019</v>
      </c>
    </row>
    <row r="395" spans="1:19" x14ac:dyDescent="0.3">
      <c r="A395">
        <v>1994</v>
      </c>
      <c r="B395" t="s">
        <v>336</v>
      </c>
      <c r="C395" t="s">
        <v>482</v>
      </c>
      <c r="D395" t="s">
        <v>3081</v>
      </c>
      <c r="E395" t="s">
        <v>3082</v>
      </c>
      <c r="F395" t="s">
        <v>1412</v>
      </c>
      <c r="G395" t="s">
        <v>2533</v>
      </c>
      <c r="H395" t="s">
        <v>16</v>
      </c>
      <c r="I395" t="s">
        <v>33</v>
      </c>
      <c r="J395">
        <v>598</v>
      </c>
      <c r="K395" t="s">
        <v>26</v>
      </c>
      <c r="L395" s="2">
        <v>43674</v>
      </c>
      <c r="M395" t="s">
        <v>246</v>
      </c>
      <c r="N395" t="s">
        <v>868</v>
      </c>
      <c r="O395">
        <v>61651</v>
      </c>
      <c r="P395" t="s">
        <v>21</v>
      </c>
      <c r="Q395" t="str">
        <f>TEXT(Data_Set_3[[#This Row],[date]],"mmmm")</f>
        <v>July</v>
      </c>
      <c r="R395">
        <f>MONTH(Data_Set_3[[#This Row],[date]])</f>
        <v>7</v>
      </c>
      <c r="S395">
        <f>YEAR(Data_Set_3[[#This Row],[date]])</f>
        <v>2019</v>
      </c>
    </row>
    <row r="396" spans="1:19" x14ac:dyDescent="0.3">
      <c r="A396">
        <v>1298</v>
      </c>
      <c r="B396" t="s">
        <v>595</v>
      </c>
      <c r="C396" t="s">
        <v>293</v>
      </c>
      <c r="D396" t="s">
        <v>2900</v>
      </c>
      <c r="E396" t="s">
        <v>2901</v>
      </c>
      <c r="F396" t="s">
        <v>1539</v>
      </c>
      <c r="G396" t="s">
        <v>1952</v>
      </c>
      <c r="H396" t="s">
        <v>32</v>
      </c>
      <c r="I396" t="s">
        <v>543</v>
      </c>
      <c r="J396">
        <v>616</v>
      </c>
      <c r="K396" t="s">
        <v>73</v>
      </c>
      <c r="L396" s="2">
        <v>43677</v>
      </c>
      <c r="M396" t="s">
        <v>115</v>
      </c>
      <c r="N396" t="s">
        <v>351</v>
      </c>
      <c r="O396">
        <v>32891</v>
      </c>
      <c r="P396" t="s">
        <v>21</v>
      </c>
      <c r="Q396" t="str">
        <f>TEXT(Data_Set_3[[#This Row],[date]],"mmmm")</f>
        <v>July</v>
      </c>
      <c r="R396">
        <f>MONTH(Data_Set_3[[#This Row],[date]])</f>
        <v>7</v>
      </c>
      <c r="S396">
        <f>YEAR(Data_Set_3[[#This Row],[date]])</f>
        <v>2019</v>
      </c>
    </row>
    <row r="397" spans="1:19" x14ac:dyDescent="0.3">
      <c r="A397">
        <v>1234</v>
      </c>
      <c r="B397" t="s">
        <v>2806</v>
      </c>
      <c r="C397" t="s">
        <v>752</v>
      </c>
      <c r="D397" t="s">
        <v>2807</v>
      </c>
      <c r="E397" t="s">
        <v>2808</v>
      </c>
      <c r="F397" t="s">
        <v>1460</v>
      </c>
      <c r="G397" t="s">
        <v>2125</v>
      </c>
      <c r="H397" t="s">
        <v>16</v>
      </c>
      <c r="I397" t="s">
        <v>33</v>
      </c>
      <c r="J397">
        <v>545</v>
      </c>
      <c r="K397" t="s">
        <v>62</v>
      </c>
      <c r="L397" s="2">
        <v>43678</v>
      </c>
      <c r="M397" t="s">
        <v>68</v>
      </c>
      <c r="N397" t="s">
        <v>69</v>
      </c>
      <c r="O397">
        <v>78710</v>
      </c>
      <c r="P397" t="s">
        <v>21</v>
      </c>
      <c r="Q397" t="str">
        <f>TEXT(Data_Set_3[[#This Row],[date]],"mmmm")</f>
        <v>August</v>
      </c>
      <c r="R397">
        <f>MONTH(Data_Set_3[[#This Row],[date]])</f>
        <v>8</v>
      </c>
      <c r="S397">
        <f>YEAR(Data_Set_3[[#This Row],[date]])</f>
        <v>2019</v>
      </c>
    </row>
    <row r="398" spans="1:19" x14ac:dyDescent="0.3">
      <c r="A398">
        <v>1933</v>
      </c>
      <c r="B398" t="s">
        <v>1130</v>
      </c>
      <c r="C398" t="s">
        <v>317</v>
      </c>
      <c r="D398" t="s">
        <v>3295</v>
      </c>
      <c r="E398" t="s">
        <v>3296</v>
      </c>
      <c r="F398" t="s">
        <v>1916</v>
      </c>
      <c r="G398" t="s">
        <v>1952</v>
      </c>
      <c r="H398" t="s">
        <v>16</v>
      </c>
      <c r="I398" t="s">
        <v>33</v>
      </c>
      <c r="J398">
        <v>890</v>
      </c>
      <c r="K398" t="s">
        <v>26</v>
      </c>
      <c r="L398" s="2">
        <v>43678</v>
      </c>
      <c r="M398" t="s">
        <v>19</v>
      </c>
      <c r="N398" t="s">
        <v>3297</v>
      </c>
      <c r="O398">
        <v>1813</v>
      </c>
      <c r="P398" t="s">
        <v>21</v>
      </c>
      <c r="Q398" t="str">
        <f>TEXT(Data_Set_3[[#This Row],[date]],"mmmm")</f>
        <v>August</v>
      </c>
      <c r="R398">
        <f>MONTH(Data_Set_3[[#This Row],[date]])</f>
        <v>8</v>
      </c>
      <c r="S398">
        <f>YEAR(Data_Set_3[[#This Row],[date]])</f>
        <v>2019</v>
      </c>
    </row>
    <row r="399" spans="1:19" x14ac:dyDescent="0.3">
      <c r="A399">
        <v>1277</v>
      </c>
      <c r="B399" t="s">
        <v>43</v>
      </c>
      <c r="C399" t="s">
        <v>783</v>
      </c>
      <c r="D399" t="s">
        <v>2861</v>
      </c>
      <c r="E399" t="s">
        <v>2862</v>
      </c>
      <c r="F399" t="s">
        <v>1850</v>
      </c>
      <c r="G399" t="s">
        <v>2219</v>
      </c>
      <c r="H399" t="s">
        <v>16</v>
      </c>
      <c r="I399" t="s">
        <v>454</v>
      </c>
      <c r="J399">
        <v>685</v>
      </c>
      <c r="K399" t="s">
        <v>416</v>
      </c>
      <c r="L399" s="2">
        <v>43679</v>
      </c>
      <c r="M399" t="s">
        <v>152</v>
      </c>
      <c r="N399" t="s">
        <v>251</v>
      </c>
      <c r="O399">
        <v>44310</v>
      </c>
      <c r="P399" t="s">
        <v>21</v>
      </c>
      <c r="Q399" t="str">
        <f>TEXT(Data_Set_3[[#This Row],[date]],"mmmm")</f>
        <v>August</v>
      </c>
      <c r="R399">
        <f>MONTH(Data_Set_3[[#This Row],[date]])</f>
        <v>8</v>
      </c>
      <c r="S399">
        <f>YEAR(Data_Set_3[[#This Row],[date]])</f>
        <v>2019</v>
      </c>
    </row>
    <row r="400" spans="1:19" x14ac:dyDescent="0.3">
      <c r="A400">
        <v>1020</v>
      </c>
      <c r="B400" t="s">
        <v>122</v>
      </c>
      <c r="C400" t="s">
        <v>954</v>
      </c>
      <c r="D400" t="s">
        <v>2888</v>
      </c>
      <c r="E400" t="s">
        <v>2889</v>
      </c>
      <c r="F400" t="s">
        <v>1998</v>
      </c>
      <c r="G400" t="s">
        <v>1926</v>
      </c>
      <c r="H400" t="s">
        <v>32</v>
      </c>
      <c r="I400" t="s">
        <v>17</v>
      </c>
      <c r="J400">
        <v>582</v>
      </c>
      <c r="K400" t="s">
        <v>26</v>
      </c>
      <c r="L400" s="2">
        <v>43680</v>
      </c>
      <c r="M400" t="s">
        <v>35</v>
      </c>
      <c r="N400" t="s">
        <v>620</v>
      </c>
      <c r="O400">
        <v>94105</v>
      </c>
      <c r="P400" t="s">
        <v>21</v>
      </c>
      <c r="Q400" t="str">
        <f>TEXT(Data_Set_3[[#This Row],[date]],"mmmm")</f>
        <v>August</v>
      </c>
      <c r="R400">
        <f>MONTH(Data_Set_3[[#This Row],[date]])</f>
        <v>8</v>
      </c>
      <c r="S400">
        <f>YEAR(Data_Set_3[[#This Row],[date]])</f>
        <v>2019</v>
      </c>
    </row>
    <row r="401" spans="1:19" x14ac:dyDescent="0.3">
      <c r="A401">
        <v>1880</v>
      </c>
      <c r="B401" t="s">
        <v>304</v>
      </c>
      <c r="C401" t="s">
        <v>526</v>
      </c>
      <c r="D401" t="s">
        <v>2831</v>
      </c>
      <c r="E401" t="s">
        <v>2832</v>
      </c>
      <c r="F401" t="s">
        <v>1376</v>
      </c>
      <c r="G401" t="s">
        <v>2577</v>
      </c>
      <c r="H401" t="s">
        <v>32</v>
      </c>
      <c r="I401" t="s">
        <v>274</v>
      </c>
      <c r="J401">
        <v>692</v>
      </c>
      <c r="K401" t="s">
        <v>26</v>
      </c>
      <c r="L401" s="2">
        <v>43680</v>
      </c>
      <c r="M401" t="s">
        <v>246</v>
      </c>
      <c r="N401" t="s">
        <v>339</v>
      </c>
      <c r="O401">
        <v>60614</v>
      </c>
      <c r="P401" t="s">
        <v>21</v>
      </c>
      <c r="Q401" t="str">
        <f>TEXT(Data_Set_3[[#This Row],[date]],"mmmm")</f>
        <v>August</v>
      </c>
      <c r="R401">
        <f>MONTH(Data_Set_3[[#This Row],[date]])</f>
        <v>8</v>
      </c>
      <c r="S401">
        <f>YEAR(Data_Set_3[[#This Row],[date]])</f>
        <v>2019</v>
      </c>
    </row>
    <row r="402" spans="1:19" x14ac:dyDescent="0.3">
      <c r="A402">
        <v>1812</v>
      </c>
      <c r="B402" t="s">
        <v>1130</v>
      </c>
      <c r="C402" t="s">
        <v>639</v>
      </c>
      <c r="D402" t="s">
        <v>2863</v>
      </c>
      <c r="E402" t="s">
        <v>2864</v>
      </c>
      <c r="F402" t="s">
        <v>2641</v>
      </c>
      <c r="G402" t="s">
        <v>1653</v>
      </c>
      <c r="H402" t="s">
        <v>16</v>
      </c>
      <c r="I402" t="s">
        <v>543</v>
      </c>
      <c r="J402">
        <v>523</v>
      </c>
      <c r="K402" t="s">
        <v>34</v>
      </c>
      <c r="L402" s="2">
        <v>43681</v>
      </c>
      <c r="M402" t="s">
        <v>524</v>
      </c>
      <c r="N402" t="s">
        <v>815</v>
      </c>
      <c r="O402">
        <v>35220</v>
      </c>
      <c r="P402" t="s">
        <v>21</v>
      </c>
      <c r="Q402" t="str">
        <f>TEXT(Data_Set_3[[#This Row],[date]],"mmmm")</f>
        <v>August</v>
      </c>
      <c r="R402">
        <f>MONTH(Data_Set_3[[#This Row],[date]])</f>
        <v>8</v>
      </c>
      <c r="S402">
        <f>YEAR(Data_Set_3[[#This Row],[date]])</f>
        <v>2019</v>
      </c>
    </row>
    <row r="403" spans="1:19" x14ac:dyDescent="0.3">
      <c r="A403">
        <v>1095</v>
      </c>
      <c r="B403" t="s">
        <v>395</v>
      </c>
      <c r="C403" t="s">
        <v>876</v>
      </c>
      <c r="D403" t="s">
        <v>2989</v>
      </c>
      <c r="E403" t="s">
        <v>2990</v>
      </c>
      <c r="F403" t="s">
        <v>1323</v>
      </c>
      <c r="G403" t="s">
        <v>1453</v>
      </c>
      <c r="H403" t="s">
        <v>32</v>
      </c>
      <c r="I403" t="s">
        <v>51</v>
      </c>
      <c r="J403">
        <v>265</v>
      </c>
      <c r="K403" t="s">
        <v>34</v>
      </c>
      <c r="L403" s="2">
        <v>43683</v>
      </c>
      <c r="M403" t="s">
        <v>68</v>
      </c>
      <c r="N403" t="s">
        <v>234</v>
      </c>
      <c r="O403">
        <v>77040</v>
      </c>
      <c r="P403" t="s">
        <v>21</v>
      </c>
      <c r="Q403" t="str">
        <f>TEXT(Data_Set_3[[#This Row],[date]],"mmmm")</f>
        <v>August</v>
      </c>
      <c r="R403">
        <f>MONTH(Data_Set_3[[#This Row],[date]])</f>
        <v>8</v>
      </c>
      <c r="S403">
        <f>YEAR(Data_Set_3[[#This Row],[date]])</f>
        <v>2019</v>
      </c>
    </row>
    <row r="404" spans="1:19" x14ac:dyDescent="0.3">
      <c r="A404">
        <v>1466</v>
      </c>
      <c r="B404" t="s">
        <v>29</v>
      </c>
      <c r="C404" t="s">
        <v>665</v>
      </c>
      <c r="D404" t="s">
        <v>3298</v>
      </c>
      <c r="E404" t="s">
        <v>3299</v>
      </c>
      <c r="F404" t="s">
        <v>1524</v>
      </c>
      <c r="G404" t="s">
        <v>1863</v>
      </c>
      <c r="H404" t="s">
        <v>32</v>
      </c>
      <c r="I404" t="s">
        <v>179</v>
      </c>
      <c r="J404">
        <v>617</v>
      </c>
      <c r="K404" t="s">
        <v>26</v>
      </c>
      <c r="L404" s="2">
        <v>43684</v>
      </c>
      <c r="M404" t="s">
        <v>393</v>
      </c>
      <c r="N404" t="s">
        <v>394</v>
      </c>
      <c r="O404">
        <v>37919</v>
      </c>
      <c r="P404" t="s">
        <v>21</v>
      </c>
      <c r="Q404" t="str">
        <f>TEXT(Data_Set_3[[#This Row],[date]],"mmmm")</f>
        <v>August</v>
      </c>
      <c r="R404">
        <f>MONTH(Data_Set_3[[#This Row],[date]])</f>
        <v>8</v>
      </c>
      <c r="S404">
        <f>YEAR(Data_Set_3[[#This Row],[date]])</f>
        <v>2019</v>
      </c>
    </row>
    <row r="405" spans="1:19" x14ac:dyDescent="0.3">
      <c r="A405">
        <v>1942</v>
      </c>
      <c r="B405" t="s">
        <v>909</v>
      </c>
      <c r="C405" t="s">
        <v>574</v>
      </c>
      <c r="D405" t="s">
        <v>3300</v>
      </c>
      <c r="E405" t="s">
        <v>3301</v>
      </c>
      <c r="F405" t="s">
        <v>1558</v>
      </c>
      <c r="G405" t="s">
        <v>2125</v>
      </c>
      <c r="H405" t="s">
        <v>32</v>
      </c>
      <c r="I405" t="s">
        <v>25</v>
      </c>
      <c r="J405">
        <v>732</v>
      </c>
      <c r="K405" t="s">
        <v>18</v>
      </c>
      <c r="L405" s="2">
        <v>43684</v>
      </c>
      <c r="M405" t="s">
        <v>152</v>
      </c>
      <c r="N405" t="s">
        <v>571</v>
      </c>
      <c r="O405">
        <v>44125</v>
      </c>
      <c r="P405" t="s">
        <v>21</v>
      </c>
      <c r="Q405" t="str">
        <f>TEXT(Data_Set_3[[#This Row],[date]],"mmmm")</f>
        <v>August</v>
      </c>
      <c r="R405">
        <f>MONTH(Data_Set_3[[#This Row],[date]])</f>
        <v>8</v>
      </c>
      <c r="S405">
        <f>YEAR(Data_Set_3[[#This Row],[date]])</f>
        <v>2019</v>
      </c>
    </row>
    <row r="406" spans="1:19" x14ac:dyDescent="0.3">
      <c r="A406">
        <v>1560</v>
      </c>
      <c r="B406" t="s">
        <v>597</v>
      </c>
      <c r="C406" t="s">
        <v>14</v>
      </c>
      <c r="D406" t="s">
        <v>3302</v>
      </c>
      <c r="E406" t="s">
        <v>3303</v>
      </c>
      <c r="F406" t="s">
        <v>1640</v>
      </c>
      <c r="G406" t="s">
        <v>1886</v>
      </c>
      <c r="H406" t="s">
        <v>32</v>
      </c>
      <c r="I406" t="s">
        <v>33</v>
      </c>
      <c r="J406">
        <v>763</v>
      </c>
      <c r="K406" t="s">
        <v>34</v>
      </c>
      <c r="L406" s="2">
        <v>43686</v>
      </c>
      <c r="M406" t="s">
        <v>68</v>
      </c>
      <c r="N406" t="s">
        <v>1182</v>
      </c>
      <c r="O406">
        <v>79159</v>
      </c>
      <c r="P406" t="s">
        <v>21</v>
      </c>
      <c r="Q406" t="str">
        <f>TEXT(Data_Set_3[[#This Row],[date]],"mmmm")</f>
        <v>August</v>
      </c>
      <c r="R406">
        <f>MONTH(Data_Set_3[[#This Row],[date]])</f>
        <v>8</v>
      </c>
      <c r="S406">
        <f>YEAR(Data_Set_3[[#This Row],[date]])</f>
        <v>2019</v>
      </c>
    </row>
    <row r="407" spans="1:19" x14ac:dyDescent="0.3">
      <c r="A407">
        <v>1783</v>
      </c>
      <c r="B407" t="s">
        <v>721</v>
      </c>
      <c r="C407" t="s">
        <v>2884</v>
      </c>
      <c r="D407" t="s">
        <v>2885</v>
      </c>
      <c r="E407" t="s">
        <v>2886</v>
      </c>
      <c r="F407" t="s">
        <v>1539</v>
      </c>
      <c r="G407" t="s">
        <v>2887</v>
      </c>
      <c r="H407" t="s">
        <v>16</v>
      </c>
      <c r="I407" t="s">
        <v>25</v>
      </c>
      <c r="J407">
        <v>680</v>
      </c>
      <c r="K407" t="s">
        <v>57</v>
      </c>
      <c r="L407" s="2">
        <v>43687</v>
      </c>
      <c r="M407" t="s">
        <v>287</v>
      </c>
      <c r="N407" t="s">
        <v>288</v>
      </c>
      <c r="O407">
        <v>85715</v>
      </c>
      <c r="P407" t="s">
        <v>21</v>
      </c>
      <c r="Q407" t="str">
        <f>TEXT(Data_Set_3[[#This Row],[date]],"mmmm")</f>
        <v>August</v>
      </c>
      <c r="R407">
        <f>MONTH(Data_Set_3[[#This Row],[date]])</f>
        <v>8</v>
      </c>
      <c r="S407">
        <f>YEAR(Data_Set_3[[#This Row],[date]])</f>
        <v>2019</v>
      </c>
    </row>
    <row r="408" spans="1:19" x14ac:dyDescent="0.3">
      <c r="A408">
        <v>1992</v>
      </c>
      <c r="B408" t="s">
        <v>630</v>
      </c>
      <c r="C408" t="s">
        <v>3068</v>
      </c>
      <c r="D408" t="s">
        <v>3069</v>
      </c>
      <c r="E408" t="s">
        <v>3070</v>
      </c>
      <c r="F408" t="s">
        <v>1993</v>
      </c>
      <c r="G408" t="s">
        <v>2735</v>
      </c>
      <c r="H408" t="s">
        <v>32</v>
      </c>
      <c r="I408" t="s">
        <v>33</v>
      </c>
      <c r="J408">
        <v>402</v>
      </c>
      <c r="K408" t="s">
        <v>26</v>
      </c>
      <c r="L408" s="2">
        <v>43687</v>
      </c>
      <c r="M408" t="s">
        <v>96</v>
      </c>
      <c r="N408" t="s">
        <v>3071</v>
      </c>
      <c r="O408">
        <v>47306</v>
      </c>
      <c r="P408" t="s">
        <v>21</v>
      </c>
      <c r="Q408" t="str">
        <f>TEXT(Data_Set_3[[#This Row],[date]],"mmmm")</f>
        <v>August</v>
      </c>
      <c r="R408">
        <f>MONTH(Data_Set_3[[#This Row],[date]])</f>
        <v>8</v>
      </c>
      <c r="S408">
        <f>YEAR(Data_Set_3[[#This Row],[date]])</f>
        <v>2019</v>
      </c>
    </row>
    <row r="409" spans="1:19" x14ac:dyDescent="0.3">
      <c r="A409">
        <v>1566</v>
      </c>
      <c r="B409" t="s">
        <v>413</v>
      </c>
      <c r="C409" t="s">
        <v>145</v>
      </c>
      <c r="D409" t="s">
        <v>3304</v>
      </c>
      <c r="E409" t="s">
        <v>3305</v>
      </c>
      <c r="F409" t="s">
        <v>2221</v>
      </c>
      <c r="G409" t="s">
        <v>1502</v>
      </c>
      <c r="H409" t="s">
        <v>32</v>
      </c>
      <c r="I409" t="s">
        <v>25</v>
      </c>
      <c r="J409">
        <v>608</v>
      </c>
      <c r="K409" t="s">
        <v>62</v>
      </c>
      <c r="L409" s="2">
        <v>43690</v>
      </c>
      <c r="M409" t="s">
        <v>563</v>
      </c>
      <c r="N409" t="s">
        <v>564</v>
      </c>
      <c r="O409">
        <v>83722</v>
      </c>
      <c r="P409" t="s">
        <v>21</v>
      </c>
      <c r="Q409" t="str">
        <f>TEXT(Data_Set_3[[#This Row],[date]],"mmmm")</f>
        <v>August</v>
      </c>
      <c r="R409">
        <f>MONTH(Data_Set_3[[#This Row],[date]])</f>
        <v>8</v>
      </c>
      <c r="S409">
        <f>YEAR(Data_Set_3[[#This Row],[date]])</f>
        <v>2019</v>
      </c>
    </row>
    <row r="410" spans="1:19" x14ac:dyDescent="0.3">
      <c r="A410">
        <v>1633</v>
      </c>
      <c r="B410" t="s">
        <v>602</v>
      </c>
      <c r="C410" t="s">
        <v>2841</v>
      </c>
      <c r="D410" t="s">
        <v>3306</v>
      </c>
      <c r="E410" t="s">
        <v>3307</v>
      </c>
      <c r="F410" t="s">
        <v>1561</v>
      </c>
      <c r="G410" t="s">
        <v>2571</v>
      </c>
      <c r="H410" t="s">
        <v>32</v>
      </c>
      <c r="I410" t="s">
        <v>17</v>
      </c>
      <c r="J410">
        <v>499</v>
      </c>
      <c r="K410" t="s">
        <v>109</v>
      </c>
      <c r="L410" s="2">
        <v>43690</v>
      </c>
      <c r="M410" t="s">
        <v>35</v>
      </c>
      <c r="N410" t="s">
        <v>3308</v>
      </c>
      <c r="O410">
        <v>94064</v>
      </c>
      <c r="P410" t="s">
        <v>21</v>
      </c>
      <c r="Q410" t="str">
        <f>TEXT(Data_Set_3[[#This Row],[date]],"mmmm")</f>
        <v>August</v>
      </c>
      <c r="R410">
        <f>MONTH(Data_Set_3[[#This Row],[date]])</f>
        <v>8</v>
      </c>
      <c r="S410">
        <f>YEAR(Data_Set_3[[#This Row],[date]])</f>
        <v>2019</v>
      </c>
    </row>
    <row r="411" spans="1:19" x14ac:dyDescent="0.3">
      <c r="A411">
        <v>1783</v>
      </c>
      <c r="B411" t="s">
        <v>721</v>
      </c>
      <c r="C411" t="s">
        <v>2884</v>
      </c>
      <c r="D411" t="s">
        <v>2885</v>
      </c>
      <c r="E411" t="s">
        <v>2886</v>
      </c>
      <c r="F411" t="s">
        <v>1539</v>
      </c>
      <c r="G411" t="s">
        <v>2887</v>
      </c>
      <c r="H411" t="s">
        <v>16</v>
      </c>
      <c r="I411" t="s">
        <v>25</v>
      </c>
      <c r="J411">
        <v>695</v>
      </c>
      <c r="K411" t="s">
        <v>57</v>
      </c>
      <c r="L411" s="2">
        <v>43690</v>
      </c>
      <c r="M411" t="s">
        <v>287</v>
      </c>
      <c r="N411" t="s">
        <v>288</v>
      </c>
      <c r="O411">
        <v>85715</v>
      </c>
      <c r="P411" t="s">
        <v>21</v>
      </c>
      <c r="Q411" t="str">
        <f>TEXT(Data_Set_3[[#This Row],[date]],"mmmm")</f>
        <v>August</v>
      </c>
      <c r="R411">
        <f>MONTH(Data_Set_3[[#This Row],[date]])</f>
        <v>8</v>
      </c>
      <c r="S411">
        <f>YEAR(Data_Set_3[[#This Row],[date]])</f>
        <v>2019</v>
      </c>
    </row>
    <row r="412" spans="1:19" x14ac:dyDescent="0.3">
      <c r="A412">
        <v>1095</v>
      </c>
      <c r="B412" t="s">
        <v>395</v>
      </c>
      <c r="C412" t="s">
        <v>876</v>
      </c>
      <c r="D412" t="s">
        <v>2989</v>
      </c>
      <c r="E412" t="s">
        <v>2990</v>
      </c>
      <c r="F412" t="s">
        <v>1323</v>
      </c>
      <c r="G412" t="s">
        <v>1453</v>
      </c>
      <c r="H412" t="s">
        <v>32</v>
      </c>
      <c r="I412" t="s">
        <v>51</v>
      </c>
      <c r="J412">
        <v>622</v>
      </c>
      <c r="K412" t="s">
        <v>34</v>
      </c>
      <c r="L412" s="2">
        <v>43691</v>
      </c>
      <c r="M412" t="s">
        <v>68</v>
      </c>
      <c r="N412" t="s">
        <v>234</v>
      </c>
      <c r="O412">
        <v>77040</v>
      </c>
      <c r="P412" t="s">
        <v>21</v>
      </c>
      <c r="Q412" t="str">
        <f>TEXT(Data_Set_3[[#This Row],[date]],"mmmm")</f>
        <v>August</v>
      </c>
      <c r="R412">
        <f>MONTH(Data_Set_3[[#This Row],[date]])</f>
        <v>8</v>
      </c>
      <c r="S412">
        <f>YEAR(Data_Set_3[[#This Row],[date]])</f>
        <v>2019</v>
      </c>
    </row>
    <row r="413" spans="1:19" x14ac:dyDescent="0.3">
      <c r="A413">
        <v>1931</v>
      </c>
      <c r="B413" t="s">
        <v>316</v>
      </c>
      <c r="C413" t="s">
        <v>223</v>
      </c>
      <c r="D413" t="s">
        <v>3309</v>
      </c>
      <c r="E413" t="s">
        <v>3310</v>
      </c>
      <c r="F413" t="s">
        <v>3056</v>
      </c>
      <c r="G413" t="s">
        <v>2664</v>
      </c>
      <c r="H413" t="s">
        <v>32</v>
      </c>
      <c r="I413" t="s">
        <v>2813</v>
      </c>
      <c r="J413">
        <v>608</v>
      </c>
      <c r="K413" t="s">
        <v>275</v>
      </c>
      <c r="L413" s="2">
        <v>43691</v>
      </c>
      <c r="M413" t="s">
        <v>78</v>
      </c>
      <c r="N413" t="s">
        <v>1143</v>
      </c>
      <c r="O413">
        <v>49510</v>
      </c>
      <c r="P413" t="s">
        <v>21</v>
      </c>
      <c r="Q413" t="str">
        <f>TEXT(Data_Set_3[[#This Row],[date]],"mmmm")</f>
        <v>August</v>
      </c>
      <c r="R413">
        <f>MONTH(Data_Set_3[[#This Row],[date]])</f>
        <v>8</v>
      </c>
      <c r="S413">
        <f>YEAR(Data_Set_3[[#This Row],[date]])</f>
        <v>2019</v>
      </c>
    </row>
    <row r="414" spans="1:19" x14ac:dyDescent="0.3">
      <c r="A414">
        <v>1991</v>
      </c>
      <c r="B414" t="s">
        <v>602</v>
      </c>
      <c r="C414" t="s">
        <v>624</v>
      </c>
      <c r="D414" t="s">
        <v>2839</v>
      </c>
      <c r="E414" t="s">
        <v>2840</v>
      </c>
      <c r="F414" t="s">
        <v>2255</v>
      </c>
      <c r="G414" t="s">
        <v>2159</v>
      </c>
      <c r="H414" t="s">
        <v>32</v>
      </c>
      <c r="I414" t="s">
        <v>33</v>
      </c>
      <c r="J414">
        <v>302</v>
      </c>
      <c r="K414" t="s">
        <v>26</v>
      </c>
      <c r="L414" s="2">
        <v>43693</v>
      </c>
      <c r="M414" t="s">
        <v>435</v>
      </c>
      <c r="N414" t="s">
        <v>436</v>
      </c>
      <c r="O414">
        <v>87180</v>
      </c>
      <c r="P414" t="s">
        <v>21</v>
      </c>
      <c r="Q414" t="str">
        <f>TEXT(Data_Set_3[[#This Row],[date]],"mmmm")</f>
        <v>August</v>
      </c>
      <c r="R414">
        <f>MONTH(Data_Set_3[[#This Row],[date]])</f>
        <v>8</v>
      </c>
      <c r="S414">
        <f>YEAR(Data_Set_3[[#This Row],[date]])</f>
        <v>2019</v>
      </c>
    </row>
    <row r="415" spans="1:19" x14ac:dyDescent="0.3">
      <c r="A415">
        <v>1021</v>
      </c>
      <c r="B415" t="s">
        <v>495</v>
      </c>
      <c r="C415" t="s">
        <v>567</v>
      </c>
      <c r="D415" t="s">
        <v>2795</v>
      </c>
      <c r="E415" t="s">
        <v>2796</v>
      </c>
      <c r="F415" t="s">
        <v>1330</v>
      </c>
      <c r="G415" t="s">
        <v>1863</v>
      </c>
      <c r="H415" t="s">
        <v>32</v>
      </c>
      <c r="I415" t="s">
        <v>17</v>
      </c>
      <c r="J415">
        <v>164</v>
      </c>
      <c r="K415" t="s">
        <v>164</v>
      </c>
      <c r="L415" s="2">
        <v>43694</v>
      </c>
      <c r="M415" t="s">
        <v>78</v>
      </c>
      <c r="N415" t="s">
        <v>2797</v>
      </c>
      <c r="O415">
        <v>48555</v>
      </c>
      <c r="P415" t="s">
        <v>21</v>
      </c>
      <c r="Q415" t="str">
        <f>TEXT(Data_Set_3[[#This Row],[date]],"mmmm")</f>
        <v>August</v>
      </c>
      <c r="R415">
        <f>MONTH(Data_Set_3[[#This Row],[date]])</f>
        <v>8</v>
      </c>
      <c r="S415">
        <f>YEAR(Data_Set_3[[#This Row],[date]])</f>
        <v>2019</v>
      </c>
    </row>
    <row r="416" spans="1:19" x14ac:dyDescent="0.3">
      <c r="A416">
        <v>1544</v>
      </c>
      <c r="B416" t="s">
        <v>320</v>
      </c>
      <c r="C416" t="s">
        <v>370</v>
      </c>
      <c r="D416" t="s">
        <v>3311</v>
      </c>
      <c r="E416" t="s">
        <v>3312</v>
      </c>
      <c r="F416" t="s">
        <v>1785</v>
      </c>
      <c r="G416" t="s">
        <v>2782</v>
      </c>
      <c r="H416" t="s">
        <v>32</v>
      </c>
      <c r="I416" t="s">
        <v>2821</v>
      </c>
      <c r="J416">
        <v>969</v>
      </c>
      <c r="K416" t="s">
        <v>26</v>
      </c>
      <c r="L416" s="2">
        <v>43694</v>
      </c>
      <c r="M416" t="s">
        <v>780</v>
      </c>
      <c r="N416" t="s">
        <v>781</v>
      </c>
      <c r="O416">
        <v>19886</v>
      </c>
      <c r="P416" t="s">
        <v>21</v>
      </c>
      <c r="Q416" t="str">
        <f>TEXT(Data_Set_3[[#This Row],[date]],"mmmm")</f>
        <v>August</v>
      </c>
      <c r="R416">
        <f>MONTH(Data_Set_3[[#This Row],[date]])</f>
        <v>8</v>
      </c>
      <c r="S416">
        <f>YEAR(Data_Set_3[[#This Row],[date]])</f>
        <v>2019</v>
      </c>
    </row>
    <row r="417" spans="1:19" x14ac:dyDescent="0.3">
      <c r="A417">
        <v>1399</v>
      </c>
      <c r="B417" t="s">
        <v>54</v>
      </c>
      <c r="C417" t="s">
        <v>302</v>
      </c>
      <c r="D417" t="s">
        <v>3313</v>
      </c>
      <c r="E417" t="s">
        <v>3314</v>
      </c>
      <c r="F417" t="s">
        <v>1417</v>
      </c>
      <c r="G417" t="s">
        <v>2234</v>
      </c>
      <c r="H417" t="s">
        <v>32</v>
      </c>
      <c r="I417" t="s">
        <v>2941</v>
      </c>
      <c r="J417">
        <v>212</v>
      </c>
      <c r="K417" t="s">
        <v>26</v>
      </c>
      <c r="L417" s="2">
        <v>43695</v>
      </c>
      <c r="M417" t="s">
        <v>35</v>
      </c>
      <c r="N417" t="s">
        <v>637</v>
      </c>
      <c r="O417">
        <v>95219</v>
      </c>
      <c r="P417" t="s">
        <v>21</v>
      </c>
      <c r="Q417" t="str">
        <f>TEXT(Data_Set_3[[#This Row],[date]],"mmmm")</f>
        <v>August</v>
      </c>
      <c r="R417">
        <f>MONTH(Data_Set_3[[#This Row],[date]])</f>
        <v>8</v>
      </c>
      <c r="S417">
        <f>YEAR(Data_Set_3[[#This Row],[date]])</f>
        <v>2019</v>
      </c>
    </row>
    <row r="418" spans="1:19" x14ac:dyDescent="0.3">
      <c r="A418">
        <v>1558</v>
      </c>
      <c r="B418" t="s">
        <v>80</v>
      </c>
      <c r="C418" t="s">
        <v>3048</v>
      </c>
      <c r="D418" t="s">
        <v>3315</v>
      </c>
      <c r="E418" t="s">
        <v>3316</v>
      </c>
      <c r="F418" t="s">
        <v>1885</v>
      </c>
      <c r="G418" t="s">
        <v>1609</v>
      </c>
      <c r="H418" t="s">
        <v>16</v>
      </c>
      <c r="I418" t="s">
        <v>454</v>
      </c>
      <c r="J418">
        <v>464</v>
      </c>
      <c r="K418" t="s">
        <v>416</v>
      </c>
      <c r="L418" s="2">
        <v>43695</v>
      </c>
      <c r="M418" t="s">
        <v>204</v>
      </c>
      <c r="N418" t="s">
        <v>827</v>
      </c>
      <c r="O418">
        <v>22217</v>
      </c>
      <c r="P418" t="s">
        <v>21</v>
      </c>
      <c r="Q418" t="str">
        <f>TEXT(Data_Set_3[[#This Row],[date]],"mmmm")</f>
        <v>August</v>
      </c>
      <c r="R418">
        <f>MONTH(Data_Set_3[[#This Row],[date]])</f>
        <v>8</v>
      </c>
      <c r="S418">
        <f>YEAR(Data_Set_3[[#This Row],[date]])</f>
        <v>2019</v>
      </c>
    </row>
    <row r="419" spans="1:19" x14ac:dyDescent="0.3">
      <c r="A419">
        <v>1212</v>
      </c>
      <c r="B419" t="s">
        <v>547</v>
      </c>
      <c r="C419" t="s">
        <v>337</v>
      </c>
      <c r="D419" t="s">
        <v>2828</v>
      </c>
      <c r="E419" t="s">
        <v>2829</v>
      </c>
      <c r="F419" t="s">
        <v>1608</v>
      </c>
      <c r="G419" t="s">
        <v>2830</v>
      </c>
      <c r="H419" t="s">
        <v>32</v>
      </c>
      <c r="I419" t="s">
        <v>33</v>
      </c>
      <c r="J419">
        <v>600</v>
      </c>
      <c r="K419" t="s">
        <v>34</v>
      </c>
      <c r="L419" s="2">
        <v>43698</v>
      </c>
      <c r="M419" t="s">
        <v>46</v>
      </c>
      <c r="N419" t="s">
        <v>47</v>
      </c>
      <c r="O419">
        <v>6183</v>
      </c>
      <c r="P419" t="s">
        <v>21</v>
      </c>
      <c r="Q419" t="str">
        <f>TEXT(Data_Set_3[[#This Row],[date]],"mmmm")</f>
        <v>August</v>
      </c>
      <c r="R419">
        <f>MONTH(Data_Set_3[[#This Row],[date]])</f>
        <v>8</v>
      </c>
      <c r="S419">
        <f>YEAR(Data_Set_3[[#This Row],[date]])</f>
        <v>2019</v>
      </c>
    </row>
    <row r="420" spans="1:19" x14ac:dyDescent="0.3">
      <c r="A420">
        <v>1434</v>
      </c>
      <c r="B420" t="s">
        <v>2915</v>
      </c>
      <c r="C420" t="s">
        <v>167</v>
      </c>
      <c r="D420" t="s">
        <v>2947</v>
      </c>
      <c r="E420" t="s">
        <v>2948</v>
      </c>
      <c r="F420" t="s">
        <v>1664</v>
      </c>
      <c r="G420" t="s">
        <v>2546</v>
      </c>
      <c r="H420" t="s">
        <v>32</v>
      </c>
      <c r="I420" t="s">
        <v>25</v>
      </c>
      <c r="J420">
        <v>257</v>
      </c>
      <c r="K420" t="s">
        <v>26</v>
      </c>
      <c r="L420" s="2">
        <v>43698</v>
      </c>
      <c r="M420" t="s">
        <v>192</v>
      </c>
      <c r="N420" t="s">
        <v>193</v>
      </c>
      <c r="O420">
        <v>55436</v>
      </c>
      <c r="P420" t="s">
        <v>21</v>
      </c>
      <c r="Q420" t="str">
        <f>TEXT(Data_Set_3[[#This Row],[date]],"mmmm")</f>
        <v>August</v>
      </c>
      <c r="R420">
        <f>MONTH(Data_Set_3[[#This Row],[date]])</f>
        <v>8</v>
      </c>
      <c r="S420">
        <f>YEAR(Data_Set_3[[#This Row],[date]])</f>
        <v>2019</v>
      </c>
    </row>
    <row r="421" spans="1:19" x14ac:dyDescent="0.3">
      <c r="A421">
        <v>1620</v>
      </c>
      <c r="B421" t="s">
        <v>844</v>
      </c>
      <c r="C421" t="s">
        <v>379</v>
      </c>
      <c r="D421" t="s">
        <v>3317</v>
      </c>
      <c r="E421" t="s">
        <v>3318</v>
      </c>
      <c r="F421" t="s">
        <v>2562</v>
      </c>
      <c r="G421" t="s">
        <v>1574</v>
      </c>
      <c r="H421" t="s">
        <v>32</v>
      </c>
      <c r="I421" t="s">
        <v>17</v>
      </c>
      <c r="J421">
        <v>451</v>
      </c>
      <c r="K421" t="s">
        <v>34</v>
      </c>
      <c r="L421" s="2">
        <v>43698</v>
      </c>
      <c r="M421" t="s">
        <v>184</v>
      </c>
      <c r="N421" t="s">
        <v>197</v>
      </c>
      <c r="O421">
        <v>10270</v>
      </c>
      <c r="P421" t="s">
        <v>21</v>
      </c>
      <c r="Q421" t="str">
        <f>TEXT(Data_Set_3[[#This Row],[date]],"mmmm")</f>
        <v>August</v>
      </c>
      <c r="R421">
        <f>MONTH(Data_Set_3[[#This Row],[date]])</f>
        <v>8</v>
      </c>
      <c r="S421">
        <f>YEAR(Data_Set_3[[#This Row],[date]])</f>
        <v>2019</v>
      </c>
    </row>
    <row r="422" spans="1:19" x14ac:dyDescent="0.3">
      <c r="A422">
        <v>1638</v>
      </c>
      <c r="B422" t="s">
        <v>369</v>
      </c>
      <c r="C422" t="s">
        <v>500</v>
      </c>
      <c r="D422" t="s">
        <v>3319</v>
      </c>
      <c r="E422" t="s">
        <v>3320</v>
      </c>
      <c r="F422" t="s">
        <v>1438</v>
      </c>
      <c r="G422" t="s">
        <v>2334</v>
      </c>
      <c r="H422" t="s">
        <v>16</v>
      </c>
      <c r="I422" t="s">
        <v>17</v>
      </c>
      <c r="J422">
        <v>383</v>
      </c>
      <c r="K422" t="s">
        <v>62</v>
      </c>
      <c r="L422" s="2">
        <v>43698</v>
      </c>
      <c r="M422" t="s">
        <v>192</v>
      </c>
      <c r="N422" t="s">
        <v>193</v>
      </c>
      <c r="O422">
        <v>55470</v>
      </c>
      <c r="P422" t="s">
        <v>21</v>
      </c>
      <c r="Q422" t="str">
        <f>TEXT(Data_Set_3[[#This Row],[date]],"mmmm")</f>
        <v>August</v>
      </c>
      <c r="R422">
        <f>MONTH(Data_Set_3[[#This Row],[date]])</f>
        <v>8</v>
      </c>
      <c r="S422">
        <f>YEAR(Data_Set_3[[#This Row],[date]])</f>
        <v>2019</v>
      </c>
    </row>
    <row r="423" spans="1:19" x14ac:dyDescent="0.3">
      <c r="A423">
        <v>1017</v>
      </c>
      <c r="B423" t="s">
        <v>803</v>
      </c>
      <c r="C423" t="s">
        <v>3048</v>
      </c>
      <c r="D423" t="s">
        <v>3049</v>
      </c>
      <c r="E423" t="s">
        <v>3050</v>
      </c>
      <c r="F423" t="s">
        <v>1306</v>
      </c>
      <c r="G423" t="s">
        <v>1845</v>
      </c>
      <c r="H423" t="s">
        <v>32</v>
      </c>
      <c r="I423" t="s">
        <v>17</v>
      </c>
      <c r="J423">
        <v>341</v>
      </c>
      <c r="K423" t="s">
        <v>26</v>
      </c>
      <c r="L423" s="2">
        <v>43701</v>
      </c>
      <c r="M423" t="s">
        <v>246</v>
      </c>
      <c r="N423" t="s">
        <v>339</v>
      </c>
      <c r="O423">
        <v>60663</v>
      </c>
      <c r="P423" t="s">
        <v>21</v>
      </c>
      <c r="Q423" t="str">
        <f>TEXT(Data_Set_3[[#This Row],[date]],"mmmm")</f>
        <v>August</v>
      </c>
      <c r="R423">
        <f>MONTH(Data_Set_3[[#This Row],[date]])</f>
        <v>8</v>
      </c>
      <c r="S423">
        <f>YEAR(Data_Set_3[[#This Row],[date]])</f>
        <v>2019</v>
      </c>
    </row>
    <row r="424" spans="1:19" x14ac:dyDescent="0.3">
      <c r="A424">
        <v>1277</v>
      </c>
      <c r="B424" t="s">
        <v>43</v>
      </c>
      <c r="C424" t="s">
        <v>783</v>
      </c>
      <c r="D424" t="s">
        <v>2861</v>
      </c>
      <c r="E424" t="s">
        <v>2862</v>
      </c>
      <c r="F424" t="s">
        <v>1850</v>
      </c>
      <c r="G424" t="s">
        <v>2219</v>
      </c>
      <c r="H424" t="s">
        <v>16</v>
      </c>
      <c r="I424" t="s">
        <v>454</v>
      </c>
      <c r="J424">
        <v>582</v>
      </c>
      <c r="K424" t="s">
        <v>416</v>
      </c>
      <c r="L424" s="2">
        <v>43702</v>
      </c>
      <c r="M424" t="s">
        <v>152</v>
      </c>
      <c r="N424" t="s">
        <v>251</v>
      </c>
      <c r="O424">
        <v>44310</v>
      </c>
      <c r="P424" t="s">
        <v>21</v>
      </c>
      <c r="Q424" t="str">
        <f>TEXT(Data_Set_3[[#This Row],[date]],"mmmm")</f>
        <v>August</v>
      </c>
      <c r="R424">
        <f>MONTH(Data_Set_3[[#This Row],[date]])</f>
        <v>8</v>
      </c>
      <c r="S424">
        <f>YEAR(Data_Set_3[[#This Row],[date]])</f>
        <v>2019</v>
      </c>
    </row>
    <row r="425" spans="1:19" x14ac:dyDescent="0.3">
      <c r="A425">
        <v>1845</v>
      </c>
      <c r="B425" t="s">
        <v>944</v>
      </c>
      <c r="C425" t="s">
        <v>2884</v>
      </c>
      <c r="D425" t="s">
        <v>3321</v>
      </c>
      <c r="E425" t="s">
        <v>3322</v>
      </c>
      <c r="F425" t="s">
        <v>2562</v>
      </c>
      <c r="G425" t="s">
        <v>1913</v>
      </c>
      <c r="H425" t="s">
        <v>32</v>
      </c>
      <c r="I425" t="s">
        <v>2813</v>
      </c>
      <c r="J425">
        <v>468</v>
      </c>
      <c r="K425" t="s">
        <v>26</v>
      </c>
      <c r="L425" s="2">
        <v>43702</v>
      </c>
      <c r="M425" t="s">
        <v>68</v>
      </c>
      <c r="N425" t="s">
        <v>234</v>
      </c>
      <c r="O425">
        <v>77212</v>
      </c>
      <c r="P425" t="s">
        <v>21</v>
      </c>
      <c r="Q425" t="str">
        <f>TEXT(Data_Set_3[[#This Row],[date]],"mmmm")</f>
        <v>August</v>
      </c>
      <c r="R425">
        <f>MONTH(Data_Set_3[[#This Row],[date]])</f>
        <v>8</v>
      </c>
      <c r="S425">
        <f>YEAR(Data_Set_3[[#This Row],[date]])</f>
        <v>2019</v>
      </c>
    </row>
    <row r="426" spans="1:19" x14ac:dyDescent="0.3">
      <c r="A426">
        <v>1579</v>
      </c>
      <c r="B426" t="s">
        <v>426</v>
      </c>
      <c r="C426" t="s">
        <v>69</v>
      </c>
      <c r="D426" t="s">
        <v>3323</v>
      </c>
      <c r="E426" t="s">
        <v>3324</v>
      </c>
      <c r="F426" t="s">
        <v>1342</v>
      </c>
      <c r="G426" t="s">
        <v>2657</v>
      </c>
      <c r="H426" t="s">
        <v>16</v>
      </c>
      <c r="I426" t="s">
        <v>151</v>
      </c>
      <c r="J426">
        <v>43</v>
      </c>
      <c r="K426" t="s">
        <v>34</v>
      </c>
      <c r="L426" s="2">
        <v>43703</v>
      </c>
      <c r="M426" t="s">
        <v>230</v>
      </c>
      <c r="N426" t="s">
        <v>260</v>
      </c>
      <c r="O426">
        <v>28225</v>
      </c>
      <c r="P426" t="s">
        <v>21</v>
      </c>
      <c r="Q426" t="str">
        <f>TEXT(Data_Set_3[[#This Row],[date]],"mmmm")</f>
        <v>August</v>
      </c>
      <c r="R426">
        <f>MONTH(Data_Set_3[[#This Row],[date]])</f>
        <v>8</v>
      </c>
      <c r="S426">
        <f>YEAR(Data_Set_3[[#This Row],[date]])</f>
        <v>2019</v>
      </c>
    </row>
    <row r="427" spans="1:19" x14ac:dyDescent="0.3">
      <c r="A427">
        <v>1027</v>
      </c>
      <c r="B427" t="s">
        <v>37</v>
      </c>
      <c r="C427" t="s">
        <v>923</v>
      </c>
      <c r="D427" t="s">
        <v>3325</v>
      </c>
      <c r="E427" t="s">
        <v>3326</v>
      </c>
      <c r="F427" t="s">
        <v>2505</v>
      </c>
      <c r="G427" t="s">
        <v>2540</v>
      </c>
      <c r="H427" t="s">
        <v>16</v>
      </c>
      <c r="I427" t="s">
        <v>17</v>
      </c>
      <c r="J427">
        <v>776</v>
      </c>
      <c r="K427" t="s">
        <v>26</v>
      </c>
      <c r="L427" s="2">
        <v>43704</v>
      </c>
      <c r="M427" t="s">
        <v>125</v>
      </c>
      <c r="N427" t="s">
        <v>3327</v>
      </c>
      <c r="O427">
        <v>64082</v>
      </c>
      <c r="P427" t="s">
        <v>21</v>
      </c>
      <c r="Q427" t="str">
        <f>TEXT(Data_Set_3[[#This Row],[date]],"mmmm")</f>
        <v>August</v>
      </c>
      <c r="R427">
        <f>MONTH(Data_Set_3[[#This Row],[date]])</f>
        <v>8</v>
      </c>
      <c r="S427">
        <f>YEAR(Data_Set_3[[#This Row],[date]])</f>
        <v>2019</v>
      </c>
    </row>
    <row r="428" spans="1:19" x14ac:dyDescent="0.3">
      <c r="A428">
        <v>1402</v>
      </c>
      <c r="B428" t="s">
        <v>621</v>
      </c>
      <c r="C428" t="s">
        <v>103</v>
      </c>
      <c r="D428" t="s">
        <v>3245</v>
      </c>
      <c r="E428" t="s">
        <v>3246</v>
      </c>
      <c r="F428" t="s">
        <v>1365</v>
      </c>
      <c r="G428" t="s">
        <v>2234</v>
      </c>
      <c r="H428" t="s">
        <v>16</v>
      </c>
      <c r="I428" t="s">
        <v>2941</v>
      </c>
      <c r="J428">
        <v>66</v>
      </c>
      <c r="K428" t="s">
        <v>34</v>
      </c>
      <c r="L428" s="2">
        <v>43704</v>
      </c>
      <c r="M428" t="s">
        <v>115</v>
      </c>
      <c r="N428" t="s">
        <v>977</v>
      </c>
      <c r="O428">
        <v>33715</v>
      </c>
      <c r="P428" t="s">
        <v>21</v>
      </c>
      <c r="Q428" t="str">
        <f>TEXT(Data_Set_3[[#This Row],[date]],"mmmm")</f>
        <v>August</v>
      </c>
      <c r="R428">
        <f>MONTH(Data_Set_3[[#This Row],[date]])</f>
        <v>8</v>
      </c>
      <c r="S428">
        <f>YEAR(Data_Set_3[[#This Row],[date]])</f>
        <v>2019</v>
      </c>
    </row>
    <row r="429" spans="1:19" x14ac:dyDescent="0.3">
      <c r="A429">
        <v>1437</v>
      </c>
      <c r="B429" t="s">
        <v>154</v>
      </c>
      <c r="C429" t="s">
        <v>310</v>
      </c>
      <c r="D429" t="s">
        <v>3039</v>
      </c>
      <c r="E429" t="s">
        <v>3040</v>
      </c>
      <c r="F429" t="s">
        <v>1602</v>
      </c>
      <c r="G429" t="s">
        <v>2571</v>
      </c>
      <c r="H429" t="s">
        <v>16</v>
      </c>
      <c r="I429" t="s">
        <v>151</v>
      </c>
      <c r="J429">
        <v>169</v>
      </c>
      <c r="K429" t="s">
        <v>26</v>
      </c>
      <c r="L429" s="2">
        <v>43705</v>
      </c>
      <c r="M429" t="s">
        <v>489</v>
      </c>
      <c r="N429" t="s">
        <v>667</v>
      </c>
      <c r="O429">
        <v>89505</v>
      </c>
      <c r="P429" t="s">
        <v>21</v>
      </c>
      <c r="Q429" t="str">
        <f>TEXT(Data_Set_3[[#This Row],[date]],"mmmm")</f>
        <v>August</v>
      </c>
      <c r="R429">
        <f>MONTH(Data_Set_3[[#This Row],[date]])</f>
        <v>8</v>
      </c>
      <c r="S429">
        <f>YEAR(Data_Set_3[[#This Row],[date]])</f>
        <v>2019</v>
      </c>
    </row>
    <row r="430" spans="1:19" x14ac:dyDescent="0.3">
      <c r="A430">
        <v>1020</v>
      </c>
      <c r="B430" t="s">
        <v>122</v>
      </c>
      <c r="C430" t="s">
        <v>954</v>
      </c>
      <c r="D430" t="s">
        <v>2888</v>
      </c>
      <c r="E430" t="s">
        <v>2889</v>
      </c>
      <c r="F430" t="s">
        <v>1998</v>
      </c>
      <c r="G430" t="s">
        <v>1926</v>
      </c>
      <c r="H430" t="s">
        <v>32</v>
      </c>
      <c r="I430" t="s">
        <v>17</v>
      </c>
      <c r="J430">
        <v>303</v>
      </c>
      <c r="K430" t="s">
        <v>26</v>
      </c>
      <c r="L430" s="2">
        <v>43706</v>
      </c>
      <c r="M430" t="s">
        <v>35</v>
      </c>
      <c r="N430" t="s">
        <v>620</v>
      </c>
      <c r="O430">
        <v>94105</v>
      </c>
      <c r="P430" t="s">
        <v>21</v>
      </c>
      <c r="Q430" t="str">
        <f>TEXT(Data_Set_3[[#This Row],[date]],"mmmm")</f>
        <v>August</v>
      </c>
      <c r="R430">
        <f>MONTH(Data_Set_3[[#This Row],[date]])</f>
        <v>8</v>
      </c>
      <c r="S430">
        <f>YEAR(Data_Set_3[[#This Row],[date]])</f>
        <v>2019</v>
      </c>
    </row>
    <row r="431" spans="1:19" x14ac:dyDescent="0.3">
      <c r="A431">
        <v>1081</v>
      </c>
      <c r="B431" t="s">
        <v>29</v>
      </c>
      <c r="C431" t="s">
        <v>906</v>
      </c>
      <c r="D431" t="s">
        <v>2980</v>
      </c>
      <c r="E431" t="s">
        <v>2981</v>
      </c>
      <c r="F431" t="s">
        <v>2342</v>
      </c>
      <c r="G431" t="s">
        <v>2286</v>
      </c>
      <c r="H431" t="s">
        <v>32</v>
      </c>
      <c r="I431" t="s">
        <v>51</v>
      </c>
      <c r="J431">
        <v>845</v>
      </c>
      <c r="K431" t="s">
        <v>18</v>
      </c>
      <c r="L431" s="2">
        <v>43710</v>
      </c>
      <c r="M431" t="s">
        <v>152</v>
      </c>
      <c r="N431" t="s">
        <v>484</v>
      </c>
      <c r="O431">
        <v>45426</v>
      </c>
      <c r="P431" t="s">
        <v>21</v>
      </c>
      <c r="Q431" t="str">
        <f>TEXT(Data_Set_3[[#This Row],[date]],"mmmm")</f>
        <v>September</v>
      </c>
      <c r="R431">
        <f>MONTH(Data_Set_3[[#This Row],[date]])</f>
        <v>9</v>
      </c>
      <c r="S431">
        <f>YEAR(Data_Set_3[[#This Row],[date]])</f>
        <v>2019</v>
      </c>
    </row>
    <row r="432" spans="1:19" x14ac:dyDescent="0.3">
      <c r="A432">
        <v>1298</v>
      </c>
      <c r="B432" t="s">
        <v>595</v>
      </c>
      <c r="C432" t="s">
        <v>293</v>
      </c>
      <c r="D432" t="s">
        <v>2900</v>
      </c>
      <c r="E432" t="s">
        <v>2901</v>
      </c>
      <c r="F432" t="s">
        <v>1539</v>
      </c>
      <c r="G432" t="s">
        <v>1952</v>
      </c>
      <c r="H432" t="s">
        <v>32</v>
      </c>
      <c r="I432" t="s">
        <v>543</v>
      </c>
      <c r="J432">
        <v>696</v>
      </c>
      <c r="K432" t="s">
        <v>73</v>
      </c>
      <c r="L432" s="2">
        <v>43710</v>
      </c>
      <c r="M432" t="s">
        <v>115</v>
      </c>
      <c r="N432" t="s">
        <v>351</v>
      </c>
      <c r="O432">
        <v>32891</v>
      </c>
      <c r="P432" t="s">
        <v>21</v>
      </c>
      <c r="Q432" t="str">
        <f>TEXT(Data_Set_3[[#This Row],[date]],"mmmm")</f>
        <v>September</v>
      </c>
      <c r="R432">
        <f>MONTH(Data_Set_3[[#This Row],[date]])</f>
        <v>9</v>
      </c>
      <c r="S432">
        <f>YEAR(Data_Set_3[[#This Row],[date]])</f>
        <v>2019</v>
      </c>
    </row>
    <row r="433" spans="1:19" x14ac:dyDescent="0.3">
      <c r="A433">
        <v>1410</v>
      </c>
      <c r="B433" t="s">
        <v>905</v>
      </c>
      <c r="C433" t="s">
        <v>232</v>
      </c>
      <c r="D433" t="s">
        <v>3328</v>
      </c>
      <c r="E433" t="s">
        <v>3329</v>
      </c>
      <c r="F433" t="s">
        <v>1566</v>
      </c>
      <c r="G433" t="s">
        <v>2540</v>
      </c>
      <c r="H433" t="s">
        <v>16</v>
      </c>
      <c r="I433" t="s">
        <v>553</v>
      </c>
      <c r="J433">
        <v>815</v>
      </c>
      <c r="K433" t="s">
        <v>275</v>
      </c>
      <c r="L433" s="2">
        <v>43713</v>
      </c>
      <c r="M433" t="s">
        <v>68</v>
      </c>
      <c r="N433" t="s">
        <v>518</v>
      </c>
      <c r="O433">
        <v>78230</v>
      </c>
      <c r="P433" t="s">
        <v>21</v>
      </c>
      <c r="Q433" t="str">
        <f>TEXT(Data_Set_3[[#This Row],[date]],"mmmm")</f>
        <v>September</v>
      </c>
      <c r="R433">
        <f>MONTH(Data_Set_3[[#This Row],[date]])</f>
        <v>9</v>
      </c>
      <c r="S433">
        <f>YEAR(Data_Set_3[[#This Row],[date]])</f>
        <v>2019</v>
      </c>
    </row>
    <row r="434" spans="1:19" x14ac:dyDescent="0.3">
      <c r="A434">
        <v>1765</v>
      </c>
      <c r="B434" t="s">
        <v>837</v>
      </c>
      <c r="C434" t="s">
        <v>760</v>
      </c>
      <c r="D434" t="s">
        <v>3330</v>
      </c>
      <c r="E434" t="s">
        <v>3331</v>
      </c>
      <c r="F434" t="s">
        <v>1517</v>
      </c>
      <c r="G434" t="s">
        <v>2546</v>
      </c>
      <c r="H434" t="s">
        <v>16</v>
      </c>
      <c r="I434" t="s">
        <v>361</v>
      </c>
      <c r="J434">
        <v>188</v>
      </c>
      <c r="K434" t="s">
        <v>40</v>
      </c>
      <c r="L434" s="2">
        <v>43714</v>
      </c>
      <c r="M434" t="s">
        <v>63</v>
      </c>
      <c r="N434" t="s">
        <v>64</v>
      </c>
      <c r="O434">
        <v>68179</v>
      </c>
      <c r="P434" t="s">
        <v>21</v>
      </c>
      <c r="Q434" t="str">
        <f>TEXT(Data_Set_3[[#This Row],[date]],"mmmm")</f>
        <v>September</v>
      </c>
      <c r="R434">
        <f>MONTH(Data_Set_3[[#This Row],[date]])</f>
        <v>9</v>
      </c>
      <c r="S434">
        <f>YEAR(Data_Set_3[[#This Row],[date]])</f>
        <v>2019</v>
      </c>
    </row>
    <row r="435" spans="1:19" x14ac:dyDescent="0.3">
      <c r="A435">
        <v>1026</v>
      </c>
      <c r="B435" t="s">
        <v>844</v>
      </c>
      <c r="C435" t="s">
        <v>671</v>
      </c>
      <c r="D435" t="s">
        <v>2814</v>
      </c>
      <c r="E435" t="s">
        <v>2815</v>
      </c>
      <c r="F435" t="s">
        <v>2816</v>
      </c>
      <c r="G435" t="s">
        <v>2554</v>
      </c>
      <c r="H435" t="s">
        <v>32</v>
      </c>
      <c r="I435" t="s">
        <v>17</v>
      </c>
      <c r="J435">
        <v>817</v>
      </c>
      <c r="K435" t="s">
        <v>26</v>
      </c>
      <c r="L435" s="2">
        <v>43720</v>
      </c>
      <c r="M435" t="s">
        <v>184</v>
      </c>
      <c r="N435" t="s">
        <v>185</v>
      </c>
      <c r="O435">
        <v>10469</v>
      </c>
      <c r="P435" t="s">
        <v>21</v>
      </c>
      <c r="Q435" t="str">
        <f>TEXT(Data_Set_3[[#This Row],[date]],"mmmm")</f>
        <v>September</v>
      </c>
      <c r="R435">
        <f>MONTH(Data_Set_3[[#This Row],[date]])</f>
        <v>9</v>
      </c>
      <c r="S435">
        <f>YEAR(Data_Set_3[[#This Row],[date]])</f>
        <v>2019</v>
      </c>
    </row>
    <row r="436" spans="1:19" x14ac:dyDescent="0.3">
      <c r="A436">
        <v>1089</v>
      </c>
      <c r="B436" t="s">
        <v>386</v>
      </c>
      <c r="C436" t="s">
        <v>986</v>
      </c>
      <c r="D436" t="s">
        <v>3332</v>
      </c>
      <c r="E436" t="s">
        <v>3333</v>
      </c>
      <c r="F436" t="s">
        <v>1306</v>
      </c>
      <c r="G436" t="s">
        <v>1936</v>
      </c>
      <c r="H436" t="s">
        <v>16</v>
      </c>
      <c r="I436" t="s">
        <v>51</v>
      </c>
      <c r="J436">
        <v>164</v>
      </c>
      <c r="K436" t="s">
        <v>26</v>
      </c>
      <c r="L436" s="2">
        <v>43720</v>
      </c>
      <c r="M436" t="s">
        <v>68</v>
      </c>
      <c r="N436" t="s">
        <v>2937</v>
      </c>
      <c r="O436">
        <v>78410</v>
      </c>
      <c r="P436" t="s">
        <v>21</v>
      </c>
      <c r="Q436" t="str">
        <f>TEXT(Data_Set_3[[#This Row],[date]],"mmmm")</f>
        <v>September</v>
      </c>
      <c r="R436">
        <f>MONTH(Data_Set_3[[#This Row],[date]])</f>
        <v>9</v>
      </c>
      <c r="S436">
        <f>YEAR(Data_Set_3[[#This Row],[date]])</f>
        <v>2019</v>
      </c>
    </row>
    <row r="437" spans="1:19" x14ac:dyDescent="0.3">
      <c r="A437">
        <v>1997</v>
      </c>
      <c r="B437" t="s">
        <v>899</v>
      </c>
      <c r="C437" t="s">
        <v>1069</v>
      </c>
      <c r="D437" t="s">
        <v>3234</v>
      </c>
      <c r="E437" t="s">
        <v>3235</v>
      </c>
      <c r="F437" t="s">
        <v>3236</v>
      </c>
      <c r="G437" t="s">
        <v>2326</v>
      </c>
      <c r="H437" t="s">
        <v>32</v>
      </c>
      <c r="I437" t="s">
        <v>543</v>
      </c>
      <c r="J437">
        <v>404</v>
      </c>
      <c r="K437" t="s">
        <v>26</v>
      </c>
      <c r="L437" s="2">
        <v>43720</v>
      </c>
      <c r="M437" t="s">
        <v>184</v>
      </c>
      <c r="N437" t="s">
        <v>197</v>
      </c>
      <c r="O437">
        <v>10155</v>
      </c>
      <c r="P437" t="s">
        <v>21</v>
      </c>
      <c r="Q437" t="str">
        <f>TEXT(Data_Set_3[[#This Row],[date]],"mmmm")</f>
        <v>September</v>
      </c>
      <c r="R437">
        <f>MONTH(Data_Set_3[[#This Row],[date]])</f>
        <v>9</v>
      </c>
      <c r="S437">
        <f>YEAR(Data_Set_3[[#This Row],[date]])</f>
        <v>2019</v>
      </c>
    </row>
    <row r="438" spans="1:19" x14ac:dyDescent="0.3">
      <c r="A438">
        <v>1001</v>
      </c>
      <c r="B438" t="s">
        <v>289</v>
      </c>
      <c r="C438" t="s">
        <v>1017</v>
      </c>
      <c r="D438" t="s">
        <v>2874</v>
      </c>
      <c r="E438" t="s">
        <v>2875</v>
      </c>
      <c r="F438" t="s">
        <v>2249</v>
      </c>
      <c r="G438" t="s">
        <v>1766</v>
      </c>
      <c r="H438" t="s">
        <v>16</v>
      </c>
      <c r="I438" t="s">
        <v>17</v>
      </c>
      <c r="J438">
        <v>798</v>
      </c>
      <c r="K438" t="s">
        <v>34</v>
      </c>
      <c r="L438" s="2">
        <v>43721</v>
      </c>
      <c r="M438" t="s">
        <v>68</v>
      </c>
      <c r="N438" t="s">
        <v>169</v>
      </c>
      <c r="O438">
        <v>88563</v>
      </c>
      <c r="P438" t="s">
        <v>21</v>
      </c>
      <c r="Q438" t="str">
        <f>TEXT(Data_Set_3[[#This Row],[date]],"mmmm")</f>
        <v>September</v>
      </c>
      <c r="R438">
        <f>MONTH(Data_Set_3[[#This Row],[date]])</f>
        <v>9</v>
      </c>
      <c r="S438">
        <f>YEAR(Data_Set_3[[#This Row],[date]])</f>
        <v>2019</v>
      </c>
    </row>
    <row r="439" spans="1:19" x14ac:dyDescent="0.3">
      <c r="A439">
        <v>1746</v>
      </c>
      <c r="B439" t="s">
        <v>457</v>
      </c>
      <c r="C439" t="s">
        <v>883</v>
      </c>
      <c r="D439" t="s">
        <v>3334</v>
      </c>
      <c r="E439" t="s">
        <v>3335</v>
      </c>
      <c r="F439" t="s">
        <v>1987</v>
      </c>
      <c r="G439" t="s">
        <v>1746</v>
      </c>
      <c r="H439" t="s">
        <v>16</v>
      </c>
      <c r="I439" t="s">
        <v>51</v>
      </c>
      <c r="J439">
        <v>495</v>
      </c>
      <c r="K439" t="s">
        <v>109</v>
      </c>
      <c r="L439" s="2">
        <v>43721</v>
      </c>
      <c r="M439" t="s">
        <v>35</v>
      </c>
      <c r="N439" t="s">
        <v>438</v>
      </c>
      <c r="O439">
        <v>90015</v>
      </c>
      <c r="P439" t="s">
        <v>21</v>
      </c>
      <c r="Q439" t="str">
        <f>TEXT(Data_Set_3[[#This Row],[date]],"mmmm")</f>
        <v>September</v>
      </c>
      <c r="R439">
        <f>MONTH(Data_Set_3[[#This Row],[date]])</f>
        <v>9</v>
      </c>
      <c r="S439">
        <f>YEAR(Data_Set_3[[#This Row],[date]])</f>
        <v>2019</v>
      </c>
    </row>
    <row r="440" spans="1:19" x14ac:dyDescent="0.3">
      <c r="A440">
        <v>1144</v>
      </c>
      <c r="B440" t="s">
        <v>644</v>
      </c>
      <c r="C440" t="s">
        <v>581</v>
      </c>
      <c r="D440" t="s">
        <v>3114</v>
      </c>
      <c r="E440" t="s">
        <v>3115</v>
      </c>
      <c r="F440" t="s">
        <v>2641</v>
      </c>
      <c r="G440" t="s">
        <v>2709</v>
      </c>
      <c r="H440" t="s">
        <v>32</v>
      </c>
      <c r="I440" t="s">
        <v>25</v>
      </c>
      <c r="J440">
        <v>946</v>
      </c>
      <c r="K440" t="s">
        <v>62</v>
      </c>
      <c r="L440" s="2">
        <v>43724</v>
      </c>
      <c r="M440" t="s">
        <v>184</v>
      </c>
      <c r="N440" t="s">
        <v>3116</v>
      </c>
      <c r="O440">
        <v>11355</v>
      </c>
      <c r="P440" t="s">
        <v>21</v>
      </c>
      <c r="Q440" t="str">
        <f>TEXT(Data_Set_3[[#This Row],[date]],"mmmm")</f>
        <v>September</v>
      </c>
      <c r="R440">
        <f>MONTH(Data_Set_3[[#This Row],[date]])</f>
        <v>9</v>
      </c>
      <c r="S440">
        <f>YEAR(Data_Set_3[[#This Row],[date]])</f>
        <v>2019</v>
      </c>
    </row>
    <row r="441" spans="1:19" x14ac:dyDescent="0.3">
      <c r="A441">
        <v>1754</v>
      </c>
      <c r="B441" t="s">
        <v>499</v>
      </c>
      <c r="C441" t="s">
        <v>3336</v>
      </c>
      <c r="D441" t="s">
        <v>3337</v>
      </c>
      <c r="E441" t="s">
        <v>3338</v>
      </c>
      <c r="F441" t="s">
        <v>1983</v>
      </c>
      <c r="G441" t="s">
        <v>2687</v>
      </c>
      <c r="H441" t="s">
        <v>16</v>
      </c>
      <c r="I441" t="s">
        <v>406</v>
      </c>
      <c r="J441">
        <v>606</v>
      </c>
      <c r="K441" t="s">
        <v>26</v>
      </c>
      <c r="L441" s="2">
        <v>43724</v>
      </c>
      <c r="M441" t="s">
        <v>19</v>
      </c>
      <c r="N441" t="s">
        <v>3339</v>
      </c>
      <c r="O441">
        <v>2142</v>
      </c>
      <c r="P441" t="s">
        <v>21</v>
      </c>
      <c r="Q441" t="str">
        <f>TEXT(Data_Set_3[[#This Row],[date]],"mmmm")</f>
        <v>September</v>
      </c>
      <c r="R441">
        <f>MONTH(Data_Set_3[[#This Row],[date]])</f>
        <v>9</v>
      </c>
      <c r="S441">
        <f>YEAR(Data_Set_3[[#This Row],[date]])</f>
        <v>2019</v>
      </c>
    </row>
    <row r="442" spans="1:19" x14ac:dyDescent="0.3">
      <c r="A442">
        <v>1812</v>
      </c>
      <c r="B442" t="s">
        <v>1130</v>
      </c>
      <c r="C442" t="s">
        <v>639</v>
      </c>
      <c r="D442" t="s">
        <v>2863</v>
      </c>
      <c r="E442" t="s">
        <v>2864</v>
      </c>
      <c r="F442" t="s">
        <v>2641</v>
      </c>
      <c r="G442" t="s">
        <v>1653</v>
      </c>
      <c r="H442" t="s">
        <v>16</v>
      </c>
      <c r="I442" t="s">
        <v>543</v>
      </c>
      <c r="J442">
        <v>261</v>
      </c>
      <c r="K442" t="s">
        <v>34</v>
      </c>
      <c r="L442" s="2">
        <v>43727</v>
      </c>
      <c r="M442" t="s">
        <v>524</v>
      </c>
      <c r="N442" t="s">
        <v>815</v>
      </c>
      <c r="O442">
        <v>35220</v>
      </c>
      <c r="P442" t="s">
        <v>21</v>
      </c>
      <c r="Q442" t="str">
        <f>TEXT(Data_Set_3[[#This Row],[date]],"mmmm")</f>
        <v>September</v>
      </c>
      <c r="R442">
        <f>MONTH(Data_Set_3[[#This Row],[date]])</f>
        <v>9</v>
      </c>
      <c r="S442">
        <f>YEAR(Data_Set_3[[#This Row],[date]])</f>
        <v>2019</v>
      </c>
    </row>
    <row r="443" spans="1:19" x14ac:dyDescent="0.3">
      <c r="A443">
        <v>1975</v>
      </c>
      <c r="B443" t="s">
        <v>426</v>
      </c>
      <c r="C443" t="s">
        <v>707</v>
      </c>
      <c r="D443" t="s">
        <v>3340</v>
      </c>
      <c r="E443" t="s">
        <v>3341</v>
      </c>
      <c r="F443" t="s">
        <v>1885</v>
      </c>
      <c r="G443" t="s">
        <v>2460</v>
      </c>
      <c r="H443" t="s">
        <v>16</v>
      </c>
      <c r="I443" t="s">
        <v>33</v>
      </c>
      <c r="J443">
        <v>435</v>
      </c>
      <c r="K443" t="s">
        <v>26</v>
      </c>
      <c r="L443" s="2">
        <v>43728</v>
      </c>
      <c r="M443" t="s">
        <v>842</v>
      </c>
      <c r="N443" t="s">
        <v>3342</v>
      </c>
      <c r="O443">
        <v>58207</v>
      </c>
      <c r="P443" t="s">
        <v>21</v>
      </c>
      <c r="Q443" t="str">
        <f>TEXT(Data_Set_3[[#This Row],[date]],"mmmm")</f>
        <v>September</v>
      </c>
      <c r="R443">
        <f>MONTH(Data_Set_3[[#This Row],[date]])</f>
        <v>9</v>
      </c>
      <c r="S443">
        <f>YEAR(Data_Set_3[[#This Row],[date]])</f>
        <v>2019</v>
      </c>
    </row>
    <row r="444" spans="1:19" x14ac:dyDescent="0.3">
      <c r="A444">
        <v>1123</v>
      </c>
      <c r="B444" t="s">
        <v>1130</v>
      </c>
      <c r="C444" t="s">
        <v>423</v>
      </c>
      <c r="D444" t="s">
        <v>3031</v>
      </c>
      <c r="E444" t="s">
        <v>3032</v>
      </c>
      <c r="F444" t="s">
        <v>1450</v>
      </c>
      <c r="G444" t="s">
        <v>1985</v>
      </c>
      <c r="H444" t="s">
        <v>16</v>
      </c>
      <c r="I444" t="s">
        <v>51</v>
      </c>
      <c r="J444">
        <v>962</v>
      </c>
      <c r="K444" t="s">
        <v>164</v>
      </c>
      <c r="L444" s="2">
        <v>43731</v>
      </c>
      <c r="M444" t="s">
        <v>115</v>
      </c>
      <c r="N444" t="s">
        <v>864</v>
      </c>
      <c r="O444">
        <v>33673</v>
      </c>
      <c r="P444" t="s">
        <v>21</v>
      </c>
      <c r="Q444" t="str">
        <f>TEXT(Data_Set_3[[#This Row],[date]],"mmmm")</f>
        <v>September</v>
      </c>
      <c r="R444">
        <f>MONTH(Data_Set_3[[#This Row],[date]])</f>
        <v>9</v>
      </c>
      <c r="S444">
        <f>YEAR(Data_Set_3[[#This Row],[date]])</f>
        <v>2019</v>
      </c>
    </row>
    <row r="445" spans="1:19" x14ac:dyDescent="0.3">
      <c r="A445">
        <v>1406</v>
      </c>
      <c r="B445" t="s">
        <v>3083</v>
      </c>
      <c r="C445" t="s">
        <v>684</v>
      </c>
      <c r="D445" t="s">
        <v>3343</v>
      </c>
      <c r="E445" t="s">
        <v>3344</v>
      </c>
      <c r="F445" t="s">
        <v>1385</v>
      </c>
      <c r="G445" t="s">
        <v>2396</v>
      </c>
      <c r="H445" t="s">
        <v>16</v>
      </c>
      <c r="I445" t="s">
        <v>553</v>
      </c>
      <c r="J445">
        <v>980</v>
      </c>
      <c r="K445" t="s">
        <v>34</v>
      </c>
      <c r="L445" s="2">
        <v>43734</v>
      </c>
      <c r="M445" t="s">
        <v>204</v>
      </c>
      <c r="N445" t="s">
        <v>1226</v>
      </c>
      <c r="O445">
        <v>24040</v>
      </c>
      <c r="P445" t="s">
        <v>21</v>
      </c>
      <c r="Q445" t="str">
        <f>TEXT(Data_Set_3[[#This Row],[date]],"mmmm")</f>
        <v>September</v>
      </c>
      <c r="R445">
        <f>MONTH(Data_Set_3[[#This Row],[date]])</f>
        <v>9</v>
      </c>
      <c r="S445">
        <f>YEAR(Data_Set_3[[#This Row],[date]])</f>
        <v>2019</v>
      </c>
    </row>
    <row r="446" spans="1:19" x14ac:dyDescent="0.3">
      <c r="A446">
        <v>1625</v>
      </c>
      <c r="B446" t="s">
        <v>569</v>
      </c>
      <c r="C446" t="s">
        <v>396</v>
      </c>
      <c r="D446" t="s">
        <v>3345</v>
      </c>
      <c r="E446" t="s">
        <v>3346</v>
      </c>
      <c r="F446" t="s">
        <v>3176</v>
      </c>
      <c r="G446" t="s">
        <v>3347</v>
      </c>
      <c r="H446" t="s">
        <v>16</v>
      </c>
      <c r="I446" t="s">
        <v>17</v>
      </c>
      <c r="J446">
        <v>495</v>
      </c>
      <c r="K446" t="s">
        <v>341</v>
      </c>
      <c r="L446" s="2">
        <v>43734</v>
      </c>
      <c r="M446" t="s">
        <v>115</v>
      </c>
      <c r="N446" t="s">
        <v>116</v>
      </c>
      <c r="O446">
        <v>34479</v>
      </c>
      <c r="P446" t="s">
        <v>21</v>
      </c>
      <c r="Q446" t="str">
        <f>TEXT(Data_Set_3[[#This Row],[date]],"mmmm")</f>
        <v>September</v>
      </c>
      <c r="R446">
        <f>MONTH(Data_Set_3[[#This Row],[date]])</f>
        <v>9</v>
      </c>
      <c r="S446">
        <f>YEAR(Data_Set_3[[#This Row],[date]])</f>
        <v>2019</v>
      </c>
    </row>
    <row r="447" spans="1:19" x14ac:dyDescent="0.3">
      <c r="A447">
        <v>1812</v>
      </c>
      <c r="B447" t="s">
        <v>1130</v>
      </c>
      <c r="C447" t="s">
        <v>639</v>
      </c>
      <c r="D447" t="s">
        <v>2863</v>
      </c>
      <c r="E447" t="s">
        <v>2864</v>
      </c>
      <c r="F447" t="s">
        <v>2641</v>
      </c>
      <c r="G447" t="s">
        <v>1653</v>
      </c>
      <c r="H447" t="s">
        <v>16</v>
      </c>
      <c r="I447" t="s">
        <v>543</v>
      </c>
      <c r="J447">
        <v>670</v>
      </c>
      <c r="K447" t="s">
        <v>34</v>
      </c>
      <c r="L447" s="2">
        <v>43738</v>
      </c>
      <c r="M447" t="s">
        <v>524</v>
      </c>
      <c r="N447" t="s">
        <v>815</v>
      </c>
      <c r="O447">
        <v>35220</v>
      </c>
      <c r="P447" t="s">
        <v>21</v>
      </c>
      <c r="Q447" t="str">
        <f>TEXT(Data_Set_3[[#This Row],[date]],"mmmm")</f>
        <v>September</v>
      </c>
      <c r="R447">
        <f>MONTH(Data_Set_3[[#This Row],[date]])</f>
        <v>9</v>
      </c>
      <c r="S447">
        <f>YEAR(Data_Set_3[[#This Row],[date]])</f>
        <v>2019</v>
      </c>
    </row>
    <row r="448" spans="1:19" x14ac:dyDescent="0.3">
      <c r="A448">
        <v>1212</v>
      </c>
      <c r="B448" t="s">
        <v>547</v>
      </c>
      <c r="C448" t="s">
        <v>337</v>
      </c>
      <c r="D448" t="s">
        <v>2828</v>
      </c>
      <c r="E448" t="s">
        <v>2829</v>
      </c>
      <c r="F448" t="s">
        <v>1608</v>
      </c>
      <c r="G448" t="s">
        <v>2830</v>
      </c>
      <c r="H448" t="s">
        <v>32</v>
      </c>
      <c r="I448" t="s">
        <v>33</v>
      </c>
      <c r="J448">
        <v>531</v>
      </c>
      <c r="K448" t="s">
        <v>34</v>
      </c>
      <c r="L448" s="2">
        <v>43741</v>
      </c>
      <c r="M448" t="s">
        <v>46</v>
      </c>
      <c r="N448" t="s">
        <v>47</v>
      </c>
      <c r="O448">
        <v>6183</v>
      </c>
      <c r="P448" t="s">
        <v>21</v>
      </c>
      <c r="Q448" t="str">
        <f>TEXT(Data_Set_3[[#This Row],[date]],"mmmm")</f>
        <v>October</v>
      </c>
      <c r="R448">
        <f>MONTH(Data_Set_3[[#This Row],[date]])</f>
        <v>10</v>
      </c>
      <c r="S448">
        <f>YEAR(Data_Set_3[[#This Row],[date]])</f>
        <v>2019</v>
      </c>
    </row>
    <row r="449" spans="1:19" x14ac:dyDescent="0.3">
      <c r="A449">
        <v>1170</v>
      </c>
      <c r="B449" t="s">
        <v>22</v>
      </c>
      <c r="C449" t="s">
        <v>883</v>
      </c>
      <c r="D449" t="s">
        <v>2837</v>
      </c>
      <c r="E449" t="s">
        <v>2838</v>
      </c>
      <c r="F449" t="s">
        <v>2430</v>
      </c>
      <c r="G449" t="s">
        <v>1333</v>
      </c>
      <c r="H449" t="s">
        <v>16</v>
      </c>
      <c r="I449" t="s">
        <v>33</v>
      </c>
      <c r="J449">
        <v>140</v>
      </c>
      <c r="K449" t="s">
        <v>164</v>
      </c>
      <c r="L449" s="2">
        <v>43747</v>
      </c>
      <c r="M449" t="s">
        <v>68</v>
      </c>
      <c r="N449" t="s">
        <v>169</v>
      </c>
      <c r="O449">
        <v>88574</v>
      </c>
      <c r="P449" t="s">
        <v>21</v>
      </c>
      <c r="Q449" t="str">
        <f>TEXT(Data_Set_3[[#This Row],[date]],"mmmm")</f>
        <v>October</v>
      </c>
      <c r="R449">
        <f>MONTH(Data_Set_3[[#This Row],[date]])</f>
        <v>10</v>
      </c>
      <c r="S449">
        <f>YEAR(Data_Set_3[[#This Row],[date]])</f>
        <v>2019</v>
      </c>
    </row>
    <row r="450" spans="1:19" x14ac:dyDescent="0.3">
      <c r="A450">
        <v>1468</v>
      </c>
      <c r="B450" t="s">
        <v>2915</v>
      </c>
      <c r="C450" t="s">
        <v>722</v>
      </c>
      <c r="D450" t="s">
        <v>2916</v>
      </c>
      <c r="E450" t="s">
        <v>2917</v>
      </c>
      <c r="F450" t="s">
        <v>2918</v>
      </c>
      <c r="G450" t="s">
        <v>1559</v>
      </c>
      <c r="H450" t="s">
        <v>32</v>
      </c>
      <c r="I450" t="s">
        <v>33</v>
      </c>
      <c r="J450">
        <v>413</v>
      </c>
      <c r="K450" t="s">
        <v>259</v>
      </c>
      <c r="L450" s="2">
        <v>43747</v>
      </c>
      <c r="M450" t="s">
        <v>120</v>
      </c>
      <c r="N450" t="s">
        <v>718</v>
      </c>
      <c r="O450">
        <v>70116</v>
      </c>
      <c r="P450" t="s">
        <v>21</v>
      </c>
      <c r="Q450" t="str">
        <f>TEXT(Data_Set_3[[#This Row],[date]],"mmmm")</f>
        <v>October</v>
      </c>
      <c r="R450">
        <f>MONTH(Data_Set_3[[#This Row],[date]])</f>
        <v>10</v>
      </c>
      <c r="S450">
        <f>YEAR(Data_Set_3[[#This Row],[date]])</f>
        <v>2019</v>
      </c>
    </row>
    <row r="451" spans="1:19" x14ac:dyDescent="0.3">
      <c r="A451">
        <v>1167</v>
      </c>
      <c r="B451" t="s">
        <v>252</v>
      </c>
      <c r="C451" t="s">
        <v>1069</v>
      </c>
      <c r="D451" t="s">
        <v>3348</v>
      </c>
      <c r="E451" t="s">
        <v>3349</v>
      </c>
      <c r="F451" t="s">
        <v>2225</v>
      </c>
      <c r="G451" t="s">
        <v>1429</v>
      </c>
      <c r="H451" t="s">
        <v>16</v>
      </c>
      <c r="I451" t="s">
        <v>25</v>
      </c>
      <c r="J451">
        <v>203</v>
      </c>
      <c r="K451" t="s">
        <v>18</v>
      </c>
      <c r="L451" s="2">
        <v>43749</v>
      </c>
      <c r="M451" t="s">
        <v>220</v>
      </c>
      <c r="N451" t="s">
        <v>221</v>
      </c>
      <c r="O451">
        <v>98417</v>
      </c>
      <c r="P451" t="s">
        <v>21</v>
      </c>
      <c r="Q451" t="str">
        <f>TEXT(Data_Set_3[[#This Row],[date]],"mmmm")</f>
        <v>October</v>
      </c>
      <c r="R451">
        <f>MONTH(Data_Set_3[[#This Row],[date]])</f>
        <v>10</v>
      </c>
      <c r="S451">
        <f>YEAR(Data_Set_3[[#This Row],[date]])</f>
        <v>2019</v>
      </c>
    </row>
    <row r="452" spans="1:19" x14ac:dyDescent="0.3">
      <c r="A452">
        <v>1688</v>
      </c>
      <c r="B452" t="s">
        <v>661</v>
      </c>
      <c r="C452" t="s">
        <v>835</v>
      </c>
      <c r="D452" t="s">
        <v>3350</v>
      </c>
      <c r="E452" t="s">
        <v>3351</v>
      </c>
      <c r="F452" t="s">
        <v>1438</v>
      </c>
      <c r="G452" t="s">
        <v>2830</v>
      </c>
      <c r="H452" t="s">
        <v>16</v>
      </c>
      <c r="I452" t="s">
        <v>17</v>
      </c>
      <c r="J452">
        <v>102</v>
      </c>
      <c r="K452" t="s">
        <v>164</v>
      </c>
      <c r="L452" s="2">
        <v>43749</v>
      </c>
      <c r="M452" t="s">
        <v>35</v>
      </c>
      <c r="N452" t="s">
        <v>583</v>
      </c>
      <c r="O452">
        <v>93150</v>
      </c>
      <c r="P452" t="s">
        <v>21</v>
      </c>
      <c r="Q452" t="str">
        <f>TEXT(Data_Set_3[[#This Row],[date]],"mmmm")</f>
        <v>October</v>
      </c>
      <c r="R452">
        <f>MONTH(Data_Set_3[[#This Row],[date]])</f>
        <v>10</v>
      </c>
      <c r="S452">
        <f>YEAR(Data_Set_3[[#This Row],[date]])</f>
        <v>2019</v>
      </c>
    </row>
    <row r="453" spans="1:19" x14ac:dyDescent="0.3">
      <c r="A453">
        <v>1019</v>
      </c>
      <c r="B453" t="s">
        <v>460</v>
      </c>
      <c r="C453" t="s">
        <v>446</v>
      </c>
      <c r="D453" t="s">
        <v>3093</v>
      </c>
      <c r="E453" t="s">
        <v>3094</v>
      </c>
      <c r="F453" t="s">
        <v>1323</v>
      </c>
      <c r="G453" t="s">
        <v>2495</v>
      </c>
      <c r="H453" t="s">
        <v>32</v>
      </c>
      <c r="I453" t="s">
        <v>17</v>
      </c>
      <c r="J453">
        <v>117</v>
      </c>
      <c r="K453" t="s">
        <v>62</v>
      </c>
      <c r="L453" s="2">
        <v>43750</v>
      </c>
      <c r="M453" t="s">
        <v>563</v>
      </c>
      <c r="N453" t="s">
        <v>564</v>
      </c>
      <c r="O453">
        <v>83705</v>
      </c>
      <c r="P453" t="s">
        <v>21</v>
      </c>
      <c r="Q453" t="str">
        <f>TEXT(Data_Set_3[[#This Row],[date]],"mmmm")</f>
        <v>October</v>
      </c>
      <c r="R453">
        <f>MONTH(Data_Set_3[[#This Row],[date]])</f>
        <v>10</v>
      </c>
      <c r="S453">
        <f>YEAR(Data_Set_3[[#This Row],[date]])</f>
        <v>2019</v>
      </c>
    </row>
    <row r="454" spans="1:19" x14ac:dyDescent="0.3">
      <c r="A454">
        <v>1538</v>
      </c>
      <c r="B454" t="s">
        <v>773</v>
      </c>
      <c r="C454" t="s">
        <v>228</v>
      </c>
      <c r="D454" t="s">
        <v>3352</v>
      </c>
      <c r="E454" t="s">
        <v>3353</v>
      </c>
      <c r="F454" t="s">
        <v>1394</v>
      </c>
      <c r="G454" t="s">
        <v>2403</v>
      </c>
      <c r="H454" t="s">
        <v>16</v>
      </c>
      <c r="I454" t="s">
        <v>151</v>
      </c>
      <c r="J454">
        <v>292</v>
      </c>
      <c r="K454" t="s">
        <v>34</v>
      </c>
      <c r="L454" s="2">
        <v>43751</v>
      </c>
      <c r="M454" t="s">
        <v>115</v>
      </c>
      <c r="N454" t="s">
        <v>2944</v>
      </c>
      <c r="O454">
        <v>32314</v>
      </c>
      <c r="P454" t="s">
        <v>21</v>
      </c>
      <c r="Q454" t="str">
        <f>TEXT(Data_Set_3[[#This Row],[date]],"mmmm")</f>
        <v>October</v>
      </c>
      <c r="R454">
        <f>MONTH(Data_Set_3[[#This Row],[date]])</f>
        <v>10</v>
      </c>
      <c r="S454">
        <f>YEAR(Data_Set_3[[#This Row],[date]])</f>
        <v>2019</v>
      </c>
    </row>
    <row r="455" spans="1:19" x14ac:dyDescent="0.3">
      <c r="A455">
        <v>1945</v>
      </c>
      <c r="B455" t="s">
        <v>3072</v>
      </c>
      <c r="C455" t="s">
        <v>3354</v>
      </c>
      <c r="D455" t="s">
        <v>3355</v>
      </c>
      <c r="E455" t="s">
        <v>3356</v>
      </c>
      <c r="F455" t="s">
        <v>3357</v>
      </c>
      <c r="G455" t="s">
        <v>2196</v>
      </c>
      <c r="H455" t="s">
        <v>16</v>
      </c>
      <c r="I455" t="s">
        <v>454</v>
      </c>
      <c r="J455">
        <v>633</v>
      </c>
      <c r="K455" t="s">
        <v>95</v>
      </c>
      <c r="L455" s="2">
        <v>43751</v>
      </c>
      <c r="M455" t="s">
        <v>35</v>
      </c>
      <c r="N455" t="s">
        <v>908</v>
      </c>
      <c r="O455">
        <v>92160</v>
      </c>
      <c r="P455" t="s">
        <v>21</v>
      </c>
      <c r="Q455" t="str">
        <f>TEXT(Data_Set_3[[#This Row],[date]],"mmmm")</f>
        <v>October</v>
      </c>
      <c r="R455">
        <f>MONTH(Data_Set_3[[#This Row],[date]])</f>
        <v>10</v>
      </c>
      <c r="S455">
        <f>YEAR(Data_Set_3[[#This Row],[date]])</f>
        <v>2019</v>
      </c>
    </row>
    <row r="456" spans="1:19" x14ac:dyDescent="0.3">
      <c r="A456">
        <v>1851</v>
      </c>
      <c r="B456" t="s">
        <v>471</v>
      </c>
      <c r="C456" t="s">
        <v>220</v>
      </c>
      <c r="D456" t="s">
        <v>3015</v>
      </c>
      <c r="E456" t="s">
        <v>3016</v>
      </c>
      <c r="F456" t="s">
        <v>3017</v>
      </c>
      <c r="G456" t="s">
        <v>2697</v>
      </c>
      <c r="H456" t="s">
        <v>32</v>
      </c>
      <c r="I456" t="s">
        <v>33</v>
      </c>
      <c r="J456">
        <v>42</v>
      </c>
      <c r="K456" t="s">
        <v>73</v>
      </c>
      <c r="L456" s="2">
        <v>43756</v>
      </c>
      <c r="M456" t="s">
        <v>184</v>
      </c>
      <c r="N456" t="s">
        <v>656</v>
      </c>
      <c r="O456">
        <v>11210</v>
      </c>
      <c r="P456" t="s">
        <v>21</v>
      </c>
      <c r="Q456" t="str">
        <f>TEXT(Data_Set_3[[#This Row],[date]],"mmmm")</f>
        <v>October</v>
      </c>
      <c r="R456">
        <f>MONTH(Data_Set_3[[#This Row],[date]])</f>
        <v>10</v>
      </c>
      <c r="S456">
        <f>YEAR(Data_Set_3[[#This Row],[date]])</f>
        <v>2019</v>
      </c>
    </row>
    <row r="457" spans="1:19" x14ac:dyDescent="0.3">
      <c r="A457">
        <v>1123</v>
      </c>
      <c r="B457" t="s">
        <v>1130</v>
      </c>
      <c r="C457" t="s">
        <v>423</v>
      </c>
      <c r="D457" t="s">
        <v>3031</v>
      </c>
      <c r="E457" t="s">
        <v>3032</v>
      </c>
      <c r="F457" t="s">
        <v>1450</v>
      </c>
      <c r="G457" t="s">
        <v>1985</v>
      </c>
      <c r="H457" t="s">
        <v>16</v>
      </c>
      <c r="I457" t="s">
        <v>51</v>
      </c>
      <c r="J457">
        <v>796</v>
      </c>
      <c r="K457" t="s">
        <v>164</v>
      </c>
      <c r="L457" s="2">
        <v>43758</v>
      </c>
      <c r="M457" t="s">
        <v>115</v>
      </c>
      <c r="N457" t="s">
        <v>864</v>
      </c>
      <c r="O457">
        <v>33673</v>
      </c>
      <c r="P457" t="s">
        <v>21</v>
      </c>
      <c r="Q457" t="str">
        <f>TEXT(Data_Set_3[[#This Row],[date]],"mmmm")</f>
        <v>October</v>
      </c>
      <c r="R457">
        <f>MONTH(Data_Set_3[[#This Row],[date]])</f>
        <v>10</v>
      </c>
      <c r="S457">
        <f>YEAR(Data_Set_3[[#This Row],[date]])</f>
        <v>2019</v>
      </c>
    </row>
    <row r="458" spans="1:19" x14ac:dyDescent="0.3">
      <c r="A458">
        <v>1039</v>
      </c>
      <c r="B458" t="s">
        <v>1245</v>
      </c>
      <c r="C458" t="s">
        <v>883</v>
      </c>
      <c r="D458" t="s">
        <v>3128</v>
      </c>
      <c r="E458" t="s">
        <v>3129</v>
      </c>
      <c r="F458" t="s">
        <v>1901</v>
      </c>
      <c r="G458" t="s">
        <v>2508</v>
      </c>
      <c r="H458" t="s">
        <v>16</v>
      </c>
      <c r="I458" t="s">
        <v>17</v>
      </c>
      <c r="J458">
        <v>518</v>
      </c>
      <c r="K458" t="s">
        <v>57</v>
      </c>
      <c r="L458" s="2">
        <v>43764</v>
      </c>
      <c r="M458" t="s">
        <v>41</v>
      </c>
      <c r="N458" t="s">
        <v>42</v>
      </c>
      <c r="O458">
        <v>40298</v>
      </c>
      <c r="P458" t="s">
        <v>21</v>
      </c>
      <c r="Q458" t="str">
        <f>TEXT(Data_Set_3[[#This Row],[date]],"mmmm")</f>
        <v>October</v>
      </c>
      <c r="R458">
        <f>MONTH(Data_Set_3[[#This Row],[date]])</f>
        <v>10</v>
      </c>
      <c r="S458">
        <f>YEAR(Data_Set_3[[#This Row],[date]])</f>
        <v>2019</v>
      </c>
    </row>
    <row r="459" spans="1:19" x14ac:dyDescent="0.3">
      <c r="A459">
        <v>1260</v>
      </c>
      <c r="B459" t="s">
        <v>417</v>
      </c>
      <c r="C459" t="s">
        <v>2904</v>
      </c>
      <c r="D459" t="s">
        <v>2905</v>
      </c>
      <c r="E459" t="s">
        <v>2906</v>
      </c>
      <c r="F459" t="s">
        <v>1777</v>
      </c>
      <c r="G459" t="s">
        <v>2571</v>
      </c>
      <c r="H459" t="s">
        <v>16</v>
      </c>
      <c r="I459" t="s">
        <v>543</v>
      </c>
      <c r="J459">
        <v>91</v>
      </c>
      <c r="K459" t="s">
        <v>26</v>
      </c>
      <c r="L459" s="2">
        <v>43768</v>
      </c>
      <c r="M459" t="s">
        <v>220</v>
      </c>
      <c r="N459" t="s">
        <v>2907</v>
      </c>
      <c r="O459">
        <v>99215</v>
      </c>
      <c r="P459" t="s">
        <v>21</v>
      </c>
      <c r="Q459" t="str">
        <f>TEXT(Data_Set_3[[#This Row],[date]],"mmmm")</f>
        <v>October</v>
      </c>
      <c r="R459">
        <f>MONTH(Data_Set_3[[#This Row],[date]])</f>
        <v>10</v>
      </c>
      <c r="S459">
        <f>YEAR(Data_Set_3[[#This Row],[date]])</f>
        <v>2019</v>
      </c>
    </row>
    <row r="460" spans="1:19" x14ac:dyDescent="0.3">
      <c r="A460">
        <v>1403</v>
      </c>
      <c r="B460" t="s">
        <v>467</v>
      </c>
      <c r="C460" t="s">
        <v>3065</v>
      </c>
      <c r="D460" t="s">
        <v>3066</v>
      </c>
      <c r="E460" t="s">
        <v>3067</v>
      </c>
      <c r="F460" t="s">
        <v>1362</v>
      </c>
      <c r="G460" t="s">
        <v>1302</v>
      </c>
      <c r="H460" t="s">
        <v>16</v>
      </c>
      <c r="I460" t="s">
        <v>2813</v>
      </c>
      <c r="J460">
        <v>614</v>
      </c>
      <c r="K460" t="s">
        <v>34</v>
      </c>
      <c r="L460" s="2">
        <v>43771</v>
      </c>
      <c r="M460" t="s">
        <v>184</v>
      </c>
      <c r="N460" t="s">
        <v>808</v>
      </c>
      <c r="O460">
        <v>11499</v>
      </c>
      <c r="P460" t="s">
        <v>21</v>
      </c>
      <c r="Q460" t="str">
        <f>TEXT(Data_Set_3[[#This Row],[date]],"mmmm")</f>
        <v>November</v>
      </c>
      <c r="R460">
        <f>MONTH(Data_Set_3[[#This Row],[date]])</f>
        <v>11</v>
      </c>
      <c r="S460">
        <f>YEAR(Data_Set_3[[#This Row],[date]])</f>
        <v>2019</v>
      </c>
    </row>
    <row r="461" spans="1:19" x14ac:dyDescent="0.3">
      <c r="A461">
        <v>1880</v>
      </c>
      <c r="B461" t="s">
        <v>304</v>
      </c>
      <c r="C461" t="s">
        <v>526</v>
      </c>
      <c r="D461" t="s">
        <v>2831</v>
      </c>
      <c r="E461" t="s">
        <v>2832</v>
      </c>
      <c r="F461" t="s">
        <v>1376</v>
      </c>
      <c r="G461" t="s">
        <v>2577</v>
      </c>
      <c r="H461" t="s">
        <v>32</v>
      </c>
      <c r="I461" t="s">
        <v>274</v>
      </c>
      <c r="J461">
        <v>944</v>
      </c>
      <c r="K461" t="s">
        <v>26</v>
      </c>
      <c r="L461" s="2">
        <v>43772</v>
      </c>
      <c r="M461" t="s">
        <v>246</v>
      </c>
      <c r="N461" t="s">
        <v>339</v>
      </c>
      <c r="O461">
        <v>60614</v>
      </c>
      <c r="P461" t="s">
        <v>21</v>
      </c>
      <c r="Q461" t="str">
        <f>TEXT(Data_Set_3[[#This Row],[date]],"mmmm")</f>
        <v>November</v>
      </c>
      <c r="R461">
        <f>MONTH(Data_Set_3[[#This Row],[date]])</f>
        <v>11</v>
      </c>
      <c r="S461">
        <f>YEAR(Data_Set_3[[#This Row],[date]])</f>
        <v>2019</v>
      </c>
    </row>
    <row r="462" spans="1:19" x14ac:dyDescent="0.3">
      <c r="A462">
        <v>1092</v>
      </c>
      <c r="B462" t="s">
        <v>516</v>
      </c>
      <c r="C462" t="s">
        <v>455</v>
      </c>
      <c r="D462" t="s">
        <v>2976</v>
      </c>
      <c r="E462" t="s">
        <v>2977</v>
      </c>
      <c r="F462" t="s">
        <v>1763</v>
      </c>
      <c r="G462" t="s">
        <v>1486</v>
      </c>
      <c r="H462" t="s">
        <v>32</v>
      </c>
      <c r="I462" t="s">
        <v>51</v>
      </c>
      <c r="J462">
        <v>428</v>
      </c>
      <c r="K462" t="s">
        <v>73</v>
      </c>
      <c r="L462" s="2">
        <v>43773</v>
      </c>
      <c r="M462" t="s">
        <v>115</v>
      </c>
      <c r="N462" t="s">
        <v>1048</v>
      </c>
      <c r="O462">
        <v>34233</v>
      </c>
      <c r="P462" t="s">
        <v>21</v>
      </c>
      <c r="Q462" t="str">
        <f>TEXT(Data_Set_3[[#This Row],[date]],"mmmm")</f>
        <v>November</v>
      </c>
      <c r="R462">
        <f>MONTH(Data_Set_3[[#This Row],[date]])</f>
        <v>11</v>
      </c>
      <c r="S462">
        <f>YEAR(Data_Set_3[[#This Row],[date]])</f>
        <v>2019</v>
      </c>
    </row>
    <row r="463" spans="1:19" x14ac:dyDescent="0.3">
      <c r="A463">
        <v>1298</v>
      </c>
      <c r="B463" t="s">
        <v>595</v>
      </c>
      <c r="C463" t="s">
        <v>293</v>
      </c>
      <c r="D463" t="s">
        <v>2900</v>
      </c>
      <c r="E463" t="s">
        <v>2901</v>
      </c>
      <c r="F463" t="s">
        <v>1539</v>
      </c>
      <c r="G463" t="s">
        <v>1952</v>
      </c>
      <c r="H463" t="s">
        <v>32</v>
      </c>
      <c r="I463" t="s">
        <v>543</v>
      </c>
      <c r="J463">
        <v>154</v>
      </c>
      <c r="K463" t="s">
        <v>73</v>
      </c>
      <c r="L463" s="2">
        <v>43774</v>
      </c>
      <c r="M463" t="s">
        <v>115</v>
      </c>
      <c r="N463" t="s">
        <v>351</v>
      </c>
      <c r="O463">
        <v>32891</v>
      </c>
      <c r="P463" t="s">
        <v>21</v>
      </c>
      <c r="Q463" t="str">
        <f>TEXT(Data_Set_3[[#This Row],[date]],"mmmm")</f>
        <v>November</v>
      </c>
      <c r="R463">
        <f>MONTH(Data_Set_3[[#This Row],[date]])</f>
        <v>11</v>
      </c>
      <c r="S463">
        <f>YEAR(Data_Set_3[[#This Row],[date]])</f>
        <v>2019</v>
      </c>
    </row>
    <row r="464" spans="1:19" x14ac:dyDescent="0.3">
      <c r="A464">
        <v>1365</v>
      </c>
      <c r="B464" t="s">
        <v>1183</v>
      </c>
      <c r="C464" t="s">
        <v>813</v>
      </c>
      <c r="D464" t="s">
        <v>2957</v>
      </c>
      <c r="E464" t="s">
        <v>2958</v>
      </c>
      <c r="F464" t="s">
        <v>1644</v>
      </c>
      <c r="G464" t="s">
        <v>2061</v>
      </c>
      <c r="H464" t="s">
        <v>16</v>
      </c>
      <c r="I464" t="s">
        <v>51</v>
      </c>
      <c r="J464">
        <v>661</v>
      </c>
      <c r="K464" t="s">
        <v>62</v>
      </c>
      <c r="L464" s="2">
        <v>43774</v>
      </c>
      <c r="M464" t="s">
        <v>115</v>
      </c>
      <c r="N464" t="s">
        <v>143</v>
      </c>
      <c r="O464">
        <v>33261</v>
      </c>
      <c r="P464" t="s">
        <v>21</v>
      </c>
      <c r="Q464" t="str">
        <f>TEXT(Data_Set_3[[#This Row],[date]],"mmmm")</f>
        <v>November</v>
      </c>
      <c r="R464">
        <f>MONTH(Data_Set_3[[#This Row],[date]])</f>
        <v>11</v>
      </c>
      <c r="S464">
        <f>YEAR(Data_Set_3[[#This Row],[date]])</f>
        <v>2019</v>
      </c>
    </row>
    <row r="465" spans="1:19" x14ac:dyDescent="0.3">
      <c r="A465">
        <v>1017</v>
      </c>
      <c r="B465" t="s">
        <v>803</v>
      </c>
      <c r="C465" t="s">
        <v>3048</v>
      </c>
      <c r="D465" t="s">
        <v>3049</v>
      </c>
      <c r="E465" t="s">
        <v>3050</v>
      </c>
      <c r="F465" t="s">
        <v>1306</v>
      </c>
      <c r="G465" t="s">
        <v>1845</v>
      </c>
      <c r="H465" t="s">
        <v>32</v>
      </c>
      <c r="I465" t="s">
        <v>17</v>
      </c>
      <c r="J465">
        <v>524</v>
      </c>
      <c r="K465" t="s">
        <v>26</v>
      </c>
      <c r="L465" s="2">
        <v>43777</v>
      </c>
      <c r="M465" t="s">
        <v>246</v>
      </c>
      <c r="N465" t="s">
        <v>339</v>
      </c>
      <c r="O465">
        <v>60663</v>
      </c>
      <c r="P465" t="s">
        <v>21</v>
      </c>
      <c r="Q465" t="str">
        <f>TEXT(Data_Set_3[[#This Row],[date]],"mmmm")</f>
        <v>November</v>
      </c>
      <c r="R465">
        <f>MONTH(Data_Set_3[[#This Row],[date]])</f>
        <v>11</v>
      </c>
      <c r="S465">
        <f>YEAR(Data_Set_3[[#This Row],[date]])</f>
        <v>2019</v>
      </c>
    </row>
    <row r="466" spans="1:19" x14ac:dyDescent="0.3">
      <c r="A466">
        <v>1415</v>
      </c>
      <c r="B466" t="s">
        <v>803</v>
      </c>
      <c r="C466" t="s">
        <v>1022</v>
      </c>
      <c r="D466" t="s">
        <v>3358</v>
      </c>
      <c r="E466" t="s">
        <v>3359</v>
      </c>
      <c r="F466" t="s">
        <v>1682</v>
      </c>
      <c r="G466" t="s">
        <v>2142</v>
      </c>
      <c r="H466" t="s">
        <v>32</v>
      </c>
      <c r="I466" t="s">
        <v>406</v>
      </c>
      <c r="J466">
        <v>235</v>
      </c>
      <c r="K466" t="s">
        <v>34</v>
      </c>
      <c r="L466" s="2">
        <v>43778</v>
      </c>
      <c r="M466" t="s">
        <v>58</v>
      </c>
      <c r="N466" t="s">
        <v>632</v>
      </c>
      <c r="O466">
        <v>66286</v>
      </c>
      <c r="P466" t="s">
        <v>21</v>
      </c>
      <c r="Q466" t="str">
        <f>TEXT(Data_Set_3[[#This Row],[date]],"mmmm")</f>
        <v>November</v>
      </c>
      <c r="R466">
        <f>MONTH(Data_Set_3[[#This Row],[date]])</f>
        <v>11</v>
      </c>
      <c r="S466">
        <f>YEAR(Data_Set_3[[#This Row],[date]])</f>
        <v>2019</v>
      </c>
    </row>
    <row r="467" spans="1:19" x14ac:dyDescent="0.3">
      <c r="A467">
        <v>1092</v>
      </c>
      <c r="B467" t="s">
        <v>516</v>
      </c>
      <c r="C467" t="s">
        <v>455</v>
      </c>
      <c r="D467" t="s">
        <v>2976</v>
      </c>
      <c r="E467" t="s">
        <v>2977</v>
      </c>
      <c r="F467" t="s">
        <v>1763</v>
      </c>
      <c r="G467" t="s">
        <v>1486</v>
      </c>
      <c r="H467" t="s">
        <v>32</v>
      </c>
      <c r="I467" t="s">
        <v>51</v>
      </c>
      <c r="J467">
        <v>564</v>
      </c>
      <c r="K467" t="s">
        <v>73</v>
      </c>
      <c r="L467" s="2">
        <v>43780</v>
      </c>
      <c r="M467" t="s">
        <v>115</v>
      </c>
      <c r="N467" t="s">
        <v>1048</v>
      </c>
      <c r="O467">
        <v>34233</v>
      </c>
      <c r="P467" t="s">
        <v>21</v>
      </c>
      <c r="Q467" t="str">
        <f>TEXT(Data_Set_3[[#This Row],[date]],"mmmm")</f>
        <v>November</v>
      </c>
      <c r="R467">
        <f>MONTH(Data_Set_3[[#This Row],[date]])</f>
        <v>11</v>
      </c>
      <c r="S467">
        <f>YEAR(Data_Set_3[[#This Row],[date]])</f>
        <v>2019</v>
      </c>
    </row>
    <row r="468" spans="1:19" x14ac:dyDescent="0.3">
      <c r="A468">
        <v>1043</v>
      </c>
      <c r="B468" t="s">
        <v>661</v>
      </c>
      <c r="C468" t="s">
        <v>883</v>
      </c>
      <c r="D468" t="s">
        <v>2987</v>
      </c>
      <c r="E468" t="s">
        <v>2988</v>
      </c>
      <c r="F468" t="s">
        <v>1353</v>
      </c>
      <c r="G468" t="s">
        <v>2546</v>
      </c>
      <c r="H468" t="s">
        <v>16</v>
      </c>
      <c r="I468" t="s">
        <v>17</v>
      </c>
      <c r="J468">
        <v>419</v>
      </c>
      <c r="K468" t="s">
        <v>164</v>
      </c>
      <c r="L468" s="2">
        <v>43783</v>
      </c>
      <c r="M468" t="s">
        <v>489</v>
      </c>
      <c r="N468" t="s">
        <v>490</v>
      </c>
      <c r="O468">
        <v>89140</v>
      </c>
      <c r="P468" t="s">
        <v>21</v>
      </c>
      <c r="Q468" t="str">
        <f>TEXT(Data_Set_3[[#This Row],[date]],"mmmm")</f>
        <v>November</v>
      </c>
      <c r="R468">
        <f>MONTH(Data_Set_3[[#This Row],[date]])</f>
        <v>11</v>
      </c>
      <c r="S468">
        <f>YEAR(Data_Set_3[[#This Row],[date]])</f>
        <v>2019</v>
      </c>
    </row>
    <row r="469" spans="1:19" x14ac:dyDescent="0.3">
      <c r="A469">
        <v>1092</v>
      </c>
      <c r="B469" t="s">
        <v>516</v>
      </c>
      <c r="C469" t="s">
        <v>455</v>
      </c>
      <c r="D469" t="s">
        <v>2976</v>
      </c>
      <c r="E469" t="s">
        <v>2977</v>
      </c>
      <c r="F469" t="s">
        <v>1763</v>
      </c>
      <c r="G469" t="s">
        <v>1486</v>
      </c>
      <c r="H469" t="s">
        <v>32</v>
      </c>
      <c r="I469" t="s">
        <v>51</v>
      </c>
      <c r="J469">
        <v>22</v>
      </c>
      <c r="K469" t="s">
        <v>73</v>
      </c>
      <c r="L469" s="2">
        <v>43783</v>
      </c>
      <c r="M469" t="s">
        <v>115</v>
      </c>
      <c r="N469" t="s">
        <v>1048</v>
      </c>
      <c r="O469">
        <v>34233</v>
      </c>
      <c r="P469" t="s">
        <v>21</v>
      </c>
      <c r="Q469" t="str">
        <f>TEXT(Data_Set_3[[#This Row],[date]],"mmmm")</f>
        <v>November</v>
      </c>
      <c r="R469">
        <f>MONTH(Data_Set_3[[#This Row],[date]])</f>
        <v>11</v>
      </c>
      <c r="S469">
        <f>YEAR(Data_Set_3[[#This Row],[date]])</f>
        <v>2019</v>
      </c>
    </row>
    <row r="470" spans="1:19" x14ac:dyDescent="0.3">
      <c r="A470">
        <v>1019</v>
      </c>
      <c r="B470" t="s">
        <v>460</v>
      </c>
      <c r="C470" t="s">
        <v>446</v>
      </c>
      <c r="D470" t="s">
        <v>3093</v>
      </c>
      <c r="E470" t="s">
        <v>3094</v>
      </c>
      <c r="F470" t="s">
        <v>1323</v>
      </c>
      <c r="G470" t="s">
        <v>2495</v>
      </c>
      <c r="H470" t="s">
        <v>32</v>
      </c>
      <c r="I470" t="s">
        <v>17</v>
      </c>
      <c r="J470">
        <v>997</v>
      </c>
      <c r="K470" t="s">
        <v>62</v>
      </c>
      <c r="L470" s="2">
        <v>43784</v>
      </c>
      <c r="M470" t="s">
        <v>563</v>
      </c>
      <c r="N470" t="s">
        <v>564</v>
      </c>
      <c r="O470">
        <v>83705</v>
      </c>
      <c r="P470" t="s">
        <v>21</v>
      </c>
      <c r="Q470" t="str">
        <f>TEXT(Data_Set_3[[#This Row],[date]],"mmmm")</f>
        <v>November</v>
      </c>
      <c r="R470">
        <f>MONTH(Data_Set_3[[#This Row],[date]])</f>
        <v>11</v>
      </c>
      <c r="S470">
        <f>YEAR(Data_Set_3[[#This Row],[date]])</f>
        <v>2019</v>
      </c>
    </row>
    <row r="471" spans="1:19" x14ac:dyDescent="0.3">
      <c r="A471">
        <v>1450</v>
      </c>
      <c r="B471" t="s">
        <v>602</v>
      </c>
      <c r="C471" t="s">
        <v>847</v>
      </c>
      <c r="D471" t="s">
        <v>3360</v>
      </c>
      <c r="E471" t="s">
        <v>3361</v>
      </c>
      <c r="F471" t="s">
        <v>1346</v>
      </c>
      <c r="G471" t="s">
        <v>2508</v>
      </c>
      <c r="H471" t="s">
        <v>32</v>
      </c>
      <c r="I471" t="s">
        <v>406</v>
      </c>
      <c r="J471">
        <v>885</v>
      </c>
      <c r="K471" t="s">
        <v>95</v>
      </c>
      <c r="L471" s="2">
        <v>43787</v>
      </c>
      <c r="M471" t="s">
        <v>780</v>
      </c>
      <c r="N471" t="s">
        <v>481</v>
      </c>
      <c r="O471">
        <v>19725</v>
      </c>
      <c r="P471" t="s">
        <v>21</v>
      </c>
      <c r="Q471" t="str">
        <f>TEXT(Data_Set_3[[#This Row],[date]],"mmmm")</f>
        <v>November</v>
      </c>
      <c r="R471">
        <f>MONTH(Data_Set_3[[#This Row],[date]])</f>
        <v>11</v>
      </c>
      <c r="S471">
        <f>YEAR(Data_Set_3[[#This Row],[date]])</f>
        <v>2019</v>
      </c>
    </row>
    <row r="472" spans="1:19" x14ac:dyDescent="0.3">
      <c r="A472">
        <v>1922</v>
      </c>
      <c r="B472" t="s">
        <v>48</v>
      </c>
      <c r="C472" t="s">
        <v>986</v>
      </c>
      <c r="D472" t="s">
        <v>3362</v>
      </c>
      <c r="E472" t="s">
        <v>3363</v>
      </c>
      <c r="F472" t="s">
        <v>2319</v>
      </c>
      <c r="G472" t="s">
        <v>2776</v>
      </c>
      <c r="H472" t="s">
        <v>32</v>
      </c>
      <c r="I472" t="s">
        <v>179</v>
      </c>
      <c r="J472">
        <v>758</v>
      </c>
      <c r="K472" t="s">
        <v>225</v>
      </c>
      <c r="L472" s="2">
        <v>43787</v>
      </c>
      <c r="M472" t="s">
        <v>115</v>
      </c>
      <c r="N472" t="s">
        <v>312</v>
      </c>
      <c r="O472">
        <v>32511</v>
      </c>
      <c r="P472" t="s">
        <v>21</v>
      </c>
      <c r="Q472" t="str">
        <f>TEXT(Data_Set_3[[#This Row],[date]],"mmmm")</f>
        <v>November</v>
      </c>
      <c r="R472">
        <f>MONTH(Data_Set_3[[#This Row],[date]])</f>
        <v>11</v>
      </c>
      <c r="S472">
        <f>YEAR(Data_Set_3[[#This Row],[date]])</f>
        <v>2019</v>
      </c>
    </row>
    <row r="473" spans="1:19" x14ac:dyDescent="0.3">
      <c r="A473">
        <v>1144</v>
      </c>
      <c r="B473" t="s">
        <v>644</v>
      </c>
      <c r="C473" t="s">
        <v>581</v>
      </c>
      <c r="D473" t="s">
        <v>3114</v>
      </c>
      <c r="E473" t="s">
        <v>3115</v>
      </c>
      <c r="F473" t="s">
        <v>2641</v>
      </c>
      <c r="G473" t="s">
        <v>2709</v>
      </c>
      <c r="H473" t="s">
        <v>32</v>
      </c>
      <c r="I473" t="s">
        <v>25</v>
      </c>
      <c r="J473">
        <v>237</v>
      </c>
      <c r="K473" t="s">
        <v>62</v>
      </c>
      <c r="L473" s="2">
        <v>43788</v>
      </c>
      <c r="M473" t="s">
        <v>184</v>
      </c>
      <c r="N473" t="s">
        <v>3116</v>
      </c>
      <c r="O473">
        <v>11355</v>
      </c>
      <c r="P473" t="s">
        <v>21</v>
      </c>
      <c r="Q473" t="str">
        <f>TEXT(Data_Set_3[[#This Row],[date]],"mmmm")</f>
        <v>November</v>
      </c>
      <c r="R473">
        <f>MONTH(Data_Set_3[[#This Row],[date]])</f>
        <v>11</v>
      </c>
      <c r="S473">
        <f>YEAR(Data_Set_3[[#This Row],[date]])</f>
        <v>2019</v>
      </c>
    </row>
    <row r="474" spans="1:19" x14ac:dyDescent="0.3">
      <c r="A474">
        <v>1021</v>
      </c>
      <c r="B474" t="s">
        <v>495</v>
      </c>
      <c r="C474" t="s">
        <v>567</v>
      </c>
      <c r="D474" t="s">
        <v>2795</v>
      </c>
      <c r="E474" t="s">
        <v>2796</v>
      </c>
      <c r="F474" t="s">
        <v>1330</v>
      </c>
      <c r="G474" t="s">
        <v>1863</v>
      </c>
      <c r="H474" t="s">
        <v>32</v>
      </c>
      <c r="I474" t="s">
        <v>17</v>
      </c>
      <c r="J474">
        <v>174</v>
      </c>
      <c r="K474" t="s">
        <v>164</v>
      </c>
      <c r="L474" s="2">
        <v>43789</v>
      </c>
      <c r="M474" t="s">
        <v>78</v>
      </c>
      <c r="N474" t="s">
        <v>2797</v>
      </c>
      <c r="O474">
        <v>48555</v>
      </c>
      <c r="P474" t="s">
        <v>21</v>
      </c>
      <c r="Q474" t="str">
        <f>TEXT(Data_Set_3[[#This Row],[date]],"mmmm")</f>
        <v>November</v>
      </c>
      <c r="R474">
        <f>MONTH(Data_Set_3[[#This Row],[date]])</f>
        <v>11</v>
      </c>
      <c r="S474">
        <f>YEAR(Data_Set_3[[#This Row],[date]])</f>
        <v>2019</v>
      </c>
    </row>
    <row r="475" spans="1:19" x14ac:dyDescent="0.3">
      <c r="A475">
        <v>1073</v>
      </c>
      <c r="B475" t="s">
        <v>417</v>
      </c>
      <c r="C475" t="s">
        <v>33</v>
      </c>
      <c r="D475" t="s">
        <v>3364</v>
      </c>
      <c r="E475" t="s">
        <v>3365</v>
      </c>
      <c r="F475" t="s">
        <v>1686</v>
      </c>
      <c r="G475" t="s">
        <v>2546</v>
      </c>
      <c r="H475" t="s">
        <v>16</v>
      </c>
      <c r="I475" t="s">
        <v>51</v>
      </c>
      <c r="J475">
        <v>697</v>
      </c>
      <c r="K475" t="s">
        <v>62</v>
      </c>
      <c r="L475" s="2">
        <v>43791</v>
      </c>
      <c r="M475" t="s">
        <v>35</v>
      </c>
      <c r="N475" t="s">
        <v>637</v>
      </c>
      <c r="O475">
        <v>95210</v>
      </c>
      <c r="P475" t="s">
        <v>21</v>
      </c>
      <c r="Q475" t="str">
        <f>TEXT(Data_Set_3[[#This Row],[date]],"mmmm")</f>
        <v>November</v>
      </c>
      <c r="R475">
        <f>MONTH(Data_Set_3[[#This Row],[date]])</f>
        <v>11</v>
      </c>
      <c r="S475">
        <f>YEAR(Data_Set_3[[#This Row],[date]])</f>
        <v>2019</v>
      </c>
    </row>
    <row r="476" spans="1:19" x14ac:dyDescent="0.3">
      <c r="A476">
        <v>1448</v>
      </c>
      <c r="B476" t="s">
        <v>3083</v>
      </c>
      <c r="C476" t="s">
        <v>2803</v>
      </c>
      <c r="D476" t="s">
        <v>3366</v>
      </c>
      <c r="E476" t="s">
        <v>3367</v>
      </c>
      <c r="F476" t="s">
        <v>3368</v>
      </c>
      <c r="G476" t="s">
        <v>1926</v>
      </c>
      <c r="H476" t="s">
        <v>16</v>
      </c>
      <c r="I476" t="s">
        <v>361</v>
      </c>
      <c r="J476">
        <v>824</v>
      </c>
      <c r="K476" t="s">
        <v>26</v>
      </c>
      <c r="L476" s="2">
        <v>43795</v>
      </c>
      <c r="M476" t="s">
        <v>68</v>
      </c>
      <c r="N476" t="s">
        <v>475</v>
      </c>
      <c r="O476">
        <v>75372</v>
      </c>
      <c r="P476" t="s">
        <v>21</v>
      </c>
      <c r="Q476" t="str">
        <f>TEXT(Data_Set_3[[#This Row],[date]],"mmmm")</f>
        <v>November</v>
      </c>
      <c r="R476">
        <f>MONTH(Data_Set_3[[#This Row],[date]])</f>
        <v>11</v>
      </c>
      <c r="S476">
        <f>YEAR(Data_Set_3[[#This Row],[date]])</f>
        <v>2019</v>
      </c>
    </row>
    <row r="477" spans="1:19" x14ac:dyDescent="0.3">
      <c r="A477">
        <v>1697</v>
      </c>
      <c r="B477" t="s">
        <v>602</v>
      </c>
      <c r="C477" t="s">
        <v>835</v>
      </c>
      <c r="D477" t="s">
        <v>3369</v>
      </c>
      <c r="E477" t="s">
        <v>3370</v>
      </c>
      <c r="F477" t="s">
        <v>1939</v>
      </c>
      <c r="G477" t="s">
        <v>2284</v>
      </c>
      <c r="H477" t="s">
        <v>32</v>
      </c>
      <c r="I477" t="s">
        <v>17</v>
      </c>
      <c r="J477">
        <v>650</v>
      </c>
      <c r="K477" t="s">
        <v>164</v>
      </c>
      <c r="L477" s="2">
        <v>43797</v>
      </c>
      <c r="M477" t="s">
        <v>152</v>
      </c>
      <c r="N477" t="s">
        <v>626</v>
      </c>
      <c r="O477">
        <v>43699</v>
      </c>
      <c r="P477" t="s">
        <v>21</v>
      </c>
      <c r="Q477" t="str">
        <f>TEXT(Data_Set_3[[#This Row],[date]],"mmmm")</f>
        <v>November</v>
      </c>
      <c r="R477">
        <f>MONTH(Data_Set_3[[#This Row],[date]])</f>
        <v>11</v>
      </c>
      <c r="S477">
        <f>YEAR(Data_Set_3[[#This Row],[date]])</f>
        <v>2019</v>
      </c>
    </row>
    <row r="478" spans="1:19" x14ac:dyDescent="0.3">
      <c r="A478">
        <v>1019</v>
      </c>
      <c r="B478" t="s">
        <v>460</v>
      </c>
      <c r="C478" t="s">
        <v>446</v>
      </c>
      <c r="D478" t="s">
        <v>3093</v>
      </c>
      <c r="E478" t="s">
        <v>3094</v>
      </c>
      <c r="F478" t="s">
        <v>1323</v>
      </c>
      <c r="G478" t="s">
        <v>2495</v>
      </c>
      <c r="H478" t="s">
        <v>32</v>
      </c>
      <c r="I478" t="s">
        <v>17</v>
      </c>
      <c r="J478">
        <v>906</v>
      </c>
      <c r="K478" t="s">
        <v>62</v>
      </c>
      <c r="L478" s="2">
        <v>43800</v>
      </c>
      <c r="M478" t="s">
        <v>563</v>
      </c>
      <c r="N478" t="s">
        <v>564</v>
      </c>
      <c r="O478">
        <v>83705</v>
      </c>
      <c r="P478" t="s">
        <v>21</v>
      </c>
      <c r="Q478" t="str">
        <f>TEXT(Data_Set_3[[#This Row],[date]],"mmmm")</f>
        <v>December</v>
      </c>
      <c r="R478">
        <f>MONTH(Data_Set_3[[#This Row],[date]])</f>
        <v>12</v>
      </c>
      <c r="S478">
        <f>YEAR(Data_Set_3[[#This Row],[date]])</f>
        <v>2019</v>
      </c>
    </row>
    <row r="479" spans="1:19" x14ac:dyDescent="0.3">
      <c r="A479">
        <v>1963</v>
      </c>
      <c r="B479" t="s">
        <v>166</v>
      </c>
      <c r="C479" t="s">
        <v>353</v>
      </c>
      <c r="D479" t="s">
        <v>3371</v>
      </c>
      <c r="E479" t="s">
        <v>3372</v>
      </c>
      <c r="F479" t="s">
        <v>1435</v>
      </c>
      <c r="G479" t="s">
        <v>2619</v>
      </c>
      <c r="H479" t="s">
        <v>32</v>
      </c>
      <c r="I479" t="s">
        <v>25</v>
      </c>
      <c r="J479">
        <v>735</v>
      </c>
      <c r="K479" t="s">
        <v>18</v>
      </c>
      <c r="L479" s="2">
        <v>43800</v>
      </c>
      <c r="M479" t="s">
        <v>52</v>
      </c>
      <c r="N479" t="s">
        <v>53</v>
      </c>
      <c r="O479">
        <v>25709</v>
      </c>
      <c r="P479" t="s">
        <v>21</v>
      </c>
      <c r="Q479" t="str">
        <f>TEXT(Data_Set_3[[#This Row],[date]],"mmmm")</f>
        <v>December</v>
      </c>
      <c r="R479">
        <f>MONTH(Data_Set_3[[#This Row],[date]])</f>
        <v>12</v>
      </c>
      <c r="S479">
        <f>YEAR(Data_Set_3[[#This Row],[date]])</f>
        <v>2019</v>
      </c>
    </row>
    <row r="480" spans="1:19" x14ac:dyDescent="0.3">
      <c r="A480">
        <v>1020</v>
      </c>
      <c r="B480" t="s">
        <v>122</v>
      </c>
      <c r="C480" t="s">
        <v>954</v>
      </c>
      <c r="D480" t="s">
        <v>2888</v>
      </c>
      <c r="E480" t="s">
        <v>2889</v>
      </c>
      <c r="F480" t="s">
        <v>1998</v>
      </c>
      <c r="G480" t="s">
        <v>1926</v>
      </c>
      <c r="H480" t="s">
        <v>32</v>
      </c>
      <c r="I480" t="s">
        <v>17</v>
      </c>
      <c r="J480">
        <v>175</v>
      </c>
      <c r="K480" t="s">
        <v>26</v>
      </c>
      <c r="L480" s="2">
        <v>43802</v>
      </c>
      <c r="M480" t="s">
        <v>35</v>
      </c>
      <c r="N480" t="s">
        <v>620</v>
      </c>
      <c r="O480">
        <v>94105</v>
      </c>
      <c r="P480" t="s">
        <v>21</v>
      </c>
      <c r="Q480" t="str">
        <f>TEXT(Data_Set_3[[#This Row],[date]],"mmmm")</f>
        <v>December</v>
      </c>
      <c r="R480">
        <f>MONTH(Data_Set_3[[#This Row],[date]])</f>
        <v>12</v>
      </c>
      <c r="S480">
        <f>YEAR(Data_Set_3[[#This Row],[date]])</f>
        <v>2019</v>
      </c>
    </row>
    <row r="481" spans="1:19" x14ac:dyDescent="0.3">
      <c r="A481">
        <v>1467</v>
      </c>
      <c r="B481" t="s">
        <v>799</v>
      </c>
      <c r="C481" t="s">
        <v>3373</v>
      </c>
      <c r="D481" t="s">
        <v>3374</v>
      </c>
      <c r="E481" t="s">
        <v>3375</v>
      </c>
      <c r="F481" t="s">
        <v>1546</v>
      </c>
      <c r="G481" t="s">
        <v>1834</v>
      </c>
      <c r="H481" t="s">
        <v>16</v>
      </c>
      <c r="I481" t="s">
        <v>280</v>
      </c>
      <c r="J481">
        <v>910</v>
      </c>
      <c r="K481" t="s">
        <v>26</v>
      </c>
      <c r="L481" s="2">
        <v>43803</v>
      </c>
      <c r="M481" t="s">
        <v>35</v>
      </c>
      <c r="N481" t="s">
        <v>129</v>
      </c>
      <c r="O481">
        <v>93778</v>
      </c>
      <c r="P481" t="s">
        <v>21</v>
      </c>
      <c r="Q481" t="str">
        <f>TEXT(Data_Set_3[[#This Row],[date]],"mmmm")</f>
        <v>December</v>
      </c>
      <c r="R481">
        <f>MONTH(Data_Set_3[[#This Row],[date]])</f>
        <v>12</v>
      </c>
      <c r="S481">
        <f>YEAR(Data_Set_3[[#This Row],[date]])</f>
        <v>2019</v>
      </c>
    </row>
    <row r="482" spans="1:19" x14ac:dyDescent="0.3">
      <c r="A482">
        <v>1514</v>
      </c>
      <c r="B482" t="s">
        <v>112</v>
      </c>
      <c r="C482" t="s">
        <v>220</v>
      </c>
      <c r="D482" t="s">
        <v>3376</v>
      </c>
      <c r="E482" t="s">
        <v>3377</v>
      </c>
      <c r="F482" t="s">
        <v>1367</v>
      </c>
      <c r="G482" t="s">
        <v>1502</v>
      </c>
      <c r="H482" t="s">
        <v>32</v>
      </c>
      <c r="I482" t="s">
        <v>2813</v>
      </c>
      <c r="J482">
        <v>822</v>
      </c>
      <c r="K482" t="s">
        <v>40</v>
      </c>
      <c r="L482" s="2">
        <v>43804</v>
      </c>
      <c r="M482" t="s">
        <v>35</v>
      </c>
      <c r="N482" t="s">
        <v>355</v>
      </c>
      <c r="O482">
        <v>94913</v>
      </c>
      <c r="P482" t="s">
        <v>21</v>
      </c>
      <c r="Q482" t="str">
        <f>TEXT(Data_Set_3[[#This Row],[date]],"mmmm")</f>
        <v>December</v>
      </c>
      <c r="R482">
        <f>MONTH(Data_Set_3[[#This Row],[date]])</f>
        <v>12</v>
      </c>
      <c r="S482">
        <f>YEAR(Data_Set_3[[#This Row],[date]])</f>
        <v>2019</v>
      </c>
    </row>
    <row r="483" spans="1:19" x14ac:dyDescent="0.3">
      <c r="A483">
        <v>1880</v>
      </c>
      <c r="B483" t="s">
        <v>304</v>
      </c>
      <c r="C483" t="s">
        <v>526</v>
      </c>
      <c r="D483" t="s">
        <v>2831</v>
      </c>
      <c r="E483" t="s">
        <v>2832</v>
      </c>
      <c r="F483" t="s">
        <v>1376</v>
      </c>
      <c r="G483" t="s">
        <v>2577</v>
      </c>
      <c r="H483" t="s">
        <v>32</v>
      </c>
      <c r="I483" t="s">
        <v>274</v>
      </c>
      <c r="J483">
        <v>137</v>
      </c>
      <c r="K483" t="s">
        <v>26</v>
      </c>
      <c r="L483" s="2">
        <v>43804</v>
      </c>
      <c r="M483" t="s">
        <v>246</v>
      </c>
      <c r="N483" t="s">
        <v>339</v>
      </c>
      <c r="O483">
        <v>60614</v>
      </c>
      <c r="P483" t="s">
        <v>21</v>
      </c>
      <c r="Q483" t="str">
        <f>TEXT(Data_Set_3[[#This Row],[date]],"mmmm")</f>
        <v>December</v>
      </c>
      <c r="R483">
        <f>MONTH(Data_Set_3[[#This Row],[date]])</f>
        <v>12</v>
      </c>
      <c r="S483">
        <f>YEAR(Data_Set_3[[#This Row],[date]])</f>
        <v>2019</v>
      </c>
    </row>
    <row r="484" spans="1:19" x14ac:dyDescent="0.3">
      <c r="A484">
        <v>1170</v>
      </c>
      <c r="B484" t="s">
        <v>22</v>
      </c>
      <c r="C484" t="s">
        <v>883</v>
      </c>
      <c r="D484" t="s">
        <v>2837</v>
      </c>
      <c r="E484" t="s">
        <v>2838</v>
      </c>
      <c r="F484" t="s">
        <v>2430</v>
      </c>
      <c r="G484" t="s">
        <v>1333</v>
      </c>
      <c r="H484" t="s">
        <v>16</v>
      </c>
      <c r="I484" t="s">
        <v>33</v>
      </c>
      <c r="J484">
        <v>833</v>
      </c>
      <c r="K484" t="s">
        <v>164</v>
      </c>
      <c r="L484" s="2">
        <v>43805</v>
      </c>
      <c r="M484" t="s">
        <v>68</v>
      </c>
      <c r="N484" t="s">
        <v>169</v>
      </c>
      <c r="O484">
        <v>88574</v>
      </c>
      <c r="P484" t="s">
        <v>21</v>
      </c>
      <c r="Q484" t="str">
        <f>TEXT(Data_Set_3[[#This Row],[date]],"mmmm")</f>
        <v>December</v>
      </c>
      <c r="R484">
        <f>MONTH(Data_Set_3[[#This Row],[date]])</f>
        <v>12</v>
      </c>
      <c r="S484">
        <f>YEAR(Data_Set_3[[#This Row],[date]])</f>
        <v>2019</v>
      </c>
    </row>
    <row r="485" spans="1:19" x14ac:dyDescent="0.3">
      <c r="A485">
        <v>1639</v>
      </c>
      <c r="B485" t="s">
        <v>176</v>
      </c>
      <c r="C485" t="s">
        <v>440</v>
      </c>
      <c r="D485" t="s">
        <v>3378</v>
      </c>
      <c r="E485" t="s">
        <v>3379</v>
      </c>
      <c r="F485" t="s">
        <v>1606</v>
      </c>
      <c r="G485" t="s">
        <v>2409</v>
      </c>
      <c r="H485" t="s">
        <v>32</v>
      </c>
      <c r="I485" t="s">
        <v>17</v>
      </c>
      <c r="J485">
        <v>791</v>
      </c>
      <c r="K485" t="s">
        <v>40</v>
      </c>
      <c r="L485" s="2">
        <v>43805</v>
      </c>
      <c r="M485" t="s">
        <v>524</v>
      </c>
      <c r="N485" t="s">
        <v>715</v>
      </c>
      <c r="O485">
        <v>36622</v>
      </c>
      <c r="P485" t="s">
        <v>21</v>
      </c>
      <c r="Q485" t="str">
        <f>TEXT(Data_Set_3[[#This Row],[date]],"mmmm")</f>
        <v>December</v>
      </c>
      <c r="R485">
        <f>MONTH(Data_Set_3[[#This Row],[date]])</f>
        <v>12</v>
      </c>
      <c r="S485">
        <f>YEAR(Data_Set_3[[#This Row],[date]])</f>
        <v>2019</v>
      </c>
    </row>
    <row r="486" spans="1:19" x14ac:dyDescent="0.3">
      <c r="A486">
        <v>1712</v>
      </c>
      <c r="B486" t="s">
        <v>304</v>
      </c>
      <c r="C486" t="s">
        <v>302</v>
      </c>
      <c r="D486" t="s">
        <v>3380</v>
      </c>
      <c r="E486" t="s">
        <v>3381</v>
      </c>
      <c r="F486" t="s">
        <v>1796</v>
      </c>
      <c r="G486" t="s">
        <v>2763</v>
      </c>
      <c r="H486" t="s">
        <v>32</v>
      </c>
      <c r="I486" t="s">
        <v>17</v>
      </c>
      <c r="J486">
        <v>215</v>
      </c>
      <c r="K486" t="s">
        <v>416</v>
      </c>
      <c r="L486" s="2">
        <v>43806</v>
      </c>
      <c r="M486" t="s">
        <v>35</v>
      </c>
      <c r="N486" t="s">
        <v>326</v>
      </c>
      <c r="O486">
        <v>91199</v>
      </c>
      <c r="P486" t="s">
        <v>21</v>
      </c>
      <c r="Q486" t="str">
        <f>TEXT(Data_Set_3[[#This Row],[date]],"mmmm")</f>
        <v>December</v>
      </c>
      <c r="R486">
        <f>MONTH(Data_Set_3[[#This Row],[date]])</f>
        <v>12</v>
      </c>
      <c r="S486">
        <f>YEAR(Data_Set_3[[#This Row],[date]])</f>
        <v>2019</v>
      </c>
    </row>
    <row r="487" spans="1:19" x14ac:dyDescent="0.3">
      <c r="A487">
        <v>1981</v>
      </c>
      <c r="B487" t="s">
        <v>588</v>
      </c>
      <c r="C487" t="s">
        <v>228</v>
      </c>
      <c r="D487" t="s">
        <v>3382</v>
      </c>
      <c r="E487" t="s">
        <v>3383</v>
      </c>
      <c r="F487" t="s">
        <v>1568</v>
      </c>
      <c r="G487" t="s">
        <v>2367</v>
      </c>
      <c r="H487" t="s">
        <v>16</v>
      </c>
      <c r="I487" t="s">
        <v>33</v>
      </c>
      <c r="J487">
        <v>198</v>
      </c>
      <c r="K487" t="s">
        <v>95</v>
      </c>
      <c r="L487" s="2">
        <v>43806</v>
      </c>
      <c r="M487" t="s">
        <v>345</v>
      </c>
      <c r="N487" t="s">
        <v>220</v>
      </c>
      <c r="O487">
        <v>20409</v>
      </c>
      <c r="P487" t="s">
        <v>21</v>
      </c>
      <c r="Q487" t="str">
        <f>TEXT(Data_Set_3[[#This Row],[date]],"mmmm")</f>
        <v>December</v>
      </c>
      <c r="R487">
        <f>MONTH(Data_Set_3[[#This Row],[date]])</f>
        <v>12</v>
      </c>
      <c r="S487">
        <f>YEAR(Data_Set_3[[#This Row],[date]])</f>
        <v>2019</v>
      </c>
    </row>
    <row r="488" spans="1:19" x14ac:dyDescent="0.3">
      <c r="A488">
        <v>1212</v>
      </c>
      <c r="B488" t="s">
        <v>547</v>
      </c>
      <c r="C488" t="s">
        <v>337</v>
      </c>
      <c r="D488" t="s">
        <v>2828</v>
      </c>
      <c r="E488" t="s">
        <v>2829</v>
      </c>
      <c r="F488" t="s">
        <v>1608</v>
      </c>
      <c r="G488" t="s">
        <v>2830</v>
      </c>
      <c r="H488" t="s">
        <v>32</v>
      </c>
      <c r="I488" t="s">
        <v>33</v>
      </c>
      <c r="J488">
        <v>407</v>
      </c>
      <c r="K488" t="s">
        <v>34</v>
      </c>
      <c r="L488" s="2">
        <v>43807</v>
      </c>
      <c r="M488" t="s">
        <v>46</v>
      </c>
      <c r="N488" t="s">
        <v>47</v>
      </c>
      <c r="O488">
        <v>6183</v>
      </c>
      <c r="P488" t="s">
        <v>21</v>
      </c>
      <c r="Q488" t="str">
        <f>TEXT(Data_Set_3[[#This Row],[date]],"mmmm")</f>
        <v>December</v>
      </c>
      <c r="R488">
        <f>MONTH(Data_Set_3[[#This Row],[date]])</f>
        <v>12</v>
      </c>
      <c r="S488">
        <f>YEAR(Data_Set_3[[#This Row],[date]])</f>
        <v>2019</v>
      </c>
    </row>
    <row r="489" spans="1:19" x14ac:dyDescent="0.3">
      <c r="A489">
        <v>1489</v>
      </c>
      <c r="B489" t="s">
        <v>860</v>
      </c>
      <c r="C489" t="s">
        <v>849</v>
      </c>
      <c r="D489" t="s">
        <v>2817</v>
      </c>
      <c r="E489" t="s">
        <v>2818</v>
      </c>
      <c r="F489" t="s">
        <v>1606</v>
      </c>
      <c r="G489" t="s">
        <v>1899</v>
      </c>
      <c r="H489" t="s">
        <v>16</v>
      </c>
      <c r="I489" t="s">
        <v>17</v>
      </c>
      <c r="J489">
        <v>596</v>
      </c>
      <c r="K489" t="s">
        <v>62</v>
      </c>
      <c r="L489" s="2">
        <v>43807</v>
      </c>
      <c r="M489" t="s">
        <v>204</v>
      </c>
      <c r="N489" t="s">
        <v>1135</v>
      </c>
      <c r="O489">
        <v>23668</v>
      </c>
      <c r="P489" t="s">
        <v>21</v>
      </c>
      <c r="Q489" t="str">
        <f>TEXT(Data_Set_3[[#This Row],[date]],"mmmm")</f>
        <v>December</v>
      </c>
      <c r="R489">
        <f>MONTH(Data_Set_3[[#This Row],[date]])</f>
        <v>12</v>
      </c>
      <c r="S489">
        <f>YEAR(Data_Set_3[[#This Row],[date]])</f>
        <v>2019</v>
      </c>
    </row>
    <row r="490" spans="1:19" x14ac:dyDescent="0.3">
      <c r="A490">
        <v>1234</v>
      </c>
      <c r="B490" t="s">
        <v>2806</v>
      </c>
      <c r="C490" t="s">
        <v>752</v>
      </c>
      <c r="D490" t="s">
        <v>2807</v>
      </c>
      <c r="E490" t="s">
        <v>2808</v>
      </c>
      <c r="F490" t="s">
        <v>1460</v>
      </c>
      <c r="G490" t="s">
        <v>2125</v>
      </c>
      <c r="H490" t="s">
        <v>16</v>
      </c>
      <c r="I490" t="s">
        <v>33</v>
      </c>
      <c r="J490">
        <v>814</v>
      </c>
      <c r="K490" t="s">
        <v>62</v>
      </c>
      <c r="L490" s="2">
        <v>43809</v>
      </c>
      <c r="M490" t="s">
        <v>68</v>
      </c>
      <c r="N490" t="s">
        <v>69</v>
      </c>
      <c r="O490">
        <v>78710</v>
      </c>
      <c r="P490" t="s">
        <v>21</v>
      </c>
      <c r="Q490" t="str">
        <f>TEXT(Data_Set_3[[#This Row],[date]],"mmmm")</f>
        <v>December</v>
      </c>
      <c r="R490">
        <f>MONTH(Data_Set_3[[#This Row],[date]])</f>
        <v>12</v>
      </c>
      <c r="S490">
        <f>YEAR(Data_Set_3[[#This Row],[date]])</f>
        <v>2019</v>
      </c>
    </row>
    <row r="491" spans="1:19" x14ac:dyDescent="0.3">
      <c r="A491">
        <v>1644</v>
      </c>
      <c r="B491" t="s">
        <v>832</v>
      </c>
      <c r="C491" t="s">
        <v>149</v>
      </c>
      <c r="D491" t="s">
        <v>3384</v>
      </c>
      <c r="E491" t="s">
        <v>3385</v>
      </c>
      <c r="F491" t="s">
        <v>1664</v>
      </c>
      <c r="G491" t="s">
        <v>2763</v>
      </c>
      <c r="H491" t="s">
        <v>32</v>
      </c>
      <c r="I491" t="s">
        <v>17</v>
      </c>
      <c r="J491">
        <v>813</v>
      </c>
      <c r="K491" t="s">
        <v>26</v>
      </c>
      <c r="L491" s="2">
        <v>43809</v>
      </c>
      <c r="M491" t="s">
        <v>74</v>
      </c>
      <c r="N491" t="s">
        <v>677</v>
      </c>
      <c r="O491">
        <v>30905</v>
      </c>
      <c r="P491" t="s">
        <v>21</v>
      </c>
      <c r="Q491" t="str">
        <f>TEXT(Data_Set_3[[#This Row],[date]],"mmmm")</f>
        <v>December</v>
      </c>
      <c r="R491">
        <f>MONTH(Data_Set_3[[#This Row],[date]])</f>
        <v>12</v>
      </c>
      <c r="S491">
        <f>YEAR(Data_Set_3[[#This Row],[date]])</f>
        <v>2019</v>
      </c>
    </row>
    <row r="492" spans="1:19" x14ac:dyDescent="0.3">
      <c r="A492">
        <v>1851</v>
      </c>
      <c r="B492" t="s">
        <v>471</v>
      </c>
      <c r="C492" t="s">
        <v>220</v>
      </c>
      <c r="D492" t="s">
        <v>3015</v>
      </c>
      <c r="E492" t="s">
        <v>3016</v>
      </c>
      <c r="F492" t="s">
        <v>3017</v>
      </c>
      <c r="G492" t="s">
        <v>2697</v>
      </c>
      <c r="H492" t="s">
        <v>32</v>
      </c>
      <c r="I492" t="s">
        <v>33</v>
      </c>
      <c r="J492">
        <v>48</v>
      </c>
      <c r="K492" t="s">
        <v>73</v>
      </c>
      <c r="L492" s="2">
        <v>43814</v>
      </c>
      <c r="M492" t="s">
        <v>184</v>
      </c>
      <c r="N492" t="s">
        <v>656</v>
      </c>
      <c r="O492">
        <v>11210</v>
      </c>
      <c r="P492" t="s">
        <v>21</v>
      </c>
      <c r="Q492" t="str">
        <f>TEXT(Data_Set_3[[#This Row],[date]],"mmmm")</f>
        <v>December</v>
      </c>
      <c r="R492">
        <f>MONTH(Data_Set_3[[#This Row],[date]])</f>
        <v>12</v>
      </c>
      <c r="S492">
        <f>YEAR(Data_Set_3[[#This Row],[date]])</f>
        <v>2019</v>
      </c>
    </row>
    <row r="493" spans="1:19" x14ac:dyDescent="0.3">
      <c r="A493">
        <v>1783</v>
      </c>
      <c r="B493" t="s">
        <v>721</v>
      </c>
      <c r="C493" t="s">
        <v>2884</v>
      </c>
      <c r="D493" t="s">
        <v>2885</v>
      </c>
      <c r="E493" t="s">
        <v>2886</v>
      </c>
      <c r="F493" t="s">
        <v>1539</v>
      </c>
      <c r="G493" t="s">
        <v>2887</v>
      </c>
      <c r="H493" t="s">
        <v>16</v>
      </c>
      <c r="I493" t="s">
        <v>25</v>
      </c>
      <c r="J493">
        <v>668</v>
      </c>
      <c r="K493" t="s">
        <v>57</v>
      </c>
      <c r="L493" s="2">
        <v>43817</v>
      </c>
      <c r="M493" t="s">
        <v>287</v>
      </c>
      <c r="N493" t="s">
        <v>288</v>
      </c>
      <c r="O493">
        <v>85715</v>
      </c>
      <c r="P493" t="s">
        <v>21</v>
      </c>
      <c r="Q493" t="str">
        <f>TEXT(Data_Set_3[[#This Row],[date]],"mmmm")</f>
        <v>December</v>
      </c>
      <c r="R493">
        <f>MONTH(Data_Set_3[[#This Row],[date]])</f>
        <v>12</v>
      </c>
      <c r="S493">
        <f>YEAR(Data_Set_3[[#This Row],[date]])</f>
        <v>2019</v>
      </c>
    </row>
    <row r="494" spans="1:19" x14ac:dyDescent="0.3">
      <c r="A494">
        <v>1298</v>
      </c>
      <c r="B494" t="s">
        <v>595</v>
      </c>
      <c r="C494" t="s">
        <v>293</v>
      </c>
      <c r="D494" t="s">
        <v>2900</v>
      </c>
      <c r="E494" t="s">
        <v>2901</v>
      </c>
      <c r="F494" t="s">
        <v>1539</v>
      </c>
      <c r="G494" t="s">
        <v>1952</v>
      </c>
      <c r="H494" t="s">
        <v>32</v>
      </c>
      <c r="I494" t="s">
        <v>543</v>
      </c>
      <c r="J494">
        <v>987</v>
      </c>
      <c r="K494" t="s">
        <v>73</v>
      </c>
      <c r="L494" s="2">
        <v>43820</v>
      </c>
      <c r="M494" t="s">
        <v>115</v>
      </c>
      <c r="N494" t="s">
        <v>351</v>
      </c>
      <c r="O494">
        <v>32891</v>
      </c>
      <c r="P494" t="s">
        <v>21</v>
      </c>
      <c r="Q494" t="str">
        <f>TEXT(Data_Set_3[[#This Row],[date]],"mmmm")</f>
        <v>December</v>
      </c>
      <c r="R494">
        <f>MONTH(Data_Set_3[[#This Row],[date]])</f>
        <v>12</v>
      </c>
      <c r="S494">
        <f>YEAR(Data_Set_3[[#This Row],[date]])</f>
        <v>2019</v>
      </c>
    </row>
    <row r="495" spans="1:19" x14ac:dyDescent="0.3">
      <c r="A495">
        <v>1614</v>
      </c>
      <c r="B495" t="s">
        <v>460</v>
      </c>
      <c r="C495" t="s">
        <v>220</v>
      </c>
      <c r="D495" t="s">
        <v>3386</v>
      </c>
      <c r="E495" t="s">
        <v>3387</v>
      </c>
      <c r="F495" t="s">
        <v>2485</v>
      </c>
      <c r="G495" t="s">
        <v>1824</v>
      </c>
      <c r="H495" t="s">
        <v>32</v>
      </c>
      <c r="I495" t="s">
        <v>2821</v>
      </c>
      <c r="J495">
        <v>615</v>
      </c>
      <c r="K495" t="s">
        <v>40</v>
      </c>
      <c r="L495" s="2">
        <v>43821</v>
      </c>
      <c r="M495" t="s">
        <v>842</v>
      </c>
      <c r="N495" t="s">
        <v>843</v>
      </c>
      <c r="O495">
        <v>58505</v>
      </c>
      <c r="P495" t="s">
        <v>21</v>
      </c>
      <c r="Q495" t="str">
        <f>TEXT(Data_Set_3[[#This Row],[date]],"mmmm")</f>
        <v>December</v>
      </c>
      <c r="R495">
        <f>MONTH(Data_Set_3[[#This Row],[date]])</f>
        <v>12</v>
      </c>
      <c r="S495">
        <f>YEAR(Data_Set_3[[#This Row],[date]])</f>
        <v>2019</v>
      </c>
    </row>
    <row r="496" spans="1:19" x14ac:dyDescent="0.3">
      <c r="A496">
        <v>1728</v>
      </c>
      <c r="B496" t="s">
        <v>1251</v>
      </c>
      <c r="C496" t="s">
        <v>561</v>
      </c>
      <c r="D496" t="s">
        <v>3388</v>
      </c>
      <c r="E496" t="s">
        <v>3389</v>
      </c>
      <c r="F496" t="s">
        <v>1622</v>
      </c>
      <c r="G496" t="s">
        <v>2007</v>
      </c>
      <c r="H496" t="s">
        <v>32</v>
      </c>
      <c r="I496" t="s">
        <v>543</v>
      </c>
      <c r="J496">
        <v>864</v>
      </c>
      <c r="K496" t="s">
        <v>18</v>
      </c>
      <c r="L496" s="2">
        <v>43821</v>
      </c>
      <c r="M496" t="s">
        <v>291</v>
      </c>
      <c r="N496" t="s">
        <v>292</v>
      </c>
      <c r="O496">
        <v>21211</v>
      </c>
      <c r="P496" t="s">
        <v>21</v>
      </c>
      <c r="Q496" t="str">
        <f>TEXT(Data_Set_3[[#This Row],[date]],"mmmm")</f>
        <v>December</v>
      </c>
      <c r="R496">
        <f>MONTH(Data_Set_3[[#This Row],[date]])</f>
        <v>12</v>
      </c>
      <c r="S496">
        <f>YEAR(Data_Set_3[[#This Row],[date]])</f>
        <v>2019</v>
      </c>
    </row>
    <row r="497" spans="1:19" x14ac:dyDescent="0.3">
      <c r="A497">
        <v>1946</v>
      </c>
      <c r="B497" t="s">
        <v>799</v>
      </c>
      <c r="C497" t="s">
        <v>195</v>
      </c>
      <c r="D497" t="s">
        <v>3390</v>
      </c>
      <c r="E497" t="s">
        <v>3391</v>
      </c>
      <c r="F497" t="s">
        <v>2462</v>
      </c>
      <c r="G497" t="s">
        <v>1985</v>
      </c>
      <c r="H497" t="s">
        <v>16</v>
      </c>
      <c r="I497" t="s">
        <v>2813</v>
      </c>
      <c r="J497">
        <v>663</v>
      </c>
      <c r="K497" t="s">
        <v>26</v>
      </c>
      <c r="L497" s="2">
        <v>43821</v>
      </c>
      <c r="M497" t="s">
        <v>68</v>
      </c>
      <c r="N497" t="s">
        <v>234</v>
      </c>
      <c r="O497">
        <v>77234</v>
      </c>
      <c r="P497" t="s">
        <v>21</v>
      </c>
      <c r="Q497" t="str">
        <f>TEXT(Data_Set_3[[#This Row],[date]],"mmmm")</f>
        <v>December</v>
      </c>
      <c r="R497">
        <f>MONTH(Data_Set_3[[#This Row],[date]])</f>
        <v>12</v>
      </c>
      <c r="S497">
        <f>YEAR(Data_Set_3[[#This Row],[date]])</f>
        <v>2019</v>
      </c>
    </row>
    <row r="498" spans="1:19" x14ac:dyDescent="0.3">
      <c r="A498">
        <v>1743</v>
      </c>
      <c r="B498" t="s">
        <v>89</v>
      </c>
      <c r="C498" t="s">
        <v>195</v>
      </c>
      <c r="D498" t="s">
        <v>3392</v>
      </c>
      <c r="E498" t="s">
        <v>3393</v>
      </c>
      <c r="F498" t="s">
        <v>1694</v>
      </c>
      <c r="G498" t="s">
        <v>2031</v>
      </c>
      <c r="H498" t="s">
        <v>16</v>
      </c>
      <c r="I498" t="s">
        <v>25</v>
      </c>
      <c r="J498">
        <v>248</v>
      </c>
      <c r="K498" t="s">
        <v>40</v>
      </c>
      <c r="L498" s="2">
        <v>43822</v>
      </c>
      <c r="M498" t="s">
        <v>184</v>
      </c>
      <c r="N498" t="s">
        <v>3394</v>
      </c>
      <c r="O498">
        <v>14905</v>
      </c>
      <c r="P498" t="s">
        <v>21</v>
      </c>
      <c r="Q498" t="str">
        <f>TEXT(Data_Set_3[[#This Row],[date]],"mmmm")</f>
        <v>December</v>
      </c>
      <c r="R498">
        <f>MONTH(Data_Set_3[[#This Row],[date]])</f>
        <v>12</v>
      </c>
      <c r="S498">
        <f>YEAR(Data_Set_3[[#This Row],[date]])</f>
        <v>2019</v>
      </c>
    </row>
    <row r="499" spans="1:19" x14ac:dyDescent="0.3">
      <c r="A499">
        <v>1043</v>
      </c>
      <c r="B499" t="s">
        <v>661</v>
      </c>
      <c r="C499" t="s">
        <v>883</v>
      </c>
      <c r="D499" t="s">
        <v>2987</v>
      </c>
      <c r="E499" t="s">
        <v>2988</v>
      </c>
      <c r="F499" t="s">
        <v>1353</v>
      </c>
      <c r="G499" t="s">
        <v>2546</v>
      </c>
      <c r="H499" t="s">
        <v>16</v>
      </c>
      <c r="I499" t="s">
        <v>17</v>
      </c>
      <c r="J499">
        <v>787</v>
      </c>
      <c r="K499" t="s">
        <v>164</v>
      </c>
      <c r="L499" s="2">
        <v>43823</v>
      </c>
      <c r="M499" t="s">
        <v>489</v>
      </c>
      <c r="N499" t="s">
        <v>490</v>
      </c>
      <c r="O499">
        <v>89140</v>
      </c>
      <c r="P499" t="s">
        <v>21</v>
      </c>
      <c r="Q499" t="str">
        <f>TEXT(Data_Set_3[[#This Row],[date]],"mmmm")</f>
        <v>December</v>
      </c>
      <c r="R499">
        <f>MONTH(Data_Set_3[[#This Row],[date]])</f>
        <v>12</v>
      </c>
      <c r="S499">
        <f>YEAR(Data_Set_3[[#This Row],[date]])</f>
        <v>2019</v>
      </c>
    </row>
    <row r="500" spans="1:19" x14ac:dyDescent="0.3">
      <c r="A500">
        <v>1022</v>
      </c>
      <c r="B500" t="s">
        <v>769</v>
      </c>
      <c r="C500" t="s">
        <v>825</v>
      </c>
      <c r="D500" t="s">
        <v>3008</v>
      </c>
      <c r="E500" t="s">
        <v>3009</v>
      </c>
      <c r="F500" t="s">
        <v>1888</v>
      </c>
      <c r="G500" t="s">
        <v>1794</v>
      </c>
      <c r="H500" t="s">
        <v>16</v>
      </c>
      <c r="I500" t="s">
        <v>17</v>
      </c>
      <c r="J500">
        <v>766</v>
      </c>
      <c r="K500" t="s">
        <v>26</v>
      </c>
      <c r="L500" s="2">
        <v>43826</v>
      </c>
      <c r="M500" t="s">
        <v>345</v>
      </c>
      <c r="N500" t="s">
        <v>220</v>
      </c>
      <c r="O500">
        <v>20430</v>
      </c>
      <c r="P500" t="s">
        <v>21</v>
      </c>
      <c r="Q500" t="str">
        <f>TEXT(Data_Set_3[[#This Row],[date]],"mmmm")</f>
        <v>December</v>
      </c>
      <c r="R500">
        <f>MONTH(Data_Set_3[[#This Row],[date]])</f>
        <v>12</v>
      </c>
      <c r="S500">
        <f>YEAR(Data_Set_3[[#This Row],[date]])</f>
        <v>2019</v>
      </c>
    </row>
    <row r="501" spans="1:19" x14ac:dyDescent="0.3">
      <c r="A501">
        <v>1020</v>
      </c>
      <c r="B501" t="s">
        <v>122</v>
      </c>
      <c r="C501" t="s">
        <v>954</v>
      </c>
      <c r="D501" t="s">
        <v>2888</v>
      </c>
      <c r="E501" t="s">
        <v>2889</v>
      </c>
      <c r="F501" t="s">
        <v>1998</v>
      </c>
      <c r="G501" t="s">
        <v>1926</v>
      </c>
      <c r="H501" t="s">
        <v>32</v>
      </c>
      <c r="I501" t="s">
        <v>17</v>
      </c>
      <c r="J501">
        <v>279</v>
      </c>
      <c r="K501" t="s">
        <v>26</v>
      </c>
      <c r="L501" s="2">
        <v>43828</v>
      </c>
      <c r="M501" t="s">
        <v>35</v>
      </c>
      <c r="N501" t="s">
        <v>620</v>
      </c>
      <c r="O501">
        <v>94105</v>
      </c>
      <c r="P501" t="s">
        <v>21</v>
      </c>
      <c r="Q501" t="str">
        <f>TEXT(Data_Set_3[[#This Row],[date]],"mmmm")</f>
        <v>December</v>
      </c>
      <c r="R501">
        <f>MONTH(Data_Set_3[[#This Row],[date]])</f>
        <v>12</v>
      </c>
      <c r="S501">
        <f>YEAR(Data_Set_3[[#This Row],[date]])</f>
        <v>2019</v>
      </c>
    </row>
    <row r="502" spans="1:19" x14ac:dyDescent="0.3">
      <c r="A502">
        <v>1576</v>
      </c>
      <c r="B502" t="s">
        <v>968</v>
      </c>
      <c r="C502" t="s">
        <v>118</v>
      </c>
      <c r="D502" t="s">
        <v>3395</v>
      </c>
      <c r="E502" t="s">
        <v>3396</v>
      </c>
      <c r="F502" t="s">
        <v>1509</v>
      </c>
      <c r="G502" t="s">
        <v>1996</v>
      </c>
      <c r="H502" t="s">
        <v>16</v>
      </c>
      <c r="I502" t="s">
        <v>361</v>
      </c>
      <c r="J502">
        <v>366</v>
      </c>
      <c r="K502" t="s">
        <v>62</v>
      </c>
      <c r="L502" s="2">
        <v>43829</v>
      </c>
      <c r="M502" t="s">
        <v>68</v>
      </c>
      <c r="N502" t="s">
        <v>3397</v>
      </c>
      <c r="O502">
        <v>78682</v>
      </c>
      <c r="P502" t="s">
        <v>21</v>
      </c>
      <c r="Q502" t="str">
        <f>TEXT(Data_Set_3[[#This Row],[date]],"mmmm")</f>
        <v>December</v>
      </c>
      <c r="R502">
        <f>MONTH(Data_Set_3[[#This Row],[date]])</f>
        <v>12</v>
      </c>
      <c r="S502">
        <f>YEAR(Data_Set_3[[#This Row],[date]])</f>
        <v>2019</v>
      </c>
    </row>
    <row r="503" spans="1:19" x14ac:dyDescent="0.3">
      <c r="A503">
        <v>1768</v>
      </c>
      <c r="B503" t="s">
        <v>218</v>
      </c>
      <c r="C503" t="s">
        <v>534</v>
      </c>
      <c r="D503" t="s">
        <v>3398</v>
      </c>
      <c r="E503" t="s">
        <v>3399</v>
      </c>
      <c r="F503" t="s">
        <v>1279</v>
      </c>
      <c r="G503" t="s">
        <v>2409</v>
      </c>
      <c r="H503" t="s">
        <v>16</v>
      </c>
      <c r="I503" t="s">
        <v>25</v>
      </c>
      <c r="J503">
        <v>405</v>
      </c>
      <c r="K503" t="s">
        <v>26</v>
      </c>
      <c r="L503" s="2">
        <v>43830</v>
      </c>
      <c r="M503" t="s">
        <v>301</v>
      </c>
      <c r="N503" t="s">
        <v>3400</v>
      </c>
      <c r="O503">
        <v>29615</v>
      </c>
      <c r="P503" t="s">
        <v>21</v>
      </c>
      <c r="Q503" t="str">
        <f>TEXT(Data_Set_3[[#This Row],[date]],"mmmm")</f>
        <v>December</v>
      </c>
      <c r="R503">
        <f>MONTH(Data_Set_3[[#This Row],[date]])</f>
        <v>12</v>
      </c>
      <c r="S503">
        <f>YEAR(Data_Set_3[[#This Row],[date]])</f>
        <v>2019</v>
      </c>
    </row>
    <row r="504" spans="1:19" x14ac:dyDescent="0.3">
      <c r="A504">
        <v>1298</v>
      </c>
      <c r="B504" t="s">
        <v>595</v>
      </c>
      <c r="C504" t="s">
        <v>293</v>
      </c>
      <c r="D504" t="s">
        <v>2900</v>
      </c>
      <c r="E504" t="s">
        <v>2901</v>
      </c>
      <c r="F504" t="s">
        <v>1539</v>
      </c>
      <c r="G504" t="s">
        <v>1952</v>
      </c>
      <c r="H504" t="s">
        <v>32</v>
      </c>
      <c r="I504" t="s">
        <v>543</v>
      </c>
      <c r="J504">
        <v>442</v>
      </c>
      <c r="K504" t="s">
        <v>73</v>
      </c>
      <c r="L504" s="2">
        <v>43831</v>
      </c>
      <c r="M504" t="s">
        <v>115</v>
      </c>
      <c r="N504" t="s">
        <v>351</v>
      </c>
      <c r="O504">
        <v>32891</v>
      </c>
      <c r="P504" t="s">
        <v>21</v>
      </c>
      <c r="Q504" t="str">
        <f>TEXT(Data_Set_3[[#This Row],[date]],"mmmm")</f>
        <v>January</v>
      </c>
      <c r="R504">
        <f>MONTH(Data_Set_3[[#This Row],[date]])</f>
        <v>1</v>
      </c>
      <c r="S504">
        <f>YEAR(Data_Set_3[[#This Row],[date]])</f>
        <v>2020</v>
      </c>
    </row>
    <row r="505" spans="1:19" x14ac:dyDescent="0.3">
      <c r="A505">
        <v>1541</v>
      </c>
      <c r="B505" t="s">
        <v>699</v>
      </c>
      <c r="C505" t="s">
        <v>468</v>
      </c>
      <c r="D505" t="s">
        <v>3401</v>
      </c>
      <c r="E505" t="s">
        <v>3402</v>
      </c>
      <c r="F505" t="s">
        <v>2124</v>
      </c>
      <c r="G505" t="s">
        <v>1926</v>
      </c>
      <c r="H505" t="s">
        <v>16</v>
      </c>
      <c r="I505" t="s">
        <v>553</v>
      </c>
      <c r="J505">
        <v>272</v>
      </c>
      <c r="K505" t="s">
        <v>26</v>
      </c>
      <c r="L505" s="2">
        <v>43833</v>
      </c>
      <c r="M505" t="s">
        <v>152</v>
      </c>
      <c r="N505" t="s">
        <v>643</v>
      </c>
      <c r="O505">
        <v>43268</v>
      </c>
      <c r="P505" t="s">
        <v>21</v>
      </c>
      <c r="Q505" t="str">
        <f>TEXT(Data_Set_3[[#This Row],[date]],"mmmm")</f>
        <v>January</v>
      </c>
      <c r="R505">
        <f>MONTH(Data_Set_3[[#This Row],[date]])</f>
        <v>1</v>
      </c>
      <c r="S505">
        <f>YEAR(Data_Set_3[[#This Row],[date]])</f>
        <v>2020</v>
      </c>
    </row>
    <row r="506" spans="1:19" x14ac:dyDescent="0.3">
      <c r="A506">
        <v>1043</v>
      </c>
      <c r="B506" t="s">
        <v>661</v>
      </c>
      <c r="C506" t="s">
        <v>883</v>
      </c>
      <c r="D506" t="s">
        <v>2987</v>
      </c>
      <c r="E506" t="s">
        <v>2988</v>
      </c>
      <c r="F506" t="s">
        <v>1353</v>
      </c>
      <c r="G506" t="s">
        <v>2546</v>
      </c>
      <c r="H506" t="s">
        <v>16</v>
      </c>
      <c r="I506" t="s">
        <v>17</v>
      </c>
      <c r="J506">
        <v>85</v>
      </c>
      <c r="K506" t="s">
        <v>164</v>
      </c>
      <c r="L506" s="2">
        <v>43835</v>
      </c>
      <c r="M506" t="s">
        <v>489</v>
      </c>
      <c r="N506" t="s">
        <v>490</v>
      </c>
      <c r="O506">
        <v>89140</v>
      </c>
      <c r="P506" t="s">
        <v>21</v>
      </c>
      <c r="Q506" t="str">
        <f>TEXT(Data_Set_3[[#This Row],[date]],"mmmm")</f>
        <v>January</v>
      </c>
      <c r="R506">
        <f>MONTH(Data_Set_3[[#This Row],[date]])</f>
        <v>1</v>
      </c>
      <c r="S506">
        <f>YEAR(Data_Set_3[[#This Row],[date]])</f>
        <v>2020</v>
      </c>
    </row>
    <row r="507" spans="1:19" x14ac:dyDescent="0.3">
      <c r="A507">
        <v>1783</v>
      </c>
      <c r="B507" t="s">
        <v>721</v>
      </c>
      <c r="C507" t="s">
        <v>2884</v>
      </c>
      <c r="D507" t="s">
        <v>2885</v>
      </c>
      <c r="E507" t="s">
        <v>2886</v>
      </c>
      <c r="F507" t="s">
        <v>1539</v>
      </c>
      <c r="G507" t="s">
        <v>2887</v>
      </c>
      <c r="H507" t="s">
        <v>16</v>
      </c>
      <c r="I507" t="s">
        <v>25</v>
      </c>
      <c r="J507">
        <v>393</v>
      </c>
      <c r="K507" t="s">
        <v>57</v>
      </c>
      <c r="L507" s="2">
        <v>43835</v>
      </c>
      <c r="M507" t="s">
        <v>287</v>
      </c>
      <c r="N507" t="s">
        <v>288</v>
      </c>
      <c r="O507">
        <v>85715</v>
      </c>
      <c r="P507" t="s">
        <v>21</v>
      </c>
      <c r="Q507" t="str">
        <f>TEXT(Data_Set_3[[#This Row],[date]],"mmmm")</f>
        <v>January</v>
      </c>
      <c r="R507">
        <f>MONTH(Data_Set_3[[#This Row],[date]])</f>
        <v>1</v>
      </c>
      <c r="S507">
        <f>YEAR(Data_Set_3[[#This Row],[date]])</f>
        <v>2020</v>
      </c>
    </row>
    <row r="508" spans="1:19" x14ac:dyDescent="0.3">
      <c r="A508">
        <v>1298</v>
      </c>
      <c r="B508" t="s">
        <v>595</v>
      </c>
      <c r="C508" t="s">
        <v>293</v>
      </c>
      <c r="D508" t="s">
        <v>2900</v>
      </c>
      <c r="E508" t="s">
        <v>2901</v>
      </c>
      <c r="F508" t="s">
        <v>1539</v>
      </c>
      <c r="G508" t="s">
        <v>1952</v>
      </c>
      <c r="H508" t="s">
        <v>32</v>
      </c>
      <c r="I508" t="s">
        <v>543</v>
      </c>
      <c r="J508">
        <v>478</v>
      </c>
      <c r="K508" t="s">
        <v>73</v>
      </c>
      <c r="L508" s="2">
        <v>43836</v>
      </c>
      <c r="M508" t="s">
        <v>115</v>
      </c>
      <c r="N508" t="s">
        <v>351</v>
      </c>
      <c r="O508">
        <v>32891</v>
      </c>
      <c r="P508" t="s">
        <v>21</v>
      </c>
      <c r="Q508" t="str">
        <f>TEXT(Data_Set_3[[#This Row],[date]],"mmmm")</f>
        <v>January</v>
      </c>
      <c r="R508">
        <f>MONTH(Data_Set_3[[#This Row],[date]])</f>
        <v>1</v>
      </c>
      <c r="S508">
        <f>YEAR(Data_Set_3[[#This Row],[date]])</f>
        <v>2020</v>
      </c>
    </row>
    <row r="509" spans="1:19" x14ac:dyDescent="0.3">
      <c r="A509">
        <v>1489</v>
      </c>
      <c r="B509" t="s">
        <v>860</v>
      </c>
      <c r="C509" t="s">
        <v>849</v>
      </c>
      <c r="D509" t="s">
        <v>2817</v>
      </c>
      <c r="E509" t="s">
        <v>2818</v>
      </c>
      <c r="F509" t="s">
        <v>1606</v>
      </c>
      <c r="G509" t="s">
        <v>1899</v>
      </c>
      <c r="H509" t="s">
        <v>16</v>
      </c>
      <c r="I509" t="s">
        <v>17</v>
      </c>
      <c r="J509">
        <v>955</v>
      </c>
      <c r="K509" t="s">
        <v>62</v>
      </c>
      <c r="L509" s="2">
        <v>43836</v>
      </c>
      <c r="M509" t="s">
        <v>204</v>
      </c>
      <c r="N509" t="s">
        <v>1135</v>
      </c>
      <c r="O509">
        <v>23668</v>
      </c>
      <c r="P509" t="s">
        <v>21</v>
      </c>
      <c r="Q509" t="str">
        <f>TEXT(Data_Set_3[[#This Row],[date]],"mmmm")</f>
        <v>January</v>
      </c>
      <c r="R509">
        <f>MONTH(Data_Set_3[[#This Row],[date]])</f>
        <v>1</v>
      </c>
      <c r="S509">
        <f>YEAR(Data_Set_3[[#This Row],[date]])</f>
        <v>2020</v>
      </c>
    </row>
    <row r="510" spans="1:19" x14ac:dyDescent="0.3">
      <c r="A510">
        <v>1679</v>
      </c>
      <c r="B510" t="s">
        <v>3403</v>
      </c>
      <c r="C510" t="s">
        <v>855</v>
      </c>
      <c r="D510" t="s">
        <v>3404</v>
      </c>
      <c r="E510" t="s">
        <v>3405</v>
      </c>
      <c r="F510" t="s">
        <v>1533</v>
      </c>
      <c r="G510" t="s">
        <v>1690</v>
      </c>
      <c r="H510" t="s">
        <v>16</v>
      </c>
      <c r="I510" t="s">
        <v>17</v>
      </c>
      <c r="J510">
        <v>397</v>
      </c>
      <c r="K510" t="s">
        <v>26</v>
      </c>
      <c r="L510" s="2">
        <v>43839</v>
      </c>
      <c r="M510" t="s">
        <v>269</v>
      </c>
      <c r="N510" t="s">
        <v>3406</v>
      </c>
      <c r="O510">
        <v>99709</v>
      </c>
      <c r="P510" t="s">
        <v>21</v>
      </c>
      <c r="Q510" t="str">
        <f>TEXT(Data_Set_3[[#This Row],[date]],"mmmm")</f>
        <v>January</v>
      </c>
      <c r="R510">
        <f>MONTH(Data_Set_3[[#This Row],[date]])</f>
        <v>1</v>
      </c>
      <c r="S510">
        <f>YEAR(Data_Set_3[[#This Row],[date]])</f>
        <v>2020</v>
      </c>
    </row>
    <row r="511" spans="1:19" x14ac:dyDescent="0.3">
      <c r="A511">
        <v>1850</v>
      </c>
      <c r="B511" t="s">
        <v>381</v>
      </c>
      <c r="C511" t="s">
        <v>3407</v>
      </c>
      <c r="D511" t="s">
        <v>3408</v>
      </c>
      <c r="E511" t="s">
        <v>3409</v>
      </c>
      <c r="F511" t="s">
        <v>1283</v>
      </c>
      <c r="G511" t="s">
        <v>2571</v>
      </c>
      <c r="H511" t="s">
        <v>16</v>
      </c>
      <c r="I511" t="s">
        <v>406</v>
      </c>
      <c r="J511">
        <v>328</v>
      </c>
      <c r="K511" t="s">
        <v>26</v>
      </c>
      <c r="L511" s="2">
        <v>43840</v>
      </c>
      <c r="M511" t="s">
        <v>110</v>
      </c>
      <c r="N511" t="s">
        <v>3410</v>
      </c>
      <c r="O511">
        <v>17605</v>
      </c>
      <c r="P511" t="s">
        <v>21</v>
      </c>
      <c r="Q511" t="str">
        <f>TEXT(Data_Set_3[[#This Row],[date]],"mmmm")</f>
        <v>January</v>
      </c>
      <c r="R511">
        <f>MONTH(Data_Set_3[[#This Row],[date]])</f>
        <v>1</v>
      </c>
      <c r="S511">
        <f>YEAR(Data_Set_3[[#This Row],[date]])</f>
        <v>2020</v>
      </c>
    </row>
    <row r="512" spans="1:19" x14ac:dyDescent="0.3">
      <c r="A512">
        <v>2000</v>
      </c>
      <c r="B512" t="s">
        <v>547</v>
      </c>
      <c r="C512" t="s">
        <v>69</v>
      </c>
      <c r="D512" t="s">
        <v>3059</v>
      </c>
      <c r="E512" t="s">
        <v>3060</v>
      </c>
      <c r="F512" t="s">
        <v>1306</v>
      </c>
      <c r="G512" t="s">
        <v>1502</v>
      </c>
      <c r="H512" t="s">
        <v>32</v>
      </c>
      <c r="I512" t="s">
        <v>179</v>
      </c>
      <c r="J512">
        <v>116</v>
      </c>
      <c r="K512" t="s">
        <v>62</v>
      </c>
      <c r="L512" s="2">
        <v>43841</v>
      </c>
      <c r="M512" t="s">
        <v>35</v>
      </c>
      <c r="N512" t="s">
        <v>599</v>
      </c>
      <c r="O512">
        <v>94230</v>
      </c>
      <c r="P512" t="s">
        <v>21</v>
      </c>
      <c r="Q512" t="str">
        <f>TEXT(Data_Set_3[[#This Row],[date]],"mmmm")</f>
        <v>January</v>
      </c>
      <c r="R512">
        <f>MONTH(Data_Set_3[[#This Row],[date]])</f>
        <v>1</v>
      </c>
      <c r="S512">
        <f>YEAR(Data_Set_3[[#This Row],[date]])</f>
        <v>2020</v>
      </c>
    </row>
    <row r="513" spans="1:19" x14ac:dyDescent="0.3">
      <c r="A513">
        <v>1577</v>
      </c>
      <c r="B513" t="s">
        <v>803</v>
      </c>
      <c r="C513" t="s">
        <v>331</v>
      </c>
      <c r="D513" t="s">
        <v>3411</v>
      </c>
      <c r="E513" t="s">
        <v>3412</v>
      </c>
      <c r="F513" t="s">
        <v>3135</v>
      </c>
      <c r="G513" t="s">
        <v>1397</v>
      </c>
      <c r="H513" t="s">
        <v>32</v>
      </c>
      <c r="I513" t="s">
        <v>151</v>
      </c>
      <c r="J513">
        <v>579</v>
      </c>
      <c r="K513" t="s">
        <v>18</v>
      </c>
      <c r="L513" s="2">
        <v>43844</v>
      </c>
      <c r="M513" t="s">
        <v>27</v>
      </c>
      <c r="N513" t="s">
        <v>28</v>
      </c>
      <c r="O513">
        <v>80217</v>
      </c>
      <c r="P513" t="s">
        <v>21</v>
      </c>
      <c r="Q513" t="str">
        <f>TEXT(Data_Set_3[[#This Row],[date]],"mmmm")</f>
        <v>January</v>
      </c>
      <c r="R513">
        <f>MONTH(Data_Set_3[[#This Row],[date]])</f>
        <v>1</v>
      </c>
      <c r="S513">
        <f>YEAR(Data_Set_3[[#This Row],[date]])</f>
        <v>2020</v>
      </c>
    </row>
    <row r="514" spans="1:19" x14ac:dyDescent="0.3">
      <c r="A514">
        <v>1166</v>
      </c>
      <c r="B514" t="s">
        <v>516</v>
      </c>
      <c r="C514" t="s">
        <v>145</v>
      </c>
      <c r="D514" t="s">
        <v>3413</v>
      </c>
      <c r="E514" t="s">
        <v>3414</v>
      </c>
      <c r="F514" t="s">
        <v>2588</v>
      </c>
      <c r="G514" t="s">
        <v>1863</v>
      </c>
      <c r="H514" t="s">
        <v>32</v>
      </c>
      <c r="I514" t="s">
        <v>25</v>
      </c>
      <c r="J514">
        <v>228</v>
      </c>
      <c r="K514" t="s">
        <v>34</v>
      </c>
      <c r="L514" s="2">
        <v>43847</v>
      </c>
      <c r="M514" t="s">
        <v>115</v>
      </c>
      <c r="N514" t="s">
        <v>1030</v>
      </c>
      <c r="O514">
        <v>32605</v>
      </c>
      <c r="P514" t="s">
        <v>21</v>
      </c>
      <c r="Q514" t="str">
        <f>TEXT(Data_Set_3[[#This Row],[date]],"mmmm")</f>
        <v>January</v>
      </c>
      <c r="R514">
        <f>MONTH(Data_Set_3[[#This Row],[date]])</f>
        <v>1</v>
      </c>
      <c r="S514">
        <f>YEAR(Data_Set_3[[#This Row],[date]])</f>
        <v>2020</v>
      </c>
    </row>
    <row r="515" spans="1:19" x14ac:dyDescent="0.3">
      <c r="A515">
        <v>1851</v>
      </c>
      <c r="B515" t="s">
        <v>471</v>
      </c>
      <c r="C515" t="s">
        <v>220</v>
      </c>
      <c r="D515" t="s">
        <v>3015</v>
      </c>
      <c r="E515" t="s">
        <v>3016</v>
      </c>
      <c r="F515" t="s">
        <v>3017</v>
      </c>
      <c r="G515" t="s">
        <v>2697</v>
      </c>
      <c r="H515" t="s">
        <v>32</v>
      </c>
      <c r="I515" t="s">
        <v>33</v>
      </c>
      <c r="J515">
        <v>341</v>
      </c>
      <c r="K515" t="s">
        <v>73</v>
      </c>
      <c r="L515" s="2">
        <v>43850</v>
      </c>
      <c r="M515" t="s">
        <v>184</v>
      </c>
      <c r="N515" t="s">
        <v>656</v>
      </c>
      <c r="O515">
        <v>11210</v>
      </c>
      <c r="P515" t="s">
        <v>21</v>
      </c>
      <c r="Q515" t="str">
        <f>TEXT(Data_Set_3[[#This Row],[date]],"mmmm")</f>
        <v>January</v>
      </c>
      <c r="R515">
        <f>MONTH(Data_Set_3[[#This Row],[date]])</f>
        <v>1</v>
      </c>
      <c r="S515">
        <f>YEAR(Data_Set_3[[#This Row],[date]])</f>
        <v>2020</v>
      </c>
    </row>
    <row r="516" spans="1:19" x14ac:dyDescent="0.3">
      <c r="A516">
        <v>1880</v>
      </c>
      <c r="B516" t="s">
        <v>304</v>
      </c>
      <c r="C516" t="s">
        <v>526</v>
      </c>
      <c r="D516" t="s">
        <v>2831</v>
      </c>
      <c r="E516" t="s">
        <v>2832</v>
      </c>
      <c r="F516" t="s">
        <v>1376</v>
      </c>
      <c r="G516" t="s">
        <v>2577</v>
      </c>
      <c r="H516" t="s">
        <v>32</v>
      </c>
      <c r="I516" t="s">
        <v>274</v>
      </c>
      <c r="J516">
        <v>547</v>
      </c>
      <c r="K516" t="s">
        <v>26</v>
      </c>
      <c r="L516" s="2">
        <v>43852</v>
      </c>
      <c r="M516" t="s">
        <v>246</v>
      </c>
      <c r="N516" t="s">
        <v>339</v>
      </c>
      <c r="O516">
        <v>60614</v>
      </c>
      <c r="P516" t="s">
        <v>21</v>
      </c>
      <c r="Q516" t="str">
        <f>TEXT(Data_Set_3[[#This Row],[date]],"mmmm")</f>
        <v>January</v>
      </c>
      <c r="R516">
        <f>MONTH(Data_Set_3[[#This Row],[date]])</f>
        <v>1</v>
      </c>
      <c r="S516">
        <f>YEAR(Data_Set_3[[#This Row],[date]])</f>
        <v>2020</v>
      </c>
    </row>
    <row r="517" spans="1:19" x14ac:dyDescent="0.3">
      <c r="A517">
        <v>1116</v>
      </c>
      <c r="B517" t="s">
        <v>135</v>
      </c>
      <c r="C517" t="s">
        <v>2803</v>
      </c>
      <c r="D517" t="s">
        <v>2804</v>
      </c>
      <c r="E517" t="s">
        <v>2805</v>
      </c>
      <c r="F517" t="s">
        <v>1770</v>
      </c>
      <c r="G517" t="s">
        <v>2110</v>
      </c>
      <c r="H517" t="s">
        <v>32</v>
      </c>
      <c r="I517" t="s">
        <v>51</v>
      </c>
      <c r="J517">
        <v>451</v>
      </c>
      <c r="K517" t="s">
        <v>95</v>
      </c>
      <c r="L517" s="2">
        <v>43854</v>
      </c>
      <c r="M517" t="s">
        <v>74</v>
      </c>
      <c r="N517" t="s">
        <v>400</v>
      </c>
      <c r="O517">
        <v>30096</v>
      </c>
      <c r="P517" t="s">
        <v>21</v>
      </c>
      <c r="Q517" t="str">
        <f>TEXT(Data_Set_3[[#This Row],[date]],"mmmm")</f>
        <v>January</v>
      </c>
      <c r="R517">
        <f>MONTH(Data_Set_3[[#This Row],[date]])</f>
        <v>1</v>
      </c>
      <c r="S517">
        <f>YEAR(Data_Set_3[[#This Row],[date]])</f>
        <v>2020</v>
      </c>
    </row>
    <row r="518" spans="1:19" x14ac:dyDescent="0.3">
      <c r="A518">
        <v>1363</v>
      </c>
      <c r="B518" t="s">
        <v>263</v>
      </c>
      <c r="C518" t="s">
        <v>1026</v>
      </c>
      <c r="D518" t="s">
        <v>3415</v>
      </c>
      <c r="E518" t="s">
        <v>3416</v>
      </c>
      <c r="F518" t="s">
        <v>1708</v>
      </c>
      <c r="G518" t="s">
        <v>2604</v>
      </c>
      <c r="H518" t="s">
        <v>16</v>
      </c>
      <c r="I518" t="s">
        <v>51</v>
      </c>
      <c r="J518">
        <v>987</v>
      </c>
      <c r="K518" t="s">
        <v>34</v>
      </c>
      <c r="L518" s="2">
        <v>43855</v>
      </c>
      <c r="M518" t="s">
        <v>52</v>
      </c>
      <c r="N518" t="s">
        <v>189</v>
      </c>
      <c r="O518">
        <v>25313</v>
      </c>
      <c r="P518" t="s">
        <v>21</v>
      </c>
      <c r="Q518" t="str">
        <f>TEXT(Data_Set_3[[#This Row],[date]],"mmmm")</f>
        <v>January</v>
      </c>
      <c r="R518">
        <f>MONTH(Data_Set_3[[#This Row],[date]])</f>
        <v>1</v>
      </c>
      <c r="S518">
        <f>YEAR(Data_Set_3[[#This Row],[date]])</f>
        <v>2020</v>
      </c>
    </row>
    <row r="519" spans="1:19" x14ac:dyDescent="0.3">
      <c r="A519">
        <v>1436</v>
      </c>
      <c r="B519" t="s">
        <v>356</v>
      </c>
      <c r="C519" t="s">
        <v>737</v>
      </c>
      <c r="D519" t="s">
        <v>2882</v>
      </c>
      <c r="E519" t="s">
        <v>2883</v>
      </c>
      <c r="F519" t="s">
        <v>1359</v>
      </c>
      <c r="G519" t="s">
        <v>2495</v>
      </c>
      <c r="H519" t="s">
        <v>32</v>
      </c>
      <c r="I519" t="s">
        <v>151</v>
      </c>
      <c r="J519">
        <v>616</v>
      </c>
      <c r="K519" t="s">
        <v>26</v>
      </c>
      <c r="L519" s="2">
        <v>43856</v>
      </c>
      <c r="M519" t="s">
        <v>489</v>
      </c>
      <c r="N519" t="s">
        <v>490</v>
      </c>
      <c r="O519">
        <v>89145</v>
      </c>
      <c r="P519" t="s">
        <v>21</v>
      </c>
      <c r="Q519" t="str">
        <f>TEXT(Data_Set_3[[#This Row],[date]],"mmmm")</f>
        <v>January</v>
      </c>
      <c r="R519">
        <f>MONTH(Data_Set_3[[#This Row],[date]])</f>
        <v>1</v>
      </c>
      <c r="S519">
        <f>YEAR(Data_Set_3[[#This Row],[date]])</f>
        <v>2020</v>
      </c>
    </row>
    <row r="520" spans="1:19" x14ac:dyDescent="0.3">
      <c r="A520">
        <v>1764</v>
      </c>
      <c r="B520" t="s">
        <v>65</v>
      </c>
      <c r="C520" t="s">
        <v>293</v>
      </c>
      <c r="D520" t="s">
        <v>3417</v>
      </c>
      <c r="E520" t="s">
        <v>3418</v>
      </c>
      <c r="F520" t="s">
        <v>1539</v>
      </c>
      <c r="G520" t="s">
        <v>1812</v>
      </c>
      <c r="H520" t="s">
        <v>16</v>
      </c>
      <c r="I520" t="s">
        <v>25</v>
      </c>
      <c r="J520">
        <v>95</v>
      </c>
      <c r="K520" t="s">
        <v>26</v>
      </c>
      <c r="L520" s="2">
        <v>43856</v>
      </c>
      <c r="M520" t="s">
        <v>184</v>
      </c>
      <c r="N520" t="s">
        <v>656</v>
      </c>
      <c r="O520">
        <v>11215</v>
      </c>
      <c r="P520" t="s">
        <v>21</v>
      </c>
      <c r="Q520" t="str">
        <f>TEXT(Data_Set_3[[#This Row],[date]],"mmmm")</f>
        <v>January</v>
      </c>
      <c r="R520">
        <f>MONTH(Data_Set_3[[#This Row],[date]])</f>
        <v>1</v>
      </c>
      <c r="S520">
        <f>YEAR(Data_Set_3[[#This Row],[date]])</f>
        <v>2020</v>
      </c>
    </row>
    <row r="521" spans="1:19" x14ac:dyDescent="0.3">
      <c r="A521">
        <v>1629</v>
      </c>
      <c r="B521" t="s">
        <v>809</v>
      </c>
      <c r="C521" t="s">
        <v>149</v>
      </c>
      <c r="D521" t="s">
        <v>3419</v>
      </c>
      <c r="E521" t="s">
        <v>3420</v>
      </c>
      <c r="F521" t="s">
        <v>3421</v>
      </c>
      <c r="G521" t="s">
        <v>2606</v>
      </c>
      <c r="H521" t="s">
        <v>16</v>
      </c>
      <c r="I521" t="s">
        <v>17</v>
      </c>
      <c r="J521">
        <v>203</v>
      </c>
      <c r="K521" t="s">
        <v>62</v>
      </c>
      <c r="L521" s="2">
        <v>43859</v>
      </c>
      <c r="M521" t="s">
        <v>704</v>
      </c>
      <c r="N521" t="s">
        <v>3157</v>
      </c>
      <c r="O521">
        <v>74116</v>
      </c>
      <c r="P521" t="s">
        <v>21</v>
      </c>
      <c r="Q521" t="str">
        <f>TEXT(Data_Set_3[[#This Row],[date]],"mmmm")</f>
        <v>January</v>
      </c>
      <c r="R521">
        <f>MONTH(Data_Set_3[[#This Row],[date]])</f>
        <v>1</v>
      </c>
      <c r="S521">
        <f>YEAR(Data_Set_3[[#This Row],[date]])</f>
        <v>2020</v>
      </c>
    </row>
    <row r="522" spans="1:19" x14ac:dyDescent="0.3">
      <c r="A522">
        <v>1144</v>
      </c>
      <c r="B522" t="s">
        <v>644</v>
      </c>
      <c r="C522" t="s">
        <v>581</v>
      </c>
      <c r="D522" t="s">
        <v>3114</v>
      </c>
      <c r="E522" t="s">
        <v>3115</v>
      </c>
      <c r="F522" t="s">
        <v>2641</v>
      </c>
      <c r="G522" t="s">
        <v>2709</v>
      </c>
      <c r="H522" t="s">
        <v>32</v>
      </c>
      <c r="I522" t="s">
        <v>25</v>
      </c>
      <c r="J522">
        <v>128</v>
      </c>
      <c r="K522" t="s">
        <v>62</v>
      </c>
      <c r="L522" s="2">
        <v>43860</v>
      </c>
      <c r="M522" t="s">
        <v>184</v>
      </c>
      <c r="N522" t="s">
        <v>3116</v>
      </c>
      <c r="O522">
        <v>11355</v>
      </c>
      <c r="P522" t="s">
        <v>21</v>
      </c>
      <c r="Q522" t="str">
        <f>TEXT(Data_Set_3[[#This Row],[date]],"mmmm")</f>
        <v>January</v>
      </c>
      <c r="R522">
        <f>MONTH(Data_Set_3[[#This Row],[date]])</f>
        <v>1</v>
      </c>
      <c r="S522">
        <f>YEAR(Data_Set_3[[#This Row],[date]])</f>
        <v>2020</v>
      </c>
    </row>
    <row r="523" spans="1:19" x14ac:dyDescent="0.3">
      <c r="A523">
        <v>1170</v>
      </c>
      <c r="B523" t="s">
        <v>22</v>
      </c>
      <c r="C523" t="s">
        <v>883</v>
      </c>
      <c r="D523" t="s">
        <v>2837</v>
      </c>
      <c r="E523" t="s">
        <v>2838</v>
      </c>
      <c r="F523" t="s">
        <v>2430</v>
      </c>
      <c r="G523" t="s">
        <v>1333</v>
      </c>
      <c r="H523" t="s">
        <v>16</v>
      </c>
      <c r="I523" t="s">
        <v>33</v>
      </c>
      <c r="J523">
        <v>213</v>
      </c>
      <c r="K523" t="s">
        <v>164</v>
      </c>
      <c r="L523" s="2">
        <v>43860</v>
      </c>
      <c r="M523" t="s">
        <v>68</v>
      </c>
      <c r="N523" t="s">
        <v>169</v>
      </c>
      <c r="O523">
        <v>88574</v>
      </c>
      <c r="P523" t="s">
        <v>21</v>
      </c>
      <c r="Q523" t="str">
        <f>TEXT(Data_Set_3[[#This Row],[date]],"mmmm")</f>
        <v>January</v>
      </c>
      <c r="R523">
        <f>MONTH(Data_Set_3[[#This Row],[date]])</f>
        <v>1</v>
      </c>
      <c r="S523">
        <f>YEAR(Data_Set_3[[#This Row],[date]])</f>
        <v>2020</v>
      </c>
    </row>
    <row r="524" spans="1:19" x14ac:dyDescent="0.3">
      <c r="A524">
        <v>1521</v>
      </c>
      <c r="B524" t="s">
        <v>471</v>
      </c>
      <c r="C524" t="s">
        <v>71</v>
      </c>
      <c r="D524" t="s">
        <v>3422</v>
      </c>
      <c r="E524" t="s">
        <v>3423</v>
      </c>
      <c r="F524" t="s">
        <v>3424</v>
      </c>
      <c r="G524" t="s">
        <v>2725</v>
      </c>
      <c r="H524" t="s">
        <v>32</v>
      </c>
      <c r="I524" t="s">
        <v>543</v>
      </c>
      <c r="J524">
        <v>58</v>
      </c>
      <c r="K524" t="s">
        <v>26</v>
      </c>
      <c r="L524" s="2">
        <v>43862</v>
      </c>
      <c r="M524" t="s">
        <v>74</v>
      </c>
      <c r="N524" t="s">
        <v>75</v>
      </c>
      <c r="O524">
        <v>30311</v>
      </c>
      <c r="P524" t="s">
        <v>21</v>
      </c>
      <c r="Q524" t="str">
        <f>TEXT(Data_Set_3[[#This Row],[date]],"mmmm")</f>
        <v>February</v>
      </c>
      <c r="R524">
        <f>MONTH(Data_Set_3[[#This Row],[date]])</f>
        <v>2</v>
      </c>
      <c r="S524">
        <f>YEAR(Data_Set_3[[#This Row],[date]])</f>
        <v>2020</v>
      </c>
    </row>
    <row r="525" spans="1:19" x14ac:dyDescent="0.3">
      <c r="A525">
        <v>1234</v>
      </c>
      <c r="B525" t="s">
        <v>2806</v>
      </c>
      <c r="C525" t="s">
        <v>752</v>
      </c>
      <c r="D525" t="s">
        <v>2807</v>
      </c>
      <c r="E525" t="s">
        <v>2808</v>
      </c>
      <c r="F525" t="s">
        <v>1460</v>
      </c>
      <c r="G525" t="s">
        <v>2125</v>
      </c>
      <c r="H525" t="s">
        <v>16</v>
      </c>
      <c r="I525" t="s">
        <v>33</v>
      </c>
      <c r="J525">
        <v>424</v>
      </c>
      <c r="K525" t="s">
        <v>62</v>
      </c>
      <c r="L525" s="2">
        <v>43864</v>
      </c>
      <c r="M525" t="s">
        <v>68</v>
      </c>
      <c r="N525" t="s">
        <v>69</v>
      </c>
      <c r="O525">
        <v>78710</v>
      </c>
      <c r="P525" t="s">
        <v>21</v>
      </c>
      <c r="Q525" t="str">
        <f>TEXT(Data_Set_3[[#This Row],[date]],"mmmm")</f>
        <v>February</v>
      </c>
      <c r="R525">
        <f>MONTH(Data_Set_3[[#This Row],[date]])</f>
        <v>2</v>
      </c>
      <c r="S525">
        <f>YEAR(Data_Set_3[[#This Row],[date]])</f>
        <v>2020</v>
      </c>
    </row>
    <row r="526" spans="1:19" x14ac:dyDescent="0.3">
      <c r="A526">
        <v>1489</v>
      </c>
      <c r="B526" t="s">
        <v>860</v>
      </c>
      <c r="C526" t="s">
        <v>849</v>
      </c>
      <c r="D526" t="s">
        <v>2817</v>
      </c>
      <c r="E526" t="s">
        <v>2818</v>
      </c>
      <c r="F526" t="s">
        <v>1606</v>
      </c>
      <c r="G526" t="s">
        <v>1899</v>
      </c>
      <c r="H526" t="s">
        <v>16</v>
      </c>
      <c r="I526" t="s">
        <v>17</v>
      </c>
      <c r="J526">
        <v>516</v>
      </c>
      <c r="K526" t="s">
        <v>62</v>
      </c>
      <c r="L526" s="2">
        <v>43868</v>
      </c>
      <c r="M526" t="s">
        <v>204</v>
      </c>
      <c r="N526" t="s">
        <v>1135</v>
      </c>
      <c r="O526">
        <v>23668</v>
      </c>
      <c r="P526" t="s">
        <v>21</v>
      </c>
      <c r="Q526" t="str">
        <f>TEXT(Data_Set_3[[#This Row],[date]],"mmmm")</f>
        <v>February</v>
      </c>
      <c r="R526">
        <f>MONTH(Data_Set_3[[#This Row],[date]])</f>
        <v>2</v>
      </c>
      <c r="S526">
        <f>YEAR(Data_Set_3[[#This Row],[date]])</f>
        <v>2020</v>
      </c>
    </row>
    <row r="527" spans="1:19" x14ac:dyDescent="0.3">
      <c r="A527">
        <v>1116</v>
      </c>
      <c r="B527" t="s">
        <v>135</v>
      </c>
      <c r="C527" t="s">
        <v>2803</v>
      </c>
      <c r="D527" t="s">
        <v>2804</v>
      </c>
      <c r="E527" t="s">
        <v>2805</v>
      </c>
      <c r="F527" t="s">
        <v>1770</v>
      </c>
      <c r="G527" t="s">
        <v>2110</v>
      </c>
      <c r="H527" t="s">
        <v>32</v>
      </c>
      <c r="I527" t="s">
        <v>51</v>
      </c>
      <c r="J527">
        <v>73</v>
      </c>
      <c r="K527" t="s">
        <v>95</v>
      </c>
      <c r="L527" s="2">
        <v>43870</v>
      </c>
      <c r="M527" t="s">
        <v>74</v>
      </c>
      <c r="N527" t="s">
        <v>400</v>
      </c>
      <c r="O527">
        <v>30096</v>
      </c>
      <c r="P527" t="s">
        <v>21</v>
      </c>
      <c r="Q527" t="str">
        <f>TEXT(Data_Set_3[[#This Row],[date]],"mmmm")</f>
        <v>February</v>
      </c>
      <c r="R527">
        <f>MONTH(Data_Set_3[[#This Row],[date]])</f>
        <v>2</v>
      </c>
      <c r="S527">
        <f>YEAR(Data_Set_3[[#This Row],[date]])</f>
        <v>2020</v>
      </c>
    </row>
    <row r="528" spans="1:19" x14ac:dyDescent="0.3">
      <c r="A528">
        <v>1170</v>
      </c>
      <c r="B528" t="s">
        <v>22</v>
      </c>
      <c r="C528" t="s">
        <v>883</v>
      </c>
      <c r="D528" t="s">
        <v>2837</v>
      </c>
      <c r="E528" t="s">
        <v>2838</v>
      </c>
      <c r="F528" t="s">
        <v>2430</v>
      </c>
      <c r="G528" t="s">
        <v>1333</v>
      </c>
      <c r="H528" t="s">
        <v>16</v>
      </c>
      <c r="I528" t="s">
        <v>33</v>
      </c>
      <c r="J528">
        <v>146</v>
      </c>
      <c r="K528" t="s">
        <v>164</v>
      </c>
      <c r="L528" s="2">
        <v>43870</v>
      </c>
      <c r="M528" t="s">
        <v>68</v>
      </c>
      <c r="N528" t="s">
        <v>169</v>
      </c>
      <c r="O528">
        <v>88574</v>
      </c>
      <c r="P528" t="s">
        <v>21</v>
      </c>
      <c r="Q528" t="str">
        <f>TEXT(Data_Set_3[[#This Row],[date]],"mmmm")</f>
        <v>February</v>
      </c>
      <c r="R528">
        <f>MONTH(Data_Set_3[[#This Row],[date]])</f>
        <v>2</v>
      </c>
      <c r="S528">
        <f>YEAR(Data_Set_3[[#This Row],[date]])</f>
        <v>2020</v>
      </c>
    </row>
    <row r="529" spans="1:19" x14ac:dyDescent="0.3">
      <c r="A529">
        <v>1513</v>
      </c>
      <c r="B529" t="s">
        <v>429</v>
      </c>
      <c r="C529" t="s">
        <v>528</v>
      </c>
      <c r="D529" t="s">
        <v>3425</v>
      </c>
      <c r="E529" t="s">
        <v>3426</v>
      </c>
      <c r="F529" t="s">
        <v>1481</v>
      </c>
      <c r="G529" t="s">
        <v>3347</v>
      </c>
      <c r="H529" t="s">
        <v>16</v>
      </c>
      <c r="I529" t="s">
        <v>179</v>
      </c>
      <c r="J529">
        <v>59</v>
      </c>
      <c r="K529" t="s">
        <v>259</v>
      </c>
      <c r="L529" s="2">
        <v>43871</v>
      </c>
      <c r="M529" t="s">
        <v>204</v>
      </c>
      <c r="N529" t="s">
        <v>242</v>
      </c>
      <c r="O529">
        <v>23289</v>
      </c>
      <c r="P529" t="s">
        <v>21</v>
      </c>
      <c r="Q529" t="str">
        <f>TEXT(Data_Set_3[[#This Row],[date]],"mmmm")</f>
        <v>February</v>
      </c>
      <c r="R529">
        <f>MONTH(Data_Set_3[[#This Row],[date]])</f>
        <v>2</v>
      </c>
      <c r="S529">
        <f>YEAR(Data_Set_3[[#This Row],[date]])</f>
        <v>2020</v>
      </c>
    </row>
    <row r="530" spans="1:19" x14ac:dyDescent="0.3">
      <c r="A530">
        <v>1994</v>
      </c>
      <c r="B530" t="s">
        <v>336</v>
      </c>
      <c r="C530" t="s">
        <v>482</v>
      </c>
      <c r="D530" t="s">
        <v>3081</v>
      </c>
      <c r="E530" t="s">
        <v>3082</v>
      </c>
      <c r="F530" t="s">
        <v>1412</v>
      </c>
      <c r="G530" t="s">
        <v>2533</v>
      </c>
      <c r="H530" t="s">
        <v>16</v>
      </c>
      <c r="I530" t="s">
        <v>33</v>
      </c>
      <c r="J530">
        <v>197</v>
      </c>
      <c r="K530" t="s">
        <v>26</v>
      </c>
      <c r="L530" s="2">
        <v>43874</v>
      </c>
      <c r="M530" t="s">
        <v>246</v>
      </c>
      <c r="N530" t="s">
        <v>868</v>
      </c>
      <c r="O530">
        <v>61651</v>
      </c>
      <c r="P530" t="s">
        <v>21</v>
      </c>
      <c r="Q530" t="str">
        <f>TEXT(Data_Set_3[[#This Row],[date]],"mmmm")</f>
        <v>February</v>
      </c>
      <c r="R530">
        <f>MONTH(Data_Set_3[[#This Row],[date]])</f>
        <v>2</v>
      </c>
      <c r="S530">
        <f>YEAR(Data_Set_3[[#This Row],[date]])</f>
        <v>2020</v>
      </c>
    </row>
    <row r="531" spans="1:19" x14ac:dyDescent="0.3">
      <c r="A531">
        <v>1095</v>
      </c>
      <c r="B531" t="s">
        <v>395</v>
      </c>
      <c r="C531" t="s">
        <v>876</v>
      </c>
      <c r="D531" t="s">
        <v>2989</v>
      </c>
      <c r="E531" t="s">
        <v>2990</v>
      </c>
      <c r="F531" t="s">
        <v>1323</v>
      </c>
      <c r="G531" t="s">
        <v>1453</v>
      </c>
      <c r="H531" t="s">
        <v>32</v>
      </c>
      <c r="I531" t="s">
        <v>51</v>
      </c>
      <c r="J531">
        <v>538</v>
      </c>
      <c r="K531" t="s">
        <v>34</v>
      </c>
      <c r="L531" s="2">
        <v>43876</v>
      </c>
      <c r="M531" t="s">
        <v>68</v>
      </c>
      <c r="N531" t="s">
        <v>234</v>
      </c>
      <c r="O531">
        <v>77040</v>
      </c>
      <c r="P531" t="s">
        <v>21</v>
      </c>
      <c r="Q531" t="str">
        <f>TEXT(Data_Set_3[[#This Row],[date]],"mmmm")</f>
        <v>February</v>
      </c>
      <c r="R531">
        <f>MONTH(Data_Set_3[[#This Row],[date]])</f>
        <v>2</v>
      </c>
      <c r="S531">
        <f>YEAR(Data_Set_3[[#This Row],[date]])</f>
        <v>2020</v>
      </c>
    </row>
    <row r="532" spans="1:19" x14ac:dyDescent="0.3">
      <c r="A532">
        <v>1017</v>
      </c>
      <c r="B532" t="s">
        <v>803</v>
      </c>
      <c r="C532" t="s">
        <v>3048</v>
      </c>
      <c r="D532" t="s">
        <v>3049</v>
      </c>
      <c r="E532" t="s">
        <v>3050</v>
      </c>
      <c r="F532" t="s">
        <v>1306</v>
      </c>
      <c r="G532" t="s">
        <v>1845</v>
      </c>
      <c r="H532" t="s">
        <v>32</v>
      </c>
      <c r="I532" t="s">
        <v>17</v>
      </c>
      <c r="J532">
        <v>650</v>
      </c>
      <c r="K532" t="s">
        <v>26</v>
      </c>
      <c r="L532" s="2">
        <v>43878</v>
      </c>
      <c r="M532" t="s">
        <v>246</v>
      </c>
      <c r="N532" t="s">
        <v>339</v>
      </c>
      <c r="O532">
        <v>60663</v>
      </c>
      <c r="P532" t="s">
        <v>21</v>
      </c>
      <c r="Q532" t="str">
        <f>TEXT(Data_Set_3[[#This Row],[date]],"mmmm")</f>
        <v>February</v>
      </c>
      <c r="R532">
        <f>MONTH(Data_Set_3[[#This Row],[date]])</f>
        <v>2</v>
      </c>
      <c r="S532">
        <f>YEAR(Data_Set_3[[#This Row],[date]])</f>
        <v>2020</v>
      </c>
    </row>
    <row r="533" spans="1:19" x14ac:dyDescent="0.3">
      <c r="A533">
        <v>1851</v>
      </c>
      <c r="B533" t="s">
        <v>471</v>
      </c>
      <c r="C533" t="s">
        <v>220</v>
      </c>
      <c r="D533" t="s">
        <v>3015</v>
      </c>
      <c r="E533" t="s">
        <v>3016</v>
      </c>
      <c r="F533" t="s">
        <v>3017</v>
      </c>
      <c r="G533" t="s">
        <v>2697</v>
      </c>
      <c r="H533" t="s">
        <v>32</v>
      </c>
      <c r="I533" t="s">
        <v>33</v>
      </c>
      <c r="J533">
        <v>709</v>
      </c>
      <c r="K533" t="s">
        <v>73</v>
      </c>
      <c r="L533" s="2">
        <v>43881</v>
      </c>
      <c r="M533" t="s">
        <v>184</v>
      </c>
      <c r="N533" t="s">
        <v>656</v>
      </c>
      <c r="O533">
        <v>11210</v>
      </c>
      <c r="P533" t="s">
        <v>21</v>
      </c>
      <c r="Q533" t="str">
        <f>TEXT(Data_Set_3[[#This Row],[date]],"mmmm")</f>
        <v>February</v>
      </c>
      <c r="R533">
        <f>MONTH(Data_Set_3[[#This Row],[date]])</f>
        <v>2</v>
      </c>
      <c r="S533">
        <f>YEAR(Data_Set_3[[#This Row],[date]])</f>
        <v>2020</v>
      </c>
    </row>
    <row r="534" spans="1:19" x14ac:dyDescent="0.3">
      <c r="A534">
        <v>1542</v>
      </c>
      <c r="B534" t="s">
        <v>624</v>
      </c>
      <c r="C534" t="s">
        <v>387</v>
      </c>
      <c r="D534" t="s">
        <v>3427</v>
      </c>
      <c r="E534" t="s">
        <v>3428</v>
      </c>
      <c r="F534" t="s">
        <v>2485</v>
      </c>
      <c r="G534" t="s">
        <v>2452</v>
      </c>
      <c r="H534" t="s">
        <v>16</v>
      </c>
      <c r="I534" t="s">
        <v>553</v>
      </c>
      <c r="J534">
        <v>831</v>
      </c>
      <c r="K534" t="s">
        <v>341</v>
      </c>
      <c r="L534" s="2">
        <v>43883</v>
      </c>
      <c r="M534" t="s">
        <v>115</v>
      </c>
      <c r="N534" t="s">
        <v>351</v>
      </c>
      <c r="O534">
        <v>32885</v>
      </c>
      <c r="P534" t="s">
        <v>21</v>
      </c>
      <c r="Q534" t="str">
        <f>TEXT(Data_Set_3[[#This Row],[date]],"mmmm")</f>
        <v>February</v>
      </c>
      <c r="R534">
        <f>MONTH(Data_Set_3[[#This Row],[date]])</f>
        <v>2</v>
      </c>
      <c r="S534">
        <f>YEAR(Data_Set_3[[#This Row],[date]])</f>
        <v>2020</v>
      </c>
    </row>
    <row r="535" spans="1:19" x14ac:dyDescent="0.3">
      <c r="A535">
        <v>1433</v>
      </c>
      <c r="B535" t="s">
        <v>745</v>
      </c>
      <c r="C535" t="s">
        <v>482</v>
      </c>
      <c r="D535" t="s">
        <v>2955</v>
      </c>
      <c r="E535" t="s">
        <v>2956</v>
      </c>
      <c r="F535" t="s">
        <v>1983</v>
      </c>
      <c r="G535" t="s">
        <v>1834</v>
      </c>
      <c r="H535" t="s">
        <v>16</v>
      </c>
      <c r="I535" t="s">
        <v>274</v>
      </c>
      <c r="J535">
        <v>679</v>
      </c>
      <c r="K535" t="s">
        <v>95</v>
      </c>
      <c r="L535" s="2">
        <v>43885</v>
      </c>
      <c r="M535" t="s">
        <v>345</v>
      </c>
      <c r="N535" t="s">
        <v>220</v>
      </c>
      <c r="O535">
        <v>20420</v>
      </c>
      <c r="P535" t="s">
        <v>21</v>
      </c>
      <c r="Q535" t="str">
        <f>TEXT(Data_Set_3[[#This Row],[date]],"mmmm")</f>
        <v>February</v>
      </c>
      <c r="R535">
        <f>MONTH(Data_Set_3[[#This Row],[date]])</f>
        <v>2</v>
      </c>
      <c r="S535">
        <f>YEAR(Data_Set_3[[#This Row],[date]])</f>
        <v>2020</v>
      </c>
    </row>
    <row r="536" spans="1:19" x14ac:dyDescent="0.3">
      <c r="A536">
        <v>1880</v>
      </c>
      <c r="B536" t="s">
        <v>304</v>
      </c>
      <c r="C536" t="s">
        <v>526</v>
      </c>
      <c r="D536" t="s">
        <v>2831</v>
      </c>
      <c r="E536" t="s">
        <v>2832</v>
      </c>
      <c r="F536" t="s">
        <v>1376</v>
      </c>
      <c r="G536" t="s">
        <v>2577</v>
      </c>
      <c r="H536" t="s">
        <v>32</v>
      </c>
      <c r="I536" t="s">
        <v>274</v>
      </c>
      <c r="J536">
        <v>557</v>
      </c>
      <c r="K536" t="s">
        <v>26</v>
      </c>
      <c r="L536" s="2">
        <v>43889</v>
      </c>
      <c r="M536" t="s">
        <v>246</v>
      </c>
      <c r="N536" t="s">
        <v>339</v>
      </c>
      <c r="O536">
        <v>60614</v>
      </c>
      <c r="P536" t="s">
        <v>21</v>
      </c>
      <c r="Q536" t="str">
        <f>TEXT(Data_Set_3[[#This Row],[date]],"mmmm")</f>
        <v>February</v>
      </c>
      <c r="R536">
        <f>MONTH(Data_Set_3[[#This Row],[date]])</f>
        <v>2</v>
      </c>
      <c r="S536">
        <f>YEAR(Data_Set_3[[#This Row],[date]])</f>
        <v>2020</v>
      </c>
    </row>
    <row r="537" spans="1:19" x14ac:dyDescent="0.3">
      <c r="A537">
        <v>1017</v>
      </c>
      <c r="B537" t="s">
        <v>803</v>
      </c>
      <c r="C537" t="s">
        <v>3048</v>
      </c>
      <c r="D537" t="s">
        <v>3049</v>
      </c>
      <c r="E537" t="s">
        <v>3050</v>
      </c>
      <c r="F537" t="s">
        <v>1306</v>
      </c>
      <c r="G537" t="s">
        <v>1845</v>
      </c>
      <c r="H537" t="s">
        <v>32</v>
      </c>
      <c r="I537" t="s">
        <v>17</v>
      </c>
      <c r="J537">
        <v>846</v>
      </c>
      <c r="K537" t="s">
        <v>26</v>
      </c>
      <c r="L537" s="2">
        <v>43894</v>
      </c>
      <c r="M537" t="s">
        <v>246</v>
      </c>
      <c r="N537" t="s">
        <v>339</v>
      </c>
      <c r="O537">
        <v>60663</v>
      </c>
      <c r="P537" t="s">
        <v>21</v>
      </c>
      <c r="Q537" t="str">
        <f>TEXT(Data_Set_3[[#This Row],[date]],"mmmm")</f>
        <v>March</v>
      </c>
      <c r="R537">
        <f>MONTH(Data_Set_3[[#This Row],[date]])</f>
        <v>3</v>
      </c>
      <c r="S537">
        <f>YEAR(Data_Set_3[[#This Row],[date]])</f>
        <v>2020</v>
      </c>
    </row>
    <row r="538" spans="1:19" x14ac:dyDescent="0.3">
      <c r="A538">
        <v>1605</v>
      </c>
      <c r="B538" t="s">
        <v>336</v>
      </c>
      <c r="C538" t="s">
        <v>334</v>
      </c>
      <c r="D538" t="s">
        <v>3429</v>
      </c>
      <c r="E538" t="s">
        <v>3430</v>
      </c>
      <c r="F538" t="s">
        <v>2374</v>
      </c>
      <c r="G538" t="s">
        <v>2345</v>
      </c>
      <c r="H538" t="s">
        <v>16</v>
      </c>
      <c r="I538" t="s">
        <v>274</v>
      </c>
      <c r="J538">
        <v>751</v>
      </c>
      <c r="K538" t="s">
        <v>40</v>
      </c>
      <c r="L538" s="2">
        <v>43894</v>
      </c>
      <c r="M538" t="s">
        <v>96</v>
      </c>
      <c r="N538" t="s">
        <v>425</v>
      </c>
      <c r="O538">
        <v>46247</v>
      </c>
      <c r="P538" t="s">
        <v>21</v>
      </c>
      <c r="Q538" t="str">
        <f>TEXT(Data_Set_3[[#This Row],[date]],"mmmm")</f>
        <v>March</v>
      </c>
      <c r="R538">
        <f>MONTH(Data_Set_3[[#This Row],[date]])</f>
        <v>3</v>
      </c>
      <c r="S538">
        <f>YEAR(Data_Set_3[[#This Row],[date]])</f>
        <v>2020</v>
      </c>
    </row>
    <row r="539" spans="1:19" x14ac:dyDescent="0.3">
      <c r="A539">
        <v>1986</v>
      </c>
      <c r="B539" t="s">
        <v>409</v>
      </c>
      <c r="C539" t="s">
        <v>511</v>
      </c>
      <c r="D539" t="s">
        <v>3431</v>
      </c>
      <c r="E539" t="s">
        <v>3432</v>
      </c>
      <c r="F539" t="s">
        <v>1279</v>
      </c>
      <c r="G539" t="s">
        <v>2396</v>
      </c>
      <c r="H539" t="s">
        <v>16</v>
      </c>
      <c r="I539" t="s">
        <v>33</v>
      </c>
      <c r="J539">
        <v>165</v>
      </c>
      <c r="K539" t="s">
        <v>225</v>
      </c>
      <c r="L539" s="2">
        <v>43894</v>
      </c>
      <c r="M539" t="s">
        <v>68</v>
      </c>
      <c r="N539" t="s">
        <v>234</v>
      </c>
      <c r="O539">
        <v>77010</v>
      </c>
      <c r="P539" t="s">
        <v>21</v>
      </c>
      <c r="Q539" t="str">
        <f>TEXT(Data_Set_3[[#This Row],[date]],"mmmm")</f>
        <v>March</v>
      </c>
      <c r="R539">
        <f>MONTH(Data_Set_3[[#This Row],[date]])</f>
        <v>3</v>
      </c>
      <c r="S539">
        <f>YEAR(Data_Set_3[[#This Row],[date]])</f>
        <v>2020</v>
      </c>
    </row>
    <row r="540" spans="1:19" x14ac:dyDescent="0.3">
      <c r="A540">
        <v>1361</v>
      </c>
      <c r="B540" t="s">
        <v>809</v>
      </c>
      <c r="C540" t="s">
        <v>954</v>
      </c>
      <c r="D540" t="s">
        <v>3433</v>
      </c>
      <c r="E540" t="s">
        <v>3434</v>
      </c>
      <c r="F540" t="s">
        <v>1519</v>
      </c>
      <c r="G540" t="s">
        <v>1520</v>
      </c>
      <c r="H540" t="s">
        <v>16</v>
      </c>
      <c r="I540" t="s">
        <v>406</v>
      </c>
      <c r="J540">
        <v>421</v>
      </c>
      <c r="K540" t="s">
        <v>26</v>
      </c>
      <c r="L540" s="2">
        <v>43897</v>
      </c>
      <c r="M540" t="s">
        <v>78</v>
      </c>
      <c r="N540" t="s">
        <v>3435</v>
      </c>
      <c r="O540">
        <v>49444</v>
      </c>
      <c r="P540" t="s">
        <v>21</v>
      </c>
      <c r="Q540" t="str">
        <f>TEXT(Data_Set_3[[#This Row],[date]],"mmmm")</f>
        <v>March</v>
      </c>
      <c r="R540">
        <f>MONTH(Data_Set_3[[#This Row],[date]])</f>
        <v>3</v>
      </c>
      <c r="S540">
        <f>YEAR(Data_Set_3[[#This Row],[date]])</f>
        <v>2020</v>
      </c>
    </row>
    <row r="541" spans="1:19" x14ac:dyDescent="0.3">
      <c r="A541">
        <v>1622</v>
      </c>
      <c r="B541" t="s">
        <v>736</v>
      </c>
      <c r="C541" t="s">
        <v>461</v>
      </c>
      <c r="D541" t="s">
        <v>3436</v>
      </c>
      <c r="E541" t="s">
        <v>3437</v>
      </c>
      <c r="F541" t="s">
        <v>3438</v>
      </c>
      <c r="G541" t="s">
        <v>1952</v>
      </c>
      <c r="H541" t="s">
        <v>32</v>
      </c>
      <c r="I541" t="s">
        <v>17</v>
      </c>
      <c r="J541">
        <v>180</v>
      </c>
      <c r="K541" t="s">
        <v>18</v>
      </c>
      <c r="L541" s="2">
        <v>43897</v>
      </c>
      <c r="M541" t="s">
        <v>125</v>
      </c>
      <c r="N541" t="s">
        <v>419</v>
      </c>
      <c r="O541">
        <v>64190</v>
      </c>
      <c r="P541" t="s">
        <v>21</v>
      </c>
      <c r="Q541" t="str">
        <f>TEXT(Data_Set_3[[#This Row],[date]],"mmmm")</f>
        <v>March</v>
      </c>
      <c r="R541">
        <f>MONTH(Data_Set_3[[#This Row],[date]])</f>
        <v>3</v>
      </c>
      <c r="S541">
        <f>YEAR(Data_Set_3[[#This Row],[date]])</f>
        <v>2020</v>
      </c>
    </row>
    <row r="542" spans="1:19" x14ac:dyDescent="0.3">
      <c r="A542">
        <v>1434</v>
      </c>
      <c r="B542" t="s">
        <v>2915</v>
      </c>
      <c r="C542" t="s">
        <v>167</v>
      </c>
      <c r="D542" t="s">
        <v>2947</v>
      </c>
      <c r="E542" t="s">
        <v>2948</v>
      </c>
      <c r="F542" t="s">
        <v>1664</v>
      </c>
      <c r="G542" t="s">
        <v>2546</v>
      </c>
      <c r="H542" t="s">
        <v>32</v>
      </c>
      <c r="I542" t="s">
        <v>25</v>
      </c>
      <c r="J542">
        <v>543</v>
      </c>
      <c r="K542" t="s">
        <v>26</v>
      </c>
      <c r="L542" s="2">
        <v>43899</v>
      </c>
      <c r="M542" t="s">
        <v>192</v>
      </c>
      <c r="N542" t="s">
        <v>193</v>
      </c>
      <c r="O542">
        <v>55436</v>
      </c>
      <c r="P542" t="s">
        <v>21</v>
      </c>
      <c r="Q542" t="str">
        <f>TEXT(Data_Set_3[[#This Row],[date]],"mmmm")</f>
        <v>March</v>
      </c>
      <c r="R542">
        <f>MONTH(Data_Set_3[[#This Row],[date]])</f>
        <v>3</v>
      </c>
      <c r="S542">
        <f>YEAR(Data_Set_3[[#This Row],[date]])</f>
        <v>2020</v>
      </c>
    </row>
    <row r="543" spans="1:19" x14ac:dyDescent="0.3">
      <c r="A543">
        <v>1298</v>
      </c>
      <c r="B543" t="s">
        <v>595</v>
      </c>
      <c r="C543" t="s">
        <v>293</v>
      </c>
      <c r="D543" t="s">
        <v>2900</v>
      </c>
      <c r="E543" t="s">
        <v>2901</v>
      </c>
      <c r="F543" t="s">
        <v>1539</v>
      </c>
      <c r="G543" t="s">
        <v>1952</v>
      </c>
      <c r="H543" t="s">
        <v>32</v>
      </c>
      <c r="I543" t="s">
        <v>543</v>
      </c>
      <c r="J543">
        <v>542</v>
      </c>
      <c r="K543" t="s">
        <v>73</v>
      </c>
      <c r="L543" s="2">
        <v>43900</v>
      </c>
      <c r="M543" t="s">
        <v>115</v>
      </c>
      <c r="N543" t="s">
        <v>351</v>
      </c>
      <c r="O543">
        <v>32891</v>
      </c>
      <c r="P543" t="s">
        <v>21</v>
      </c>
      <c r="Q543" t="str">
        <f>TEXT(Data_Set_3[[#This Row],[date]],"mmmm")</f>
        <v>March</v>
      </c>
      <c r="R543">
        <f>MONTH(Data_Set_3[[#This Row],[date]])</f>
        <v>3</v>
      </c>
      <c r="S543">
        <f>YEAR(Data_Set_3[[#This Row],[date]])</f>
        <v>2020</v>
      </c>
    </row>
    <row r="544" spans="1:19" x14ac:dyDescent="0.3">
      <c r="A544">
        <v>1653</v>
      </c>
      <c r="B544" t="s">
        <v>1053</v>
      </c>
      <c r="C544" t="s">
        <v>3279</v>
      </c>
      <c r="D544" t="s">
        <v>3439</v>
      </c>
      <c r="E544" t="s">
        <v>3440</v>
      </c>
      <c r="F544" t="s">
        <v>2816</v>
      </c>
      <c r="G544" t="s">
        <v>1333</v>
      </c>
      <c r="H544" t="s">
        <v>32</v>
      </c>
      <c r="I544" t="s">
        <v>17</v>
      </c>
      <c r="J544">
        <v>922</v>
      </c>
      <c r="K544" t="s">
        <v>26</v>
      </c>
      <c r="L544" s="2">
        <v>43902</v>
      </c>
      <c r="M544" t="s">
        <v>489</v>
      </c>
      <c r="N544" t="s">
        <v>1127</v>
      </c>
      <c r="O544">
        <v>89436</v>
      </c>
      <c r="P544" t="s">
        <v>21</v>
      </c>
      <c r="Q544" t="str">
        <f>TEXT(Data_Set_3[[#This Row],[date]],"mmmm")</f>
        <v>March</v>
      </c>
      <c r="R544">
        <f>MONTH(Data_Set_3[[#This Row],[date]])</f>
        <v>3</v>
      </c>
      <c r="S544">
        <f>YEAR(Data_Set_3[[#This Row],[date]])</f>
        <v>2020</v>
      </c>
    </row>
    <row r="545" spans="1:19" x14ac:dyDescent="0.3">
      <c r="A545">
        <v>1365</v>
      </c>
      <c r="B545" t="s">
        <v>1183</v>
      </c>
      <c r="C545" t="s">
        <v>813</v>
      </c>
      <c r="D545" t="s">
        <v>2957</v>
      </c>
      <c r="E545" t="s">
        <v>2958</v>
      </c>
      <c r="F545" t="s">
        <v>1644</v>
      </c>
      <c r="G545" t="s">
        <v>2061</v>
      </c>
      <c r="H545" t="s">
        <v>16</v>
      </c>
      <c r="I545" t="s">
        <v>51</v>
      </c>
      <c r="J545">
        <v>824</v>
      </c>
      <c r="K545" t="s">
        <v>62</v>
      </c>
      <c r="L545" s="2">
        <v>43904</v>
      </c>
      <c r="M545" t="s">
        <v>115</v>
      </c>
      <c r="N545" t="s">
        <v>143</v>
      </c>
      <c r="O545">
        <v>33261</v>
      </c>
      <c r="P545" t="s">
        <v>21</v>
      </c>
      <c r="Q545" t="str">
        <f>TEXT(Data_Set_3[[#This Row],[date]],"mmmm")</f>
        <v>March</v>
      </c>
      <c r="R545">
        <f>MONTH(Data_Set_3[[#This Row],[date]])</f>
        <v>3</v>
      </c>
      <c r="S545">
        <f>YEAR(Data_Set_3[[#This Row],[date]])</f>
        <v>2020</v>
      </c>
    </row>
    <row r="546" spans="1:19" x14ac:dyDescent="0.3">
      <c r="A546">
        <v>1851</v>
      </c>
      <c r="B546" t="s">
        <v>471</v>
      </c>
      <c r="C546" t="s">
        <v>220</v>
      </c>
      <c r="D546" t="s">
        <v>3015</v>
      </c>
      <c r="E546" t="s">
        <v>3016</v>
      </c>
      <c r="F546" t="s">
        <v>3017</v>
      </c>
      <c r="G546" t="s">
        <v>2697</v>
      </c>
      <c r="H546" t="s">
        <v>32</v>
      </c>
      <c r="I546" t="s">
        <v>33</v>
      </c>
      <c r="J546">
        <v>551</v>
      </c>
      <c r="K546" t="s">
        <v>73</v>
      </c>
      <c r="L546" s="2">
        <v>43904</v>
      </c>
      <c r="M546" t="s">
        <v>184</v>
      </c>
      <c r="N546" t="s">
        <v>656</v>
      </c>
      <c r="O546">
        <v>11210</v>
      </c>
      <c r="P546" t="s">
        <v>21</v>
      </c>
      <c r="Q546" t="str">
        <f>TEXT(Data_Set_3[[#This Row],[date]],"mmmm")</f>
        <v>March</v>
      </c>
      <c r="R546">
        <f>MONTH(Data_Set_3[[#This Row],[date]])</f>
        <v>3</v>
      </c>
      <c r="S546">
        <f>YEAR(Data_Set_3[[#This Row],[date]])</f>
        <v>2020</v>
      </c>
    </row>
    <row r="547" spans="1:19" x14ac:dyDescent="0.3">
      <c r="A547">
        <v>1993</v>
      </c>
      <c r="B547" t="s">
        <v>366</v>
      </c>
      <c r="C547" t="s">
        <v>1089</v>
      </c>
      <c r="D547" t="s">
        <v>3441</v>
      </c>
      <c r="E547" t="s">
        <v>3442</v>
      </c>
      <c r="F547" t="s">
        <v>1811</v>
      </c>
      <c r="G547" t="s">
        <v>2432</v>
      </c>
      <c r="H547" t="s">
        <v>32</v>
      </c>
      <c r="I547" t="s">
        <v>33</v>
      </c>
      <c r="J547">
        <v>52</v>
      </c>
      <c r="K547" t="s">
        <v>225</v>
      </c>
      <c r="L547" s="2">
        <v>43905</v>
      </c>
      <c r="M547" t="s">
        <v>254</v>
      </c>
      <c r="N547" t="s">
        <v>255</v>
      </c>
      <c r="O547">
        <v>50369</v>
      </c>
      <c r="P547" t="s">
        <v>21</v>
      </c>
      <c r="Q547" t="str">
        <f>TEXT(Data_Set_3[[#This Row],[date]],"mmmm")</f>
        <v>March</v>
      </c>
      <c r="R547">
        <f>MONTH(Data_Set_3[[#This Row],[date]])</f>
        <v>3</v>
      </c>
      <c r="S547">
        <f>YEAR(Data_Set_3[[#This Row],[date]])</f>
        <v>2020</v>
      </c>
    </row>
    <row r="548" spans="1:19" x14ac:dyDescent="0.3">
      <c r="A548">
        <v>1406</v>
      </c>
      <c r="B548" t="s">
        <v>3083</v>
      </c>
      <c r="C548" t="s">
        <v>684</v>
      </c>
      <c r="D548" t="s">
        <v>3343</v>
      </c>
      <c r="E548" t="s">
        <v>3344</v>
      </c>
      <c r="F548" t="s">
        <v>1385</v>
      </c>
      <c r="G548" t="s">
        <v>2396</v>
      </c>
      <c r="H548" t="s">
        <v>16</v>
      </c>
      <c r="I548" t="s">
        <v>553</v>
      </c>
      <c r="J548">
        <v>815</v>
      </c>
      <c r="K548" t="s">
        <v>34</v>
      </c>
      <c r="L548" s="2">
        <v>43906</v>
      </c>
      <c r="M548" t="s">
        <v>204</v>
      </c>
      <c r="N548" t="s">
        <v>1226</v>
      </c>
      <c r="O548">
        <v>24040</v>
      </c>
      <c r="P548" t="s">
        <v>21</v>
      </c>
      <c r="Q548" t="str">
        <f>TEXT(Data_Set_3[[#This Row],[date]],"mmmm")</f>
        <v>March</v>
      </c>
      <c r="R548">
        <f>MONTH(Data_Set_3[[#This Row],[date]])</f>
        <v>3</v>
      </c>
      <c r="S548">
        <f>YEAR(Data_Set_3[[#This Row],[date]])</f>
        <v>2020</v>
      </c>
    </row>
    <row r="549" spans="1:19" x14ac:dyDescent="0.3">
      <c r="A549">
        <v>1212</v>
      </c>
      <c r="B549" t="s">
        <v>547</v>
      </c>
      <c r="C549" t="s">
        <v>337</v>
      </c>
      <c r="D549" t="s">
        <v>2828</v>
      </c>
      <c r="E549" t="s">
        <v>2829</v>
      </c>
      <c r="F549" t="s">
        <v>1608</v>
      </c>
      <c r="G549" t="s">
        <v>2830</v>
      </c>
      <c r="H549" t="s">
        <v>32</v>
      </c>
      <c r="I549" t="s">
        <v>33</v>
      </c>
      <c r="J549">
        <v>194</v>
      </c>
      <c r="K549" t="s">
        <v>34</v>
      </c>
      <c r="L549" s="2">
        <v>43908</v>
      </c>
      <c r="M549" t="s">
        <v>46</v>
      </c>
      <c r="N549" t="s">
        <v>47</v>
      </c>
      <c r="O549">
        <v>6183</v>
      </c>
      <c r="P549" t="s">
        <v>21</v>
      </c>
      <c r="Q549" t="str">
        <f>TEXT(Data_Set_3[[#This Row],[date]],"mmmm")</f>
        <v>March</v>
      </c>
      <c r="R549">
        <f>MONTH(Data_Set_3[[#This Row],[date]])</f>
        <v>3</v>
      </c>
      <c r="S549">
        <f>YEAR(Data_Set_3[[#This Row],[date]])</f>
        <v>2020</v>
      </c>
    </row>
    <row r="550" spans="1:19" x14ac:dyDescent="0.3">
      <c r="A550">
        <v>1595</v>
      </c>
      <c r="B550" t="s">
        <v>239</v>
      </c>
      <c r="C550" t="s">
        <v>986</v>
      </c>
      <c r="D550" t="s">
        <v>3443</v>
      </c>
      <c r="E550" t="s">
        <v>3444</v>
      </c>
      <c r="F550" t="s">
        <v>3209</v>
      </c>
      <c r="G550" t="s">
        <v>2159</v>
      </c>
      <c r="H550" t="s">
        <v>32</v>
      </c>
      <c r="I550" t="s">
        <v>2821</v>
      </c>
      <c r="J550">
        <v>190</v>
      </c>
      <c r="K550" t="s">
        <v>26</v>
      </c>
      <c r="L550" s="2">
        <v>43909</v>
      </c>
      <c r="M550" t="s">
        <v>115</v>
      </c>
      <c r="N550" t="s">
        <v>3445</v>
      </c>
      <c r="O550">
        <v>33884</v>
      </c>
      <c r="P550" t="s">
        <v>21</v>
      </c>
      <c r="Q550" t="str">
        <f>TEXT(Data_Set_3[[#This Row],[date]],"mmmm")</f>
        <v>March</v>
      </c>
      <c r="R550">
        <f>MONTH(Data_Set_3[[#This Row],[date]])</f>
        <v>3</v>
      </c>
      <c r="S550">
        <f>YEAR(Data_Set_3[[#This Row],[date]])</f>
        <v>2020</v>
      </c>
    </row>
    <row r="551" spans="1:19" x14ac:dyDescent="0.3">
      <c r="A551">
        <v>1851</v>
      </c>
      <c r="B551" t="s">
        <v>471</v>
      </c>
      <c r="C551" t="s">
        <v>220</v>
      </c>
      <c r="D551" t="s">
        <v>3015</v>
      </c>
      <c r="E551" t="s">
        <v>3016</v>
      </c>
      <c r="F551" t="s">
        <v>3017</v>
      </c>
      <c r="G551" t="s">
        <v>2697</v>
      </c>
      <c r="H551" t="s">
        <v>32</v>
      </c>
      <c r="I551" t="s">
        <v>33</v>
      </c>
      <c r="J551">
        <v>994</v>
      </c>
      <c r="K551" t="s">
        <v>73</v>
      </c>
      <c r="L551" s="2">
        <v>43909</v>
      </c>
      <c r="M551" t="s">
        <v>184</v>
      </c>
      <c r="N551" t="s">
        <v>656</v>
      </c>
      <c r="O551">
        <v>11210</v>
      </c>
      <c r="P551" t="s">
        <v>21</v>
      </c>
      <c r="Q551" t="str">
        <f>TEXT(Data_Set_3[[#This Row],[date]],"mmmm")</f>
        <v>March</v>
      </c>
      <c r="R551">
        <f>MONTH(Data_Set_3[[#This Row],[date]])</f>
        <v>3</v>
      </c>
      <c r="S551">
        <f>YEAR(Data_Set_3[[#This Row],[date]])</f>
        <v>2020</v>
      </c>
    </row>
    <row r="552" spans="1:19" x14ac:dyDescent="0.3">
      <c r="A552">
        <v>1545</v>
      </c>
      <c r="B552" t="s">
        <v>413</v>
      </c>
      <c r="C552" t="s">
        <v>167</v>
      </c>
      <c r="D552" t="s">
        <v>3446</v>
      </c>
      <c r="E552" t="s">
        <v>3447</v>
      </c>
      <c r="F552" t="s">
        <v>2895</v>
      </c>
      <c r="G552" t="s">
        <v>2508</v>
      </c>
      <c r="H552" t="s">
        <v>32</v>
      </c>
      <c r="I552" t="s">
        <v>33</v>
      </c>
      <c r="J552">
        <v>570</v>
      </c>
      <c r="K552" t="s">
        <v>62</v>
      </c>
      <c r="L552" s="2">
        <v>43911</v>
      </c>
      <c r="M552" t="s">
        <v>68</v>
      </c>
      <c r="N552" t="s">
        <v>518</v>
      </c>
      <c r="O552">
        <v>78265</v>
      </c>
      <c r="P552" t="s">
        <v>21</v>
      </c>
      <c r="Q552" t="str">
        <f>TEXT(Data_Set_3[[#This Row],[date]],"mmmm")</f>
        <v>March</v>
      </c>
      <c r="R552">
        <f>MONTH(Data_Set_3[[#This Row],[date]])</f>
        <v>3</v>
      </c>
      <c r="S552">
        <f>YEAR(Data_Set_3[[#This Row],[date]])</f>
        <v>2020</v>
      </c>
    </row>
    <row r="553" spans="1:19" x14ac:dyDescent="0.3">
      <c r="A553">
        <v>1435</v>
      </c>
      <c r="B553" t="s">
        <v>80</v>
      </c>
      <c r="C553" t="s">
        <v>1045</v>
      </c>
      <c r="D553" t="s">
        <v>2851</v>
      </c>
      <c r="E553" t="s">
        <v>2852</v>
      </c>
      <c r="F553" t="s">
        <v>1853</v>
      </c>
      <c r="G553" t="s">
        <v>2697</v>
      </c>
      <c r="H553" t="s">
        <v>16</v>
      </c>
      <c r="I553" t="s">
        <v>25</v>
      </c>
      <c r="J553">
        <v>219</v>
      </c>
      <c r="K553" t="s">
        <v>83</v>
      </c>
      <c r="L553" s="2">
        <v>43912</v>
      </c>
      <c r="M553" t="s">
        <v>110</v>
      </c>
      <c r="N553" t="s">
        <v>1150</v>
      </c>
      <c r="O553">
        <v>19605</v>
      </c>
      <c r="P553" t="s">
        <v>21</v>
      </c>
      <c r="Q553" t="str">
        <f>TEXT(Data_Set_3[[#This Row],[date]],"mmmm")</f>
        <v>March</v>
      </c>
      <c r="R553">
        <f>MONTH(Data_Set_3[[#This Row],[date]])</f>
        <v>3</v>
      </c>
      <c r="S553">
        <f>YEAR(Data_Set_3[[#This Row],[date]])</f>
        <v>2020</v>
      </c>
    </row>
    <row r="554" spans="1:19" x14ac:dyDescent="0.3">
      <c r="A554">
        <v>1039</v>
      </c>
      <c r="B554" t="s">
        <v>1245</v>
      </c>
      <c r="C554" t="s">
        <v>883</v>
      </c>
      <c r="D554" t="s">
        <v>3128</v>
      </c>
      <c r="E554" t="s">
        <v>3129</v>
      </c>
      <c r="F554" t="s">
        <v>1901</v>
      </c>
      <c r="G554" t="s">
        <v>2508</v>
      </c>
      <c r="H554" t="s">
        <v>16</v>
      </c>
      <c r="I554" t="s">
        <v>17</v>
      </c>
      <c r="J554">
        <v>273</v>
      </c>
      <c r="K554" t="s">
        <v>57</v>
      </c>
      <c r="L554" s="2">
        <v>43913</v>
      </c>
      <c r="M554" t="s">
        <v>41</v>
      </c>
      <c r="N554" t="s">
        <v>42</v>
      </c>
      <c r="O554">
        <v>40298</v>
      </c>
      <c r="P554" t="s">
        <v>21</v>
      </c>
      <c r="Q554" t="str">
        <f>TEXT(Data_Set_3[[#This Row],[date]],"mmmm")</f>
        <v>March</v>
      </c>
      <c r="R554">
        <f>MONTH(Data_Set_3[[#This Row],[date]])</f>
        <v>3</v>
      </c>
      <c r="S554">
        <f>YEAR(Data_Set_3[[#This Row],[date]])</f>
        <v>2020</v>
      </c>
    </row>
    <row r="555" spans="1:19" x14ac:dyDescent="0.3">
      <c r="A555">
        <v>1554</v>
      </c>
      <c r="B555" t="s">
        <v>377</v>
      </c>
      <c r="C555" t="s">
        <v>313</v>
      </c>
      <c r="D555" t="s">
        <v>3448</v>
      </c>
      <c r="E555" t="s">
        <v>3449</v>
      </c>
      <c r="F555" t="s">
        <v>2608</v>
      </c>
      <c r="G555" t="s">
        <v>1596</v>
      </c>
      <c r="H555" t="s">
        <v>32</v>
      </c>
      <c r="I555" t="s">
        <v>151</v>
      </c>
      <c r="J555">
        <v>251</v>
      </c>
      <c r="K555" t="s">
        <v>26</v>
      </c>
      <c r="L555" s="2">
        <v>43917</v>
      </c>
      <c r="M555" t="s">
        <v>35</v>
      </c>
      <c r="N555" t="s">
        <v>599</v>
      </c>
      <c r="O555">
        <v>95813</v>
      </c>
      <c r="P555" t="s">
        <v>21</v>
      </c>
      <c r="Q555" t="str">
        <f>TEXT(Data_Set_3[[#This Row],[date]],"mmmm")</f>
        <v>March</v>
      </c>
      <c r="R555">
        <f>MONTH(Data_Set_3[[#This Row],[date]])</f>
        <v>3</v>
      </c>
      <c r="S555">
        <f>YEAR(Data_Set_3[[#This Row],[date]])</f>
        <v>2020</v>
      </c>
    </row>
    <row r="556" spans="1:19" x14ac:dyDescent="0.3">
      <c r="A556">
        <v>1988</v>
      </c>
      <c r="B556" t="s">
        <v>395</v>
      </c>
      <c r="C556" t="s">
        <v>1077</v>
      </c>
      <c r="D556" t="s">
        <v>3293</v>
      </c>
      <c r="E556" t="s">
        <v>3294</v>
      </c>
      <c r="F556" t="s">
        <v>1406</v>
      </c>
      <c r="G556" t="s">
        <v>1936</v>
      </c>
      <c r="H556" t="s">
        <v>32</v>
      </c>
      <c r="I556" t="s">
        <v>33</v>
      </c>
      <c r="J556">
        <v>412</v>
      </c>
      <c r="K556" t="s">
        <v>26</v>
      </c>
      <c r="L556" s="2">
        <v>43918</v>
      </c>
      <c r="M556" t="s">
        <v>46</v>
      </c>
      <c r="N556" t="s">
        <v>692</v>
      </c>
      <c r="O556">
        <v>6912</v>
      </c>
      <c r="P556" t="s">
        <v>21</v>
      </c>
      <c r="Q556" t="str">
        <f>TEXT(Data_Set_3[[#This Row],[date]],"mmmm")</f>
        <v>March</v>
      </c>
      <c r="R556">
        <f>MONTH(Data_Set_3[[#This Row],[date]])</f>
        <v>3</v>
      </c>
      <c r="S556">
        <f>YEAR(Data_Set_3[[#This Row],[date]])</f>
        <v>2020</v>
      </c>
    </row>
    <row r="557" spans="1:19" x14ac:dyDescent="0.3">
      <c r="A557">
        <v>1020</v>
      </c>
      <c r="B557" t="s">
        <v>122</v>
      </c>
      <c r="C557" t="s">
        <v>954</v>
      </c>
      <c r="D557" t="s">
        <v>2888</v>
      </c>
      <c r="E557" t="s">
        <v>2889</v>
      </c>
      <c r="F557" t="s">
        <v>1998</v>
      </c>
      <c r="G557" t="s">
        <v>1926</v>
      </c>
      <c r="H557" t="s">
        <v>32</v>
      </c>
      <c r="I557" t="s">
        <v>17</v>
      </c>
      <c r="J557">
        <v>218</v>
      </c>
      <c r="K557" t="s">
        <v>26</v>
      </c>
      <c r="L557" s="2">
        <v>43919</v>
      </c>
      <c r="M557" t="s">
        <v>35</v>
      </c>
      <c r="N557" t="s">
        <v>620</v>
      </c>
      <c r="O557">
        <v>94105</v>
      </c>
      <c r="P557" t="s">
        <v>21</v>
      </c>
      <c r="Q557" t="str">
        <f>TEXT(Data_Set_3[[#This Row],[date]],"mmmm")</f>
        <v>March</v>
      </c>
      <c r="R557">
        <f>MONTH(Data_Set_3[[#This Row],[date]])</f>
        <v>3</v>
      </c>
      <c r="S557">
        <f>YEAR(Data_Set_3[[#This Row],[date]])</f>
        <v>2020</v>
      </c>
    </row>
    <row r="558" spans="1:19" x14ac:dyDescent="0.3">
      <c r="A558">
        <v>1170</v>
      </c>
      <c r="B558" t="s">
        <v>22</v>
      </c>
      <c r="C558" t="s">
        <v>883</v>
      </c>
      <c r="D558" t="s">
        <v>2837</v>
      </c>
      <c r="E558" t="s">
        <v>2838</v>
      </c>
      <c r="F558" t="s">
        <v>2430</v>
      </c>
      <c r="G558" t="s">
        <v>1333</v>
      </c>
      <c r="H558" t="s">
        <v>16</v>
      </c>
      <c r="I558" t="s">
        <v>33</v>
      </c>
      <c r="J558">
        <v>677</v>
      </c>
      <c r="K558" t="s">
        <v>164</v>
      </c>
      <c r="L558" s="2">
        <v>43919</v>
      </c>
      <c r="M558" t="s">
        <v>68</v>
      </c>
      <c r="N558" t="s">
        <v>169</v>
      </c>
      <c r="O558">
        <v>88574</v>
      </c>
      <c r="P558" t="s">
        <v>21</v>
      </c>
      <c r="Q558" t="str">
        <f>TEXT(Data_Set_3[[#This Row],[date]],"mmmm")</f>
        <v>March</v>
      </c>
      <c r="R558">
        <f>MONTH(Data_Set_3[[#This Row],[date]])</f>
        <v>3</v>
      </c>
      <c r="S558">
        <f>YEAR(Data_Set_3[[#This Row],[date]])</f>
        <v>2020</v>
      </c>
    </row>
    <row r="559" spans="1:19" x14ac:dyDescent="0.3">
      <c r="A559">
        <v>1636</v>
      </c>
      <c r="B559" t="s">
        <v>252</v>
      </c>
      <c r="C559" t="s">
        <v>737</v>
      </c>
      <c r="D559" t="s">
        <v>3450</v>
      </c>
      <c r="E559" t="s">
        <v>3451</v>
      </c>
      <c r="F559" t="s">
        <v>2802</v>
      </c>
      <c r="G559" t="s">
        <v>2215</v>
      </c>
      <c r="H559" t="s">
        <v>16</v>
      </c>
      <c r="I559" t="s">
        <v>17</v>
      </c>
      <c r="J559">
        <v>367</v>
      </c>
      <c r="K559" t="s">
        <v>62</v>
      </c>
      <c r="L559" s="2">
        <v>43919</v>
      </c>
      <c r="M559" t="s">
        <v>35</v>
      </c>
      <c r="N559" t="s">
        <v>3452</v>
      </c>
      <c r="O559">
        <v>92822</v>
      </c>
      <c r="P559" t="s">
        <v>21</v>
      </c>
      <c r="Q559" t="str">
        <f>TEXT(Data_Set_3[[#This Row],[date]],"mmmm")</f>
        <v>March</v>
      </c>
      <c r="R559">
        <f>MONTH(Data_Set_3[[#This Row],[date]])</f>
        <v>3</v>
      </c>
      <c r="S559">
        <f>YEAR(Data_Set_3[[#This Row],[date]])</f>
        <v>2020</v>
      </c>
    </row>
    <row r="560" spans="1:19" x14ac:dyDescent="0.3">
      <c r="A560">
        <v>1674</v>
      </c>
      <c r="B560" t="s">
        <v>135</v>
      </c>
      <c r="C560" t="s">
        <v>2904</v>
      </c>
      <c r="D560" t="s">
        <v>3453</v>
      </c>
      <c r="E560" t="s">
        <v>3454</v>
      </c>
      <c r="F560" t="s">
        <v>3455</v>
      </c>
      <c r="G560" t="s">
        <v>2102</v>
      </c>
      <c r="H560" t="s">
        <v>32</v>
      </c>
      <c r="I560" t="s">
        <v>17</v>
      </c>
      <c r="J560">
        <v>546</v>
      </c>
      <c r="K560" t="s">
        <v>26</v>
      </c>
      <c r="L560" s="2">
        <v>43920</v>
      </c>
      <c r="M560" t="s">
        <v>393</v>
      </c>
      <c r="N560" t="s">
        <v>578</v>
      </c>
      <c r="O560">
        <v>38161</v>
      </c>
      <c r="P560" t="s">
        <v>21</v>
      </c>
      <c r="Q560" t="str">
        <f>TEXT(Data_Set_3[[#This Row],[date]],"mmmm")</f>
        <v>March</v>
      </c>
      <c r="R560">
        <f>MONTH(Data_Set_3[[#This Row],[date]])</f>
        <v>3</v>
      </c>
      <c r="S560">
        <f>YEAR(Data_Set_3[[#This Row],[date]])</f>
        <v>2020</v>
      </c>
    </row>
    <row r="561" spans="1:19" x14ac:dyDescent="0.3">
      <c r="A561">
        <v>1843</v>
      </c>
      <c r="B561" t="s">
        <v>299</v>
      </c>
      <c r="C561" t="s">
        <v>3456</v>
      </c>
      <c r="D561" t="s">
        <v>3457</v>
      </c>
      <c r="E561" t="s">
        <v>3458</v>
      </c>
      <c r="F561" t="s">
        <v>2918</v>
      </c>
      <c r="G561" t="s">
        <v>2752</v>
      </c>
      <c r="H561" t="s">
        <v>32</v>
      </c>
      <c r="I561" t="s">
        <v>406</v>
      </c>
      <c r="J561">
        <v>726</v>
      </c>
      <c r="K561" t="s">
        <v>26</v>
      </c>
      <c r="L561" s="2">
        <v>43921</v>
      </c>
      <c r="M561" t="s">
        <v>96</v>
      </c>
      <c r="N561" t="s">
        <v>425</v>
      </c>
      <c r="O561">
        <v>46247</v>
      </c>
      <c r="P561" t="s">
        <v>21</v>
      </c>
      <c r="Q561" t="str">
        <f>TEXT(Data_Set_3[[#This Row],[date]],"mmmm")</f>
        <v>March</v>
      </c>
      <c r="R561">
        <f>MONTH(Data_Set_3[[#This Row],[date]])</f>
        <v>3</v>
      </c>
      <c r="S561">
        <f>YEAR(Data_Set_3[[#This Row],[date]])</f>
        <v>2020</v>
      </c>
    </row>
    <row r="562" spans="1:19" x14ac:dyDescent="0.3">
      <c r="A562">
        <v>1020</v>
      </c>
      <c r="B562" t="s">
        <v>122</v>
      </c>
      <c r="C562" t="s">
        <v>954</v>
      </c>
      <c r="D562" t="s">
        <v>2888</v>
      </c>
      <c r="E562" t="s">
        <v>2889</v>
      </c>
      <c r="F562" t="s">
        <v>1998</v>
      </c>
      <c r="G562" t="s">
        <v>1926</v>
      </c>
      <c r="H562" t="s">
        <v>32</v>
      </c>
      <c r="I562" t="s">
        <v>17</v>
      </c>
      <c r="J562">
        <v>424</v>
      </c>
      <c r="K562" t="s">
        <v>26</v>
      </c>
      <c r="L562" s="2">
        <v>43922</v>
      </c>
      <c r="M562" t="s">
        <v>35</v>
      </c>
      <c r="N562" t="s">
        <v>620</v>
      </c>
      <c r="O562">
        <v>94105</v>
      </c>
      <c r="P562" t="s">
        <v>21</v>
      </c>
      <c r="Q562" t="str">
        <f>TEXT(Data_Set_3[[#This Row],[date]],"mmmm")</f>
        <v>April</v>
      </c>
      <c r="R562">
        <f>MONTH(Data_Set_3[[#This Row],[date]])</f>
        <v>4</v>
      </c>
      <c r="S562">
        <f>YEAR(Data_Set_3[[#This Row],[date]])</f>
        <v>2020</v>
      </c>
    </row>
    <row r="563" spans="1:19" x14ac:dyDescent="0.3">
      <c r="A563">
        <v>1081</v>
      </c>
      <c r="B563" t="s">
        <v>29</v>
      </c>
      <c r="C563" t="s">
        <v>906</v>
      </c>
      <c r="D563" t="s">
        <v>2980</v>
      </c>
      <c r="E563" t="s">
        <v>2981</v>
      </c>
      <c r="F563" t="s">
        <v>2342</v>
      </c>
      <c r="G563" t="s">
        <v>2286</v>
      </c>
      <c r="H563" t="s">
        <v>32</v>
      </c>
      <c r="I563" t="s">
        <v>51</v>
      </c>
      <c r="J563">
        <v>243</v>
      </c>
      <c r="K563" t="s">
        <v>18</v>
      </c>
      <c r="L563" s="2">
        <v>43923</v>
      </c>
      <c r="M563" t="s">
        <v>152</v>
      </c>
      <c r="N563" t="s">
        <v>484</v>
      </c>
      <c r="O563">
        <v>45426</v>
      </c>
      <c r="P563" t="s">
        <v>21</v>
      </c>
      <c r="Q563" t="str">
        <f>TEXT(Data_Set_3[[#This Row],[date]],"mmmm")</f>
        <v>April</v>
      </c>
      <c r="R563">
        <f>MONTH(Data_Set_3[[#This Row],[date]])</f>
        <v>4</v>
      </c>
      <c r="S563">
        <f>YEAR(Data_Set_3[[#This Row],[date]])</f>
        <v>2020</v>
      </c>
    </row>
    <row r="564" spans="1:19" x14ac:dyDescent="0.3">
      <c r="A564">
        <v>1144</v>
      </c>
      <c r="B564" t="s">
        <v>644</v>
      </c>
      <c r="C564" t="s">
        <v>581</v>
      </c>
      <c r="D564" t="s">
        <v>3114</v>
      </c>
      <c r="E564" t="s">
        <v>3115</v>
      </c>
      <c r="F564" t="s">
        <v>2641</v>
      </c>
      <c r="G564" t="s">
        <v>2709</v>
      </c>
      <c r="H564" t="s">
        <v>32</v>
      </c>
      <c r="I564" t="s">
        <v>25</v>
      </c>
      <c r="J564">
        <v>266</v>
      </c>
      <c r="K564" t="s">
        <v>62</v>
      </c>
      <c r="L564" s="2">
        <v>43928</v>
      </c>
      <c r="M564" t="s">
        <v>184</v>
      </c>
      <c r="N564" t="s">
        <v>3116</v>
      </c>
      <c r="O564">
        <v>11355</v>
      </c>
      <c r="P564" t="s">
        <v>21</v>
      </c>
      <c r="Q564" t="str">
        <f>TEXT(Data_Set_3[[#This Row],[date]],"mmmm")</f>
        <v>April</v>
      </c>
      <c r="R564">
        <f>MONTH(Data_Set_3[[#This Row],[date]])</f>
        <v>4</v>
      </c>
      <c r="S564">
        <f>YEAR(Data_Set_3[[#This Row],[date]])</f>
        <v>2020</v>
      </c>
    </row>
    <row r="565" spans="1:19" x14ac:dyDescent="0.3">
      <c r="A565">
        <v>1686</v>
      </c>
      <c r="B565" t="s">
        <v>377</v>
      </c>
      <c r="C565" t="s">
        <v>519</v>
      </c>
      <c r="D565" t="s">
        <v>3459</v>
      </c>
      <c r="E565" t="s">
        <v>3460</v>
      </c>
      <c r="F565" t="s">
        <v>2177</v>
      </c>
      <c r="G565" t="s">
        <v>3461</v>
      </c>
      <c r="H565" t="s">
        <v>32</v>
      </c>
      <c r="I565" t="s">
        <v>17</v>
      </c>
      <c r="J565">
        <v>445</v>
      </c>
      <c r="K565" t="s">
        <v>275</v>
      </c>
      <c r="L565" s="2">
        <v>43931</v>
      </c>
      <c r="M565" t="s">
        <v>152</v>
      </c>
      <c r="N565" t="s">
        <v>3462</v>
      </c>
      <c r="O565">
        <v>45807</v>
      </c>
      <c r="P565" t="s">
        <v>21</v>
      </c>
      <c r="Q565" t="str">
        <f>TEXT(Data_Set_3[[#This Row],[date]],"mmmm")</f>
        <v>April</v>
      </c>
      <c r="R565">
        <f>MONTH(Data_Set_3[[#This Row],[date]])</f>
        <v>4</v>
      </c>
      <c r="S565">
        <f>YEAR(Data_Set_3[[#This Row],[date]])</f>
        <v>2020</v>
      </c>
    </row>
    <row r="566" spans="1:19" x14ac:dyDescent="0.3">
      <c r="A566">
        <v>1812</v>
      </c>
      <c r="B566" t="s">
        <v>1130</v>
      </c>
      <c r="C566" t="s">
        <v>639</v>
      </c>
      <c r="D566" t="s">
        <v>2863</v>
      </c>
      <c r="E566" t="s">
        <v>2864</v>
      </c>
      <c r="F566" t="s">
        <v>2641</v>
      </c>
      <c r="G566" t="s">
        <v>1653</v>
      </c>
      <c r="H566" t="s">
        <v>16</v>
      </c>
      <c r="I566" t="s">
        <v>543</v>
      </c>
      <c r="J566">
        <v>651</v>
      </c>
      <c r="K566" t="s">
        <v>34</v>
      </c>
      <c r="L566" s="2">
        <v>43932</v>
      </c>
      <c r="M566" t="s">
        <v>524</v>
      </c>
      <c r="N566" t="s">
        <v>815</v>
      </c>
      <c r="O566">
        <v>35220</v>
      </c>
      <c r="P566" t="s">
        <v>21</v>
      </c>
      <c r="Q566" t="str">
        <f>TEXT(Data_Set_3[[#This Row],[date]],"mmmm")</f>
        <v>April</v>
      </c>
      <c r="R566">
        <f>MONTH(Data_Set_3[[#This Row],[date]])</f>
        <v>4</v>
      </c>
      <c r="S566">
        <f>YEAR(Data_Set_3[[#This Row],[date]])</f>
        <v>2020</v>
      </c>
    </row>
    <row r="567" spans="1:19" x14ac:dyDescent="0.3">
      <c r="A567">
        <v>1017</v>
      </c>
      <c r="B567" t="s">
        <v>803</v>
      </c>
      <c r="C567" t="s">
        <v>3048</v>
      </c>
      <c r="D567" t="s">
        <v>3049</v>
      </c>
      <c r="E567" t="s">
        <v>3050</v>
      </c>
      <c r="F567" t="s">
        <v>1306</v>
      </c>
      <c r="G567" t="s">
        <v>1845</v>
      </c>
      <c r="H567" t="s">
        <v>32</v>
      </c>
      <c r="I567" t="s">
        <v>17</v>
      </c>
      <c r="J567">
        <v>562</v>
      </c>
      <c r="K567" t="s">
        <v>26</v>
      </c>
      <c r="L567" s="2">
        <v>43933</v>
      </c>
      <c r="M567" t="s">
        <v>246</v>
      </c>
      <c r="N567" t="s">
        <v>339</v>
      </c>
      <c r="O567">
        <v>60663</v>
      </c>
      <c r="P567" t="s">
        <v>21</v>
      </c>
      <c r="Q567" t="str">
        <f>TEXT(Data_Set_3[[#This Row],[date]],"mmmm")</f>
        <v>April</v>
      </c>
      <c r="R567">
        <f>MONTH(Data_Set_3[[#This Row],[date]])</f>
        <v>4</v>
      </c>
      <c r="S567">
        <f>YEAR(Data_Set_3[[#This Row],[date]])</f>
        <v>2020</v>
      </c>
    </row>
    <row r="568" spans="1:19" x14ac:dyDescent="0.3">
      <c r="A568">
        <v>1599</v>
      </c>
      <c r="B568" t="s">
        <v>652</v>
      </c>
      <c r="C568" t="s">
        <v>387</v>
      </c>
      <c r="D568" t="s">
        <v>3463</v>
      </c>
      <c r="E568" t="s">
        <v>3464</v>
      </c>
      <c r="F568" t="s">
        <v>1491</v>
      </c>
      <c r="G568" t="s">
        <v>1609</v>
      </c>
      <c r="H568" t="s">
        <v>32</v>
      </c>
      <c r="I568" t="s">
        <v>179</v>
      </c>
      <c r="J568">
        <v>703</v>
      </c>
      <c r="K568" t="s">
        <v>109</v>
      </c>
      <c r="L568" s="2">
        <v>43933</v>
      </c>
      <c r="M568" t="s">
        <v>68</v>
      </c>
      <c r="N568" t="s">
        <v>234</v>
      </c>
      <c r="O568">
        <v>77075</v>
      </c>
      <c r="P568" t="s">
        <v>21</v>
      </c>
      <c r="Q568" t="str">
        <f>TEXT(Data_Set_3[[#This Row],[date]],"mmmm")</f>
        <v>April</v>
      </c>
      <c r="R568">
        <f>MONTH(Data_Set_3[[#This Row],[date]])</f>
        <v>4</v>
      </c>
      <c r="S568">
        <f>YEAR(Data_Set_3[[#This Row],[date]])</f>
        <v>2020</v>
      </c>
    </row>
    <row r="569" spans="1:19" x14ac:dyDescent="0.3">
      <c r="A569">
        <v>1365</v>
      </c>
      <c r="B569" t="s">
        <v>1183</v>
      </c>
      <c r="C569" t="s">
        <v>813</v>
      </c>
      <c r="D569" t="s">
        <v>2957</v>
      </c>
      <c r="E569" t="s">
        <v>2958</v>
      </c>
      <c r="F569" t="s">
        <v>1644</v>
      </c>
      <c r="G569" t="s">
        <v>2061</v>
      </c>
      <c r="H569" t="s">
        <v>16</v>
      </c>
      <c r="I569" t="s">
        <v>51</v>
      </c>
      <c r="J569">
        <v>442</v>
      </c>
      <c r="K569" t="s">
        <v>62</v>
      </c>
      <c r="L569" s="2">
        <v>43934</v>
      </c>
      <c r="M569" t="s">
        <v>115</v>
      </c>
      <c r="N569" t="s">
        <v>143</v>
      </c>
      <c r="O569">
        <v>33261</v>
      </c>
      <c r="P569" t="s">
        <v>21</v>
      </c>
      <c r="Q569" t="str">
        <f>TEXT(Data_Set_3[[#This Row],[date]],"mmmm")</f>
        <v>April</v>
      </c>
      <c r="R569">
        <f>MONTH(Data_Set_3[[#This Row],[date]])</f>
        <v>4</v>
      </c>
      <c r="S569">
        <f>YEAR(Data_Set_3[[#This Row],[date]])</f>
        <v>2020</v>
      </c>
    </row>
    <row r="570" spans="1:19" x14ac:dyDescent="0.3">
      <c r="A570">
        <v>1459</v>
      </c>
      <c r="B570" t="s">
        <v>2915</v>
      </c>
      <c r="C570" t="s">
        <v>954</v>
      </c>
      <c r="D570" t="s">
        <v>3465</v>
      </c>
      <c r="E570" t="s">
        <v>3466</v>
      </c>
      <c r="F570" t="s">
        <v>2240</v>
      </c>
      <c r="G570" t="s">
        <v>1794</v>
      </c>
      <c r="H570" t="s">
        <v>32</v>
      </c>
      <c r="I570" t="s">
        <v>2813</v>
      </c>
      <c r="J570">
        <v>27</v>
      </c>
      <c r="K570" t="s">
        <v>57</v>
      </c>
      <c r="L570" s="2">
        <v>43935</v>
      </c>
      <c r="M570" t="s">
        <v>184</v>
      </c>
      <c r="N570" t="s">
        <v>3467</v>
      </c>
      <c r="O570">
        <v>11854</v>
      </c>
      <c r="P570" t="s">
        <v>21</v>
      </c>
      <c r="Q570" t="str">
        <f>TEXT(Data_Set_3[[#This Row],[date]],"mmmm")</f>
        <v>April</v>
      </c>
      <c r="R570">
        <f>MONTH(Data_Set_3[[#This Row],[date]])</f>
        <v>4</v>
      </c>
      <c r="S570">
        <f>YEAR(Data_Set_3[[#This Row],[date]])</f>
        <v>2020</v>
      </c>
    </row>
    <row r="571" spans="1:19" x14ac:dyDescent="0.3">
      <c r="A571">
        <v>1026</v>
      </c>
      <c r="B571" t="s">
        <v>844</v>
      </c>
      <c r="C571" t="s">
        <v>671</v>
      </c>
      <c r="D571" t="s">
        <v>2814</v>
      </c>
      <c r="E571" t="s">
        <v>2815</v>
      </c>
      <c r="F571" t="s">
        <v>2816</v>
      </c>
      <c r="G571" t="s">
        <v>2554</v>
      </c>
      <c r="H571" t="s">
        <v>32</v>
      </c>
      <c r="I571" t="s">
        <v>17</v>
      </c>
      <c r="J571">
        <v>95</v>
      </c>
      <c r="K571" t="s">
        <v>26</v>
      </c>
      <c r="L571" s="2">
        <v>43936</v>
      </c>
      <c r="M571" t="s">
        <v>184</v>
      </c>
      <c r="N571" t="s">
        <v>185</v>
      </c>
      <c r="O571">
        <v>10469</v>
      </c>
      <c r="P571" t="s">
        <v>21</v>
      </c>
      <c r="Q571" t="str">
        <f>TEXT(Data_Set_3[[#This Row],[date]],"mmmm")</f>
        <v>April</v>
      </c>
      <c r="R571">
        <f>MONTH(Data_Set_3[[#This Row],[date]])</f>
        <v>4</v>
      </c>
      <c r="S571">
        <f>YEAR(Data_Set_3[[#This Row],[date]])</f>
        <v>2020</v>
      </c>
    </row>
    <row r="572" spans="1:19" x14ac:dyDescent="0.3">
      <c r="A572">
        <v>1084</v>
      </c>
      <c r="B572" t="s">
        <v>809</v>
      </c>
      <c r="C572" t="s">
        <v>1006</v>
      </c>
      <c r="D572" t="s">
        <v>2844</v>
      </c>
      <c r="E572" t="s">
        <v>2845</v>
      </c>
      <c r="F572" t="s">
        <v>2124</v>
      </c>
      <c r="G572" t="s">
        <v>1952</v>
      </c>
      <c r="H572" t="s">
        <v>16</v>
      </c>
      <c r="I572" t="s">
        <v>51</v>
      </c>
      <c r="J572">
        <v>308</v>
      </c>
      <c r="K572" t="s">
        <v>26</v>
      </c>
      <c r="L572" s="2">
        <v>43936</v>
      </c>
      <c r="M572" t="s">
        <v>19</v>
      </c>
      <c r="N572" t="s">
        <v>2846</v>
      </c>
      <c r="O572">
        <v>2453</v>
      </c>
      <c r="P572" t="s">
        <v>21</v>
      </c>
      <c r="Q572" t="str">
        <f>TEXT(Data_Set_3[[#This Row],[date]],"mmmm")</f>
        <v>April</v>
      </c>
      <c r="R572">
        <f>MONTH(Data_Set_3[[#This Row],[date]])</f>
        <v>4</v>
      </c>
      <c r="S572">
        <f>YEAR(Data_Set_3[[#This Row],[date]])</f>
        <v>2020</v>
      </c>
    </row>
    <row r="573" spans="1:19" x14ac:dyDescent="0.3">
      <c r="A573">
        <v>1701</v>
      </c>
      <c r="B573" t="s">
        <v>289</v>
      </c>
      <c r="C573" t="s">
        <v>800</v>
      </c>
      <c r="D573" t="s">
        <v>3468</v>
      </c>
      <c r="E573" t="s">
        <v>3469</v>
      </c>
      <c r="F573" t="s">
        <v>3209</v>
      </c>
      <c r="G573" t="s">
        <v>2606</v>
      </c>
      <c r="H573" t="s">
        <v>16</v>
      </c>
      <c r="I573" t="s">
        <v>17</v>
      </c>
      <c r="J573">
        <v>126</v>
      </c>
      <c r="K573" t="s">
        <v>18</v>
      </c>
      <c r="L573" s="2">
        <v>43936</v>
      </c>
      <c r="M573" t="s">
        <v>35</v>
      </c>
      <c r="N573" t="s">
        <v>3470</v>
      </c>
      <c r="O573">
        <v>90610</v>
      </c>
      <c r="P573" t="s">
        <v>21</v>
      </c>
      <c r="Q573" t="str">
        <f>TEXT(Data_Set_3[[#This Row],[date]],"mmmm")</f>
        <v>April</v>
      </c>
      <c r="R573">
        <f>MONTH(Data_Set_3[[#This Row],[date]])</f>
        <v>4</v>
      </c>
      <c r="S573">
        <f>YEAR(Data_Set_3[[#This Row],[date]])</f>
        <v>2020</v>
      </c>
    </row>
    <row r="574" spans="1:19" x14ac:dyDescent="0.3">
      <c r="A574">
        <v>1590</v>
      </c>
      <c r="B574" t="s">
        <v>377</v>
      </c>
      <c r="C574" t="s">
        <v>1107</v>
      </c>
      <c r="D574" t="s">
        <v>3471</v>
      </c>
      <c r="E574" t="s">
        <v>3472</v>
      </c>
      <c r="F574" t="s">
        <v>1299</v>
      </c>
      <c r="G574" t="s">
        <v>1587</v>
      </c>
      <c r="H574" t="s">
        <v>32</v>
      </c>
      <c r="I574" t="s">
        <v>179</v>
      </c>
      <c r="J574">
        <v>560</v>
      </c>
      <c r="K574" t="s">
        <v>259</v>
      </c>
      <c r="L574" s="2">
        <v>43937</v>
      </c>
      <c r="M574" t="s">
        <v>345</v>
      </c>
      <c r="N574" t="s">
        <v>220</v>
      </c>
      <c r="O574">
        <v>20215</v>
      </c>
      <c r="P574" t="s">
        <v>21</v>
      </c>
      <c r="Q574" t="str">
        <f>TEXT(Data_Set_3[[#This Row],[date]],"mmmm")</f>
        <v>April</v>
      </c>
      <c r="R574">
        <f>MONTH(Data_Set_3[[#This Row],[date]])</f>
        <v>4</v>
      </c>
      <c r="S574">
        <f>YEAR(Data_Set_3[[#This Row],[date]])</f>
        <v>2020</v>
      </c>
    </row>
    <row r="575" spans="1:19" x14ac:dyDescent="0.3">
      <c r="A575">
        <v>1170</v>
      </c>
      <c r="B575" t="s">
        <v>22</v>
      </c>
      <c r="C575" t="s">
        <v>883</v>
      </c>
      <c r="D575" t="s">
        <v>2837</v>
      </c>
      <c r="E575" t="s">
        <v>2838</v>
      </c>
      <c r="F575" t="s">
        <v>2430</v>
      </c>
      <c r="G575" t="s">
        <v>1333</v>
      </c>
      <c r="H575" t="s">
        <v>16</v>
      </c>
      <c r="I575" t="s">
        <v>33</v>
      </c>
      <c r="J575">
        <v>676</v>
      </c>
      <c r="K575" t="s">
        <v>164</v>
      </c>
      <c r="L575" s="2">
        <v>43938</v>
      </c>
      <c r="M575" t="s">
        <v>68</v>
      </c>
      <c r="N575" t="s">
        <v>169</v>
      </c>
      <c r="O575">
        <v>88574</v>
      </c>
      <c r="P575" t="s">
        <v>21</v>
      </c>
      <c r="Q575" t="str">
        <f>TEXT(Data_Set_3[[#This Row],[date]],"mmmm")</f>
        <v>April</v>
      </c>
      <c r="R575">
        <f>MONTH(Data_Set_3[[#This Row],[date]])</f>
        <v>4</v>
      </c>
      <c r="S575">
        <f>YEAR(Data_Set_3[[#This Row],[date]])</f>
        <v>2020</v>
      </c>
    </row>
    <row r="576" spans="1:19" x14ac:dyDescent="0.3">
      <c r="A576">
        <v>1170</v>
      </c>
      <c r="B576" t="s">
        <v>22</v>
      </c>
      <c r="C576" t="s">
        <v>883</v>
      </c>
      <c r="D576" t="s">
        <v>2837</v>
      </c>
      <c r="E576" t="s">
        <v>2838</v>
      </c>
      <c r="F576" t="s">
        <v>2430</v>
      </c>
      <c r="G576" t="s">
        <v>1333</v>
      </c>
      <c r="H576" t="s">
        <v>16</v>
      </c>
      <c r="I576" t="s">
        <v>33</v>
      </c>
      <c r="J576">
        <v>240</v>
      </c>
      <c r="K576" t="s">
        <v>164</v>
      </c>
      <c r="L576" s="2">
        <v>43939</v>
      </c>
      <c r="M576" t="s">
        <v>68</v>
      </c>
      <c r="N576" t="s">
        <v>169</v>
      </c>
      <c r="O576">
        <v>88574</v>
      </c>
      <c r="P576" t="s">
        <v>21</v>
      </c>
      <c r="Q576" t="str">
        <f>TEXT(Data_Set_3[[#This Row],[date]],"mmmm")</f>
        <v>April</v>
      </c>
      <c r="R576">
        <f>MONTH(Data_Set_3[[#This Row],[date]])</f>
        <v>4</v>
      </c>
      <c r="S576">
        <f>YEAR(Data_Set_3[[#This Row],[date]])</f>
        <v>2020</v>
      </c>
    </row>
    <row r="577" spans="1:19" x14ac:dyDescent="0.3">
      <c r="A577">
        <v>1669</v>
      </c>
      <c r="B577" t="s">
        <v>117</v>
      </c>
      <c r="C577" t="s">
        <v>3041</v>
      </c>
      <c r="D577" t="s">
        <v>3473</v>
      </c>
      <c r="E577" t="s">
        <v>3474</v>
      </c>
      <c r="F577" t="s">
        <v>2192</v>
      </c>
      <c r="G577" t="s">
        <v>2234</v>
      </c>
      <c r="H577" t="s">
        <v>32</v>
      </c>
      <c r="I577" t="s">
        <v>17</v>
      </c>
      <c r="J577">
        <v>155</v>
      </c>
      <c r="K577" t="s">
        <v>18</v>
      </c>
      <c r="L577" s="2">
        <v>43939</v>
      </c>
      <c r="M577" t="s">
        <v>35</v>
      </c>
      <c r="N577" t="s">
        <v>558</v>
      </c>
      <c r="O577">
        <v>93034</v>
      </c>
      <c r="P577" t="s">
        <v>21</v>
      </c>
      <c r="Q577" t="str">
        <f>TEXT(Data_Set_3[[#This Row],[date]],"mmmm")</f>
        <v>April</v>
      </c>
      <c r="R577">
        <f>MONTH(Data_Set_3[[#This Row],[date]])</f>
        <v>4</v>
      </c>
      <c r="S577">
        <f>YEAR(Data_Set_3[[#This Row],[date]])</f>
        <v>2020</v>
      </c>
    </row>
    <row r="578" spans="1:19" x14ac:dyDescent="0.3">
      <c r="A578">
        <v>1021</v>
      </c>
      <c r="B578" t="s">
        <v>495</v>
      </c>
      <c r="C578" t="s">
        <v>567</v>
      </c>
      <c r="D578" t="s">
        <v>2795</v>
      </c>
      <c r="E578" t="s">
        <v>2796</v>
      </c>
      <c r="F578" t="s">
        <v>1330</v>
      </c>
      <c r="G578" t="s">
        <v>1863</v>
      </c>
      <c r="H578" t="s">
        <v>32</v>
      </c>
      <c r="I578" t="s">
        <v>17</v>
      </c>
      <c r="J578">
        <v>157</v>
      </c>
      <c r="K578" t="s">
        <v>164</v>
      </c>
      <c r="L578" s="2">
        <v>43941</v>
      </c>
      <c r="M578" t="s">
        <v>78</v>
      </c>
      <c r="N578" t="s">
        <v>2797</v>
      </c>
      <c r="O578">
        <v>48555</v>
      </c>
      <c r="P578" t="s">
        <v>21</v>
      </c>
      <c r="Q578" t="str">
        <f>TEXT(Data_Set_3[[#This Row],[date]],"mmmm")</f>
        <v>April</v>
      </c>
      <c r="R578">
        <f>MONTH(Data_Set_3[[#This Row],[date]])</f>
        <v>4</v>
      </c>
      <c r="S578">
        <f>YEAR(Data_Set_3[[#This Row],[date]])</f>
        <v>2020</v>
      </c>
    </row>
    <row r="579" spans="1:19" x14ac:dyDescent="0.3">
      <c r="A579">
        <v>1399</v>
      </c>
      <c r="B579" t="s">
        <v>54</v>
      </c>
      <c r="C579" t="s">
        <v>302</v>
      </c>
      <c r="D579" t="s">
        <v>3313</v>
      </c>
      <c r="E579" t="s">
        <v>3314</v>
      </c>
      <c r="F579" t="s">
        <v>1417</v>
      </c>
      <c r="G579" t="s">
        <v>2234</v>
      </c>
      <c r="H579" t="s">
        <v>32</v>
      </c>
      <c r="I579" t="s">
        <v>2941</v>
      </c>
      <c r="J579">
        <v>732</v>
      </c>
      <c r="K579" t="s">
        <v>26</v>
      </c>
      <c r="L579" s="2">
        <v>43942</v>
      </c>
      <c r="M579" t="s">
        <v>35</v>
      </c>
      <c r="N579" t="s">
        <v>637</v>
      </c>
      <c r="O579">
        <v>95219</v>
      </c>
      <c r="P579" t="s">
        <v>21</v>
      </c>
      <c r="Q579" t="str">
        <f>TEXT(Data_Set_3[[#This Row],[date]],"mmmm")</f>
        <v>April</v>
      </c>
      <c r="R579">
        <f>MONTH(Data_Set_3[[#This Row],[date]])</f>
        <v>4</v>
      </c>
      <c r="S579">
        <f>YEAR(Data_Set_3[[#This Row],[date]])</f>
        <v>2020</v>
      </c>
    </row>
    <row r="580" spans="1:19" x14ac:dyDescent="0.3">
      <c r="A580">
        <v>1020</v>
      </c>
      <c r="B580" t="s">
        <v>122</v>
      </c>
      <c r="C580" t="s">
        <v>954</v>
      </c>
      <c r="D580" t="s">
        <v>2888</v>
      </c>
      <c r="E580" t="s">
        <v>2889</v>
      </c>
      <c r="F580" t="s">
        <v>1998</v>
      </c>
      <c r="G580" t="s">
        <v>1926</v>
      </c>
      <c r="H580" t="s">
        <v>32</v>
      </c>
      <c r="I580" t="s">
        <v>17</v>
      </c>
      <c r="J580">
        <v>412</v>
      </c>
      <c r="K580" t="s">
        <v>26</v>
      </c>
      <c r="L580" s="2">
        <v>43943</v>
      </c>
      <c r="M580" t="s">
        <v>35</v>
      </c>
      <c r="N580" t="s">
        <v>620</v>
      </c>
      <c r="O580">
        <v>94105</v>
      </c>
      <c r="P580" t="s">
        <v>21</v>
      </c>
      <c r="Q580" t="str">
        <f>TEXT(Data_Set_3[[#This Row],[date]],"mmmm")</f>
        <v>April</v>
      </c>
      <c r="R580">
        <f>MONTH(Data_Set_3[[#This Row],[date]])</f>
        <v>4</v>
      </c>
      <c r="S580">
        <f>YEAR(Data_Set_3[[#This Row],[date]])</f>
        <v>2020</v>
      </c>
    </row>
    <row r="581" spans="1:19" x14ac:dyDescent="0.3">
      <c r="A581">
        <v>1468</v>
      </c>
      <c r="B581" t="s">
        <v>2915</v>
      </c>
      <c r="C581" t="s">
        <v>722</v>
      </c>
      <c r="D581" t="s">
        <v>2916</v>
      </c>
      <c r="E581" t="s">
        <v>2917</v>
      </c>
      <c r="F581" t="s">
        <v>2918</v>
      </c>
      <c r="G581" t="s">
        <v>1559</v>
      </c>
      <c r="H581" t="s">
        <v>32</v>
      </c>
      <c r="I581" t="s">
        <v>33</v>
      </c>
      <c r="J581">
        <v>353</v>
      </c>
      <c r="K581" t="s">
        <v>259</v>
      </c>
      <c r="L581" s="2">
        <v>43944</v>
      </c>
      <c r="M581" t="s">
        <v>120</v>
      </c>
      <c r="N581" t="s">
        <v>718</v>
      </c>
      <c r="O581">
        <v>70116</v>
      </c>
      <c r="P581" t="s">
        <v>21</v>
      </c>
      <c r="Q581" t="str">
        <f>TEXT(Data_Set_3[[#This Row],[date]],"mmmm")</f>
        <v>April</v>
      </c>
      <c r="R581">
        <f>MONTH(Data_Set_3[[#This Row],[date]])</f>
        <v>4</v>
      </c>
      <c r="S581">
        <f>YEAR(Data_Set_3[[#This Row],[date]])</f>
        <v>2020</v>
      </c>
    </row>
    <row r="582" spans="1:19" x14ac:dyDescent="0.3">
      <c r="A582">
        <v>1983</v>
      </c>
      <c r="B582" t="s">
        <v>117</v>
      </c>
      <c r="C582" t="s">
        <v>930</v>
      </c>
      <c r="D582" t="s">
        <v>3022</v>
      </c>
      <c r="E582" t="s">
        <v>3023</v>
      </c>
      <c r="F582" t="s">
        <v>1420</v>
      </c>
      <c r="G582" t="s">
        <v>1863</v>
      </c>
      <c r="H582" t="s">
        <v>32</v>
      </c>
      <c r="I582" t="s">
        <v>33</v>
      </c>
      <c r="J582">
        <v>321</v>
      </c>
      <c r="K582" t="s">
        <v>26</v>
      </c>
      <c r="L582" s="2">
        <v>43945</v>
      </c>
      <c r="M582" t="s">
        <v>58</v>
      </c>
      <c r="N582" t="s">
        <v>419</v>
      </c>
      <c r="O582">
        <v>66112</v>
      </c>
      <c r="P582" t="s">
        <v>21</v>
      </c>
      <c r="Q582" t="str">
        <f>TEXT(Data_Set_3[[#This Row],[date]],"mmmm")</f>
        <v>April</v>
      </c>
      <c r="R582">
        <f>MONTH(Data_Set_3[[#This Row],[date]])</f>
        <v>4</v>
      </c>
      <c r="S582">
        <f>YEAR(Data_Set_3[[#This Row],[date]])</f>
        <v>2020</v>
      </c>
    </row>
    <row r="583" spans="1:19" x14ac:dyDescent="0.3">
      <c r="A583">
        <v>1468</v>
      </c>
      <c r="B583" t="s">
        <v>2915</v>
      </c>
      <c r="C583" t="s">
        <v>722</v>
      </c>
      <c r="D583" t="s">
        <v>2916</v>
      </c>
      <c r="E583" t="s">
        <v>2917</v>
      </c>
      <c r="F583" t="s">
        <v>2918</v>
      </c>
      <c r="G583" t="s">
        <v>1559</v>
      </c>
      <c r="H583" t="s">
        <v>32</v>
      </c>
      <c r="I583" t="s">
        <v>33</v>
      </c>
      <c r="J583">
        <v>622</v>
      </c>
      <c r="K583" t="s">
        <v>259</v>
      </c>
      <c r="L583" s="2">
        <v>43946</v>
      </c>
      <c r="M583" t="s">
        <v>120</v>
      </c>
      <c r="N583" t="s">
        <v>718</v>
      </c>
      <c r="O583">
        <v>70116</v>
      </c>
      <c r="P583" t="s">
        <v>21</v>
      </c>
      <c r="Q583" t="str">
        <f>TEXT(Data_Set_3[[#This Row],[date]],"mmmm")</f>
        <v>April</v>
      </c>
      <c r="R583">
        <f>MONTH(Data_Set_3[[#This Row],[date]])</f>
        <v>4</v>
      </c>
      <c r="S583">
        <f>YEAR(Data_Set_3[[#This Row],[date]])</f>
        <v>2020</v>
      </c>
    </row>
    <row r="584" spans="1:19" x14ac:dyDescent="0.3">
      <c r="A584">
        <v>1277</v>
      </c>
      <c r="B584" t="s">
        <v>43</v>
      </c>
      <c r="C584" t="s">
        <v>783</v>
      </c>
      <c r="D584" t="s">
        <v>2861</v>
      </c>
      <c r="E584" t="s">
        <v>2862</v>
      </c>
      <c r="F584" t="s">
        <v>1850</v>
      </c>
      <c r="G584" t="s">
        <v>2219</v>
      </c>
      <c r="H584" t="s">
        <v>16</v>
      </c>
      <c r="I584" t="s">
        <v>454</v>
      </c>
      <c r="J584">
        <v>801</v>
      </c>
      <c r="K584" t="s">
        <v>416</v>
      </c>
      <c r="L584" s="2">
        <v>43950</v>
      </c>
      <c r="M584" t="s">
        <v>152</v>
      </c>
      <c r="N584" t="s">
        <v>251</v>
      </c>
      <c r="O584">
        <v>44310</v>
      </c>
      <c r="P584" t="s">
        <v>21</v>
      </c>
      <c r="Q584" t="str">
        <f>TEXT(Data_Set_3[[#This Row],[date]],"mmmm")</f>
        <v>April</v>
      </c>
      <c r="R584">
        <f>MONTH(Data_Set_3[[#This Row],[date]])</f>
        <v>4</v>
      </c>
      <c r="S584">
        <f>YEAR(Data_Set_3[[#This Row],[date]])</f>
        <v>2020</v>
      </c>
    </row>
    <row r="585" spans="1:19" x14ac:dyDescent="0.3">
      <c r="A585">
        <v>1812</v>
      </c>
      <c r="B585" t="s">
        <v>1130</v>
      </c>
      <c r="C585" t="s">
        <v>639</v>
      </c>
      <c r="D585" t="s">
        <v>2863</v>
      </c>
      <c r="E585" t="s">
        <v>2864</v>
      </c>
      <c r="F585" t="s">
        <v>2641</v>
      </c>
      <c r="G585" t="s">
        <v>1653</v>
      </c>
      <c r="H585" t="s">
        <v>16</v>
      </c>
      <c r="I585" t="s">
        <v>543</v>
      </c>
      <c r="J585">
        <v>954</v>
      </c>
      <c r="K585" t="s">
        <v>34</v>
      </c>
      <c r="L585" s="2">
        <v>43951</v>
      </c>
      <c r="M585" t="s">
        <v>524</v>
      </c>
      <c r="N585" t="s">
        <v>815</v>
      </c>
      <c r="O585">
        <v>35220</v>
      </c>
      <c r="P585" t="s">
        <v>21</v>
      </c>
      <c r="Q585" t="str">
        <f>TEXT(Data_Set_3[[#This Row],[date]],"mmmm")</f>
        <v>April</v>
      </c>
      <c r="R585">
        <f>MONTH(Data_Set_3[[#This Row],[date]])</f>
        <v>4</v>
      </c>
      <c r="S585">
        <f>YEAR(Data_Set_3[[#This Row],[date]])</f>
        <v>2020</v>
      </c>
    </row>
    <row r="586" spans="1:19" x14ac:dyDescent="0.3">
      <c r="A586">
        <v>1458</v>
      </c>
      <c r="B586" t="s">
        <v>565</v>
      </c>
      <c r="C586" t="s">
        <v>113</v>
      </c>
      <c r="D586" t="s">
        <v>3475</v>
      </c>
      <c r="E586" t="s">
        <v>3476</v>
      </c>
      <c r="F586" t="s">
        <v>1885</v>
      </c>
      <c r="G586" t="s">
        <v>2396</v>
      </c>
      <c r="H586" t="s">
        <v>16</v>
      </c>
      <c r="I586" t="s">
        <v>51</v>
      </c>
      <c r="J586">
        <v>554</v>
      </c>
      <c r="K586" t="s">
        <v>62</v>
      </c>
      <c r="L586" s="2">
        <v>43953</v>
      </c>
      <c r="M586" t="s">
        <v>35</v>
      </c>
      <c r="N586" t="s">
        <v>438</v>
      </c>
      <c r="O586">
        <v>90076</v>
      </c>
      <c r="P586" t="s">
        <v>21</v>
      </c>
      <c r="Q586" t="str">
        <f>TEXT(Data_Set_3[[#This Row],[date]],"mmmm")</f>
        <v>May</v>
      </c>
      <c r="R586">
        <f>MONTH(Data_Set_3[[#This Row],[date]])</f>
        <v>5</v>
      </c>
      <c r="S586">
        <f>YEAR(Data_Set_3[[#This Row],[date]])</f>
        <v>2020</v>
      </c>
    </row>
    <row r="587" spans="1:19" x14ac:dyDescent="0.3">
      <c r="A587">
        <v>1017</v>
      </c>
      <c r="B587" t="s">
        <v>803</v>
      </c>
      <c r="C587" t="s">
        <v>3048</v>
      </c>
      <c r="D587" t="s">
        <v>3049</v>
      </c>
      <c r="E587" t="s">
        <v>3050</v>
      </c>
      <c r="F587" t="s">
        <v>1306</v>
      </c>
      <c r="G587" t="s">
        <v>1845</v>
      </c>
      <c r="H587" t="s">
        <v>32</v>
      </c>
      <c r="I587" t="s">
        <v>17</v>
      </c>
      <c r="J587">
        <v>889</v>
      </c>
      <c r="K587" t="s">
        <v>26</v>
      </c>
      <c r="L587" s="2">
        <v>43956</v>
      </c>
      <c r="M587" t="s">
        <v>246</v>
      </c>
      <c r="N587" t="s">
        <v>339</v>
      </c>
      <c r="O587">
        <v>60663</v>
      </c>
      <c r="P587" t="s">
        <v>21</v>
      </c>
      <c r="Q587" t="str">
        <f>TEXT(Data_Set_3[[#This Row],[date]],"mmmm")</f>
        <v>May</v>
      </c>
      <c r="R587">
        <f>MONTH(Data_Set_3[[#This Row],[date]])</f>
        <v>5</v>
      </c>
      <c r="S587">
        <f>YEAR(Data_Set_3[[#This Row],[date]])</f>
        <v>2020</v>
      </c>
    </row>
    <row r="588" spans="1:19" x14ac:dyDescent="0.3">
      <c r="A588">
        <v>1736</v>
      </c>
      <c r="B588" t="s">
        <v>222</v>
      </c>
      <c r="C588" t="s">
        <v>694</v>
      </c>
      <c r="D588" t="s">
        <v>3477</v>
      </c>
      <c r="E588" t="s">
        <v>3478</v>
      </c>
      <c r="F588" t="s">
        <v>1561</v>
      </c>
      <c r="G588" t="s">
        <v>1429</v>
      </c>
      <c r="H588" t="s">
        <v>32</v>
      </c>
      <c r="I588" t="s">
        <v>179</v>
      </c>
      <c r="J588">
        <v>745</v>
      </c>
      <c r="K588" t="s">
        <v>26</v>
      </c>
      <c r="L588" s="2">
        <v>43958</v>
      </c>
      <c r="M588" t="s">
        <v>115</v>
      </c>
      <c r="N588" t="s">
        <v>1160</v>
      </c>
      <c r="O588">
        <v>34620</v>
      </c>
      <c r="P588" t="s">
        <v>21</v>
      </c>
      <c r="Q588" t="str">
        <f>TEXT(Data_Set_3[[#This Row],[date]],"mmmm")</f>
        <v>May</v>
      </c>
      <c r="R588">
        <f>MONTH(Data_Set_3[[#This Row],[date]])</f>
        <v>5</v>
      </c>
      <c r="S588">
        <f>YEAR(Data_Set_3[[#This Row],[date]])</f>
        <v>2020</v>
      </c>
    </row>
    <row r="589" spans="1:19" x14ac:dyDescent="0.3">
      <c r="A589">
        <v>1557</v>
      </c>
      <c r="B589" t="s">
        <v>1106</v>
      </c>
      <c r="C589" t="s">
        <v>131</v>
      </c>
      <c r="D589" t="s">
        <v>3479</v>
      </c>
      <c r="E589" t="s">
        <v>3480</v>
      </c>
      <c r="F589" t="s">
        <v>1796</v>
      </c>
      <c r="G589" t="s">
        <v>1468</v>
      </c>
      <c r="H589" t="s">
        <v>16</v>
      </c>
      <c r="I589" t="s">
        <v>2813</v>
      </c>
      <c r="J589">
        <v>202</v>
      </c>
      <c r="K589" t="s">
        <v>57</v>
      </c>
      <c r="L589" s="2">
        <v>43959</v>
      </c>
      <c r="M589" t="s">
        <v>184</v>
      </c>
      <c r="N589" t="s">
        <v>197</v>
      </c>
      <c r="O589">
        <v>10260</v>
      </c>
      <c r="P589" t="s">
        <v>21</v>
      </c>
      <c r="Q589" t="str">
        <f>TEXT(Data_Set_3[[#This Row],[date]],"mmmm")</f>
        <v>May</v>
      </c>
      <c r="R589">
        <f>MONTH(Data_Set_3[[#This Row],[date]])</f>
        <v>5</v>
      </c>
      <c r="S589">
        <f>YEAR(Data_Set_3[[#This Row],[date]])</f>
        <v>2020</v>
      </c>
    </row>
    <row r="590" spans="1:19" x14ac:dyDescent="0.3">
      <c r="A590">
        <v>1616</v>
      </c>
      <c r="B590" t="s">
        <v>43</v>
      </c>
      <c r="C590" t="s">
        <v>310</v>
      </c>
      <c r="D590" t="s">
        <v>3481</v>
      </c>
      <c r="E590" t="s">
        <v>3482</v>
      </c>
      <c r="F590" t="s">
        <v>3483</v>
      </c>
      <c r="G590" t="s">
        <v>1486</v>
      </c>
      <c r="H590" t="s">
        <v>16</v>
      </c>
      <c r="I590" t="s">
        <v>274</v>
      </c>
      <c r="J590">
        <v>368</v>
      </c>
      <c r="K590" t="s">
        <v>26</v>
      </c>
      <c r="L590" s="2">
        <v>43960</v>
      </c>
      <c r="M590" t="s">
        <v>27</v>
      </c>
      <c r="N590" t="s">
        <v>215</v>
      </c>
      <c r="O590">
        <v>80935</v>
      </c>
      <c r="P590" t="s">
        <v>21</v>
      </c>
      <c r="Q590" t="str">
        <f>TEXT(Data_Set_3[[#This Row],[date]],"mmmm")</f>
        <v>May</v>
      </c>
      <c r="R590">
        <f>MONTH(Data_Set_3[[#This Row],[date]])</f>
        <v>5</v>
      </c>
      <c r="S590">
        <f>YEAR(Data_Set_3[[#This Row],[date]])</f>
        <v>2020</v>
      </c>
    </row>
    <row r="591" spans="1:19" x14ac:dyDescent="0.3">
      <c r="A591">
        <v>1986</v>
      </c>
      <c r="B591" t="s">
        <v>409</v>
      </c>
      <c r="C591" t="s">
        <v>511</v>
      </c>
      <c r="D591" t="s">
        <v>3431</v>
      </c>
      <c r="E591" t="s">
        <v>3432</v>
      </c>
      <c r="F591" t="s">
        <v>1279</v>
      </c>
      <c r="G591" t="s">
        <v>2396</v>
      </c>
      <c r="H591" t="s">
        <v>16</v>
      </c>
      <c r="I591" t="s">
        <v>33</v>
      </c>
      <c r="J591">
        <v>777</v>
      </c>
      <c r="K591" t="s">
        <v>225</v>
      </c>
      <c r="L591" s="2">
        <v>43962</v>
      </c>
      <c r="M591" t="s">
        <v>68</v>
      </c>
      <c r="N591" t="s">
        <v>234</v>
      </c>
      <c r="O591">
        <v>77010</v>
      </c>
      <c r="P591" t="s">
        <v>21</v>
      </c>
      <c r="Q591" t="str">
        <f>TEXT(Data_Set_3[[#This Row],[date]],"mmmm")</f>
        <v>May</v>
      </c>
      <c r="R591">
        <f>MONTH(Data_Set_3[[#This Row],[date]])</f>
        <v>5</v>
      </c>
      <c r="S591">
        <f>YEAR(Data_Set_3[[#This Row],[date]])</f>
        <v>2020</v>
      </c>
    </row>
    <row r="592" spans="1:19" x14ac:dyDescent="0.3">
      <c r="A592">
        <v>1451</v>
      </c>
      <c r="B592" t="s">
        <v>1218</v>
      </c>
      <c r="C592" t="s">
        <v>3373</v>
      </c>
      <c r="D592" t="s">
        <v>3484</v>
      </c>
      <c r="E592" t="s">
        <v>3485</v>
      </c>
      <c r="F592" t="s">
        <v>1612</v>
      </c>
      <c r="G592" t="s">
        <v>1761</v>
      </c>
      <c r="H592" t="s">
        <v>16</v>
      </c>
      <c r="I592" t="s">
        <v>2941</v>
      </c>
      <c r="J592">
        <v>458</v>
      </c>
      <c r="K592" t="s">
        <v>26</v>
      </c>
      <c r="L592" s="2">
        <v>43964</v>
      </c>
      <c r="M592" t="s">
        <v>35</v>
      </c>
      <c r="N592" t="s">
        <v>438</v>
      </c>
      <c r="O592">
        <v>90045</v>
      </c>
      <c r="P592" t="s">
        <v>21</v>
      </c>
      <c r="Q592" t="str">
        <f>TEXT(Data_Set_3[[#This Row],[date]],"mmmm")</f>
        <v>May</v>
      </c>
      <c r="R592">
        <f>MONTH(Data_Set_3[[#This Row],[date]])</f>
        <v>5</v>
      </c>
      <c r="S592">
        <f>YEAR(Data_Set_3[[#This Row],[date]])</f>
        <v>2020</v>
      </c>
    </row>
    <row r="593" spans="1:19" x14ac:dyDescent="0.3">
      <c r="A593">
        <v>1084</v>
      </c>
      <c r="B593" t="s">
        <v>809</v>
      </c>
      <c r="C593" t="s">
        <v>1006</v>
      </c>
      <c r="D593" t="s">
        <v>2844</v>
      </c>
      <c r="E593" t="s">
        <v>2845</v>
      </c>
      <c r="F593" t="s">
        <v>2124</v>
      </c>
      <c r="G593" t="s">
        <v>1952</v>
      </c>
      <c r="H593" t="s">
        <v>16</v>
      </c>
      <c r="I593" t="s">
        <v>51</v>
      </c>
      <c r="J593">
        <v>638</v>
      </c>
      <c r="K593" t="s">
        <v>26</v>
      </c>
      <c r="L593" s="2">
        <v>43965</v>
      </c>
      <c r="M593" t="s">
        <v>19</v>
      </c>
      <c r="N593" t="s">
        <v>2846</v>
      </c>
      <c r="O593">
        <v>2453</v>
      </c>
      <c r="P593" t="s">
        <v>21</v>
      </c>
      <c r="Q593" t="str">
        <f>TEXT(Data_Set_3[[#This Row],[date]],"mmmm")</f>
        <v>May</v>
      </c>
      <c r="R593">
        <f>MONTH(Data_Set_3[[#This Row],[date]])</f>
        <v>5</v>
      </c>
      <c r="S593">
        <f>YEAR(Data_Set_3[[#This Row],[date]])</f>
        <v>2020</v>
      </c>
    </row>
    <row r="594" spans="1:19" x14ac:dyDescent="0.3">
      <c r="A594">
        <v>1365</v>
      </c>
      <c r="B594" t="s">
        <v>1183</v>
      </c>
      <c r="C594" t="s">
        <v>813</v>
      </c>
      <c r="D594" t="s">
        <v>2957</v>
      </c>
      <c r="E594" t="s">
        <v>2958</v>
      </c>
      <c r="F594" t="s">
        <v>1644</v>
      </c>
      <c r="G594" t="s">
        <v>2061</v>
      </c>
      <c r="H594" t="s">
        <v>16</v>
      </c>
      <c r="I594" t="s">
        <v>51</v>
      </c>
      <c r="J594">
        <v>583</v>
      </c>
      <c r="K594" t="s">
        <v>62</v>
      </c>
      <c r="L594" s="2">
        <v>43965</v>
      </c>
      <c r="M594" t="s">
        <v>115</v>
      </c>
      <c r="N594" t="s">
        <v>143</v>
      </c>
      <c r="O594">
        <v>33261</v>
      </c>
      <c r="P594" t="s">
        <v>21</v>
      </c>
      <c r="Q594" t="str">
        <f>TEXT(Data_Set_3[[#This Row],[date]],"mmmm")</f>
        <v>May</v>
      </c>
      <c r="R594">
        <f>MONTH(Data_Set_3[[#This Row],[date]])</f>
        <v>5</v>
      </c>
      <c r="S594">
        <f>YEAR(Data_Set_3[[#This Row],[date]])</f>
        <v>2020</v>
      </c>
    </row>
    <row r="595" spans="1:19" x14ac:dyDescent="0.3">
      <c r="A595">
        <v>1365</v>
      </c>
      <c r="B595" t="s">
        <v>1183</v>
      </c>
      <c r="C595" t="s">
        <v>813</v>
      </c>
      <c r="D595" t="s">
        <v>2957</v>
      </c>
      <c r="E595" t="s">
        <v>2958</v>
      </c>
      <c r="F595" t="s">
        <v>1644</v>
      </c>
      <c r="G595" t="s">
        <v>2061</v>
      </c>
      <c r="H595" t="s">
        <v>16</v>
      </c>
      <c r="I595" t="s">
        <v>51</v>
      </c>
      <c r="J595">
        <v>956</v>
      </c>
      <c r="K595" t="s">
        <v>62</v>
      </c>
      <c r="L595" s="2">
        <v>43967</v>
      </c>
      <c r="M595" t="s">
        <v>115</v>
      </c>
      <c r="N595" t="s">
        <v>143</v>
      </c>
      <c r="O595">
        <v>33261</v>
      </c>
      <c r="P595" t="s">
        <v>21</v>
      </c>
      <c r="Q595" t="str">
        <f>TEXT(Data_Set_3[[#This Row],[date]],"mmmm")</f>
        <v>May</v>
      </c>
      <c r="R595">
        <f>MONTH(Data_Set_3[[#This Row],[date]])</f>
        <v>5</v>
      </c>
      <c r="S595">
        <f>YEAR(Data_Set_3[[#This Row],[date]])</f>
        <v>2020</v>
      </c>
    </row>
    <row r="596" spans="1:19" x14ac:dyDescent="0.3">
      <c r="A596">
        <v>1020</v>
      </c>
      <c r="B596" t="s">
        <v>122</v>
      </c>
      <c r="C596" t="s">
        <v>954</v>
      </c>
      <c r="D596" t="s">
        <v>2888</v>
      </c>
      <c r="E596" t="s">
        <v>2889</v>
      </c>
      <c r="F596" t="s">
        <v>1998</v>
      </c>
      <c r="G596" t="s">
        <v>1926</v>
      </c>
      <c r="H596" t="s">
        <v>32</v>
      </c>
      <c r="I596" t="s">
        <v>17</v>
      </c>
      <c r="J596">
        <v>459</v>
      </c>
      <c r="K596" t="s">
        <v>26</v>
      </c>
      <c r="L596" s="2">
        <v>43971</v>
      </c>
      <c r="M596" t="s">
        <v>35</v>
      </c>
      <c r="N596" t="s">
        <v>620</v>
      </c>
      <c r="O596">
        <v>94105</v>
      </c>
      <c r="P596" t="s">
        <v>21</v>
      </c>
      <c r="Q596" t="str">
        <f>TEXT(Data_Set_3[[#This Row],[date]],"mmmm")</f>
        <v>May</v>
      </c>
      <c r="R596">
        <f>MONTH(Data_Set_3[[#This Row],[date]])</f>
        <v>5</v>
      </c>
      <c r="S596">
        <f>YEAR(Data_Set_3[[#This Row],[date]])</f>
        <v>2020</v>
      </c>
    </row>
    <row r="597" spans="1:19" x14ac:dyDescent="0.3">
      <c r="A597">
        <v>1026</v>
      </c>
      <c r="B597" t="s">
        <v>844</v>
      </c>
      <c r="C597" t="s">
        <v>671</v>
      </c>
      <c r="D597" t="s">
        <v>2814</v>
      </c>
      <c r="E597" t="s">
        <v>2815</v>
      </c>
      <c r="F597" t="s">
        <v>2816</v>
      </c>
      <c r="G597" t="s">
        <v>2554</v>
      </c>
      <c r="H597" t="s">
        <v>32</v>
      </c>
      <c r="I597" t="s">
        <v>17</v>
      </c>
      <c r="J597">
        <v>745</v>
      </c>
      <c r="K597" t="s">
        <v>26</v>
      </c>
      <c r="L597" s="2">
        <v>43971</v>
      </c>
      <c r="M597" t="s">
        <v>184</v>
      </c>
      <c r="N597" t="s">
        <v>185</v>
      </c>
      <c r="O597">
        <v>10469</v>
      </c>
      <c r="P597" t="s">
        <v>21</v>
      </c>
      <c r="Q597" t="str">
        <f>TEXT(Data_Set_3[[#This Row],[date]],"mmmm")</f>
        <v>May</v>
      </c>
      <c r="R597">
        <f>MONTH(Data_Set_3[[#This Row],[date]])</f>
        <v>5</v>
      </c>
      <c r="S597">
        <f>YEAR(Data_Set_3[[#This Row],[date]])</f>
        <v>2020</v>
      </c>
    </row>
    <row r="598" spans="1:19" x14ac:dyDescent="0.3">
      <c r="A598">
        <v>1661</v>
      </c>
      <c r="B598" t="s">
        <v>207</v>
      </c>
      <c r="C598" t="s">
        <v>3486</v>
      </c>
      <c r="D598" t="s">
        <v>3487</v>
      </c>
      <c r="E598" t="s">
        <v>3488</v>
      </c>
      <c r="F598" t="s">
        <v>1853</v>
      </c>
      <c r="G598" t="s">
        <v>2102</v>
      </c>
      <c r="H598" t="s">
        <v>16</v>
      </c>
      <c r="I598" t="s">
        <v>17</v>
      </c>
      <c r="J598">
        <v>57</v>
      </c>
      <c r="K598" t="s">
        <v>275</v>
      </c>
      <c r="L598" s="2">
        <v>43972</v>
      </c>
      <c r="M598" t="s">
        <v>120</v>
      </c>
      <c r="N598" t="s">
        <v>3090</v>
      </c>
      <c r="O598">
        <v>70815</v>
      </c>
      <c r="P598" t="s">
        <v>21</v>
      </c>
      <c r="Q598" t="str">
        <f>TEXT(Data_Set_3[[#This Row],[date]],"mmmm")</f>
        <v>May</v>
      </c>
      <c r="R598">
        <f>MONTH(Data_Set_3[[#This Row],[date]])</f>
        <v>5</v>
      </c>
      <c r="S598">
        <f>YEAR(Data_Set_3[[#This Row],[date]])</f>
        <v>2020</v>
      </c>
    </row>
    <row r="599" spans="1:19" x14ac:dyDescent="0.3">
      <c r="A599">
        <v>1170</v>
      </c>
      <c r="B599" t="s">
        <v>22</v>
      </c>
      <c r="C599" t="s">
        <v>883</v>
      </c>
      <c r="D599" t="s">
        <v>2837</v>
      </c>
      <c r="E599" t="s">
        <v>2838</v>
      </c>
      <c r="F599" t="s">
        <v>2430</v>
      </c>
      <c r="G599" t="s">
        <v>1333</v>
      </c>
      <c r="H599" t="s">
        <v>16</v>
      </c>
      <c r="I599" t="s">
        <v>33</v>
      </c>
      <c r="J599">
        <v>984</v>
      </c>
      <c r="K599" t="s">
        <v>164</v>
      </c>
      <c r="L599" s="2">
        <v>43976</v>
      </c>
      <c r="M599" t="s">
        <v>68</v>
      </c>
      <c r="N599" t="s">
        <v>169</v>
      </c>
      <c r="O599">
        <v>88574</v>
      </c>
      <c r="P599" t="s">
        <v>21</v>
      </c>
      <c r="Q599" t="str">
        <f>TEXT(Data_Set_3[[#This Row],[date]],"mmmm")</f>
        <v>May</v>
      </c>
      <c r="R599">
        <f>MONTH(Data_Set_3[[#This Row],[date]])</f>
        <v>5</v>
      </c>
      <c r="S599">
        <f>YEAR(Data_Set_3[[#This Row],[date]])</f>
        <v>2020</v>
      </c>
    </row>
    <row r="600" spans="1:19" x14ac:dyDescent="0.3">
      <c r="A600">
        <v>1170</v>
      </c>
      <c r="B600" t="s">
        <v>22</v>
      </c>
      <c r="C600" t="s">
        <v>883</v>
      </c>
      <c r="D600" t="s">
        <v>2837</v>
      </c>
      <c r="E600" t="s">
        <v>2838</v>
      </c>
      <c r="F600" t="s">
        <v>2430</v>
      </c>
      <c r="G600" t="s">
        <v>1333</v>
      </c>
      <c r="H600" t="s">
        <v>16</v>
      </c>
      <c r="I600" t="s">
        <v>33</v>
      </c>
      <c r="J600">
        <v>391</v>
      </c>
      <c r="K600" t="s">
        <v>164</v>
      </c>
      <c r="L600" s="2">
        <v>43977</v>
      </c>
      <c r="M600" t="s">
        <v>68</v>
      </c>
      <c r="N600" t="s">
        <v>169</v>
      </c>
      <c r="O600">
        <v>88574</v>
      </c>
      <c r="P600" t="s">
        <v>21</v>
      </c>
      <c r="Q600" t="str">
        <f>TEXT(Data_Set_3[[#This Row],[date]],"mmmm")</f>
        <v>May</v>
      </c>
      <c r="R600">
        <f>MONTH(Data_Set_3[[#This Row],[date]])</f>
        <v>5</v>
      </c>
      <c r="S600">
        <f>YEAR(Data_Set_3[[#This Row],[date]])</f>
        <v>2020</v>
      </c>
    </row>
    <row r="601" spans="1:19" x14ac:dyDescent="0.3">
      <c r="A601">
        <v>1548</v>
      </c>
      <c r="B601" t="s">
        <v>1218</v>
      </c>
      <c r="C601" t="s">
        <v>713</v>
      </c>
      <c r="D601" t="s">
        <v>3489</v>
      </c>
      <c r="E601" t="s">
        <v>3490</v>
      </c>
      <c r="F601" t="s">
        <v>1404</v>
      </c>
      <c r="G601" t="s">
        <v>2301</v>
      </c>
      <c r="H601" t="s">
        <v>16</v>
      </c>
      <c r="I601" t="s">
        <v>2821</v>
      </c>
      <c r="J601">
        <v>294</v>
      </c>
      <c r="K601" t="s">
        <v>26</v>
      </c>
      <c r="L601" s="2">
        <v>43977</v>
      </c>
      <c r="M601" t="s">
        <v>138</v>
      </c>
      <c r="N601" t="s">
        <v>3491</v>
      </c>
      <c r="O601">
        <v>97075</v>
      </c>
      <c r="P601" t="s">
        <v>21</v>
      </c>
      <c r="Q601" t="str">
        <f>TEXT(Data_Set_3[[#This Row],[date]],"mmmm")</f>
        <v>May</v>
      </c>
      <c r="R601">
        <f>MONTH(Data_Set_3[[#This Row],[date]])</f>
        <v>5</v>
      </c>
      <c r="S601">
        <f>YEAR(Data_Set_3[[#This Row],[date]])</f>
        <v>2020</v>
      </c>
    </row>
    <row r="602" spans="1:19" x14ac:dyDescent="0.3">
      <c r="A602">
        <v>1409</v>
      </c>
      <c r="B602" t="s">
        <v>513</v>
      </c>
      <c r="C602" t="s">
        <v>3065</v>
      </c>
      <c r="D602" t="s">
        <v>3237</v>
      </c>
      <c r="E602" t="s">
        <v>3238</v>
      </c>
      <c r="F602" t="s">
        <v>1515</v>
      </c>
      <c r="G602" t="s">
        <v>1886</v>
      </c>
      <c r="H602" t="s">
        <v>16</v>
      </c>
      <c r="I602" t="s">
        <v>361</v>
      </c>
      <c r="J602">
        <v>935</v>
      </c>
      <c r="K602" t="s">
        <v>73</v>
      </c>
      <c r="L602" s="2">
        <v>43978</v>
      </c>
      <c r="M602" t="s">
        <v>480</v>
      </c>
      <c r="N602" t="s">
        <v>899</v>
      </c>
      <c r="O602">
        <v>7208</v>
      </c>
      <c r="P602" t="s">
        <v>21</v>
      </c>
      <c r="Q602" t="str">
        <f>TEXT(Data_Set_3[[#This Row],[date]],"mmmm")</f>
        <v>May</v>
      </c>
      <c r="R602">
        <f>MONTH(Data_Set_3[[#This Row],[date]])</f>
        <v>5</v>
      </c>
      <c r="S602">
        <f>YEAR(Data_Set_3[[#This Row],[date]])</f>
        <v>2020</v>
      </c>
    </row>
    <row r="603" spans="1:19" x14ac:dyDescent="0.3">
      <c r="A603">
        <v>1123</v>
      </c>
      <c r="B603" t="s">
        <v>1130</v>
      </c>
      <c r="C603" t="s">
        <v>423</v>
      </c>
      <c r="D603" t="s">
        <v>3031</v>
      </c>
      <c r="E603" t="s">
        <v>3032</v>
      </c>
      <c r="F603" t="s">
        <v>1450</v>
      </c>
      <c r="G603" t="s">
        <v>1985</v>
      </c>
      <c r="H603" t="s">
        <v>16</v>
      </c>
      <c r="I603" t="s">
        <v>51</v>
      </c>
      <c r="J603">
        <v>457</v>
      </c>
      <c r="K603" t="s">
        <v>164</v>
      </c>
      <c r="L603" s="2">
        <v>43982</v>
      </c>
      <c r="M603" t="s">
        <v>115</v>
      </c>
      <c r="N603" t="s">
        <v>864</v>
      </c>
      <c r="O603">
        <v>33673</v>
      </c>
      <c r="P603" t="s">
        <v>21</v>
      </c>
      <c r="Q603" t="str">
        <f>TEXT(Data_Set_3[[#This Row],[date]],"mmmm")</f>
        <v>May</v>
      </c>
      <c r="R603">
        <f>MONTH(Data_Set_3[[#This Row],[date]])</f>
        <v>5</v>
      </c>
      <c r="S603">
        <f>YEAR(Data_Set_3[[#This Row],[date]])</f>
        <v>2020</v>
      </c>
    </row>
    <row r="604" spans="1:19" x14ac:dyDescent="0.3">
      <c r="A604">
        <v>1116</v>
      </c>
      <c r="B604" t="s">
        <v>135</v>
      </c>
      <c r="C604" t="s">
        <v>2803</v>
      </c>
      <c r="D604" t="s">
        <v>2804</v>
      </c>
      <c r="E604" t="s">
        <v>2805</v>
      </c>
      <c r="F604" t="s">
        <v>1770</v>
      </c>
      <c r="G604" t="s">
        <v>2110</v>
      </c>
      <c r="H604" t="s">
        <v>32</v>
      </c>
      <c r="I604" t="s">
        <v>51</v>
      </c>
      <c r="J604">
        <v>675</v>
      </c>
      <c r="K604" t="s">
        <v>95</v>
      </c>
      <c r="L604" s="2">
        <v>43983</v>
      </c>
      <c r="M604" t="s">
        <v>74</v>
      </c>
      <c r="N604" t="s">
        <v>400</v>
      </c>
      <c r="O604">
        <v>30096</v>
      </c>
      <c r="P604" t="s">
        <v>21</v>
      </c>
      <c r="Q604" t="str">
        <f>TEXT(Data_Set_3[[#This Row],[date]],"mmmm")</f>
        <v>June</v>
      </c>
      <c r="R604">
        <f>MONTH(Data_Set_3[[#This Row],[date]])</f>
        <v>6</v>
      </c>
      <c r="S604">
        <f>YEAR(Data_Set_3[[#This Row],[date]])</f>
        <v>2020</v>
      </c>
    </row>
    <row r="605" spans="1:19" x14ac:dyDescent="0.3">
      <c r="A605">
        <v>1993</v>
      </c>
      <c r="B605" t="s">
        <v>366</v>
      </c>
      <c r="C605" t="s">
        <v>1089</v>
      </c>
      <c r="D605" t="s">
        <v>3441</v>
      </c>
      <c r="E605" t="s">
        <v>3442</v>
      </c>
      <c r="F605" t="s">
        <v>1811</v>
      </c>
      <c r="G605" t="s">
        <v>2432</v>
      </c>
      <c r="H605" t="s">
        <v>32</v>
      </c>
      <c r="I605" t="s">
        <v>33</v>
      </c>
      <c r="J605">
        <v>192</v>
      </c>
      <c r="K605" t="s">
        <v>225</v>
      </c>
      <c r="L605" s="2">
        <v>43984</v>
      </c>
      <c r="M605" t="s">
        <v>254</v>
      </c>
      <c r="N605" t="s">
        <v>255</v>
      </c>
      <c r="O605">
        <v>50369</v>
      </c>
      <c r="P605" t="s">
        <v>21</v>
      </c>
      <c r="Q605" t="str">
        <f>TEXT(Data_Set_3[[#This Row],[date]],"mmmm")</f>
        <v>June</v>
      </c>
      <c r="R605">
        <f>MONTH(Data_Set_3[[#This Row],[date]])</f>
        <v>6</v>
      </c>
      <c r="S605">
        <f>YEAR(Data_Set_3[[#This Row],[date]])</f>
        <v>2020</v>
      </c>
    </row>
    <row r="606" spans="1:19" x14ac:dyDescent="0.3">
      <c r="A606">
        <v>1457</v>
      </c>
      <c r="B606" t="s">
        <v>970</v>
      </c>
      <c r="C606" t="s">
        <v>849</v>
      </c>
      <c r="D606" t="s">
        <v>3492</v>
      </c>
      <c r="E606" t="s">
        <v>3493</v>
      </c>
      <c r="F606" t="s">
        <v>1561</v>
      </c>
      <c r="G606" t="s">
        <v>2356</v>
      </c>
      <c r="H606" t="s">
        <v>16</v>
      </c>
      <c r="I606" t="s">
        <v>2813</v>
      </c>
      <c r="J606">
        <v>33</v>
      </c>
      <c r="K606" t="s">
        <v>62</v>
      </c>
      <c r="L606" s="2">
        <v>43985</v>
      </c>
      <c r="M606" t="s">
        <v>152</v>
      </c>
      <c r="N606" t="s">
        <v>251</v>
      </c>
      <c r="O606">
        <v>44321</v>
      </c>
      <c r="P606" t="s">
        <v>21</v>
      </c>
      <c r="Q606" t="str">
        <f>TEXT(Data_Set_3[[#This Row],[date]],"mmmm")</f>
        <v>June</v>
      </c>
      <c r="R606">
        <f>MONTH(Data_Set_3[[#This Row],[date]])</f>
        <v>6</v>
      </c>
      <c r="S606">
        <f>YEAR(Data_Set_3[[#This Row],[date]])</f>
        <v>2020</v>
      </c>
    </row>
    <row r="607" spans="1:19" x14ac:dyDescent="0.3">
      <c r="A607">
        <v>1086</v>
      </c>
      <c r="B607" t="s">
        <v>513</v>
      </c>
      <c r="C607" t="s">
        <v>3494</v>
      </c>
      <c r="D607" t="s">
        <v>3495</v>
      </c>
      <c r="E607" t="s">
        <v>3496</v>
      </c>
      <c r="F607" t="s">
        <v>2074</v>
      </c>
      <c r="G607" t="s">
        <v>2515</v>
      </c>
      <c r="H607" t="s">
        <v>16</v>
      </c>
      <c r="I607" t="s">
        <v>51</v>
      </c>
      <c r="J607">
        <v>124</v>
      </c>
      <c r="K607" t="s">
        <v>26</v>
      </c>
      <c r="L607" s="2">
        <v>43988</v>
      </c>
      <c r="M607" t="s">
        <v>46</v>
      </c>
      <c r="N607" t="s">
        <v>3497</v>
      </c>
      <c r="O607">
        <v>6816</v>
      </c>
      <c r="P607" t="s">
        <v>21</v>
      </c>
      <c r="Q607" t="str">
        <f>TEXT(Data_Set_3[[#This Row],[date]],"mmmm")</f>
        <v>June</v>
      </c>
      <c r="R607">
        <f>MONTH(Data_Set_3[[#This Row],[date]])</f>
        <v>6</v>
      </c>
      <c r="S607">
        <f>YEAR(Data_Set_3[[#This Row],[date]])</f>
        <v>2020</v>
      </c>
    </row>
    <row r="608" spans="1:19" x14ac:dyDescent="0.3">
      <c r="A608">
        <v>1540</v>
      </c>
      <c r="B608" t="s">
        <v>363</v>
      </c>
      <c r="C608" t="s">
        <v>136</v>
      </c>
      <c r="D608" t="s">
        <v>3498</v>
      </c>
      <c r="E608" t="s">
        <v>3499</v>
      </c>
      <c r="F608" t="s">
        <v>1847</v>
      </c>
      <c r="G608" t="s">
        <v>2284</v>
      </c>
      <c r="H608" t="s">
        <v>16</v>
      </c>
      <c r="I608" t="s">
        <v>2941</v>
      </c>
      <c r="J608">
        <v>296</v>
      </c>
      <c r="K608" t="s">
        <v>26</v>
      </c>
      <c r="L608" s="2">
        <v>43992</v>
      </c>
      <c r="M608" t="s">
        <v>35</v>
      </c>
      <c r="N608" t="s">
        <v>892</v>
      </c>
      <c r="O608">
        <v>92612</v>
      </c>
      <c r="P608" t="s">
        <v>21</v>
      </c>
      <c r="Q608" t="str">
        <f>TEXT(Data_Set_3[[#This Row],[date]],"mmmm")</f>
        <v>June</v>
      </c>
      <c r="R608">
        <f>MONTH(Data_Set_3[[#This Row],[date]])</f>
        <v>6</v>
      </c>
      <c r="S608">
        <f>YEAR(Data_Set_3[[#This Row],[date]])</f>
        <v>2020</v>
      </c>
    </row>
    <row r="609" spans="1:19" x14ac:dyDescent="0.3">
      <c r="A609">
        <v>1095</v>
      </c>
      <c r="B609" t="s">
        <v>395</v>
      </c>
      <c r="C609" t="s">
        <v>876</v>
      </c>
      <c r="D609" t="s">
        <v>2989</v>
      </c>
      <c r="E609" t="s">
        <v>2990</v>
      </c>
      <c r="F609" t="s">
        <v>1323</v>
      </c>
      <c r="G609" t="s">
        <v>1453</v>
      </c>
      <c r="H609" t="s">
        <v>32</v>
      </c>
      <c r="I609" t="s">
        <v>51</v>
      </c>
      <c r="J609">
        <v>985</v>
      </c>
      <c r="K609" t="s">
        <v>34</v>
      </c>
      <c r="L609" s="2">
        <v>43993</v>
      </c>
      <c r="M609" t="s">
        <v>68</v>
      </c>
      <c r="N609" t="s">
        <v>234</v>
      </c>
      <c r="O609">
        <v>77040</v>
      </c>
      <c r="P609" t="s">
        <v>21</v>
      </c>
      <c r="Q609" t="str">
        <f>TEXT(Data_Set_3[[#This Row],[date]],"mmmm")</f>
        <v>June</v>
      </c>
      <c r="R609">
        <f>MONTH(Data_Set_3[[#This Row],[date]])</f>
        <v>6</v>
      </c>
      <c r="S609">
        <f>YEAR(Data_Set_3[[#This Row],[date]])</f>
        <v>2020</v>
      </c>
    </row>
    <row r="610" spans="1:19" x14ac:dyDescent="0.3">
      <c r="A610">
        <v>1851</v>
      </c>
      <c r="B610" t="s">
        <v>471</v>
      </c>
      <c r="C610" t="s">
        <v>220</v>
      </c>
      <c r="D610" t="s">
        <v>3015</v>
      </c>
      <c r="E610" t="s">
        <v>3016</v>
      </c>
      <c r="F610" t="s">
        <v>3017</v>
      </c>
      <c r="G610" t="s">
        <v>2697</v>
      </c>
      <c r="H610" t="s">
        <v>32</v>
      </c>
      <c r="I610" t="s">
        <v>33</v>
      </c>
      <c r="J610">
        <v>623</v>
      </c>
      <c r="K610" t="s">
        <v>73</v>
      </c>
      <c r="L610" s="2">
        <v>43993</v>
      </c>
      <c r="M610" t="s">
        <v>184</v>
      </c>
      <c r="N610" t="s">
        <v>656</v>
      </c>
      <c r="O610">
        <v>11210</v>
      </c>
      <c r="P610" t="s">
        <v>21</v>
      </c>
      <c r="Q610" t="str">
        <f>TEXT(Data_Set_3[[#This Row],[date]],"mmmm")</f>
        <v>June</v>
      </c>
      <c r="R610">
        <f>MONTH(Data_Set_3[[#This Row],[date]])</f>
        <v>6</v>
      </c>
      <c r="S610">
        <f>YEAR(Data_Set_3[[#This Row],[date]])</f>
        <v>2020</v>
      </c>
    </row>
    <row r="611" spans="1:19" x14ac:dyDescent="0.3">
      <c r="A611">
        <v>1081</v>
      </c>
      <c r="B611" t="s">
        <v>29</v>
      </c>
      <c r="C611" t="s">
        <v>906</v>
      </c>
      <c r="D611" t="s">
        <v>2980</v>
      </c>
      <c r="E611" t="s">
        <v>2981</v>
      </c>
      <c r="F611" t="s">
        <v>2342</v>
      </c>
      <c r="G611" t="s">
        <v>2286</v>
      </c>
      <c r="H611" t="s">
        <v>32</v>
      </c>
      <c r="I611" t="s">
        <v>51</v>
      </c>
      <c r="J611">
        <v>297</v>
      </c>
      <c r="K611" t="s">
        <v>18</v>
      </c>
      <c r="L611" s="2">
        <v>43995</v>
      </c>
      <c r="M611" t="s">
        <v>152</v>
      </c>
      <c r="N611" t="s">
        <v>484</v>
      </c>
      <c r="O611">
        <v>45426</v>
      </c>
      <c r="P611" t="s">
        <v>21</v>
      </c>
      <c r="Q611" t="str">
        <f>TEXT(Data_Set_3[[#This Row],[date]],"mmmm")</f>
        <v>June</v>
      </c>
      <c r="R611">
        <f>MONTH(Data_Set_3[[#This Row],[date]])</f>
        <v>6</v>
      </c>
      <c r="S611">
        <f>YEAR(Data_Set_3[[#This Row],[date]])</f>
        <v>2020</v>
      </c>
    </row>
    <row r="612" spans="1:19" x14ac:dyDescent="0.3">
      <c r="A612">
        <v>1628</v>
      </c>
      <c r="B612" t="s">
        <v>194</v>
      </c>
      <c r="C612" t="s">
        <v>216</v>
      </c>
      <c r="D612" t="s">
        <v>3500</v>
      </c>
      <c r="E612" t="s">
        <v>3501</v>
      </c>
      <c r="F612" t="s">
        <v>1390</v>
      </c>
      <c r="G612" t="s">
        <v>1985</v>
      </c>
      <c r="H612" t="s">
        <v>32</v>
      </c>
      <c r="I612" t="s">
        <v>17</v>
      </c>
      <c r="J612">
        <v>727</v>
      </c>
      <c r="K612" t="s">
        <v>95</v>
      </c>
      <c r="L612" s="2">
        <v>43996</v>
      </c>
      <c r="M612" t="s">
        <v>19</v>
      </c>
      <c r="N612" t="s">
        <v>932</v>
      </c>
      <c r="O612">
        <v>2109</v>
      </c>
      <c r="P612" t="s">
        <v>21</v>
      </c>
      <c r="Q612" t="str">
        <f>TEXT(Data_Set_3[[#This Row],[date]],"mmmm")</f>
        <v>June</v>
      </c>
      <c r="R612">
        <f>MONTH(Data_Set_3[[#This Row],[date]])</f>
        <v>6</v>
      </c>
      <c r="S612">
        <f>YEAR(Data_Set_3[[#This Row],[date]])</f>
        <v>2020</v>
      </c>
    </row>
    <row r="613" spans="1:19" x14ac:dyDescent="0.3">
      <c r="A613">
        <v>1949</v>
      </c>
      <c r="B613" t="s">
        <v>638</v>
      </c>
      <c r="C613" t="s">
        <v>1074</v>
      </c>
      <c r="D613" t="s">
        <v>3502</v>
      </c>
      <c r="E613" t="s">
        <v>3503</v>
      </c>
      <c r="F613" t="s">
        <v>1945</v>
      </c>
      <c r="G613" t="s">
        <v>1615</v>
      </c>
      <c r="H613" t="s">
        <v>32</v>
      </c>
      <c r="I613" t="s">
        <v>543</v>
      </c>
      <c r="J613">
        <v>76</v>
      </c>
      <c r="K613" t="s">
        <v>40</v>
      </c>
      <c r="L613" s="2">
        <v>43999</v>
      </c>
      <c r="M613" t="s">
        <v>220</v>
      </c>
      <c r="N613" t="s">
        <v>221</v>
      </c>
      <c r="O613">
        <v>98405</v>
      </c>
      <c r="P613" t="s">
        <v>21</v>
      </c>
      <c r="Q613" t="str">
        <f>TEXT(Data_Set_3[[#This Row],[date]],"mmmm")</f>
        <v>June</v>
      </c>
      <c r="R613">
        <f>MONTH(Data_Set_3[[#This Row],[date]])</f>
        <v>6</v>
      </c>
      <c r="S613">
        <f>YEAR(Data_Set_3[[#This Row],[date]])</f>
        <v>2020</v>
      </c>
    </row>
    <row r="614" spans="1:19" x14ac:dyDescent="0.3">
      <c r="A614">
        <v>1095</v>
      </c>
      <c r="B614" t="s">
        <v>395</v>
      </c>
      <c r="C614" t="s">
        <v>876</v>
      </c>
      <c r="D614" t="s">
        <v>2989</v>
      </c>
      <c r="E614" t="s">
        <v>2990</v>
      </c>
      <c r="F614" t="s">
        <v>1323</v>
      </c>
      <c r="G614" t="s">
        <v>1453</v>
      </c>
      <c r="H614" t="s">
        <v>32</v>
      </c>
      <c r="I614" t="s">
        <v>51</v>
      </c>
      <c r="J614">
        <v>457</v>
      </c>
      <c r="K614" t="s">
        <v>34</v>
      </c>
      <c r="L614" s="2">
        <v>44001</v>
      </c>
      <c r="M614" t="s">
        <v>68</v>
      </c>
      <c r="N614" t="s">
        <v>234</v>
      </c>
      <c r="O614">
        <v>77040</v>
      </c>
      <c r="P614" t="s">
        <v>21</v>
      </c>
      <c r="Q614" t="str">
        <f>TEXT(Data_Set_3[[#This Row],[date]],"mmmm")</f>
        <v>June</v>
      </c>
      <c r="R614">
        <f>MONTH(Data_Set_3[[#This Row],[date]])</f>
        <v>6</v>
      </c>
      <c r="S614">
        <f>YEAR(Data_Set_3[[#This Row],[date]])</f>
        <v>2020</v>
      </c>
    </row>
    <row r="615" spans="1:19" x14ac:dyDescent="0.3">
      <c r="A615">
        <v>1670</v>
      </c>
      <c r="B615" t="s">
        <v>333</v>
      </c>
      <c r="C615" t="s">
        <v>975</v>
      </c>
      <c r="D615" t="s">
        <v>3504</v>
      </c>
      <c r="E615" t="s">
        <v>3505</v>
      </c>
      <c r="F615" t="s">
        <v>3506</v>
      </c>
      <c r="G615" t="s">
        <v>1676</v>
      </c>
      <c r="H615" t="s">
        <v>32</v>
      </c>
      <c r="I615" t="s">
        <v>17</v>
      </c>
      <c r="J615">
        <v>757</v>
      </c>
      <c r="K615" t="s">
        <v>164</v>
      </c>
      <c r="L615" s="2">
        <v>44001</v>
      </c>
      <c r="M615" t="s">
        <v>68</v>
      </c>
      <c r="N615" t="s">
        <v>234</v>
      </c>
      <c r="O615">
        <v>77070</v>
      </c>
      <c r="P615" t="s">
        <v>21</v>
      </c>
      <c r="Q615" t="str">
        <f>TEXT(Data_Set_3[[#This Row],[date]],"mmmm")</f>
        <v>June</v>
      </c>
      <c r="R615">
        <f>MONTH(Data_Set_3[[#This Row],[date]])</f>
        <v>6</v>
      </c>
      <c r="S615">
        <f>YEAR(Data_Set_3[[#This Row],[date]])</f>
        <v>2020</v>
      </c>
    </row>
    <row r="616" spans="1:19" x14ac:dyDescent="0.3">
      <c r="A616">
        <v>1626</v>
      </c>
      <c r="B616" t="s">
        <v>809</v>
      </c>
      <c r="C616" t="s">
        <v>3160</v>
      </c>
      <c r="D616" t="s">
        <v>3507</v>
      </c>
      <c r="E616" t="s">
        <v>3508</v>
      </c>
      <c r="F616" t="s">
        <v>2067</v>
      </c>
      <c r="G616" t="s">
        <v>2664</v>
      </c>
      <c r="H616" t="s">
        <v>16</v>
      </c>
      <c r="I616" t="s">
        <v>17</v>
      </c>
      <c r="J616">
        <v>323</v>
      </c>
      <c r="K616" t="s">
        <v>26</v>
      </c>
      <c r="L616" s="2">
        <v>44003</v>
      </c>
      <c r="M616" t="s">
        <v>115</v>
      </c>
      <c r="N616" t="s">
        <v>312</v>
      </c>
      <c r="O616">
        <v>32526</v>
      </c>
      <c r="P616" t="s">
        <v>21</v>
      </c>
      <c r="Q616" t="str">
        <f>TEXT(Data_Set_3[[#This Row],[date]],"mmmm")</f>
        <v>June</v>
      </c>
      <c r="R616">
        <f>MONTH(Data_Set_3[[#This Row],[date]])</f>
        <v>6</v>
      </c>
      <c r="S616">
        <f>YEAR(Data_Set_3[[#This Row],[date]])</f>
        <v>2020</v>
      </c>
    </row>
    <row r="617" spans="1:19" x14ac:dyDescent="0.3">
      <c r="A617">
        <v>1717</v>
      </c>
      <c r="B617" t="s">
        <v>112</v>
      </c>
      <c r="C617" t="s">
        <v>216</v>
      </c>
      <c r="D617" t="s">
        <v>3509</v>
      </c>
      <c r="E617" t="s">
        <v>3510</v>
      </c>
      <c r="F617" t="s">
        <v>1304</v>
      </c>
      <c r="G617" t="s">
        <v>2251</v>
      </c>
      <c r="H617" t="s">
        <v>32</v>
      </c>
      <c r="I617" t="s">
        <v>17</v>
      </c>
      <c r="J617">
        <v>437</v>
      </c>
      <c r="K617" t="s">
        <v>109</v>
      </c>
      <c r="L617" s="2">
        <v>44004</v>
      </c>
      <c r="M617" t="s">
        <v>192</v>
      </c>
      <c r="N617" t="s">
        <v>193</v>
      </c>
      <c r="O617">
        <v>55436</v>
      </c>
      <c r="P617" t="s">
        <v>21</v>
      </c>
      <c r="Q617" t="str">
        <f>TEXT(Data_Set_3[[#This Row],[date]],"mmmm")</f>
        <v>June</v>
      </c>
      <c r="R617">
        <f>MONTH(Data_Set_3[[#This Row],[date]])</f>
        <v>6</v>
      </c>
      <c r="S617">
        <f>YEAR(Data_Set_3[[#This Row],[date]])</f>
        <v>2020</v>
      </c>
    </row>
    <row r="618" spans="1:19" x14ac:dyDescent="0.3">
      <c r="A618">
        <v>1392</v>
      </c>
      <c r="B618" t="s">
        <v>43</v>
      </c>
      <c r="C618" t="s">
        <v>639</v>
      </c>
      <c r="D618" t="s">
        <v>3511</v>
      </c>
      <c r="E618" t="s">
        <v>3512</v>
      </c>
      <c r="F618" t="s">
        <v>3513</v>
      </c>
      <c r="G618" t="s">
        <v>2515</v>
      </c>
      <c r="H618" t="s">
        <v>16</v>
      </c>
      <c r="I618" t="s">
        <v>51</v>
      </c>
      <c r="J618">
        <v>596</v>
      </c>
      <c r="K618" t="s">
        <v>26</v>
      </c>
      <c r="L618" s="2">
        <v>44005</v>
      </c>
      <c r="M618" t="s">
        <v>184</v>
      </c>
      <c r="N618" t="s">
        <v>808</v>
      </c>
      <c r="O618">
        <v>11480</v>
      </c>
      <c r="P618" t="s">
        <v>21</v>
      </c>
      <c r="Q618" t="str">
        <f>TEXT(Data_Set_3[[#This Row],[date]],"mmmm")</f>
        <v>June</v>
      </c>
      <c r="R618">
        <f>MONTH(Data_Set_3[[#This Row],[date]])</f>
        <v>6</v>
      </c>
      <c r="S618">
        <f>YEAR(Data_Set_3[[#This Row],[date]])</f>
        <v>2020</v>
      </c>
    </row>
    <row r="619" spans="1:19" x14ac:dyDescent="0.3">
      <c r="A619">
        <v>1277</v>
      </c>
      <c r="B619" t="s">
        <v>43</v>
      </c>
      <c r="C619" t="s">
        <v>783</v>
      </c>
      <c r="D619" t="s">
        <v>2861</v>
      </c>
      <c r="E619" t="s">
        <v>2862</v>
      </c>
      <c r="F619" t="s">
        <v>1850</v>
      </c>
      <c r="G619" t="s">
        <v>2219</v>
      </c>
      <c r="H619" t="s">
        <v>16</v>
      </c>
      <c r="I619" t="s">
        <v>454</v>
      </c>
      <c r="J619">
        <v>905</v>
      </c>
      <c r="K619" t="s">
        <v>416</v>
      </c>
      <c r="L619" s="2">
        <v>44006</v>
      </c>
      <c r="M619" t="s">
        <v>152</v>
      </c>
      <c r="N619" t="s">
        <v>251</v>
      </c>
      <c r="O619">
        <v>44310</v>
      </c>
      <c r="P619" t="s">
        <v>21</v>
      </c>
      <c r="Q619" t="str">
        <f>TEXT(Data_Set_3[[#This Row],[date]],"mmmm")</f>
        <v>June</v>
      </c>
      <c r="R619">
        <f>MONTH(Data_Set_3[[#This Row],[date]])</f>
        <v>6</v>
      </c>
      <c r="S619">
        <f>YEAR(Data_Set_3[[#This Row],[date]])</f>
        <v>2020</v>
      </c>
    </row>
    <row r="620" spans="1:19" x14ac:dyDescent="0.3">
      <c r="A620">
        <v>1947</v>
      </c>
      <c r="B620" t="s">
        <v>346</v>
      </c>
      <c r="C620" t="s">
        <v>202</v>
      </c>
      <c r="D620" t="s">
        <v>3514</v>
      </c>
      <c r="E620" t="s">
        <v>3515</v>
      </c>
      <c r="F620" t="s">
        <v>1390</v>
      </c>
      <c r="G620" t="s">
        <v>2687</v>
      </c>
      <c r="H620" t="s">
        <v>32</v>
      </c>
      <c r="I620" t="s">
        <v>151</v>
      </c>
      <c r="J620">
        <v>413</v>
      </c>
      <c r="K620" t="s">
        <v>62</v>
      </c>
      <c r="L620" s="2">
        <v>44011</v>
      </c>
      <c r="M620" t="s">
        <v>125</v>
      </c>
      <c r="N620" t="s">
        <v>247</v>
      </c>
      <c r="O620">
        <v>65810</v>
      </c>
      <c r="P620" t="s">
        <v>21</v>
      </c>
      <c r="Q620" t="str">
        <f>TEXT(Data_Set_3[[#This Row],[date]],"mmmm")</f>
        <v>June</v>
      </c>
      <c r="R620">
        <f>MONTH(Data_Set_3[[#This Row],[date]])</f>
        <v>6</v>
      </c>
      <c r="S620">
        <f>YEAR(Data_Set_3[[#This Row],[date]])</f>
        <v>2020</v>
      </c>
    </row>
    <row r="621" spans="1:19" x14ac:dyDescent="0.3">
      <c r="A621">
        <v>1880</v>
      </c>
      <c r="B621" t="s">
        <v>304</v>
      </c>
      <c r="C621" t="s">
        <v>526</v>
      </c>
      <c r="D621" t="s">
        <v>2831</v>
      </c>
      <c r="E621" t="s">
        <v>2832</v>
      </c>
      <c r="F621" t="s">
        <v>1376</v>
      </c>
      <c r="G621" t="s">
        <v>2577</v>
      </c>
      <c r="H621" t="s">
        <v>32</v>
      </c>
      <c r="I621" t="s">
        <v>274</v>
      </c>
      <c r="J621">
        <v>866</v>
      </c>
      <c r="K621" t="s">
        <v>26</v>
      </c>
      <c r="L621" s="2">
        <v>44015</v>
      </c>
      <c r="M621" t="s">
        <v>246</v>
      </c>
      <c r="N621" t="s">
        <v>339</v>
      </c>
      <c r="O621">
        <v>60614</v>
      </c>
      <c r="P621" t="s">
        <v>21</v>
      </c>
      <c r="Q621" t="str">
        <f>TEXT(Data_Set_3[[#This Row],[date]],"mmmm")</f>
        <v>July</v>
      </c>
      <c r="R621">
        <f>MONTH(Data_Set_3[[#This Row],[date]])</f>
        <v>7</v>
      </c>
      <c r="S621">
        <f>YEAR(Data_Set_3[[#This Row],[date]])</f>
        <v>2020</v>
      </c>
    </row>
    <row r="622" spans="1:19" x14ac:dyDescent="0.3">
      <c r="A622">
        <v>1140</v>
      </c>
      <c r="B622" t="s">
        <v>597</v>
      </c>
      <c r="C622" t="s">
        <v>3279</v>
      </c>
      <c r="D622" t="s">
        <v>3516</v>
      </c>
      <c r="E622" t="s">
        <v>3517</v>
      </c>
      <c r="F622" t="s">
        <v>2053</v>
      </c>
      <c r="G622" t="s">
        <v>2657</v>
      </c>
      <c r="H622" t="s">
        <v>32</v>
      </c>
      <c r="I622" t="s">
        <v>25</v>
      </c>
      <c r="J622">
        <v>513</v>
      </c>
      <c r="K622" t="s">
        <v>26</v>
      </c>
      <c r="L622" s="2">
        <v>44017</v>
      </c>
      <c r="M622" t="s">
        <v>152</v>
      </c>
      <c r="N622" t="s">
        <v>571</v>
      </c>
      <c r="O622">
        <v>44111</v>
      </c>
      <c r="P622" t="s">
        <v>21</v>
      </c>
      <c r="Q622" t="str">
        <f>TEXT(Data_Set_3[[#This Row],[date]],"mmmm")</f>
        <v>July</v>
      </c>
      <c r="R622">
        <f>MONTH(Data_Set_3[[#This Row],[date]])</f>
        <v>7</v>
      </c>
      <c r="S622">
        <f>YEAR(Data_Set_3[[#This Row],[date]])</f>
        <v>2020</v>
      </c>
    </row>
    <row r="623" spans="1:19" x14ac:dyDescent="0.3">
      <c r="A623">
        <v>1468</v>
      </c>
      <c r="B623" t="s">
        <v>2915</v>
      </c>
      <c r="C623" t="s">
        <v>722</v>
      </c>
      <c r="D623" t="s">
        <v>2916</v>
      </c>
      <c r="E623" t="s">
        <v>2917</v>
      </c>
      <c r="F623" t="s">
        <v>2918</v>
      </c>
      <c r="G623" t="s">
        <v>1559</v>
      </c>
      <c r="H623" t="s">
        <v>32</v>
      </c>
      <c r="I623" t="s">
        <v>33</v>
      </c>
      <c r="J623">
        <v>978</v>
      </c>
      <c r="K623" t="s">
        <v>259</v>
      </c>
      <c r="L623" s="2">
        <v>44020</v>
      </c>
      <c r="M623" t="s">
        <v>120</v>
      </c>
      <c r="N623" t="s">
        <v>718</v>
      </c>
      <c r="O623">
        <v>70116</v>
      </c>
      <c r="P623" t="s">
        <v>21</v>
      </c>
      <c r="Q623" t="str">
        <f>TEXT(Data_Set_3[[#This Row],[date]],"mmmm")</f>
        <v>July</v>
      </c>
      <c r="R623">
        <f>MONTH(Data_Set_3[[#This Row],[date]])</f>
        <v>7</v>
      </c>
      <c r="S623">
        <f>YEAR(Data_Set_3[[#This Row],[date]])</f>
        <v>2020</v>
      </c>
    </row>
    <row r="624" spans="1:19" x14ac:dyDescent="0.3">
      <c r="A624">
        <v>1144</v>
      </c>
      <c r="B624" t="s">
        <v>644</v>
      </c>
      <c r="C624" t="s">
        <v>581</v>
      </c>
      <c r="D624" t="s">
        <v>3114</v>
      </c>
      <c r="E624" t="s">
        <v>3115</v>
      </c>
      <c r="F624" t="s">
        <v>2641</v>
      </c>
      <c r="G624" t="s">
        <v>2709</v>
      </c>
      <c r="H624" t="s">
        <v>32</v>
      </c>
      <c r="I624" t="s">
        <v>25</v>
      </c>
      <c r="J624">
        <v>32</v>
      </c>
      <c r="K624" t="s">
        <v>62</v>
      </c>
      <c r="L624" s="2">
        <v>44021</v>
      </c>
      <c r="M624" t="s">
        <v>184</v>
      </c>
      <c r="N624" t="s">
        <v>3116</v>
      </c>
      <c r="O624">
        <v>11355</v>
      </c>
      <c r="P624" t="s">
        <v>21</v>
      </c>
      <c r="Q624" t="str">
        <f>TEXT(Data_Set_3[[#This Row],[date]],"mmmm")</f>
        <v>July</v>
      </c>
      <c r="R624">
        <f>MONTH(Data_Set_3[[#This Row],[date]])</f>
        <v>7</v>
      </c>
      <c r="S624">
        <f>YEAR(Data_Set_3[[#This Row],[date]])</f>
        <v>2020</v>
      </c>
    </row>
    <row r="625" spans="1:19" x14ac:dyDescent="0.3">
      <c r="A625">
        <v>1123</v>
      </c>
      <c r="B625" t="s">
        <v>1130</v>
      </c>
      <c r="C625" t="s">
        <v>423</v>
      </c>
      <c r="D625" t="s">
        <v>3031</v>
      </c>
      <c r="E625" t="s">
        <v>3032</v>
      </c>
      <c r="F625" t="s">
        <v>1450</v>
      </c>
      <c r="G625" t="s">
        <v>1985</v>
      </c>
      <c r="H625" t="s">
        <v>16</v>
      </c>
      <c r="I625" t="s">
        <v>51</v>
      </c>
      <c r="J625">
        <v>269</v>
      </c>
      <c r="K625" t="s">
        <v>164</v>
      </c>
      <c r="L625" s="2">
        <v>44027</v>
      </c>
      <c r="M625" t="s">
        <v>115</v>
      </c>
      <c r="N625" t="s">
        <v>864</v>
      </c>
      <c r="O625">
        <v>33673</v>
      </c>
      <c r="P625" t="s">
        <v>21</v>
      </c>
      <c r="Q625" t="str">
        <f>TEXT(Data_Set_3[[#This Row],[date]],"mmmm")</f>
        <v>July</v>
      </c>
      <c r="R625">
        <f>MONTH(Data_Set_3[[#This Row],[date]])</f>
        <v>7</v>
      </c>
      <c r="S625">
        <f>YEAR(Data_Set_3[[#This Row],[date]])</f>
        <v>2020</v>
      </c>
    </row>
    <row r="626" spans="1:19" x14ac:dyDescent="0.3">
      <c r="A626">
        <v>1955</v>
      </c>
      <c r="B626" t="s">
        <v>204</v>
      </c>
      <c r="C626" t="s">
        <v>473</v>
      </c>
      <c r="D626" t="s">
        <v>3518</v>
      </c>
      <c r="E626" t="s">
        <v>3519</v>
      </c>
      <c r="F626" t="s">
        <v>3520</v>
      </c>
      <c r="G626" t="s">
        <v>2664</v>
      </c>
      <c r="H626" t="s">
        <v>32</v>
      </c>
      <c r="I626" t="s">
        <v>361</v>
      </c>
      <c r="J626">
        <v>822</v>
      </c>
      <c r="K626" t="s">
        <v>26</v>
      </c>
      <c r="L626" s="2">
        <v>44027</v>
      </c>
      <c r="M626" t="s">
        <v>78</v>
      </c>
      <c r="N626" t="s">
        <v>1143</v>
      </c>
      <c r="O626">
        <v>49544</v>
      </c>
      <c r="P626" t="s">
        <v>21</v>
      </c>
      <c r="Q626" t="str">
        <f>TEXT(Data_Set_3[[#This Row],[date]],"mmmm")</f>
        <v>July</v>
      </c>
      <c r="R626">
        <f>MONTH(Data_Set_3[[#This Row],[date]])</f>
        <v>7</v>
      </c>
      <c r="S626">
        <f>YEAR(Data_Set_3[[#This Row],[date]])</f>
        <v>2020</v>
      </c>
    </row>
    <row r="627" spans="1:19" x14ac:dyDescent="0.3">
      <c r="A627">
        <v>1568</v>
      </c>
      <c r="B627" t="s">
        <v>799</v>
      </c>
      <c r="C627" t="s">
        <v>264</v>
      </c>
      <c r="D627" t="s">
        <v>3521</v>
      </c>
      <c r="E627" t="s">
        <v>3522</v>
      </c>
      <c r="F627" t="s">
        <v>1428</v>
      </c>
      <c r="G627" t="s">
        <v>1786</v>
      </c>
      <c r="H627" t="s">
        <v>16</v>
      </c>
      <c r="I627" t="s">
        <v>25</v>
      </c>
      <c r="J627">
        <v>485</v>
      </c>
      <c r="K627" t="s">
        <v>341</v>
      </c>
      <c r="L627" s="2">
        <v>44028</v>
      </c>
      <c r="M627" t="s">
        <v>184</v>
      </c>
      <c r="N627" t="s">
        <v>3116</v>
      </c>
      <c r="O627">
        <v>11355</v>
      </c>
      <c r="P627" t="s">
        <v>21</v>
      </c>
      <c r="Q627" t="str">
        <f>TEXT(Data_Set_3[[#This Row],[date]],"mmmm")</f>
        <v>July</v>
      </c>
      <c r="R627">
        <f>MONTH(Data_Set_3[[#This Row],[date]])</f>
        <v>7</v>
      </c>
      <c r="S627">
        <f>YEAR(Data_Set_3[[#This Row],[date]])</f>
        <v>2020</v>
      </c>
    </row>
    <row r="628" spans="1:19" x14ac:dyDescent="0.3">
      <c r="A628">
        <v>1723</v>
      </c>
      <c r="B628" t="s">
        <v>491</v>
      </c>
      <c r="C628" t="s">
        <v>310</v>
      </c>
      <c r="D628" t="s">
        <v>3523</v>
      </c>
      <c r="E628" t="s">
        <v>3524</v>
      </c>
      <c r="F628" t="s">
        <v>2612</v>
      </c>
      <c r="G628" t="s">
        <v>1794</v>
      </c>
      <c r="H628" t="s">
        <v>32</v>
      </c>
      <c r="I628" t="s">
        <v>17</v>
      </c>
      <c r="J628">
        <v>89</v>
      </c>
      <c r="K628" t="s">
        <v>26</v>
      </c>
      <c r="L628" s="2">
        <v>44030</v>
      </c>
      <c r="M628" t="s">
        <v>524</v>
      </c>
      <c r="N628" t="s">
        <v>715</v>
      </c>
      <c r="O628">
        <v>36670</v>
      </c>
      <c r="P628" t="s">
        <v>21</v>
      </c>
      <c r="Q628" t="str">
        <f>TEXT(Data_Set_3[[#This Row],[date]],"mmmm")</f>
        <v>July</v>
      </c>
      <c r="R628">
        <f>MONTH(Data_Set_3[[#This Row],[date]])</f>
        <v>7</v>
      </c>
      <c r="S628">
        <f>YEAR(Data_Set_3[[#This Row],[date]])</f>
        <v>2020</v>
      </c>
    </row>
    <row r="629" spans="1:19" x14ac:dyDescent="0.3">
      <c r="A629">
        <v>1095</v>
      </c>
      <c r="B629" t="s">
        <v>395</v>
      </c>
      <c r="C629" t="s">
        <v>876</v>
      </c>
      <c r="D629" t="s">
        <v>2989</v>
      </c>
      <c r="E629" t="s">
        <v>2990</v>
      </c>
      <c r="F629" t="s">
        <v>1323</v>
      </c>
      <c r="G629" t="s">
        <v>1453</v>
      </c>
      <c r="H629" t="s">
        <v>32</v>
      </c>
      <c r="I629" t="s">
        <v>51</v>
      </c>
      <c r="J629">
        <v>883</v>
      </c>
      <c r="K629" t="s">
        <v>34</v>
      </c>
      <c r="L629" s="2">
        <v>44034</v>
      </c>
      <c r="M629" t="s">
        <v>68</v>
      </c>
      <c r="N629" t="s">
        <v>234</v>
      </c>
      <c r="O629">
        <v>77040</v>
      </c>
      <c r="P629" t="s">
        <v>21</v>
      </c>
      <c r="Q629" t="str">
        <f>TEXT(Data_Set_3[[#This Row],[date]],"mmmm")</f>
        <v>July</v>
      </c>
      <c r="R629">
        <f>MONTH(Data_Set_3[[#This Row],[date]])</f>
        <v>7</v>
      </c>
      <c r="S629">
        <f>YEAR(Data_Set_3[[#This Row],[date]])</f>
        <v>2020</v>
      </c>
    </row>
    <row r="630" spans="1:19" x14ac:dyDescent="0.3">
      <c r="A630">
        <v>1170</v>
      </c>
      <c r="B630" t="s">
        <v>22</v>
      </c>
      <c r="C630" t="s">
        <v>883</v>
      </c>
      <c r="D630" t="s">
        <v>2837</v>
      </c>
      <c r="E630" t="s">
        <v>2838</v>
      </c>
      <c r="F630" t="s">
        <v>2430</v>
      </c>
      <c r="G630" t="s">
        <v>1333</v>
      </c>
      <c r="H630" t="s">
        <v>16</v>
      </c>
      <c r="I630" t="s">
        <v>33</v>
      </c>
      <c r="J630">
        <v>382</v>
      </c>
      <c r="K630" t="s">
        <v>164</v>
      </c>
      <c r="L630" s="2">
        <v>44034</v>
      </c>
      <c r="M630" t="s">
        <v>68</v>
      </c>
      <c r="N630" t="s">
        <v>169</v>
      </c>
      <c r="O630">
        <v>88574</v>
      </c>
      <c r="P630" t="s">
        <v>21</v>
      </c>
      <c r="Q630" t="str">
        <f>TEXT(Data_Set_3[[#This Row],[date]],"mmmm")</f>
        <v>July</v>
      </c>
      <c r="R630">
        <f>MONTH(Data_Set_3[[#This Row],[date]])</f>
        <v>7</v>
      </c>
      <c r="S630">
        <f>YEAR(Data_Set_3[[#This Row],[date]])</f>
        <v>2020</v>
      </c>
    </row>
    <row r="631" spans="1:19" x14ac:dyDescent="0.3">
      <c r="A631">
        <v>1017</v>
      </c>
      <c r="B631" t="s">
        <v>803</v>
      </c>
      <c r="C631" t="s">
        <v>3048</v>
      </c>
      <c r="D631" t="s">
        <v>3049</v>
      </c>
      <c r="E631" t="s">
        <v>3050</v>
      </c>
      <c r="F631" t="s">
        <v>1306</v>
      </c>
      <c r="G631" t="s">
        <v>1845</v>
      </c>
      <c r="H631" t="s">
        <v>32</v>
      </c>
      <c r="I631" t="s">
        <v>17</v>
      </c>
      <c r="J631">
        <v>231</v>
      </c>
      <c r="K631" t="s">
        <v>26</v>
      </c>
      <c r="L631" s="2">
        <v>44035</v>
      </c>
      <c r="M631" t="s">
        <v>246</v>
      </c>
      <c r="N631" t="s">
        <v>339</v>
      </c>
      <c r="O631">
        <v>60663</v>
      </c>
      <c r="P631" t="s">
        <v>21</v>
      </c>
      <c r="Q631" t="str">
        <f>TEXT(Data_Set_3[[#This Row],[date]],"mmmm")</f>
        <v>July</v>
      </c>
      <c r="R631">
        <f>MONTH(Data_Set_3[[#This Row],[date]])</f>
        <v>7</v>
      </c>
      <c r="S631">
        <f>YEAR(Data_Set_3[[#This Row],[date]])</f>
        <v>2020</v>
      </c>
    </row>
    <row r="632" spans="1:19" x14ac:dyDescent="0.3">
      <c r="A632">
        <v>1121</v>
      </c>
      <c r="B632" t="s">
        <v>773</v>
      </c>
      <c r="C632" t="s">
        <v>3525</v>
      </c>
      <c r="D632" t="s">
        <v>3526</v>
      </c>
      <c r="E632" t="s">
        <v>3527</v>
      </c>
      <c r="F632" t="s">
        <v>1301</v>
      </c>
      <c r="G632" t="s">
        <v>1312</v>
      </c>
      <c r="H632" t="s">
        <v>16</v>
      </c>
      <c r="I632" t="s">
        <v>51</v>
      </c>
      <c r="J632">
        <v>173</v>
      </c>
      <c r="K632" t="s">
        <v>164</v>
      </c>
      <c r="L632" s="2">
        <v>44035</v>
      </c>
      <c r="M632" t="s">
        <v>147</v>
      </c>
      <c r="N632" t="s">
        <v>777</v>
      </c>
      <c r="O632">
        <v>53710</v>
      </c>
      <c r="P632" t="s">
        <v>21</v>
      </c>
      <c r="Q632" t="str">
        <f>TEXT(Data_Set_3[[#This Row],[date]],"mmmm")</f>
        <v>July</v>
      </c>
      <c r="R632">
        <f>MONTH(Data_Set_3[[#This Row],[date]])</f>
        <v>7</v>
      </c>
      <c r="S632">
        <f>YEAR(Data_Set_3[[#This Row],[date]])</f>
        <v>2020</v>
      </c>
    </row>
    <row r="633" spans="1:19" x14ac:dyDescent="0.3">
      <c r="A633">
        <v>1365</v>
      </c>
      <c r="B633" t="s">
        <v>1183</v>
      </c>
      <c r="C633" t="s">
        <v>813</v>
      </c>
      <c r="D633" t="s">
        <v>2957</v>
      </c>
      <c r="E633" t="s">
        <v>2958</v>
      </c>
      <c r="F633" t="s">
        <v>1644</v>
      </c>
      <c r="G633" t="s">
        <v>2061</v>
      </c>
      <c r="H633" t="s">
        <v>16</v>
      </c>
      <c r="I633" t="s">
        <v>51</v>
      </c>
      <c r="J633">
        <v>627</v>
      </c>
      <c r="K633" t="s">
        <v>62</v>
      </c>
      <c r="L633" s="2">
        <v>44038</v>
      </c>
      <c r="M633" t="s">
        <v>115</v>
      </c>
      <c r="N633" t="s">
        <v>143</v>
      </c>
      <c r="O633">
        <v>33261</v>
      </c>
      <c r="P633" t="s">
        <v>21</v>
      </c>
      <c r="Q633" t="str">
        <f>TEXT(Data_Set_3[[#This Row],[date]],"mmmm")</f>
        <v>July</v>
      </c>
      <c r="R633">
        <f>MONTH(Data_Set_3[[#This Row],[date]])</f>
        <v>7</v>
      </c>
      <c r="S633">
        <f>YEAR(Data_Set_3[[#This Row],[date]])</f>
        <v>2020</v>
      </c>
    </row>
    <row r="634" spans="1:19" x14ac:dyDescent="0.3">
      <c r="A634">
        <v>1123</v>
      </c>
      <c r="B634" t="s">
        <v>1130</v>
      </c>
      <c r="C634" t="s">
        <v>423</v>
      </c>
      <c r="D634" t="s">
        <v>3031</v>
      </c>
      <c r="E634" t="s">
        <v>3032</v>
      </c>
      <c r="F634" t="s">
        <v>1450</v>
      </c>
      <c r="G634" t="s">
        <v>1985</v>
      </c>
      <c r="H634" t="s">
        <v>16</v>
      </c>
      <c r="I634" t="s">
        <v>51</v>
      </c>
      <c r="J634">
        <v>889</v>
      </c>
      <c r="K634" t="s">
        <v>164</v>
      </c>
      <c r="L634" s="2">
        <v>44043</v>
      </c>
      <c r="M634" t="s">
        <v>115</v>
      </c>
      <c r="N634" t="s">
        <v>864</v>
      </c>
      <c r="O634">
        <v>33673</v>
      </c>
      <c r="P634" t="s">
        <v>21</v>
      </c>
      <c r="Q634" t="str">
        <f>TEXT(Data_Set_3[[#This Row],[date]],"mmmm")</f>
        <v>July</v>
      </c>
      <c r="R634">
        <f>MONTH(Data_Set_3[[#This Row],[date]])</f>
        <v>7</v>
      </c>
      <c r="S634">
        <f>YEAR(Data_Set_3[[#This Row],[date]])</f>
        <v>2020</v>
      </c>
    </row>
    <row r="635" spans="1:19" x14ac:dyDescent="0.3">
      <c r="A635">
        <v>1812</v>
      </c>
      <c r="B635" t="s">
        <v>1130</v>
      </c>
      <c r="C635" t="s">
        <v>639</v>
      </c>
      <c r="D635" t="s">
        <v>2863</v>
      </c>
      <c r="E635" t="s">
        <v>2864</v>
      </c>
      <c r="F635" t="s">
        <v>2641</v>
      </c>
      <c r="G635" t="s">
        <v>1653</v>
      </c>
      <c r="H635" t="s">
        <v>16</v>
      </c>
      <c r="I635" t="s">
        <v>543</v>
      </c>
      <c r="J635">
        <v>408</v>
      </c>
      <c r="K635" t="s">
        <v>34</v>
      </c>
      <c r="L635" s="2">
        <v>44043</v>
      </c>
      <c r="M635" t="s">
        <v>524</v>
      </c>
      <c r="N635" t="s">
        <v>815</v>
      </c>
      <c r="O635">
        <v>35220</v>
      </c>
      <c r="P635" t="s">
        <v>21</v>
      </c>
      <c r="Q635" t="str">
        <f>TEXT(Data_Set_3[[#This Row],[date]],"mmmm")</f>
        <v>July</v>
      </c>
      <c r="R635">
        <f>MONTH(Data_Set_3[[#This Row],[date]])</f>
        <v>7</v>
      </c>
      <c r="S635">
        <f>YEAR(Data_Set_3[[#This Row],[date]])</f>
        <v>2020</v>
      </c>
    </row>
    <row r="636" spans="1:19" x14ac:dyDescent="0.3">
      <c r="A636">
        <v>1404</v>
      </c>
      <c r="B636" t="s">
        <v>541</v>
      </c>
      <c r="C636" t="s">
        <v>1240</v>
      </c>
      <c r="D636" t="s">
        <v>2893</v>
      </c>
      <c r="E636" t="s">
        <v>2894</v>
      </c>
      <c r="F636" t="s">
        <v>2895</v>
      </c>
      <c r="G636" t="s">
        <v>2664</v>
      </c>
      <c r="H636" t="s">
        <v>32</v>
      </c>
      <c r="I636" t="s">
        <v>274</v>
      </c>
      <c r="J636">
        <v>907</v>
      </c>
      <c r="K636" t="s">
        <v>26</v>
      </c>
      <c r="L636" s="2">
        <v>44045</v>
      </c>
      <c r="M636" t="s">
        <v>96</v>
      </c>
      <c r="N636" t="s">
        <v>329</v>
      </c>
      <c r="O636">
        <v>47725</v>
      </c>
      <c r="P636" t="s">
        <v>21</v>
      </c>
      <c r="Q636" t="str">
        <f>TEXT(Data_Set_3[[#This Row],[date]],"mmmm")</f>
        <v>August</v>
      </c>
      <c r="R636">
        <f>MONTH(Data_Set_3[[#This Row],[date]])</f>
        <v>8</v>
      </c>
      <c r="S636">
        <f>YEAR(Data_Set_3[[#This Row],[date]])</f>
        <v>2020</v>
      </c>
    </row>
    <row r="637" spans="1:19" x14ac:dyDescent="0.3">
      <c r="A637">
        <v>1260</v>
      </c>
      <c r="B637" t="s">
        <v>417</v>
      </c>
      <c r="C637" t="s">
        <v>2904</v>
      </c>
      <c r="D637" t="s">
        <v>2905</v>
      </c>
      <c r="E637" t="s">
        <v>2906</v>
      </c>
      <c r="F637" t="s">
        <v>1777</v>
      </c>
      <c r="G637" t="s">
        <v>2571</v>
      </c>
      <c r="H637" t="s">
        <v>16</v>
      </c>
      <c r="I637" t="s">
        <v>543</v>
      </c>
      <c r="J637">
        <v>190</v>
      </c>
      <c r="K637" t="s">
        <v>26</v>
      </c>
      <c r="L637" s="2">
        <v>44048</v>
      </c>
      <c r="M637" t="s">
        <v>220</v>
      </c>
      <c r="N637" t="s">
        <v>2907</v>
      </c>
      <c r="O637">
        <v>99215</v>
      </c>
      <c r="P637" t="s">
        <v>21</v>
      </c>
      <c r="Q637" t="str">
        <f>TEXT(Data_Set_3[[#This Row],[date]],"mmmm")</f>
        <v>August</v>
      </c>
      <c r="R637">
        <f>MONTH(Data_Set_3[[#This Row],[date]])</f>
        <v>8</v>
      </c>
      <c r="S637">
        <f>YEAR(Data_Set_3[[#This Row],[date]])</f>
        <v>2020</v>
      </c>
    </row>
    <row r="638" spans="1:19" x14ac:dyDescent="0.3">
      <c r="A638">
        <v>1144</v>
      </c>
      <c r="B638" t="s">
        <v>644</v>
      </c>
      <c r="C638" t="s">
        <v>581</v>
      </c>
      <c r="D638" t="s">
        <v>3114</v>
      </c>
      <c r="E638" t="s">
        <v>3115</v>
      </c>
      <c r="F638" t="s">
        <v>2641</v>
      </c>
      <c r="G638" t="s">
        <v>2709</v>
      </c>
      <c r="H638" t="s">
        <v>32</v>
      </c>
      <c r="I638" t="s">
        <v>25</v>
      </c>
      <c r="J638">
        <v>917</v>
      </c>
      <c r="K638" t="s">
        <v>62</v>
      </c>
      <c r="L638" s="2">
        <v>44050</v>
      </c>
      <c r="M638" t="s">
        <v>184</v>
      </c>
      <c r="N638" t="s">
        <v>3116</v>
      </c>
      <c r="O638">
        <v>11355</v>
      </c>
      <c r="P638" t="s">
        <v>21</v>
      </c>
      <c r="Q638" t="str">
        <f>TEXT(Data_Set_3[[#This Row],[date]],"mmmm")</f>
        <v>August</v>
      </c>
      <c r="R638">
        <f>MONTH(Data_Set_3[[#This Row],[date]])</f>
        <v>8</v>
      </c>
      <c r="S638">
        <f>YEAR(Data_Set_3[[#This Row],[date]])</f>
        <v>2020</v>
      </c>
    </row>
    <row r="639" spans="1:19" x14ac:dyDescent="0.3">
      <c r="A639">
        <v>1519</v>
      </c>
      <c r="B639" t="s">
        <v>555</v>
      </c>
      <c r="C639" t="s">
        <v>363</v>
      </c>
      <c r="D639" t="s">
        <v>3528</v>
      </c>
      <c r="E639" t="s">
        <v>3529</v>
      </c>
      <c r="F639" t="s">
        <v>1638</v>
      </c>
      <c r="G639" t="s">
        <v>1333</v>
      </c>
      <c r="H639" t="s">
        <v>16</v>
      </c>
      <c r="I639" t="s">
        <v>33</v>
      </c>
      <c r="J639">
        <v>787</v>
      </c>
      <c r="K639" t="s">
        <v>62</v>
      </c>
      <c r="L639" s="2">
        <v>44054</v>
      </c>
      <c r="M639" t="s">
        <v>152</v>
      </c>
      <c r="N639" t="s">
        <v>3462</v>
      </c>
      <c r="O639">
        <v>45807</v>
      </c>
      <c r="P639" t="s">
        <v>21</v>
      </c>
      <c r="Q639" t="str">
        <f>TEXT(Data_Set_3[[#This Row],[date]],"mmmm")</f>
        <v>August</v>
      </c>
      <c r="R639">
        <f>MONTH(Data_Set_3[[#This Row],[date]])</f>
        <v>8</v>
      </c>
      <c r="S639">
        <f>YEAR(Data_Set_3[[#This Row],[date]])</f>
        <v>2020</v>
      </c>
    </row>
    <row r="640" spans="1:19" x14ac:dyDescent="0.3">
      <c r="A640">
        <v>1656</v>
      </c>
      <c r="B640" t="s">
        <v>687</v>
      </c>
      <c r="C640" t="s">
        <v>30</v>
      </c>
      <c r="D640" t="s">
        <v>3530</v>
      </c>
      <c r="E640" t="s">
        <v>3531</v>
      </c>
      <c r="F640" t="s">
        <v>1293</v>
      </c>
      <c r="G640" t="s">
        <v>1653</v>
      </c>
      <c r="H640" t="s">
        <v>16</v>
      </c>
      <c r="I640" t="s">
        <v>17</v>
      </c>
      <c r="J640">
        <v>319</v>
      </c>
      <c r="K640" t="s">
        <v>341</v>
      </c>
      <c r="L640" s="2">
        <v>44054</v>
      </c>
      <c r="M640" t="s">
        <v>842</v>
      </c>
      <c r="N640" t="s">
        <v>843</v>
      </c>
      <c r="O640">
        <v>58505</v>
      </c>
      <c r="P640" t="s">
        <v>21</v>
      </c>
      <c r="Q640" t="str">
        <f>TEXT(Data_Set_3[[#This Row],[date]],"mmmm")</f>
        <v>August</v>
      </c>
      <c r="R640">
        <f>MONTH(Data_Set_3[[#This Row],[date]])</f>
        <v>8</v>
      </c>
      <c r="S640">
        <f>YEAR(Data_Set_3[[#This Row],[date]])</f>
        <v>2020</v>
      </c>
    </row>
    <row r="641" spans="1:19" x14ac:dyDescent="0.3">
      <c r="A641">
        <v>1993</v>
      </c>
      <c r="B641" t="s">
        <v>366</v>
      </c>
      <c r="C641" t="s">
        <v>1089</v>
      </c>
      <c r="D641" t="s">
        <v>3441</v>
      </c>
      <c r="E641" t="s">
        <v>3442</v>
      </c>
      <c r="F641" t="s">
        <v>1811</v>
      </c>
      <c r="G641" t="s">
        <v>2432</v>
      </c>
      <c r="H641" t="s">
        <v>32</v>
      </c>
      <c r="I641" t="s">
        <v>33</v>
      </c>
      <c r="J641">
        <v>682</v>
      </c>
      <c r="K641" t="s">
        <v>225</v>
      </c>
      <c r="L641" s="2">
        <v>44057</v>
      </c>
      <c r="M641" t="s">
        <v>254</v>
      </c>
      <c r="N641" t="s">
        <v>255</v>
      </c>
      <c r="O641">
        <v>50369</v>
      </c>
      <c r="P641" t="s">
        <v>21</v>
      </c>
      <c r="Q641" t="str">
        <f>TEXT(Data_Set_3[[#This Row],[date]],"mmmm")</f>
        <v>August</v>
      </c>
      <c r="R641">
        <f>MONTH(Data_Set_3[[#This Row],[date]])</f>
        <v>8</v>
      </c>
      <c r="S641">
        <f>YEAR(Data_Set_3[[#This Row],[date]])</f>
        <v>2020</v>
      </c>
    </row>
    <row r="642" spans="1:19" x14ac:dyDescent="0.3">
      <c r="A642">
        <v>1092</v>
      </c>
      <c r="B642" t="s">
        <v>516</v>
      </c>
      <c r="C642" t="s">
        <v>455</v>
      </c>
      <c r="D642" t="s">
        <v>2976</v>
      </c>
      <c r="E642" t="s">
        <v>2977</v>
      </c>
      <c r="F642" t="s">
        <v>1763</v>
      </c>
      <c r="G642" t="s">
        <v>1486</v>
      </c>
      <c r="H642" t="s">
        <v>32</v>
      </c>
      <c r="I642" t="s">
        <v>51</v>
      </c>
      <c r="J642">
        <v>20</v>
      </c>
      <c r="K642" t="s">
        <v>73</v>
      </c>
      <c r="L642" s="2">
        <v>44059</v>
      </c>
      <c r="M642" t="s">
        <v>115</v>
      </c>
      <c r="N642" t="s">
        <v>1048</v>
      </c>
      <c r="O642">
        <v>34233</v>
      </c>
      <c r="P642" t="s">
        <v>21</v>
      </c>
      <c r="Q642" t="str">
        <f>TEXT(Data_Set_3[[#This Row],[date]],"mmmm")</f>
        <v>August</v>
      </c>
      <c r="R642">
        <f>MONTH(Data_Set_3[[#This Row],[date]])</f>
        <v>8</v>
      </c>
      <c r="S642">
        <f>YEAR(Data_Set_3[[#This Row],[date]])</f>
        <v>2020</v>
      </c>
    </row>
    <row r="643" spans="1:19" x14ac:dyDescent="0.3">
      <c r="A643">
        <v>1880</v>
      </c>
      <c r="B643" t="s">
        <v>304</v>
      </c>
      <c r="C643" t="s">
        <v>526</v>
      </c>
      <c r="D643" t="s">
        <v>2831</v>
      </c>
      <c r="E643" t="s">
        <v>2832</v>
      </c>
      <c r="F643" t="s">
        <v>1376</v>
      </c>
      <c r="G643" t="s">
        <v>2577</v>
      </c>
      <c r="H643" t="s">
        <v>32</v>
      </c>
      <c r="I643" t="s">
        <v>274</v>
      </c>
      <c r="J643">
        <v>841</v>
      </c>
      <c r="K643" t="s">
        <v>26</v>
      </c>
      <c r="L643" s="2">
        <v>44059</v>
      </c>
      <c r="M643" t="s">
        <v>246</v>
      </c>
      <c r="N643" t="s">
        <v>339</v>
      </c>
      <c r="O643">
        <v>60614</v>
      </c>
      <c r="P643" t="s">
        <v>21</v>
      </c>
      <c r="Q643" t="str">
        <f>TEXT(Data_Set_3[[#This Row],[date]],"mmmm")</f>
        <v>August</v>
      </c>
      <c r="R643">
        <f>MONTH(Data_Set_3[[#This Row],[date]])</f>
        <v>8</v>
      </c>
      <c r="S643">
        <f>YEAR(Data_Set_3[[#This Row],[date]])</f>
        <v>2020</v>
      </c>
    </row>
    <row r="644" spans="1:19" x14ac:dyDescent="0.3">
      <c r="A644">
        <v>1020</v>
      </c>
      <c r="B644" t="s">
        <v>122</v>
      </c>
      <c r="C644" t="s">
        <v>954</v>
      </c>
      <c r="D644" t="s">
        <v>2888</v>
      </c>
      <c r="E644" t="s">
        <v>2889</v>
      </c>
      <c r="F644" t="s">
        <v>1998</v>
      </c>
      <c r="G644" t="s">
        <v>1926</v>
      </c>
      <c r="H644" t="s">
        <v>32</v>
      </c>
      <c r="I644" t="s">
        <v>17</v>
      </c>
      <c r="J644">
        <v>198</v>
      </c>
      <c r="K644" t="s">
        <v>26</v>
      </c>
      <c r="L644" s="2">
        <v>44062</v>
      </c>
      <c r="M644" t="s">
        <v>35</v>
      </c>
      <c r="N644" t="s">
        <v>620</v>
      </c>
      <c r="O644">
        <v>94105</v>
      </c>
      <c r="P644" t="s">
        <v>21</v>
      </c>
      <c r="Q644" t="str">
        <f>TEXT(Data_Set_3[[#This Row],[date]],"mmmm")</f>
        <v>August</v>
      </c>
      <c r="R644">
        <f>MONTH(Data_Set_3[[#This Row],[date]])</f>
        <v>8</v>
      </c>
      <c r="S644">
        <f>YEAR(Data_Set_3[[#This Row],[date]])</f>
        <v>2020</v>
      </c>
    </row>
    <row r="645" spans="1:19" x14ac:dyDescent="0.3">
      <c r="A645">
        <v>1983</v>
      </c>
      <c r="B645" t="s">
        <v>117</v>
      </c>
      <c r="C645" t="s">
        <v>930</v>
      </c>
      <c r="D645" t="s">
        <v>3022</v>
      </c>
      <c r="E645" t="s">
        <v>3023</v>
      </c>
      <c r="F645" t="s">
        <v>1420</v>
      </c>
      <c r="G645" t="s">
        <v>1863</v>
      </c>
      <c r="H645" t="s">
        <v>32</v>
      </c>
      <c r="I645" t="s">
        <v>33</v>
      </c>
      <c r="J645">
        <v>333</v>
      </c>
      <c r="K645" t="s">
        <v>26</v>
      </c>
      <c r="L645" s="2">
        <v>44062</v>
      </c>
      <c r="M645" t="s">
        <v>58</v>
      </c>
      <c r="N645" t="s">
        <v>419</v>
      </c>
      <c r="O645">
        <v>66112</v>
      </c>
      <c r="P645" t="s">
        <v>21</v>
      </c>
      <c r="Q645" t="str">
        <f>TEXT(Data_Set_3[[#This Row],[date]],"mmmm")</f>
        <v>August</v>
      </c>
      <c r="R645">
        <f>MONTH(Data_Set_3[[#This Row],[date]])</f>
        <v>8</v>
      </c>
      <c r="S645">
        <f>YEAR(Data_Set_3[[#This Row],[date]])</f>
        <v>2020</v>
      </c>
    </row>
    <row r="646" spans="1:19" x14ac:dyDescent="0.3">
      <c r="A646">
        <v>1984</v>
      </c>
      <c r="B646" t="s">
        <v>333</v>
      </c>
      <c r="C646" t="s">
        <v>3160</v>
      </c>
      <c r="D646" t="s">
        <v>3161</v>
      </c>
      <c r="E646" t="s">
        <v>3162</v>
      </c>
      <c r="F646" t="s">
        <v>1558</v>
      </c>
      <c r="G646" t="s">
        <v>2685</v>
      </c>
      <c r="H646" t="s">
        <v>32</v>
      </c>
      <c r="I646" t="s">
        <v>33</v>
      </c>
      <c r="J646">
        <v>771</v>
      </c>
      <c r="K646" t="s">
        <v>62</v>
      </c>
      <c r="L646" s="2">
        <v>44064</v>
      </c>
      <c r="M646" t="s">
        <v>125</v>
      </c>
      <c r="N646" t="s">
        <v>247</v>
      </c>
      <c r="O646">
        <v>65810</v>
      </c>
      <c r="P646" t="s">
        <v>21</v>
      </c>
      <c r="Q646" t="str">
        <f>TEXT(Data_Set_3[[#This Row],[date]],"mmmm")</f>
        <v>August</v>
      </c>
      <c r="R646">
        <f>MONTH(Data_Set_3[[#This Row],[date]])</f>
        <v>8</v>
      </c>
      <c r="S646">
        <f>YEAR(Data_Set_3[[#This Row],[date]])</f>
        <v>2020</v>
      </c>
    </row>
    <row r="647" spans="1:19" x14ac:dyDescent="0.3">
      <c r="A647">
        <v>1081</v>
      </c>
      <c r="B647" t="s">
        <v>29</v>
      </c>
      <c r="C647" t="s">
        <v>906</v>
      </c>
      <c r="D647" t="s">
        <v>2980</v>
      </c>
      <c r="E647" t="s">
        <v>2981</v>
      </c>
      <c r="F647" t="s">
        <v>2342</v>
      </c>
      <c r="G647" t="s">
        <v>2286</v>
      </c>
      <c r="H647" t="s">
        <v>32</v>
      </c>
      <c r="I647" t="s">
        <v>51</v>
      </c>
      <c r="J647">
        <v>143</v>
      </c>
      <c r="K647" t="s">
        <v>18</v>
      </c>
      <c r="L647" s="2">
        <v>44066</v>
      </c>
      <c r="M647" t="s">
        <v>152</v>
      </c>
      <c r="N647" t="s">
        <v>484</v>
      </c>
      <c r="O647">
        <v>45426</v>
      </c>
      <c r="P647" t="s">
        <v>21</v>
      </c>
      <c r="Q647" t="str">
        <f>TEXT(Data_Set_3[[#This Row],[date]],"mmmm")</f>
        <v>August</v>
      </c>
      <c r="R647">
        <f>MONTH(Data_Set_3[[#This Row],[date]])</f>
        <v>8</v>
      </c>
      <c r="S647">
        <f>YEAR(Data_Set_3[[#This Row],[date]])</f>
        <v>2020</v>
      </c>
    </row>
    <row r="648" spans="1:19" x14ac:dyDescent="0.3">
      <c r="A648">
        <v>1019</v>
      </c>
      <c r="B648" t="s">
        <v>460</v>
      </c>
      <c r="C648" t="s">
        <v>446</v>
      </c>
      <c r="D648" t="s">
        <v>3093</v>
      </c>
      <c r="E648" t="s">
        <v>3094</v>
      </c>
      <c r="F648" t="s">
        <v>1323</v>
      </c>
      <c r="G648" t="s">
        <v>2495</v>
      </c>
      <c r="H648" t="s">
        <v>32</v>
      </c>
      <c r="I648" t="s">
        <v>17</v>
      </c>
      <c r="J648">
        <v>107</v>
      </c>
      <c r="K648" t="s">
        <v>62</v>
      </c>
      <c r="L648" s="2">
        <v>44069</v>
      </c>
      <c r="M648" t="s">
        <v>563</v>
      </c>
      <c r="N648" t="s">
        <v>564</v>
      </c>
      <c r="O648">
        <v>83705</v>
      </c>
      <c r="P648" t="s">
        <v>21</v>
      </c>
      <c r="Q648" t="str">
        <f>TEXT(Data_Set_3[[#This Row],[date]],"mmmm")</f>
        <v>August</v>
      </c>
      <c r="R648">
        <f>MONTH(Data_Set_3[[#This Row],[date]])</f>
        <v>8</v>
      </c>
      <c r="S648">
        <f>YEAR(Data_Set_3[[#This Row],[date]])</f>
        <v>2020</v>
      </c>
    </row>
    <row r="649" spans="1:19" x14ac:dyDescent="0.3">
      <c r="A649">
        <v>1277</v>
      </c>
      <c r="B649" t="s">
        <v>43</v>
      </c>
      <c r="C649" t="s">
        <v>783</v>
      </c>
      <c r="D649" t="s">
        <v>2861</v>
      </c>
      <c r="E649" t="s">
        <v>2862</v>
      </c>
      <c r="F649" t="s">
        <v>1850</v>
      </c>
      <c r="G649" t="s">
        <v>2219</v>
      </c>
      <c r="H649" t="s">
        <v>16</v>
      </c>
      <c r="I649" t="s">
        <v>454</v>
      </c>
      <c r="J649">
        <v>911</v>
      </c>
      <c r="K649" t="s">
        <v>416</v>
      </c>
      <c r="L649" s="2">
        <v>44069</v>
      </c>
      <c r="M649" t="s">
        <v>152</v>
      </c>
      <c r="N649" t="s">
        <v>251</v>
      </c>
      <c r="O649">
        <v>44310</v>
      </c>
      <c r="P649" t="s">
        <v>21</v>
      </c>
      <c r="Q649" t="str">
        <f>TEXT(Data_Set_3[[#This Row],[date]],"mmmm")</f>
        <v>August</v>
      </c>
      <c r="R649">
        <f>MONTH(Data_Set_3[[#This Row],[date]])</f>
        <v>8</v>
      </c>
      <c r="S649">
        <f>YEAR(Data_Set_3[[#This Row],[date]])</f>
        <v>2020</v>
      </c>
    </row>
    <row r="650" spans="1:19" x14ac:dyDescent="0.3">
      <c r="A650">
        <v>1020</v>
      </c>
      <c r="B650" t="s">
        <v>122</v>
      </c>
      <c r="C650" t="s">
        <v>954</v>
      </c>
      <c r="D650" t="s">
        <v>2888</v>
      </c>
      <c r="E650" t="s">
        <v>2889</v>
      </c>
      <c r="F650" t="s">
        <v>1998</v>
      </c>
      <c r="G650" t="s">
        <v>1926</v>
      </c>
      <c r="H650" t="s">
        <v>32</v>
      </c>
      <c r="I650" t="s">
        <v>17</v>
      </c>
      <c r="J650">
        <v>44</v>
      </c>
      <c r="K650" t="s">
        <v>26</v>
      </c>
      <c r="L650" s="2">
        <v>44071</v>
      </c>
      <c r="M650" t="s">
        <v>35</v>
      </c>
      <c r="N650" t="s">
        <v>620</v>
      </c>
      <c r="O650">
        <v>94105</v>
      </c>
      <c r="P650" t="s">
        <v>21</v>
      </c>
      <c r="Q650" t="str">
        <f>TEXT(Data_Set_3[[#This Row],[date]],"mmmm")</f>
        <v>August</v>
      </c>
      <c r="R650">
        <f>MONTH(Data_Set_3[[#This Row],[date]])</f>
        <v>8</v>
      </c>
      <c r="S650">
        <f>YEAR(Data_Set_3[[#This Row],[date]])</f>
        <v>2020</v>
      </c>
    </row>
    <row r="651" spans="1:19" x14ac:dyDescent="0.3">
      <c r="A651">
        <v>1020</v>
      </c>
      <c r="B651" t="s">
        <v>122</v>
      </c>
      <c r="C651" t="s">
        <v>954</v>
      </c>
      <c r="D651" t="s">
        <v>2888</v>
      </c>
      <c r="E651" t="s">
        <v>2889</v>
      </c>
      <c r="F651" t="s">
        <v>1998</v>
      </c>
      <c r="G651" t="s">
        <v>1926</v>
      </c>
      <c r="H651" t="s">
        <v>32</v>
      </c>
      <c r="I651" t="s">
        <v>17</v>
      </c>
      <c r="J651">
        <v>905</v>
      </c>
      <c r="K651" t="s">
        <v>26</v>
      </c>
      <c r="L651" s="2">
        <v>44072</v>
      </c>
      <c r="M651" t="s">
        <v>35</v>
      </c>
      <c r="N651" t="s">
        <v>620</v>
      </c>
      <c r="O651">
        <v>94105</v>
      </c>
      <c r="P651" t="s">
        <v>21</v>
      </c>
      <c r="Q651" t="str">
        <f>TEXT(Data_Set_3[[#This Row],[date]],"mmmm")</f>
        <v>August</v>
      </c>
      <c r="R651">
        <f>MONTH(Data_Set_3[[#This Row],[date]])</f>
        <v>8</v>
      </c>
      <c r="S651">
        <f>YEAR(Data_Set_3[[#This Row],[date]])</f>
        <v>2020</v>
      </c>
    </row>
    <row r="652" spans="1:19" x14ac:dyDescent="0.3">
      <c r="A652">
        <v>1985</v>
      </c>
      <c r="B652" t="s">
        <v>595</v>
      </c>
      <c r="C652" t="s">
        <v>840</v>
      </c>
      <c r="D652" t="s">
        <v>3532</v>
      </c>
      <c r="E652" t="s">
        <v>3533</v>
      </c>
      <c r="F652" t="s">
        <v>1770</v>
      </c>
      <c r="G652" t="s">
        <v>2142</v>
      </c>
      <c r="H652" t="s">
        <v>32</v>
      </c>
      <c r="I652" t="s">
        <v>33</v>
      </c>
      <c r="J652">
        <v>267</v>
      </c>
      <c r="K652" t="s">
        <v>18</v>
      </c>
      <c r="L652" s="2">
        <v>44079</v>
      </c>
      <c r="M652" t="s">
        <v>246</v>
      </c>
      <c r="N652" t="s">
        <v>339</v>
      </c>
      <c r="O652">
        <v>60646</v>
      </c>
      <c r="P652" t="s">
        <v>21</v>
      </c>
      <c r="Q652" t="str">
        <f>TEXT(Data_Set_3[[#This Row],[date]],"mmmm")</f>
        <v>September</v>
      </c>
      <c r="R652">
        <f>MONTH(Data_Set_3[[#This Row],[date]])</f>
        <v>9</v>
      </c>
      <c r="S652">
        <f>YEAR(Data_Set_3[[#This Row],[date]])</f>
        <v>2020</v>
      </c>
    </row>
    <row r="653" spans="1:19" x14ac:dyDescent="0.3">
      <c r="A653">
        <v>1990</v>
      </c>
      <c r="B653" t="s">
        <v>186</v>
      </c>
      <c r="C653" t="s">
        <v>367</v>
      </c>
      <c r="D653" t="s">
        <v>3534</v>
      </c>
      <c r="E653" t="s">
        <v>3535</v>
      </c>
      <c r="F653" t="s">
        <v>2192</v>
      </c>
      <c r="G653" t="s">
        <v>1609</v>
      </c>
      <c r="H653" t="s">
        <v>32</v>
      </c>
      <c r="I653" t="s">
        <v>33</v>
      </c>
      <c r="J653">
        <v>266</v>
      </c>
      <c r="K653" t="s">
        <v>26</v>
      </c>
      <c r="L653" s="2">
        <v>44079</v>
      </c>
      <c r="M653" t="s">
        <v>524</v>
      </c>
      <c r="N653" t="s">
        <v>715</v>
      </c>
      <c r="O653">
        <v>36622</v>
      </c>
      <c r="P653" t="s">
        <v>21</v>
      </c>
      <c r="Q653" t="str">
        <f>TEXT(Data_Set_3[[#This Row],[date]],"mmmm")</f>
        <v>September</v>
      </c>
      <c r="R653">
        <f>MONTH(Data_Set_3[[#This Row],[date]])</f>
        <v>9</v>
      </c>
      <c r="S653">
        <f>YEAR(Data_Set_3[[#This Row],[date]])</f>
        <v>2020</v>
      </c>
    </row>
    <row r="654" spans="1:19" x14ac:dyDescent="0.3">
      <c r="A654">
        <v>1029</v>
      </c>
      <c r="B654" t="s">
        <v>22</v>
      </c>
      <c r="C654" t="s">
        <v>930</v>
      </c>
      <c r="D654" t="s">
        <v>3536</v>
      </c>
      <c r="E654" t="s">
        <v>3537</v>
      </c>
      <c r="F654" t="s">
        <v>3538</v>
      </c>
      <c r="G654" t="s">
        <v>2384</v>
      </c>
      <c r="H654" t="s">
        <v>16</v>
      </c>
      <c r="I654" t="s">
        <v>17</v>
      </c>
      <c r="J654">
        <v>242</v>
      </c>
      <c r="K654" t="s">
        <v>26</v>
      </c>
      <c r="L654" s="2">
        <v>44081</v>
      </c>
      <c r="M654" t="s">
        <v>287</v>
      </c>
      <c r="N654" t="s">
        <v>3539</v>
      </c>
      <c r="O654">
        <v>86305</v>
      </c>
      <c r="P654" t="s">
        <v>21</v>
      </c>
      <c r="Q654" t="str">
        <f>TEXT(Data_Set_3[[#This Row],[date]],"mmmm")</f>
        <v>September</v>
      </c>
      <c r="R654">
        <f>MONTH(Data_Set_3[[#This Row],[date]])</f>
        <v>9</v>
      </c>
      <c r="S654">
        <f>YEAR(Data_Set_3[[#This Row],[date]])</f>
        <v>2020</v>
      </c>
    </row>
    <row r="655" spans="1:19" x14ac:dyDescent="0.3">
      <c r="A655">
        <v>1596</v>
      </c>
      <c r="B655" t="s">
        <v>3072</v>
      </c>
      <c r="C655" t="s">
        <v>296</v>
      </c>
      <c r="D655" t="s">
        <v>3540</v>
      </c>
      <c r="E655" t="s">
        <v>3541</v>
      </c>
      <c r="F655" t="s">
        <v>1847</v>
      </c>
      <c r="G655" t="s">
        <v>2125</v>
      </c>
      <c r="H655" t="s">
        <v>16</v>
      </c>
      <c r="I655" t="s">
        <v>553</v>
      </c>
      <c r="J655">
        <v>658</v>
      </c>
      <c r="K655" t="s">
        <v>109</v>
      </c>
      <c r="L655" s="2">
        <v>44082</v>
      </c>
      <c r="M655" t="s">
        <v>204</v>
      </c>
      <c r="N655" t="s">
        <v>1226</v>
      </c>
      <c r="O655">
        <v>24009</v>
      </c>
      <c r="P655" t="s">
        <v>21</v>
      </c>
      <c r="Q655" t="str">
        <f>TEXT(Data_Set_3[[#This Row],[date]],"mmmm")</f>
        <v>September</v>
      </c>
      <c r="R655">
        <f>MONTH(Data_Set_3[[#This Row],[date]])</f>
        <v>9</v>
      </c>
      <c r="S655">
        <f>YEAR(Data_Set_3[[#This Row],[date]])</f>
        <v>2020</v>
      </c>
    </row>
    <row r="656" spans="1:19" x14ac:dyDescent="0.3">
      <c r="A656">
        <v>1740</v>
      </c>
      <c r="B656" t="s">
        <v>745</v>
      </c>
      <c r="C656" t="s">
        <v>783</v>
      </c>
      <c r="D656" t="s">
        <v>3542</v>
      </c>
      <c r="E656" t="s">
        <v>3543</v>
      </c>
      <c r="F656" t="s">
        <v>1519</v>
      </c>
      <c r="G656" t="s">
        <v>2782</v>
      </c>
      <c r="H656" t="s">
        <v>16</v>
      </c>
      <c r="I656" t="s">
        <v>33</v>
      </c>
      <c r="J656">
        <v>846</v>
      </c>
      <c r="K656" t="s">
        <v>164</v>
      </c>
      <c r="L656" s="2">
        <v>44082</v>
      </c>
      <c r="M656" t="s">
        <v>19</v>
      </c>
      <c r="N656" t="s">
        <v>247</v>
      </c>
      <c r="O656">
        <v>1152</v>
      </c>
      <c r="P656" t="s">
        <v>21</v>
      </c>
      <c r="Q656" t="str">
        <f>TEXT(Data_Set_3[[#This Row],[date]],"mmmm")</f>
        <v>September</v>
      </c>
      <c r="R656">
        <f>MONTH(Data_Set_3[[#This Row],[date]])</f>
        <v>9</v>
      </c>
      <c r="S656">
        <f>YEAR(Data_Set_3[[#This Row],[date]])</f>
        <v>2020</v>
      </c>
    </row>
    <row r="657" spans="1:19" x14ac:dyDescent="0.3">
      <c r="A657">
        <v>1570</v>
      </c>
      <c r="B657" t="s">
        <v>271</v>
      </c>
      <c r="C657" t="s">
        <v>136</v>
      </c>
      <c r="D657" t="s">
        <v>3544</v>
      </c>
      <c r="E657" t="s">
        <v>3545</v>
      </c>
      <c r="F657" t="s">
        <v>1768</v>
      </c>
      <c r="G657" t="s">
        <v>2334</v>
      </c>
      <c r="H657" t="s">
        <v>16</v>
      </c>
      <c r="I657" t="s">
        <v>151</v>
      </c>
      <c r="J657">
        <v>493</v>
      </c>
      <c r="K657" t="s">
        <v>73</v>
      </c>
      <c r="L657" s="2">
        <v>44087</v>
      </c>
      <c r="M657" t="s">
        <v>35</v>
      </c>
      <c r="N657" t="s">
        <v>180</v>
      </c>
      <c r="O657">
        <v>95138</v>
      </c>
      <c r="P657" t="s">
        <v>21</v>
      </c>
      <c r="Q657" t="str">
        <f>TEXT(Data_Set_3[[#This Row],[date]],"mmmm")</f>
        <v>September</v>
      </c>
      <c r="R657">
        <f>MONTH(Data_Set_3[[#This Row],[date]])</f>
        <v>9</v>
      </c>
      <c r="S657">
        <f>YEAR(Data_Set_3[[#This Row],[date]])</f>
        <v>2020</v>
      </c>
    </row>
    <row r="658" spans="1:19" x14ac:dyDescent="0.3">
      <c r="A658">
        <v>1298</v>
      </c>
      <c r="B658" t="s">
        <v>595</v>
      </c>
      <c r="C658" t="s">
        <v>293</v>
      </c>
      <c r="D658" t="s">
        <v>2900</v>
      </c>
      <c r="E658" t="s">
        <v>2901</v>
      </c>
      <c r="F658" t="s">
        <v>1539</v>
      </c>
      <c r="G658" t="s">
        <v>1952</v>
      </c>
      <c r="H658" t="s">
        <v>32</v>
      </c>
      <c r="I658" t="s">
        <v>543</v>
      </c>
      <c r="J658">
        <v>300</v>
      </c>
      <c r="K658" t="s">
        <v>73</v>
      </c>
      <c r="L658" s="2">
        <v>44088</v>
      </c>
      <c r="M658" t="s">
        <v>115</v>
      </c>
      <c r="N658" t="s">
        <v>351</v>
      </c>
      <c r="O658">
        <v>32891</v>
      </c>
      <c r="P658" t="s">
        <v>21</v>
      </c>
      <c r="Q658" t="str">
        <f>TEXT(Data_Set_3[[#This Row],[date]],"mmmm")</f>
        <v>September</v>
      </c>
      <c r="R658">
        <f>MONTH(Data_Set_3[[#This Row],[date]])</f>
        <v>9</v>
      </c>
      <c r="S658">
        <f>YEAR(Data_Set_3[[#This Row],[date]])</f>
        <v>2020</v>
      </c>
    </row>
    <row r="659" spans="1:19" x14ac:dyDescent="0.3">
      <c r="A659">
        <v>1932</v>
      </c>
      <c r="B659" t="s">
        <v>749</v>
      </c>
      <c r="C659" t="s">
        <v>934</v>
      </c>
      <c r="D659" t="s">
        <v>3546</v>
      </c>
      <c r="E659" t="s">
        <v>3547</v>
      </c>
      <c r="F659" t="s">
        <v>3548</v>
      </c>
      <c r="G659" t="s">
        <v>1634</v>
      </c>
      <c r="H659" t="s">
        <v>32</v>
      </c>
      <c r="I659" t="s">
        <v>51</v>
      </c>
      <c r="J659">
        <v>785</v>
      </c>
      <c r="K659" t="s">
        <v>26</v>
      </c>
      <c r="L659" s="2">
        <v>44088</v>
      </c>
      <c r="M659" t="s">
        <v>74</v>
      </c>
      <c r="N659" t="s">
        <v>677</v>
      </c>
      <c r="O659">
        <v>30905</v>
      </c>
      <c r="P659" t="s">
        <v>21</v>
      </c>
      <c r="Q659" t="str">
        <f>TEXT(Data_Set_3[[#This Row],[date]],"mmmm")</f>
        <v>September</v>
      </c>
      <c r="R659">
        <f>MONTH(Data_Set_3[[#This Row],[date]])</f>
        <v>9</v>
      </c>
      <c r="S659">
        <f>YEAR(Data_Set_3[[#This Row],[date]])</f>
        <v>2020</v>
      </c>
    </row>
    <row r="660" spans="1:19" x14ac:dyDescent="0.3">
      <c r="A660">
        <v>1039</v>
      </c>
      <c r="B660" t="s">
        <v>1245</v>
      </c>
      <c r="C660" t="s">
        <v>883</v>
      </c>
      <c r="D660" t="s">
        <v>3128</v>
      </c>
      <c r="E660" t="s">
        <v>3129</v>
      </c>
      <c r="F660" t="s">
        <v>1901</v>
      </c>
      <c r="G660" t="s">
        <v>2508</v>
      </c>
      <c r="H660" t="s">
        <v>16</v>
      </c>
      <c r="I660" t="s">
        <v>17</v>
      </c>
      <c r="J660">
        <v>87</v>
      </c>
      <c r="K660" t="s">
        <v>57</v>
      </c>
      <c r="L660" s="2">
        <v>44089</v>
      </c>
      <c r="M660" t="s">
        <v>41</v>
      </c>
      <c r="N660" t="s">
        <v>42</v>
      </c>
      <c r="O660">
        <v>40298</v>
      </c>
      <c r="P660" t="s">
        <v>21</v>
      </c>
      <c r="Q660" t="str">
        <f>TEXT(Data_Set_3[[#This Row],[date]],"mmmm")</f>
        <v>September</v>
      </c>
      <c r="R660">
        <f>MONTH(Data_Set_3[[#This Row],[date]])</f>
        <v>9</v>
      </c>
      <c r="S660">
        <f>YEAR(Data_Set_3[[#This Row],[date]])</f>
        <v>2020</v>
      </c>
    </row>
    <row r="661" spans="1:19" x14ac:dyDescent="0.3">
      <c r="A661">
        <v>1982</v>
      </c>
      <c r="B661" t="s">
        <v>537</v>
      </c>
      <c r="C661" t="s">
        <v>838</v>
      </c>
      <c r="D661" t="s">
        <v>3549</v>
      </c>
      <c r="E661" t="s">
        <v>3550</v>
      </c>
      <c r="F661" t="s">
        <v>1976</v>
      </c>
      <c r="G661" t="s">
        <v>2546</v>
      </c>
      <c r="H661" t="s">
        <v>16</v>
      </c>
      <c r="I661" t="s">
        <v>33</v>
      </c>
      <c r="J661">
        <v>354</v>
      </c>
      <c r="K661" t="s">
        <v>225</v>
      </c>
      <c r="L661" s="2">
        <v>44090</v>
      </c>
      <c r="M661" t="s">
        <v>35</v>
      </c>
      <c r="N661" t="s">
        <v>180</v>
      </c>
      <c r="O661">
        <v>95155</v>
      </c>
      <c r="P661" t="s">
        <v>21</v>
      </c>
      <c r="Q661" t="str">
        <f>TEXT(Data_Set_3[[#This Row],[date]],"mmmm")</f>
        <v>September</v>
      </c>
      <c r="R661">
        <f>MONTH(Data_Set_3[[#This Row],[date]])</f>
        <v>9</v>
      </c>
      <c r="S661">
        <f>YEAR(Data_Set_3[[#This Row],[date]])</f>
        <v>2020</v>
      </c>
    </row>
    <row r="662" spans="1:19" x14ac:dyDescent="0.3">
      <c r="A662">
        <v>1617</v>
      </c>
      <c r="B662" t="s">
        <v>181</v>
      </c>
      <c r="C662" t="s">
        <v>414</v>
      </c>
      <c r="D662" t="s">
        <v>3551</v>
      </c>
      <c r="E662" t="s">
        <v>3552</v>
      </c>
      <c r="F662" t="s">
        <v>3548</v>
      </c>
      <c r="G662" t="s">
        <v>1899</v>
      </c>
      <c r="H662" t="s">
        <v>32</v>
      </c>
      <c r="I662" t="s">
        <v>25</v>
      </c>
      <c r="J662">
        <v>457</v>
      </c>
      <c r="K662" t="s">
        <v>34</v>
      </c>
      <c r="L662" s="2">
        <v>44091</v>
      </c>
      <c r="M662" t="s">
        <v>3553</v>
      </c>
      <c r="N662" t="s">
        <v>3554</v>
      </c>
      <c r="O662">
        <v>82007</v>
      </c>
      <c r="P662" t="s">
        <v>21</v>
      </c>
      <c r="Q662" t="str">
        <f>TEXT(Data_Set_3[[#This Row],[date]],"mmmm")</f>
        <v>September</v>
      </c>
      <c r="R662">
        <f>MONTH(Data_Set_3[[#This Row],[date]])</f>
        <v>9</v>
      </c>
      <c r="S662">
        <f>YEAR(Data_Set_3[[#This Row],[date]])</f>
        <v>2020</v>
      </c>
    </row>
    <row r="663" spans="1:19" x14ac:dyDescent="0.3">
      <c r="A663">
        <v>1433</v>
      </c>
      <c r="B663" t="s">
        <v>745</v>
      </c>
      <c r="C663" t="s">
        <v>482</v>
      </c>
      <c r="D663" t="s">
        <v>2955</v>
      </c>
      <c r="E663" t="s">
        <v>2956</v>
      </c>
      <c r="F663" t="s">
        <v>1983</v>
      </c>
      <c r="G663" t="s">
        <v>1834</v>
      </c>
      <c r="H663" t="s">
        <v>16</v>
      </c>
      <c r="I663" t="s">
        <v>274</v>
      </c>
      <c r="J663">
        <v>398</v>
      </c>
      <c r="K663" t="s">
        <v>95</v>
      </c>
      <c r="L663" s="2">
        <v>44096</v>
      </c>
      <c r="M663" t="s">
        <v>345</v>
      </c>
      <c r="N663" t="s">
        <v>220</v>
      </c>
      <c r="O663">
        <v>20420</v>
      </c>
      <c r="P663" t="s">
        <v>21</v>
      </c>
      <c r="Q663" t="str">
        <f>TEXT(Data_Set_3[[#This Row],[date]],"mmmm")</f>
        <v>September</v>
      </c>
      <c r="R663">
        <f>MONTH(Data_Set_3[[#This Row],[date]])</f>
        <v>9</v>
      </c>
      <c r="S663">
        <f>YEAR(Data_Set_3[[#This Row],[date]])</f>
        <v>2020</v>
      </c>
    </row>
    <row r="664" spans="1:19" x14ac:dyDescent="0.3">
      <c r="A664">
        <v>1298</v>
      </c>
      <c r="B664" t="s">
        <v>595</v>
      </c>
      <c r="C664" t="s">
        <v>293</v>
      </c>
      <c r="D664" t="s">
        <v>2900</v>
      </c>
      <c r="E664" t="s">
        <v>2901</v>
      </c>
      <c r="F664" t="s">
        <v>1539</v>
      </c>
      <c r="G664" t="s">
        <v>1952</v>
      </c>
      <c r="H664" t="s">
        <v>32</v>
      </c>
      <c r="I664" t="s">
        <v>543</v>
      </c>
      <c r="J664">
        <v>930</v>
      </c>
      <c r="K664" t="s">
        <v>73</v>
      </c>
      <c r="L664" s="2">
        <v>44097</v>
      </c>
      <c r="M664" t="s">
        <v>115</v>
      </c>
      <c r="N664" t="s">
        <v>351</v>
      </c>
      <c r="O664">
        <v>32891</v>
      </c>
      <c r="P664" t="s">
        <v>21</v>
      </c>
      <c r="Q664" t="str">
        <f>TEXT(Data_Set_3[[#This Row],[date]],"mmmm")</f>
        <v>September</v>
      </c>
      <c r="R664">
        <f>MONTH(Data_Set_3[[#This Row],[date]])</f>
        <v>9</v>
      </c>
      <c r="S664">
        <f>YEAR(Data_Set_3[[#This Row],[date]])</f>
        <v>2020</v>
      </c>
    </row>
    <row r="665" spans="1:19" x14ac:dyDescent="0.3">
      <c r="A665">
        <v>1095</v>
      </c>
      <c r="B665" t="s">
        <v>395</v>
      </c>
      <c r="C665" t="s">
        <v>876</v>
      </c>
      <c r="D665" t="s">
        <v>2989</v>
      </c>
      <c r="E665" t="s">
        <v>2990</v>
      </c>
      <c r="F665" t="s">
        <v>1323</v>
      </c>
      <c r="G665" t="s">
        <v>1453</v>
      </c>
      <c r="H665" t="s">
        <v>32</v>
      </c>
      <c r="I665" t="s">
        <v>51</v>
      </c>
      <c r="J665">
        <v>993</v>
      </c>
      <c r="K665" t="s">
        <v>34</v>
      </c>
      <c r="L665" s="2">
        <v>44098</v>
      </c>
      <c r="M665" t="s">
        <v>68</v>
      </c>
      <c r="N665" t="s">
        <v>234</v>
      </c>
      <c r="O665">
        <v>77040</v>
      </c>
      <c r="P665" t="s">
        <v>21</v>
      </c>
      <c r="Q665" t="str">
        <f>TEXT(Data_Set_3[[#This Row],[date]],"mmmm")</f>
        <v>September</v>
      </c>
      <c r="R665">
        <f>MONTH(Data_Set_3[[#This Row],[date]])</f>
        <v>9</v>
      </c>
      <c r="S665">
        <f>YEAR(Data_Set_3[[#This Row],[date]])</f>
        <v>2020</v>
      </c>
    </row>
    <row r="666" spans="1:19" x14ac:dyDescent="0.3">
      <c r="A666">
        <v>1123</v>
      </c>
      <c r="B666" t="s">
        <v>1130</v>
      </c>
      <c r="C666" t="s">
        <v>423</v>
      </c>
      <c r="D666" t="s">
        <v>3031</v>
      </c>
      <c r="E666" t="s">
        <v>3032</v>
      </c>
      <c r="F666" t="s">
        <v>1450</v>
      </c>
      <c r="G666" t="s">
        <v>1985</v>
      </c>
      <c r="H666" t="s">
        <v>16</v>
      </c>
      <c r="I666" t="s">
        <v>51</v>
      </c>
      <c r="J666">
        <v>69</v>
      </c>
      <c r="K666" t="s">
        <v>164</v>
      </c>
      <c r="L666" s="2">
        <v>44104</v>
      </c>
      <c r="M666" t="s">
        <v>115</v>
      </c>
      <c r="N666" t="s">
        <v>864</v>
      </c>
      <c r="O666">
        <v>33673</v>
      </c>
      <c r="P666" t="s">
        <v>21</v>
      </c>
      <c r="Q666" t="str">
        <f>TEXT(Data_Set_3[[#This Row],[date]],"mmmm")</f>
        <v>September</v>
      </c>
      <c r="R666">
        <f>MONTH(Data_Set_3[[#This Row],[date]])</f>
        <v>9</v>
      </c>
      <c r="S666">
        <f>YEAR(Data_Set_3[[#This Row],[date]])</f>
        <v>2020</v>
      </c>
    </row>
    <row r="667" spans="1:19" x14ac:dyDescent="0.3">
      <c r="A667">
        <v>1762</v>
      </c>
      <c r="B667" t="s">
        <v>1053</v>
      </c>
      <c r="C667" t="s">
        <v>964</v>
      </c>
      <c r="D667" t="s">
        <v>3555</v>
      </c>
      <c r="E667" t="s">
        <v>3556</v>
      </c>
      <c r="F667" t="s">
        <v>1357</v>
      </c>
      <c r="G667" t="s">
        <v>1582</v>
      </c>
      <c r="H667" t="s">
        <v>32</v>
      </c>
      <c r="I667" t="s">
        <v>280</v>
      </c>
      <c r="J667">
        <v>337</v>
      </c>
      <c r="K667" t="s">
        <v>26</v>
      </c>
      <c r="L667" s="2">
        <v>44104</v>
      </c>
      <c r="M667" t="s">
        <v>115</v>
      </c>
      <c r="N667" t="s">
        <v>686</v>
      </c>
      <c r="O667">
        <v>33448</v>
      </c>
      <c r="P667" t="s">
        <v>21</v>
      </c>
      <c r="Q667" t="str">
        <f>TEXT(Data_Set_3[[#This Row],[date]],"mmmm")</f>
        <v>September</v>
      </c>
      <c r="R667">
        <f>MONTH(Data_Set_3[[#This Row],[date]])</f>
        <v>9</v>
      </c>
      <c r="S667">
        <f>YEAR(Data_Set_3[[#This Row],[date]])</f>
        <v>2020</v>
      </c>
    </row>
    <row r="668" spans="1:19" x14ac:dyDescent="0.3">
      <c r="A668">
        <v>1212</v>
      </c>
      <c r="B668" t="s">
        <v>547</v>
      </c>
      <c r="C668" t="s">
        <v>337</v>
      </c>
      <c r="D668" t="s">
        <v>2828</v>
      </c>
      <c r="E668" t="s">
        <v>2829</v>
      </c>
      <c r="F668" t="s">
        <v>1608</v>
      </c>
      <c r="G668" t="s">
        <v>2830</v>
      </c>
      <c r="H668" t="s">
        <v>32</v>
      </c>
      <c r="I668" t="s">
        <v>33</v>
      </c>
      <c r="J668">
        <v>885</v>
      </c>
      <c r="K668" t="s">
        <v>34</v>
      </c>
      <c r="L668" s="2">
        <v>44110</v>
      </c>
      <c r="M668" t="s">
        <v>46</v>
      </c>
      <c r="N668" t="s">
        <v>47</v>
      </c>
      <c r="O668">
        <v>6183</v>
      </c>
      <c r="P668" t="s">
        <v>21</v>
      </c>
      <c r="Q668" t="str">
        <f>TEXT(Data_Set_3[[#This Row],[date]],"mmmm")</f>
        <v>October</v>
      </c>
      <c r="R668">
        <f>MONTH(Data_Set_3[[#This Row],[date]])</f>
        <v>10</v>
      </c>
      <c r="S668">
        <f>YEAR(Data_Set_3[[#This Row],[date]])</f>
        <v>2020</v>
      </c>
    </row>
    <row r="669" spans="1:19" x14ac:dyDescent="0.3">
      <c r="A669">
        <v>1537</v>
      </c>
      <c r="B669" t="s">
        <v>336</v>
      </c>
      <c r="C669" t="s">
        <v>954</v>
      </c>
      <c r="D669" t="s">
        <v>3557</v>
      </c>
      <c r="E669" t="s">
        <v>3558</v>
      </c>
      <c r="F669" t="s">
        <v>1745</v>
      </c>
      <c r="G669" t="s">
        <v>1690</v>
      </c>
      <c r="H669" t="s">
        <v>16</v>
      </c>
      <c r="I669" t="s">
        <v>25</v>
      </c>
      <c r="J669">
        <v>691</v>
      </c>
      <c r="K669" t="s">
        <v>109</v>
      </c>
      <c r="L669" s="2">
        <v>44110</v>
      </c>
      <c r="M669" t="s">
        <v>301</v>
      </c>
      <c r="N669" t="s">
        <v>189</v>
      </c>
      <c r="O669">
        <v>29411</v>
      </c>
      <c r="P669" t="s">
        <v>21</v>
      </c>
      <c r="Q669" t="str">
        <f>TEXT(Data_Set_3[[#This Row],[date]],"mmmm")</f>
        <v>October</v>
      </c>
      <c r="R669">
        <f>MONTH(Data_Set_3[[#This Row],[date]])</f>
        <v>10</v>
      </c>
      <c r="S669">
        <f>YEAR(Data_Set_3[[#This Row],[date]])</f>
        <v>2020</v>
      </c>
    </row>
    <row r="670" spans="1:19" x14ac:dyDescent="0.3">
      <c r="A670">
        <v>1084</v>
      </c>
      <c r="B670" t="s">
        <v>809</v>
      </c>
      <c r="C670" t="s">
        <v>1006</v>
      </c>
      <c r="D670" t="s">
        <v>2844</v>
      </c>
      <c r="E670" t="s">
        <v>2845</v>
      </c>
      <c r="F670" t="s">
        <v>2124</v>
      </c>
      <c r="G670" t="s">
        <v>1952</v>
      </c>
      <c r="H670" t="s">
        <v>16</v>
      </c>
      <c r="I670" t="s">
        <v>51</v>
      </c>
      <c r="J670">
        <v>879</v>
      </c>
      <c r="K670" t="s">
        <v>26</v>
      </c>
      <c r="L670" s="2">
        <v>44113</v>
      </c>
      <c r="M670" t="s">
        <v>19</v>
      </c>
      <c r="N670" t="s">
        <v>2846</v>
      </c>
      <c r="O670">
        <v>2453</v>
      </c>
      <c r="P670" t="s">
        <v>21</v>
      </c>
      <c r="Q670" t="str">
        <f>TEXT(Data_Set_3[[#This Row],[date]],"mmmm")</f>
        <v>October</v>
      </c>
      <c r="R670">
        <f>MONTH(Data_Set_3[[#This Row],[date]])</f>
        <v>10</v>
      </c>
      <c r="S670">
        <f>YEAR(Data_Set_3[[#This Row],[date]])</f>
        <v>2020</v>
      </c>
    </row>
    <row r="671" spans="1:19" x14ac:dyDescent="0.3">
      <c r="A671">
        <v>1968</v>
      </c>
      <c r="B671" t="s">
        <v>333</v>
      </c>
      <c r="C671" t="s">
        <v>880</v>
      </c>
      <c r="D671" t="s">
        <v>3559</v>
      </c>
      <c r="E671" t="s">
        <v>3560</v>
      </c>
      <c r="F671" t="s">
        <v>1644</v>
      </c>
      <c r="G671" t="s">
        <v>1360</v>
      </c>
      <c r="H671" t="s">
        <v>32</v>
      </c>
      <c r="I671" t="s">
        <v>51</v>
      </c>
      <c r="J671">
        <v>199</v>
      </c>
      <c r="K671" t="s">
        <v>416</v>
      </c>
      <c r="L671" s="2">
        <v>44114</v>
      </c>
      <c r="M671" t="s">
        <v>115</v>
      </c>
      <c r="N671" t="s">
        <v>701</v>
      </c>
      <c r="O671">
        <v>32230</v>
      </c>
      <c r="P671" t="s">
        <v>21</v>
      </c>
      <c r="Q671" t="str">
        <f>TEXT(Data_Set_3[[#This Row],[date]],"mmmm")</f>
        <v>October</v>
      </c>
      <c r="R671">
        <f>MONTH(Data_Set_3[[#This Row],[date]])</f>
        <v>10</v>
      </c>
      <c r="S671">
        <f>YEAR(Data_Set_3[[#This Row],[date]])</f>
        <v>2020</v>
      </c>
    </row>
    <row r="672" spans="1:19" x14ac:dyDescent="0.3">
      <c r="A672">
        <v>1851</v>
      </c>
      <c r="B672" t="s">
        <v>471</v>
      </c>
      <c r="C672" t="s">
        <v>220</v>
      </c>
      <c r="D672" t="s">
        <v>3015</v>
      </c>
      <c r="E672" t="s">
        <v>3016</v>
      </c>
      <c r="F672" t="s">
        <v>3017</v>
      </c>
      <c r="G672" t="s">
        <v>2697</v>
      </c>
      <c r="H672" t="s">
        <v>32</v>
      </c>
      <c r="I672" t="s">
        <v>33</v>
      </c>
      <c r="J672">
        <v>961</v>
      </c>
      <c r="K672" t="s">
        <v>73</v>
      </c>
      <c r="L672" s="2">
        <v>44116</v>
      </c>
      <c r="M672" t="s">
        <v>184</v>
      </c>
      <c r="N672" t="s">
        <v>656</v>
      </c>
      <c r="O672">
        <v>11210</v>
      </c>
      <c r="P672" t="s">
        <v>21</v>
      </c>
      <c r="Q672" t="str">
        <f>TEXT(Data_Set_3[[#This Row],[date]],"mmmm")</f>
        <v>October</v>
      </c>
      <c r="R672">
        <f>MONTH(Data_Set_3[[#This Row],[date]])</f>
        <v>10</v>
      </c>
      <c r="S672">
        <f>YEAR(Data_Set_3[[#This Row],[date]])</f>
        <v>2020</v>
      </c>
    </row>
    <row r="673" spans="1:19" x14ac:dyDescent="0.3">
      <c r="A673">
        <v>1026</v>
      </c>
      <c r="B673" t="s">
        <v>844</v>
      </c>
      <c r="C673" t="s">
        <v>671</v>
      </c>
      <c r="D673" t="s">
        <v>2814</v>
      </c>
      <c r="E673" t="s">
        <v>2815</v>
      </c>
      <c r="F673" t="s">
        <v>2816</v>
      </c>
      <c r="G673" t="s">
        <v>2554</v>
      </c>
      <c r="H673" t="s">
        <v>32</v>
      </c>
      <c r="I673" t="s">
        <v>17</v>
      </c>
      <c r="J673">
        <v>546</v>
      </c>
      <c r="K673" t="s">
        <v>26</v>
      </c>
      <c r="L673" s="2">
        <v>44118</v>
      </c>
      <c r="M673" t="s">
        <v>184</v>
      </c>
      <c r="N673" t="s">
        <v>185</v>
      </c>
      <c r="O673">
        <v>10469</v>
      </c>
      <c r="P673" t="s">
        <v>21</v>
      </c>
      <c r="Q673" t="str">
        <f>TEXT(Data_Set_3[[#This Row],[date]],"mmmm")</f>
        <v>October</v>
      </c>
      <c r="R673">
        <f>MONTH(Data_Set_3[[#This Row],[date]])</f>
        <v>10</v>
      </c>
      <c r="S673">
        <f>YEAR(Data_Set_3[[#This Row],[date]])</f>
        <v>2020</v>
      </c>
    </row>
    <row r="674" spans="1:19" x14ac:dyDescent="0.3">
      <c r="A674">
        <v>1095</v>
      </c>
      <c r="B674" t="s">
        <v>395</v>
      </c>
      <c r="C674" t="s">
        <v>876</v>
      </c>
      <c r="D674" t="s">
        <v>2989</v>
      </c>
      <c r="E674" t="s">
        <v>2990</v>
      </c>
      <c r="F674" t="s">
        <v>1323</v>
      </c>
      <c r="G674" t="s">
        <v>1453</v>
      </c>
      <c r="H674" t="s">
        <v>32</v>
      </c>
      <c r="I674" t="s">
        <v>51</v>
      </c>
      <c r="J674">
        <v>582</v>
      </c>
      <c r="K674" t="s">
        <v>34</v>
      </c>
      <c r="L674" s="2">
        <v>44120</v>
      </c>
      <c r="M674" t="s">
        <v>68</v>
      </c>
      <c r="N674" t="s">
        <v>234</v>
      </c>
      <c r="O674">
        <v>77040</v>
      </c>
      <c r="P674" t="s">
        <v>21</v>
      </c>
      <c r="Q674" t="str">
        <f>TEXT(Data_Set_3[[#This Row],[date]],"mmmm")</f>
        <v>October</v>
      </c>
      <c r="R674">
        <f>MONTH(Data_Set_3[[#This Row],[date]])</f>
        <v>10</v>
      </c>
      <c r="S674">
        <f>YEAR(Data_Set_3[[#This Row],[date]])</f>
        <v>2020</v>
      </c>
    </row>
    <row r="675" spans="1:19" x14ac:dyDescent="0.3">
      <c r="A675">
        <v>1365</v>
      </c>
      <c r="B675" t="s">
        <v>1183</v>
      </c>
      <c r="C675" t="s">
        <v>813</v>
      </c>
      <c r="D675" t="s">
        <v>2957</v>
      </c>
      <c r="E675" t="s">
        <v>2958</v>
      </c>
      <c r="F675" t="s">
        <v>1644</v>
      </c>
      <c r="G675" t="s">
        <v>2061</v>
      </c>
      <c r="H675" t="s">
        <v>16</v>
      </c>
      <c r="I675" t="s">
        <v>51</v>
      </c>
      <c r="J675">
        <v>929</v>
      </c>
      <c r="K675" t="s">
        <v>62</v>
      </c>
      <c r="L675" s="2">
        <v>44120</v>
      </c>
      <c r="M675" t="s">
        <v>115</v>
      </c>
      <c r="N675" t="s">
        <v>143</v>
      </c>
      <c r="O675">
        <v>33261</v>
      </c>
      <c r="P675" t="s">
        <v>21</v>
      </c>
      <c r="Q675" t="str">
        <f>TEXT(Data_Set_3[[#This Row],[date]],"mmmm")</f>
        <v>October</v>
      </c>
      <c r="R675">
        <f>MONTH(Data_Set_3[[#This Row],[date]])</f>
        <v>10</v>
      </c>
      <c r="S675">
        <f>YEAR(Data_Set_3[[#This Row],[date]])</f>
        <v>2020</v>
      </c>
    </row>
    <row r="676" spans="1:19" x14ac:dyDescent="0.3">
      <c r="A676">
        <v>1657</v>
      </c>
      <c r="B676" t="s">
        <v>204</v>
      </c>
      <c r="C676" t="s">
        <v>30</v>
      </c>
      <c r="D676" t="s">
        <v>3561</v>
      </c>
      <c r="E676" t="s">
        <v>3562</v>
      </c>
      <c r="F676" t="s">
        <v>1770</v>
      </c>
      <c r="G676" t="s">
        <v>1653</v>
      </c>
      <c r="H676" t="s">
        <v>32</v>
      </c>
      <c r="I676" t="s">
        <v>17</v>
      </c>
      <c r="J676">
        <v>618</v>
      </c>
      <c r="K676" t="s">
        <v>164</v>
      </c>
      <c r="L676" s="2">
        <v>44121</v>
      </c>
      <c r="M676" t="s">
        <v>68</v>
      </c>
      <c r="N676" t="s">
        <v>827</v>
      </c>
      <c r="O676">
        <v>76004</v>
      </c>
      <c r="P676" t="s">
        <v>21</v>
      </c>
      <c r="Q676" t="str">
        <f>TEXT(Data_Set_3[[#This Row],[date]],"mmmm")</f>
        <v>October</v>
      </c>
      <c r="R676">
        <f>MONTH(Data_Set_3[[#This Row],[date]])</f>
        <v>10</v>
      </c>
      <c r="S676">
        <f>YEAR(Data_Set_3[[#This Row],[date]])</f>
        <v>2020</v>
      </c>
    </row>
    <row r="677" spans="1:19" x14ac:dyDescent="0.3">
      <c r="A677">
        <v>1092</v>
      </c>
      <c r="B677" t="s">
        <v>516</v>
      </c>
      <c r="C677" t="s">
        <v>455</v>
      </c>
      <c r="D677" t="s">
        <v>2976</v>
      </c>
      <c r="E677" t="s">
        <v>2977</v>
      </c>
      <c r="F677" t="s">
        <v>1763</v>
      </c>
      <c r="G677" t="s">
        <v>1486</v>
      </c>
      <c r="H677" t="s">
        <v>32</v>
      </c>
      <c r="I677" t="s">
        <v>51</v>
      </c>
      <c r="J677">
        <v>958</v>
      </c>
      <c r="K677" t="s">
        <v>73</v>
      </c>
      <c r="L677" s="2">
        <v>44124</v>
      </c>
      <c r="M677" t="s">
        <v>115</v>
      </c>
      <c r="N677" t="s">
        <v>1048</v>
      </c>
      <c r="O677">
        <v>34233</v>
      </c>
      <c r="P677" t="s">
        <v>21</v>
      </c>
      <c r="Q677" t="str">
        <f>TEXT(Data_Set_3[[#This Row],[date]],"mmmm")</f>
        <v>October</v>
      </c>
      <c r="R677">
        <f>MONTH(Data_Set_3[[#This Row],[date]])</f>
        <v>10</v>
      </c>
      <c r="S677">
        <f>YEAR(Data_Set_3[[#This Row],[date]])</f>
        <v>2020</v>
      </c>
    </row>
    <row r="678" spans="1:19" x14ac:dyDescent="0.3">
      <c r="A678">
        <v>1468</v>
      </c>
      <c r="B678" t="s">
        <v>2915</v>
      </c>
      <c r="C678" t="s">
        <v>722</v>
      </c>
      <c r="D678" t="s">
        <v>2916</v>
      </c>
      <c r="E678" t="s">
        <v>2917</v>
      </c>
      <c r="F678" t="s">
        <v>2918</v>
      </c>
      <c r="G678" t="s">
        <v>1559</v>
      </c>
      <c r="H678" t="s">
        <v>32</v>
      </c>
      <c r="I678" t="s">
        <v>33</v>
      </c>
      <c r="J678">
        <v>597</v>
      </c>
      <c r="K678" t="s">
        <v>259</v>
      </c>
      <c r="L678" s="2">
        <v>44125</v>
      </c>
      <c r="M678" t="s">
        <v>120</v>
      </c>
      <c r="N678" t="s">
        <v>718</v>
      </c>
      <c r="O678">
        <v>70116</v>
      </c>
      <c r="P678" t="s">
        <v>21</v>
      </c>
      <c r="Q678" t="str">
        <f>TEXT(Data_Set_3[[#This Row],[date]],"mmmm")</f>
        <v>October</v>
      </c>
      <c r="R678">
        <f>MONTH(Data_Set_3[[#This Row],[date]])</f>
        <v>10</v>
      </c>
      <c r="S678">
        <f>YEAR(Data_Set_3[[#This Row],[date]])</f>
        <v>2020</v>
      </c>
    </row>
    <row r="679" spans="1:19" x14ac:dyDescent="0.3">
      <c r="A679">
        <v>1092</v>
      </c>
      <c r="B679" t="s">
        <v>516</v>
      </c>
      <c r="C679" t="s">
        <v>455</v>
      </c>
      <c r="D679" t="s">
        <v>2976</v>
      </c>
      <c r="E679" t="s">
        <v>2977</v>
      </c>
      <c r="F679" t="s">
        <v>1763</v>
      </c>
      <c r="G679" t="s">
        <v>1486</v>
      </c>
      <c r="H679" t="s">
        <v>32</v>
      </c>
      <c r="I679" t="s">
        <v>51</v>
      </c>
      <c r="J679">
        <v>599</v>
      </c>
      <c r="K679" t="s">
        <v>73</v>
      </c>
      <c r="L679" s="2">
        <v>44126</v>
      </c>
      <c r="M679" t="s">
        <v>115</v>
      </c>
      <c r="N679" t="s">
        <v>1048</v>
      </c>
      <c r="O679">
        <v>34233</v>
      </c>
      <c r="P679" t="s">
        <v>21</v>
      </c>
      <c r="Q679" t="str">
        <f>TEXT(Data_Set_3[[#This Row],[date]],"mmmm")</f>
        <v>October</v>
      </c>
      <c r="R679">
        <f>MONTH(Data_Set_3[[#This Row],[date]])</f>
        <v>10</v>
      </c>
      <c r="S679">
        <f>YEAR(Data_Set_3[[#This Row],[date]])</f>
        <v>2020</v>
      </c>
    </row>
    <row r="680" spans="1:19" x14ac:dyDescent="0.3">
      <c r="A680">
        <v>1531</v>
      </c>
      <c r="B680" t="s">
        <v>706</v>
      </c>
      <c r="C680" t="s">
        <v>426</v>
      </c>
      <c r="D680" t="s">
        <v>3563</v>
      </c>
      <c r="E680" t="s">
        <v>3564</v>
      </c>
      <c r="F680" t="s">
        <v>1537</v>
      </c>
      <c r="G680" t="s">
        <v>2627</v>
      </c>
      <c r="H680" t="s">
        <v>32</v>
      </c>
      <c r="I680" t="s">
        <v>151</v>
      </c>
      <c r="J680">
        <v>247</v>
      </c>
      <c r="K680" t="s">
        <v>18</v>
      </c>
      <c r="L680" s="2">
        <v>44127</v>
      </c>
      <c r="M680" t="s">
        <v>524</v>
      </c>
      <c r="N680" t="s">
        <v>3565</v>
      </c>
      <c r="O680">
        <v>35405</v>
      </c>
      <c r="P680" t="s">
        <v>21</v>
      </c>
      <c r="Q680" t="str">
        <f>TEXT(Data_Set_3[[#This Row],[date]],"mmmm")</f>
        <v>October</v>
      </c>
      <c r="R680">
        <f>MONTH(Data_Set_3[[#This Row],[date]])</f>
        <v>10</v>
      </c>
      <c r="S680">
        <f>YEAR(Data_Set_3[[#This Row],[date]])</f>
        <v>2020</v>
      </c>
    </row>
    <row r="681" spans="1:19" x14ac:dyDescent="0.3">
      <c r="A681">
        <v>1434</v>
      </c>
      <c r="B681" t="s">
        <v>2915</v>
      </c>
      <c r="C681" t="s">
        <v>167</v>
      </c>
      <c r="D681" t="s">
        <v>2947</v>
      </c>
      <c r="E681" t="s">
        <v>2948</v>
      </c>
      <c r="F681" t="s">
        <v>1664</v>
      </c>
      <c r="G681" t="s">
        <v>2546</v>
      </c>
      <c r="H681" t="s">
        <v>32</v>
      </c>
      <c r="I681" t="s">
        <v>25</v>
      </c>
      <c r="J681">
        <v>575</v>
      </c>
      <c r="K681" t="s">
        <v>26</v>
      </c>
      <c r="L681" s="2">
        <v>44128</v>
      </c>
      <c r="M681" t="s">
        <v>192</v>
      </c>
      <c r="N681" t="s">
        <v>193</v>
      </c>
      <c r="O681">
        <v>55436</v>
      </c>
      <c r="P681" t="s">
        <v>21</v>
      </c>
      <c r="Q681" t="str">
        <f>TEXT(Data_Set_3[[#This Row],[date]],"mmmm")</f>
        <v>October</v>
      </c>
      <c r="R681">
        <f>MONTH(Data_Set_3[[#This Row],[date]])</f>
        <v>10</v>
      </c>
      <c r="S681">
        <f>YEAR(Data_Set_3[[#This Row],[date]])</f>
        <v>2020</v>
      </c>
    </row>
    <row r="682" spans="1:19" x14ac:dyDescent="0.3">
      <c r="A682">
        <v>1234</v>
      </c>
      <c r="B682" t="s">
        <v>2806</v>
      </c>
      <c r="C682" t="s">
        <v>752</v>
      </c>
      <c r="D682" t="s">
        <v>2807</v>
      </c>
      <c r="E682" t="s">
        <v>2808</v>
      </c>
      <c r="F682" t="s">
        <v>1460</v>
      </c>
      <c r="G682" t="s">
        <v>2125</v>
      </c>
      <c r="H682" t="s">
        <v>16</v>
      </c>
      <c r="I682" t="s">
        <v>33</v>
      </c>
      <c r="J682">
        <v>343</v>
      </c>
      <c r="K682" t="s">
        <v>62</v>
      </c>
      <c r="L682" s="2">
        <v>44129</v>
      </c>
      <c r="M682" t="s">
        <v>68</v>
      </c>
      <c r="N682" t="s">
        <v>69</v>
      </c>
      <c r="O682">
        <v>78710</v>
      </c>
      <c r="P682" t="s">
        <v>21</v>
      </c>
      <c r="Q682" t="str">
        <f>TEXT(Data_Set_3[[#This Row],[date]],"mmmm")</f>
        <v>October</v>
      </c>
      <c r="R682">
        <f>MONTH(Data_Set_3[[#This Row],[date]])</f>
        <v>10</v>
      </c>
      <c r="S682">
        <f>YEAR(Data_Set_3[[#This Row],[date]])</f>
        <v>2020</v>
      </c>
    </row>
    <row r="683" spans="1:19" x14ac:dyDescent="0.3">
      <c r="A683">
        <v>1393</v>
      </c>
      <c r="B683" t="s">
        <v>304</v>
      </c>
      <c r="C683" t="s">
        <v>272</v>
      </c>
      <c r="D683" t="s">
        <v>3566</v>
      </c>
      <c r="E683" t="s">
        <v>3567</v>
      </c>
      <c r="F683" t="s">
        <v>1346</v>
      </c>
      <c r="G683" t="s">
        <v>2546</v>
      </c>
      <c r="H683" t="s">
        <v>32</v>
      </c>
      <c r="I683" t="s">
        <v>543</v>
      </c>
      <c r="J683">
        <v>30</v>
      </c>
      <c r="K683" t="s">
        <v>341</v>
      </c>
      <c r="L683" s="2">
        <v>44129</v>
      </c>
      <c r="M683" t="s">
        <v>345</v>
      </c>
      <c r="N683" t="s">
        <v>220</v>
      </c>
      <c r="O683">
        <v>20073</v>
      </c>
      <c r="P683" t="s">
        <v>21</v>
      </c>
      <c r="Q683" t="str">
        <f>TEXT(Data_Set_3[[#This Row],[date]],"mmmm")</f>
        <v>October</v>
      </c>
      <c r="R683">
        <f>MONTH(Data_Set_3[[#This Row],[date]])</f>
        <v>10</v>
      </c>
      <c r="S683">
        <f>YEAR(Data_Set_3[[#This Row],[date]])</f>
        <v>2020</v>
      </c>
    </row>
    <row r="684" spans="1:19" x14ac:dyDescent="0.3">
      <c r="A684">
        <v>1919</v>
      </c>
      <c r="B684" t="s">
        <v>356</v>
      </c>
      <c r="C684" t="s">
        <v>556</v>
      </c>
      <c r="D684" t="s">
        <v>3568</v>
      </c>
      <c r="E684" t="s">
        <v>3569</v>
      </c>
      <c r="F684" t="s">
        <v>2036</v>
      </c>
      <c r="G684" t="s">
        <v>2725</v>
      </c>
      <c r="H684" t="s">
        <v>32</v>
      </c>
      <c r="I684" t="s">
        <v>543</v>
      </c>
      <c r="J684">
        <v>551</v>
      </c>
      <c r="K684" t="s">
        <v>275</v>
      </c>
      <c r="L684" s="2">
        <v>44129</v>
      </c>
      <c r="M684" t="s">
        <v>220</v>
      </c>
      <c r="N684" t="s">
        <v>295</v>
      </c>
      <c r="O684">
        <v>98133</v>
      </c>
      <c r="P684" t="s">
        <v>21</v>
      </c>
      <c r="Q684" t="str">
        <f>TEXT(Data_Set_3[[#This Row],[date]],"mmmm")</f>
        <v>October</v>
      </c>
      <c r="R684">
        <f>MONTH(Data_Set_3[[#This Row],[date]])</f>
        <v>10</v>
      </c>
      <c r="S684">
        <f>YEAR(Data_Set_3[[#This Row],[date]])</f>
        <v>2020</v>
      </c>
    </row>
    <row r="685" spans="1:19" x14ac:dyDescent="0.3">
      <c r="A685">
        <v>1001</v>
      </c>
      <c r="B685" t="s">
        <v>289</v>
      </c>
      <c r="C685" t="s">
        <v>1017</v>
      </c>
      <c r="D685" t="s">
        <v>2874</v>
      </c>
      <c r="E685" t="s">
        <v>2875</v>
      </c>
      <c r="F685" t="s">
        <v>2249</v>
      </c>
      <c r="G685" t="s">
        <v>1766</v>
      </c>
      <c r="H685" t="s">
        <v>16</v>
      </c>
      <c r="I685" t="s">
        <v>17</v>
      </c>
      <c r="J685">
        <v>231</v>
      </c>
      <c r="K685" t="s">
        <v>34</v>
      </c>
      <c r="L685" s="2">
        <v>44130</v>
      </c>
      <c r="M685" t="s">
        <v>68</v>
      </c>
      <c r="N685" t="s">
        <v>169</v>
      </c>
      <c r="O685">
        <v>88563</v>
      </c>
      <c r="P685" t="s">
        <v>21</v>
      </c>
      <c r="Q685" t="str">
        <f>TEXT(Data_Set_3[[#This Row],[date]],"mmmm")</f>
        <v>October</v>
      </c>
      <c r="R685">
        <f>MONTH(Data_Set_3[[#This Row],[date]])</f>
        <v>10</v>
      </c>
      <c r="S685">
        <f>YEAR(Data_Set_3[[#This Row],[date]])</f>
        <v>2020</v>
      </c>
    </row>
    <row r="686" spans="1:19" x14ac:dyDescent="0.3">
      <c r="A686">
        <v>1413</v>
      </c>
      <c r="B686" t="s">
        <v>166</v>
      </c>
      <c r="C686" t="s">
        <v>414</v>
      </c>
      <c r="D686" t="s">
        <v>3570</v>
      </c>
      <c r="E686" t="s">
        <v>3571</v>
      </c>
      <c r="F686" t="s">
        <v>1376</v>
      </c>
      <c r="G686" t="s">
        <v>2219</v>
      </c>
      <c r="H686" t="s">
        <v>32</v>
      </c>
      <c r="I686" t="s">
        <v>151</v>
      </c>
      <c r="J686">
        <v>445</v>
      </c>
      <c r="K686" t="s">
        <v>95</v>
      </c>
      <c r="L686" s="2">
        <v>44131</v>
      </c>
      <c r="M686" t="s">
        <v>96</v>
      </c>
      <c r="N686" t="s">
        <v>329</v>
      </c>
      <c r="O686">
        <v>47737</v>
      </c>
      <c r="P686" t="s">
        <v>21</v>
      </c>
      <c r="Q686" t="str">
        <f>TEXT(Data_Set_3[[#This Row],[date]],"mmmm")</f>
        <v>October</v>
      </c>
      <c r="R686">
        <f>MONTH(Data_Set_3[[#This Row],[date]])</f>
        <v>10</v>
      </c>
      <c r="S686">
        <f>YEAR(Data_Set_3[[#This Row],[date]])</f>
        <v>2020</v>
      </c>
    </row>
    <row r="687" spans="1:19" x14ac:dyDescent="0.3">
      <c r="A687">
        <v>1019</v>
      </c>
      <c r="B687" t="s">
        <v>460</v>
      </c>
      <c r="C687" t="s">
        <v>446</v>
      </c>
      <c r="D687" t="s">
        <v>3093</v>
      </c>
      <c r="E687" t="s">
        <v>3094</v>
      </c>
      <c r="F687" t="s">
        <v>1323</v>
      </c>
      <c r="G687" t="s">
        <v>2495</v>
      </c>
      <c r="H687" t="s">
        <v>32</v>
      </c>
      <c r="I687" t="s">
        <v>17</v>
      </c>
      <c r="J687">
        <v>46</v>
      </c>
      <c r="K687" t="s">
        <v>62</v>
      </c>
      <c r="L687" s="2">
        <v>44133</v>
      </c>
      <c r="M687" t="s">
        <v>563</v>
      </c>
      <c r="N687" t="s">
        <v>564</v>
      </c>
      <c r="O687">
        <v>83705</v>
      </c>
      <c r="P687" t="s">
        <v>21</v>
      </c>
      <c r="Q687" t="str">
        <f>TEXT(Data_Set_3[[#This Row],[date]],"mmmm")</f>
        <v>October</v>
      </c>
      <c r="R687">
        <f>MONTH(Data_Set_3[[#This Row],[date]])</f>
        <v>10</v>
      </c>
      <c r="S687">
        <f>YEAR(Data_Set_3[[#This Row],[date]])</f>
        <v>2020</v>
      </c>
    </row>
    <row r="688" spans="1:19" x14ac:dyDescent="0.3">
      <c r="A688">
        <v>1212</v>
      </c>
      <c r="B688" t="s">
        <v>547</v>
      </c>
      <c r="C688" t="s">
        <v>337</v>
      </c>
      <c r="D688" t="s">
        <v>2828</v>
      </c>
      <c r="E688" t="s">
        <v>2829</v>
      </c>
      <c r="F688" t="s">
        <v>1608</v>
      </c>
      <c r="G688" t="s">
        <v>2830</v>
      </c>
      <c r="H688" t="s">
        <v>32</v>
      </c>
      <c r="I688" t="s">
        <v>33</v>
      </c>
      <c r="J688">
        <v>666</v>
      </c>
      <c r="K688" t="s">
        <v>34</v>
      </c>
      <c r="L688" s="2">
        <v>44133</v>
      </c>
      <c r="M688" t="s">
        <v>46</v>
      </c>
      <c r="N688" t="s">
        <v>47</v>
      </c>
      <c r="O688">
        <v>6183</v>
      </c>
      <c r="P688" t="s">
        <v>21</v>
      </c>
      <c r="Q688" t="str">
        <f>TEXT(Data_Set_3[[#This Row],[date]],"mmmm")</f>
        <v>October</v>
      </c>
      <c r="R688">
        <f>MONTH(Data_Set_3[[#This Row],[date]])</f>
        <v>10</v>
      </c>
      <c r="S688">
        <f>YEAR(Data_Set_3[[#This Row],[date]])</f>
        <v>2020</v>
      </c>
    </row>
    <row r="689" spans="1:19" x14ac:dyDescent="0.3">
      <c r="A689">
        <v>1144</v>
      </c>
      <c r="B689" t="s">
        <v>644</v>
      </c>
      <c r="C689" t="s">
        <v>581</v>
      </c>
      <c r="D689" t="s">
        <v>3114</v>
      </c>
      <c r="E689" t="s">
        <v>3115</v>
      </c>
      <c r="F689" t="s">
        <v>2641</v>
      </c>
      <c r="G689" t="s">
        <v>2709</v>
      </c>
      <c r="H689" t="s">
        <v>32</v>
      </c>
      <c r="I689" t="s">
        <v>25</v>
      </c>
      <c r="J689">
        <v>258</v>
      </c>
      <c r="K689" t="s">
        <v>62</v>
      </c>
      <c r="L689" s="2">
        <v>44137</v>
      </c>
      <c r="M689" t="s">
        <v>184</v>
      </c>
      <c r="N689" t="s">
        <v>3116</v>
      </c>
      <c r="O689">
        <v>11355</v>
      </c>
      <c r="P689" t="s">
        <v>21</v>
      </c>
      <c r="Q689" t="str">
        <f>TEXT(Data_Set_3[[#This Row],[date]],"mmmm")</f>
        <v>November</v>
      </c>
      <c r="R689">
        <f>MONTH(Data_Set_3[[#This Row],[date]])</f>
        <v>11</v>
      </c>
      <c r="S689">
        <f>YEAR(Data_Set_3[[#This Row],[date]])</f>
        <v>2020</v>
      </c>
    </row>
    <row r="690" spans="1:19" x14ac:dyDescent="0.3">
      <c r="A690">
        <v>1851</v>
      </c>
      <c r="B690" t="s">
        <v>471</v>
      </c>
      <c r="C690" t="s">
        <v>220</v>
      </c>
      <c r="D690" t="s">
        <v>3015</v>
      </c>
      <c r="E690" t="s">
        <v>3016</v>
      </c>
      <c r="F690" t="s">
        <v>3017</v>
      </c>
      <c r="G690" t="s">
        <v>2697</v>
      </c>
      <c r="H690" t="s">
        <v>32</v>
      </c>
      <c r="I690" t="s">
        <v>33</v>
      </c>
      <c r="J690">
        <v>398</v>
      </c>
      <c r="K690" t="s">
        <v>73</v>
      </c>
      <c r="L690" s="2">
        <v>44142</v>
      </c>
      <c r="M690" t="s">
        <v>184</v>
      </c>
      <c r="N690" t="s">
        <v>656</v>
      </c>
      <c r="O690">
        <v>11210</v>
      </c>
      <c r="P690" t="s">
        <v>21</v>
      </c>
      <c r="Q690" t="str">
        <f>TEXT(Data_Set_3[[#This Row],[date]],"mmmm")</f>
        <v>November</v>
      </c>
      <c r="R690">
        <f>MONTH(Data_Set_3[[#This Row],[date]])</f>
        <v>11</v>
      </c>
      <c r="S690">
        <f>YEAR(Data_Set_3[[#This Row],[date]])</f>
        <v>2020</v>
      </c>
    </row>
    <row r="691" spans="1:19" x14ac:dyDescent="0.3">
      <c r="A691">
        <v>1122</v>
      </c>
      <c r="B691" t="s">
        <v>920</v>
      </c>
      <c r="C691" t="s">
        <v>2841</v>
      </c>
      <c r="D691" t="s">
        <v>3572</v>
      </c>
      <c r="E691" t="s">
        <v>3573</v>
      </c>
      <c r="F691" t="s">
        <v>1351</v>
      </c>
      <c r="G691" t="s">
        <v>2790</v>
      </c>
      <c r="H691" t="s">
        <v>16</v>
      </c>
      <c r="I691" t="s">
        <v>51</v>
      </c>
      <c r="J691">
        <v>690</v>
      </c>
      <c r="K691" t="s">
        <v>34</v>
      </c>
      <c r="L691" s="2">
        <v>44147</v>
      </c>
      <c r="M691" t="s">
        <v>246</v>
      </c>
      <c r="N691" t="s">
        <v>3574</v>
      </c>
      <c r="O691">
        <v>61105</v>
      </c>
      <c r="P691" t="s">
        <v>21</v>
      </c>
      <c r="Q691" t="str">
        <f>TEXT(Data_Set_3[[#This Row],[date]],"mmmm")</f>
        <v>November</v>
      </c>
      <c r="R691">
        <f>MONTH(Data_Set_3[[#This Row],[date]])</f>
        <v>11</v>
      </c>
      <c r="S691">
        <f>YEAR(Data_Set_3[[#This Row],[date]])</f>
        <v>2020</v>
      </c>
    </row>
    <row r="692" spans="1:19" x14ac:dyDescent="0.3">
      <c r="A692">
        <v>1298</v>
      </c>
      <c r="B692" t="s">
        <v>595</v>
      </c>
      <c r="C692" t="s">
        <v>293</v>
      </c>
      <c r="D692" t="s">
        <v>2900</v>
      </c>
      <c r="E692" t="s">
        <v>2901</v>
      </c>
      <c r="F692" t="s">
        <v>1539</v>
      </c>
      <c r="G692" t="s">
        <v>1952</v>
      </c>
      <c r="H692" t="s">
        <v>32</v>
      </c>
      <c r="I692" t="s">
        <v>543</v>
      </c>
      <c r="J692">
        <v>561</v>
      </c>
      <c r="K692" t="s">
        <v>73</v>
      </c>
      <c r="L692" s="2">
        <v>44148</v>
      </c>
      <c r="M692" t="s">
        <v>115</v>
      </c>
      <c r="N692" t="s">
        <v>351</v>
      </c>
      <c r="O692">
        <v>32891</v>
      </c>
      <c r="P692" t="s">
        <v>21</v>
      </c>
      <c r="Q692" t="str">
        <f>TEXT(Data_Set_3[[#This Row],[date]],"mmmm")</f>
        <v>November</v>
      </c>
      <c r="R692">
        <f>MONTH(Data_Set_3[[#This Row],[date]])</f>
        <v>11</v>
      </c>
      <c r="S692">
        <f>YEAR(Data_Set_3[[#This Row],[date]])</f>
        <v>2020</v>
      </c>
    </row>
    <row r="693" spans="1:19" x14ac:dyDescent="0.3">
      <c r="A693">
        <v>1529</v>
      </c>
      <c r="B693" t="s">
        <v>761</v>
      </c>
      <c r="C693" t="s">
        <v>14</v>
      </c>
      <c r="D693" t="s">
        <v>3575</v>
      </c>
      <c r="E693" t="s">
        <v>3576</v>
      </c>
      <c r="F693" t="s">
        <v>1602</v>
      </c>
      <c r="G693" t="s">
        <v>1879</v>
      </c>
      <c r="H693" t="s">
        <v>16</v>
      </c>
      <c r="I693" t="s">
        <v>2941</v>
      </c>
      <c r="J693">
        <v>589</v>
      </c>
      <c r="K693" t="s">
        <v>26</v>
      </c>
      <c r="L693" s="2">
        <v>44148</v>
      </c>
      <c r="M693" t="s">
        <v>172</v>
      </c>
      <c r="N693" t="s">
        <v>3577</v>
      </c>
      <c r="O693">
        <v>39534</v>
      </c>
      <c r="P693" t="s">
        <v>21</v>
      </c>
      <c r="Q693" t="str">
        <f>TEXT(Data_Set_3[[#This Row],[date]],"mmmm")</f>
        <v>November</v>
      </c>
      <c r="R693">
        <f>MONTH(Data_Set_3[[#This Row],[date]])</f>
        <v>11</v>
      </c>
      <c r="S693">
        <f>YEAR(Data_Set_3[[#This Row],[date]])</f>
        <v>2020</v>
      </c>
    </row>
    <row r="694" spans="1:19" x14ac:dyDescent="0.3">
      <c r="A694">
        <v>1571</v>
      </c>
      <c r="B694" t="s">
        <v>37</v>
      </c>
      <c r="C694" t="s">
        <v>1240</v>
      </c>
      <c r="D694" t="s">
        <v>3578</v>
      </c>
      <c r="E694" t="s">
        <v>3579</v>
      </c>
      <c r="F694" t="s">
        <v>1412</v>
      </c>
      <c r="G694" t="s">
        <v>1773</v>
      </c>
      <c r="H694" t="s">
        <v>16</v>
      </c>
      <c r="I694" t="s">
        <v>553</v>
      </c>
      <c r="J694">
        <v>82</v>
      </c>
      <c r="K694" t="s">
        <v>109</v>
      </c>
      <c r="L694" s="2">
        <v>44150</v>
      </c>
      <c r="M694" t="s">
        <v>68</v>
      </c>
      <c r="N694" t="s">
        <v>69</v>
      </c>
      <c r="O694">
        <v>78726</v>
      </c>
      <c r="P694" t="s">
        <v>21</v>
      </c>
      <c r="Q694" t="str">
        <f>TEXT(Data_Set_3[[#This Row],[date]],"mmmm")</f>
        <v>November</v>
      </c>
      <c r="R694">
        <f>MONTH(Data_Set_3[[#This Row],[date]])</f>
        <v>11</v>
      </c>
      <c r="S694">
        <f>YEAR(Data_Set_3[[#This Row],[date]])</f>
        <v>2020</v>
      </c>
    </row>
    <row r="695" spans="1:19" x14ac:dyDescent="0.3">
      <c r="A695">
        <v>1666</v>
      </c>
      <c r="B695" t="s">
        <v>584</v>
      </c>
      <c r="C695" t="s">
        <v>141</v>
      </c>
      <c r="D695" t="s">
        <v>3580</v>
      </c>
      <c r="E695" t="s">
        <v>3581</v>
      </c>
      <c r="F695" t="s">
        <v>1692</v>
      </c>
      <c r="G695" t="s">
        <v>2110</v>
      </c>
      <c r="H695" t="s">
        <v>32</v>
      </c>
      <c r="I695" t="s">
        <v>17</v>
      </c>
      <c r="J695">
        <v>28</v>
      </c>
      <c r="K695" t="s">
        <v>341</v>
      </c>
      <c r="L695" s="2">
        <v>44150</v>
      </c>
      <c r="M695" t="s">
        <v>110</v>
      </c>
      <c r="N695" t="s">
        <v>160</v>
      </c>
      <c r="O695">
        <v>19104</v>
      </c>
      <c r="P695" t="s">
        <v>21</v>
      </c>
      <c r="Q695" t="str">
        <f>TEXT(Data_Set_3[[#This Row],[date]],"mmmm")</f>
        <v>November</v>
      </c>
      <c r="R695">
        <f>MONTH(Data_Set_3[[#This Row],[date]])</f>
        <v>11</v>
      </c>
      <c r="S695">
        <f>YEAR(Data_Set_3[[#This Row],[date]])</f>
        <v>2020</v>
      </c>
    </row>
    <row r="696" spans="1:19" x14ac:dyDescent="0.3">
      <c r="A696">
        <v>1783</v>
      </c>
      <c r="B696" t="s">
        <v>721</v>
      </c>
      <c r="C696" t="s">
        <v>2884</v>
      </c>
      <c r="D696" t="s">
        <v>2885</v>
      </c>
      <c r="E696" t="s">
        <v>2886</v>
      </c>
      <c r="F696" t="s">
        <v>1539</v>
      </c>
      <c r="G696" t="s">
        <v>2887</v>
      </c>
      <c r="H696" t="s">
        <v>16</v>
      </c>
      <c r="I696" t="s">
        <v>25</v>
      </c>
      <c r="J696">
        <v>744</v>
      </c>
      <c r="K696" t="s">
        <v>57</v>
      </c>
      <c r="L696" s="2">
        <v>44151</v>
      </c>
      <c r="M696" t="s">
        <v>287</v>
      </c>
      <c r="N696" t="s">
        <v>288</v>
      </c>
      <c r="O696">
        <v>85715</v>
      </c>
      <c r="P696" t="s">
        <v>21</v>
      </c>
      <c r="Q696" t="str">
        <f>TEXT(Data_Set_3[[#This Row],[date]],"mmmm")</f>
        <v>November</v>
      </c>
      <c r="R696">
        <f>MONTH(Data_Set_3[[#This Row],[date]])</f>
        <v>11</v>
      </c>
      <c r="S696">
        <f>YEAR(Data_Set_3[[#This Row],[date]])</f>
        <v>2020</v>
      </c>
    </row>
    <row r="697" spans="1:19" x14ac:dyDescent="0.3">
      <c r="A697">
        <v>1144</v>
      </c>
      <c r="B697" t="s">
        <v>644</v>
      </c>
      <c r="C697" t="s">
        <v>581</v>
      </c>
      <c r="D697" t="s">
        <v>3114</v>
      </c>
      <c r="E697" t="s">
        <v>3115</v>
      </c>
      <c r="F697" t="s">
        <v>2641</v>
      </c>
      <c r="G697" t="s">
        <v>2709</v>
      </c>
      <c r="H697" t="s">
        <v>32</v>
      </c>
      <c r="I697" t="s">
        <v>25</v>
      </c>
      <c r="J697">
        <v>184</v>
      </c>
      <c r="K697" t="s">
        <v>62</v>
      </c>
      <c r="L697" s="2">
        <v>44153</v>
      </c>
      <c r="M697" t="s">
        <v>184</v>
      </c>
      <c r="N697" t="s">
        <v>3116</v>
      </c>
      <c r="O697">
        <v>11355</v>
      </c>
      <c r="P697" t="s">
        <v>21</v>
      </c>
      <c r="Q697" t="str">
        <f>TEXT(Data_Set_3[[#This Row],[date]],"mmmm")</f>
        <v>November</v>
      </c>
      <c r="R697">
        <f>MONTH(Data_Set_3[[#This Row],[date]])</f>
        <v>11</v>
      </c>
      <c r="S697">
        <f>YEAR(Data_Set_3[[#This Row],[date]])</f>
        <v>2020</v>
      </c>
    </row>
    <row r="698" spans="1:19" x14ac:dyDescent="0.3">
      <c r="A698">
        <v>1170</v>
      </c>
      <c r="B698" t="s">
        <v>22</v>
      </c>
      <c r="C698" t="s">
        <v>883</v>
      </c>
      <c r="D698" t="s">
        <v>2837</v>
      </c>
      <c r="E698" t="s">
        <v>2838</v>
      </c>
      <c r="F698" t="s">
        <v>2430</v>
      </c>
      <c r="G698" t="s">
        <v>1333</v>
      </c>
      <c r="H698" t="s">
        <v>16</v>
      </c>
      <c r="I698" t="s">
        <v>33</v>
      </c>
      <c r="J698">
        <v>337</v>
      </c>
      <c r="K698" t="s">
        <v>164</v>
      </c>
      <c r="L698" s="2">
        <v>44153</v>
      </c>
      <c r="M698" t="s">
        <v>68</v>
      </c>
      <c r="N698" t="s">
        <v>169</v>
      </c>
      <c r="O698">
        <v>88574</v>
      </c>
      <c r="P698" t="s">
        <v>21</v>
      </c>
      <c r="Q698" t="str">
        <f>TEXT(Data_Set_3[[#This Row],[date]],"mmmm")</f>
        <v>November</v>
      </c>
      <c r="R698">
        <f>MONTH(Data_Set_3[[#This Row],[date]])</f>
        <v>11</v>
      </c>
      <c r="S698">
        <f>YEAR(Data_Set_3[[#This Row],[date]])</f>
        <v>2020</v>
      </c>
    </row>
    <row r="699" spans="1:19" x14ac:dyDescent="0.3">
      <c r="A699">
        <v>1940</v>
      </c>
      <c r="B699" t="s">
        <v>789</v>
      </c>
      <c r="C699" t="s">
        <v>14</v>
      </c>
      <c r="D699" t="s">
        <v>3582</v>
      </c>
      <c r="E699" t="s">
        <v>3583</v>
      </c>
      <c r="F699" t="s">
        <v>2624</v>
      </c>
      <c r="G699" t="s">
        <v>2583</v>
      </c>
      <c r="H699" t="s">
        <v>16</v>
      </c>
      <c r="I699" t="s">
        <v>280</v>
      </c>
      <c r="J699">
        <v>370</v>
      </c>
      <c r="K699" t="s">
        <v>109</v>
      </c>
      <c r="L699" s="2">
        <v>44156</v>
      </c>
      <c r="M699" t="s">
        <v>27</v>
      </c>
      <c r="N699" t="s">
        <v>398</v>
      </c>
      <c r="O699">
        <v>80127</v>
      </c>
      <c r="P699" t="s">
        <v>21</v>
      </c>
      <c r="Q699" t="str">
        <f>TEXT(Data_Set_3[[#This Row],[date]],"mmmm")</f>
        <v>November</v>
      </c>
      <c r="R699">
        <f>MONTH(Data_Set_3[[#This Row],[date]])</f>
        <v>11</v>
      </c>
      <c r="S699">
        <f>YEAR(Data_Set_3[[#This Row],[date]])</f>
        <v>2020</v>
      </c>
    </row>
    <row r="700" spans="1:19" x14ac:dyDescent="0.3">
      <c r="A700">
        <v>1673</v>
      </c>
      <c r="B700" t="s">
        <v>638</v>
      </c>
      <c r="C700" t="s">
        <v>90</v>
      </c>
      <c r="D700" t="s">
        <v>3584</v>
      </c>
      <c r="E700" t="s">
        <v>3585</v>
      </c>
      <c r="F700" t="s">
        <v>2058</v>
      </c>
      <c r="G700" t="s">
        <v>1596</v>
      </c>
      <c r="H700" t="s">
        <v>32</v>
      </c>
      <c r="I700" t="s">
        <v>17</v>
      </c>
      <c r="J700">
        <v>923</v>
      </c>
      <c r="K700" t="s">
        <v>83</v>
      </c>
      <c r="L700" s="2">
        <v>44157</v>
      </c>
      <c r="M700" t="s">
        <v>68</v>
      </c>
      <c r="N700" t="s">
        <v>3586</v>
      </c>
      <c r="O700">
        <v>77844</v>
      </c>
      <c r="P700" t="s">
        <v>21</v>
      </c>
      <c r="Q700" t="str">
        <f>TEXT(Data_Set_3[[#This Row],[date]],"mmmm")</f>
        <v>November</v>
      </c>
      <c r="R700">
        <f>MONTH(Data_Set_3[[#This Row],[date]])</f>
        <v>11</v>
      </c>
      <c r="S700">
        <f>YEAR(Data_Set_3[[#This Row],[date]])</f>
        <v>2020</v>
      </c>
    </row>
    <row r="701" spans="1:19" x14ac:dyDescent="0.3">
      <c r="A701">
        <v>1020</v>
      </c>
      <c r="B701" t="s">
        <v>122</v>
      </c>
      <c r="C701" t="s">
        <v>954</v>
      </c>
      <c r="D701" t="s">
        <v>2888</v>
      </c>
      <c r="E701" t="s">
        <v>2889</v>
      </c>
      <c r="F701" t="s">
        <v>1998</v>
      </c>
      <c r="G701" t="s">
        <v>1926</v>
      </c>
      <c r="H701" t="s">
        <v>32</v>
      </c>
      <c r="I701" t="s">
        <v>17</v>
      </c>
      <c r="J701">
        <v>630</v>
      </c>
      <c r="K701" t="s">
        <v>26</v>
      </c>
      <c r="L701" s="2">
        <v>44158</v>
      </c>
      <c r="M701" t="s">
        <v>35</v>
      </c>
      <c r="N701" t="s">
        <v>620</v>
      </c>
      <c r="O701">
        <v>94105</v>
      </c>
      <c r="P701" t="s">
        <v>21</v>
      </c>
      <c r="Q701" t="str">
        <f>TEXT(Data_Set_3[[#This Row],[date]],"mmmm")</f>
        <v>November</v>
      </c>
      <c r="R701">
        <f>MONTH(Data_Set_3[[#This Row],[date]])</f>
        <v>11</v>
      </c>
      <c r="S701">
        <f>YEAR(Data_Set_3[[#This Row],[date]])</f>
        <v>2020</v>
      </c>
    </row>
    <row r="702" spans="1:19" x14ac:dyDescent="0.3">
      <c r="A702">
        <v>1075</v>
      </c>
      <c r="B702" t="s">
        <v>593</v>
      </c>
      <c r="C702" t="s">
        <v>796</v>
      </c>
      <c r="D702" t="s">
        <v>3587</v>
      </c>
      <c r="E702" t="s">
        <v>3588</v>
      </c>
      <c r="F702" t="s">
        <v>1680</v>
      </c>
      <c r="G702" t="s">
        <v>2007</v>
      </c>
      <c r="H702" t="s">
        <v>32</v>
      </c>
      <c r="I702" t="s">
        <v>51</v>
      </c>
      <c r="J702">
        <v>211</v>
      </c>
      <c r="K702" t="s">
        <v>225</v>
      </c>
      <c r="L702" s="2">
        <v>44158</v>
      </c>
      <c r="M702" t="s">
        <v>345</v>
      </c>
      <c r="N702" t="s">
        <v>220</v>
      </c>
      <c r="O702">
        <v>20337</v>
      </c>
      <c r="P702" t="s">
        <v>21</v>
      </c>
      <c r="Q702" t="str">
        <f>TEXT(Data_Set_3[[#This Row],[date]],"mmmm")</f>
        <v>November</v>
      </c>
      <c r="R702">
        <f>MONTH(Data_Set_3[[#This Row],[date]])</f>
        <v>11</v>
      </c>
      <c r="S702">
        <f>YEAR(Data_Set_3[[#This Row],[date]])</f>
        <v>2020</v>
      </c>
    </row>
    <row r="703" spans="1:19" x14ac:dyDescent="0.3">
      <c r="A703">
        <v>1020</v>
      </c>
      <c r="B703" t="s">
        <v>122</v>
      </c>
      <c r="C703" t="s">
        <v>954</v>
      </c>
      <c r="D703" t="s">
        <v>2888</v>
      </c>
      <c r="E703" t="s">
        <v>2889</v>
      </c>
      <c r="F703" t="s">
        <v>1998</v>
      </c>
      <c r="G703" t="s">
        <v>1926</v>
      </c>
      <c r="H703" t="s">
        <v>32</v>
      </c>
      <c r="I703" t="s">
        <v>17</v>
      </c>
      <c r="J703">
        <v>729</v>
      </c>
      <c r="K703" t="s">
        <v>26</v>
      </c>
      <c r="L703" s="2">
        <v>44159</v>
      </c>
      <c r="M703" t="s">
        <v>35</v>
      </c>
      <c r="N703" t="s">
        <v>620</v>
      </c>
      <c r="O703">
        <v>94105</v>
      </c>
      <c r="P703" t="s">
        <v>21</v>
      </c>
      <c r="Q703" t="str">
        <f>TEXT(Data_Set_3[[#This Row],[date]],"mmmm")</f>
        <v>November</v>
      </c>
      <c r="R703">
        <f>MONTH(Data_Set_3[[#This Row],[date]])</f>
        <v>11</v>
      </c>
      <c r="S703">
        <f>YEAR(Data_Set_3[[#This Row],[date]])</f>
        <v>2020</v>
      </c>
    </row>
    <row r="704" spans="1:19" x14ac:dyDescent="0.3">
      <c r="A704">
        <v>1020</v>
      </c>
      <c r="B704" t="s">
        <v>122</v>
      </c>
      <c r="C704" t="s">
        <v>954</v>
      </c>
      <c r="D704" t="s">
        <v>2888</v>
      </c>
      <c r="E704" t="s">
        <v>2889</v>
      </c>
      <c r="F704" t="s">
        <v>1998</v>
      </c>
      <c r="G704" t="s">
        <v>1926</v>
      </c>
      <c r="H704" t="s">
        <v>32</v>
      </c>
      <c r="I704" t="s">
        <v>17</v>
      </c>
      <c r="J704">
        <v>75</v>
      </c>
      <c r="K704" t="s">
        <v>26</v>
      </c>
      <c r="L704" s="2">
        <v>44159</v>
      </c>
      <c r="M704" t="s">
        <v>35</v>
      </c>
      <c r="N704" t="s">
        <v>620</v>
      </c>
      <c r="O704">
        <v>94105</v>
      </c>
      <c r="P704" t="s">
        <v>21</v>
      </c>
      <c r="Q704" t="str">
        <f>TEXT(Data_Set_3[[#This Row],[date]],"mmmm")</f>
        <v>November</v>
      </c>
      <c r="R704">
        <f>MONTH(Data_Set_3[[#This Row],[date]])</f>
        <v>11</v>
      </c>
      <c r="S704">
        <f>YEAR(Data_Set_3[[#This Row],[date]])</f>
        <v>2020</v>
      </c>
    </row>
    <row r="705" spans="1:19" x14ac:dyDescent="0.3">
      <c r="A705">
        <v>1298</v>
      </c>
      <c r="B705" t="s">
        <v>595</v>
      </c>
      <c r="C705" t="s">
        <v>293</v>
      </c>
      <c r="D705" t="s">
        <v>2900</v>
      </c>
      <c r="E705" t="s">
        <v>2901</v>
      </c>
      <c r="F705" t="s">
        <v>1539</v>
      </c>
      <c r="G705" t="s">
        <v>1952</v>
      </c>
      <c r="H705" t="s">
        <v>32</v>
      </c>
      <c r="I705" t="s">
        <v>543</v>
      </c>
      <c r="J705">
        <v>500</v>
      </c>
      <c r="K705" t="s">
        <v>73</v>
      </c>
      <c r="L705" s="2">
        <v>44159</v>
      </c>
      <c r="M705" t="s">
        <v>115</v>
      </c>
      <c r="N705" t="s">
        <v>351</v>
      </c>
      <c r="O705">
        <v>32891</v>
      </c>
      <c r="P705" t="s">
        <v>21</v>
      </c>
      <c r="Q705" t="str">
        <f>TEXT(Data_Set_3[[#This Row],[date]],"mmmm")</f>
        <v>November</v>
      </c>
      <c r="R705">
        <f>MONTH(Data_Set_3[[#This Row],[date]])</f>
        <v>11</v>
      </c>
      <c r="S705">
        <f>YEAR(Data_Set_3[[#This Row],[date]])</f>
        <v>2020</v>
      </c>
    </row>
    <row r="706" spans="1:19" x14ac:dyDescent="0.3">
      <c r="A706">
        <v>1365</v>
      </c>
      <c r="B706" t="s">
        <v>1183</v>
      </c>
      <c r="C706" t="s">
        <v>813</v>
      </c>
      <c r="D706" t="s">
        <v>2957</v>
      </c>
      <c r="E706" t="s">
        <v>2958</v>
      </c>
      <c r="F706" t="s">
        <v>1644</v>
      </c>
      <c r="G706" t="s">
        <v>2061</v>
      </c>
      <c r="H706" t="s">
        <v>16</v>
      </c>
      <c r="I706" t="s">
        <v>51</v>
      </c>
      <c r="J706">
        <v>366</v>
      </c>
      <c r="K706" t="s">
        <v>62</v>
      </c>
      <c r="L706" s="2">
        <v>44164</v>
      </c>
      <c r="M706" t="s">
        <v>115</v>
      </c>
      <c r="N706" t="s">
        <v>143</v>
      </c>
      <c r="O706">
        <v>33261</v>
      </c>
      <c r="P706" t="s">
        <v>21</v>
      </c>
      <c r="Q706" t="str">
        <f>TEXT(Data_Set_3[[#This Row],[date]],"mmmm")</f>
        <v>November</v>
      </c>
      <c r="R706">
        <f>MONTH(Data_Set_3[[#This Row],[date]])</f>
        <v>11</v>
      </c>
      <c r="S706">
        <f>YEAR(Data_Set_3[[#This Row],[date]])</f>
        <v>2020</v>
      </c>
    </row>
    <row r="707" spans="1:19" x14ac:dyDescent="0.3">
      <c r="A707">
        <v>1165</v>
      </c>
      <c r="B707" t="s">
        <v>706</v>
      </c>
      <c r="C707" t="s">
        <v>528</v>
      </c>
      <c r="D707" t="s">
        <v>3589</v>
      </c>
      <c r="E707" t="s">
        <v>3590</v>
      </c>
      <c r="F707" t="s">
        <v>2072</v>
      </c>
      <c r="G707" t="s">
        <v>1277</v>
      </c>
      <c r="H707" t="s">
        <v>32</v>
      </c>
      <c r="I707" t="s">
        <v>25</v>
      </c>
      <c r="J707">
        <v>999</v>
      </c>
      <c r="K707" t="s">
        <v>95</v>
      </c>
      <c r="L707" s="2">
        <v>44165</v>
      </c>
      <c r="M707" t="s">
        <v>192</v>
      </c>
      <c r="N707" t="s">
        <v>400</v>
      </c>
      <c r="O707">
        <v>55805</v>
      </c>
      <c r="P707" t="s">
        <v>21</v>
      </c>
      <c r="Q707" t="str">
        <f>TEXT(Data_Set_3[[#This Row],[date]],"mmmm")</f>
        <v>November</v>
      </c>
      <c r="R707">
        <f>MONTH(Data_Set_3[[#This Row],[date]])</f>
        <v>11</v>
      </c>
      <c r="S707">
        <f>YEAR(Data_Set_3[[#This Row],[date]])</f>
        <v>2020</v>
      </c>
    </row>
    <row r="708" spans="1:19" x14ac:dyDescent="0.3">
      <c r="A708">
        <v>1437</v>
      </c>
      <c r="B708" t="s">
        <v>154</v>
      </c>
      <c r="C708" t="s">
        <v>310</v>
      </c>
      <c r="D708" t="s">
        <v>3039</v>
      </c>
      <c r="E708" t="s">
        <v>3040</v>
      </c>
      <c r="F708" t="s">
        <v>1602</v>
      </c>
      <c r="G708" t="s">
        <v>2571</v>
      </c>
      <c r="H708" t="s">
        <v>16</v>
      </c>
      <c r="I708" t="s">
        <v>151</v>
      </c>
      <c r="J708">
        <v>713</v>
      </c>
      <c r="K708" t="s">
        <v>26</v>
      </c>
      <c r="L708" s="2">
        <v>44165</v>
      </c>
      <c r="M708" t="s">
        <v>489</v>
      </c>
      <c r="N708" t="s">
        <v>667</v>
      </c>
      <c r="O708">
        <v>89505</v>
      </c>
      <c r="P708" t="s">
        <v>21</v>
      </c>
      <c r="Q708" t="str">
        <f>TEXT(Data_Set_3[[#This Row],[date]],"mmmm")</f>
        <v>November</v>
      </c>
      <c r="R708">
        <f>MONTH(Data_Set_3[[#This Row],[date]])</f>
        <v>11</v>
      </c>
      <c r="S708">
        <f>YEAR(Data_Set_3[[#This Row],[date]])</f>
        <v>2020</v>
      </c>
    </row>
    <row r="709" spans="1:19" x14ac:dyDescent="0.3">
      <c r="A709">
        <v>1489</v>
      </c>
      <c r="B709" t="s">
        <v>860</v>
      </c>
      <c r="C709" t="s">
        <v>849</v>
      </c>
      <c r="D709" t="s">
        <v>2817</v>
      </c>
      <c r="E709" t="s">
        <v>2818</v>
      </c>
      <c r="F709" t="s">
        <v>1606</v>
      </c>
      <c r="G709" t="s">
        <v>1899</v>
      </c>
      <c r="H709" t="s">
        <v>16</v>
      </c>
      <c r="I709" t="s">
        <v>17</v>
      </c>
      <c r="J709">
        <v>743</v>
      </c>
      <c r="K709" t="s">
        <v>62</v>
      </c>
      <c r="L709" s="2">
        <v>44165</v>
      </c>
      <c r="M709" t="s">
        <v>204</v>
      </c>
      <c r="N709" t="s">
        <v>1135</v>
      </c>
      <c r="O709">
        <v>23668</v>
      </c>
      <c r="P709" t="s">
        <v>21</v>
      </c>
      <c r="Q709" t="str">
        <f>TEXT(Data_Set_3[[#This Row],[date]],"mmmm")</f>
        <v>November</v>
      </c>
      <c r="R709">
        <f>MONTH(Data_Set_3[[#This Row],[date]])</f>
        <v>11</v>
      </c>
      <c r="S709">
        <f>YEAR(Data_Set_3[[#This Row],[date]])</f>
        <v>2020</v>
      </c>
    </row>
    <row r="710" spans="1:19" x14ac:dyDescent="0.3">
      <c r="A710">
        <v>1365</v>
      </c>
      <c r="B710" t="s">
        <v>1183</v>
      </c>
      <c r="C710" t="s">
        <v>813</v>
      </c>
      <c r="D710" t="s">
        <v>2957</v>
      </c>
      <c r="E710" t="s">
        <v>2958</v>
      </c>
      <c r="F710" t="s">
        <v>1644</v>
      </c>
      <c r="G710" t="s">
        <v>2061</v>
      </c>
      <c r="H710" t="s">
        <v>16</v>
      </c>
      <c r="I710" t="s">
        <v>51</v>
      </c>
      <c r="J710">
        <v>464</v>
      </c>
      <c r="K710" t="s">
        <v>62</v>
      </c>
      <c r="L710" s="2">
        <v>44175</v>
      </c>
      <c r="M710" t="s">
        <v>115</v>
      </c>
      <c r="N710" t="s">
        <v>143</v>
      </c>
      <c r="O710">
        <v>33261</v>
      </c>
      <c r="P710" t="s">
        <v>21</v>
      </c>
      <c r="Q710" t="str">
        <f>TEXT(Data_Set_3[[#This Row],[date]],"mmmm")</f>
        <v>December</v>
      </c>
      <c r="R710">
        <f>MONTH(Data_Set_3[[#This Row],[date]])</f>
        <v>12</v>
      </c>
      <c r="S710">
        <f>YEAR(Data_Set_3[[#This Row],[date]])</f>
        <v>2020</v>
      </c>
    </row>
    <row r="711" spans="1:19" x14ac:dyDescent="0.3">
      <c r="A711">
        <v>1693</v>
      </c>
      <c r="B711" t="s">
        <v>812</v>
      </c>
      <c r="C711" t="s">
        <v>722</v>
      </c>
      <c r="D711" t="s">
        <v>3591</v>
      </c>
      <c r="E711" t="s">
        <v>3592</v>
      </c>
      <c r="F711" t="s">
        <v>2476</v>
      </c>
      <c r="G711" t="s">
        <v>2515</v>
      </c>
      <c r="H711" t="s">
        <v>16</v>
      </c>
      <c r="I711" t="s">
        <v>17</v>
      </c>
      <c r="J711">
        <v>631</v>
      </c>
      <c r="K711" t="s">
        <v>18</v>
      </c>
      <c r="L711" s="2">
        <v>44176</v>
      </c>
      <c r="M711" t="s">
        <v>138</v>
      </c>
      <c r="N711" t="s">
        <v>2924</v>
      </c>
      <c r="O711">
        <v>97312</v>
      </c>
      <c r="P711" t="s">
        <v>21</v>
      </c>
      <c r="Q711" t="str">
        <f>TEXT(Data_Set_3[[#This Row],[date]],"mmmm")</f>
        <v>December</v>
      </c>
      <c r="R711">
        <f>MONTH(Data_Set_3[[#This Row],[date]])</f>
        <v>12</v>
      </c>
      <c r="S711">
        <f>YEAR(Data_Set_3[[#This Row],[date]])</f>
        <v>2020</v>
      </c>
    </row>
    <row r="712" spans="1:19" x14ac:dyDescent="0.3">
      <c r="A712">
        <v>1414</v>
      </c>
      <c r="B712" t="s">
        <v>248</v>
      </c>
      <c r="C712" t="s">
        <v>23</v>
      </c>
      <c r="D712" t="s">
        <v>3593</v>
      </c>
      <c r="E712" t="s">
        <v>3594</v>
      </c>
      <c r="F712" t="s">
        <v>1689</v>
      </c>
      <c r="G712" t="s">
        <v>1952</v>
      </c>
      <c r="H712" t="s">
        <v>16</v>
      </c>
      <c r="I712" t="s">
        <v>553</v>
      </c>
      <c r="J712">
        <v>376</v>
      </c>
      <c r="K712" t="s">
        <v>225</v>
      </c>
      <c r="L712" s="2">
        <v>44177</v>
      </c>
      <c r="M712" t="s">
        <v>115</v>
      </c>
      <c r="N712" t="s">
        <v>3595</v>
      </c>
      <c r="O712">
        <v>34643</v>
      </c>
      <c r="P712" t="s">
        <v>21</v>
      </c>
      <c r="Q712" t="str">
        <f>TEXT(Data_Set_3[[#This Row],[date]],"mmmm")</f>
        <v>December</v>
      </c>
      <c r="R712">
        <f>MONTH(Data_Set_3[[#This Row],[date]])</f>
        <v>12</v>
      </c>
      <c r="S712">
        <f>YEAR(Data_Set_3[[#This Row],[date]])</f>
        <v>2020</v>
      </c>
    </row>
    <row r="713" spans="1:19" x14ac:dyDescent="0.3">
      <c r="A713">
        <v>1396</v>
      </c>
      <c r="B713" t="s">
        <v>624</v>
      </c>
      <c r="C713" t="s">
        <v>847</v>
      </c>
      <c r="D713" t="s">
        <v>3596</v>
      </c>
      <c r="E713" t="s">
        <v>3597</v>
      </c>
      <c r="F713" t="s">
        <v>1539</v>
      </c>
      <c r="G713" t="s">
        <v>2301</v>
      </c>
      <c r="H713" t="s">
        <v>16</v>
      </c>
      <c r="I713" t="s">
        <v>179</v>
      </c>
      <c r="J713">
        <v>662</v>
      </c>
      <c r="K713" t="s">
        <v>26</v>
      </c>
      <c r="L713" s="2">
        <v>44178</v>
      </c>
      <c r="M713" t="s">
        <v>115</v>
      </c>
      <c r="N713" t="s">
        <v>3595</v>
      </c>
      <c r="O713">
        <v>34643</v>
      </c>
      <c r="P713" t="s">
        <v>21</v>
      </c>
      <c r="Q713" t="str">
        <f>TEXT(Data_Set_3[[#This Row],[date]],"mmmm")</f>
        <v>December</v>
      </c>
      <c r="R713">
        <f>MONTH(Data_Set_3[[#This Row],[date]])</f>
        <v>12</v>
      </c>
      <c r="S713">
        <f>YEAR(Data_Set_3[[#This Row],[date]])</f>
        <v>2020</v>
      </c>
    </row>
    <row r="714" spans="1:19" x14ac:dyDescent="0.3">
      <c r="A714">
        <v>1986</v>
      </c>
      <c r="B714" t="s">
        <v>409</v>
      </c>
      <c r="C714" t="s">
        <v>511</v>
      </c>
      <c r="D714" t="s">
        <v>3431</v>
      </c>
      <c r="E714" t="s">
        <v>3432</v>
      </c>
      <c r="F714" t="s">
        <v>1279</v>
      </c>
      <c r="G714" t="s">
        <v>2396</v>
      </c>
      <c r="H714" t="s">
        <v>16</v>
      </c>
      <c r="I714" t="s">
        <v>33</v>
      </c>
      <c r="J714">
        <v>633</v>
      </c>
      <c r="K714" t="s">
        <v>225</v>
      </c>
      <c r="L714" s="2">
        <v>44181</v>
      </c>
      <c r="M714" t="s">
        <v>68</v>
      </c>
      <c r="N714" t="s">
        <v>234</v>
      </c>
      <c r="O714">
        <v>77010</v>
      </c>
      <c r="P714" t="s">
        <v>21</v>
      </c>
      <c r="Q714" t="str">
        <f>TEXT(Data_Set_3[[#This Row],[date]],"mmmm")</f>
        <v>December</v>
      </c>
      <c r="R714">
        <f>MONTH(Data_Set_3[[#This Row],[date]])</f>
        <v>12</v>
      </c>
      <c r="S714">
        <f>YEAR(Data_Set_3[[#This Row],[date]])</f>
        <v>2020</v>
      </c>
    </row>
    <row r="715" spans="1:19" x14ac:dyDescent="0.3">
      <c r="A715">
        <v>1704</v>
      </c>
      <c r="B715" t="s">
        <v>2806</v>
      </c>
      <c r="C715" t="s">
        <v>1022</v>
      </c>
      <c r="D715" t="s">
        <v>3598</v>
      </c>
      <c r="E715" t="s">
        <v>3599</v>
      </c>
      <c r="F715" t="s">
        <v>1642</v>
      </c>
      <c r="G715" t="s">
        <v>1520</v>
      </c>
      <c r="H715" t="s">
        <v>16</v>
      </c>
      <c r="I715" t="s">
        <v>17</v>
      </c>
      <c r="J715">
        <v>102</v>
      </c>
      <c r="K715" t="s">
        <v>26</v>
      </c>
      <c r="L715" s="2">
        <v>44182</v>
      </c>
      <c r="M715" t="s">
        <v>115</v>
      </c>
      <c r="N715" t="s">
        <v>312</v>
      </c>
      <c r="O715">
        <v>32575</v>
      </c>
      <c r="P715" t="s">
        <v>21</v>
      </c>
      <c r="Q715" t="str">
        <f>TEXT(Data_Set_3[[#This Row],[date]],"mmmm")</f>
        <v>December</v>
      </c>
      <c r="R715">
        <f>MONTH(Data_Set_3[[#This Row],[date]])</f>
        <v>12</v>
      </c>
      <c r="S715">
        <f>YEAR(Data_Set_3[[#This Row],[date]])</f>
        <v>2020</v>
      </c>
    </row>
    <row r="716" spans="1:19" x14ac:dyDescent="0.3">
      <c r="A716">
        <v>1783</v>
      </c>
      <c r="B716" t="s">
        <v>721</v>
      </c>
      <c r="C716" t="s">
        <v>2884</v>
      </c>
      <c r="D716" t="s">
        <v>2885</v>
      </c>
      <c r="E716" t="s">
        <v>2886</v>
      </c>
      <c r="F716" t="s">
        <v>1539</v>
      </c>
      <c r="G716" t="s">
        <v>2887</v>
      </c>
      <c r="H716" t="s">
        <v>16</v>
      </c>
      <c r="I716" t="s">
        <v>25</v>
      </c>
      <c r="J716">
        <v>799</v>
      </c>
      <c r="K716" t="s">
        <v>57</v>
      </c>
      <c r="L716" s="2">
        <v>44185</v>
      </c>
      <c r="M716" t="s">
        <v>287</v>
      </c>
      <c r="N716" t="s">
        <v>288</v>
      </c>
      <c r="O716">
        <v>85715</v>
      </c>
      <c r="P716" t="s">
        <v>21</v>
      </c>
      <c r="Q716" t="str">
        <f>TEXT(Data_Set_3[[#This Row],[date]],"mmmm")</f>
        <v>December</v>
      </c>
      <c r="R716">
        <f>MONTH(Data_Set_3[[#This Row],[date]])</f>
        <v>12</v>
      </c>
      <c r="S716">
        <f>YEAR(Data_Set_3[[#This Row],[date]])</f>
        <v>2020</v>
      </c>
    </row>
    <row r="717" spans="1:19" x14ac:dyDescent="0.3">
      <c r="A717">
        <v>1398</v>
      </c>
      <c r="B717" t="s">
        <v>181</v>
      </c>
      <c r="C717" t="s">
        <v>1069</v>
      </c>
      <c r="D717" t="s">
        <v>3600</v>
      </c>
      <c r="E717" t="s">
        <v>3601</v>
      </c>
      <c r="F717" t="s">
        <v>1622</v>
      </c>
      <c r="G717" t="s">
        <v>2356</v>
      </c>
      <c r="H717" t="s">
        <v>32</v>
      </c>
      <c r="I717" t="s">
        <v>25</v>
      </c>
      <c r="J717">
        <v>812</v>
      </c>
      <c r="K717" t="s">
        <v>73</v>
      </c>
      <c r="L717" s="2">
        <v>44186</v>
      </c>
      <c r="M717" t="s">
        <v>147</v>
      </c>
      <c r="N717" t="s">
        <v>777</v>
      </c>
      <c r="O717">
        <v>53785</v>
      </c>
      <c r="P717" t="s">
        <v>21</v>
      </c>
      <c r="Q717" t="str">
        <f>TEXT(Data_Set_3[[#This Row],[date]],"mmmm")</f>
        <v>December</v>
      </c>
      <c r="R717">
        <f>MONTH(Data_Set_3[[#This Row],[date]])</f>
        <v>12</v>
      </c>
      <c r="S717">
        <f>YEAR(Data_Set_3[[#This Row],[date]])</f>
        <v>2020</v>
      </c>
    </row>
    <row r="718" spans="1:19" x14ac:dyDescent="0.3">
      <c r="A718">
        <v>1078</v>
      </c>
      <c r="B718" t="s">
        <v>144</v>
      </c>
      <c r="C718" t="s">
        <v>2904</v>
      </c>
      <c r="D718" t="s">
        <v>3602</v>
      </c>
      <c r="E718" t="s">
        <v>3603</v>
      </c>
      <c r="F718" t="s">
        <v>1321</v>
      </c>
      <c r="G718" t="s">
        <v>2196</v>
      </c>
      <c r="H718" t="s">
        <v>32</v>
      </c>
      <c r="I718" t="s">
        <v>51</v>
      </c>
      <c r="J718">
        <v>50</v>
      </c>
      <c r="K718" t="s">
        <v>26</v>
      </c>
      <c r="L718" s="2">
        <v>44187</v>
      </c>
      <c r="M718" t="s">
        <v>696</v>
      </c>
      <c r="N718" t="s">
        <v>1004</v>
      </c>
      <c r="O718">
        <v>72222</v>
      </c>
      <c r="P718" t="s">
        <v>21</v>
      </c>
      <c r="Q718" t="str">
        <f>TEXT(Data_Set_3[[#This Row],[date]],"mmmm")</f>
        <v>December</v>
      </c>
      <c r="R718">
        <f>MONTH(Data_Set_3[[#This Row],[date]])</f>
        <v>12</v>
      </c>
      <c r="S718">
        <f>YEAR(Data_Set_3[[#This Row],[date]])</f>
        <v>2020</v>
      </c>
    </row>
    <row r="719" spans="1:19" x14ac:dyDescent="0.3">
      <c r="A719">
        <v>1365</v>
      </c>
      <c r="B719" t="s">
        <v>1183</v>
      </c>
      <c r="C719" t="s">
        <v>813</v>
      </c>
      <c r="D719" t="s">
        <v>2957</v>
      </c>
      <c r="E719" t="s">
        <v>2958</v>
      </c>
      <c r="F719" t="s">
        <v>1644</v>
      </c>
      <c r="G719" t="s">
        <v>2061</v>
      </c>
      <c r="H719" t="s">
        <v>16</v>
      </c>
      <c r="I719" t="s">
        <v>51</v>
      </c>
      <c r="J719">
        <v>197</v>
      </c>
      <c r="K719" t="s">
        <v>62</v>
      </c>
      <c r="L719" s="2">
        <v>44187</v>
      </c>
      <c r="M719" t="s">
        <v>115</v>
      </c>
      <c r="N719" t="s">
        <v>143</v>
      </c>
      <c r="O719">
        <v>33261</v>
      </c>
      <c r="P719" t="s">
        <v>21</v>
      </c>
      <c r="Q719" t="str">
        <f>TEXT(Data_Set_3[[#This Row],[date]],"mmmm")</f>
        <v>December</v>
      </c>
      <c r="R719">
        <f>MONTH(Data_Set_3[[#This Row],[date]])</f>
        <v>12</v>
      </c>
      <c r="S719">
        <f>YEAR(Data_Set_3[[#This Row],[date]])</f>
        <v>2020</v>
      </c>
    </row>
    <row r="720" spans="1:19" x14ac:dyDescent="0.3">
      <c r="A720">
        <v>1985</v>
      </c>
      <c r="B720" t="s">
        <v>595</v>
      </c>
      <c r="C720" t="s">
        <v>840</v>
      </c>
      <c r="D720" t="s">
        <v>3532</v>
      </c>
      <c r="E720" t="s">
        <v>3533</v>
      </c>
      <c r="F720" t="s">
        <v>1770</v>
      </c>
      <c r="G720" t="s">
        <v>2142</v>
      </c>
      <c r="H720" t="s">
        <v>32</v>
      </c>
      <c r="I720" t="s">
        <v>33</v>
      </c>
      <c r="J720">
        <v>835</v>
      </c>
      <c r="K720" t="s">
        <v>18</v>
      </c>
      <c r="L720" s="2">
        <v>44187</v>
      </c>
      <c r="M720" t="s">
        <v>246</v>
      </c>
      <c r="N720" t="s">
        <v>339</v>
      </c>
      <c r="O720">
        <v>60646</v>
      </c>
      <c r="P720" t="s">
        <v>21</v>
      </c>
      <c r="Q720" t="str">
        <f>TEXT(Data_Set_3[[#This Row],[date]],"mmmm")</f>
        <v>December</v>
      </c>
      <c r="R720">
        <f>MONTH(Data_Set_3[[#This Row],[date]])</f>
        <v>12</v>
      </c>
      <c r="S720">
        <f>YEAR(Data_Set_3[[#This Row],[date]])</f>
        <v>2020</v>
      </c>
    </row>
    <row r="721" spans="1:19" x14ac:dyDescent="0.3">
      <c r="A721">
        <v>1583</v>
      </c>
      <c r="B721" t="s">
        <v>1218</v>
      </c>
      <c r="C721" t="s">
        <v>544</v>
      </c>
      <c r="D721" t="s">
        <v>3604</v>
      </c>
      <c r="E721" t="s">
        <v>3605</v>
      </c>
      <c r="F721" t="s">
        <v>1276</v>
      </c>
      <c r="G721" t="s">
        <v>2763</v>
      </c>
      <c r="H721" t="s">
        <v>16</v>
      </c>
      <c r="I721" t="s">
        <v>361</v>
      </c>
      <c r="J721">
        <v>411</v>
      </c>
      <c r="K721" t="s">
        <v>26</v>
      </c>
      <c r="L721" s="2">
        <v>44188</v>
      </c>
      <c r="M721" t="s">
        <v>204</v>
      </c>
      <c r="N721" t="s">
        <v>242</v>
      </c>
      <c r="O721">
        <v>23225</v>
      </c>
      <c r="P721" t="s">
        <v>21</v>
      </c>
      <c r="Q721" t="str">
        <f>TEXT(Data_Set_3[[#This Row],[date]],"mmmm")</f>
        <v>December</v>
      </c>
      <c r="R721">
        <f>MONTH(Data_Set_3[[#This Row],[date]])</f>
        <v>12</v>
      </c>
      <c r="S721">
        <f>YEAR(Data_Set_3[[#This Row],[date]])</f>
        <v>2020</v>
      </c>
    </row>
    <row r="722" spans="1:19" x14ac:dyDescent="0.3">
      <c r="A722">
        <v>1489</v>
      </c>
      <c r="B722" t="s">
        <v>860</v>
      </c>
      <c r="C722" t="s">
        <v>849</v>
      </c>
      <c r="D722" t="s">
        <v>2817</v>
      </c>
      <c r="E722" t="s">
        <v>2818</v>
      </c>
      <c r="F722" t="s">
        <v>1606</v>
      </c>
      <c r="G722" t="s">
        <v>1899</v>
      </c>
      <c r="H722" t="s">
        <v>16</v>
      </c>
      <c r="I722" t="s">
        <v>17</v>
      </c>
      <c r="J722">
        <v>822</v>
      </c>
      <c r="K722" t="s">
        <v>62</v>
      </c>
      <c r="L722" s="2">
        <v>44189</v>
      </c>
      <c r="M722" t="s">
        <v>204</v>
      </c>
      <c r="N722" t="s">
        <v>1135</v>
      </c>
      <c r="O722">
        <v>23668</v>
      </c>
      <c r="P722" t="s">
        <v>21</v>
      </c>
      <c r="Q722" t="str">
        <f>TEXT(Data_Set_3[[#This Row],[date]],"mmmm")</f>
        <v>December</v>
      </c>
      <c r="R722">
        <f>MONTH(Data_Set_3[[#This Row],[date]])</f>
        <v>12</v>
      </c>
      <c r="S722">
        <f>YEAR(Data_Set_3[[#This Row],[date]])</f>
        <v>2020</v>
      </c>
    </row>
    <row r="723" spans="1:19" x14ac:dyDescent="0.3">
      <c r="A723">
        <v>1144</v>
      </c>
      <c r="B723" t="s">
        <v>644</v>
      </c>
      <c r="C723" t="s">
        <v>581</v>
      </c>
      <c r="D723" t="s">
        <v>3114</v>
      </c>
      <c r="E723" t="s">
        <v>3115</v>
      </c>
      <c r="F723" t="s">
        <v>2641</v>
      </c>
      <c r="G723" t="s">
        <v>2709</v>
      </c>
      <c r="H723" t="s">
        <v>32</v>
      </c>
      <c r="I723" t="s">
        <v>25</v>
      </c>
      <c r="J723">
        <v>16</v>
      </c>
      <c r="K723" t="s">
        <v>62</v>
      </c>
      <c r="L723" s="2">
        <v>44190</v>
      </c>
      <c r="M723" t="s">
        <v>184</v>
      </c>
      <c r="N723" t="s">
        <v>3116</v>
      </c>
      <c r="O723">
        <v>11355</v>
      </c>
      <c r="P723" t="s">
        <v>21</v>
      </c>
      <c r="Q723" t="str">
        <f>TEXT(Data_Set_3[[#This Row],[date]],"mmmm")</f>
        <v>December</v>
      </c>
      <c r="R723">
        <f>MONTH(Data_Set_3[[#This Row],[date]])</f>
        <v>12</v>
      </c>
      <c r="S723">
        <f>YEAR(Data_Set_3[[#This Row],[date]])</f>
        <v>2020</v>
      </c>
    </row>
    <row r="724" spans="1:19" x14ac:dyDescent="0.3">
      <c r="A724">
        <v>1733</v>
      </c>
      <c r="B724" t="s">
        <v>333</v>
      </c>
      <c r="C724" t="s">
        <v>414</v>
      </c>
      <c r="D724" t="s">
        <v>3606</v>
      </c>
      <c r="E724" t="s">
        <v>3607</v>
      </c>
      <c r="F724" t="s">
        <v>1877</v>
      </c>
      <c r="G724" t="s">
        <v>1926</v>
      </c>
      <c r="H724" t="s">
        <v>32</v>
      </c>
      <c r="I724" t="s">
        <v>406</v>
      </c>
      <c r="J724">
        <v>110</v>
      </c>
      <c r="K724" t="s">
        <v>34</v>
      </c>
      <c r="L724" s="2">
        <v>44193</v>
      </c>
      <c r="M724" t="s">
        <v>46</v>
      </c>
      <c r="N724" t="s">
        <v>608</v>
      </c>
      <c r="O724">
        <v>6606</v>
      </c>
      <c r="P724" t="s">
        <v>21</v>
      </c>
      <c r="Q724" t="str">
        <f>TEXT(Data_Set_3[[#This Row],[date]],"mmmm")</f>
        <v>December</v>
      </c>
      <c r="R724">
        <f>MONTH(Data_Set_3[[#This Row],[date]])</f>
        <v>12</v>
      </c>
      <c r="S724">
        <f>YEAR(Data_Set_3[[#This Row],[date]])</f>
        <v>2020</v>
      </c>
    </row>
    <row r="725" spans="1:19" x14ac:dyDescent="0.3">
      <c r="A725">
        <v>1489</v>
      </c>
      <c r="B725" t="s">
        <v>860</v>
      </c>
      <c r="C725" t="s">
        <v>849</v>
      </c>
      <c r="D725" t="s">
        <v>2817</v>
      </c>
      <c r="E725" t="s">
        <v>2818</v>
      </c>
      <c r="F725" t="s">
        <v>1606</v>
      </c>
      <c r="G725" t="s">
        <v>1899</v>
      </c>
      <c r="H725" t="s">
        <v>16</v>
      </c>
      <c r="I725" t="s">
        <v>17</v>
      </c>
      <c r="J725">
        <v>366</v>
      </c>
      <c r="K725" t="s">
        <v>62</v>
      </c>
      <c r="L725" s="2">
        <v>44194</v>
      </c>
      <c r="M725" t="s">
        <v>204</v>
      </c>
      <c r="N725" t="s">
        <v>1135</v>
      </c>
      <c r="O725">
        <v>23668</v>
      </c>
      <c r="P725" t="s">
        <v>21</v>
      </c>
      <c r="Q725" t="str">
        <f>TEXT(Data_Set_3[[#This Row],[date]],"mmmm")</f>
        <v>December</v>
      </c>
      <c r="R725">
        <f>MONTH(Data_Set_3[[#This Row],[date]])</f>
        <v>12</v>
      </c>
      <c r="S725">
        <f>YEAR(Data_Set_3[[#This Row],[date]])</f>
        <v>2020</v>
      </c>
    </row>
    <row r="726" spans="1:19" x14ac:dyDescent="0.3">
      <c r="A726">
        <v>1967</v>
      </c>
      <c r="B726" t="s">
        <v>950</v>
      </c>
      <c r="C726" t="s">
        <v>285</v>
      </c>
      <c r="D726" t="s">
        <v>3608</v>
      </c>
      <c r="E726" t="s">
        <v>3609</v>
      </c>
      <c r="F726" t="s">
        <v>1380</v>
      </c>
      <c r="G726" t="s">
        <v>2334</v>
      </c>
      <c r="H726" t="s">
        <v>16</v>
      </c>
      <c r="I726" t="s">
        <v>280</v>
      </c>
      <c r="J726">
        <v>99</v>
      </c>
      <c r="K726" t="s">
        <v>34</v>
      </c>
      <c r="L726" s="2">
        <v>44195</v>
      </c>
      <c r="M726" t="s">
        <v>3610</v>
      </c>
      <c r="N726" t="s">
        <v>3611</v>
      </c>
      <c r="O726">
        <v>3105</v>
      </c>
      <c r="P726" t="s">
        <v>21</v>
      </c>
      <c r="Q726" t="str">
        <f>TEXT(Data_Set_3[[#This Row],[date]],"mmmm")</f>
        <v>December</v>
      </c>
      <c r="R726">
        <f>MONTH(Data_Set_3[[#This Row],[date]])</f>
        <v>12</v>
      </c>
      <c r="S726">
        <f>YEAR(Data_Set_3[[#This Row],[date]])</f>
        <v>2020</v>
      </c>
    </row>
    <row r="727" spans="1:19" x14ac:dyDescent="0.3">
      <c r="A727">
        <v>1117</v>
      </c>
      <c r="B727" t="s">
        <v>644</v>
      </c>
      <c r="C727" t="s">
        <v>195</v>
      </c>
      <c r="D727" t="s">
        <v>3612</v>
      </c>
      <c r="E727" t="s">
        <v>3613</v>
      </c>
      <c r="F727" t="s">
        <v>2485</v>
      </c>
      <c r="G727" t="s">
        <v>2515</v>
      </c>
      <c r="H727" t="s">
        <v>32</v>
      </c>
      <c r="I727" t="s">
        <v>51</v>
      </c>
      <c r="J727">
        <v>563</v>
      </c>
      <c r="K727" t="s">
        <v>62</v>
      </c>
      <c r="L727" s="2">
        <v>44198</v>
      </c>
      <c r="M727" t="s">
        <v>204</v>
      </c>
      <c r="N727" t="s">
        <v>3614</v>
      </c>
      <c r="O727">
        <v>23464</v>
      </c>
      <c r="P727" t="s">
        <v>21</v>
      </c>
      <c r="Q727" t="str">
        <f>TEXT(Data_Set_3[[#This Row],[date]],"mmmm")</f>
        <v>January</v>
      </c>
      <c r="R727">
        <f>MONTH(Data_Set_3[[#This Row],[date]])</f>
        <v>1</v>
      </c>
      <c r="S727">
        <f>YEAR(Data_Set_3[[#This Row],[date]])</f>
        <v>2021</v>
      </c>
    </row>
    <row r="728" spans="1:19" x14ac:dyDescent="0.3">
      <c r="A728">
        <v>1298</v>
      </c>
      <c r="B728" t="s">
        <v>595</v>
      </c>
      <c r="C728" t="s">
        <v>293</v>
      </c>
      <c r="D728" t="s">
        <v>2900</v>
      </c>
      <c r="E728" t="s">
        <v>2901</v>
      </c>
      <c r="F728" t="s">
        <v>1539</v>
      </c>
      <c r="G728" t="s">
        <v>1952</v>
      </c>
      <c r="H728" t="s">
        <v>32</v>
      </c>
      <c r="I728" t="s">
        <v>543</v>
      </c>
      <c r="J728">
        <v>522</v>
      </c>
      <c r="K728" t="s">
        <v>73</v>
      </c>
      <c r="L728" s="2">
        <v>44198</v>
      </c>
      <c r="M728" t="s">
        <v>115</v>
      </c>
      <c r="N728" t="s">
        <v>351</v>
      </c>
      <c r="O728">
        <v>32891</v>
      </c>
      <c r="P728" t="s">
        <v>21</v>
      </c>
      <c r="Q728" t="str">
        <f>TEXT(Data_Set_3[[#This Row],[date]],"mmmm")</f>
        <v>January</v>
      </c>
      <c r="R728">
        <f>MONTH(Data_Set_3[[#This Row],[date]])</f>
        <v>1</v>
      </c>
      <c r="S728">
        <f>YEAR(Data_Set_3[[#This Row],[date]])</f>
        <v>2021</v>
      </c>
    </row>
    <row r="729" spans="1:19" x14ac:dyDescent="0.3">
      <c r="A729">
        <v>1672</v>
      </c>
      <c r="B729" t="s">
        <v>304</v>
      </c>
      <c r="C729" t="s">
        <v>60</v>
      </c>
      <c r="D729" t="s">
        <v>3615</v>
      </c>
      <c r="E729" t="s">
        <v>3616</v>
      </c>
      <c r="F729" t="s">
        <v>1591</v>
      </c>
      <c r="G729" t="s">
        <v>1952</v>
      </c>
      <c r="H729" t="s">
        <v>32</v>
      </c>
      <c r="I729" t="s">
        <v>17</v>
      </c>
      <c r="J729">
        <v>438</v>
      </c>
      <c r="K729" t="s">
        <v>18</v>
      </c>
      <c r="L729" s="2">
        <v>44199</v>
      </c>
      <c r="M729" t="s">
        <v>63</v>
      </c>
      <c r="N729" t="s">
        <v>64</v>
      </c>
      <c r="O729">
        <v>68179</v>
      </c>
      <c r="P729" t="s">
        <v>21</v>
      </c>
      <c r="Q729" t="str">
        <f>TEXT(Data_Set_3[[#This Row],[date]],"mmmm")</f>
        <v>January</v>
      </c>
      <c r="R729">
        <f>MONTH(Data_Set_3[[#This Row],[date]])</f>
        <v>1</v>
      </c>
      <c r="S729">
        <f>YEAR(Data_Set_3[[#This Row],[date]])</f>
        <v>2021</v>
      </c>
    </row>
    <row r="730" spans="1:19" x14ac:dyDescent="0.3">
      <c r="A730">
        <v>1365</v>
      </c>
      <c r="B730" t="s">
        <v>1183</v>
      </c>
      <c r="C730" t="s">
        <v>813</v>
      </c>
      <c r="D730" t="s">
        <v>2957</v>
      </c>
      <c r="E730" t="s">
        <v>2958</v>
      </c>
      <c r="F730" t="s">
        <v>1644</v>
      </c>
      <c r="G730" t="s">
        <v>2061</v>
      </c>
      <c r="H730" t="s">
        <v>16</v>
      </c>
      <c r="I730" t="s">
        <v>51</v>
      </c>
      <c r="J730">
        <v>835</v>
      </c>
      <c r="K730" t="s">
        <v>62</v>
      </c>
      <c r="L730" s="2">
        <v>44200</v>
      </c>
      <c r="M730" t="s">
        <v>115</v>
      </c>
      <c r="N730" t="s">
        <v>143</v>
      </c>
      <c r="O730">
        <v>33261</v>
      </c>
      <c r="P730" t="s">
        <v>21</v>
      </c>
      <c r="Q730" t="str">
        <f>TEXT(Data_Set_3[[#This Row],[date]],"mmmm")</f>
        <v>January</v>
      </c>
      <c r="R730">
        <f>MONTH(Data_Set_3[[#This Row],[date]])</f>
        <v>1</v>
      </c>
      <c r="S730">
        <f>YEAR(Data_Set_3[[#This Row],[date]])</f>
        <v>2021</v>
      </c>
    </row>
    <row r="731" spans="1:19" x14ac:dyDescent="0.3">
      <c r="A731">
        <v>1092</v>
      </c>
      <c r="B731" t="s">
        <v>516</v>
      </c>
      <c r="C731" t="s">
        <v>455</v>
      </c>
      <c r="D731" t="s">
        <v>2976</v>
      </c>
      <c r="E731" t="s">
        <v>2977</v>
      </c>
      <c r="F731" t="s">
        <v>1763</v>
      </c>
      <c r="G731" t="s">
        <v>1486</v>
      </c>
      <c r="H731" t="s">
        <v>32</v>
      </c>
      <c r="I731" t="s">
        <v>51</v>
      </c>
      <c r="J731">
        <v>419</v>
      </c>
      <c r="K731" t="s">
        <v>73</v>
      </c>
      <c r="L731" s="2">
        <v>44201</v>
      </c>
      <c r="M731" t="s">
        <v>115</v>
      </c>
      <c r="N731" t="s">
        <v>1048</v>
      </c>
      <c r="O731">
        <v>34233</v>
      </c>
      <c r="P731" t="s">
        <v>21</v>
      </c>
      <c r="Q731" t="str">
        <f>TEXT(Data_Set_3[[#This Row],[date]],"mmmm")</f>
        <v>January</v>
      </c>
      <c r="R731">
        <f>MONTH(Data_Set_3[[#This Row],[date]])</f>
        <v>1</v>
      </c>
      <c r="S731">
        <f>YEAR(Data_Set_3[[#This Row],[date]])</f>
        <v>2021</v>
      </c>
    </row>
    <row r="732" spans="1:19" x14ac:dyDescent="0.3">
      <c r="A732">
        <v>1778</v>
      </c>
      <c r="B732" t="s">
        <v>243</v>
      </c>
      <c r="C732" t="s">
        <v>3336</v>
      </c>
      <c r="D732" t="s">
        <v>3617</v>
      </c>
      <c r="E732" t="s">
        <v>3618</v>
      </c>
      <c r="F732" t="s">
        <v>1460</v>
      </c>
      <c r="G732" t="s">
        <v>2061</v>
      </c>
      <c r="H732" t="s">
        <v>16</v>
      </c>
      <c r="I732" t="s">
        <v>25</v>
      </c>
      <c r="J732">
        <v>364</v>
      </c>
      <c r="K732" t="s">
        <v>62</v>
      </c>
      <c r="L732" s="2">
        <v>44206</v>
      </c>
      <c r="M732" t="s">
        <v>3619</v>
      </c>
      <c r="N732" t="s">
        <v>3620</v>
      </c>
      <c r="O732">
        <v>59623</v>
      </c>
      <c r="P732" t="s">
        <v>21</v>
      </c>
      <c r="Q732" t="str">
        <f>TEXT(Data_Set_3[[#This Row],[date]],"mmmm")</f>
        <v>January</v>
      </c>
      <c r="R732">
        <f>MONTH(Data_Set_3[[#This Row],[date]])</f>
        <v>1</v>
      </c>
      <c r="S732">
        <f>YEAR(Data_Set_3[[#This Row],[date]])</f>
        <v>2021</v>
      </c>
    </row>
    <row r="733" spans="1:19" x14ac:dyDescent="0.3">
      <c r="A733">
        <v>1020</v>
      </c>
      <c r="B733" t="s">
        <v>122</v>
      </c>
      <c r="C733" t="s">
        <v>954</v>
      </c>
      <c r="D733" t="s">
        <v>2888</v>
      </c>
      <c r="E733" t="s">
        <v>2889</v>
      </c>
      <c r="F733" t="s">
        <v>1998</v>
      </c>
      <c r="G733" t="s">
        <v>1926</v>
      </c>
      <c r="H733" t="s">
        <v>32</v>
      </c>
      <c r="I733" t="s">
        <v>17</v>
      </c>
      <c r="J733">
        <v>53</v>
      </c>
      <c r="K733" t="s">
        <v>26</v>
      </c>
      <c r="L733" s="2">
        <v>44207</v>
      </c>
      <c r="M733" t="s">
        <v>35</v>
      </c>
      <c r="N733" t="s">
        <v>620</v>
      </c>
      <c r="O733">
        <v>94105</v>
      </c>
      <c r="P733" t="s">
        <v>21</v>
      </c>
      <c r="Q733" t="str">
        <f>TEXT(Data_Set_3[[#This Row],[date]],"mmmm")</f>
        <v>January</v>
      </c>
      <c r="R733">
        <f>MONTH(Data_Set_3[[#This Row],[date]])</f>
        <v>1</v>
      </c>
      <c r="S733">
        <f>YEAR(Data_Set_3[[#This Row],[date]])</f>
        <v>2021</v>
      </c>
    </row>
    <row r="734" spans="1:19" x14ac:dyDescent="0.3">
      <c r="A734">
        <v>1836</v>
      </c>
      <c r="B734" t="s">
        <v>252</v>
      </c>
      <c r="C734" t="s">
        <v>796</v>
      </c>
      <c r="D734" t="s">
        <v>3621</v>
      </c>
      <c r="E734" t="s">
        <v>3622</v>
      </c>
      <c r="F734" t="s">
        <v>1483</v>
      </c>
      <c r="G734" t="s">
        <v>2560</v>
      </c>
      <c r="H734" t="s">
        <v>16</v>
      </c>
      <c r="I734" t="s">
        <v>2821</v>
      </c>
      <c r="J734">
        <v>36</v>
      </c>
      <c r="K734" t="s">
        <v>26</v>
      </c>
      <c r="L734" s="2">
        <v>44208</v>
      </c>
      <c r="M734" t="s">
        <v>125</v>
      </c>
      <c r="N734" t="s">
        <v>419</v>
      </c>
      <c r="O734">
        <v>64109</v>
      </c>
      <c r="P734" t="s">
        <v>21</v>
      </c>
      <c r="Q734" t="str">
        <f>TEXT(Data_Set_3[[#This Row],[date]],"mmmm")</f>
        <v>January</v>
      </c>
      <c r="R734">
        <f>MONTH(Data_Set_3[[#This Row],[date]])</f>
        <v>1</v>
      </c>
      <c r="S734">
        <f>YEAR(Data_Set_3[[#This Row],[date]])</f>
        <v>2021</v>
      </c>
    </row>
    <row r="735" spans="1:19" x14ac:dyDescent="0.3">
      <c r="A735">
        <v>1081</v>
      </c>
      <c r="B735" t="s">
        <v>29</v>
      </c>
      <c r="C735" t="s">
        <v>906</v>
      </c>
      <c r="D735" t="s">
        <v>2980</v>
      </c>
      <c r="E735" t="s">
        <v>2981</v>
      </c>
      <c r="F735" t="s">
        <v>2342</v>
      </c>
      <c r="G735" t="s">
        <v>2286</v>
      </c>
      <c r="H735" t="s">
        <v>32</v>
      </c>
      <c r="I735" t="s">
        <v>51</v>
      </c>
      <c r="J735">
        <v>775</v>
      </c>
      <c r="K735" t="s">
        <v>18</v>
      </c>
      <c r="L735" s="2">
        <v>44211</v>
      </c>
      <c r="M735" t="s">
        <v>152</v>
      </c>
      <c r="N735" t="s">
        <v>484</v>
      </c>
      <c r="O735">
        <v>45426</v>
      </c>
      <c r="P735" t="s">
        <v>21</v>
      </c>
      <c r="Q735" t="str">
        <f>TEXT(Data_Set_3[[#This Row],[date]],"mmmm")</f>
        <v>January</v>
      </c>
      <c r="R735">
        <f>MONTH(Data_Set_3[[#This Row],[date]])</f>
        <v>1</v>
      </c>
      <c r="S735">
        <f>YEAR(Data_Set_3[[#This Row],[date]])</f>
        <v>2021</v>
      </c>
    </row>
    <row r="736" spans="1:19" x14ac:dyDescent="0.3">
      <c r="A736">
        <v>1001</v>
      </c>
      <c r="B736" t="s">
        <v>289</v>
      </c>
      <c r="C736" t="s">
        <v>1017</v>
      </c>
      <c r="D736" t="s">
        <v>2874</v>
      </c>
      <c r="E736" t="s">
        <v>2875</v>
      </c>
      <c r="F736" t="s">
        <v>2249</v>
      </c>
      <c r="G736" t="s">
        <v>1766</v>
      </c>
      <c r="H736" t="s">
        <v>16</v>
      </c>
      <c r="I736" t="s">
        <v>17</v>
      </c>
      <c r="J736">
        <v>600</v>
      </c>
      <c r="K736" t="s">
        <v>34</v>
      </c>
      <c r="L736" s="2">
        <v>44213</v>
      </c>
      <c r="M736" t="s">
        <v>68</v>
      </c>
      <c r="N736" t="s">
        <v>169</v>
      </c>
      <c r="O736">
        <v>88563</v>
      </c>
      <c r="P736" t="s">
        <v>21</v>
      </c>
      <c r="Q736" t="str">
        <f>TEXT(Data_Set_3[[#This Row],[date]],"mmmm")</f>
        <v>January</v>
      </c>
      <c r="R736">
        <f>MONTH(Data_Set_3[[#This Row],[date]])</f>
        <v>1</v>
      </c>
      <c r="S736">
        <f>YEAR(Data_Set_3[[#This Row],[date]])</f>
        <v>2021</v>
      </c>
    </row>
    <row r="737" spans="1:19" x14ac:dyDescent="0.3">
      <c r="A737">
        <v>1116</v>
      </c>
      <c r="B737" t="s">
        <v>135</v>
      </c>
      <c r="C737" t="s">
        <v>2803</v>
      </c>
      <c r="D737" t="s">
        <v>2804</v>
      </c>
      <c r="E737" t="s">
        <v>2805</v>
      </c>
      <c r="F737" t="s">
        <v>1770</v>
      </c>
      <c r="G737" t="s">
        <v>2110</v>
      </c>
      <c r="H737" t="s">
        <v>32</v>
      </c>
      <c r="I737" t="s">
        <v>51</v>
      </c>
      <c r="J737">
        <v>713</v>
      </c>
      <c r="K737" t="s">
        <v>95</v>
      </c>
      <c r="L737" s="2">
        <v>44213</v>
      </c>
      <c r="M737" t="s">
        <v>74</v>
      </c>
      <c r="N737" t="s">
        <v>400</v>
      </c>
      <c r="O737">
        <v>30096</v>
      </c>
      <c r="P737" t="s">
        <v>21</v>
      </c>
      <c r="Q737" t="str">
        <f>TEXT(Data_Set_3[[#This Row],[date]],"mmmm")</f>
        <v>January</v>
      </c>
      <c r="R737">
        <f>MONTH(Data_Set_3[[#This Row],[date]])</f>
        <v>1</v>
      </c>
      <c r="S737">
        <f>YEAR(Data_Set_3[[#This Row],[date]])</f>
        <v>2021</v>
      </c>
    </row>
    <row r="738" spans="1:19" x14ac:dyDescent="0.3">
      <c r="A738">
        <v>1758</v>
      </c>
      <c r="B738" t="s">
        <v>623</v>
      </c>
      <c r="C738" t="s">
        <v>81</v>
      </c>
      <c r="D738" t="s">
        <v>3623</v>
      </c>
      <c r="E738" t="s">
        <v>3624</v>
      </c>
      <c r="F738" t="s">
        <v>2608</v>
      </c>
      <c r="G738" t="s">
        <v>2170</v>
      </c>
      <c r="H738" t="s">
        <v>16</v>
      </c>
      <c r="I738" t="s">
        <v>51</v>
      </c>
      <c r="J738">
        <v>914</v>
      </c>
      <c r="K738" t="s">
        <v>416</v>
      </c>
      <c r="L738" s="2">
        <v>44215</v>
      </c>
      <c r="M738" t="s">
        <v>246</v>
      </c>
      <c r="N738" t="s">
        <v>247</v>
      </c>
      <c r="O738">
        <v>62764</v>
      </c>
      <c r="P738" t="s">
        <v>21</v>
      </c>
      <c r="Q738" t="str">
        <f>TEXT(Data_Set_3[[#This Row],[date]],"mmmm")</f>
        <v>January</v>
      </c>
      <c r="R738">
        <f>MONTH(Data_Set_3[[#This Row],[date]])</f>
        <v>1</v>
      </c>
      <c r="S738">
        <f>YEAR(Data_Set_3[[#This Row],[date]])</f>
        <v>2021</v>
      </c>
    </row>
    <row r="739" spans="1:19" x14ac:dyDescent="0.3">
      <c r="A739">
        <v>1880</v>
      </c>
      <c r="B739" t="s">
        <v>304</v>
      </c>
      <c r="C739" t="s">
        <v>526</v>
      </c>
      <c r="D739" t="s">
        <v>2831</v>
      </c>
      <c r="E739" t="s">
        <v>2832</v>
      </c>
      <c r="F739" t="s">
        <v>1376</v>
      </c>
      <c r="G739" t="s">
        <v>2577</v>
      </c>
      <c r="H739" t="s">
        <v>32</v>
      </c>
      <c r="I739" t="s">
        <v>274</v>
      </c>
      <c r="J739">
        <v>1000</v>
      </c>
      <c r="K739" t="s">
        <v>26</v>
      </c>
      <c r="L739" s="2">
        <v>44215</v>
      </c>
      <c r="M739" t="s">
        <v>246</v>
      </c>
      <c r="N739" t="s">
        <v>339</v>
      </c>
      <c r="O739">
        <v>60614</v>
      </c>
      <c r="P739" t="s">
        <v>21</v>
      </c>
      <c r="Q739" t="str">
        <f>TEXT(Data_Set_3[[#This Row],[date]],"mmmm")</f>
        <v>January</v>
      </c>
      <c r="R739">
        <f>MONTH(Data_Set_3[[#This Row],[date]])</f>
        <v>1</v>
      </c>
      <c r="S739">
        <f>YEAR(Data_Set_3[[#This Row],[date]])</f>
        <v>2021</v>
      </c>
    </row>
    <row r="740" spans="1:19" x14ac:dyDescent="0.3">
      <c r="A740">
        <v>1938</v>
      </c>
      <c r="B740" t="s">
        <v>1163</v>
      </c>
      <c r="C740" t="s">
        <v>1050</v>
      </c>
      <c r="D740" t="s">
        <v>3625</v>
      </c>
      <c r="E740" t="s">
        <v>3626</v>
      </c>
      <c r="F740" t="s">
        <v>2013</v>
      </c>
      <c r="G740" t="s">
        <v>2495</v>
      </c>
      <c r="H740" t="s">
        <v>32</v>
      </c>
      <c r="I740" t="s">
        <v>361</v>
      </c>
      <c r="J740">
        <v>135</v>
      </c>
      <c r="K740" t="s">
        <v>225</v>
      </c>
      <c r="L740" s="2">
        <v>44215</v>
      </c>
      <c r="M740" t="s">
        <v>35</v>
      </c>
      <c r="N740" t="s">
        <v>908</v>
      </c>
      <c r="O740">
        <v>92105</v>
      </c>
      <c r="P740" t="s">
        <v>21</v>
      </c>
      <c r="Q740" t="str">
        <f>TEXT(Data_Set_3[[#This Row],[date]],"mmmm")</f>
        <v>January</v>
      </c>
      <c r="R740">
        <f>MONTH(Data_Set_3[[#This Row],[date]])</f>
        <v>1</v>
      </c>
      <c r="S740">
        <f>YEAR(Data_Set_3[[#This Row],[date]])</f>
        <v>2021</v>
      </c>
    </row>
    <row r="741" spans="1:19" x14ac:dyDescent="0.3">
      <c r="A741">
        <v>1039</v>
      </c>
      <c r="B741" t="s">
        <v>1245</v>
      </c>
      <c r="C741" t="s">
        <v>883</v>
      </c>
      <c r="D741" t="s">
        <v>3128</v>
      </c>
      <c r="E741" t="s">
        <v>3129</v>
      </c>
      <c r="F741" t="s">
        <v>1901</v>
      </c>
      <c r="G741" t="s">
        <v>2508</v>
      </c>
      <c r="H741" t="s">
        <v>16</v>
      </c>
      <c r="I741" t="s">
        <v>17</v>
      </c>
      <c r="J741">
        <v>540</v>
      </c>
      <c r="K741" t="s">
        <v>57</v>
      </c>
      <c r="L741" s="2">
        <v>44216</v>
      </c>
      <c r="M741" t="s">
        <v>41</v>
      </c>
      <c r="N741" t="s">
        <v>42</v>
      </c>
      <c r="O741">
        <v>40298</v>
      </c>
      <c r="P741" t="s">
        <v>21</v>
      </c>
      <c r="Q741" t="str">
        <f>TEXT(Data_Set_3[[#This Row],[date]],"mmmm")</f>
        <v>January</v>
      </c>
      <c r="R741">
        <f>MONTH(Data_Set_3[[#This Row],[date]])</f>
        <v>1</v>
      </c>
      <c r="S741">
        <f>YEAR(Data_Set_3[[#This Row],[date]])</f>
        <v>2021</v>
      </c>
    </row>
    <row r="742" spans="1:19" x14ac:dyDescent="0.3">
      <c r="A742">
        <v>1043</v>
      </c>
      <c r="B742" t="s">
        <v>661</v>
      </c>
      <c r="C742" t="s">
        <v>883</v>
      </c>
      <c r="D742" t="s">
        <v>2987</v>
      </c>
      <c r="E742" t="s">
        <v>2988</v>
      </c>
      <c r="F742" t="s">
        <v>1353</v>
      </c>
      <c r="G742" t="s">
        <v>2546</v>
      </c>
      <c r="H742" t="s">
        <v>16</v>
      </c>
      <c r="I742" t="s">
        <v>17</v>
      </c>
      <c r="J742">
        <v>118</v>
      </c>
      <c r="K742" t="s">
        <v>164</v>
      </c>
      <c r="L742" s="2">
        <v>44217</v>
      </c>
      <c r="M742" t="s">
        <v>489</v>
      </c>
      <c r="N742" t="s">
        <v>490</v>
      </c>
      <c r="O742">
        <v>89140</v>
      </c>
      <c r="P742" t="s">
        <v>21</v>
      </c>
      <c r="Q742" t="str">
        <f>TEXT(Data_Set_3[[#This Row],[date]],"mmmm")</f>
        <v>January</v>
      </c>
      <c r="R742">
        <f>MONTH(Data_Set_3[[#This Row],[date]])</f>
        <v>1</v>
      </c>
      <c r="S742">
        <f>YEAR(Data_Set_3[[#This Row],[date]])</f>
        <v>2021</v>
      </c>
    </row>
    <row r="743" spans="1:19" x14ac:dyDescent="0.3">
      <c r="A743">
        <v>1095</v>
      </c>
      <c r="B743" t="s">
        <v>395</v>
      </c>
      <c r="C743" t="s">
        <v>876</v>
      </c>
      <c r="D743" t="s">
        <v>2989</v>
      </c>
      <c r="E743" t="s">
        <v>2990</v>
      </c>
      <c r="F743" t="s">
        <v>1323</v>
      </c>
      <c r="G743" t="s">
        <v>1453</v>
      </c>
      <c r="H743" t="s">
        <v>32</v>
      </c>
      <c r="I743" t="s">
        <v>51</v>
      </c>
      <c r="J743">
        <v>253</v>
      </c>
      <c r="K743" t="s">
        <v>34</v>
      </c>
      <c r="L743" s="2">
        <v>44217</v>
      </c>
      <c r="M743" t="s">
        <v>68</v>
      </c>
      <c r="N743" t="s">
        <v>234</v>
      </c>
      <c r="O743">
        <v>77040</v>
      </c>
      <c r="P743" t="s">
        <v>21</v>
      </c>
      <c r="Q743" t="str">
        <f>TEXT(Data_Set_3[[#This Row],[date]],"mmmm")</f>
        <v>January</v>
      </c>
      <c r="R743">
        <f>MONTH(Data_Set_3[[#This Row],[date]])</f>
        <v>1</v>
      </c>
      <c r="S743">
        <f>YEAR(Data_Set_3[[#This Row],[date]])</f>
        <v>2021</v>
      </c>
    </row>
    <row r="744" spans="1:19" x14ac:dyDescent="0.3">
      <c r="A744">
        <v>1783</v>
      </c>
      <c r="B744" t="s">
        <v>721</v>
      </c>
      <c r="C744" t="s">
        <v>2884</v>
      </c>
      <c r="D744" t="s">
        <v>2885</v>
      </c>
      <c r="E744" t="s">
        <v>2886</v>
      </c>
      <c r="F744" t="s">
        <v>1539</v>
      </c>
      <c r="G744" t="s">
        <v>2887</v>
      </c>
      <c r="H744" t="s">
        <v>16</v>
      </c>
      <c r="I744" t="s">
        <v>25</v>
      </c>
      <c r="J744">
        <v>901</v>
      </c>
      <c r="K744" t="s">
        <v>57</v>
      </c>
      <c r="L744" s="2">
        <v>44220</v>
      </c>
      <c r="M744" t="s">
        <v>287</v>
      </c>
      <c r="N744" t="s">
        <v>288</v>
      </c>
      <c r="O744">
        <v>85715</v>
      </c>
      <c r="P744" t="s">
        <v>21</v>
      </c>
      <c r="Q744" t="str">
        <f>TEXT(Data_Set_3[[#This Row],[date]],"mmmm")</f>
        <v>January</v>
      </c>
      <c r="R744">
        <f>MONTH(Data_Set_3[[#This Row],[date]])</f>
        <v>1</v>
      </c>
      <c r="S744">
        <f>YEAR(Data_Set_3[[#This Row],[date]])</f>
        <v>2021</v>
      </c>
    </row>
    <row r="745" spans="1:19" x14ac:dyDescent="0.3">
      <c r="A745">
        <v>1123</v>
      </c>
      <c r="B745" t="s">
        <v>1130</v>
      </c>
      <c r="C745" t="s">
        <v>423</v>
      </c>
      <c r="D745" t="s">
        <v>3031</v>
      </c>
      <c r="E745" t="s">
        <v>3032</v>
      </c>
      <c r="F745" t="s">
        <v>1450</v>
      </c>
      <c r="G745" t="s">
        <v>1985</v>
      </c>
      <c r="H745" t="s">
        <v>16</v>
      </c>
      <c r="I745" t="s">
        <v>51</v>
      </c>
      <c r="J745">
        <v>845</v>
      </c>
      <c r="K745" t="s">
        <v>164</v>
      </c>
      <c r="L745" s="2">
        <v>44224</v>
      </c>
      <c r="M745" t="s">
        <v>115</v>
      </c>
      <c r="N745" t="s">
        <v>864</v>
      </c>
      <c r="O745">
        <v>33673</v>
      </c>
      <c r="P745" t="s">
        <v>21</v>
      </c>
      <c r="Q745" t="str">
        <f>TEXT(Data_Set_3[[#This Row],[date]],"mmmm")</f>
        <v>January</v>
      </c>
      <c r="R745">
        <f>MONTH(Data_Set_3[[#This Row],[date]])</f>
        <v>1</v>
      </c>
      <c r="S745">
        <f>YEAR(Data_Set_3[[#This Row],[date]])</f>
        <v>2021</v>
      </c>
    </row>
    <row r="746" spans="1:19" x14ac:dyDescent="0.3">
      <c r="A746">
        <v>1642</v>
      </c>
      <c r="B746" t="s">
        <v>928</v>
      </c>
      <c r="C746" t="s">
        <v>880</v>
      </c>
      <c r="D746" t="s">
        <v>3627</v>
      </c>
      <c r="E746" t="s">
        <v>3628</v>
      </c>
      <c r="F746" t="s">
        <v>1768</v>
      </c>
      <c r="G746" t="s">
        <v>2571</v>
      </c>
      <c r="H746" t="s">
        <v>32</v>
      </c>
      <c r="I746" t="s">
        <v>17</v>
      </c>
      <c r="J746">
        <v>340</v>
      </c>
      <c r="K746" t="s">
        <v>26</v>
      </c>
      <c r="L746" s="2">
        <v>44226</v>
      </c>
      <c r="M746" t="s">
        <v>68</v>
      </c>
      <c r="N746" t="s">
        <v>463</v>
      </c>
      <c r="O746">
        <v>79764</v>
      </c>
      <c r="P746" t="s">
        <v>21</v>
      </c>
      <c r="Q746" t="str">
        <f>TEXT(Data_Set_3[[#This Row],[date]],"mmmm")</f>
        <v>January</v>
      </c>
      <c r="R746">
        <f>MONTH(Data_Set_3[[#This Row],[date]])</f>
        <v>1</v>
      </c>
      <c r="S746">
        <f>YEAR(Data_Set_3[[#This Row],[date]])</f>
        <v>2021</v>
      </c>
    </row>
    <row r="747" spans="1:19" x14ac:dyDescent="0.3">
      <c r="A747">
        <v>1999</v>
      </c>
      <c r="B747" t="s">
        <v>2930</v>
      </c>
      <c r="C747" t="s">
        <v>567</v>
      </c>
      <c r="D747" t="s">
        <v>2931</v>
      </c>
      <c r="E747" t="s">
        <v>2932</v>
      </c>
      <c r="F747" t="s">
        <v>1529</v>
      </c>
      <c r="G747" t="s">
        <v>2687</v>
      </c>
      <c r="H747" t="s">
        <v>16</v>
      </c>
      <c r="I747" t="s">
        <v>406</v>
      </c>
      <c r="J747">
        <v>613</v>
      </c>
      <c r="K747" t="s">
        <v>26</v>
      </c>
      <c r="L747" s="2">
        <v>44226</v>
      </c>
      <c r="M747" t="s">
        <v>74</v>
      </c>
      <c r="N747" t="s">
        <v>643</v>
      </c>
      <c r="O747">
        <v>31914</v>
      </c>
      <c r="P747" t="s">
        <v>21</v>
      </c>
      <c r="Q747" t="str">
        <f>TEXT(Data_Set_3[[#This Row],[date]],"mmmm")</f>
        <v>January</v>
      </c>
      <c r="R747">
        <f>MONTH(Data_Set_3[[#This Row],[date]])</f>
        <v>1</v>
      </c>
      <c r="S747">
        <f>YEAR(Data_Set_3[[#This Row],[date]])</f>
        <v>2021</v>
      </c>
    </row>
    <row r="748" spans="1:19" x14ac:dyDescent="0.3">
      <c r="A748">
        <v>1468</v>
      </c>
      <c r="B748" t="s">
        <v>2915</v>
      </c>
      <c r="C748" t="s">
        <v>722</v>
      </c>
      <c r="D748" t="s">
        <v>2916</v>
      </c>
      <c r="E748" t="s">
        <v>2917</v>
      </c>
      <c r="F748" t="s">
        <v>2918</v>
      </c>
      <c r="G748" t="s">
        <v>1559</v>
      </c>
      <c r="H748" t="s">
        <v>32</v>
      </c>
      <c r="I748" t="s">
        <v>33</v>
      </c>
      <c r="J748">
        <v>746</v>
      </c>
      <c r="K748" t="s">
        <v>259</v>
      </c>
      <c r="L748" s="2">
        <v>44227</v>
      </c>
      <c r="M748" t="s">
        <v>120</v>
      </c>
      <c r="N748" t="s">
        <v>718</v>
      </c>
      <c r="O748">
        <v>70116</v>
      </c>
      <c r="P748" t="s">
        <v>21</v>
      </c>
      <c r="Q748" t="str">
        <f>TEXT(Data_Set_3[[#This Row],[date]],"mmmm")</f>
        <v>January</v>
      </c>
      <c r="R748">
        <f>MONTH(Data_Set_3[[#This Row],[date]])</f>
        <v>1</v>
      </c>
      <c r="S748">
        <f>YEAR(Data_Set_3[[#This Row],[date]])</f>
        <v>2021</v>
      </c>
    </row>
    <row r="749" spans="1:19" x14ac:dyDescent="0.3">
      <c r="A749">
        <v>1139</v>
      </c>
      <c r="B749" t="s">
        <v>106</v>
      </c>
      <c r="C749" t="s">
        <v>849</v>
      </c>
      <c r="D749" t="s">
        <v>3629</v>
      </c>
      <c r="E749" t="s">
        <v>3630</v>
      </c>
      <c r="F749" t="s">
        <v>1633</v>
      </c>
      <c r="G749" t="s">
        <v>2170</v>
      </c>
      <c r="H749" t="s">
        <v>32</v>
      </c>
      <c r="I749" t="s">
        <v>25</v>
      </c>
      <c r="J749">
        <v>939</v>
      </c>
      <c r="K749" t="s">
        <v>26</v>
      </c>
      <c r="L749" s="2">
        <v>44228</v>
      </c>
      <c r="M749" t="s">
        <v>152</v>
      </c>
      <c r="N749" t="s">
        <v>626</v>
      </c>
      <c r="O749">
        <v>43699</v>
      </c>
      <c r="P749" t="s">
        <v>21</v>
      </c>
      <c r="Q749" t="str">
        <f>TEXT(Data_Set_3[[#This Row],[date]],"mmmm")</f>
        <v>February</v>
      </c>
      <c r="R749">
        <f>MONTH(Data_Set_3[[#This Row],[date]])</f>
        <v>2</v>
      </c>
      <c r="S749">
        <f>YEAR(Data_Set_3[[#This Row],[date]])</f>
        <v>2021</v>
      </c>
    </row>
    <row r="750" spans="1:19" x14ac:dyDescent="0.3">
      <c r="A750">
        <v>1001</v>
      </c>
      <c r="B750" t="s">
        <v>289</v>
      </c>
      <c r="C750" t="s">
        <v>1017</v>
      </c>
      <c r="D750" t="s">
        <v>2874</v>
      </c>
      <c r="E750" t="s">
        <v>2875</v>
      </c>
      <c r="F750" t="s">
        <v>2249</v>
      </c>
      <c r="G750" t="s">
        <v>1766</v>
      </c>
      <c r="H750" t="s">
        <v>16</v>
      </c>
      <c r="I750" t="s">
        <v>17</v>
      </c>
      <c r="J750">
        <v>876</v>
      </c>
      <c r="K750" t="s">
        <v>34</v>
      </c>
      <c r="L750" s="2">
        <v>44230</v>
      </c>
      <c r="M750" t="s">
        <v>68</v>
      </c>
      <c r="N750" t="s">
        <v>169</v>
      </c>
      <c r="O750">
        <v>88563</v>
      </c>
      <c r="P750" t="s">
        <v>21</v>
      </c>
      <c r="Q750" t="str">
        <f>TEXT(Data_Set_3[[#This Row],[date]],"mmmm")</f>
        <v>February</v>
      </c>
      <c r="R750">
        <f>MONTH(Data_Set_3[[#This Row],[date]])</f>
        <v>2</v>
      </c>
      <c r="S750">
        <f>YEAR(Data_Set_3[[#This Row],[date]])</f>
        <v>2021</v>
      </c>
    </row>
    <row r="751" spans="1:19" x14ac:dyDescent="0.3">
      <c r="A751">
        <v>1624</v>
      </c>
      <c r="B751" t="s">
        <v>716</v>
      </c>
      <c r="C751" t="s">
        <v>423</v>
      </c>
      <c r="D751" t="s">
        <v>3631</v>
      </c>
      <c r="E751" t="s">
        <v>3632</v>
      </c>
      <c r="F751" t="s">
        <v>1412</v>
      </c>
      <c r="G751" t="s">
        <v>2533</v>
      </c>
      <c r="H751" t="s">
        <v>32</v>
      </c>
      <c r="I751" t="s">
        <v>17</v>
      </c>
      <c r="J751">
        <v>485</v>
      </c>
      <c r="K751" t="s">
        <v>26</v>
      </c>
      <c r="L751" s="2">
        <v>44232</v>
      </c>
      <c r="M751" t="s">
        <v>184</v>
      </c>
      <c r="N751" t="s">
        <v>720</v>
      </c>
      <c r="O751">
        <v>12255</v>
      </c>
      <c r="P751" t="s">
        <v>21</v>
      </c>
      <c r="Q751" t="str">
        <f>TEXT(Data_Set_3[[#This Row],[date]],"mmmm")</f>
        <v>February</v>
      </c>
      <c r="R751">
        <f>MONTH(Data_Set_3[[#This Row],[date]])</f>
        <v>2</v>
      </c>
      <c r="S751">
        <f>YEAR(Data_Set_3[[#This Row],[date]])</f>
        <v>2021</v>
      </c>
    </row>
    <row r="752" spans="1:19" x14ac:dyDescent="0.3">
      <c r="A752">
        <v>1036</v>
      </c>
      <c r="B752" t="s">
        <v>499</v>
      </c>
      <c r="C752" t="s">
        <v>433</v>
      </c>
      <c r="D752" t="s">
        <v>3633</v>
      </c>
      <c r="E752" t="s">
        <v>3634</v>
      </c>
      <c r="F752" t="s">
        <v>1394</v>
      </c>
      <c r="G752" t="s">
        <v>1879</v>
      </c>
      <c r="H752" t="s">
        <v>16</v>
      </c>
      <c r="I752" t="s">
        <v>17</v>
      </c>
      <c r="J752">
        <v>594</v>
      </c>
      <c r="K752" t="s">
        <v>26</v>
      </c>
      <c r="L752" s="2">
        <v>44234</v>
      </c>
      <c r="M752" t="s">
        <v>35</v>
      </c>
      <c r="N752" t="s">
        <v>3635</v>
      </c>
      <c r="O752">
        <v>90505</v>
      </c>
      <c r="P752" t="s">
        <v>21</v>
      </c>
      <c r="Q752" t="str">
        <f>TEXT(Data_Set_3[[#This Row],[date]],"mmmm")</f>
        <v>February</v>
      </c>
      <c r="R752">
        <f>MONTH(Data_Set_3[[#This Row],[date]])</f>
        <v>2</v>
      </c>
      <c r="S752">
        <f>YEAR(Data_Set_3[[#This Row],[date]])</f>
        <v>2021</v>
      </c>
    </row>
    <row r="753" spans="1:19" x14ac:dyDescent="0.3">
      <c r="A753">
        <v>1452</v>
      </c>
      <c r="B753" t="s">
        <v>893</v>
      </c>
      <c r="C753" t="s">
        <v>249</v>
      </c>
      <c r="D753" t="s">
        <v>3636</v>
      </c>
      <c r="E753" t="s">
        <v>3637</v>
      </c>
      <c r="F753" t="s">
        <v>3056</v>
      </c>
      <c r="G753" t="s">
        <v>2409</v>
      </c>
      <c r="H753" t="s">
        <v>32</v>
      </c>
      <c r="I753" t="s">
        <v>406</v>
      </c>
      <c r="J753">
        <v>471</v>
      </c>
      <c r="K753" t="s">
        <v>26</v>
      </c>
      <c r="L753" s="2">
        <v>44234</v>
      </c>
      <c r="M753" t="s">
        <v>345</v>
      </c>
      <c r="N753" t="s">
        <v>220</v>
      </c>
      <c r="O753">
        <v>20016</v>
      </c>
      <c r="P753" t="s">
        <v>21</v>
      </c>
      <c r="Q753" t="str">
        <f>TEXT(Data_Set_3[[#This Row],[date]],"mmmm")</f>
        <v>February</v>
      </c>
      <c r="R753">
        <f>MONTH(Data_Set_3[[#This Row],[date]])</f>
        <v>2</v>
      </c>
      <c r="S753">
        <f>YEAR(Data_Set_3[[#This Row],[date]])</f>
        <v>2021</v>
      </c>
    </row>
    <row r="754" spans="1:19" x14ac:dyDescent="0.3">
      <c r="A754">
        <v>1116</v>
      </c>
      <c r="B754" t="s">
        <v>135</v>
      </c>
      <c r="C754" t="s">
        <v>2803</v>
      </c>
      <c r="D754" t="s">
        <v>2804</v>
      </c>
      <c r="E754" t="s">
        <v>2805</v>
      </c>
      <c r="F754" t="s">
        <v>1770</v>
      </c>
      <c r="G754" t="s">
        <v>2110</v>
      </c>
      <c r="H754" t="s">
        <v>32</v>
      </c>
      <c r="I754" t="s">
        <v>51</v>
      </c>
      <c r="J754">
        <v>915</v>
      </c>
      <c r="K754" t="s">
        <v>95</v>
      </c>
      <c r="L754" s="2">
        <v>44237</v>
      </c>
      <c r="M754" t="s">
        <v>74</v>
      </c>
      <c r="N754" t="s">
        <v>400</v>
      </c>
      <c r="O754">
        <v>30096</v>
      </c>
      <c r="P754" t="s">
        <v>21</v>
      </c>
      <c r="Q754" t="str">
        <f>TEXT(Data_Set_3[[#This Row],[date]],"mmmm")</f>
        <v>February</v>
      </c>
      <c r="R754">
        <f>MONTH(Data_Set_3[[#This Row],[date]])</f>
        <v>2</v>
      </c>
      <c r="S754">
        <f>YEAR(Data_Set_3[[#This Row],[date]])</f>
        <v>2021</v>
      </c>
    </row>
    <row r="755" spans="1:19" x14ac:dyDescent="0.3">
      <c r="A755">
        <v>1412</v>
      </c>
      <c r="B755" t="s">
        <v>277</v>
      </c>
      <c r="C755" t="s">
        <v>296</v>
      </c>
      <c r="D755" t="s">
        <v>3638</v>
      </c>
      <c r="E755" t="s">
        <v>3639</v>
      </c>
      <c r="F755" t="s">
        <v>1283</v>
      </c>
      <c r="G755" t="s">
        <v>2687</v>
      </c>
      <c r="H755" t="s">
        <v>16</v>
      </c>
      <c r="I755" t="s">
        <v>280</v>
      </c>
      <c r="J755">
        <v>647</v>
      </c>
      <c r="K755" t="s">
        <v>26</v>
      </c>
      <c r="L755" s="2">
        <v>44237</v>
      </c>
      <c r="M755" t="s">
        <v>58</v>
      </c>
      <c r="N755" t="s">
        <v>632</v>
      </c>
      <c r="O755">
        <v>66286</v>
      </c>
      <c r="P755" t="s">
        <v>21</v>
      </c>
      <c r="Q755" t="str">
        <f>TEXT(Data_Set_3[[#This Row],[date]],"mmmm")</f>
        <v>February</v>
      </c>
      <c r="R755">
        <f>MONTH(Data_Set_3[[#This Row],[date]])</f>
        <v>2</v>
      </c>
      <c r="S755">
        <f>YEAR(Data_Set_3[[#This Row],[date]])</f>
        <v>2021</v>
      </c>
    </row>
    <row r="756" spans="1:19" x14ac:dyDescent="0.3">
      <c r="A756">
        <v>1589</v>
      </c>
      <c r="B756" t="s">
        <v>721</v>
      </c>
      <c r="C756" t="s">
        <v>314</v>
      </c>
      <c r="D756" t="s">
        <v>3640</v>
      </c>
      <c r="E756" t="s">
        <v>3641</v>
      </c>
      <c r="F756" t="s">
        <v>1765</v>
      </c>
      <c r="G756" t="s">
        <v>2735</v>
      </c>
      <c r="H756" t="s">
        <v>16</v>
      </c>
      <c r="I756" t="s">
        <v>2941</v>
      </c>
      <c r="J756">
        <v>383</v>
      </c>
      <c r="K756" t="s">
        <v>95</v>
      </c>
      <c r="L756" s="2">
        <v>44238</v>
      </c>
      <c r="M756" t="s">
        <v>68</v>
      </c>
      <c r="N756" t="s">
        <v>169</v>
      </c>
      <c r="O756">
        <v>79984</v>
      </c>
      <c r="P756" t="s">
        <v>21</v>
      </c>
      <c r="Q756" t="str">
        <f>TEXT(Data_Set_3[[#This Row],[date]],"mmmm")</f>
        <v>February</v>
      </c>
      <c r="R756">
        <f>MONTH(Data_Set_3[[#This Row],[date]])</f>
        <v>2</v>
      </c>
      <c r="S756">
        <f>YEAR(Data_Set_3[[#This Row],[date]])</f>
        <v>2021</v>
      </c>
    </row>
    <row r="757" spans="1:19" x14ac:dyDescent="0.3">
      <c r="A757">
        <v>1021</v>
      </c>
      <c r="B757" t="s">
        <v>495</v>
      </c>
      <c r="C757" t="s">
        <v>567</v>
      </c>
      <c r="D757" t="s">
        <v>2795</v>
      </c>
      <c r="E757" t="s">
        <v>2796</v>
      </c>
      <c r="F757" t="s">
        <v>1330</v>
      </c>
      <c r="G757" t="s">
        <v>1863</v>
      </c>
      <c r="H757" t="s">
        <v>32</v>
      </c>
      <c r="I757" t="s">
        <v>17</v>
      </c>
      <c r="J757">
        <v>901</v>
      </c>
      <c r="K757" t="s">
        <v>164</v>
      </c>
      <c r="L757" s="2">
        <v>44239</v>
      </c>
      <c r="M757" t="s">
        <v>78</v>
      </c>
      <c r="N757" t="s">
        <v>2797</v>
      </c>
      <c r="O757">
        <v>48555</v>
      </c>
      <c r="P757" t="s">
        <v>21</v>
      </c>
      <c r="Q757" t="str">
        <f>TEXT(Data_Set_3[[#This Row],[date]],"mmmm")</f>
        <v>February</v>
      </c>
      <c r="R757">
        <f>MONTH(Data_Set_3[[#This Row],[date]])</f>
        <v>2</v>
      </c>
      <c r="S757">
        <f>YEAR(Data_Set_3[[#This Row],[date]])</f>
        <v>2021</v>
      </c>
    </row>
    <row r="758" spans="1:19" x14ac:dyDescent="0.3">
      <c r="A758">
        <v>1043</v>
      </c>
      <c r="B758" t="s">
        <v>661</v>
      </c>
      <c r="C758" t="s">
        <v>883</v>
      </c>
      <c r="D758" t="s">
        <v>2987</v>
      </c>
      <c r="E758" t="s">
        <v>2988</v>
      </c>
      <c r="F758" t="s">
        <v>1353</v>
      </c>
      <c r="G758" t="s">
        <v>2546</v>
      </c>
      <c r="H758" t="s">
        <v>16</v>
      </c>
      <c r="I758" t="s">
        <v>17</v>
      </c>
      <c r="J758">
        <v>714</v>
      </c>
      <c r="K758" t="s">
        <v>164</v>
      </c>
      <c r="L758" s="2">
        <v>44240</v>
      </c>
      <c r="M758" t="s">
        <v>489</v>
      </c>
      <c r="N758" t="s">
        <v>490</v>
      </c>
      <c r="O758">
        <v>89140</v>
      </c>
      <c r="P758" t="s">
        <v>21</v>
      </c>
      <c r="Q758" t="str">
        <f>TEXT(Data_Set_3[[#This Row],[date]],"mmmm")</f>
        <v>February</v>
      </c>
      <c r="R758">
        <f>MONTH(Data_Set_3[[#This Row],[date]])</f>
        <v>2</v>
      </c>
      <c r="S758">
        <f>YEAR(Data_Set_3[[#This Row],[date]])</f>
        <v>2021</v>
      </c>
    </row>
    <row r="759" spans="1:19" x14ac:dyDescent="0.3">
      <c r="A759">
        <v>1260</v>
      </c>
      <c r="B759" t="s">
        <v>417</v>
      </c>
      <c r="C759" t="s">
        <v>2904</v>
      </c>
      <c r="D759" t="s">
        <v>2905</v>
      </c>
      <c r="E759" t="s">
        <v>2906</v>
      </c>
      <c r="F759" t="s">
        <v>1777</v>
      </c>
      <c r="G759" t="s">
        <v>2571</v>
      </c>
      <c r="H759" t="s">
        <v>16</v>
      </c>
      <c r="I759" t="s">
        <v>543</v>
      </c>
      <c r="J759">
        <v>649</v>
      </c>
      <c r="K759" t="s">
        <v>26</v>
      </c>
      <c r="L759" s="2">
        <v>44240</v>
      </c>
      <c r="M759" t="s">
        <v>220</v>
      </c>
      <c r="N759" t="s">
        <v>2907</v>
      </c>
      <c r="O759">
        <v>99215</v>
      </c>
      <c r="P759" t="s">
        <v>21</v>
      </c>
      <c r="Q759" t="str">
        <f>TEXT(Data_Set_3[[#This Row],[date]],"mmmm")</f>
        <v>February</v>
      </c>
      <c r="R759">
        <f>MONTH(Data_Set_3[[#This Row],[date]])</f>
        <v>2</v>
      </c>
      <c r="S759">
        <f>YEAR(Data_Set_3[[#This Row],[date]])</f>
        <v>2021</v>
      </c>
    </row>
    <row r="760" spans="1:19" x14ac:dyDescent="0.3">
      <c r="A760">
        <v>1995</v>
      </c>
      <c r="B760" t="s">
        <v>445</v>
      </c>
      <c r="C760" t="s">
        <v>505</v>
      </c>
      <c r="D760" t="s">
        <v>2995</v>
      </c>
      <c r="E760" t="s">
        <v>2996</v>
      </c>
      <c r="F760" t="s">
        <v>1595</v>
      </c>
      <c r="G760" t="s">
        <v>1388</v>
      </c>
      <c r="H760" t="s">
        <v>32</v>
      </c>
      <c r="I760" t="s">
        <v>33</v>
      </c>
      <c r="J760">
        <v>932</v>
      </c>
      <c r="K760" t="s">
        <v>34</v>
      </c>
      <c r="L760" s="2">
        <v>44240</v>
      </c>
      <c r="M760" t="s">
        <v>393</v>
      </c>
      <c r="N760" t="s">
        <v>394</v>
      </c>
      <c r="O760">
        <v>37939</v>
      </c>
      <c r="P760" t="s">
        <v>21</v>
      </c>
      <c r="Q760" t="str">
        <f>TEXT(Data_Set_3[[#This Row],[date]],"mmmm")</f>
        <v>February</v>
      </c>
      <c r="R760">
        <f>MONTH(Data_Set_3[[#This Row],[date]])</f>
        <v>2</v>
      </c>
      <c r="S760">
        <f>YEAR(Data_Set_3[[#This Row],[date]])</f>
        <v>2021</v>
      </c>
    </row>
    <row r="761" spans="1:19" x14ac:dyDescent="0.3">
      <c r="A761">
        <v>1033</v>
      </c>
      <c r="B761" t="s">
        <v>48</v>
      </c>
      <c r="C761" t="s">
        <v>707</v>
      </c>
      <c r="D761" t="s">
        <v>3642</v>
      </c>
      <c r="E761" t="s">
        <v>3643</v>
      </c>
      <c r="F761" t="s">
        <v>1680</v>
      </c>
      <c r="G761" t="s">
        <v>2409</v>
      </c>
      <c r="H761" t="s">
        <v>32</v>
      </c>
      <c r="I761" t="s">
        <v>17</v>
      </c>
      <c r="J761">
        <v>470</v>
      </c>
      <c r="K761" t="s">
        <v>26</v>
      </c>
      <c r="L761" s="2">
        <v>44241</v>
      </c>
      <c r="M761" t="s">
        <v>184</v>
      </c>
      <c r="N761" t="s">
        <v>656</v>
      </c>
      <c r="O761">
        <v>11231</v>
      </c>
      <c r="P761" t="s">
        <v>21</v>
      </c>
      <c r="Q761" t="str">
        <f>TEXT(Data_Set_3[[#This Row],[date]],"mmmm")</f>
        <v>February</v>
      </c>
      <c r="R761">
        <f>MONTH(Data_Set_3[[#This Row],[date]])</f>
        <v>2</v>
      </c>
      <c r="S761">
        <f>YEAR(Data_Set_3[[#This Row],[date]])</f>
        <v>2021</v>
      </c>
    </row>
    <row r="762" spans="1:19" x14ac:dyDescent="0.3">
      <c r="A762">
        <v>1433</v>
      </c>
      <c r="B762" t="s">
        <v>745</v>
      </c>
      <c r="C762" t="s">
        <v>482</v>
      </c>
      <c r="D762" t="s">
        <v>2955</v>
      </c>
      <c r="E762" t="s">
        <v>2956</v>
      </c>
      <c r="F762" t="s">
        <v>1983</v>
      </c>
      <c r="G762" t="s">
        <v>1834</v>
      </c>
      <c r="H762" t="s">
        <v>16</v>
      </c>
      <c r="I762" t="s">
        <v>274</v>
      </c>
      <c r="J762">
        <v>840</v>
      </c>
      <c r="K762" t="s">
        <v>95</v>
      </c>
      <c r="L762" s="2">
        <v>44241</v>
      </c>
      <c r="M762" t="s">
        <v>345</v>
      </c>
      <c r="N762" t="s">
        <v>220</v>
      </c>
      <c r="O762">
        <v>20420</v>
      </c>
      <c r="P762" t="s">
        <v>21</v>
      </c>
      <c r="Q762" t="str">
        <f>TEXT(Data_Set_3[[#This Row],[date]],"mmmm")</f>
        <v>February</v>
      </c>
      <c r="R762">
        <f>MONTH(Data_Set_3[[#This Row],[date]])</f>
        <v>2</v>
      </c>
      <c r="S762">
        <f>YEAR(Data_Set_3[[#This Row],[date]])</f>
        <v>2021</v>
      </c>
    </row>
    <row r="763" spans="1:19" x14ac:dyDescent="0.3">
      <c r="A763">
        <v>1783</v>
      </c>
      <c r="B763" t="s">
        <v>721</v>
      </c>
      <c r="C763" t="s">
        <v>2884</v>
      </c>
      <c r="D763" t="s">
        <v>2885</v>
      </c>
      <c r="E763" t="s">
        <v>2886</v>
      </c>
      <c r="F763" t="s">
        <v>1539</v>
      </c>
      <c r="G763" t="s">
        <v>2887</v>
      </c>
      <c r="H763" t="s">
        <v>16</v>
      </c>
      <c r="I763" t="s">
        <v>25</v>
      </c>
      <c r="J763">
        <v>407</v>
      </c>
      <c r="K763" t="s">
        <v>57</v>
      </c>
      <c r="L763" s="2">
        <v>44241</v>
      </c>
      <c r="M763" t="s">
        <v>287</v>
      </c>
      <c r="N763" t="s">
        <v>288</v>
      </c>
      <c r="O763">
        <v>85715</v>
      </c>
      <c r="P763" t="s">
        <v>21</v>
      </c>
      <c r="Q763" t="str">
        <f>TEXT(Data_Set_3[[#This Row],[date]],"mmmm")</f>
        <v>February</v>
      </c>
      <c r="R763">
        <f>MONTH(Data_Set_3[[#This Row],[date]])</f>
        <v>2</v>
      </c>
      <c r="S763">
        <f>YEAR(Data_Set_3[[#This Row],[date]])</f>
        <v>2021</v>
      </c>
    </row>
    <row r="764" spans="1:19" x14ac:dyDescent="0.3">
      <c r="A764">
        <v>1081</v>
      </c>
      <c r="B764" t="s">
        <v>29</v>
      </c>
      <c r="C764" t="s">
        <v>906</v>
      </c>
      <c r="D764" t="s">
        <v>2980</v>
      </c>
      <c r="E764" t="s">
        <v>2981</v>
      </c>
      <c r="F764" t="s">
        <v>2342</v>
      </c>
      <c r="G764" t="s">
        <v>2286</v>
      </c>
      <c r="H764" t="s">
        <v>32</v>
      </c>
      <c r="I764" t="s">
        <v>51</v>
      </c>
      <c r="J764">
        <v>583</v>
      </c>
      <c r="K764" t="s">
        <v>18</v>
      </c>
      <c r="L764" s="2">
        <v>44246</v>
      </c>
      <c r="M764" t="s">
        <v>152</v>
      </c>
      <c r="N764" t="s">
        <v>484</v>
      </c>
      <c r="O764">
        <v>45426</v>
      </c>
      <c r="P764" t="s">
        <v>21</v>
      </c>
      <c r="Q764" t="str">
        <f>TEXT(Data_Set_3[[#This Row],[date]],"mmmm")</f>
        <v>February</v>
      </c>
      <c r="R764">
        <f>MONTH(Data_Set_3[[#This Row],[date]])</f>
        <v>2</v>
      </c>
      <c r="S764">
        <f>YEAR(Data_Set_3[[#This Row],[date]])</f>
        <v>2021</v>
      </c>
    </row>
    <row r="765" spans="1:19" x14ac:dyDescent="0.3">
      <c r="A765">
        <v>1851</v>
      </c>
      <c r="B765" t="s">
        <v>471</v>
      </c>
      <c r="C765" t="s">
        <v>220</v>
      </c>
      <c r="D765" t="s">
        <v>3015</v>
      </c>
      <c r="E765" t="s">
        <v>3016</v>
      </c>
      <c r="F765" t="s">
        <v>3017</v>
      </c>
      <c r="G765" t="s">
        <v>2697</v>
      </c>
      <c r="H765" t="s">
        <v>32</v>
      </c>
      <c r="I765" t="s">
        <v>33</v>
      </c>
      <c r="J765">
        <v>796</v>
      </c>
      <c r="K765" t="s">
        <v>73</v>
      </c>
      <c r="L765" s="2">
        <v>44247</v>
      </c>
      <c r="M765" t="s">
        <v>184</v>
      </c>
      <c r="N765" t="s">
        <v>656</v>
      </c>
      <c r="O765">
        <v>11210</v>
      </c>
      <c r="P765" t="s">
        <v>21</v>
      </c>
      <c r="Q765" t="str">
        <f>TEXT(Data_Set_3[[#This Row],[date]],"mmmm")</f>
        <v>February</v>
      </c>
      <c r="R765">
        <f>MONTH(Data_Set_3[[#This Row],[date]])</f>
        <v>2</v>
      </c>
      <c r="S765">
        <f>YEAR(Data_Set_3[[#This Row],[date]])</f>
        <v>2021</v>
      </c>
    </row>
    <row r="766" spans="1:19" x14ac:dyDescent="0.3">
      <c r="A766">
        <v>1851</v>
      </c>
      <c r="B766" t="s">
        <v>471</v>
      </c>
      <c r="C766" t="s">
        <v>220</v>
      </c>
      <c r="D766" t="s">
        <v>3015</v>
      </c>
      <c r="E766" t="s">
        <v>3016</v>
      </c>
      <c r="F766" t="s">
        <v>3017</v>
      </c>
      <c r="G766" t="s">
        <v>2697</v>
      </c>
      <c r="H766" t="s">
        <v>32</v>
      </c>
      <c r="I766" t="s">
        <v>33</v>
      </c>
      <c r="J766">
        <v>17</v>
      </c>
      <c r="K766" t="s">
        <v>73</v>
      </c>
      <c r="L766" s="2">
        <v>44249</v>
      </c>
      <c r="M766" t="s">
        <v>184</v>
      </c>
      <c r="N766" t="s">
        <v>656</v>
      </c>
      <c r="O766">
        <v>11210</v>
      </c>
      <c r="P766" t="s">
        <v>21</v>
      </c>
      <c r="Q766" t="str">
        <f>TEXT(Data_Set_3[[#This Row],[date]],"mmmm")</f>
        <v>February</v>
      </c>
      <c r="R766">
        <f>MONTH(Data_Set_3[[#This Row],[date]])</f>
        <v>2</v>
      </c>
      <c r="S766">
        <f>YEAR(Data_Set_3[[#This Row],[date]])</f>
        <v>2021</v>
      </c>
    </row>
    <row r="767" spans="1:19" x14ac:dyDescent="0.3">
      <c r="A767">
        <v>1811</v>
      </c>
      <c r="B767" t="s">
        <v>2938</v>
      </c>
      <c r="C767" t="s">
        <v>1006</v>
      </c>
      <c r="D767" t="s">
        <v>3644</v>
      </c>
      <c r="E767" t="s">
        <v>3645</v>
      </c>
      <c r="F767" t="s">
        <v>1650</v>
      </c>
      <c r="G767" t="s">
        <v>2125</v>
      </c>
      <c r="H767" t="s">
        <v>16</v>
      </c>
      <c r="I767" t="s">
        <v>361</v>
      </c>
      <c r="J767">
        <v>809</v>
      </c>
      <c r="K767" t="s">
        <v>34</v>
      </c>
      <c r="L767" s="2">
        <v>44250</v>
      </c>
      <c r="M767" t="s">
        <v>96</v>
      </c>
      <c r="N767" t="s">
        <v>97</v>
      </c>
      <c r="O767">
        <v>46620</v>
      </c>
      <c r="P767" t="s">
        <v>21</v>
      </c>
      <c r="Q767" t="str">
        <f>TEXT(Data_Set_3[[#This Row],[date]],"mmmm")</f>
        <v>February</v>
      </c>
      <c r="R767">
        <f>MONTH(Data_Set_3[[#This Row],[date]])</f>
        <v>2</v>
      </c>
      <c r="S767">
        <f>YEAR(Data_Set_3[[#This Row],[date]])</f>
        <v>2021</v>
      </c>
    </row>
    <row r="768" spans="1:19" x14ac:dyDescent="0.3">
      <c r="A768">
        <v>1489</v>
      </c>
      <c r="B768" t="s">
        <v>860</v>
      </c>
      <c r="C768" t="s">
        <v>849</v>
      </c>
      <c r="D768" t="s">
        <v>2817</v>
      </c>
      <c r="E768" t="s">
        <v>2818</v>
      </c>
      <c r="F768" t="s">
        <v>1606</v>
      </c>
      <c r="G768" t="s">
        <v>1899</v>
      </c>
      <c r="H768" t="s">
        <v>16</v>
      </c>
      <c r="I768" t="s">
        <v>17</v>
      </c>
      <c r="J768">
        <v>365</v>
      </c>
      <c r="K768" t="s">
        <v>62</v>
      </c>
      <c r="L768" s="2">
        <v>44251</v>
      </c>
      <c r="M768" t="s">
        <v>204</v>
      </c>
      <c r="N768" t="s">
        <v>1135</v>
      </c>
      <c r="O768">
        <v>23668</v>
      </c>
      <c r="P768" t="s">
        <v>21</v>
      </c>
      <c r="Q768" t="str">
        <f>TEXT(Data_Set_3[[#This Row],[date]],"mmmm")</f>
        <v>February</v>
      </c>
      <c r="R768">
        <f>MONTH(Data_Set_3[[#This Row],[date]])</f>
        <v>2</v>
      </c>
      <c r="S768">
        <f>YEAR(Data_Set_3[[#This Row],[date]])</f>
        <v>2021</v>
      </c>
    </row>
    <row r="769" spans="1:19" x14ac:dyDescent="0.3">
      <c r="A769">
        <v>1020</v>
      </c>
      <c r="B769" t="s">
        <v>122</v>
      </c>
      <c r="C769" t="s">
        <v>954</v>
      </c>
      <c r="D769" t="s">
        <v>2888</v>
      </c>
      <c r="E769" t="s">
        <v>2889</v>
      </c>
      <c r="F769" t="s">
        <v>1998</v>
      </c>
      <c r="G769" t="s">
        <v>1926</v>
      </c>
      <c r="H769" t="s">
        <v>32</v>
      </c>
      <c r="I769" t="s">
        <v>17</v>
      </c>
      <c r="J769">
        <v>357</v>
      </c>
      <c r="K769" t="s">
        <v>26</v>
      </c>
      <c r="L769" s="2">
        <v>44254</v>
      </c>
      <c r="M769" t="s">
        <v>35</v>
      </c>
      <c r="N769" t="s">
        <v>620</v>
      </c>
      <c r="O769">
        <v>94105</v>
      </c>
      <c r="P769" t="s">
        <v>21</v>
      </c>
      <c r="Q769" t="str">
        <f>TEXT(Data_Set_3[[#This Row],[date]],"mmmm")</f>
        <v>February</v>
      </c>
      <c r="R769">
        <f>MONTH(Data_Set_3[[#This Row],[date]])</f>
        <v>2</v>
      </c>
      <c r="S769">
        <f>YEAR(Data_Set_3[[#This Row],[date]])</f>
        <v>2021</v>
      </c>
    </row>
    <row r="770" spans="1:19" x14ac:dyDescent="0.3">
      <c r="A770">
        <v>1665</v>
      </c>
      <c r="B770" t="s">
        <v>381</v>
      </c>
      <c r="C770" t="s">
        <v>519</v>
      </c>
      <c r="D770" t="s">
        <v>3646</v>
      </c>
      <c r="E770" t="s">
        <v>3647</v>
      </c>
      <c r="F770" t="s">
        <v>1689</v>
      </c>
      <c r="G770" t="s">
        <v>1596</v>
      </c>
      <c r="H770" t="s">
        <v>16</v>
      </c>
      <c r="I770" t="s">
        <v>17</v>
      </c>
      <c r="J770">
        <v>776</v>
      </c>
      <c r="K770" t="s">
        <v>26</v>
      </c>
      <c r="L770" s="2">
        <v>44254</v>
      </c>
      <c r="M770" t="s">
        <v>35</v>
      </c>
      <c r="N770" t="s">
        <v>180</v>
      </c>
      <c r="O770">
        <v>95118</v>
      </c>
      <c r="P770" t="s">
        <v>21</v>
      </c>
      <c r="Q770" t="str">
        <f>TEXT(Data_Set_3[[#This Row],[date]],"mmmm")</f>
        <v>February</v>
      </c>
      <c r="R770">
        <f>MONTH(Data_Set_3[[#This Row],[date]])</f>
        <v>2</v>
      </c>
      <c r="S770">
        <f>YEAR(Data_Set_3[[#This Row],[date]])</f>
        <v>2021</v>
      </c>
    </row>
    <row r="771" spans="1:19" x14ac:dyDescent="0.3">
      <c r="A771">
        <v>1988</v>
      </c>
      <c r="B771" t="s">
        <v>395</v>
      </c>
      <c r="C771" t="s">
        <v>1077</v>
      </c>
      <c r="D771" t="s">
        <v>3293</v>
      </c>
      <c r="E771" t="s">
        <v>3294</v>
      </c>
      <c r="F771" t="s">
        <v>1406</v>
      </c>
      <c r="G771" t="s">
        <v>1936</v>
      </c>
      <c r="H771" t="s">
        <v>32</v>
      </c>
      <c r="I771" t="s">
        <v>33</v>
      </c>
      <c r="J771">
        <v>355</v>
      </c>
      <c r="K771" t="s">
        <v>26</v>
      </c>
      <c r="L771" s="2">
        <v>44259</v>
      </c>
      <c r="M771" t="s">
        <v>46</v>
      </c>
      <c r="N771" t="s">
        <v>692</v>
      </c>
      <c r="O771">
        <v>6912</v>
      </c>
      <c r="P771" t="s">
        <v>21</v>
      </c>
      <c r="Q771" t="str">
        <f>TEXT(Data_Set_3[[#This Row],[date]],"mmmm")</f>
        <v>March</v>
      </c>
      <c r="R771">
        <f>MONTH(Data_Set_3[[#This Row],[date]])</f>
        <v>3</v>
      </c>
      <c r="S771">
        <f>YEAR(Data_Set_3[[#This Row],[date]])</f>
        <v>2021</v>
      </c>
    </row>
    <row r="772" spans="1:19" x14ac:dyDescent="0.3">
      <c r="A772">
        <v>1022</v>
      </c>
      <c r="B772" t="s">
        <v>769</v>
      </c>
      <c r="C772" t="s">
        <v>825</v>
      </c>
      <c r="D772" t="s">
        <v>3008</v>
      </c>
      <c r="E772" t="s">
        <v>3009</v>
      </c>
      <c r="F772" t="s">
        <v>1888</v>
      </c>
      <c r="G772" t="s">
        <v>1794</v>
      </c>
      <c r="H772" t="s">
        <v>16</v>
      </c>
      <c r="I772" t="s">
        <v>17</v>
      </c>
      <c r="J772">
        <v>774</v>
      </c>
      <c r="K772" t="s">
        <v>26</v>
      </c>
      <c r="L772" s="2">
        <v>44261</v>
      </c>
      <c r="M772" t="s">
        <v>345</v>
      </c>
      <c r="N772" t="s">
        <v>220</v>
      </c>
      <c r="O772">
        <v>20430</v>
      </c>
      <c r="P772" t="s">
        <v>21</v>
      </c>
      <c r="Q772" t="str">
        <f>TEXT(Data_Set_3[[#This Row],[date]],"mmmm")</f>
        <v>March</v>
      </c>
      <c r="R772">
        <f>MONTH(Data_Set_3[[#This Row],[date]])</f>
        <v>3</v>
      </c>
      <c r="S772">
        <f>YEAR(Data_Set_3[[#This Row],[date]])</f>
        <v>2021</v>
      </c>
    </row>
    <row r="773" spans="1:19" x14ac:dyDescent="0.3">
      <c r="A773">
        <v>1621</v>
      </c>
      <c r="B773" t="s">
        <v>716</v>
      </c>
      <c r="C773" t="s">
        <v>2822</v>
      </c>
      <c r="D773" t="s">
        <v>3648</v>
      </c>
      <c r="E773" t="s">
        <v>3649</v>
      </c>
      <c r="F773" t="s">
        <v>1969</v>
      </c>
      <c r="G773" t="s">
        <v>2384</v>
      </c>
      <c r="H773" t="s">
        <v>32</v>
      </c>
      <c r="I773" t="s">
        <v>17</v>
      </c>
      <c r="J773">
        <v>354</v>
      </c>
      <c r="K773" t="s">
        <v>275</v>
      </c>
      <c r="L773" s="2">
        <v>44262</v>
      </c>
      <c r="M773" t="s">
        <v>563</v>
      </c>
      <c r="N773" t="s">
        <v>564</v>
      </c>
      <c r="O773">
        <v>83757</v>
      </c>
      <c r="P773" t="s">
        <v>21</v>
      </c>
      <c r="Q773" t="str">
        <f>TEXT(Data_Set_3[[#This Row],[date]],"mmmm")</f>
        <v>March</v>
      </c>
      <c r="R773">
        <f>MONTH(Data_Set_3[[#This Row],[date]])</f>
        <v>3</v>
      </c>
      <c r="S773">
        <f>YEAR(Data_Set_3[[#This Row],[date]])</f>
        <v>2021</v>
      </c>
    </row>
    <row r="774" spans="1:19" x14ac:dyDescent="0.3">
      <c r="A774">
        <v>1989</v>
      </c>
      <c r="B774" t="s">
        <v>429</v>
      </c>
      <c r="C774" t="s">
        <v>2991</v>
      </c>
      <c r="D774" t="s">
        <v>2992</v>
      </c>
      <c r="E774" t="s">
        <v>2993</v>
      </c>
      <c r="F774" t="s">
        <v>1455</v>
      </c>
      <c r="G774" t="s">
        <v>1453</v>
      </c>
      <c r="H774" t="s">
        <v>16</v>
      </c>
      <c r="I774" t="s">
        <v>33</v>
      </c>
      <c r="J774">
        <v>23</v>
      </c>
      <c r="K774" t="s">
        <v>26</v>
      </c>
      <c r="L774" s="2">
        <v>44265</v>
      </c>
      <c r="M774" t="s">
        <v>68</v>
      </c>
      <c r="N774" t="s">
        <v>2994</v>
      </c>
      <c r="O774">
        <v>77346</v>
      </c>
      <c r="P774" t="s">
        <v>21</v>
      </c>
      <c r="Q774" t="str">
        <f>TEXT(Data_Set_3[[#This Row],[date]],"mmmm")</f>
        <v>March</v>
      </c>
      <c r="R774">
        <f>MONTH(Data_Set_3[[#This Row],[date]])</f>
        <v>3</v>
      </c>
      <c r="S774">
        <f>YEAR(Data_Set_3[[#This Row],[date]])</f>
        <v>2021</v>
      </c>
    </row>
    <row r="775" spans="1:19" x14ac:dyDescent="0.3">
      <c r="A775">
        <v>1020</v>
      </c>
      <c r="B775" t="s">
        <v>122</v>
      </c>
      <c r="C775" t="s">
        <v>954</v>
      </c>
      <c r="D775" t="s">
        <v>2888</v>
      </c>
      <c r="E775" t="s">
        <v>2889</v>
      </c>
      <c r="F775" t="s">
        <v>1998</v>
      </c>
      <c r="G775" t="s">
        <v>1926</v>
      </c>
      <c r="H775" t="s">
        <v>32</v>
      </c>
      <c r="I775" t="s">
        <v>17</v>
      </c>
      <c r="J775">
        <v>778</v>
      </c>
      <c r="K775" t="s">
        <v>26</v>
      </c>
      <c r="L775" s="2">
        <v>44268</v>
      </c>
      <c r="M775" t="s">
        <v>35</v>
      </c>
      <c r="N775" t="s">
        <v>620</v>
      </c>
      <c r="O775">
        <v>94105</v>
      </c>
      <c r="P775" t="s">
        <v>21</v>
      </c>
      <c r="Q775" t="str">
        <f>TEXT(Data_Set_3[[#This Row],[date]],"mmmm")</f>
        <v>March</v>
      </c>
      <c r="R775">
        <f>MONTH(Data_Set_3[[#This Row],[date]])</f>
        <v>3</v>
      </c>
      <c r="S775">
        <f>YEAR(Data_Set_3[[#This Row],[date]])</f>
        <v>2021</v>
      </c>
    </row>
    <row r="776" spans="1:19" x14ac:dyDescent="0.3">
      <c r="A776">
        <v>1298</v>
      </c>
      <c r="B776" t="s">
        <v>595</v>
      </c>
      <c r="C776" t="s">
        <v>293</v>
      </c>
      <c r="D776" t="s">
        <v>2900</v>
      </c>
      <c r="E776" t="s">
        <v>2901</v>
      </c>
      <c r="F776" t="s">
        <v>1539</v>
      </c>
      <c r="G776" t="s">
        <v>1952</v>
      </c>
      <c r="H776" t="s">
        <v>32</v>
      </c>
      <c r="I776" t="s">
        <v>543</v>
      </c>
      <c r="J776">
        <v>474</v>
      </c>
      <c r="K776" t="s">
        <v>73</v>
      </c>
      <c r="L776" s="2">
        <v>44268</v>
      </c>
      <c r="M776" t="s">
        <v>115</v>
      </c>
      <c r="N776" t="s">
        <v>351</v>
      </c>
      <c r="O776">
        <v>32891</v>
      </c>
      <c r="P776" t="s">
        <v>21</v>
      </c>
      <c r="Q776" t="str">
        <f>TEXT(Data_Set_3[[#This Row],[date]],"mmmm")</f>
        <v>March</v>
      </c>
      <c r="R776">
        <f>MONTH(Data_Set_3[[#This Row],[date]])</f>
        <v>3</v>
      </c>
      <c r="S776">
        <f>YEAR(Data_Set_3[[#This Row],[date]])</f>
        <v>2021</v>
      </c>
    </row>
    <row r="777" spans="1:19" x14ac:dyDescent="0.3">
      <c r="A777">
        <v>1468</v>
      </c>
      <c r="B777" t="s">
        <v>2915</v>
      </c>
      <c r="C777" t="s">
        <v>722</v>
      </c>
      <c r="D777" t="s">
        <v>2916</v>
      </c>
      <c r="E777" t="s">
        <v>2917</v>
      </c>
      <c r="F777" t="s">
        <v>2918</v>
      </c>
      <c r="G777" t="s">
        <v>1559</v>
      </c>
      <c r="H777" t="s">
        <v>32</v>
      </c>
      <c r="I777" t="s">
        <v>33</v>
      </c>
      <c r="J777">
        <v>950</v>
      </c>
      <c r="K777" t="s">
        <v>259</v>
      </c>
      <c r="L777" s="2">
        <v>44268</v>
      </c>
      <c r="M777" t="s">
        <v>120</v>
      </c>
      <c r="N777" t="s">
        <v>718</v>
      </c>
      <c r="O777">
        <v>70116</v>
      </c>
      <c r="P777" t="s">
        <v>21</v>
      </c>
      <c r="Q777" t="str">
        <f>TEXT(Data_Set_3[[#This Row],[date]],"mmmm")</f>
        <v>March</v>
      </c>
      <c r="R777">
        <f>MONTH(Data_Set_3[[#This Row],[date]])</f>
        <v>3</v>
      </c>
      <c r="S777">
        <f>YEAR(Data_Set_3[[#This Row],[date]])</f>
        <v>2021</v>
      </c>
    </row>
    <row r="778" spans="1:19" x14ac:dyDescent="0.3">
      <c r="A778">
        <v>1410</v>
      </c>
      <c r="B778" t="s">
        <v>905</v>
      </c>
      <c r="C778" t="s">
        <v>232</v>
      </c>
      <c r="D778" t="s">
        <v>3328</v>
      </c>
      <c r="E778" t="s">
        <v>3329</v>
      </c>
      <c r="F778" t="s">
        <v>1566</v>
      </c>
      <c r="G778" t="s">
        <v>2540</v>
      </c>
      <c r="H778" t="s">
        <v>16</v>
      </c>
      <c r="I778" t="s">
        <v>553</v>
      </c>
      <c r="J778">
        <v>330</v>
      </c>
      <c r="K778" t="s">
        <v>275</v>
      </c>
      <c r="L778" s="2">
        <v>44269</v>
      </c>
      <c r="M778" t="s">
        <v>68</v>
      </c>
      <c r="N778" t="s">
        <v>518</v>
      </c>
      <c r="O778">
        <v>78230</v>
      </c>
      <c r="P778" t="s">
        <v>21</v>
      </c>
      <c r="Q778" t="str">
        <f>TEXT(Data_Set_3[[#This Row],[date]],"mmmm")</f>
        <v>March</v>
      </c>
      <c r="R778">
        <f>MONTH(Data_Set_3[[#This Row],[date]])</f>
        <v>3</v>
      </c>
      <c r="S778">
        <f>YEAR(Data_Set_3[[#This Row],[date]])</f>
        <v>2021</v>
      </c>
    </row>
    <row r="779" spans="1:19" x14ac:dyDescent="0.3">
      <c r="A779">
        <v>1655</v>
      </c>
      <c r="B779" t="s">
        <v>2930</v>
      </c>
      <c r="C779" t="s">
        <v>331</v>
      </c>
      <c r="D779" t="s">
        <v>3650</v>
      </c>
      <c r="E779" t="s">
        <v>3651</v>
      </c>
      <c r="F779" t="s">
        <v>1342</v>
      </c>
      <c r="G779" t="s">
        <v>1577</v>
      </c>
      <c r="H779" t="s">
        <v>16</v>
      </c>
      <c r="I779" t="s">
        <v>17</v>
      </c>
      <c r="J779">
        <v>983</v>
      </c>
      <c r="K779" t="s">
        <v>26</v>
      </c>
      <c r="L779" s="2">
        <v>44269</v>
      </c>
      <c r="M779" t="s">
        <v>35</v>
      </c>
      <c r="N779" t="s">
        <v>3652</v>
      </c>
      <c r="O779">
        <v>92867</v>
      </c>
      <c r="P779" t="s">
        <v>21</v>
      </c>
      <c r="Q779" t="str">
        <f>TEXT(Data_Set_3[[#This Row],[date]],"mmmm")</f>
        <v>March</v>
      </c>
      <c r="R779">
        <f>MONTH(Data_Set_3[[#This Row],[date]])</f>
        <v>3</v>
      </c>
      <c r="S779">
        <f>YEAR(Data_Set_3[[#This Row],[date]])</f>
        <v>2021</v>
      </c>
    </row>
    <row r="780" spans="1:19" x14ac:dyDescent="0.3">
      <c r="A780">
        <v>2000</v>
      </c>
      <c r="B780" t="s">
        <v>547</v>
      </c>
      <c r="C780" t="s">
        <v>69</v>
      </c>
      <c r="D780" t="s">
        <v>3059</v>
      </c>
      <c r="E780" t="s">
        <v>3060</v>
      </c>
      <c r="F780" t="s">
        <v>1306</v>
      </c>
      <c r="G780" t="s">
        <v>1502</v>
      </c>
      <c r="H780" t="s">
        <v>32</v>
      </c>
      <c r="I780" t="s">
        <v>179</v>
      </c>
      <c r="J780">
        <v>984</v>
      </c>
      <c r="K780" t="s">
        <v>62</v>
      </c>
      <c r="L780" s="2">
        <v>44271</v>
      </c>
      <c r="M780" t="s">
        <v>35</v>
      </c>
      <c r="N780" t="s">
        <v>599</v>
      </c>
      <c r="O780">
        <v>94230</v>
      </c>
      <c r="P780" t="s">
        <v>21</v>
      </c>
      <c r="Q780" t="str">
        <f>TEXT(Data_Set_3[[#This Row],[date]],"mmmm")</f>
        <v>March</v>
      </c>
      <c r="R780">
        <f>MONTH(Data_Set_3[[#This Row],[date]])</f>
        <v>3</v>
      </c>
      <c r="S780">
        <f>YEAR(Data_Set_3[[#This Row],[date]])</f>
        <v>2021</v>
      </c>
    </row>
    <row r="781" spans="1:19" x14ac:dyDescent="0.3">
      <c r="A781">
        <v>1365</v>
      </c>
      <c r="B781" t="s">
        <v>1183</v>
      </c>
      <c r="C781" t="s">
        <v>813</v>
      </c>
      <c r="D781" t="s">
        <v>2957</v>
      </c>
      <c r="E781" t="s">
        <v>2958</v>
      </c>
      <c r="F781" t="s">
        <v>1644</v>
      </c>
      <c r="G781" t="s">
        <v>2061</v>
      </c>
      <c r="H781" t="s">
        <v>16</v>
      </c>
      <c r="I781" t="s">
        <v>51</v>
      </c>
      <c r="J781">
        <v>570</v>
      </c>
      <c r="K781" t="s">
        <v>62</v>
      </c>
      <c r="L781" s="2">
        <v>44272</v>
      </c>
      <c r="M781" t="s">
        <v>115</v>
      </c>
      <c r="N781" t="s">
        <v>143</v>
      </c>
      <c r="O781">
        <v>33261</v>
      </c>
      <c r="P781" t="s">
        <v>21</v>
      </c>
      <c r="Q781" t="str">
        <f>TEXT(Data_Set_3[[#This Row],[date]],"mmmm")</f>
        <v>March</v>
      </c>
      <c r="R781">
        <f>MONTH(Data_Set_3[[#This Row],[date]])</f>
        <v>3</v>
      </c>
      <c r="S781">
        <f>YEAR(Data_Set_3[[#This Row],[date]])</f>
        <v>2021</v>
      </c>
    </row>
    <row r="782" spans="1:19" x14ac:dyDescent="0.3">
      <c r="A782">
        <v>1837</v>
      </c>
      <c r="B782" t="s">
        <v>182</v>
      </c>
      <c r="C782" t="s">
        <v>281</v>
      </c>
      <c r="D782" t="s">
        <v>3653</v>
      </c>
      <c r="E782" t="s">
        <v>3654</v>
      </c>
      <c r="F782" t="s">
        <v>1981</v>
      </c>
      <c r="G782" t="s">
        <v>2310</v>
      </c>
      <c r="H782" t="s">
        <v>16</v>
      </c>
      <c r="I782" t="s">
        <v>274</v>
      </c>
      <c r="J782">
        <v>437</v>
      </c>
      <c r="K782" t="s">
        <v>416</v>
      </c>
      <c r="L782" s="2">
        <v>44274</v>
      </c>
      <c r="M782" t="s">
        <v>68</v>
      </c>
      <c r="N782" t="s">
        <v>234</v>
      </c>
      <c r="O782">
        <v>77025</v>
      </c>
      <c r="P782" t="s">
        <v>21</v>
      </c>
      <c r="Q782" t="str">
        <f>TEXT(Data_Set_3[[#This Row],[date]],"mmmm")</f>
        <v>March</v>
      </c>
      <c r="R782">
        <f>MONTH(Data_Set_3[[#This Row],[date]])</f>
        <v>3</v>
      </c>
      <c r="S782">
        <f>YEAR(Data_Set_3[[#This Row],[date]])</f>
        <v>2021</v>
      </c>
    </row>
    <row r="783" spans="1:19" x14ac:dyDescent="0.3">
      <c r="A783">
        <v>1144</v>
      </c>
      <c r="B783" t="s">
        <v>644</v>
      </c>
      <c r="C783" t="s">
        <v>581</v>
      </c>
      <c r="D783" t="s">
        <v>3114</v>
      </c>
      <c r="E783" t="s">
        <v>3115</v>
      </c>
      <c r="F783" t="s">
        <v>2641</v>
      </c>
      <c r="G783" t="s">
        <v>2709</v>
      </c>
      <c r="H783" t="s">
        <v>32</v>
      </c>
      <c r="I783" t="s">
        <v>25</v>
      </c>
      <c r="J783">
        <v>39</v>
      </c>
      <c r="K783" t="s">
        <v>62</v>
      </c>
      <c r="L783" s="2">
        <v>44275</v>
      </c>
      <c r="M783" t="s">
        <v>184</v>
      </c>
      <c r="N783" t="s">
        <v>3116</v>
      </c>
      <c r="O783">
        <v>11355</v>
      </c>
      <c r="P783" t="s">
        <v>21</v>
      </c>
      <c r="Q783" t="str">
        <f>TEXT(Data_Set_3[[#This Row],[date]],"mmmm")</f>
        <v>March</v>
      </c>
      <c r="R783">
        <f>MONTH(Data_Set_3[[#This Row],[date]])</f>
        <v>3</v>
      </c>
      <c r="S783">
        <f>YEAR(Data_Set_3[[#This Row],[date]])</f>
        <v>2021</v>
      </c>
    </row>
    <row r="784" spans="1:19" x14ac:dyDescent="0.3">
      <c r="A784">
        <v>1851</v>
      </c>
      <c r="B784" t="s">
        <v>471</v>
      </c>
      <c r="C784" t="s">
        <v>220</v>
      </c>
      <c r="D784" t="s">
        <v>3015</v>
      </c>
      <c r="E784" t="s">
        <v>3016</v>
      </c>
      <c r="F784" t="s">
        <v>3017</v>
      </c>
      <c r="G784" t="s">
        <v>2697</v>
      </c>
      <c r="H784" t="s">
        <v>32</v>
      </c>
      <c r="I784" t="s">
        <v>33</v>
      </c>
      <c r="J784">
        <v>395</v>
      </c>
      <c r="K784" t="s">
        <v>73</v>
      </c>
      <c r="L784" s="2">
        <v>44275</v>
      </c>
      <c r="M784" t="s">
        <v>184</v>
      </c>
      <c r="N784" t="s">
        <v>656</v>
      </c>
      <c r="O784">
        <v>11210</v>
      </c>
      <c r="P784" t="s">
        <v>21</v>
      </c>
      <c r="Q784" t="str">
        <f>TEXT(Data_Set_3[[#This Row],[date]],"mmmm")</f>
        <v>March</v>
      </c>
      <c r="R784">
        <f>MONTH(Data_Set_3[[#This Row],[date]])</f>
        <v>3</v>
      </c>
      <c r="S784">
        <f>YEAR(Data_Set_3[[#This Row],[date]])</f>
        <v>2021</v>
      </c>
    </row>
    <row r="785" spans="1:19" x14ac:dyDescent="0.3">
      <c r="A785">
        <v>1017</v>
      </c>
      <c r="B785" t="s">
        <v>803</v>
      </c>
      <c r="C785" t="s">
        <v>3048</v>
      </c>
      <c r="D785" t="s">
        <v>3049</v>
      </c>
      <c r="E785" t="s">
        <v>3050</v>
      </c>
      <c r="F785" t="s">
        <v>1306</v>
      </c>
      <c r="G785" t="s">
        <v>1845</v>
      </c>
      <c r="H785" t="s">
        <v>32</v>
      </c>
      <c r="I785" t="s">
        <v>17</v>
      </c>
      <c r="J785">
        <v>959</v>
      </c>
      <c r="K785" t="s">
        <v>26</v>
      </c>
      <c r="L785" s="2">
        <v>44280</v>
      </c>
      <c r="M785" t="s">
        <v>246</v>
      </c>
      <c r="N785" t="s">
        <v>339</v>
      </c>
      <c r="O785">
        <v>60663</v>
      </c>
      <c r="P785" t="s">
        <v>21</v>
      </c>
      <c r="Q785" t="str">
        <f>TEXT(Data_Set_3[[#This Row],[date]],"mmmm")</f>
        <v>March</v>
      </c>
      <c r="R785">
        <f>MONTH(Data_Set_3[[#This Row],[date]])</f>
        <v>3</v>
      </c>
      <c r="S785">
        <f>YEAR(Data_Set_3[[#This Row],[date]])</f>
        <v>2021</v>
      </c>
    </row>
    <row r="786" spans="1:19" x14ac:dyDescent="0.3">
      <c r="A786">
        <v>1021</v>
      </c>
      <c r="B786" t="s">
        <v>495</v>
      </c>
      <c r="C786" t="s">
        <v>567</v>
      </c>
      <c r="D786" t="s">
        <v>2795</v>
      </c>
      <c r="E786" t="s">
        <v>2796</v>
      </c>
      <c r="F786" t="s">
        <v>1330</v>
      </c>
      <c r="G786" t="s">
        <v>1863</v>
      </c>
      <c r="H786" t="s">
        <v>32</v>
      </c>
      <c r="I786" t="s">
        <v>17</v>
      </c>
      <c r="J786">
        <v>649</v>
      </c>
      <c r="K786" t="s">
        <v>164</v>
      </c>
      <c r="L786" s="2">
        <v>44280</v>
      </c>
      <c r="M786" t="s">
        <v>78</v>
      </c>
      <c r="N786" t="s">
        <v>2797</v>
      </c>
      <c r="O786">
        <v>48555</v>
      </c>
      <c r="P786" t="s">
        <v>21</v>
      </c>
      <c r="Q786" t="str">
        <f>TEXT(Data_Set_3[[#This Row],[date]],"mmmm")</f>
        <v>March</v>
      </c>
      <c r="R786">
        <f>MONTH(Data_Set_3[[#This Row],[date]])</f>
        <v>3</v>
      </c>
      <c r="S786">
        <f>YEAR(Data_Set_3[[#This Row],[date]])</f>
        <v>2021</v>
      </c>
    </row>
    <row r="787" spans="1:19" x14ac:dyDescent="0.3">
      <c r="A787">
        <v>1020</v>
      </c>
      <c r="B787" t="s">
        <v>122</v>
      </c>
      <c r="C787" t="s">
        <v>954</v>
      </c>
      <c r="D787" t="s">
        <v>2888</v>
      </c>
      <c r="E787" t="s">
        <v>2889</v>
      </c>
      <c r="F787" t="s">
        <v>1998</v>
      </c>
      <c r="G787" t="s">
        <v>1926</v>
      </c>
      <c r="H787" t="s">
        <v>32</v>
      </c>
      <c r="I787" t="s">
        <v>17</v>
      </c>
      <c r="J787">
        <v>970</v>
      </c>
      <c r="K787" t="s">
        <v>26</v>
      </c>
      <c r="L787" s="2">
        <v>44281</v>
      </c>
      <c r="M787" t="s">
        <v>35</v>
      </c>
      <c r="N787" t="s">
        <v>620</v>
      </c>
      <c r="O787">
        <v>94105</v>
      </c>
      <c r="P787" t="s">
        <v>21</v>
      </c>
      <c r="Q787" t="str">
        <f>TEXT(Data_Set_3[[#This Row],[date]],"mmmm")</f>
        <v>March</v>
      </c>
      <c r="R787">
        <f>MONTH(Data_Set_3[[#This Row],[date]])</f>
        <v>3</v>
      </c>
      <c r="S787">
        <f>YEAR(Data_Set_3[[#This Row],[date]])</f>
        <v>2021</v>
      </c>
    </row>
    <row r="788" spans="1:19" x14ac:dyDescent="0.3">
      <c r="A788">
        <v>1611</v>
      </c>
      <c r="B788" t="s">
        <v>293</v>
      </c>
      <c r="C788" t="s">
        <v>162</v>
      </c>
      <c r="D788" t="s">
        <v>3655</v>
      </c>
      <c r="E788" t="s">
        <v>3656</v>
      </c>
      <c r="F788" t="s">
        <v>1556</v>
      </c>
      <c r="G788" t="s">
        <v>2148</v>
      </c>
      <c r="H788" t="s">
        <v>16</v>
      </c>
      <c r="I788" t="s">
        <v>51</v>
      </c>
      <c r="J788">
        <v>215</v>
      </c>
      <c r="K788" t="s">
        <v>83</v>
      </c>
      <c r="L788" s="2">
        <v>44282</v>
      </c>
      <c r="M788" t="s">
        <v>204</v>
      </c>
      <c r="N788" t="s">
        <v>1135</v>
      </c>
      <c r="O788">
        <v>23663</v>
      </c>
      <c r="P788" t="s">
        <v>21</v>
      </c>
      <c r="Q788" t="str">
        <f>TEXT(Data_Set_3[[#This Row],[date]],"mmmm")</f>
        <v>March</v>
      </c>
      <c r="R788">
        <f>MONTH(Data_Set_3[[#This Row],[date]])</f>
        <v>3</v>
      </c>
      <c r="S788">
        <f>YEAR(Data_Set_3[[#This Row],[date]])</f>
        <v>2021</v>
      </c>
    </row>
    <row r="789" spans="1:19" x14ac:dyDescent="0.3">
      <c r="A789">
        <v>1965</v>
      </c>
      <c r="B789" t="s">
        <v>2809</v>
      </c>
      <c r="C789" t="s">
        <v>321</v>
      </c>
      <c r="D789" t="s">
        <v>3657</v>
      </c>
      <c r="E789" t="s">
        <v>3658</v>
      </c>
      <c r="F789" t="s">
        <v>3659</v>
      </c>
      <c r="G789" t="s">
        <v>2110</v>
      </c>
      <c r="H789" t="s">
        <v>32</v>
      </c>
      <c r="I789" t="s">
        <v>543</v>
      </c>
      <c r="J789">
        <v>533</v>
      </c>
      <c r="K789" t="s">
        <v>26</v>
      </c>
      <c r="L789" s="2">
        <v>44284</v>
      </c>
      <c r="M789" t="s">
        <v>291</v>
      </c>
      <c r="N789" t="s">
        <v>3144</v>
      </c>
      <c r="O789">
        <v>20709</v>
      </c>
      <c r="P789" t="s">
        <v>21</v>
      </c>
      <c r="Q789" t="str">
        <f>TEXT(Data_Set_3[[#This Row],[date]],"mmmm")</f>
        <v>March</v>
      </c>
      <c r="R789">
        <f>MONTH(Data_Set_3[[#This Row],[date]])</f>
        <v>3</v>
      </c>
      <c r="S789">
        <f>YEAR(Data_Set_3[[#This Row],[date]])</f>
        <v>2021</v>
      </c>
    </row>
    <row r="790" spans="1:19" x14ac:dyDescent="0.3">
      <c r="A790">
        <v>1575</v>
      </c>
      <c r="B790" t="s">
        <v>819</v>
      </c>
      <c r="C790" t="s">
        <v>923</v>
      </c>
      <c r="D790" t="s">
        <v>3660</v>
      </c>
      <c r="E790" t="s">
        <v>3661</v>
      </c>
      <c r="F790" t="s">
        <v>1438</v>
      </c>
      <c r="G790" t="s">
        <v>1486</v>
      </c>
      <c r="H790" t="s">
        <v>32</v>
      </c>
      <c r="I790" t="s">
        <v>543</v>
      </c>
      <c r="J790">
        <v>836</v>
      </c>
      <c r="K790" t="s">
        <v>18</v>
      </c>
      <c r="L790" s="2">
        <v>44285</v>
      </c>
      <c r="M790" t="s">
        <v>345</v>
      </c>
      <c r="N790" t="s">
        <v>220</v>
      </c>
      <c r="O790">
        <v>20036</v>
      </c>
      <c r="P790" t="s">
        <v>21</v>
      </c>
      <c r="Q790" t="str">
        <f>TEXT(Data_Set_3[[#This Row],[date]],"mmmm")</f>
        <v>March</v>
      </c>
      <c r="R790">
        <f>MONTH(Data_Set_3[[#This Row],[date]])</f>
        <v>3</v>
      </c>
      <c r="S790">
        <f>YEAR(Data_Set_3[[#This Row],[date]])</f>
        <v>2021</v>
      </c>
    </row>
    <row r="791" spans="1:19" x14ac:dyDescent="0.3">
      <c r="A791">
        <v>1851</v>
      </c>
      <c r="B791" t="s">
        <v>471</v>
      </c>
      <c r="C791" t="s">
        <v>220</v>
      </c>
      <c r="D791" t="s">
        <v>3015</v>
      </c>
      <c r="E791" t="s">
        <v>3016</v>
      </c>
      <c r="F791" t="s">
        <v>3017</v>
      </c>
      <c r="G791" t="s">
        <v>2697</v>
      </c>
      <c r="H791" t="s">
        <v>32</v>
      </c>
      <c r="I791" t="s">
        <v>33</v>
      </c>
      <c r="J791">
        <v>131</v>
      </c>
      <c r="K791" t="s">
        <v>73</v>
      </c>
      <c r="L791" s="2">
        <v>44286</v>
      </c>
      <c r="M791" t="s">
        <v>184</v>
      </c>
      <c r="N791" t="s">
        <v>656</v>
      </c>
      <c r="O791">
        <v>11210</v>
      </c>
      <c r="P791" t="s">
        <v>21</v>
      </c>
      <c r="Q791" t="str">
        <f>TEXT(Data_Set_3[[#This Row],[date]],"mmmm")</f>
        <v>March</v>
      </c>
      <c r="R791">
        <f>MONTH(Data_Set_3[[#This Row],[date]])</f>
        <v>3</v>
      </c>
      <c r="S791">
        <f>YEAR(Data_Set_3[[#This Row],[date]])</f>
        <v>2021</v>
      </c>
    </row>
    <row r="792" spans="1:19" x14ac:dyDescent="0.3">
      <c r="A792">
        <v>1001</v>
      </c>
      <c r="B792" t="s">
        <v>289</v>
      </c>
      <c r="C792" t="s">
        <v>1017</v>
      </c>
      <c r="D792" t="s">
        <v>2874</v>
      </c>
      <c r="E792" t="s">
        <v>2875</v>
      </c>
      <c r="F792" t="s">
        <v>2249</v>
      </c>
      <c r="G792" t="s">
        <v>1766</v>
      </c>
      <c r="H792" t="s">
        <v>16</v>
      </c>
      <c r="I792" t="s">
        <v>17</v>
      </c>
      <c r="J792">
        <v>641</v>
      </c>
      <c r="K792" t="s">
        <v>34</v>
      </c>
      <c r="L792" s="2">
        <v>44289</v>
      </c>
      <c r="M792" t="s">
        <v>68</v>
      </c>
      <c r="N792" t="s">
        <v>169</v>
      </c>
      <c r="O792">
        <v>88563</v>
      </c>
      <c r="P792" t="s">
        <v>21</v>
      </c>
      <c r="Q792" t="str">
        <f>TEXT(Data_Set_3[[#This Row],[date]],"mmmm")</f>
        <v>April</v>
      </c>
      <c r="R792">
        <f>MONTH(Data_Set_3[[#This Row],[date]])</f>
        <v>4</v>
      </c>
      <c r="S792">
        <f>YEAR(Data_Set_3[[#This Row],[date]])</f>
        <v>2021</v>
      </c>
    </row>
    <row r="793" spans="1:19" x14ac:dyDescent="0.3">
      <c r="A793">
        <v>1170</v>
      </c>
      <c r="B793" t="s">
        <v>22</v>
      </c>
      <c r="C793" t="s">
        <v>883</v>
      </c>
      <c r="D793" t="s">
        <v>2837</v>
      </c>
      <c r="E793" t="s">
        <v>2838</v>
      </c>
      <c r="F793" t="s">
        <v>2430</v>
      </c>
      <c r="G793" t="s">
        <v>1333</v>
      </c>
      <c r="H793" t="s">
        <v>16</v>
      </c>
      <c r="I793" t="s">
        <v>33</v>
      </c>
      <c r="J793">
        <v>139</v>
      </c>
      <c r="K793" t="s">
        <v>164</v>
      </c>
      <c r="L793" s="2">
        <v>44290</v>
      </c>
      <c r="M793" t="s">
        <v>68</v>
      </c>
      <c r="N793" t="s">
        <v>169</v>
      </c>
      <c r="O793">
        <v>88574</v>
      </c>
      <c r="P793" t="s">
        <v>21</v>
      </c>
      <c r="Q793" t="str">
        <f>TEXT(Data_Set_3[[#This Row],[date]],"mmmm")</f>
        <v>April</v>
      </c>
      <c r="R793">
        <f>MONTH(Data_Set_3[[#This Row],[date]])</f>
        <v>4</v>
      </c>
      <c r="S793">
        <f>YEAR(Data_Set_3[[#This Row],[date]])</f>
        <v>2021</v>
      </c>
    </row>
    <row r="794" spans="1:19" x14ac:dyDescent="0.3">
      <c r="A794">
        <v>1685</v>
      </c>
      <c r="B794" t="s">
        <v>595</v>
      </c>
      <c r="C794" t="s">
        <v>641</v>
      </c>
      <c r="D794" t="s">
        <v>3662</v>
      </c>
      <c r="E794" t="s">
        <v>3663</v>
      </c>
      <c r="F794" t="s">
        <v>1489</v>
      </c>
      <c r="G794" t="s">
        <v>1520</v>
      </c>
      <c r="H794" t="s">
        <v>32</v>
      </c>
      <c r="I794" t="s">
        <v>17</v>
      </c>
      <c r="J794">
        <v>905</v>
      </c>
      <c r="K794" t="s">
        <v>26</v>
      </c>
      <c r="L794" s="2">
        <v>44291</v>
      </c>
      <c r="M794" t="s">
        <v>35</v>
      </c>
      <c r="N794" t="s">
        <v>494</v>
      </c>
      <c r="O794">
        <v>94611</v>
      </c>
      <c r="P794" t="s">
        <v>21</v>
      </c>
      <c r="Q794" t="str">
        <f>TEXT(Data_Set_3[[#This Row],[date]],"mmmm")</f>
        <v>April</v>
      </c>
      <c r="R794">
        <f>MONTH(Data_Set_3[[#This Row],[date]])</f>
        <v>4</v>
      </c>
      <c r="S794">
        <f>YEAR(Data_Set_3[[#This Row],[date]])</f>
        <v>2021</v>
      </c>
    </row>
    <row r="795" spans="1:19" x14ac:dyDescent="0.3">
      <c r="A795">
        <v>1851</v>
      </c>
      <c r="B795" t="s">
        <v>471</v>
      </c>
      <c r="C795" t="s">
        <v>220</v>
      </c>
      <c r="D795" t="s">
        <v>3015</v>
      </c>
      <c r="E795" t="s">
        <v>3016</v>
      </c>
      <c r="F795" t="s">
        <v>3017</v>
      </c>
      <c r="G795" t="s">
        <v>2697</v>
      </c>
      <c r="H795" t="s">
        <v>32</v>
      </c>
      <c r="I795" t="s">
        <v>33</v>
      </c>
      <c r="J795">
        <v>746</v>
      </c>
      <c r="K795" t="s">
        <v>73</v>
      </c>
      <c r="L795" s="2">
        <v>44291</v>
      </c>
      <c r="M795" t="s">
        <v>184</v>
      </c>
      <c r="N795" t="s">
        <v>656</v>
      </c>
      <c r="O795">
        <v>11210</v>
      </c>
      <c r="P795" t="s">
        <v>21</v>
      </c>
      <c r="Q795" t="str">
        <f>TEXT(Data_Set_3[[#This Row],[date]],"mmmm")</f>
        <v>April</v>
      </c>
      <c r="R795">
        <f>MONTH(Data_Set_3[[#This Row],[date]])</f>
        <v>4</v>
      </c>
      <c r="S795">
        <f>YEAR(Data_Set_3[[#This Row],[date]])</f>
        <v>2021</v>
      </c>
    </row>
    <row r="796" spans="1:19" x14ac:dyDescent="0.3">
      <c r="A796">
        <v>1039</v>
      </c>
      <c r="B796" t="s">
        <v>1245</v>
      </c>
      <c r="C796" t="s">
        <v>883</v>
      </c>
      <c r="D796" t="s">
        <v>3128</v>
      </c>
      <c r="E796" t="s">
        <v>3129</v>
      </c>
      <c r="F796" t="s">
        <v>1901</v>
      </c>
      <c r="G796" t="s">
        <v>2508</v>
      </c>
      <c r="H796" t="s">
        <v>16</v>
      </c>
      <c r="I796" t="s">
        <v>17</v>
      </c>
      <c r="J796">
        <v>223</v>
      </c>
      <c r="K796" t="s">
        <v>57</v>
      </c>
      <c r="L796" s="2">
        <v>44292</v>
      </c>
      <c r="M796" t="s">
        <v>41</v>
      </c>
      <c r="N796" t="s">
        <v>42</v>
      </c>
      <c r="O796">
        <v>40298</v>
      </c>
      <c r="P796" t="s">
        <v>21</v>
      </c>
      <c r="Q796" t="str">
        <f>TEXT(Data_Set_3[[#This Row],[date]],"mmmm")</f>
        <v>April</v>
      </c>
      <c r="R796">
        <f>MONTH(Data_Set_3[[#This Row],[date]])</f>
        <v>4</v>
      </c>
      <c r="S796">
        <f>YEAR(Data_Set_3[[#This Row],[date]])</f>
        <v>2021</v>
      </c>
    </row>
    <row r="797" spans="1:19" x14ac:dyDescent="0.3">
      <c r="A797">
        <v>1718</v>
      </c>
      <c r="B797" t="s">
        <v>795</v>
      </c>
      <c r="C797" t="s">
        <v>1074</v>
      </c>
      <c r="D797" t="s">
        <v>3664</v>
      </c>
      <c r="E797" t="s">
        <v>3665</v>
      </c>
      <c r="F797" t="s">
        <v>2281</v>
      </c>
      <c r="G797" t="s">
        <v>1886</v>
      </c>
      <c r="H797" t="s">
        <v>32</v>
      </c>
      <c r="I797" t="s">
        <v>17</v>
      </c>
      <c r="J797">
        <v>342</v>
      </c>
      <c r="K797" t="s">
        <v>26</v>
      </c>
      <c r="L797" s="2">
        <v>44293</v>
      </c>
      <c r="M797" t="s">
        <v>35</v>
      </c>
      <c r="N797" t="s">
        <v>583</v>
      </c>
      <c r="O797">
        <v>93111</v>
      </c>
      <c r="P797" t="s">
        <v>21</v>
      </c>
      <c r="Q797" t="str">
        <f>TEXT(Data_Set_3[[#This Row],[date]],"mmmm")</f>
        <v>April</v>
      </c>
      <c r="R797">
        <f>MONTH(Data_Set_3[[#This Row],[date]])</f>
        <v>4</v>
      </c>
      <c r="S797">
        <f>YEAR(Data_Set_3[[#This Row],[date]])</f>
        <v>2021</v>
      </c>
    </row>
    <row r="798" spans="1:19" x14ac:dyDescent="0.3">
      <c r="A798">
        <v>1948</v>
      </c>
      <c r="B798" t="s">
        <v>92</v>
      </c>
      <c r="C798" t="s">
        <v>641</v>
      </c>
      <c r="D798" t="s">
        <v>3666</v>
      </c>
      <c r="E798" t="s">
        <v>3667</v>
      </c>
      <c r="F798" t="s">
        <v>1323</v>
      </c>
      <c r="G798" t="s">
        <v>3183</v>
      </c>
      <c r="H798" t="s">
        <v>16</v>
      </c>
      <c r="I798" t="s">
        <v>151</v>
      </c>
      <c r="J798">
        <v>431</v>
      </c>
      <c r="K798" t="s">
        <v>164</v>
      </c>
      <c r="L798" s="2">
        <v>44296</v>
      </c>
      <c r="M798" t="s">
        <v>110</v>
      </c>
      <c r="N798" t="s">
        <v>160</v>
      </c>
      <c r="O798">
        <v>19196</v>
      </c>
      <c r="P798" t="s">
        <v>21</v>
      </c>
      <c r="Q798" t="str">
        <f>TEXT(Data_Set_3[[#This Row],[date]],"mmmm")</f>
        <v>April</v>
      </c>
      <c r="R798">
        <f>MONTH(Data_Set_3[[#This Row],[date]])</f>
        <v>4</v>
      </c>
      <c r="S798">
        <f>YEAR(Data_Set_3[[#This Row],[date]])</f>
        <v>2021</v>
      </c>
    </row>
    <row r="799" spans="1:19" x14ac:dyDescent="0.3">
      <c r="A799">
        <v>1031</v>
      </c>
      <c r="B799" t="s">
        <v>389</v>
      </c>
      <c r="C799" t="s">
        <v>278</v>
      </c>
      <c r="D799" t="s">
        <v>3668</v>
      </c>
      <c r="E799" t="s">
        <v>3669</v>
      </c>
      <c r="F799" t="s">
        <v>1392</v>
      </c>
      <c r="G799" t="s">
        <v>2251</v>
      </c>
      <c r="H799" t="s">
        <v>32</v>
      </c>
      <c r="I799" t="s">
        <v>17</v>
      </c>
      <c r="J799">
        <v>225</v>
      </c>
      <c r="K799" t="s">
        <v>225</v>
      </c>
      <c r="L799" s="2">
        <v>44297</v>
      </c>
      <c r="M799" t="s">
        <v>204</v>
      </c>
      <c r="N799" t="s">
        <v>649</v>
      </c>
      <c r="O799">
        <v>22313</v>
      </c>
      <c r="P799" t="s">
        <v>21</v>
      </c>
      <c r="Q799" t="str">
        <f>TEXT(Data_Set_3[[#This Row],[date]],"mmmm")</f>
        <v>April</v>
      </c>
      <c r="R799">
        <f>MONTH(Data_Set_3[[#This Row],[date]])</f>
        <v>4</v>
      </c>
      <c r="S799">
        <f>YEAR(Data_Set_3[[#This Row],[date]])</f>
        <v>2021</v>
      </c>
    </row>
    <row r="800" spans="1:19" x14ac:dyDescent="0.3">
      <c r="A800">
        <v>1144</v>
      </c>
      <c r="B800" t="s">
        <v>644</v>
      </c>
      <c r="C800" t="s">
        <v>581</v>
      </c>
      <c r="D800" t="s">
        <v>3114</v>
      </c>
      <c r="E800" t="s">
        <v>3115</v>
      </c>
      <c r="F800" t="s">
        <v>2641</v>
      </c>
      <c r="G800" t="s">
        <v>2709</v>
      </c>
      <c r="H800" t="s">
        <v>32</v>
      </c>
      <c r="I800" t="s">
        <v>25</v>
      </c>
      <c r="J800">
        <v>884</v>
      </c>
      <c r="K800" t="s">
        <v>62</v>
      </c>
      <c r="L800" s="2">
        <v>44297</v>
      </c>
      <c r="M800" t="s">
        <v>184</v>
      </c>
      <c r="N800" t="s">
        <v>3116</v>
      </c>
      <c r="O800">
        <v>11355</v>
      </c>
      <c r="P800" t="s">
        <v>21</v>
      </c>
      <c r="Q800" t="str">
        <f>TEXT(Data_Set_3[[#This Row],[date]],"mmmm")</f>
        <v>April</v>
      </c>
      <c r="R800">
        <f>MONTH(Data_Set_3[[#This Row],[date]])</f>
        <v>4</v>
      </c>
      <c r="S800">
        <f>YEAR(Data_Set_3[[#This Row],[date]])</f>
        <v>2021</v>
      </c>
    </row>
    <row r="801" spans="1:19" x14ac:dyDescent="0.3">
      <c r="A801">
        <v>1116</v>
      </c>
      <c r="B801" t="s">
        <v>135</v>
      </c>
      <c r="C801" t="s">
        <v>2803</v>
      </c>
      <c r="D801" t="s">
        <v>2804</v>
      </c>
      <c r="E801" t="s">
        <v>2805</v>
      </c>
      <c r="F801" t="s">
        <v>1770</v>
      </c>
      <c r="G801" t="s">
        <v>2110</v>
      </c>
      <c r="H801" t="s">
        <v>32</v>
      </c>
      <c r="I801" t="s">
        <v>51</v>
      </c>
      <c r="J801">
        <v>590</v>
      </c>
      <c r="K801" t="s">
        <v>95</v>
      </c>
      <c r="L801" s="2">
        <v>44301</v>
      </c>
      <c r="M801" t="s">
        <v>74</v>
      </c>
      <c r="N801" t="s">
        <v>400</v>
      </c>
      <c r="O801">
        <v>30096</v>
      </c>
      <c r="P801" t="s">
        <v>21</v>
      </c>
      <c r="Q801" t="str">
        <f>TEXT(Data_Set_3[[#This Row],[date]],"mmmm")</f>
        <v>April</v>
      </c>
      <c r="R801">
        <f>MONTH(Data_Set_3[[#This Row],[date]])</f>
        <v>4</v>
      </c>
      <c r="S801">
        <f>YEAR(Data_Set_3[[#This Row],[date]])</f>
        <v>2021</v>
      </c>
    </row>
    <row r="802" spans="1:19" x14ac:dyDescent="0.3">
      <c r="A802">
        <v>1692</v>
      </c>
      <c r="B802" t="s">
        <v>359</v>
      </c>
      <c r="C802" t="s">
        <v>202</v>
      </c>
      <c r="D802" t="s">
        <v>3670</v>
      </c>
      <c r="E802" t="s">
        <v>3671</v>
      </c>
      <c r="F802" t="s">
        <v>3135</v>
      </c>
      <c r="G802" t="s">
        <v>2657</v>
      </c>
      <c r="H802" t="s">
        <v>32</v>
      </c>
      <c r="I802" t="s">
        <v>17</v>
      </c>
      <c r="J802">
        <v>919</v>
      </c>
      <c r="K802" t="s">
        <v>34</v>
      </c>
      <c r="L802" s="2">
        <v>44301</v>
      </c>
      <c r="M802" t="s">
        <v>115</v>
      </c>
      <c r="N802" t="s">
        <v>959</v>
      </c>
      <c r="O802">
        <v>34108</v>
      </c>
      <c r="P802" t="s">
        <v>21</v>
      </c>
      <c r="Q802" t="str">
        <f>TEXT(Data_Set_3[[#This Row],[date]],"mmmm")</f>
        <v>April</v>
      </c>
      <c r="R802">
        <f>MONTH(Data_Set_3[[#This Row],[date]])</f>
        <v>4</v>
      </c>
      <c r="S802">
        <f>YEAR(Data_Set_3[[#This Row],[date]])</f>
        <v>2021</v>
      </c>
    </row>
    <row r="803" spans="1:19" x14ac:dyDescent="0.3">
      <c r="A803">
        <v>1851</v>
      </c>
      <c r="B803" t="s">
        <v>471</v>
      </c>
      <c r="C803" t="s">
        <v>220</v>
      </c>
      <c r="D803" t="s">
        <v>3015</v>
      </c>
      <c r="E803" t="s">
        <v>3016</v>
      </c>
      <c r="F803" t="s">
        <v>3017</v>
      </c>
      <c r="G803" t="s">
        <v>2697</v>
      </c>
      <c r="H803" t="s">
        <v>32</v>
      </c>
      <c r="I803" t="s">
        <v>33</v>
      </c>
      <c r="J803">
        <v>67</v>
      </c>
      <c r="K803" t="s">
        <v>73</v>
      </c>
      <c r="L803" s="2">
        <v>44301</v>
      </c>
      <c r="M803" t="s">
        <v>184</v>
      </c>
      <c r="N803" t="s">
        <v>656</v>
      </c>
      <c r="O803">
        <v>11210</v>
      </c>
      <c r="P803" t="s">
        <v>21</v>
      </c>
      <c r="Q803" t="str">
        <f>TEXT(Data_Set_3[[#This Row],[date]],"mmmm")</f>
        <v>April</v>
      </c>
      <c r="R803">
        <f>MONTH(Data_Set_3[[#This Row],[date]])</f>
        <v>4</v>
      </c>
      <c r="S803">
        <f>YEAR(Data_Set_3[[#This Row],[date]])</f>
        <v>2021</v>
      </c>
    </row>
    <row r="804" spans="1:19" x14ac:dyDescent="0.3">
      <c r="A804">
        <v>1019</v>
      </c>
      <c r="B804" t="s">
        <v>460</v>
      </c>
      <c r="C804" t="s">
        <v>446</v>
      </c>
      <c r="D804" t="s">
        <v>3093</v>
      </c>
      <c r="E804" t="s">
        <v>3094</v>
      </c>
      <c r="F804" t="s">
        <v>1323</v>
      </c>
      <c r="G804" t="s">
        <v>2495</v>
      </c>
      <c r="H804" t="s">
        <v>32</v>
      </c>
      <c r="I804" t="s">
        <v>17</v>
      </c>
      <c r="J804">
        <v>265</v>
      </c>
      <c r="K804" t="s">
        <v>62</v>
      </c>
      <c r="L804" s="2">
        <v>44304</v>
      </c>
      <c r="M804" t="s">
        <v>563</v>
      </c>
      <c r="N804" t="s">
        <v>564</v>
      </c>
      <c r="O804">
        <v>83705</v>
      </c>
      <c r="P804" t="s">
        <v>21</v>
      </c>
      <c r="Q804" t="str">
        <f>TEXT(Data_Set_3[[#This Row],[date]],"mmmm")</f>
        <v>April</v>
      </c>
      <c r="R804">
        <f>MONTH(Data_Set_3[[#This Row],[date]])</f>
        <v>4</v>
      </c>
      <c r="S804">
        <f>YEAR(Data_Set_3[[#This Row],[date]])</f>
        <v>2021</v>
      </c>
    </row>
    <row r="805" spans="1:19" x14ac:dyDescent="0.3">
      <c r="A805">
        <v>1959</v>
      </c>
      <c r="B805" t="s">
        <v>267</v>
      </c>
      <c r="C805" t="s">
        <v>1040</v>
      </c>
      <c r="D805" t="s">
        <v>3672</v>
      </c>
      <c r="E805" t="s">
        <v>3673</v>
      </c>
      <c r="F805" t="s">
        <v>1402</v>
      </c>
      <c r="G805" t="s">
        <v>1338</v>
      </c>
      <c r="H805" t="s">
        <v>32</v>
      </c>
      <c r="I805" t="s">
        <v>2941</v>
      </c>
      <c r="J805">
        <v>417</v>
      </c>
      <c r="K805" t="s">
        <v>26</v>
      </c>
      <c r="L805" s="2">
        <v>44306</v>
      </c>
      <c r="M805" t="s">
        <v>19</v>
      </c>
      <c r="N805" t="s">
        <v>2846</v>
      </c>
      <c r="O805">
        <v>2453</v>
      </c>
      <c r="P805" t="s">
        <v>21</v>
      </c>
      <c r="Q805" t="str">
        <f>TEXT(Data_Set_3[[#This Row],[date]],"mmmm")</f>
        <v>April</v>
      </c>
      <c r="R805">
        <f>MONTH(Data_Set_3[[#This Row],[date]])</f>
        <v>4</v>
      </c>
      <c r="S805">
        <f>YEAR(Data_Set_3[[#This Row],[date]])</f>
        <v>2021</v>
      </c>
    </row>
    <row r="806" spans="1:19" x14ac:dyDescent="0.3">
      <c r="A806">
        <v>1703</v>
      </c>
      <c r="B806" t="s">
        <v>439</v>
      </c>
      <c r="C806" t="s">
        <v>505</v>
      </c>
      <c r="D806" t="s">
        <v>3674</v>
      </c>
      <c r="E806" t="s">
        <v>3675</v>
      </c>
      <c r="F806" t="s">
        <v>1556</v>
      </c>
      <c r="G806" t="s">
        <v>1886</v>
      </c>
      <c r="H806" t="s">
        <v>32</v>
      </c>
      <c r="I806" t="s">
        <v>17</v>
      </c>
      <c r="J806">
        <v>743</v>
      </c>
      <c r="K806" t="s">
        <v>26</v>
      </c>
      <c r="L806" s="2">
        <v>44310</v>
      </c>
      <c r="M806" t="s">
        <v>35</v>
      </c>
      <c r="N806" t="s">
        <v>903</v>
      </c>
      <c r="O806">
        <v>93399</v>
      </c>
      <c r="P806" t="s">
        <v>21</v>
      </c>
      <c r="Q806" t="str">
        <f>TEXT(Data_Set_3[[#This Row],[date]],"mmmm")</f>
        <v>April</v>
      </c>
      <c r="R806">
        <f>MONTH(Data_Set_3[[#This Row],[date]])</f>
        <v>4</v>
      </c>
      <c r="S806">
        <f>YEAR(Data_Set_3[[#This Row],[date]])</f>
        <v>2021</v>
      </c>
    </row>
    <row r="807" spans="1:19" x14ac:dyDescent="0.3">
      <c r="A807">
        <v>1017</v>
      </c>
      <c r="B807" t="s">
        <v>803</v>
      </c>
      <c r="C807" t="s">
        <v>3048</v>
      </c>
      <c r="D807" t="s">
        <v>3049</v>
      </c>
      <c r="E807" t="s">
        <v>3050</v>
      </c>
      <c r="F807" t="s">
        <v>1306</v>
      </c>
      <c r="G807" t="s">
        <v>1845</v>
      </c>
      <c r="H807" t="s">
        <v>32</v>
      </c>
      <c r="I807" t="s">
        <v>17</v>
      </c>
      <c r="J807">
        <v>186</v>
      </c>
      <c r="K807" t="s">
        <v>26</v>
      </c>
      <c r="L807" s="2">
        <v>44311</v>
      </c>
      <c r="M807" t="s">
        <v>246</v>
      </c>
      <c r="N807" t="s">
        <v>339</v>
      </c>
      <c r="O807">
        <v>60663</v>
      </c>
      <c r="P807" t="s">
        <v>21</v>
      </c>
      <c r="Q807" t="str">
        <f>TEXT(Data_Set_3[[#This Row],[date]],"mmmm")</f>
        <v>April</v>
      </c>
      <c r="R807">
        <f>MONTH(Data_Set_3[[#This Row],[date]])</f>
        <v>4</v>
      </c>
      <c r="S807">
        <f>YEAR(Data_Set_3[[#This Row],[date]])</f>
        <v>2021</v>
      </c>
    </row>
    <row r="808" spans="1:19" x14ac:dyDescent="0.3">
      <c r="A808">
        <v>1277</v>
      </c>
      <c r="B808" t="s">
        <v>43</v>
      </c>
      <c r="C808" t="s">
        <v>783</v>
      </c>
      <c r="D808" t="s">
        <v>2861</v>
      </c>
      <c r="E808" t="s">
        <v>2862</v>
      </c>
      <c r="F808" t="s">
        <v>1850</v>
      </c>
      <c r="G808" t="s">
        <v>2219</v>
      </c>
      <c r="H808" t="s">
        <v>16</v>
      </c>
      <c r="I808" t="s">
        <v>454</v>
      </c>
      <c r="J808">
        <v>533</v>
      </c>
      <c r="K808" t="s">
        <v>416</v>
      </c>
      <c r="L808" s="2">
        <v>44312</v>
      </c>
      <c r="M808" t="s">
        <v>152</v>
      </c>
      <c r="N808" t="s">
        <v>251</v>
      </c>
      <c r="O808">
        <v>44310</v>
      </c>
      <c r="P808" t="s">
        <v>21</v>
      </c>
      <c r="Q808" t="str">
        <f>TEXT(Data_Set_3[[#This Row],[date]],"mmmm")</f>
        <v>April</v>
      </c>
      <c r="R808">
        <f>MONTH(Data_Set_3[[#This Row],[date]])</f>
        <v>4</v>
      </c>
      <c r="S808">
        <f>YEAR(Data_Set_3[[#This Row],[date]])</f>
        <v>2021</v>
      </c>
    </row>
    <row r="809" spans="1:19" x14ac:dyDescent="0.3">
      <c r="A809">
        <v>1996</v>
      </c>
      <c r="B809" t="s">
        <v>359</v>
      </c>
      <c r="C809" t="s">
        <v>2841</v>
      </c>
      <c r="D809" t="s">
        <v>2842</v>
      </c>
      <c r="E809" t="s">
        <v>2843</v>
      </c>
      <c r="F809" t="s">
        <v>1696</v>
      </c>
      <c r="G809" t="s">
        <v>2606</v>
      </c>
      <c r="H809" t="s">
        <v>32</v>
      </c>
      <c r="I809" t="s">
        <v>33</v>
      </c>
      <c r="J809">
        <v>724</v>
      </c>
      <c r="K809" t="s">
        <v>164</v>
      </c>
      <c r="L809" s="2">
        <v>44312</v>
      </c>
      <c r="M809" t="s">
        <v>125</v>
      </c>
      <c r="N809" t="s">
        <v>419</v>
      </c>
      <c r="O809">
        <v>64160</v>
      </c>
      <c r="P809" t="s">
        <v>21</v>
      </c>
      <c r="Q809" t="str">
        <f>TEXT(Data_Set_3[[#This Row],[date]],"mmmm")</f>
        <v>April</v>
      </c>
      <c r="R809">
        <f>MONTH(Data_Set_3[[#This Row],[date]])</f>
        <v>4</v>
      </c>
      <c r="S809">
        <f>YEAR(Data_Set_3[[#This Row],[date]])</f>
        <v>2021</v>
      </c>
    </row>
    <row r="810" spans="1:19" x14ac:dyDescent="0.3">
      <c r="A810">
        <v>1071</v>
      </c>
      <c r="B810" t="s">
        <v>422</v>
      </c>
      <c r="C810" t="s">
        <v>446</v>
      </c>
      <c r="D810" t="s">
        <v>3676</v>
      </c>
      <c r="E810" t="s">
        <v>3677</v>
      </c>
      <c r="F810" t="s">
        <v>1661</v>
      </c>
      <c r="G810" t="s">
        <v>1965</v>
      </c>
      <c r="H810" t="s">
        <v>16</v>
      </c>
      <c r="I810" t="s">
        <v>51</v>
      </c>
      <c r="J810">
        <v>223</v>
      </c>
      <c r="K810" t="s">
        <v>164</v>
      </c>
      <c r="L810" s="2">
        <v>44313</v>
      </c>
      <c r="M810" t="s">
        <v>27</v>
      </c>
      <c r="N810" t="s">
        <v>28</v>
      </c>
      <c r="O810">
        <v>80209</v>
      </c>
      <c r="P810" t="s">
        <v>21</v>
      </c>
      <c r="Q810" t="str">
        <f>TEXT(Data_Set_3[[#This Row],[date]],"mmmm")</f>
        <v>April</v>
      </c>
      <c r="R810">
        <f>MONTH(Data_Set_3[[#This Row],[date]])</f>
        <v>4</v>
      </c>
      <c r="S810">
        <f>YEAR(Data_Set_3[[#This Row],[date]])</f>
        <v>2021</v>
      </c>
    </row>
    <row r="811" spans="1:19" x14ac:dyDescent="0.3">
      <c r="A811">
        <v>1170</v>
      </c>
      <c r="B811" t="s">
        <v>22</v>
      </c>
      <c r="C811" t="s">
        <v>883</v>
      </c>
      <c r="D811" t="s">
        <v>2837</v>
      </c>
      <c r="E811" t="s">
        <v>2838</v>
      </c>
      <c r="F811" t="s">
        <v>2430</v>
      </c>
      <c r="G811" t="s">
        <v>1333</v>
      </c>
      <c r="H811" t="s">
        <v>16</v>
      </c>
      <c r="I811" t="s">
        <v>33</v>
      </c>
      <c r="J811">
        <v>995</v>
      </c>
      <c r="K811" t="s">
        <v>164</v>
      </c>
      <c r="L811" s="2">
        <v>44313</v>
      </c>
      <c r="M811" t="s">
        <v>68</v>
      </c>
      <c r="N811" t="s">
        <v>169</v>
      </c>
      <c r="O811">
        <v>88574</v>
      </c>
      <c r="P811" t="s">
        <v>21</v>
      </c>
      <c r="Q811" t="str">
        <f>TEXT(Data_Set_3[[#This Row],[date]],"mmmm")</f>
        <v>April</v>
      </c>
      <c r="R811">
        <f>MONTH(Data_Set_3[[#This Row],[date]])</f>
        <v>4</v>
      </c>
      <c r="S811">
        <f>YEAR(Data_Set_3[[#This Row],[date]])</f>
        <v>2021</v>
      </c>
    </row>
    <row r="812" spans="1:19" x14ac:dyDescent="0.3">
      <c r="A812">
        <v>1092</v>
      </c>
      <c r="B812" t="s">
        <v>516</v>
      </c>
      <c r="C812" t="s">
        <v>455</v>
      </c>
      <c r="D812" t="s">
        <v>2976</v>
      </c>
      <c r="E812" t="s">
        <v>2977</v>
      </c>
      <c r="F812" t="s">
        <v>1763</v>
      </c>
      <c r="G812" t="s">
        <v>1486</v>
      </c>
      <c r="H812" t="s">
        <v>32</v>
      </c>
      <c r="I812" t="s">
        <v>51</v>
      </c>
      <c r="J812">
        <v>631</v>
      </c>
      <c r="K812" t="s">
        <v>73</v>
      </c>
      <c r="L812" s="2">
        <v>44315</v>
      </c>
      <c r="M812" t="s">
        <v>115</v>
      </c>
      <c r="N812" t="s">
        <v>1048</v>
      </c>
      <c r="O812">
        <v>34233</v>
      </c>
      <c r="P812" t="s">
        <v>21</v>
      </c>
      <c r="Q812" t="str">
        <f>TEXT(Data_Set_3[[#This Row],[date]],"mmmm")</f>
        <v>April</v>
      </c>
      <c r="R812">
        <f>MONTH(Data_Set_3[[#This Row],[date]])</f>
        <v>4</v>
      </c>
      <c r="S812">
        <f>YEAR(Data_Set_3[[#This Row],[date]])</f>
        <v>2021</v>
      </c>
    </row>
    <row r="813" spans="1:19" x14ac:dyDescent="0.3">
      <c r="A813">
        <v>1234</v>
      </c>
      <c r="B813" t="s">
        <v>2806</v>
      </c>
      <c r="C813" t="s">
        <v>752</v>
      </c>
      <c r="D813" t="s">
        <v>2807</v>
      </c>
      <c r="E813" t="s">
        <v>2808</v>
      </c>
      <c r="F813" t="s">
        <v>1460</v>
      </c>
      <c r="G813" t="s">
        <v>2125</v>
      </c>
      <c r="H813" t="s">
        <v>16</v>
      </c>
      <c r="I813" t="s">
        <v>33</v>
      </c>
      <c r="J813">
        <v>735</v>
      </c>
      <c r="K813" t="s">
        <v>62</v>
      </c>
      <c r="L813" s="2">
        <v>44315</v>
      </c>
      <c r="M813" t="s">
        <v>68</v>
      </c>
      <c r="N813" t="s">
        <v>69</v>
      </c>
      <c r="O813">
        <v>78710</v>
      </c>
      <c r="P813" t="s">
        <v>21</v>
      </c>
      <c r="Q813" t="str">
        <f>TEXT(Data_Set_3[[#This Row],[date]],"mmmm")</f>
        <v>April</v>
      </c>
      <c r="R813">
        <f>MONTH(Data_Set_3[[#This Row],[date]])</f>
        <v>4</v>
      </c>
      <c r="S813">
        <f>YEAR(Data_Set_3[[#This Row],[date]])</f>
        <v>2021</v>
      </c>
    </row>
    <row r="814" spans="1:19" x14ac:dyDescent="0.3">
      <c r="A814">
        <v>1043</v>
      </c>
      <c r="B814" t="s">
        <v>661</v>
      </c>
      <c r="C814" t="s">
        <v>883</v>
      </c>
      <c r="D814" t="s">
        <v>2987</v>
      </c>
      <c r="E814" t="s">
        <v>2988</v>
      </c>
      <c r="F814" t="s">
        <v>1353</v>
      </c>
      <c r="G814" t="s">
        <v>2546</v>
      </c>
      <c r="H814" t="s">
        <v>16</v>
      </c>
      <c r="I814" t="s">
        <v>17</v>
      </c>
      <c r="J814">
        <v>185</v>
      </c>
      <c r="K814" t="s">
        <v>164</v>
      </c>
      <c r="L814" s="2">
        <v>44316</v>
      </c>
      <c r="M814" t="s">
        <v>489</v>
      </c>
      <c r="N814" t="s">
        <v>490</v>
      </c>
      <c r="O814">
        <v>89140</v>
      </c>
      <c r="P814" t="s">
        <v>21</v>
      </c>
      <c r="Q814" t="str">
        <f>TEXT(Data_Set_3[[#This Row],[date]],"mmmm")</f>
        <v>April</v>
      </c>
      <c r="R814">
        <f>MONTH(Data_Set_3[[#This Row],[date]])</f>
        <v>4</v>
      </c>
      <c r="S814">
        <f>YEAR(Data_Set_3[[#This Row],[date]])</f>
        <v>2021</v>
      </c>
    </row>
    <row r="815" spans="1:19" x14ac:dyDescent="0.3">
      <c r="A815">
        <v>1212</v>
      </c>
      <c r="B815" t="s">
        <v>547</v>
      </c>
      <c r="C815" t="s">
        <v>337</v>
      </c>
      <c r="D815" t="s">
        <v>2828</v>
      </c>
      <c r="E815" t="s">
        <v>2829</v>
      </c>
      <c r="F815" t="s">
        <v>1608</v>
      </c>
      <c r="G815" t="s">
        <v>2830</v>
      </c>
      <c r="H815" t="s">
        <v>32</v>
      </c>
      <c r="I815" t="s">
        <v>33</v>
      </c>
      <c r="J815">
        <v>153</v>
      </c>
      <c r="K815" t="s">
        <v>34</v>
      </c>
      <c r="L815" s="2">
        <v>44317</v>
      </c>
      <c r="M815" t="s">
        <v>46</v>
      </c>
      <c r="N815" t="s">
        <v>47</v>
      </c>
      <c r="O815">
        <v>6183</v>
      </c>
      <c r="P815" t="s">
        <v>21</v>
      </c>
      <c r="Q815" t="str">
        <f>TEXT(Data_Set_3[[#This Row],[date]],"mmmm")</f>
        <v>May</v>
      </c>
      <c r="R815">
        <f>MONTH(Data_Set_3[[#This Row],[date]])</f>
        <v>5</v>
      </c>
      <c r="S815">
        <f>YEAR(Data_Set_3[[#This Row],[date]])</f>
        <v>2021</v>
      </c>
    </row>
    <row r="816" spans="1:19" x14ac:dyDescent="0.3">
      <c r="A816">
        <v>1923</v>
      </c>
      <c r="B816" t="s">
        <v>218</v>
      </c>
      <c r="C816" t="s">
        <v>2841</v>
      </c>
      <c r="D816" t="s">
        <v>3678</v>
      </c>
      <c r="E816" t="s">
        <v>3679</v>
      </c>
      <c r="F816" t="s">
        <v>2096</v>
      </c>
      <c r="G816" t="s">
        <v>1834</v>
      </c>
      <c r="H816" t="s">
        <v>16</v>
      </c>
      <c r="I816" t="s">
        <v>25</v>
      </c>
      <c r="J816">
        <v>322</v>
      </c>
      <c r="K816" t="s">
        <v>26</v>
      </c>
      <c r="L816" s="2">
        <v>44317</v>
      </c>
      <c r="M816" t="s">
        <v>35</v>
      </c>
      <c r="N816" t="s">
        <v>620</v>
      </c>
      <c r="O816">
        <v>94164</v>
      </c>
      <c r="P816" t="s">
        <v>21</v>
      </c>
      <c r="Q816" t="str">
        <f>TEXT(Data_Set_3[[#This Row],[date]],"mmmm")</f>
        <v>May</v>
      </c>
      <c r="R816">
        <f>MONTH(Data_Set_3[[#This Row],[date]])</f>
        <v>5</v>
      </c>
      <c r="S816">
        <f>YEAR(Data_Set_3[[#This Row],[date]])</f>
        <v>2021</v>
      </c>
    </row>
    <row r="817" spans="1:19" x14ac:dyDescent="0.3">
      <c r="A817">
        <v>1081</v>
      </c>
      <c r="B817" t="s">
        <v>29</v>
      </c>
      <c r="C817" t="s">
        <v>906</v>
      </c>
      <c r="D817" t="s">
        <v>2980</v>
      </c>
      <c r="E817" t="s">
        <v>2981</v>
      </c>
      <c r="F817" t="s">
        <v>2342</v>
      </c>
      <c r="G817" t="s">
        <v>2286</v>
      </c>
      <c r="H817" t="s">
        <v>32</v>
      </c>
      <c r="I817" t="s">
        <v>51</v>
      </c>
      <c r="J817">
        <v>911</v>
      </c>
      <c r="K817" t="s">
        <v>18</v>
      </c>
      <c r="L817" s="2">
        <v>44319</v>
      </c>
      <c r="M817" t="s">
        <v>152</v>
      </c>
      <c r="N817" t="s">
        <v>484</v>
      </c>
      <c r="O817">
        <v>45426</v>
      </c>
      <c r="P817" t="s">
        <v>21</v>
      </c>
      <c r="Q817" t="str">
        <f>TEXT(Data_Set_3[[#This Row],[date]],"mmmm")</f>
        <v>May</v>
      </c>
      <c r="R817">
        <f>MONTH(Data_Set_3[[#This Row],[date]])</f>
        <v>5</v>
      </c>
      <c r="S817">
        <f>YEAR(Data_Set_3[[#This Row],[date]])</f>
        <v>2021</v>
      </c>
    </row>
    <row r="818" spans="1:19" x14ac:dyDescent="0.3">
      <c r="A818">
        <v>1095</v>
      </c>
      <c r="B818" t="s">
        <v>395</v>
      </c>
      <c r="C818" t="s">
        <v>876</v>
      </c>
      <c r="D818" t="s">
        <v>2989</v>
      </c>
      <c r="E818" t="s">
        <v>2990</v>
      </c>
      <c r="F818" t="s">
        <v>1323</v>
      </c>
      <c r="G818" t="s">
        <v>1453</v>
      </c>
      <c r="H818" t="s">
        <v>32</v>
      </c>
      <c r="I818" t="s">
        <v>51</v>
      </c>
      <c r="J818">
        <v>549</v>
      </c>
      <c r="K818" t="s">
        <v>34</v>
      </c>
      <c r="L818" s="2">
        <v>44320</v>
      </c>
      <c r="M818" t="s">
        <v>68</v>
      </c>
      <c r="N818" t="s">
        <v>234</v>
      </c>
      <c r="O818">
        <v>77040</v>
      </c>
      <c r="P818" t="s">
        <v>21</v>
      </c>
      <c r="Q818" t="str">
        <f>TEXT(Data_Set_3[[#This Row],[date]],"mmmm")</f>
        <v>May</v>
      </c>
      <c r="R818">
        <f>MONTH(Data_Set_3[[#This Row],[date]])</f>
        <v>5</v>
      </c>
      <c r="S818">
        <f>YEAR(Data_Set_3[[#This Row],[date]])</f>
        <v>2021</v>
      </c>
    </row>
    <row r="819" spans="1:19" x14ac:dyDescent="0.3">
      <c r="A819">
        <v>1489</v>
      </c>
      <c r="B819" t="s">
        <v>860</v>
      </c>
      <c r="C819" t="s">
        <v>849</v>
      </c>
      <c r="D819" t="s">
        <v>2817</v>
      </c>
      <c r="E819" t="s">
        <v>2818</v>
      </c>
      <c r="F819" t="s">
        <v>1606</v>
      </c>
      <c r="G819" t="s">
        <v>1899</v>
      </c>
      <c r="H819" t="s">
        <v>16</v>
      </c>
      <c r="I819" t="s">
        <v>17</v>
      </c>
      <c r="J819">
        <v>426</v>
      </c>
      <c r="K819" t="s">
        <v>62</v>
      </c>
      <c r="L819" s="2">
        <v>44320</v>
      </c>
      <c r="M819" t="s">
        <v>204</v>
      </c>
      <c r="N819" t="s">
        <v>1135</v>
      </c>
      <c r="O819">
        <v>23668</v>
      </c>
      <c r="P819" t="s">
        <v>21</v>
      </c>
      <c r="Q819" t="str">
        <f>TEXT(Data_Set_3[[#This Row],[date]],"mmmm")</f>
        <v>May</v>
      </c>
      <c r="R819">
        <f>MONTH(Data_Set_3[[#This Row],[date]])</f>
        <v>5</v>
      </c>
      <c r="S819">
        <f>YEAR(Data_Set_3[[#This Row],[date]])</f>
        <v>2021</v>
      </c>
    </row>
    <row r="820" spans="1:19" x14ac:dyDescent="0.3">
      <c r="A820">
        <v>1990</v>
      </c>
      <c r="B820" t="s">
        <v>186</v>
      </c>
      <c r="C820" t="s">
        <v>367</v>
      </c>
      <c r="D820" t="s">
        <v>3534</v>
      </c>
      <c r="E820" t="s">
        <v>3535</v>
      </c>
      <c r="F820" t="s">
        <v>2192</v>
      </c>
      <c r="G820" t="s">
        <v>1609</v>
      </c>
      <c r="H820" t="s">
        <v>32</v>
      </c>
      <c r="I820" t="s">
        <v>33</v>
      </c>
      <c r="J820">
        <v>952</v>
      </c>
      <c r="K820" t="s">
        <v>26</v>
      </c>
      <c r="L820" s="2">
        <v>44321</v>
      </c>
      <c r="M820" t="s">
        <v>524</v>
      </c>
      <c r="N820" t="s">
        <v>715</v>
      </c>
      <c r="O820">
        <v>36622</v>
      </c>
      <c r="P820" t="s">
        <v>21</v>
      </c>
      <c r="Q820" t="str">
        <f>TEXT(Data_Set_3[[#This Row],[date]],"mmmm")</f>
        <v>May</v>
      </c>
      <c r="R820">
        <f>MONTH(Data_Set_3[[#This Row],[date]])</f>
        <v>5</v>
      </c>
      <c r="S820">
        <f>YEAR(Data_Set_3[[#This Row],[date]])</f>
        <v>2021</v>
      </c>
    </row>
    <row r="821" spans="1:19" x14ac:dyDescent="0.3">
      <c r="A821">
        <v>1081</v>
      </c>
      <c r="B821" t="s">
        <v>29</v>
      </c>
      <c r="C821" t="s">
        <v>906</v>
      </c>
      <c r="D821" t="s">
        <v>2980</v>
      </c>
      <c r="E821" t="s">
        <v>2981</v>
      </c>
      <c r="F821" t="s">
        <v>2342</v>
      </c>
      <c r="G821" t="s">
        <v>2286</v>
      </c>
      <c r="H821" t="s">
        <v>32</v>
      </c>
      <c r="I821" t="s">
        <v>51</v>
      </c>
      <c r="J821">
        <v>766</v>
      </c>
      <c r="K821" t="s">
        <v>18</v>
      </c>
      <c r="L821" s="2">
        <v>44322</v>
      </c>
      <c r="M821" t="s">
        <v>152</v>
      </c>
      <c r="N821" t="s">
        <v>484</v>
      </c>
      <c r="O821">
        <v>45426</v>
      </c>
      <c r="P821" t="s">
        <v>21</v>
      </c>
      <c r="Q821" t="str">
        <f>TEXT(Data_Set_3[[#This Row],[date]],"mmmm")</f>
        <v>May</v>
      </c>
      <c r="R821">
        <f>MONTH(Data_Set_3[[#This Row],[date]])</f>
        <v>5</v>
      </c>
      <c r="S821">
        <f>YEAR(Data_Set_3[[#This Row],[date]])</f>
        <v>2021</v>
      </c>
    </row>
    <row r="822" spans="1:19" x14ac:dyDescent="0.3">
      <c r="A822">
        <v>1565</v>
      </c>
      <c r="B822" t="s">
        <v>687</v>
      </c>
      <c r="C822" t="s">
        <v>93</v>
      </c>
      <c r="D822" t="s">
        <v>3680</v>
      </c>
      <c r="E822" t="s">
        <v>3681</v>
      </c>
      <c r="F822" t="s">
        <v>1644</v>
      </c>
      <c r="G822" t="s">
        <v>1952</v>
      </c>
      <c r="H822" t="s">
        <v>16</v>
      </c>
      <c r="I822" t="s">
        <v>406</v>
      </c>
      <c r="J822">
        <v>944</v>
      </c>
      <c r="K822" t="s">
        <v>73</v>
      </c>
      <c r="L822" s="2">
        <v>44323</v>
      </c>
      <c r="M822" t="s">
        <v>35</v>
      </c>
      <c r="N822" t="s">
        <v>908</v>
      </c>
      <c r="O822">
        <v>92127</v>
      </c>
      <c r="P822" t="s">
        <v>21</v>
      </c>
      <c r="Q822" t="str">
        <f>TEXT(Data_Set_3[[#This Row],[date]],"mmmm")</f>
        <v>May</v>
      </c>
      <c r="R822">
        <f>MONTH(Data_Set_3[[#This Row],[date]])</f>
        <v>5</v>
      </c>
      <c r="S822">
        <f>YEAR(Data_Set_3[[#This Row],[date]])</f>
        <v>2021</v>
      </c>
    </row>
    <row r="823" spans="1:19" x14ac:dyDescent="0.3">
      <c r="A823">
        <v>1812</v>
      </c>
      <c r="B823" t="s">
        <v>1130</v>
      </c>
      <c r="C823" t="s">
        <v>639</v>
      </c>
      <c r="D823" t="s">
        <v>2863</v>
      </c>
      <c r="E823" t="s">
        <v>2864</v>
      </c>
      <c r="F823" t="s">
        <v>2641</v>
      </c>
      <c r="G823" t="s">
        <v>1653</v>
      </c>
      <c r="H823" t="s">
        <v>16</v>
      </c>
      <c r="I823" t="s">
        <v>543</v>
      </c>
      <c r="J823">
        <v>531</v>
      </c>
      <c r="K823" t="s">
        <v>34</v>
      </c>
      <c r="L823" s="2">
        <v>44323</v>
      </c>
      <c r="M823" t="s">
        <v>524</v>
      </c>
      <c r="N823" t="s">
        <v>815</v>
      </c>
      <c r="O823">
        <v>35220</v>
      </c>
      <c r="P823" t="s">
        <v>21</v>
      </c>
      <c r="Q823" t="str">
        <f>TEXT(Data_Set_3[[#This Row],[date]],"mmmm")</f>
        <v>May</v>
      </c>
      <c r="R823">
        <f>MONTH(Data_Set_3[[#This Row],[date]])</f>
        <v>5</v>
      </c>
      <c r="S823">
        <f>YEAR(Data_Set_3[[#This Row],[date]])</f>
        <v>2021</v>
      </c>
    </row>
    <row r="824" spans="1:19" x14ac:dyDescent="0.3">
      <c r="A824">
        <v>1880</v>
      </c>
      <c r="B824" t="s">
        <v>304</v>
      </c>
      <c r="C824" t="s">
        <v>526</v>
      </c>
      <c r="D824" t="s">
        <v>2831</v>
      </c>
      <c r="E824" t="s">
        <v>2832</v>
      </c>
      <c r="F824" t="s">
        <v>1376</v>
      </c>
      <c r="G824" t="s">
        <v>2577</v>
      </c>
      <c r="H824" t="s">
        <v>32</v>
      </c>
      <c r="I824" t="s">
        <v>274</v>
      </c>
      <c r="J824">
        <v>382</v>
      </c>
      <c r="K824" t="s">
        <v>26</v>
      </c>
      <c r="L824" s="2">
        <v>44323</v>
      </c>
      <c r="M824" t="s">
        <v>246</v>
      </c>
      <c r="N824" t="s">
        <v>339</v>
      </c>
      <c r="O824">
        <v>60614</v>
      </c>
      <c r="P824" t="s">
        <v>21</v>
      </c>
      <c r="Q824" t="str">
        <f>TEXT(Data_Set_3[[#This Row],[date]],"mmmm")</f>
        <v>May</v>
      </c>
      <c r="R824">
        <f>MONTH(Data_Set_3[[#This Row],[date]])</f>
        <v>5</v>
      </c>
      <c r="S824">
        <f>YEAR(Data_Set_3[[#This Row],[date]])</f>
        <v>2021</v>
      </c>
    </row>
    <row r="825" spans="1:19" x14ac:dyDescent="0.3">
      <c r="A825">
        <v>1993</v>
      </c>
      <c r="B825" t="s">
        <v>366</v>
      </c>
      <c r="C825" t="s">
        <v>1089</v>
      </c>
      <c r="D825" t="s">
        <v>3441</v>
      </c>
      <c r="E825" t="s">
        <v>3442</v>
      </c>
      <c r="F825" t="s">
        <v>1811</v>
      </c>
      <c r="G825" t="s">
        <v>2432</v>
      </c>
      <c r="H825" t="s">
        <v>32</v>
      </c>
      <c r="I825" t="s">
        <v>33</v>
      </c>
      <c r="J825">
        <v>783</v>
      </c>
      <c r="K825" t="s">
        <v>225</v>
      </c>
      <c r="L825" s="2">
        <v>44323</v>
      </c>
      <c r="M825" t="s">
        <v>254</v>
      </c>
      <c r="N825" t="s">
        <v>255</v>
      </c>
      <c r="O825">
        <v>50369</v>
      </c>
      <c r="P825" t="s">
        <v>21</v>
      </c>
      <c r="Q825" t="str">
        <f>TEXT(Data_Set_3[[#This Row],[date]],"mmmm")</f>
        <v>May</v>
      </c>
      <c r="R825">
        <f>MONTH(Data_Set_3[[#This Row],[date]])</f>
        <v>5</v>
      </c>
      <c r="S825">
        <f>YEAR(Data_Set_3[[#This Row],[date]])</f>
        <v>2021</v>
      </c>
    </row>
    <row r="826" spans="1:19" x14ac:dyDescent="0.3">
      <c r="A826">
        <v>1591</v>
      </c>
      <c r="B826" t="s">
        <v>135</v>
      </c>
      <c r="C826" t="s">
        <v>449</v>
      </c>
      <c r="D826" t="s">
        <v>3682</v>
      </c>
      <c r="E826" t="s">
        <v>3683</v>
      </c>
      <c r="F826" t="s">
        <v>1491</v>
      </c>
      <c r="G826" t="s">
        <v>1886</v>
      </c>
      <c r="H826" t="s">
        <v>32</v>
      </c>
      <c r="I826" t="s">
        <v>361</v>
      </c>
      <c r="J826">
        <v>156</v>
      </c>
      <c r="K826" t="s">
        <v>26</v>
      </c>
      <c r="L826" s="2">
        <v>44324</v>
      </c>
      <c r="M826" t="s">
        <v>35</v>
      </c>
      <c r="N826" t="s">
        <v>620</v>
      </c>
      <c r="O826">
        <v>94164</v>
      </c>
      <c r="P826" t="s">
        <v>21</v>
      </c>
      <c r="Q826" t="str">
        <f>TEXT(Data_Set_3[[#This Row],[date]],"mmmm")</f>
        <v>May</v>
      </c>
      <c r="R826">
        <f>MONTH(Data_Set_3[[#This Row],[date]])</f>
        <v>5</v>
      </c>
      <c r="S826">
        <f>YEAR(Data_Set_3[[#This Row],[date]])</f>
        <v>2021</v>
      </c>
    </row>
    <row r="827" spans="1:19" x14ac:dyDescent="0.3">
      <c r="A827">
        <v>1170</v>
      </c>
      <c r="B827" t="s">
        <v>22</v>
      </c>
      <c r="C827" t="s">
        <v>883</v>
      </c>
      <c r="D827" t="s">
        <v>2837</v>
      </c>
      <c r="E827" t="s">
        <v>2838</v>
      </c>
      <c r="F827" t="s">
        <v>2430</v>
      </c>
      <c r="G827" t="s">
        <v>1333</v>
      </c>
      <c r="H827" t="s">
        <v>16</v>
      </c>
      <c r="I827" t="s">
        <v>33</v>
      </c>
      <c r="J827">
        <v>685</v>
      </c>
      <c r="K827" t="s">
        <v>164</v>
      </c>
      <c r="L827" s="2">
        <v>44326</v>
      </c>
      <c r="M827" t="s">
        <v>68</v>
      </c>
      <c r="N827" t="s">
        <v>169</v>
      </c>
      <c r="O827">
        <v>88574</v>
      </c>
      <c r="P827" t="s">
        <v>21</v>
      </c>
      <c r="Q827" t="str">
        <f>TEXT(Data_Set_3[[#This Row],[date]],"mmmm")</f>
        <v>May</v>
      </c>
      <c r="R827">
        <f>MONTH(Data_Set_3[[#This Row],[date]])</f>
        <v>5</v>
      </c>
      <c r="S827">
        <f>YEAR(Data_Set_3[[#This Row],[date]])</f>
        <v>2021</v>
      </c>
    </row>
    <row r="828" spans="1:19" x14ac:dyDescent="0.3">
      <c r="A828">
        <v>1212</v>
      </c>
      <c r="B828" t="s">
        <v>547</v>
      </c>
      <c r="C828" t="s">
        <v>337</v>
      </c>
      <c r="D828" t="s">
        <v>2828</v>
      </c>
      <c r="E828" t="s">
        <v>2829</v>
      </c>
      <c r="F828" t="s">
        <v>1608</v>
      </c>
      <c r="G828" t="s">
        <v>2830</v>
      </c>
      <c r="H828" t="s">
        <v>32</v>
      </c>
      <c r="I828" t="s">
        <v>33</v>
      </c>
      <c r="J828">
        <v>375</v>
      </c>
      <c r="K828" t="s">
        <v>34</v>
      </c>
      <c r="L828" s="2">
        <v>44326</v>
      </c>
      <c r="M828" t="s">
        <v>46</v>
      </c>
      <c r="N828" t="s">
        <v>47</v>
      </c>
      <c r="O828">
        <v>6183</v>
      </c>
      <c r="P828" t="s">
        <v>21</v>
      </c>
      <c r="Q828" t="str">
        <f>TEXT(Data_Set_3[[#This Row],[date]],"mmmm")</f>
        <v>May</v>
      </c>
      <c r="R828">
        <f>MONTH(Data_Set_3[[#This Row],[date]])</f>
        <v>5</v>
      </c>
      <c r="S828">
        <f>YEAR(Data_Set_3[[#This Row],[date]])</f>
        <v>2021</v>
      </c>
    </row>
    <row r="829" spans="1:19" x14ac:dyDescent="0.3">
      <c r="A829">
        <v>1212</v>
      </c>
      <c r="B829" t="s">
        <v>547</v>
      </c>
      <c r="C829" t="s">
        <v>337</v>
      </c>
      <c r="D829" t="s">
        <v>2828</v>
      </c>
      <c r="E829" t="s">
        <v>2829</v>
      </c>
      <c r="F829" t="s">
        <v>1608</v>
      </c>
      <c r="G829" t="s">
        <v>2830</v>
      </c>
      <c r="H829" t="s">
        <v>32</v>
      </c>
      <c r="I829" t="s">
        <v>33</v>
      </c>
      <c r="J829">
        <v>170</v>
      </c>
      <c r="K829" t="s">
        <v>34</v>
      </c>
      <c r="L829" s="2">
        <v>44326</v>
      </c>
      <c r="M829" t="s">
        <v>46</v>
      </c>
      <c r="N829" t="s">
        <v>47</v>
      </c>
      <c r="O829">
        <v>6183</v>
      </c>
      <c r="P829" t="s">
        <v>21</v>
      </c>
      <c r="Q829" t="str">
        <f>TEXT(Data_Set_3[[#This Row],[date]],"mmmm")</f>
        <v>May</v>
      </c>
      <c r="R829">
        <f>MONTH(Data_Set_3[[#This Row],[date]])</f>
        <v>5</v>
      </c>
      <c r="S829">
        <f>YEAR(Data_Set_3[[#This Row],[date]])</f>
        <v>2021</v>
      </c>
    </row>
    <row r="830" spans="1:19" x14ac:dyDescent="0.3">
      <c r="A830">
        <v>1989</v>
      </c>
      <c r="B830" t="s">
        <v>429</v>
      </c>
      <c r="C830" t="s">
        <v>2991</v>
      </c>
      <c r="D830" t="s">
        <v>2992</v>
      </c>
      <c r="E830" t="s">
        <v>2993</v>
      </c>
      <c r="F830" t="s">
        <v>1455</v>
      </c>
      <c r="G830" t="s">
        <v>1453</v>
      </c>
      <c r="H830" t="s">
        <v>16</v>
      </c>
      <c r="I830" t="s">
        <v>33</v>
      </c>
      <c r="J830">
        <v>562</v>
      </c>
      <c r="K830" t="s">
        <v>26</v>
      </c>
      <c r="L830" s="2">
        <v>44326</v>
      </c>
      <c r="M830" t="s">
        <v>68</v>
      </c>
      <c r="N830" t="s">
        <v>2994</v>
      </c>
      <c r="O830">
        <v>77346</v>
      </c>
      <c r="P830" t="s">
        <v>21</v>
      </c>
      <c r="Q830" t="str">
        <f>TEXT(Data_Set_3[[#This Row],[date]],"mmmm")</f>
        <v>May</v>
      </c>
      <c r="R830">
        <f>MONTH(Data_Set_3[[#This Row],[date]])</f>
        <v>5</v>
      </c>
      <c r="S830">
        <f>YEAR(Data_Set_3[[#This Row],[date]])</f>
        <v>2021</v>
      </c>
    </row>
    <row r="831" spans="1:19" x14ac:dyDescent="0.3">
      <c r="A831">
        <v>1026</v>
      </c>
      <c r="B831" t="s">
        <v>844</v>
      </c>
      <c r="C831" t="s">
        <v>671</v>
      </c>
      <c r="D831" t="s">
        <v>2814</v>
      </c>
      <c r="E831" t="s">
        <v>2815</v>
      </c>
      <c r="F831" t="s">
        <v>2816</v>
      </c>
      <c r="G831" t="s">
        <v>2554</v>
      </c>
      <c r="H831" t="s">
        <v>32</v>
      </c>
      <c r="I831" t="s">
        <v>17</v>
      </c>
      <c r="J831">
        <v>276</v>
      </c>
      <c r="K831" t="s">
        <v>26</v>
      </c>
      <c r="L831" s="2">
        <v>44327</v>
      </c>
      <c r="M831" t="s">
        <v>184</v>
      </c>
      <c r="N831" t="s">
        <v>185</v>
      </c>
      <c r="O831">
        <v>10469</v>
      </c>
      <c r="P831" t="s">
        <v>21</v>
      </c>
      <c r="Q831" t="str">
        <f>TEXT(Data_Set_3[[#This Row],[date]],"mmmm")</f>
        <v>May</v>
      </c>
      <c r="R831">
        <f>MONTH(Data_Set_3[[#This Row],[date]])</f>
        <v>5</v>
      </c>
      <c r="S831">
        <f>YEAR(Data_Set_3[[#This Row],[date]])</f>
        <v>2021</v>
      </c>
    </row>
    <row r="832" spans="1:19" x14ac:dyDescent="0.3">
      <c r="A832">
        <v>1635</v>
      </c>
      <c r="B832" t="s">
        <v>366</v>
      </c>
      <c r="C832" t="s">
        <v>886</v>
      </c>
      <c r="D832" t="s">
        <v>3684</v>
      </c>
      <c r="E832" t="s">
        <v>3685</v>
      </c>
      <c r="F832" t="s">
        <v>2354</v>
      </c>
      <c r="G832" t="s">
        <v>1634</v>
      </c>
      <c r="H832" t="s">
        <v>32</v>
      </c>
      <c r="I832" t="s">
        <v>17</v>
      </c>
      <c r="J832">
        <v>846</v>
      </c>
      <c r="K832" t="s">
        <v>109</v>
      </c>
      <c r="L832" s="2">
        <v>44328</v>
      </c>
      <c r="M832" t="s">
        <v>246</v>
      </c>
      <c r="N832" t="s">
        <v>247</v>
      </c>
      <c r="O832">
        <v>62718</v>
      </c>
      <c r="P832" t="s">
        <v>21</v>
      </c>
      <c r="Q832" t="str">
        <f>TEXT(Data_Set_3[[#This Row],[date]],"mmmm")</f>
        <v>May</v>
      </c>
      <c r="R832">
        <f>MONTH(Data_Set_3[[#This Row],[date]])</f>
        <v>5</v>
      </c>
      <c r="S832">
        <f>YEAR(Data_Set_3[[#This Row],[date]])</f>
        <v>2021</v>
      </c>
    </row>
    <row r="833" spans="1:19" x14ac:dyDescent="0.3">
      <c r="A833">
        <v>1456</v>
      </c>
      <c r="B833" t="s">
        <v>652</v>
      </c>
      <c r="C833" t="s">
        <v>707</v>
      </c>
      <c r="D833" t="s">
        <v>3686</v>
      </c>
      <c r="E833" t="s">
        <v>3687</v>
      </c>
      <c r="F833" t="s">
        <v>1576</v>
      </c>
      <c r="G833" t="s">
        <v>2735</v>
      </c>
      <c r="H833" t="s">
        <v>32</v>
      </c>
      <c r="I833" t="s">
        <v>454</v>
      </c>
      <c r="J833">
        <v>657</v>
      </c>
      <c r="K833" t="s">
        <v>26</v>
      </c>
      <c r="L833" s="2">
        <v>44330</v>
      </c>
      <c r="M833" t="s">
        <v>35</v>
      </c>
      <c r="N833" t="s">
        <v>620</v>
      </c>
      <c r="O833">
        <v>94116</v>
      </c>
      <c r="P833" t="s">
        <v>21</v>
      </c>
      <c r="Q833" t="str">
        <f>TEXT(Data_Set_3[[#This Row],[date]],"mmmm")</f>
        <v>May</v>
      </c>
      <c r="R833">
        <f>MONTH(Data_Set_3[[#This Row],[date]])</f>
        <v>5</v>
      </c>
      <c r="S833">
        <f>YEAR(Data_Set_3[[#This Row],[date]])</f>
        <v>2021</v>
      </c>
    </row>
    <row r="834" spans="1:19" x14ac:dyDescent="0.3">
      <c r="A834">
        <v>1260</v>
      </c>
      <c r="B834" t="s">
        <v>417</v>
      </c>
      <c r="C834" t="s">
        <v>2904</v>
      </c>
      <c r="D834" t="s">
        <v>2905</v>
      </c>
      <c r="E834" t="s">
        <v>2906</v>
      </c>
      <c r="F834" t="s">
        <v>1777</v>
      </c>
      <c r="G834" t="s">
        <v>2571</v>
      </c>
      <c r="H834" t="s">
        <v>16</v>
      </c>
      <c r="I834" t="s">
        <v>543</v>
      </c>
      <c r="J834">
        <v>854</v>
      </c>
      <c r="K834" t="s">
        <v>26</v>
      </c>
      <c r="L834" s="2">
        <v>44332</v>
      </c>
      <c r="M834" t="s">
        <v>220</v>
      </c>
      <c r="N834" t="s">
        <v>2907</v>
      </c>
      <c r="O834">
        <v>99215</v>
      </c>
      <c r="P834" t="s">
        <v>21</v>
      </c>
      <c r="Q834" t="str">
        <f>TEXT(Data_Set_3[[#This Row],[date]],"mmmm")</f>
        <v>May</v>
      </c>
      <c r="R834">
        <f>MONTH(Data_Set_3[[#This Row],[date]])</f>
        <v>5</v>
      </c>
      <c r="S834">
        <f>YEAR(Data_Set_3[[#This Row],[date]])</f>
        <v>2021</v>
      </c>
    </row>
    <row r="835" spans="1:19" x14ac:dyDescent="0.3">
      <c r="A835">
        <v>1749</v>
      </c>
      <c r="B835" t="s">
        <v>547</v>
      </c>
      <c r="C835" t="s">
        <v>913</v>
      </c>
      <c r="D835" t="s">
        <v>3688</v>
      </c>
      <c r="E835" t="s">
        <v>3689</v>
      </c>
      <c r="F835" t="s">
        <v>2249</v>
      </c>
      <c r="G835" t="s">
        <v>2617</v>
      </c>
      <c r="H835" t="s">
        <v>32</v>
      </c>
      <c r="I835" t="s">
        <v>2941</v>
      </c>
      <c r="J835">
        <v>826</v>
      </c>
      <c r="K835" t="s">
        <v>62</v>
      </c>
      <c r="L835" s="2">
        <v>44332</v>
      </c>
      <c r="M835" t="s">
        <v>68</v>
      </c>
      <c r="N835" t="s">
        <v>234</v>
      </c>
      <c r="O835">
        <v>77234</v>
      </c>
      <c r="P835" t="s">
        <v>21</v>
      </c>
      <c r="Q835" t="str">
        <f>TEXT(Data_Set_3[[#This Row],[date]],"mmmm")</f>
        <v>May</v>
      </c>
      <c r="R835">
        <f>MONTH(Data_Set_3[[#This Row],[date]])</f>
        <v>5</v>
      </c>
      <c r="S835">
        <f>YEAR(Data_Set_3[[#This Row],[date]])</f>
        <v>2021</v>
      </c>
    </row>
    <row r="836" spans="1:19" x14ac:dyDescent="0.3">
      <c r="A836">
        <v>1298</v>
      </c>
      <c r="B836" t="s">
        <v>595</v>
      </c>
      <c r="C836" t="s">
        <v>293</v>
      </c>
      <c r="D836" t="s">
        <v>2900</v>
      </c>
      <c r="E836" t="s">
        <v>2901</v>
      </c>
      <c r="F836" t="s">
        <v>1539</v>
      </c>
      <c r="G836" t="s">
        <v>1952</v>
      </c>
      <c r="H836" t="s">
        <v>32</v>
      </c>
      <c r="I836" t="s">
        <v>543</v>
      </c>
      <c r="J836">
        <v>439</v>
      </c>
      <c r="K836" t="s">
        <v>73</v>
      </c>
      <c r="L836" s="2">
        <v>44333</v>
      </c>
      <c r="M836" t="s">
        <v>115</v>
      </c>
      <c r="N836" t="s">
        <v>351</v>
      </c>
      <c r="O836">
        <v>32891</v>
      </c>
      <c r="P836" t="s">
        <v>21</v>
      </c>
      <c r="Q836" t="str">
        <f>TEXT(Data_Set_3[[#This Row],[date]],"mmmm")</f>
        <v>May</v>
      </c>
      <c r="R836">
        <f>MONTH(Data_Set_3[[#This Row],[date]])</f>
        <v>5</v>
      </c>
      <c r="S836">
        <f>YEAR(Data_Set_3[[#This Row],[date]])</f>
        <v>2021</v>
      </c>
    </row>
    <row r="837" spans="1:19" x14ac:dyDescent="0.3">
      <c r="A837">
        <v>1489</v>
      </c>
      <c r="B837" t="s">
        <v>860</v>
      </c>
      <c r="C837" t="s">
        <v>849</v>
      </c>
      <c r="D837" t="s">
        <v>2817</v>
      </c>
      <c r="E837" t="s">
        <v>2818</v>
      </c>
      <c r="F837" t="s">
        <v>1606</v>
      </c>
      <c r="G837" t="s">
        <v>1899</v>
      </c>
      <c r="H837" t="s">
        <v>16</v>
      </c>
      <c r="I837" t="s">
        <v>17</v>
      </c>
      <c r="J837">
        <v>989</v>
      </c>
      <c r="K837" t="s">
        <v>62</v>
      </c>
      <c r="L837" s="2">
        <v>44338</v>
      </c>
      <c r="M837" t="s">
        <v>204</v>
      </c>
      <c r="N837" t="s">
        <v>1135</v>
      </c>
      <c r="O837">
        <v>23668</v>
      </c>
      <c r="P837" t="s">
        <v>21</v>
      </c>
      <c r="Q837" t="str">
        <f>TEXT(Data_Set_3[[#This Row],[date]],"mmmm")</f>
        <v>May</v>
      </c>
      <c r="R837">
        <f>MONTH(Data_Set_3[[#This Row],[date]])</f>
        <v>5</v>
      </c>
      <c r="S837">
        <f>YEAR(Data_Set_3[[#This Row],[date]])</f>
        <v>2021</v>
      </c>
    </row>
    <row r="838" spans="1:19" x14ac:dyDescent="0.3">
      <c r="A838">
        <v>1212</v>
      </c>
      <c r="B838" t="s">
        <v>547</v>
      </c>
      <c r="C838" t="s">
        <v>337</v>
      </c>
      <c r="D838" t="s">
        <v>2828</v>
      </c>
      <c r="E838" t="s">
        <v>2829</v>
      </c>
      <c r="F838" t="s">
        <v>1608</v>
      </c>
      <c r="G838" t="s">
        <v>2830</v>
      </c>
      <c r="H838" t="s">
        <v>32</v>
      </c>
      <c r="I838" t="s">
        <v>33</v>
      </c>
      <c r="J838">
        <v>398</v>
      </c>
      <c r="K838" t="s">
        <v>34</v>
      </c>
      <c r="L838" s="2">
        <v>44340</v>
      </c>
      <c r="M838" t="s">
        <v>46</v>
      </c>
      <c r="N838" t="s">
        <v>47</v>
      </c>
      <c r="O838">
        <v>6183</v>
      </c>
      <c r="P838" t="s">
        <v>21</v>
      </c>
      <c r="Q838" t="str">
        <f>TEXT(Data_Set_3[[#This Row],[date]],"mmmm")</f>
        <v>May</v>
      </c>
      <c r="R838">
        <f>MONTH(Data_Set_3[[#This Row],[date]])</f>
        <v>5</v>
      </c>
      <c r="S838">
        <f>YEAR(Data_Set_3[[#This Row],[date]])</f>
        <v>2021</v>
      </c>
    </row>
    <row r="839" spans="1:19" x14ac:dyDescent="0.3">
      <c r="A839">
        <v>1092</v>
      </c>
      <c r="B839" t="s">
        <v>516</v>
      </c>
      <c r="C839" t="s">
        <v>455</v>
      </c>
      <c r="D839" t="s">
        <v>2976</v>
      </c>
      <c r="E839" t="s">
        <v>2977</v>
      </c>
      <c r="F839" t="s">
        <v>1763</v>
      </c>
      <c r="G839" t="s">
        <v>1486</v>
      </c>
      <c r="H839" t="s">
        <v>32</v>
      </c>
      <c r="I839" t="s">
        <v>51</v>
      </c>
      <c r="J839">
        <v>215</v>
      </c>
      <c r="K839" t="s">
        <v>73</v>
      </c>
      <c r="L839" s="2">
        <v>44341</v>
      </c>
      <c r="M839" t="s">
        <v>115</v>
      </c>
      <c r="N839" t="s">
        <v>1048</v>
      </c>
      <c r="O839">
        <v>34233</v>
      </c>
      <c r="P839" t="s">
        <v>21</v>
      </c>
      <c r="Q839" t="str">
        <f>TEXT(Data_Set_3[[#This Row],[date]],"mmmm")</f>
        <v>May</v>
      </c>
      <c r="R839">
        <f>MONTH(Data_Set_3[[#This Row],[date]])</f>
        <v>5</v>
      </c>
      <c r="S839">
        <f>YEAR(Data_Set_3[[#This Row],[date]])</f>
        <v>2021</v>
      </c>
    </row>
    <row r="840" spans="1:19" x14ac:dyDescent="0.3">
      <c r="A840">
        <v>1880</v>
      </c>
      <c r="B840" t="s">
        <v>304</v>
      </c>
      <c r="C840" t="s">
        <v>526</v>
      </c>
      <c r="D840" t="s">
        <v>2831</v>
      </c>
      <c r="E840" t="s">
        <v>2832</v>
      </c>
      <c r="F840" t="s">
        <v>1376</v>
      </c>
      <c r="G840" t="s">
        <v>2577</v>
      </c>
      <c r="H840" t="s">
        <v>32</v>
      </c>
      <c r="I840" t="s">
        <v>274</v>
      </c>
      <c r="J840">
        <v>848</v>
      </c>
      <c r="K840" t="s">
        <v>26</v>
      </c>
      <c r="L840" s="2">
        <v>44344</v>
      </c>
      <c r="M840" t="s">
        <v>246</v>
      </c>
      <c r="N840" t="s">
        <v>339</v>
      </c>
      <c r="O840">
        <v>60614</v>
      </c>
      <c r="P840" t="s">
        <v>21</v>
      </c>
      <c r="Q840" t="str">
        <f>TEXT(Data_Set_3[[#This Row],[date]],"mmmm")</f>
        <v>May</v>
      </c>
      <c r="R840">
        <f>MONTH(Data_Set_3[[#This Row],[date]])</f>
        <v>5</v>
      </c>
      <c r="S840">
        <f>YEAR(Data_Set_3[[#This Row],[date]])</f>
        <v>2021</v>
      </c>
    </row>
    <row r="841" spans="1:19" x14ac:dyDescent="0.3">
      <c r="A841">
        <v>1468</v>
      </c>
      <c r="B841" t="s">
        <v>2915</v>
      </c>
      <c r="C841" t="s">
        <v>722</v>
      </c>
      <c r="D841" t="s">
        <v>2916</v>
      </c>
      <c r="E841" t="s">
        <v>2917</v>
      </c>
      <c r="F841" t="s">
        <v>2918</v>
      </c>
      <c r="G841" t="s">
        <v>1559</v>
      </c>
      <c r="H841" t="s">
        <v>32</v>
      </c>
      <c r="I841" t="s">
        <v>33</v>
      </c>
      <c r="J841">
        <v>812</v>
      </c>
      <c r="K841" t="s">
        <v>259</v>
      </c>
      <c r="L841" s="2">
        <v>44345</v>
      </c>
      <c r="M841" t="s">
        <v>120</v>
      </c>
      <c r="N841" t="s">
        <v>718</v>
      </c>
      <c r="O841">
        <v>70116</v>
      </c>
      <c r="P841" t="s">
        <v>21</v>
      </c>
      <c r="Q841" t="str">
        <f>TEXT(Data_Set_3[[#This Row],[date]],"mmmm")</f>
        <v>May</v>
      </c>
      <c r="R841">
        <f>MONTH(Data_Set_3[[#This Row],[date]])</f>
        <v>5</v>
      </c>
      <c r="S841">
        <f>YEAR(Data_Set_3[[#This Row],[date]])</f>
        <v>2021</v>
      </c>
    </row>
    <row r="842" spans="1:19" x14ac:dyDescent="0.3">
      <c r="A842">
        <v>1702</v>
      </c>
      <c r="B842" t="s">
        <v>316</v>
      </c>
      <c r="C842" t="s">
        <v>674</v>
      </c>
      <c r="D842" t="s">
        <v>3690</v>
      </c>
      <c r="E842" t="s">
        <v>3691</v>
      </c>
      <c r="F842" t="s">
        <v>3438</v>
      </c>
      <c r="G842" t="s">
        <v>2102</v>
      </c>
      <c r="H842" t="s">
        <v>32</v>
      </c>
      <c r="I842" t="s">
        <v>17</v>
      </c>
      <c r="J842">
        <v>701</v>
      </c>
      <c r="K842" t="s">
        <v>26</v>
      </c>
      <c r="L842" s="2">
        <v>44345</v>
      </c>
      <c r="M842" t="s">
        <v>230</v>
      </c>
      <c r="N842" t="s">
        <v>260</v>
      </c>
      <c r="O842">
        <v>28215</v>
      </c>
      <c r="P842" t="s">
        <v>21</v>
      </c>
      <c r="Q842" t="str">
        <f>TEXT(Data_Set_3[[#This Row],[date]],"mmmm")</f>
        <v>May</v>
      </c>
      <c r="R842">
        <f>MONTH(Data_Set_3[[#This Row],[date]])</f>
        <v>5</v>
      </c>
      <c r="S842">
        <f>YEAR(Data_Set_3[[#This Row],[date]])</f>
        <v>2021</v>
      </c>
    </row>
    <row r="843" spans="1:19" x14ac:dyDescent="0.3">
      <c r="A843">
        <v>1759</v>
      </c>
      <c r="B843" t="s">
        <v>37</v>
      </c>
      <c r="C843" t="s">
        <v>3692</v>
      </c>
      <c r="D843" t="s">
        <v>3693</v>
      </c>
      <c r="E843" t="s">
        <v>3694</v>
      </c>
      <c r="F843" t="s">
        <v>3548</v>
      </c>
      <c r="G843" t="s">
        <v>1899</v>
      </c>
      <c r="H843" t="s">
        <v>16</v>
      </c>
      <c r="I843" t="s">
        <v>2821</v>
      </c>
      <c r="J843">
        <v>702</v>
      </c>
      <c r="K843" t="s">
        <v>26</v>
      </c>
      <c r="L843" s="2">
        <v>44345</v>
      </c>
      <c r="M843" t="s">
        <v>125</v>
      </c>
      <c r="N843" t="s">
        <v>1095</v>
      </c>
      <c r="O843">
        <v>64054</v>
      </c>
      <c r="P843" t="s">
        <v>21</v>
      </c>
      <c r="Q843" t="str">
        <f>TEXT(Data_Set_3[[#This Row],[date]],"mmmm")</f>
        <v>May</v>
      </c>
      <c r="R843">
        <f>MONTH(Data_Set_3[[#This Row],[date]])</f>
        <v>5</v>
      </c>
      <c r="S843">
        <f>YEAR(Data_Set_3[[#This Row],[date]])</f>
        <v>2021</v>
      </c>
    </row>
    <row r="844" spans="1:19" x14ac:dyDescent="0.3">
      <c r="A844">
        <v>1020</v>
      </c>
      <c r="B844" t="s">
        <v>122</v>
      </c>
      <c r="C844" t="s">
        <v>954</v>
      </c>
      <c r="D844" t="s">
        <v>2888</v>
      </c>
      <c r="E844" t="s">
        <v>2889</v>
      </c>
      <c r="F844" t="s">
        <v>1998</v>
      </c>
      <c r="G844" t="s">
        <v>1926</v>
      </c>
      <c r="H844" t="s">
        <v>32</v>
      </c>
      <c r="I844" t="s">
        <v>17</v>
      </c>
      <c r="J844">
        <v>738</v>
      </c>
      <c r="K844" t="s">
        <v>26</v>
      </c>
      <c r="L844" s="2">
        <v>44347</v>
      </c>
      <c r="M844" t="s">
        <v>35</v>
      </c>
      <c r="N844" t="s">
        <v>620</v>
      </c>
      <c r="O844">
        <v>94105</v>
      </c>
      <c r="P844" t="s">
        <v>21</v>
      </c>
      <c r="Q844" t="str">
        <f>TEXT(Data_Set_3[[#This Row],[date]],"mmmm")</f>
        <v>May</v>
      </c>
      <c r="R844">
        <f>MONTH(Data_Set_3[[#This Row],[date]])</f>
        <v>5</v>
      </c>
      <c r="S844">
        <f>YEAR(Data_Set_3[[#This Row],[date]])</f>
        <v>2021</v>
      </c>
    </row>
    <row r="845" spans="1:19" x14ac:dyDescent="0.3">
      <c r="A845">
        <v>1144</v>
      </c>
      <c r="B845" t="s">
        <v>644</v>
      </c>
      <c r="C845" t="s">
        <v>581</v>
      </c>
      <c r="D845" t="s">
        <v>3114</v>
      </c>
      <c r="E845" t="s">
        <v>3115</v>
      </c>
      <c r="F845" t="s">
        <v>2641</v>
      </c>
      <c r="G845" t="s">
        <v>2709</v>
      </c>
      <c r="H845" t="s">
        <v>32</v>
      </c>
      <c r="I845" t="s">
        <v>25</v>
      </c>
      <c r="J845">
        <v>40</v>
      </c>
      <c r="K845" t="s">
        <v>62</v>
      </c>
      <c r="L845" s="2">
        <v>44347</v>
      </c>
      <c r="M845" t="s">
        <v>184</v>
      </c>
      <c r="N845" t="s">
        <v>3116</v>
      </c>
      <c r="O845">
        <v>11355</v>
      </c>
      <c r="P845" t="s">
        <v>21</v>
      </c>
      <c r="Q845" t="str">
        <f>TEXT(Data_Set_3[[#This Row],[date]],"mmmm")</f>
        <v>May</v>
      </c>
      <c r="R845">
        <f>MONTH(Data_Set_3[[#This Row],[date]])</f>
        <v>5</v>
      </c>
      <c r="S845">
        <f>YEAR(Data_Set_3[[#This Row],[date]])</f>
        <v>2021</v>
      </c>
    </row>
    <row r="846" spans="1:19" x14ac:dyDescent="0.3">
      <c r="A846">
        <v>1727</v>
      </c>
      <c r="B846" t="s">
        <v>389</v>
      </c>
      <c r="C846" t="s">
        <v>930</v>
      </c>
      <c r="D846" t="s">
        <v>3695</v>
      </c>
      <c r="E846" t="s">
        <v>3696</v>
      </c>
      <c r="F846" t="s">
        <v>3176</v>
      </c>
      <c r="G846" t="s">
        <v>2606</v>
      </c>
      <c r="H846" t="s">
        <v>32</v>
      </c>
      <c r="I846" t="s">
        <v>51</v>
      </c>
      <c r="J846">
        <v>329</v>
      </c>
      <c r="K846" t="s">
        <v>164</v>
      </c>
      <c r="L846" s="2">
        <v>44347</v>
      </c>
      <c r="M846" t="s">
        <v>204</v>
      </c>
      <c r="N846" t="s">
        <v>1226</v>
      </c>
      <c r="O846">
        <v>24024</v>
      </c>
      <c r="P846" t="s">
        <v>21</v>
      </c>
      <c r="Q846" t="str">
        <f>TEXT(Data_Set_3[[#This Row],[date]],"mmmm")</f>
        <v>May</v>
      </c>
      <c r="R846">
        <f>MONTH(Data_Set_3[[#This Row],[date]])</f>
        <v>5</v>
      </c>
      <c r="S846">
        <f>YEAR(Data_Set_3[[#This Row],[date]])</f>
        <v>2021</v>
      </c>
    </row>
    <row r="847" spans="1:19" x14ac:dyDescent="0.3">
      <c r="A847">
        <v>1983</v>
      </c>
      <c r="B847" t="s">
        <v>117</v>
      </c>
      <c r="C847" t="s">
        <v>930</v>
      </c>
      <c r="D847" t="s">
        <v>3022</v>
      </c>
      <c r="E847" t="s">
        <v>3023</v>
      </c>
      <c r="F847" t="s">
        <v>1420</v>
      </c>
      <c r="G847" t="s">
        <v>1863</v>
      </c>
      <c r="H847" t="s">
        <v>32</v>
      </c>
      <c r="I847" t="s">
        <v>33</v>
      </c>
      <c r="J847">
        <v>450</v>
      </c>
      <c r="K847" t="s">
        <v>26</v>
      </c>
      <c r="L847" s="2">
        <v>44347</v>
      </c>
      <c r="M847" t="s">
        <v>58</v>
      </c>
      <c r="N847" t="s">
        <v>419</v>
      </c>
      <c r="O847">
        <v>66112</v>
      </c>
      <c r="P847" t="s">
        <v>21</v>
      </c>
      <c r="Q847" t="str">
        <f>TEXT(Data_Set_3[[#This Row],[date]],"mmmm")</f>
        <v>May</v>
      </c>
      <c r="R847">
        <f>MONTH(Data_Set_3[[#This Row],[date]])</f>
        <v>5</v>
      </c>
      <c r="S847">
        <f>YEAR(Data_Set_3[[#This Row],[date]])</f>
        <v>2021</v>
      </c>
    </row>
    <row r="848" spans="1:19" x14ac:dyDescent="0.3">
      <c r="A848">
        <v>1234</v>
      </c>
      <c r="B848" t="s">
        <v>2806</v>
      </c>
      <c r="C848" t="s">
        <v>752</v>
      </c>
      <c r="D848" t="s">
        <v>2807</v>
      </c>
      <c r="E848" t="s">
        <v>2808</v>
      </c>
      <c r="F848" t="s">
        <v>1460</v>
      </c>
      <c r="G848" t="s">
        <v>2125</v>
      </c>
      <c r="H848" t="s">
        <v>16</v>
      </c>
      <c r="I848" t="s">
        <v>33</v>
      </c>
      <c r="J848">
        <v>610</v>
      </c>
      <c r="K848" t="s">
        <v>62</v>
      </c>
      <c r="L848" s="2">
        <v>44348</v>
      </c>
      <c r="M848" t="s">
        <v>68</v>
      </c>
      <c r="N848" t="s">
        <v>69</v>
      </c>
      <c r="O848">
        <v>78710</v>
      </c>
      <c r="P848" t="s">
        <v>21</v>
      </c>
      <c r="Q848" t="str">
        <f>TEXT(Data_Set_3[[#This Row],[date]],"mmmm")</f>
        <v>June</v>
      </c>
      <c r="R848">
        <f>MONTH(Data_Set_3[[#This Row],[date]])</f>
        <v>6</v>
      </c>
      <c r="S848">
        <f>YEAR(Data_Set_3[[#This Row],[date]])</f>
        <v>2021</v>
      </c>
    </row>
    <row r="849" spans="1:19" x14ac:dyDescent="0.3">
      <c r="A849">
        <v>1995</v>
      </c>
      <c r="B849" t="s">
        <v>445</v>
      </c>
      <c r="C849" t="s">
        <v>505</v>
      </c>
      <c r="D849" t="s">
        <v>2995</v>
      </c>
      <c r="E849" t="s">
        <v>2996</v>
      </c>
      <c r="F849" t="s">
        <v>1595</v>
      </c>
      <c r="G849" t="s">
        <v>1388</v>
      </c>
      <c r="H849" t="s">
        <v>32</v>
      </c>
      <c r="I849" t="s">
        <v>33</v>
      </c>
      <c r="J849">
        <v>589</v>
      </c>
      <c r="K849" t="s">
        <v>34</v>
      </c>
      <c r="L849" s="2">
        <v>44348</v>
      </c>
      <c r="M849" t="s">
        <v>393</v>
      </c>
      <c r="N849" t="s">
        <v>394</v>
      </c>
      <c r="O849">
        <v>37939</v>
      </c>
      <c r="P849" t="s">
        <v>21</v>
      </c>
      <c r="Q849" t="str">
        <f>TEXT(Data_Set_3[[#This Row],[date]],"mmmm")</f>
        <v>June</v>
      </c>
      <c r="R849">
        <f>MONTH(Data_Set_3[[#This Row],[date]])</f>
        <v>6</v>
      </c>
      <c r="S849">
        <f>YEAR(Data_Set_3[[#This Row],[date]])</f>
        <v>2021</v>
      </c>
    </row>
    <row r="850" spans="1:19" x14ac:dyDescent="0.3">
      <c r="A850">
        <v>1989</v>
      </c>
      <c r="B850" t="s">
        <v>429</v>
      </c>
      <c r="C850" t="s">
        <v>2991</v>
      </c>
      <c r="D850" t="s">
        <v>2992</v>
      </c>
      <c r="E850" t="s">
        <v>2993</v>
      </c>
      <c r="F850" t="s">
        <v>1455</v>
      </c>
      <c r="G850" t="s">
        <v>1453</v>
      </c>
      <c r="H850" t="s">
        <v>16</v>
      </c>
      <c r="I850" t="s">
        <v>33</v>
      </c>
      <c r="J850">
        <v>556</v>
      </c>
      <c r="K850" t="s">
        <v>26</v>
      </c>
      <c r="L850" s="2">
        <v>44356</v>
      </c>
      <c r="M850" t="s">
        <v>68</v>
      </c>
      <c r="N850" t="s">
        <v>2994</v>
      </c>
      <c r="O850">
        <v>77346</v>
      </c>
      <c r="P850" t="s">
        <v>21</v>
      </c>
      <c r="Q850" t="str">
        <f>TEXT(Data_Set_3[[#This Row],[date]],"mmmm")</f>
        <v>June</v>
      </c>
      <c r="R850">
        <f>MONTH(Data_Set_3[[#This Row],[date]])</f>
        <v>6</v>
      </c>
      <c r="S850">
        <f>YEAR(Data_Set_3[[#This Row],[date]])</f>
        <v>2021</v>
      </c>
    </row>
    <row r="851" spans="1:19" x14ac:dyDescent="0.3">
      <c r="A851">
        <v>1924</v>
      </c>
      <c r="B851" t="s">
        <v>227</v>
      </c>
      <c r="C851" t="s">
        <v>754</v>
      </c>
      <c r="D851" t="s">
        <v>3697</v>
      </c>
      <c r="E851" t="s">
        <v>3698</v>
      </c>
      <c r="F851" t="s">
        <v>1287</v>
      </c>
      <c r="G851" t="s">
        <v>2403</v>
      </c>
      <c r="H851" t="s">
        <v>16</v>
      </c>
      <c r="I851" t="s">
        <v>25</v>
      </c>
      <c r="J851">
        <v>504</v>
      </c>
      <c r="K851" t="s">
        <v>26</v>
      </c>
      <c r="L851" s="2">
        <v>44357</v>
      </c>
      <c r="M851" t="s">
        <v>68</v>
      </c>
      <c r="N851" t="s">
        <v>487</v>
      </c>
      <c r="O851">
        <v>79410</v>
      </c>
      <c r="P851" t="s">
        <v>21</v>
      </c>
      <c r="Q851" t="str">
        <f>TEXT(Data_Set_3[[#This Row],[date]],"mmmm")</f>
        <v>June</v>
      </c>
      <c r="R851">
        <f>MONTH(Data_Set_3[[#This Row],[date]])</f>
        <v>6</v>
      </c>
      <c r="S851">
        <f>YEAR(Data_Set_3[[#This Row],[date]])</f>
        <v>2021</v>
      </c>
    </row>
    <row r="852" spans="1:19" x14ac:dyDescent="0.3">
      <c r="A852">
        <v>1880</v>
      </c>
      <c r="B852" t="s">
        <v>304</v>
      </c>
      <c r="C852" t="s">
        <v>526</v>
      </c>
      <c r="D852" t="s">
        <v>2831</v>
      </c>
      <c r="E852" t="s">
        <v>2832</v>
      </c>
      <c r="F852" t="s">
        <v>1376</v>
      </c>
      <c r="G852" t="s">
        <v>2577</v>
      </c>
      <c r="H852" t="s">
        <v>32</v>
      </c>
      <c r="I852" t="s">
        <v>274</v>
      </c>
      <c r="J852">
        <v>586</v>
      </c>
      <c r="K852" t="s">
        <v>26</v>
      </c>
      <c r="L852" s="2">
        <v>44358</v>
      </c>
      <c r="M852" t="s">
        <v>246</v>
      </c>
      <c r="N852" t="s">
        <v>339</v>
      </c>
      <c r="O852">
        <v>60614</v>
      </c>
      <c r="P852" t="s">
        <v>21</v>
      </c>
      <c r="Q852" t="str">
        <f>TEXT(Data_Set_3[[#This Row],[date]],"mmmm")</f>
        <v>June</v>
      </c>
      <c r="R852">
        <f>MONTH(Data_Set_3[[#This Row],[date]])</f>
        <v>6</v>
      </c>
      <c r="S852">
        <f>YEAR(Data_Set_3[[#This Row],[date]])</f>
        <v>2021</v>
      </c>
    </row>
    <row r="853" spans="1:19" x14ac:dyDescent="0.3">
      <c r="A853">
        <v>1783</v>
      </c>
      <c r="B853" t="s">
        <v>721</v>
      </c>
      <c r="C853" t="s">
        <v>2884</v>
      </c>
      <c r="D853" t="s">
        <v>2885</v>
      </c>
      <c r="E853" t="s">
        <v>2886</v>
      </c>
      <c r="F853" t="s">
        <v>1539</v>
      </c>
      <c r="G853" t="s">
        <v>2887</v>
      </c>
      <c r="H853" t="s">
        <v>16</v>
      </c>
      <c r="I853" t="s">
        <v>25</v>
      </c>
      <c r="J853">
        <v>567</v>
      </c>
      <c r="K853" t="s">
        <v>57</v>
      </c>
      <c r="L853" s="2">
        <v>44359</v>
      </c>
      <c r="M853" t="s">
        <v>287</v>
      </c>
      <c r="N853" t="s">
        <v>288</v>
      </c>
      <c r="O853">
        <v>85715</v>
      </c>
      <c r="P853" t="s">
        <v>21</v>
      </c>
      <c r="Q853" t="str">
        <f>TEXT(Data_Set_3[[#This Row],[date]],"mmmm")</f>
        <v>June</v>
      </c>
      <c r="R853">
        <f>MONTH(Data_Set_3[[#This Row],[date]])</f>
        <v>6</v>
      </c>
      <c r="S853">
        <f>YEAR(Data_Set_3[[#This Row],[date]])</f>
        <v>2021</v>
      </c>
    </row>
    <row r="854" spans="1:19" x14ac:dyDescent="0.3">
      <c r="A854">
        <v>1067</v>
      </c>
      <c r="B854" t="s">
        <v>706</v>
      </c>
      <c r="C854" t="s">
        <v>2991</v>
      </c>
      <c r="D854" t="s">
        <v>3699</v>
      </c>
      <c r="E854" t="s">
        <v>3700</v>
      </c>
      <c r="F854" t="s">
        <v>3701</v>
      </c>
      <c r="G854" t="s">
        <v>2282</v>
      </c>
      <c r="H854" t="s">
        <v>32</v>
      </c>
      <c r="I854" t="s">
        <v>51</v>
      </c>
      <c r="J854">
        <v>560</v>
      </c>
      <c r="K854" t="s">
        <v>57</v>
      </c>
      <c r="L854" s="2">
        <v>44360</v>
      </c>
      <c r="M854" t="s">
        <v>152</v>
      </c>
      <c r="N854" t="s">
        <v>3180</v>
      </c>
      <c r="O854">
        <v>45233</v>
      </c>
      <c r="P854" t="s">
        <v>21</v>
      </c>
      <c r="Q854" t="str">
        <f>TEXT(Data_Set_3[[#This Row],[date]],"mmmm")</f>
        <v>June</v>
      </c>
      <c r="R854">
        <f>MONTH(Data_Set_3[[#This Row],[date]])</f>
        <v>6</v>
      </c>
      <c r="S854">
        <f>YEAR(Data_Set_3[[#This Row],[date]])</f>
        <v>2021</v>
      </c>
    </row>
    <row r="855" spans="1:19" x14ac:dyDescent="0.3">
      <c r="A855">
        <v>1956</v>
      </c>
      <c r="B855" t="s">
        <v>928</v>
      </c>
      <c r="C855" t="s">
        <v>921</v>
      </c>
      <c r="D855" t="s">
        <v>3702</v>
      </c>
      <c r="E855" t="s">
        <v>3703</v>
      </c>
      <c r="F855" t="s">
        <v>3202</v>
      </c>
      <c r="G855" t="s">
        <v>2265</v>
      </c>
      <c r="H855" t="s">
        <v>32</v>
      </c>
      <c r="I855" t="s">
        <v>274</v>
      </c>
      <c r="J855">
        <v>420</v>
      </c>
      <c r="K855" t="s">
        <v>275</v>
      </c>
      <c r="L855" s="2">
        <v>44361</v>
      </c>
      <c r="M855" t="s">
        <v>152</v>
      </c>
      <c r="N855" t="s">
        <v>571</v>
      </c>
      <c r="O855">
        <v>44105</v>
      </c>
      <c r="P855" t="s">
        <v>21</v>
      </c>
      <c r="Q855" t="str">
        <f>TEXT(Data_Set_3[[#This Row],[date]],"mmmm")</f>
        <v>June</v>
      </c>
      <c r="R855">
        <f>MONTH(Data_Set_3[[#This Row],[date]])</f>
        <v>6</v>
      </c>
      <c r="S855">
        <f>YEAR(Data_Set_3[[#This Row],[date]])</f>
        <v>2021</v>
      </c>
    </row>
    <row r="856" spans="1:19" x14ac:dyDescent="0.3">
      <c r="A856">
        <v>1141</v>
      </c>
      <c r="B856" t="s">
        <v>687</v>
      </c>
      <c r="C856" t="s">
        <v>2904</v>
      </c>
      <c r="D856" t="s">
        <v>3704</v>
      </c>
      <c r="E856" t="s">
        <v>3705</v>
      </c>
      <c r="F856" t="s">
        <v>1470</v>
      </c>
      <c r="G856" t="s">
        <v>2606</v>
      </c>
      <c r="H856" t="s">
        <v>16</v>
      </c>
      <c r="I856" t="s">
        <v>25</v>
      </c>
      <c r="J856">
        <v>997</v>
      </c>
      <c r="K856" t="s">
        <v>26</v>
      </c>
      <c r="L856" s="2">
        <v>44366</v>
      </c>
      <c r="M856" t="s">
        <v>63</v>
      </c>
      <c r="N856" t="s">
        <v>64</v>
      </c>
      <c r="O856">
        <v>68117</v>
      </c>
      <c r="P856" t="s">
        <v>21</v>
      </c>
      <c r="Q856" t="str">
        <f>TEXT(Data_Set_3[[#This Row],[date]],"mmmm")</f>
        <v>June</v>
      </c>
      <c r="R856">
        <f>MONTH(Data_Set_3[[#This Row],[date]])</f>
        <v>6</v>
      </c>
      <c r="S856">
        <f>YEAR(Data_Set_3[[#This Row],[date]])</f>
        <v>2021</v>
      </c>
    </row>
    <row r="857" spans="1:19" x14ac:dyDescent="0.3">
      <c r="A857">
        <v>1572</v>
      </c>
      <c r="B857" t="s">
        <v>70</v>
      </c>
      <c r="C857" t="s">
        <v>440</v>
      </c>
      <c r="D857" t="s">
        <v>3706</v>
      </c>
      <c r="E857" t="s">
        <v>3707</v>
      </c>
      <c r="F857" t="s">
        <v>2482</v>
      </c>
      <c r="G857" t="s">
        <v>1447</v>
      </c>
      <c r="H857" t="s">
        <v>32</v>
      </c>
      <c r="I857" t="s">
        <v>280</v>
      </c>
      <c r="J857">
        <v>267</v>
      </c>
      <c r="K857" t="s">
        <v>62</v>
      </c>
      <c r="L857" s="2">
        <v>44368</v>
      </c>
      <c r="M857" t="s">
        <v>35</v>
      </c>
      <c r="N857" t="s">
        <v>1250</v>
      </c>
      <c r="O857">
        <v>90398</v>
      </c>
      <c r="P857" t="s">
        <v>21</v>
      </c>
      <c r="Q857" t="str">
        <f>TEXT(Data_Set_3[[#This Row],[date]],"mmmm")</f>
        <v>June</v>
      </c>
      <c r="R857">
        <f>MONTH(Data_Set_3[[#This Row],[date]])</f>
        <v>6</v>
      </c>
      <c r="S857">
        <f>YEAR(Data_Set_3[[#This Row],[date]])</f>
        <v>2021</v>
      </c>
    </row>
    <row r="858" spans="1:19" x14ac:dyDescent="0.3">
      <c r="A858">
        <v>1020</v>
      </c>
      <c r="B858" t="s">
        <v>122</v>
      </c>
      <c r="C858" t="s">
        <v>954</v>
      </c>
      <c r="D858" t="s">
        <v>2888</v>
      </c>
      <c r="E858" t="s">
        <v>2889</v>
      </c>
      <c r="F858" t="s">
        <v>1998</v>
      </c>
      <c r="G858" t="s">
        <v>1926</v>
      </c>
      <c r="H858" t="s">
        <v>32</v>
      </c>
      <c r="I858" t="s">
        <v>17</v>
      </c>
      <c r="J858">
        <v>655</v>
      </c>
      <c r="K858" t="s">
        <v>26</v>
      </c>
      <c r="L858" s="2">
        <v>44370</v>
      </c>
      <c r="M858" t="s">
        <v>35</v>
      </c>
      <c r="N858" t="s">
        <v>620</v>
      </c>
      <c r="O858">
        <v>94105</v>
      </c>
      <c r="P858" t="s">
        <v>21</v>
      </c>
      <c r="Q858" t="str">
        <f>TEXT(Data_Set_3[[#This Row],[date]],"mmmm")</f>
        <v>June</v>
      </c>
      <c r="R858">
        <f>MONTH(Data_Set_3[[#This Row],[date]])</f>
        <v>6</v>
      </c>
      <c r="S858">
        <f>YEAR(Data_Set_3[[#This Row],[date]])</f>
        <v>2021</v>
      </c>
    </row>
    <row r="859" spans="1:19" x14ac:dyDescent="0.3">
      <c r="A859">
        <v>1700</v>
      </c>
      <c r="B859" t="s">
        <v>761</v>
      </c>
      <c r="C859" t="s">
        <v>981</v>
      </c>
      <c r="D859" t="s">
        <v>3708</v>
      </c>
      <c r="E859" t="s">
        <v>3709</v>
      </c>
      <c r="F859" t="s">
        <v>1464</v>
      </c>
      <c r="G859" t="s">
        <v>2356</v>
      </c>
      <c r="H859" t="s">
        <v>16</v>
      </c>
      <c r="I859" t="s">
        <v>17</v>
      </c>
      <c r="J859">
        <v>763</v>
      </c>
      <c r="K859" t="s">
        <v>18</v>
      </c>
      <c r="L859" s="2">
        <v>44371</v>
      </c>
      <c r="M859" t="s">
        <v>68</v>
      </c>
      <c r="N859" t="s">
        <v>475</v>
      </c>
      <c r="O859">
        <v>75221</v>
      </c>
      <c r="P859" t="s">
        <v>21</v>
      </c>
      <c r="Q859" t="str">
        <f>TEXT(Data_Set_3[[#This Row],[date]],"mmmm")</f>
        <v>June</v>
      </c>
      <c r="R859">
        <f>MONTH(Data_Set_3[[#This Row],[date]])</f>
        <v>6</v>
      </c>
      <c r="S859">
        <f>YEAR(Data_Set_3[[#This Row],[date]])</f>
        <v>2021</v>
      </c>
    </row>
    <row r="860" spans="1:19" x14ac:dyDescent="0.3">
      <c r="A860">
        <v>1084</v>
      </c>
      <c r="B860" t="s">
        <v>809</v>
      </c>
      <c r="C860" t="s">
        <v>1006</v>
      </c>
      <c r="D860" t="s">
        <v>2844</v>
      </c>
      <c r="E860" t="s">
        <v>2845</v>
      </c>
      <c r="F860" t="s">
        <v>2124</v>
      </c>
      <c r="G860" t="s">
        <v>1952</v>
      </c>
      <c r="H860" t="s">
        <v>16</v>
      </c>
      <c r="I860" t="s">
        <v>51</v>
      </c>
      <c r="J860">
        <v>672</v>
      </c>
      <c r="K860" t="s">
        <v>26</v>
      </c>
      <c r="L860" s="2">
        <v>44373</v>
      </c>
      <c r="M860" t="s">
        <v>19</v>
      </c>
      <c r="N860" t="s">
        <v>2846</v>
      </c>
      <c r="O860">
        <v>2453</v>
      </c>
      <c r="P860" t="s">
        <v>21</v>
      </c>
      <c r="Q860" t="str">
        <f>TEXT(Data_Set_3[[#This Row],[date]],"mmmm")</f>
        <v>June</v>
      </c>
      <c r="R860">
        <f>MONTH(Data_Set_3[[#This Row],[date]])</f>
        <v>6</v>
      </c>
      <c r="S860">
        <f>YEAR(Data_Set_3[[#This Row],[date]])</f>
        <v>2021</v>
      </c>
    </row>
    <row r="861" spans="1:19" x14ac:dyDescent="0.3">
      <c r="A861">
        <v>1211</v>
      </c>
      <c r="B861" t="s">
        <v>37</v>
      </c>
      <c r="C861" t="s">
        <v>612</v>
      </c>
      <c r="D861" t="s">
        <v>3710</v>
      </c>
      <c r="E861" t="s">
        <v>3711</v>
      </c>
      <c r="F861" t="s">
        <v>1918</v>
      </c>
      <c r="G861" t="s">
        <v>3347</v>
      </c>
      <c r="H861" t="s">
        <v>16</v>
      </c>
      <c r="I861" t="s">
        <v>33</v>
      </c>
      <c r="J861">
        <v>779</v>
      </c>
      <c r="K861" t="s">
        <v>62</v>
      </c>
      <c r="L861" s="2">
        <v>44375</v>
      </c>
      <c r="M861" t="s">
        <v>63</v>
      </c>
      <c r="N861" t="s">
        <v>64</v>
      </c>
      <c r="O861">
        <v>68110</v>
      </c>
      <c r="P861" t="s">
        <v>21</v>
      </c>
      <c r="Q861" t="str">
        <f>TEXT(Data_Set_3[[#This Row],[date]],"mmmm")</f>
        <v>June</v>
      </c>
      <c r="R861">
        <f>MONTH(Data_Set_3[[#This Row],[date]])</f>
        <v>6</v>
      </c>
      <c r="S861">
        <f>YEAR(Data_Set_3[[#This Row],[date]])</f>
        <v>2021</v>
      </c>
    </row>
    <row r="862" spans="1:19" x14ac:dyDescent="0.3">
      <c r="A862">
        <v>1277</v>
      </c>
      <c r="B862" t="s">
        <v>43</v>
      </c>
      <c r="C862" t="s">
        <v>783</v>
      </c>
      <c r="D862" t="s">
        <v>2861</v>
      </c>
      <c r="E862" t="s">
        <v>2862</v>
      </c>
      <c r="F862" t="s">
        <v>1850</v>
      </c>
      <c r="G862" t="s">
        <v>2219</v>
      </c>
      <c r="H862" t="s">
        <v>16</v>
      </c>
      <c r="I862" t="s">
        <v>454</v>
      </c>
      <c r="J862">
        <v>205</v>
      </c>
      <c r="K862" t="s">
        <v>416</v>
      </c>
      <c r="L862" s="2">
        <v>44376</v>
      </c>
      <c r="M862" t="s">
        <v>152</v>
      </c>
      <c r="N862" t="s">
        <v>251</v>
      </c>
      <c r="O862">
        <v>44310</v>
      </c>
      <c r="P862" t="s">
        <v>21</v>
      </c>
      <c r="Q862" t="str">
        <f>TEXT(Data_Set_3[[#This Row],[date]],"mmmm")</f>
        <v>June</v>
      </c>
      <c r="R862">
        <f>MONTH(Data_Set_3[[#This Row],[date]])</f>
        <v>6</v>
      </c>
      <c r="S862">
        <f>YEAR(Data_Set_3[[#This Row],[date]])</f>
        <v>2021</v>
      </c>
    </row>
    <row r="863" spans="1:19" x14ac:dyDescent="0.3">
      <c r="A863">
        <v>1411</v>
      </c>
      <c r="B863" t="s">
        <v>182</v>
      </c>
      <c r="C863" t="s">
        <v>3712</v>
      </c>
      <c r="D863" t="s">
        <v>3713</v>
      </c>
      <c r="E863" t="s">
        <v>3714</v>
      </c>
      <c r="F863" t="s">
        <v>2289</v>
      </c>
      <c r="G863" t="s">
        <v>2432</v>
      </c>
      <c r="H863" t="s">
        <v>16</v>
      </c>
      <c r="I863" t="s">
        <v>51</v>
      </c>
      <c r="J863">
        <v>406</v>
      </c>
      <c r="K863" t="s">
        <v>18</v>
      </c>
      <c r="L863" s="2">
        <v>44376</v>
      </c>
      <c r="M863" t="s">
        <v>345</v>
      </c>
      <c r="N863" t="s">
        <v>220</v>
      </c>
      <c r="O863">
        <v>20067</v>
      </c>
      <c r="P863" t="s">
        <v>21</v>
      </c>
      <c r="Q863" t="str">
        <f>TEXT(Data_Set_3[[#This Row],[date]],"mmmm")</f>
        <v>June</v>
      </c>
      <c r="R863">
        <f>MONTH(Data_Set_3[[#This Row],[date]])</f>
        <v>6</v>
      </c>
      <c r="S863">
        <f>YEAR(Data_Set_3[[#This Row],[date]])</f>
        <v>2021</v>
      </c>
    </row>
    <row r="864" spans="1:19" x14ac:dyDescent="0.3">
      <c r="A864">
        <v>1017</v>
      </c>
      <c r="B864" t="s">
        <v>803</v>
      </c>
      <c r="C864" t="s">
        <v>3048</v>
      </c>
      <c r="D864" t="s">
        <v>3049</v>
      </c>
      <c r="E864" t="s">
        <v>3050</v>
      </c>
      <c r="F864" t="s">
        <v>1306</v>
      </c>
      <c r="G864" t="s">
        <v>1845</v>
      </c>
      <c r="H864" t="s">
        <v>32</v>
      </c>
      <c r="I864" t="s">
        <v>17</v>
      </c>
      <c r="J864">
        <v>33</v>
      </c>
      <c r="K864" t="s">
        <v>26</v>
      </c>
      <c r="L864" s="2">
        <v>44377</v>
      </c>
      <c r="M864" t="s">
        <v>246</v>
      </c>
      <c r="N864" t="s">
        <v>339</v>
      </c>
      <c r="O864">
        <v>60663</v>
      </c>
      <c r="P864" t="s">
        <v>21</v>
      </c>
      <c r="Q864" t="str">
        <f>TEXT(Data_Set_3[[#This Row],[date]],"mmmm")</f>
        <v>June</v>
      </c>
      <c r="R864">
        <f>MONTH(Data_Set_3[[#This Row],[date]])</f>
        <v>6</v>
      </c>
      <c r="S864">
        <f>YEAR(Data_Set_3[[#This Row],[date]])</f>
        <v>2021</v>
      </c>
    </row>
    <row r="865" spans="1:19" x14ac:dyDescent="0.3">
      <c r="A865">
        <v>1851</v>
      </c>
      <c r="B865" t="s">
        <v>471</v>
      </c>
      <c r="C865" t="s">
        <v>220</v>
      </c>
      <c r="D865" t="s">
        <v>3015</v>
      </c>
      <c r="E865" t="s">
        <v>3016</v>
      </c>
      <c r="F865" t="s">
        <v>3017</v>
      </c>
      <c r="G865" t="s">
        <v>2697</v>
      </c>
      <c r="H865" t="s">
        <v>32</v>
      </c>
      <c r="I865" t="s">
        <v>33</v>
      </c>
      <c r="J865">
        <v>167</v>
      </c>
      <c r="K865" t="s">
        <v>73</v>
      </c>
      <c r="L865" s="2">
        <v>44380</v>
      </c>
      <c r="M865" t="s">
        <v>184</v>
      </c>
      <c r="N865" t="s">
        <v>656</v>
      </c>
      <c r="O865">
        <v>11210</v>
      </c>
      <c r="P865" t="s">
        <v>21</v>
      </c>
      <c r="Q865" t="str">
        <f>TEXT(Data_Set_3[[#This Row],[date]],"mmmm")</f>
        <v>July</v>
      </c>
      <c r="R865">
        <f>MONTH(Data_Set_3[[#This Row],[date]])</f>
        <v>7</v>
      </c>
      <c r="S865">
        <f>YEAR(Data_Set_3[[#This Row],[date]])</f>
        <v>2021</v>
      </c>
    </row>
    <row r="866" spans="1:19" x14ac:dyDescent="0.3">
      <c r="A866">
        <v>1360</v>
      </c>
      <c r="B866" t="s">
        <v>271</v>
      </c>
      <c r="C866" t="s">
        <v>285</v>
      </c>
      <c r="D866" t="s">
        <v>3715</v>
      </c>
      <c r="E866" t="s">
        <v>3716</v>
      </c>
      <c r="F866" t="s">
        <v>2063</v>
      </c>
      <c r="G866" t="s">
        <v>1277</v>
      </c>
      <c r="H866" t="s">
        <v>16</v>
      </c>
      <c r="I866" t="s">
        <v>361</v>
      </c>
      <c r="J866">
        <v>99</v>
      </c>
      <c r="K866" t="s">
        <v>109</v>
      </c>
      <c r="L866" s="2">
        <v>44387</v>
      </c>
      <c r="M866" t="s">
        <v>74</v>
      </c>
      <c r="N866" t="s">
        <v>551</v>
      </c>
      <c r="O866">
        <v>31416</v>
      </c>
      <c r="P866" t="s">
        <v>21</v>
      </c>
      <c r="Q866" t="str">
        <f>TEXT(Data_Set_3[[#This Row],[date]],"mmmm")</f>
        <v>July</v>
      </c>
      <c r="R866">
        <f>MONTH(Data_Set_3[[#This Row],[date]])</f>
        <v>7</v>
      </c>
      <c r="S866">
        <f>YEAR(Data_Set_3[[#This Row],[date]])</f>
        <v>2021</v>
      </c>
    </row>
    <row r="867" spans="1:19" x14ac:dyDescent="0.3">
      <c r="A867">
        <v>1812</v>
      </c>
      <c r="B867" t="s">
        <v>1130</v>
      </c>
      <c r="C867" t="s">
        <v>639</v>
      </c>
      <c r="D867" t="s">
        <v>2863</v>
      </c>
      <c r="E867" t="s">
        <v>2864</v>
      </c>
      <c r="F867" t="s">
        <v>2641</v>
      </c>
      <c r="G867" t="s">
        <v>1653</v>
      </c>
      <c r="H867" t="s">
        <v>16</v>
      </c>
      <c r="I867" t="s">
        <v>543</v>
      </c>
      <c r="J867">
        <v>254</v>
      </c>
      <c r="K867" t="s">
        <v>34</v>
      </c>
      <c r="L867" s="2">
        <v>44387</v>
      </c>
      <c r="M867" t="s">
        <v>524</v>
      </c>
      <c r="N867" t="s">
        <v>815</v>
      </c>
      <c r="O867">
        <v>35220</v>
      </c>
      <c r="P867" t="s">
        <v>21</v>
      </c>
      <c r="Q867" t="str">
        <f>TEXT(Data_Set_3[[#This Row],[date]],"mmmm")</f>
        <v>July</v>
      </c>
      <c r="R867">
        <f>MONTH(Data_Set_3[[#This Row],[date]])</f>
        <v>7</v>
      </c>
      <c r="S867">
        <f>YEAR(Data_Set_3[[#This Row],[date]])</f>
        <v>2021</v>
      </c>
    </row>
    <row r="868" spans="1:19" x14ac:dyDescent="0.3">
      <c r="A868">
        <v>1640</v>
      </c>
      <c r="B868" t="s">
        <v>890</v>
      </c>
      <c r="C868" t="s">
        <v>2991</v>
      </c>
      <c r="D868" t="s">
        <v>3717</v>
      </c>
      <c r="E868" t="s">
        <v>3718</v>
      </c>
      <c r="F868" t="s">
        <v>1513</v>
      </c>
      <c r="G868" t="s">
        <v>2170</v>
      </c>
      <c r="H868" t="s">
        <v>32</v>
      </c>
      <c r="I868" t="s">
        <v>17</v>
      </c>
      <c r="J868">
        <v>358</v>
      </c>
      <c r="K868" t="s">
        <v>57</v>
      </c>
      <c r="L868" s="2">
        <v>44389</v>
      </c>
      <c r="M868" t="s">
        <v>52</v>
      </c>
      <c r="N868" t="s">
        <v>189</v>
      </c>
      <c r="O868">
        <v>25331</v>
      </c>
      <c r="P868" t="s">
        <v>21</v>
      </c>
      <c r="Q868" t="str">
        <f>TEXT(Data_Set_3[[#This Row],[date]],"mmmm")</f>
        <v>July</v>
      </c>
      <c r="R868">
        <f>MONTH(Data_Set_3[[#This Row],[date]])</f>
        <v>7</v>
      </c>
      <c r="S868">
        <f>YEAR(Data_Set_3[[#This Row],[date]])</f>
        <v>2021</v>
      </c>
    </row>
    <row r="869" spans="1:19" x14ac:dyDescent="0.3">
      <c r="A869">
        <v>1812</v>
      </c>
      <c r="B869" t="s">
        <v>1130</v>
      </c>
      <c r="C869" t="s">
        <v>639</v>
      </c>
      <c r="D869" t="s">
        <v>2863</v>
      </c>
      <c r="E869" t="s">
        <v>2864</v>
      </c>
      <c r="F869" t="s">
        <v>2641</v>
      </c>
      <c r="G869" t="s">
        <v>1653</v>
      </c>
      <c r="H869" t="s">
        <v>16</v>
      </c>
      <c r="I869" t="s">
        <v>543</v>
      </c>
      <c r="J869">
        <v>370</v>
      </c>
      <c r="K869" t="s">
        <v>34</v>
      </c>
      <c r="L869" s="2">
        <v>44389</v>
      </c>
      <c r="M869" t="s">
        <v>524</v>
      </c>
      <c r="N869" t="s">
        <v>815</v>
      </c>
      <c r="O869">
        <v>35220</v>
      </c>
      <c r="P869" t="s">
        <v>21</v>
      </c>
      <c r="Q869" t="str">
        <f>TEXT(Data_Set_3[[#This Row],[date]],"mmmm")</f>
        <v>July</v>
      </c>
      <c r="R869">
        <f>MONTH(Data_Set_3[[#This Row],[date]])</f>
        <v>7</v>
      </c>
      <c r="S869">
        <f>YEAR(Data_Set_3[[#This Row],[date]])</f>
        <v>2021</v>
      </c>
    </row>
    <row r="870" spans="1:19" x14ac:dyDescent="0.3">
      <c r="A870">
        <v>1069</v>
      </c>
      <c r="B870" t="s">
        <v>130</v>
      </c>
      <c r="C870" t="s">
        <v>1074</v>
      </c>
      <c r="D870" t="s">
        <v>3719</v>
      </c>
      <c r="E870" t="s">
        <v>3720</v>
      </c>
      <c r="F870" t="s">
        <v>3179</v>
      </c>
      <c r="G870" t="s">
        <v>2589</v>
      </c>
      <c r="H870" t="s">
        <v>32</v>
      </c>
      <c r="I870" t="s">
        <v>51</v>
      </c>
      <c r="J870">
        <v>492</v>
      </c>
      <c r="K870" t="s">
        <v>26</v>
      </c>
      <c r="L870" s="2">
        <v>44391</v>
      </c>
      <c r="M870" t="s">
        <v>68</v>
      </c>
      <c r="N870" t="s">
        <v>475</v>
      </c>
      <c r="O870">
        <v>75379</v>
      </c>
      <c r="P870" t="s">
        <v>21</v>
      </c>
      <c r="Q870" t="str">
        <f>TEXT(Data_Set_3[[#This Row],[date]],"mmmm")</f>
        <v>July</v>
      </c>
      <c r="R870">
        <f>MONTH(Data_Set_3[[#This Row],[date]])</f>
        <v>7</v>
      </c>
      <c r="S870">
        <f>YEAR(Data_Set_3[[#This Row],[date]])</f>
        <v>2021</v>
      </c>
    </row>
    <row r="871" spans="1:19" x14ac:dyDescent="0.3">
      <c r="A871">
        <v>1020</v>
      </c>
      <c r="B871" t="s">
        <v>122</v>
      </c>
      <c r="C871" t="s">
        <v>954</v>
      </c>
      <c r="D871" t="s">
        <v>2888</v>
      </c>
      <c r="E871" t="s">
        <v>2889</v>
      </c>
      <c r="F871" t="s">
        <v>1998</v>
      </c>
      <c r="G871" t="s">
        <v>1926</v>
      </c>
      <c r="H871" t="s">
        <v>32</v>
      </c>
      <c r="I871" t="s">
        <v>17</v>
      </c>
      <c r="J871">
        <v>451</v>
      </c>
      <c r="K871" t="s">
        <v>26</v>
      </c>
      <c r="L871" s="2">
        <v>44395</v>
      </c>
      <c r="M871" t="s">
        <v>35</v>
      </c>
      <c r="N871" t="s">
        <v>620</v>
      </c>
      <c r="O871">
        <v>94105</v>
      </c>
      <c r="P871" t="s">
        <v>21</v>
      </c>
      <c r="Q871" t="str">
        <f>TEXT(Data_Set_3[[#This Row],[date]],"mmmm")</f>
        <v>July</v>
      </c>
      <c r="R871">
        <f>MONTH(Data_Set_3[[#This Row],[date]])</f>
        <v>7</v>
      </c>
      <c r="S871">
        <f>YEAR(Data_Set_3[[#This Row],[date]])</f>
        <v>2021</v>
      </c>
    </row>
    <row r="872" spans="1:19" x14ac:dyDescent="0.3">
      <c r="A872">
        <v>1298</v>
      </c>
      <c r="B872" t="s">
        <v>595</v>
      </c>
      <c r="C872" t="s">
        <v>293</v>
      </c>
      <c r="D872" t="s">
        <v>2900</v>
      </c>
      <c r="E872" t="s">
        <v>2901</v>
      </c>
      <c r="F872" t="s">
        <v>1539</v>
      </c>
      <c r="G872" t="s">
        <v>1952</v>
      </c>
      <c r="H872" t="s">
        <v>32</v>
      </c>
      <c r="I872" t="s">
        <v>543</v>
      </c>
      <c r="J872">
        <v>234</v>
      </c>
      <c r="K872" t="s">
        <v>73</v>
      </c>
      <c r="L872" s="2">
        <v>44398</v>
      </c>
      <c r="M872" t="s">
        <v>115</v>
      </c>
      <c r="N872" t="s">
        <v>351</v>
      </c>
      <c r="O872">
        <v>32891</v>
      </c>
      <c r="P872" t="s">
        <v>21</v>
      </c>
      <c r="Q872" t="str">
        <f>TEXT(Data_Set_3[[#This Row],[date]],"mmmm")</f>
        <v>July</v>
      </c>
      <c r="R872">
        <f>MONTH(Data_Set_3[[#This Row],[date]])</f>
        <v>7</v>
      </c>
      <c r="S872">
        <f>YEAR(Data_Set_3[[#This Row],[date]])</f>
        <v>2021</v>
      </c>
    </row>
    <row r="873" spans="1:19" x14ac:dyDescent="0.3">
      <c r="A873">
        <v>1999</v>
      </c>
      <c r="B873" t="s">
        <v>2930</v>
      </c>
      <c r="C873" t="s">
        <v>567</v>
      </c>
      <c r="D873" t="s">
        <v>2931</v>
      </c>
      <c r="E873" t="s">
        <v>2932</v>
      </c>
      <c r="F873" t="s">
        <v>1529</v>
      </c>
      <c r="G873" t="s">
        <v>2687</v>
      </c>
      <c r="H873" t="s">
        <v>16</v>
      </c>
      <c r="I873" t="s">
        <v>406</v>
      </c>
      <c r="J873">
        <v>91</v>
      </c>
      <c r="K873" t="s">
        <v>26</v>
      </c>
      <c r="L873" s="2">
        <v>44399</v>
      </c>
      <c r="M873" t="s">
        <v>74</v>
      </c>
      <c r="N873" t="s">
        <v>643</v>
      </c>
      <c r="O873">
        <v>31914</v>
      </c>
      <c r="P873" t="s">
        <v>21</v>
      </c>
      <c r="Q873" t="str">
        <f>TEXT(Data_Set_3[[#This Row],[date]],"mmmm")</f>
        <v>July</v>
      </c>
      <c r="R873">
        <f>MONTH(Data_Set_3[[#This Row],[date]])</f>
        <v>7</v>
      </c>
      <c r="S873">
        <f>YEAR(Data_Set_3[[#This Row],[date]])</f>
        <v>2021</v>
      </c>
    </row>
    <row r="874" spans="1:19" x14ac:dyDescent="0.3">
      <c r="A874">
        <v>1398</v>
      </c>
      <c r="B874" t="s">
        <v>181</v>
      </c>
      <c r="C874" t="s">
        <v>1069</v>
      </c>
      <c r="D874" t="s">
        <v>3600</v>
      </c>
      <c r="E874" t="s">
        <v>3601</v>
      </c>
      <c r="F874" t="s">
        <v>1622</v>
      </c>
      <c r="G874" t="s">
        <v>2356</v>
      </c>
      <c r="H874" t="s">
        <v>32</v>
      </c>
      <c r="I874" t="s">
        <v>25</v>
      </c>
      <c r="J874">
        <v>930</v>
      </c>
      <c r="K874" t="s">
        <v>73</v>
      </c>
      <c r="L874" s="2">
        <v>44404</v>
      </c>
      <c r="M874" t="s">
        <v>147</v>
      </c>
      <c r="N874" t="s">
        <v>777</v>
      </c>
      <c r="O874">
        <v>53785</v>
      </c>
      <c r="P874" t="s">
        <v>21</v>
      </c>
      <c r="Q874" t="str">
        <f>TEXT(Data_Set_3[[#This Row],[date]],"mmmm")</f>
        <v>July</v>
      </c>
      <c r="R874">
        <f>MONTH(Data_Set_3[[#This Row],[date]])</f>
        <v>7</v>
      </c>
      <c r="S874">
        <f>YEAR(Data_Set_3[[#This Row],[date]])</f>
        <v>2021</v>
      </c>
    </row>
    <row r="875" spans="1:19" x14ac:dyDescent="0.3">
      <c r="A875">
        <v>1082</v>
      </c>
      <c r="B875" t="s">
        <v>182</v>
      </c>
      <c r="C875" t="s">
        <v>187</v>
      </c>
      <c r="D875" t="s">
        <v>3721</v>
      </c>
      <c r="E875" t="s">
        <v>3722</v>
      </c>
      <c r="F875" t="s">
        <v>1359</v>
      </c>
      <c r="G875" t="s">
        <v>2763</v>
      </c>
      <c r="H875" t="s">
        <v>16</v>
      </c>
      <c r="I875" t="s">
        <v>51</v>
      </c>
      <c r="J875">
        <v>969</v>
      </c>
      <c r="K875" t="s">
        <v>95</v>
      </c>
      <c r="L875" s="2">
        <v>44406</v>
      </c>
      <c r="M875" t="s">
        <v>110</v>
      </c>
      <c r="N875" t="s">
        <v>3723</v>
      </c>
      <c r="O875">
        <v>15906</v>
      </c>
      <c r="P875" t="s">
        <v>21</v>
      </c>
      <c r="Q875" t="str">
        <f>TEXT(Data_Set_3[[#This Row],[date]],"mmmm")</f>
        <v>July</v>
      </c>
      <c r="R875">
        <f>MONTH(Data_Set_3[[#This Row],[date]])</f>
        <v>7</v>
      </c>
      <c r="S875">
        <f>YEAR(Data_Set_3[[#This Row],[date]])</f>
        <v>2021</v>
      </c>
    </row>
    <row r="876" spans="1:19" x14ac:dyDescent="0.3">
      <c r="A876">
        <v>1763</v>
      </c>
      <c r="B876" t="s">
        <v>638</v>
      </c>
      <c r="C876" t="s">
        <v>652</v>
      </c>
      <c r="D876" t="s">
        <v>3724</v>
      </c>
      <c r="E876" t="s">
        <v>3725</v>
      </c>
      <c r="F876" t="s">
        <v>1374</v>
      </c>
      <c r="G876" t="s">
        <v>2345</v>
      </c>
      <c r="H876" t="s">
        <v>32</v>
      </c>
      <c r="I876" t="s">
        <v>33</v>
      </c>
      <c r="J876">
        <v>834</v>
      </c>
      <c r="K876" t="s">
        <v>62</v>
      </c>
      <c r="L876" s="2">
        <v>44410</v>
      </c>
      <c r="M876" t="s">
        <v>184</v>
      </c>
      <c r="N876" t="s">
        <v>185</v>
      </c>
      <c r="O876">
        <v>10454</v>
      </c>
      <c r="P876" t="s">
        <v>21</v>
      </c>
      <c r="Q876" t="str">
        <f>TEXT(Data_Set_3[[#This Row],[date]],"mmmm")</f>
        <v>August</v>
      </c>
      <c r="R876">
        <f>MONTH(Data_Set_3[[#This Row],[date]])</f>
        <v>8</v>
      </c>
      <c r="S876">
        <f>YEAR(Data_Set_3[[#This Row],[date]])</f>
        <v>2021</v>
      </c>
    </row>
    <row r="877" spans="1:19" x14ac:dyDescent="0.3">
      <c r="A877">
        <v>1017</v>
      </c>
      <c r="B877" t="s">
        <v>803</v>
      </c>
      <c r="C877" t="s">
        <v>3048</v>
      </c>
      <c r="D877" t="s">
        <v>3049</v>
      </c>
      <c r="E877" t="s">
        <v>3050</v>
      </c>
      <c r="F877" t="s">
        <v>1306</v>
      </c>
      <c r="G877" t="s">
        <v>1845</v>
      </c>
      <c r="H877" t="s">
        <v>32</v>
      </c>
      <c r="I877" t="s">
        <v>17</v>
      </c>
      <c r="J877">
        <v>449</v>
      </c>
      <c r="K877" t="s">
        <v>26</v>
      </c>
      <c r="L877" s="2">
        <v>44414</v>
      </c>
      <c r="M877" t="s">
        <v>246</v>
      </c>
      <c r="N877" t="s">
        <v>339</v>
      </c>
      <c r="O877">
        <v>60663</v>
      </c>
      <c r="P877" t="s">
        <v>21</v>
      </c>
      <c r="Q877" t="str">
        <f>TEXT(Data_Set_3[[#This Row],[date]],"mmmm")</f>
        <v>August</v>
      </c>
      <c r="R877">
        <f>MONTH(Data_Set_3[[#This Row],[date]])</f>
        <v>8</v>
      </c>
      <c r="S877">
        <f>YEAR(Data_Set_3[[#This Row],[date]])</f>
        <v>2021</v>
      </c>
    </row>
    <row r="878" spans="1:19" x14ac:dyDescent="0.3">
      <c r="A878">
        <v>1608</v>
      </c>
      <c r="B878" t="s">
        <v>600</v>
      </c>
      <c r="C878" t="s">
        <v>511</v>
      </c>
      <c r="D878" t="s">
        <v>3726</v>
      </c>
      <c r="E878" t="s">
        <v>3727</v>
      </c>
      <c r="F878" t="s">
        <v>1509</v>
      </c>
      <c r="G878" t="s">
        <v>2234</v>
      </c>
      <c r="H878" t="s">
        <v>32</v>
      </c>
      <c r="I878" t="s">
        <v>179</v>
      </c>
      <c r="J878">
        <v>51</v>
      </c>
      <c r="K878" t="s">
        <v>26</v>
      </c>
      <c r="L878" s="2">
        <v>44418</v>
      </c>
      <c r="M878" t="s">
        <v>68</v>
      </c>
      <c r="N878" t="s">
        <v>827</v>
      </c>
      <c r="O878">
        <v>76011</v>
      </c>
      <c r="P878" t="s">
        <v>21</v>
      </c>
      <c r="Q878" t="str">
        <f>TEXT(Data_Set_3[[#This Row],[date]],"mmmm")</f>
        <v>August</v>
      </c>
      <c r="R878">
        <f>MONTH(Data_Set_3[[#This Row],[date]])</f>
        <v>8</v>
      </c>
      <c r="S878">
        <f>YEAR(Data_Set_3[[#This Row],[date]])</f>
        <v>2021</v>
      </c>
    </row>
    <row r="879" spans="1:19" x14ac:dyDescent="0.3">
      <c r="A879">
        <v>1812</v>
      </c>
      <c r="B879" t="s">
        <v>1130</v>
      </c>
      <c r="C879" t="s">
        <v>639</v>
      </c>
      <c r="D879" t="s">
        <v>2863</v>
      </c>
      <c r="E879" t="s">
        <v>2864</v>
      </c>
      <c r="F879" t="s">
        <v>2641</v>
      </c>
      <c r="G879" t="s">
        <v>1653</v>
      </c>
      <c r="H879" t="s">
        <v>16</v>
      </c>
      <c r="I879" t="s">
        <v>543</v>
      </c>
      <c r="J879">
        <v>460</v>
      </c>
      <c r="K879" t="s">
        <v>34</v>
      </c>
      <c r="L879" s="2">
        <v>44418</v>
      </c>
      <c r="M879" t="s">
        <v>524</v>
      </c>
      <c r="N879" t="s">
        <v>815</v>
      </c>
      <c r="O879">
        <v>35220</v>
      </c>
      <c r="P879" t="s">
        <v>21</v>
      </c>
      <c r="Q879" t="str">
        <f>TEXT(Data_Set_3[[#This Row],[date]],"mmmm")</f>
        <v>August</v>
      </c>
      <c r="R879">
        <f>MONTH(Data_Set_3[[#This Row],[date]])</f>
        <v>8</v>
      </c>
      <c r="S879">
        <f>YEAR(Data_Set_3[[#This Row],[date]])</f>
        <v>2021</v>
      </c>
    </row>
    <row r="880" spans="1:19" x14ac:dyDescent="0.3">
      <c r="A880">
        <v>1094</v>
      </c>
      <c r="B880" t="s">
        <v>194</v>
      </c>
      <c r="C880" t="s">
        <v>289</v>
      </c>
      <c r="D880" t="s">
        <v>3728</v>
      </c>
      <c r="E880" t="s">
        <v>3729</v>
      </c>
      <c r="F880" t="s">
        <v>2849</v>
      </c>
      <c r="G880" t="s">
        <v>1965</v>
      </c>
      <c r="H880" t="s">
        <v>32</v>
      </c>
      <c r="I880" t="s">
        <v>51</v>
      </c>
      <c r="J880">
        <v>303</v>
      </c>
      <c r="K880" t="s">
        <v>26</v>
      </c>
      <c r="L880" s="2">
        <v>44420</v>
      </c>
      <c r="M880" t="s">
        <v>68</v>
      </c>
      <c r="N880" t="s">
        <v>169</v>
      </c>
      <c r="O880">
        <v>88579</v>
      </c>
      <c r="P880" t="s">
        <v>21</v>
      </c>
      <c r="Q880" t="str">
        <f>TEXT(Data_Set_3[[#This Row],[date]],"mmmm")</f>
        <v>August</v>
      </c>
      <c r="R880">
        <f>MONTH(Data_Set_3[[#This Row],[date]])</f>
        <v>8</v>
      </c>
      <c r="S880">
        <f>YEAR(Data_Set_3[[#This Row],[date]])</f>
        <v>2021</v>
      </c>
    </row>
    <row r="881" spans="1:19" x14ac:dyDescent="0.3">
      <c r="A881">
        <v>1001</v>
      </c>
      <c r="B881" t="s">
        <v>289</v>
      </c>
      <c r="C881" t="s">
        <v>1017</v>
      </c>
      <c r="D881" t="s">
        <v>2874</v>
      </c>
      <c r="E881" t="s">
        <v>2875</v>
      </c>
      <c r="F881" t="s">
        <v>2249</v>
      </c>
      <c r="G881" t="s">
        <v>1766</v>
      </c>
      <c r="H881" t="s">
        <v>16</v>
      </c>
      <c r="I881" t="s">
        <v>17</v>
      </c>
      <c r="J881">
        <v>470</v>
      </c>
      <c r="K881" t="s">
        <v>34</v>
      </c>
      <c r="L881" s="2">
        <v>44423</v>
      </c>
      <c r="M881" t="s">
        <v>68</v>
      </c>
      <c r="N881" t="s">
        <v>169</v>
      </c>
      <c r="O881">
        <v>88563</v>
      </c>
      <c r="P881" t="s">
        <v>21</v>
      </c>
      <c r="Q881" t="str">
        <f>TEXT(Data_Set_3[[#This Row],[date]],"mmmm")</f>
        <v>August</v>
      </c>
      <c r="R881">
        <f>MONTH(Data_Set_3[[#This Row],[date]])</f>
        <v>8</v>
      </c>
      <c r="S881">
        <f>YEAR(Data_Set_3[[#This Row],[date]])</f>
        <v>2021</v>
      </c>
    </row>
    <row r="882" spans="1:19" x14ac:dyDescent="0.3">
      <c r="A882">
        <v>1842</v>
      </c>
      <c r="B882" t="s">
        <v>809</v>
      </c>
      <c r="C882" t="s">
        <v>722</v>
      </c>
      <c r="D882" t="s">
        <v>3730</v>
      </c>
      <c r="E882" t="s">
        <v>3731</v>
      </c>
      <c r="F882" t="s">
        <v>2849</v>
      </c>
      <c r="G882" t="s">
        <v>1609</v>
      </c>
      <c r="H882" t="s">
        <v>16</v>
      </c>
      <c r="I882" t="s">
        <v>2813</v>
      </c>
      <c r="J882">
        <v>411</v>
      </c>
      <c r="K882" t="s">
        <v>26</v>
      </c>
      <c r="L882" s="2">
        <v>44423</v>
      </c>
      <c r="M882" t="s">
        <v>192</v>
      </c>
      <c r="N882" t="s">
        <v>400</v>
      </c>
      <c r="O882">
        <v>55811</v>
      </c>
      <c r="P882" t="s">
        <v>21</v>
      </c>
      <c r="Q882" t="str">
        <f>TEXT(Data_Set_3[[#This Row],[date]],"mmmm")</f>
        <v>August</v>
      </c>
      <c r="R882">
        <f>MONTH(Data_Set_3[[#This Row],[date]])</f>
        <v>8</v>
      </c>
      <c r="S882">
        <f>YEAR(Data_Set_3[[#This Row],[date]])</f>
        <v>2021</v>
      </c>
    </row>
    <row r="883" spans="1:19" x14ac:dyDescent="0.3">
      <c r="A883">
        <v>1984</v>
      </c>
      <c r="B883" t="s">
        <v>333</v>
      </c>
      <c r="C883" t="s">
        <v>3160</v>
      </c>
      <c r="D883" t="s">
        <v>3161</v>
      </c>
      <c r="E883" t="s">
        <v>3162</v>
      </c>
      <c r="F883" t="s">
        <v>1558</v>
      </c>
      <c r="G883" t="s">
        <v>2685</v>
      </c>
      <c r="H883" t="s">
        <v>32</v>
      </c>
      <c r="I883" t="s">
        <v>33</v>
      </c>
      <c r="J883">
        <v>899</v>
      </c>
      <c r="K883" t="s">
        <v>62</v>
      </c>
      <c r="L883" s="2">
        <v>44424</v>
      </c>
      <c r="M883" t="s">
        <v>125</v>
      </c>
      <c r="N883" t="s">
        <v>247</v>
      </c>
      <c r="O883">
        <v>65810</v>
      </c>
      <c r="P883" t="s">
        <v>21</v>
      </c>
      <c r="Q883" t="str">
        <f>TEXT(Data_Set_3[[#This Row],[date]],"mmmm")</f>
        <v>August</v>
      </c>
      <c r="R883">
        <f>MONTH(Data_Set_3[[#This Row],[date]])</f>
        <v>8</v>
      </c>
      <c r="S883">
        <f>YEAR(Data_Set_3[[#This Row],[date]])</f>
        <v>2021</v>
      </c>
    </row>
    <row r="884" spans="1:19" x14ac:dyDescent="0.3">
      <c r="A884">
        <v>1880</v>
      </c>
      <c r="B884" t="s">
        <v>304</v>
      </c>
      <c r="C884" t="s">
        <v>526</v>
      </c>
      <c r="D884" t="s">
        <v>2831</v>
      </c>
      <c r="E884" t="s">
        <v>2832</v>
      </c>
      <c r="F884" t="s">
        <v>1376</v>
      </c>
      <c r="G884" t="s">
        <v>2577</v>
      </c>
      <c r="H884" t="s">
        <v>32</v>
      </c>
      <c r="I884" t="s">
        <v>274</v>
      </c>
      <c r="J884">
        <v>239</v>
      </c>
      <c r="K884" t="s">
        <v>26</v>
      </c>
      <c r="L884" s="2">
        <v>44425</v>
      </c>
      <c r="M884" t="s">
        <v>246</v>
      </c>
      <c r="N884" t="s">
        <v>339</v>
      </c>
      <c r="O884">
        <v>60614</v>
      </c>
      <c r="P884" t="s">
        <v>21</v>
      </c>
      <c r="Q884" t="str">
        <f>TEXT(Data_Set_3[[#This Row],[date]],"mmmm")</f>
        <v>August</v>
      </c>
      <c r="R884">
        <f>MONTH(Data_Set_3[[#This Row],[date]])</f>
        <v>8</v>
      </c>
      <c r="S884">
        <f>YEAR(Data_Set_3[[#This Row],[date]])</f>
        <v>2021</v>
      </c>
    </row>
    <row r="885" spans="1:19" x14ac:dyDescent="0.3">
      <c r="A885">
        <v>1979</v>
      </c>
      <c r="B885" t="s">
        <v>721</v>
      </c>
      <c r="C885" t="s">
        <v>2853</v>
      </c>
      <c r="D885" t="s">
        <v>3732</v>
      </c>
      <c r="E885" t="s">
        <v>3733</v>
      </c>
      <c r="F885" t="s">
        <v>1935</v>
      </c>
      <c r="G885" t="s">
        <v>1634</v>
      </c>
      <c r="H885" t="s">
        <v>16</v>
      </c>
      <c r="I885" t="s">
        <v>33</v>
      </c>
      <c r="J885">
        <v>651</v>
      </c>
      <c r="K885" t="s">
        <v>40</v>
      </c>
      <c r="L885" s="2">
        <v>44427</v>
      </c>
      <c r="M885" t="s">
        <v>184</v>
      </c>
      <c r="N885" t="s">
        <v>3734</v>
      </c>
      <c r="O885">
        <v>12325</v>
      </c>
      <c r="P885" t="s">
        <v>21</v>
      </c>
      <c r="Q885" t="str">
        <f>TEXT(Data_Set_3[[#This Row],[date]],"mmmm")</f>
        <v>August</v>
      </c>
      <c r="R885">
        <f>MONTH(Data_Set_3[[#This Row],[date]])</f>
        <v>8</v>
      </c>
      <c r="S885">
        <f>YEAR(Data_Set_3[[#This Row],[date]])</f>
        <v>2021</v>
      </c>
    </row>
    <row r="886" spans="1:19" x14ac:dyDescent="0.3">
      <c r="A886">
        <v>1989</v>
      </c>
      <c r="B886" t="s">
        <v>429</v>
      </c>
      <c r="C886" t="s">
        <v>2991</v>
      </c>
      <c r="D886" t="s">
        <v>2992</v>
      </c>
      <c r="E886" t="s">
        <v>2993</v>
      </c>
      <c r="F886" t="s">
        <v>1455</v>
      </c>
      <c r="G886" t="s">
        <v>1453</v>
      </c>
      <c r="H886" t="s">
        <v>16</v>
      </c>
      <c r="I886" t="s">
        <v>33</v>
      </c>
      <c r="J886">
        <v>945</v>
      </c>
      <c r="K886" t="s">
        <v>26</v>
      </c>
      <c r="L886" s="2">
        <v>44427</v>
      </c>
      <c r="M886" t="s">
        <v>68</v>
      </c>
      <c r="N886" t="s">
        <v>2994</v>
      </c>
      <c r="O886">
        <v>77346</v>
      </c>
      <c r="P886" t="s">
        <v>21</v>
      </c>
      <c r="Q886" t="str">
        <f>TEXT(Data_Set_3[[#This Row],[date]],"mmmm")</f>
        <v>August</v>
      </c>
      <c r="R886">
        <f>MONTH(Data_Set_3[[#This Row],[date]])</f>
        <v>8</v>
      </c>
      <c r="S886">
        <f>YEAR(Data_Set_3[[#This Row],[date]])</f>
        <v>2021</v>
      </c>
    </row>
    <row r="887" spans="1:19" x14ac:dyDescent="0.3">
      <c r="A887">
        <v>1298</v>
      </c>
      <c r="B887" t="s">
        <v>595</v>
      </c>
      <c r="C887" t="s">
        <v>293</v>
      </c>
      <c r="D887" t="s">
        <v>2900</v>
      </c>
      <c r="E887" t="s">
        <v>2901</v>
      </c>
      <c r="F887" t="s">
        <v>1539</v>
      </c>
      <c r="G887" t="s">
        <v>1952</v>
      </c>
      <c r="H887" t="s">
        <v>32</v>
      </c>
      <c r="I887" t="s">
        <v>543</v>
      </c>
      <c r="J887">
        <v>20</v>
      </c>
      <c r="K887" t="s">
        <v>73</v>
      </c>
      <c r="L887" s="2">
        <v>44429</v>
      </c>
      <c r="M887" t="s">
        <v>115</v>
      </c>
      <c r="N887" t="s">
        <v>351</v>
      </c>
      <c r="O887">
        <v>32891</v>
      </c>
      <c r="P887" t="s">
        <v>21</v>
      </c>
      <c r="Q887" t="str">
        <f>TEXT(Data_Set_3[[#This Row],[date]],"mmmm")</f>
        <v>August</v>
      </c>
      <c r="R887">
        <f>MONTH(Data_Set_3[[#This Row],[date]])</f>
        <v>8</v>
      </c>
      <c r="S887">
        <f>YEAR(Data_Set_3[[#This Row],[date]])</f>
        <v>2021</v>
      </c>
    </row>
    <row r="888" spans="1:19" x14ac:dyDescent="0.3">
      <c r="A888">
        <v>1750</v>
      </c>
      <c r="B888" t="s">
        <v>944</v>
      </c>
      <c r="C888" t="s">
        <v>946</v>
      </c>
      <c r="D888" t="s">
        <v>3735</v>
      </c>
      <c r="E888" t="s">
        <v>3736</v>
      </c>
      <c r="F888" t="s">
        <v>1318</v>
      </c>
      <c r="G888" t="s">
        <v>1634</v>
      </c>
      <c r="H888" t="s">
        <v>32</v>
      </c>
      <c r="I888" t="s">
        <v>179</v>
      </c>
      <c r="J888">
        <v>169</v>
      </c>
      <c r="K888" t="s">
        <v>26</v>
      </c>
      <c r="L888" s="2">
        <v>44430</v>
      </c>
      <c r="M888" t="s">
        <v>147</v>
      </c>
      <c r="N888" t="s">
        <v>1129</v>
      </c>
      <c r="O888">
        <v>53277</v>
      </c>
      <c r="P888" t="s">
        <v>21</v>
      </c>
      <c r="Q888" t="str">
        <f>TEXT(Data_Set_3[[#This Row],[date]],"mmmm")</f>
        <v>August</v>
      </c>
      <c r="R888">
        <f>MONTH(Data_Set_3[[#This Row],[date]])</f>
        <v>8</v>
      </c>
      <c r="S888">
        <f>YEAR(Data_Set_3[[#This Row],[date]])</f>
        <v>2021</v>
      </c>
    </row>
    <row r="889" spans="1:19" x14ac:dyDescent="0.3">
      <c r="A889">
        <v>1990</v>
      </c>
      <c r="B889" t="s">
        <v>186</v>
      </c>
      <c r="C889" t="s">
        <v>367</v>
      </c>
      <c r="D889" t="s">
        <v>3534</v>
      </c>
      <c r="E889" t="s">
        <v>3535</v>
      </c>
      <c r="F889" t="s">
        <v>2192</v>
      </c>
      <c r="G889" t="s">
        <v>1609</v>
      </c>
      <c r="H889" t="s">
        <v>32</v>
      </c>
      <c r="I889" t="s">
        <v>33</v>
      </c>
      <c r="J889">
        <v>843</v>
      </c>
      <c r="K889" t="s">
        <v>26</v>
      </c>
      <c r="L889" s="2">
        <v>44433</v>
      </c>
      <c r="M889" t="s">
        <v>524</v>
      </c>
      <c r="N889" t="s">
        <v>715</v>
      </c>
      <c r="O889">
        <v>36622</v>
      </c>
      <c r="P889" t="s">
        <v>21</v>
      </c>
      <c r="Q889" t="str">
        <f>TEXT(Data_Set_3[[#This Row],[date]],"mmmm")</f>
        <v>August</v>
      </c>
      <c r="R889">
        <f>MONTH(Data_Set_3[[#This Row],[date]])</f>
        <v>8</v>
      </c>
      <c r="S889">
        <f>YEAR(Data_Set_3[[#This Row],[date]])</f>
        <v>2021</v>
      </c>
    </row>
    <row r="890" spans="1:19" x14ac:dyDescent="0.3">
      <c r="A890">
        <v>1586</v>
      </c>
      <c r="B890" t="s">
        <v>422</v>
      </c>
      <c r="C890" t="s">
        <v>3737</v>
      </c>
      <c r="D890" t="s">
        <v>3738</v>
      </c>
      <c r="E890" t="s">
        <v>3739</v>
      </c>
      <c r="F890" t="s">
        <v>3424</v>
      </c>
      <c r="G890" t="s">
        <v>2217</v>
      </c>
      <c r="H890" t="s">
        <v>16</v>
      </c>
      <c r="I890" t="s">
        <v>2821</v>
      </c>
      <c r="J890">
        <v>29</v>
      </c>
      <c r="K890" t="s">
        <v>26</v>
      </c>
      <c r="L890" s="2">
        <v>44434</v>
      </c>
      <c r="M890" t="s">
        <v>480</v>
      </c>
      <c r="N890" t="s">
        <v>554</v>
      </c>
      <c r="O890">
        <v>8695</v>
      </c>
      <c r="P890" t="s">
        <v>21</v>
      </c>
      <c r="Q890" t="str">
        <f>TEXT(Data_Set_3[[#This Row],[date]],"mmmm")</f>
        <v>August</v>
      </c>
      <c r="R890">
        <f>MONTH(Data_Set_3[[#This Row],[date]])</f>
        <v>8</v>
      </c>
      <c r="S890">
        <f>YEAR(Data_Set_3[[#This Row],[date]])</f>
        <v>2021</v>
      </c>
    </row>
    <row r="891" spans="1:19" x14ac:dyDescent="0.3">
      <c r="A891">
        <v>1993</v>
      </c>
      <c r="B891" t="s">
        <v>366</v>
      </c>
      <c r="C891" t="s">
        <v>1089</v>
      </c>
      <c r="D891" t="s">
        <v>3441</v>
      </c>
      <c r="E891" t="s">
        <v>3442</v>
      </c>
      <c r="F891" t="s">
        <v>1811</v>
      </c>
      <c r="G891" t="s">
        <v>2432</v>
      </c>
      <c r="H891" t="s">
        <v>32</v>
      </c>
      <c r="I891" t="s">
        <v>33</v>
      </c>
      <c r="J891">
        <v>871</v>
      </c>
      <c r="K891" t="s">
        <v>225</v>
      </c>
      <c r="L891" s="2">
        <v>44435</v>
      </c>
      <c r="M891" t="s">
        <v>254</v>
      </c>
      <c r="N891" t="s">
        <v>255</v>
      </c>
      <c r="O891">
        <v>50369</v>
      </c>
      <c r="P891" t="s">
        <v>21</v>
      </c>
      <c r="Q891" t="str">
        <f>TEXT(Data_Set_3[[#This Row],[date]],"mmmm")</f>
        <v>August</v>
      </c>
      <c r="R891">
        <f>MONTH(Data_Set_3[[#This Row],[date]])</f>
        <v>8</v>
      </c>
      <c r="S891">
        <f>YEAR(Data_Set_3[[#This Row],[date]])</f>
        <v>2021</v>
      </c>
    </row>
    <row r="892" spans="1:19" x14ac:dyDescent="0.3">
      <c r="A892">
        <v>1026</v>
      </c>
      <c r="B892" t="s">
        <v>844</v>
      </c>
      <c r="C892" t="s">
        <v>671</v>
      </c>
      <c r="D892" t="s">
        <v>2814</v>
      </c>
      <c r="E892" t="s">
        <v>2815</v>
      </c>
      <c r="F892" t="s">
        <v>2816</v>
      </c>
      <c r="G892" t="s">
        <v>2554</v>
      </c>
      <c r="H892" t="s">
        <v>32</v>
      </c>
      <c r="I892" t="s">
        <v>17</v>
      </c>
      <c r="J892">
        <v>244</v>
      </c>
      <c r="K892" t="s">
        <v>26</v>
      </c>
      <c r="L892" s="2">
        <v>44436</v>
      </c>
      <c r="M892" t="s">
        <v>184</v>
      </c>
      <c r="N892" t="s">
        <v>185</v>
      </c>
      <c r="O892">
        <v>10469</v>
      </c>
      <c r="P892" t="s">
        <v>21</v>
      </c>
      <c r="Q892" t="str">
        <f>TEXT(Data_Set_3[[#This Row],[date]],"mmmm")</f>
        <v>August</v>
      </c>
      <c r="R892">
        <f>MONTH(Data_Set_3[[#This Row],[date]])</f>
        <v>8</v>
      </c>
      <c r="S892">
        <f>YEAR(Data_Set_3[[#This Row],[date]])</f>
        <v>2021</v>
      </c>
    </row>
    <row r="893" spans="1:19" x14ac:dyDescent="0.3">
      <c r="A893">
        <v>1116</v>
      </c>
      <c r="B893" t="s">
        <v>135</v>
      </c>
      <c r="C893" t="s">
        <v>2803</v>
      </c>
      <c r="D893" t="s">
        <v>2804</v>
      </c>
      <c r="E893" t="s">
        <v>2805</v>
      </c>
      <c r="F893" t="s">
        <v>1770</v>
      </c>
      <c r="G893" t="s">
        <v>2110</v>
      </c>
      <c r="H893" t="s">
        <v>32</v>
      </c>
      <c r="I893" t="s">
        <v>51</v>
      </c>
      <c r="J893">
        <v>993</v>
      </c>
      <c r="K893" t="s">
        <v>95</v>
      </c>
      <c r="L893" s="2">
        <v>44436</v>
      </c>
      <c r="M893" t="s">
        <v>74</v>
      </c>
      <c r="N893" t="s">
        <v>400</v>
      </c>
      <c r="O893">
        <v>30096</v>
      </c>
      <c r="P893" t="s">
        <v>21</v>
      </c>
      <c r="Q893" t="str">
        <f>TEXT(Data_Set_3[[#This Row],[date]],"mmmm")</f>
        <v>August</v>
      </c>
      <c r="R893">
        <f>MONTH(Data_Set_3[[#This Row],[date]])</f>
        <v>8</v>
      </c>
      <c r="S893">
        <f>YEAR(Data_Set_3[[#This Row],[date]])</f>
        <v>2021</v>
      </c>
    </row>
    <row r="894" spans="1:19" x14ac:dyDescent="0.3">
      <c r="A894">
        <v>1705</v>
      </c>
      <c r="B894" t="s">
        <v>595</v>
      </c>
      <c r="C894" t="s">
        <v>310</v>
      </c>
      <c r="D894" t="s">
        <v>3740</v>
      </c>
      <c r="E894" t="s">
        <v>3741</v>
      </c>
      <c r="F894" t="s">
        <v>1452</v>
      </c>
      <c r="G894" t="s">
        <v>2687</v>
      </c>
      <c r="H894" t="s">
        <v>32</v>
      </c>
      <c r="I894" t="s">
        <v>17</v>
      </c>
      <c r="J894">
        <v>657</v>
      </c>
      <c r="K894" t="s">
        <v>109</v>
      </c>
      <c r="L894" s="2">
        <v>44436</v>
      </c>
      <c r="M894" t="s">
        <v>152</v>
      </c>
      <c r="N894" t="s">
        <v>626</v>
      </c>
      <c r="O894">
        <v>43615</v>
      </c>
      <c r="P894" t="s">
        <v>21</v>
      </c>
      <c r="Q894" t="str">
        <f>TEXT(Data_Set_3[[#This Row],[date]],"mmmm")</f>
        <v>August</v>
      </c>
      <c r="R894">
        <f>MONTH(Data_Set_3[[#This Row],[date]])</f>
        <v>8</v>
      </c>
      <c r="S894">
        <f>YEAR(Data_Set_3[[#This Row],[date]])</f>
        <v>2021</v>
      </c>
    </row>
    <row r="895" spans="1:19" x14ac:dyDescent="0.3">
      <c r="A895">
        <v>1659</v>
      </c>
      <c r="B895" t="s">
        <v>851</v>
      </c>
      <c r="C895" t="s">
        <v>343</v>
      </c>
      <c r="D895" t="s">
        <v>3742</v>
      </c>
      <c r="E895" t="s">
        <v>3743</v>
      </c>
      <c r="F895" t="s">
        <v>1287</v>
      </c>
      <c r="G895" t="s">
        <v>1936</v>
      </c>
      <c r="H895" t="s">
        <v>16</v>
      </c>
      <c r="I895" t="s">
        <v>17</v>
      </c>
      <c r="J895">
        <v>281</v>
      </c>
      <c r="K895" t="s">
        <v>26</v>
      </c>
      <c r="L895" s="2">
        <v>44438</v>
      </c>
      <c r="M895" t="s">
        <v>35</v>
      </c>
      <c r="N895" t="s">
        <v>908</v>
      </c>
      <c r="O895">
        <v>92127</v>
      </c>
      <c r="P895" t="s">
        <v>21</v>
      </c>
      <c r="Q895" t="str">
        <f>TEXT(Data_Set_3[[#This Row],[date]],"mmmm")</f>
        <v>August</v>
      </c>
      <c r="R895">
        <f>MONTH(Data_Set_3[[#This Row],[date]])</f>
        <v>8</v>
      </c>
      <c r="S895">
        <f>YEAR(Data_Set_3[[#This Row],[date]])</f>
        <v>2021</v>
      </c>
    </row>
    <row r="896" spans="1:19" x14ac:dyDescent="0.3">
      <c r="A896">
        <v>1574</v>
      </c>
      <c r="B896" t="s">
        <v>471</v>
      </c>
      <c r="C896" t="s">
        <v>3737</v>
      </c>
      <c r="D896" t="s">
        <v>3744</v>
      </c>
      <c r="E896" t="s">
        <v>3745</v>
      </c>
      <c r="F896" t="s">
        <v>3273</v>
      </c>
      <c r="G896" t="s">
        <v>3347</v>
      </c>
      <c r="H896" t="s">
        <v>32</v>
      </c>
      <c r="I896" t="s">
        <v>2813</v>
      </c>
      <c r="J896">
        <v>83</v>
      </c>
      <c r="K896" t="s">
        <v>26</v>
      </c>
      <c r="L896" s="2">
        <v>44439</v>
      </c>
      <c r="M896" t="s">
        <v>184</v>
      </c>
      <c r="N896" t="s">
        <v>197</v>
      </c>
      <c r="O896">
        <v>10131</v>
      </c>
      <c r="P896" t="s">
        <v>21</v>
      </c>
      <c r="Q896" t="str">
        <f>TEXT(Data_Set_3[[#This Row],[date]],"mmmm")</f>
        <v>August</v>
      </c>
      <c r="R896">
        <f>MONTH(Data_Set_3[[#This Row],[date]])</f>
        <v>8</v>
      </c>
      <c r="S896">
        <f>YEAR(Data_Set_3[[#This Row],[date]])</f>
        <v>2021</v>
      </c>
    </row>
    <row r="897" spans="1:19" x14ac:dyDescent="0.3">
      <c r="A897">
        <v>1880</v>
      </c>
      <c r="B897" t="s">
        <v>304</v>
      </c>
      <c r="C897" t="s">
        <v>526</v>
      </c>
      <c r="D897" t="s">
        <v>2831</v>
      </c>
      <c r="E897" t="s">
        <v>2832</v>
      </c>
      <c r="F897" t="s">
        <v>1376</v>
      </c>
      <c r="G897" t="s">
        <v>2577</v>
      </c>
      <c r="H897" t="s">
        <v>32</v>
      </c>
      <c r="I897" t="s">
        <v>274</v>
      </c>
      <c r="J897">
        <v>308</v>
      </c>
      <c r="K897" t="s">
        <v>26</v>
      </c>
      <c r="L897" s="2">
        <v>44441</v>
      </c>
      <c r="M897" t="s">
        <v>246</v>
      </c>
      <c r="N897" t="s">
        <v>339</v>
      </c>
      <c r="O897">
        <v>60614</v>
      </c>
      <c r="P897" t="s">
        <v>21</v>
      </c>
      <c r="Q897" t="str">
        <f>TEXT(Data_Set_3[[#This Row],[date]],"mmmm")</f>
        <v>September</v>
      </c>
      <c r="R897">
        <f>MONTH(Data_Set_3[[#This Row],[date]])</f>
        <v>9</v>
      </c>
      <c r="S897">
        <f>YEAR(Data_Set_3[[#This Row],[date]])</f>
        <v>2021</v>
      </c>
    </row>
    <row r="898" spans="1:19" x14ac:dyDescent="0.3">
      <c r="A898">
        <v>1260</v>
      </c>
      <c r="B898" t="s">
        <v>417</v>
      </c>
      <c r="C898" t="s">
        <v>2904</v>
      </c>
      <c r="D898" t="s">
        <v>2905</v>
      </c>
      <c r="E898" t="s">
        <v>2906</v>
      </c>
      <c r="F898" t="s">
        <v>1777</v>
      </c>
      <c r="G898" t="s">
        <v>2571</v>
      </c>
      <c r="H898" t="s">
        <v>16</v>
      </c>
      <c r="I898" t="s">
        <v>543</v>
      </c>
      <c r="J898">
        <v>944</v>
      </c>
      <c r="K898" t="s">
        <v>26</v>
      </c>
      <c r="L898" s="2">
        <v>44442</v>
      </c>
      <c r="M898" t="s">
        <v>220</v>
      </c>
      <c r="N898" t="s">
        <v>2907</v>
      </c>
      <c r="O898">
        <v>99215</v>
      </c>
      <c r="P898" t="s">
        <v>21</v>
      </c>
      <c r="Q898" t="str">
        <f>TEXT(Data_Set_3[[#This Row],[date]],"mmmm")</f>
        <v>September</v>
      </c>
      <c r="R898">
        <f>MONTH(Data_Set_3[[#This Row],[date]])</f>
        <v>9</v>
      </c>
      <c r="S898">
        <f>YEAR(Data_Set_3[[#This Row],[date]])</f>
        <v>2021</v>
      </c>
    </row>
    <row r="899" spans="1:19" x14ac:dyDescent="0.3">
      <c r="A899">
        <v>1880</v>
      </c>
      <c r="B899" t="s">
        <v>304</v>
      </c>
      <c r="C899" t="s">
        <v>526</v>
      </c>
      <c r="D899" t="s">
        <v>2831</v>
      </c>
      <c r="E899" t="s">
        <v>2832</v>
      </c>
      <c r="F899" t="s">
        <v>1376</v>
      </c>
      <c r="G899" t="s">
        <v>2577</v>
      </c>
      <c r="H899" t="s">
        <v>32</v>
      </c>
      <c r="I899" t="s">
        <v>274</v>
      </c>
      <c r="J899">
        <v>608</v>
      </c>
      <c r="K899" t="s">
        <v>26</v>
      </c>
      <c r="L899" s="2">
        <v>44442</v>
      </c>
      <c r="M899" t="s">
        <v>246</v>
      </c>
      <c r="N899" t="s">
        <v>339</v>
      </c>
      <c r="O899">
        <v>60614</v>
      </c>
      <c r="P899" t="s">
        <v>21</v>
      </c>
      <c r="Q899" t="str">
        <f>TEXT(Data_Set_3[[#This Row],[date]],"mmmm")</f>
        <v>September</v>
      </c>
      <c r="R899">
        <f>MONTH(Data_Set_3[[#This Row],[date]])</f>
        <v>9</v>
      </c>
      <c r="S899">
        <f>YEAR(Data_Set_3[[#This Row],[date]])</f>
        <v>2021</v>
      </c>
    </row>
    <row r="900" spans="1:19" x14ac:dyDescent="0.3">
      <c r="A900">
        <v>1017</v>
      </c>
      <c r="B900" t="s">
        <v>803</v>
      </c>
      <c r="C900" t="s">
        <v>3048</v>
      </c>
      <c r="D900" t="s">
        <v>3049</v>
      </c>
      <c r="E900" t="s">
        <v>3050</v>
      </c>
      <c r="F900" t="s">
        <v>1306</v>
      </c>
      <c r="G900" t="s">
        <v>1845</v>
      </c>
      <c r="H900" t="s">
        <v>32</v>
      </c>
      <c r="I900" t="s">
        <v>17</v>
      </c>
      <c r="J900">
        <v>692</v>
      </c>
      <c r="K900" t="s">
        <v>26</v>
      </c>
      <c r="L900" s="2">
        <v>44443</v>
      </c>
      <c r="M900" t="s">
        <v>246</v>
      </c>
      <c r="N900" t="s">
        <v>339</v>
      </c>
      <c r="O900">
        <v>60663</v>
      </c>
      <c r="P900" t="s">
        <v>21</v>
      </c>
      <c r="Q900" t="str">
        <f>TEXT(Data_Set_3[[#This Row],[date]],"mmmm")</f>
        <v>September</v>
      </c>
      <c r="R900">
        <f>MONTH(Data_Set_3[[#This Row],[date]])</f>
        <v>9</v>
      </c>
      <c r="S900">
        <f>YEAR(Data_Set_3[[#This Row],[date]])</f>
        <v>2021</v>
      </c>
    </row>
    <row r="901" spans="1:19" x14ac:dyDescent="0.3">
      <c r="A901">
        <v>1039</v>
      </c>
      <c r="B901" t="s">
        <v>1245</v>
      </c>
      <c r="C901" t="s">
        <v>883</v>
      </c>
      <c r="D901" t="s">
        <v>3128</v>
      </c>
      <c r="E901" t="s">
        <v>3129</v>
      </c>
      <c r="F901" t="s">
        <v>1901</v>
      </c>
      <c r="G901" t="s">
        <v>2508</v>
      </c>
      <c r="H901" t="s">
        <v>16</v>
      </c>
      <c r="I901" t="s">
        <v>17</v>
      </c>
      <c r="J901">
        <v>70</v>
      </c>
      <c r="K901" t="s">
        <v>57</v>
      </c>
      <c r="L901" s="2">
        <v>44444</v>
      </c>
      <c r="M901" t="s">
        <v>41</v>
      </c>
      <c r="N901" t="s">
        <v>42</v>
      </c>
      <c r="O901">
        <v>40298</v>
      </c>
      <c r="P901" t="s">
        <v>21</v>
      </c>
      <c r="Q901" t="str">
        <f>TEXT(Data_Set_3[[#This Row],[date]],"mmmm")</f>
        <v>September</v>
      </c>
      <c r="R901">
        <f>MONTH(Data_Set_3[[#This Row],[date]])</f>
        <v>9</v>
      </c>
      <c r="S901">
        <f>YEAR(Data_Set_3[[#This Row],[date]])</f>
        <v>2021</v>
      </c>
    </row>
    <row r="902" spans="1:19" x14ac:dyDescent="0.3">
      <c r="A902">
        <v>1413</v>
      </c>
      <c r="B902" t="s">
        <v>166</v>
      </c>
      <c r="C902" t="s">
        <v>414</v>
      </c>
      <c r="D902" t="s">
        <v>3570</v>
      </c>
      <c r="E902" t="s">
        <v>3571</v>
      </c>
      <c r="F902" t="s">
        <v>1376</v>
      </c>
      <c r="G902" t="s">
        <v>2219</v>
      </c>
      <c r="H902" t="s">
        <v>32</v>
      </c>
      <c r="I902" t="s">
        <v>151</v>
      </c>
      <c r="J902">
        <v>493</v>
      </c>
      <c r="K902" t="s">
        <v>95</v>
      </c>
      <c r="L902" s="2">
        <v>44444</v>
      </c>
      <c r="M902" t="s">
        <v>96</v>
      </c>
      <c r="N902" t="s">
        <v>329</v>
      </c>
      <c r="O902">
        <v>47737</v>
      </c>
      <c r="P902" t="s">
        <v>21</v>
      </c>
      <c r="Q902" t="str">
        <f>TEXT(Data_Set_3[[#This Row],[date]],"mmmm")</f>
        <v>September</v>
      </c>
      <c r="R902">
        <f>MONTH(Data_Set_3[[#This Row],[date]])</f>
        <v>9</v>
      </c>
      <c r="S902">
        <f>YEAR(Data_Set_3[[#This Row],[date]])</f>
        <v>2021</v>
      </c>
    </row>
    <row r="903" spans="1:19" x14ac:dyDescent="0.3">
      <c r="A903">
        <v>1461</v>
      </c>
      <c r="B903" t="s">
        <v>417</v>
      </c>
      <c r="C903" t="s">
        <v>833</v>
      </c>
      <c r="D903" t="s">
        <v>3746</v>
      </c>
      <c r="E903" t="s">
        <v>3747</v>
      </c>
      <c r="F903" t="s">
        <v>3135</v>
      </c>
      <c r="G903" t="s">
        <v>2416</v>
      </c>
      <c r="H903" t="s">
        <v>16</v>
      </c>
      <c r="I903" t="s">
        <v>179</v>
      </c>
      <c r="J903">
        <v>516</v>
      </c>
      <c r="K903" t="s">
        <v>26</v>
      </c>
      <c r="L903" s="2">
        <v>44444</v>
      </c>
      <c r="M903" t="s">
        <v>68</v>
      </c>
      <c r="N903" t="s">
        <v>3748</v>
      </c>
      <c r="O903">
        <v>77388</v>
      </c>
      <c r="P903" t="s">
        <v>21</v>
      </c>
      <c r="Q903" t="str">
        <f>TEXT(Data_Set_3[[#This Row],[date]],"mmmm")</f>
        <v>September</v>
      </c>
      <c r="R903">
        <f>MONTH(Data_Set_3[[#This Row],[date]])</f>
        <v>9</v>
      </c>
      <c r="S903">
        <f>YEAR(Data_Set_3[[#This Row],[date]])</f>
        <v>2021</v>
      </c>
    </row>
    <row r="904" spans="1:19" x14ac:dyDescent="0.3">
      <c r="A904">
        <v>1020</v>
      </c>
      <c r="B904" t="s">
        <v>122</v>
      </c>
      <c r="C904" t="s">
        <v>954</v>
      </c>
      <c r="D904" t="s">
        <v>2888</v>
      </c>
      <c r="E904" t="s">
        <v>2889</v>
      </c>
      <c r="F904" t="s">
        <v>1998</v>
      </c>
      <c r="G904" t="s">
        <v>1926</v>
      </c>
      <c r="H904" t="s">
        <v>32</v>
      </c>
      <c r="I904" t="s">
        <v>17</v>
      </c>
      <c r="J904">
        <v>823</v>
      </c>
      <c r="K904" t="s">
        <v>26</v>
      </c>
      <c r="L904" s="2">
        <v>44445</v>
      </c>
      <c r="M904" t="s">
        <v>35</v>
      </c>
      <c r="N904" t="s">
        <v>620</v>
      </c>
      <c r="O904">
        <v>94105</v>
      </c>
      <c r="P904" t="s">
        <v>21</v>
      </c>
      <c r="Q904" t="str">
        <f>TEXT(Data_Set_3[[#This Row],[date]],"mmmm")</f>
        <v>September</v>
      </c>
      <c r="R904">
        <f>MONTH(Data_Set_3[[#This Row],[date]])</f>
        <v>9</v>
      </c>
      <c r="S904">
        <f>YEAR(Data_Set_3[[#This Row],[date]])</f>
        <v>2021</v>
      </c>
    </row>
    <row r="905" spans="1:19" x14ac:dyDescent="0.3">
      <c r="A905">
        <v>1696</v>
      </c>
      <c r="B905" t="s">
        <v>420</v>
      </c>
      <c r="C905" t="s">
        <v>427</v>
      </c>
      <c r="D905" t="s">
        <v>3749</v>
      </c>
      <c r="E905" t="s">
        <v>3750</v>
      </c>
      <c r="F905" t="s">
        <v>3548</v>
      </c>
      <c r="G905" t="s">
        <v>2606</v>
      </c>
      <c r="H905" t="s">
        <v>16</v>
      </c>
      <c r="I905" t="s">
        <v>17</v>
      </c>
      <c r="J905">
        <v>931</v>
      </c>
      <c r="K905" t="s">
        <v>26</v>
      </c>
      <c r="L905" s="2">
        <v>44445</v>
      </c>
      <c r="M905" t="s">
        <v>152</v>
      </c>
      <c r="N905" t="s">
        <v>3180</v>
      </c>
      <c r="O905">
        <v>45203</v>
      </c>
      <c r="P905" t="s">
        <v>21</v>
      </c>
      <c r="Q905" t="str">
        <f>TEXT(Data_Set_3[[#This Row],[date]],"mmmm")</f>
        <v>September</v>
      </c>
      <c r="R905">
        <f>MONTH(Data_Set_3[[#This Row],[date]])</f>
        <v>9</v>
      </c>
      <c r="S905">
        <f>YEAR(Data_Set_3[[#This Row],[date]])</f>
        <v>2021</v>
      </c>
    </row>
    <row r="906" spans="1:19" x14ac:dyDescent="0.3">
      <c r="A906">
        <v>1775</v>
      </c>
      <c r="B906" t="s">
        <v>809</v>
      </c>
      <c r="C906" t="s">
        <v>820</v>
      </c>
      <c r="D906" t="s">
        <v>3751</v>
      </c>
      <c r="E906" t="s">
        <v>3752</v>
      </c>
      <c r="F906" t="s">
        <v>1874</v>
      </c>
      <c r="G906" t="s">
        <v>2188</v>
      </c>
      <c r="H906" t="s">
        <v>16</v>
      </c>
      <c r="I906" t="s">
        <v>25</v>
      </c>
      <c r="J906">
        <v>770</v>
      </c>
      <c r="K906" t="s">
        <v>57</v>
      </c>
      <c r="L906" s="2">
        <v>44445</v>
      </c>
      <c r="M906" t="s">
        <v>35</v>
      </c>
      <c r="N906" t="s">
        <v>620</v>
      </c>
      <c r="O906">
        <v>94110</v>
      </c>
      <c r="P906" t="s">
        <v>21</v>
      </c>
      <c r="Q906" t="str">
        <f>TEXT(Data_Set_3[[#This Row],[date]],"mmmm")</f>
        <v>September</v>
      </c>
      <c r="R906">
        <f>MONTH(Data_Set_3[[#This Row],[date]])</f>
        <v>9</v>
      </c>
      <c r="S906">
        <f>YEAR(Data_Set_3[[#This Row],[date]])</f>
        <v>2021</v>
      </c>
    </row>
    <row r="907" spans="1:19" x14ac:dyDescent="0.3">
      <c r="A907">
        <v>1631</v>
      </c>
      <c r="B907" t="s">
        <v>630</v>
      </c>
      <c r="C907" t="s">
        <v>357</v>
      </c>
      <c r="D907" t="s">
        <v>3753</v>
      </c>
      <c r="E907" t="s">
        <v>3754</v>
      </c>
      <c r="F907" t="s">
        <v>1406</v>
      </c>
      <c r="G907" t="s">
        <v>2697</v>
      </c>
      <c r="H907" t="s">
        <v>32</v>
      </c>
      <c r="I907" t="s">
        <v>17</v>
      </c>
      <c r="J907">
        <v>857</v>
      </c>
      <c r="K907" t="s">
        <v>225</v>
      </c>
      <c r="L907" s="2">
        <v>44446</v>
      </c>
      <c r="M907" t="s">
        <v>287</v>
      </c>
      <c r="N907" t="s">
        <v>3755</v>
      </c>
      <c r="O907">
        <v>85260</v>
      </c>
      <c r="P907" t="s">
        <v>21</v>
      </c>
      <c r="Q907" t="str">
        <f>TEXT(Data_Set_3[[#This Row],[date]],"mmmm")</f>
        <v>September</v>
      </c>
      <c r="R907">
        <f>MONTH(Data_Set_3[[#This Row],[date]])</f>
        <v>9</v>
      </c>
      <c r="S907">
        <f>YEAR(Data_Set_3[[#This Row],[date]])</f>
        <v>2021</v>
      </c>
    </row>
    <row r="908" spans="1:19" x14ac:dyDescent="0.3">
      <c r="A908">
        <v>1026</v>
      </c>
      <c r="B908" t="s">
        <v>844</v>
      </c>
      <c r="C908" t="s">
        <v>671</v>
      </c>
      <c r="D908" t="s">
        <v>2814</v>
      </c>
      <c r="E908" t="s">
        <v>2815</v>
      </c>
      <c r="F908" t="s">
        <v>2816</v>
      </c>
      <c r="G908" t="s">
        <v>2554</v>
      </c>
      <c r="H908" t="s">
        <v>32</v>
      </c>
      <c r="I908" t="s">
        <v>17</v>
      </c>
      <c r="J908">
        <v>448</v>
      </c>
      <c r="K908" t="s">
        <v>26</v>
      </c>
      <c r="L908" s="2">
        <v>44447</v>
      </c>
      <c r="M908" t="s">
        <v>184</v>
      </c>
      <c r="N908" t="s">
        <v>185</v>
      </c>
      <c r="O908">
        <v>10469</v>
      </c>
      <c r="P908" t="s">
        <v>21</v>
      </c>
      <c r="Q908" t="str">
        <f>TEXT(Data_Set_3[[#This Row],[date]],"mmmm")</f>
        <v>September</v>
      </c>
      <c r="R908">
        <f>MONTH(Data_Set_3[[#This Row],[date]])</f>
        <v>9</v>
      </c>
      <c r="S908">
        <f>YEAR(Data_Set_3[[#This Row],[date]])</f>
        <v>2021</v>
      </c>
    </row>
    <row r="909" spans="1:19" x14ac:dyDescent="0.3">
      <c r="A909">
        <v>1116</v>
      </c>
      <c r="B909" t="s">
        <v>135</v>
      </c>
      <c r="C909" t="s">
        <v>2803</v>
      </c>
      <c r="D909" t="s">
        <v>2804</v>
      </c>
      <c r="E909" t="s">
        <v>2805</v>
      </c>
      <c r="F909" t="s">
        <v>1770</v>
      </c>
      <c r="G909" t="s">
        <v>2110</v>
      </c>
      <c r="H909" t="s">
        <v>32</v>
      </c>
      <c r="I909" t="s">
        <v>51</v>
      </c>
      <c r="J909">
        <v>910</v>
      </c>
      <c r="K909" t="s">
        <v>95</v>
      </c>
      <c r="L909" s="2">
        <v>44447</v>
      </c>
      <c r="M909" t="s">
        <v>74</v>
      </c>
      <c r="N909" t="s">
        <v>400</v>
      </c>
      <c r="O909">
        <v>30096</v>
      </c>
      <c r="P909" t="s">
        <v>21</v>
      </c>
      <c r="Q909" t="str">
        <f>TEXT(Data_Set_3[[#This Row],[date]],"mmmm")</f>
        <v>September</v>
      </c>
      <c r="R909">
        <f>MONTH(Data_Set_3[[#This Row],[date]])</f>
        <v>9</v>
      </c>
      <c r="S909">
        <f>YEAR(Data_Set_3[[#This Row],[date]])</f>
        <v>2021</v>
      </c>
    </row>
    <row r="910" spans="1:19" x14ac:dyDescent="0.3">
      <c r="A910">
        <v>1726</v>
      </c>
      <c r="B910" t="s">
        <v>1024</v>
      </c>
      <c r="C910" t="s">
        <v>674</v>
      </c>
      <c r="D910" t="s">
        <v>3756</v>
      </c>
      <c r="E910" t="s">
        <v>3757</v>
      </c>
      <c r="F910" t="s">
        <v>1939</v>
      </c>
      <c r="G910" t="s">
        <v>1812</v>
      </c>
      <c r="H910" t="s">
        <v>16</v>
      </c>
      <c r="I910" t="s">
        <v>553</v>
      </c>
      <c r="J910">
        <v>648</v>
      </c>
      <c r="K910" t="s">
        <v>62</v>
      </c>
      <c r="L910" s="2">
        <v>44448</v>
      </c>
      <c r="M910" t="s">
        <v>115</v>
      </c>
      <c r="N910" t="s">
        <v>3758</v>
      </c>
      <c r="O910">
        <v>33906</v>
      </c>
      <c r="P910" t="s">
        <v>21</v>
      </c>
      <c r="Q910" t="str">
        <f>TEXT(Data_Set_3[[#This Row],[date]],"mmmm")</f>
        <v>September</v>
      </c>
      <c r="R910">
        <f>MONTH(Data_Set_3[[#This Row],[date]])</f>
        <v>9</v>
      </c>
      <c r="S910">
        <f>YEAR(Data_Set_3[[#This Row],[date]])</f>
        <v>2021</v>
      </c>
    </row>
    <row r="911" spans="1:19" x14ac:dyDescent="0.3">
      <c r="A911">
        <v>1805</v>
      </c>
      <c r="B911" t="s">
        <v>680</v>
      </c>
      <c r="C911" t="s">
        <v>363</v>
      </c>
      <c r="D911" t="s">
        <v>3759</v>
      </c>
      <c r="E911" t="s">
        <v>3760</v>
      </c>
      <c r="F911" t="s">
        <v>3761</v>
      </c>
      <c r="G911" t="s">
        <v>2627</v>
      </c>
      <c r="H911" t="s">
        <v>16</v>
      </c>
      <c r="I911" t="s">
        <v>2813</v>
      </c>
      <c r="J911">
        <v>530</v>
      </c>
      <c r="K911" t="s">
        <v>225</v>
      </c>
      <c r="L911" s="2">
        <v>44449</v>
      </c>
      <c r="M911" t="s">
        <v>133</v>
      </c>
      <c r="N911" t="s">
        <v>134</v>
      </c>
      <c r="O911">
        <v>96845</v>
      </c>
      <c r="P911" t="s">
        <v>21</v>
      </c>
      <c r="Q911" t="str">
        <f>TEXT(Data_Set_3[[#This Row],[date]],"mmmm")</f>
        <v>September</v>
      </c>
      <c r="R911">
        <f>MONTH(Data_Set_3[[#This Row],[date]])</f>
        <v>9</v>
      </c>
      <c r="S911">
        <f>YEAR(Data_Set_3[[#This Row],[date]])</f>
        <v>2021</v>
      </c>
    </row>
    <row r="912" spans="1:19" x14ac:dyDescent="0.3">
      <c r="A912">
        <v>1365</v>
      </c>
      <c r="B912" t="s">
        <v>1183</v>
      </c>
      <c r="C912" t="s">
        <v>813</v>
      </c>
      <c r="D912" t="s">
        <v>2957</v>
      </c>
      <c r="E912" t="s">
        <v>2958</v>
      </c>
      <c r="F912" t="s">
        <v>1644</v>
      </c>
      <c r="G912" t="s">
        <v>2061</v>
      </c>
      <c r="H912" t="s">
        <v>16</v>
      </c>
      <c r="I912" t="s">
        <v>51</v>
      </c>
      <c r="J912">
        <v>416</v>
      </c>
      <c r="K912" t="s">
        <v>62</v>
      </c>
      <c r="L912" s="2">
        <v>44450</v>
      </c>
      <c r="M912" t="s">
        <v>115</v>
      </c>
      <c r="N912" t="s">
        <v>143</v>
      </c>
      <c r="O912">
        <v>33261</v>
      </c>
      <c r="P912" t="s">
        <v>21</v>
      </c>
      <c r="Q912" t="str">
        <f>TEXT(Data_Set_3[[#This Row],[date]],"mmmm")</f>
        <v>September</v>
      </c>
      <c r="R912">
        <f>MONTH(Data_Set_3[[#This Row],[date]])</f>
        <v>9</v>
      </c>
      <c r="S912">
        <f>YEAR(Data_Set_3[[#This Row],[date]])</f>
        <v>2021</v>
      </c>
    </row>
    <row r="913" spans="1:19" x14ac:dyDescent="0.3">
      <c r="A913">
        <v>1744</v>
      </c>
      <c r="B913" t="s">
        <v>1245</v>
      </c>
      <c r="C913" t="s">
        <v>993</v>
      </c>
      <c r="D913" t="s">
        <v>3762</v>
      </c>
      <c r="E913" t="s">
        <v>3763</v>
      </c>
      <c r="F913" t="s">
        <v>1376</v>
      </c>
      <c r="G913" t="s">
        <v>1728</v>
      </c>
      <c r="H913" t="s">
        <v>16</v>
      </c>
      <c r="I913" t="s">
        <v>543</v>
      </c>
      <c r="J913">
        <v>767</v>
      </c>
      <c r="K913" t="s">
        <v>26</v>
      </c>
      <c r="L913" s="2">
        <v>44451</v>
      </c>
      <c r="M913" t="s">
        <v>204</v>
      </c>
      <c r="N913" t="s">
        <v>1135</v>
      </c>
      <c r="O913">
        <v>23663</v>
      </c>
      <c r="P913" t="s">
        <v>21</v>
      </c>
      <c r="Q913" t="str">
        <f>TEXT(Data_Set_3[[#This Row],[date]],"mmmm")</f>
        <v>September</v>
      </c>
      <c r="R913">
        <f>MONTH(Data_Set_3[[#This Row],[date]])</f>
        <v>9</v>
      </c>
      <c r="S913">
        <f>YEAR(Data_Set_3[[#This Row],[date]])</f>
        <v>2021</v>
      </c>
    </row>
    <row r="914" spans="1:19" x14ac:dyDescent="0.3">
      <c r="A914">
        <v>1435</v>
      </c>
      <c r="B914" t="s">
        <v>80</v>
      </c>
      <c r="C914" t="s">
        <v>1045</v>
      </c>
      <c r="D914" t="s">
        <v>2851</v>
      </c>
      <c r="E914" t="s">
        <v>2852</v>
      </c>
      <c r="F914" t="s">
        <v>1853</v>
      </c>
      <c r="G914" t="s">
        <v>2697</v>
      </c>
      <c r="H914" t="s">
        <v>16</v>
      </c>
      <c r="I914" t="s">
        <v>25</v>
      </c>
      <c r="J914">
        <v>803</v>
      </c>
      <c r="K914" t="s">
        <v>83</v>
      </c>
      <c r="L914" s="2">
        <v>44455</v>
      </c>
      <c r="M914" t="s">
        <v>110</v>
      </c>
      <c r="N914" t="s">
        <v>1150</v>
      </c>
      <c r="O914">
        <v>19605</v>
      </c>
      <c r="P914" t="s">
        <v>21</v>
      </c>
      <c r="Q914" t="str">
        <f>TEXT(Data_Set_3[[#This Row],[date]],"mmmm")</f>
        <v>September</v>
      </c>
      <c r="R914">
        <f>MONTH(Data_Set_3[[#This Row],[date]])</f>
        <v>9</v>
      </c>
      <c r="S914">
        <f>YEAR(Data_Set_3[[#This Row],[date]])</f>
        <v>2021</v>
      </c>
    </row>
    <row r="915" spans="1:19" x14ac:dyDescent="0.3">
      <c r="A915">
        <v>1081</v>
      </c>
      <c r="B915" t="s">
        <v>29</v>
      </c>
      <c r="C915" t="s">
        <v>906</v>
      </c>
      <c r="D915" t="s">
        <v>2980</v>
      </c>
      <c r="E915" t="s">
        <v>2981</v>
      </c>
      <c r="F915" t="s">
        <v>2342</v>
      </c>
      <c r="G915" t="s">
        <v>2286</v>
      </c>
      <c r="H915" t="s">
        <v>32</v>
      </c>
      <c r="I915" t="s">
        <v>51</v>
      </c>
      <c r="J915">
        <v>962</v>
      </c>
      <c r="K915" t="s">
        <v>18</v>
      </c>
      <c r="L915" s="2">
        <v>44456</v>
      </c>
      <c r="M915" t="s">
        <v>152</v>
      </c>
      <c r="N915" t="s">
        <v>484</v>
      </c>
      <c r="O915">
        <v>45426</v>
      </c>
      <c r="P915" t="s">
        <v>21</v>
      </c>
      <c r="Q915" t="str">
        <f>TEXT(Data_Set_3[[#This Row],[date]],"mmmm")</f>
        <v>September</v>
      </c>
      <c r="R915">
        <f>MONTH(Data_Set_3[[#This Row],[date]])</f>
        <v>9</v>
      </c>
      <c r="S915">
        <f>YEAR(Data_Set_3[[#This Row],[date]])</f>
        <v>2021</v>
      </c>
    </row>
    <row r="916" spans="1:19" x14ac:dyDescent="0.3">
      <c r="A916">
        <v>1170</v>
      </c>
      <c r="B916" t="s">
        <v>22</v>
      </c>
      <c r="C916" t="s">
        <v>883</v>
      </c>
      <c r="D916" t="s">
        <v>2837</v>
      </c>
      <c r="E916" t="s">
        <v>2838</v>
      </c>
      <c r="F916" t="s">
        <v>2430</v>
      </c>
      <c r="G916" t="s">
        <v>1333</v>
      </c>
      <c r="H916" t="s">
        <v>16</v>
      </c>
      <c r="I916" t="s">
        <v>33</v>
      </c>
      <c r="J916">
        <v>584</v>
      </c>
      <c r="K916" t="s">
        <v>164</v>
      </c>
      <c r="L916" s="2">
        <v>44458</v>
      </c>
      <c r="M916" t="s">
        <v>68</v>
      </c>
      <c r="N916" t="s">
        <v>169</v>
      </c>
      <c r="O916">
        <v>88574</v>
      </c>
      <c r="P916" t="s">
        <v>21</v>
      </c>
      <c r="Q916" t="str">
        <f>TEXT(Data_Set_3[[#This Row],[date]],"mmmm")</f>
        <v>September</v>
      </c>
      <c r="R916">
        <f>MONTH(Data_Set_3[[#This Row],[date]])</f>
        <v>9</v>
      </c>
      <c r="S916">
        <f>YEAR(Data_Set_3[[#This Row],[date]])</f>
        <v>2021</v>
      </c>
    </row>
    <row r="917" spans="1:19" x14ac:dyDescent="0.3">
      <c r="A917">
        <v>1936</v>
      </c>
      <c r="B917" t="s">
        <v>706</v>
      </c>
      <c r="C917" t="s">
        <v>1017</v>
      </c>
      <c r="D917" t="s">
        <v>3764</v>
      </c>
      <c r="E917" t="s">
        <v>3765</v>
      </c>
      <c r="F917" t="s">
        <v>1515</v>
      </c>
      <c r="G917" t="s">
        <v>2102</v>
      </c>
      <c r="H917" t="s">
        <v>32</v>
      </c>
      <c r="I917" t="s">
        <v>51</v>
      </c>
      <c r="J917">
        <v>636</v>
      </c>
      <c r="K917" t="s">
        <v>73</v>
      </c>
      <c r="L917" s="2">
        <v>44460</v>
      </c>
      <c r="M917" t="s">
        <v>68</v>
      </c>
      <c r="N917" t="s">
        <v>226</v>
      </c>
      <c r="O917">
        <v>76796</v>
      </c>
      <c r="P917" t="s">
        <v>21</v>
      </c>
      <c r="Q917" t="str">
        <f>TEXT(Data_Set_3[[#This Row],[date]],"mmmm")</f>
        <v>September</v>
      </c>
      <c r="R917">
        <f>MONTH(Data_Set_3[[#This Row],[date]])</f>
        <v>9</v>
      </c>
      <c r="S917">
        <f>YEAR(Data_Set_3[[#This Row],[date]])</f>
        <v>2021</v>
      </c>
    </row>
    <row r="918" spans="1:19" x14ac:dyDescent="0.3">
      <c r="A918">
        <v>1680</v>
      </c>
      <c r="B918" t="s">
        <v>3766</v>
      </c>
      <c r="C918" t="s">
        <v>2822</v>
      </c>
      <c r="D918" t="s">
        <v>3767</v>
      </c>
      <c r="E918" t="s">
        <v>3768</v>
      </c>
      <c r="F918" t="s">
        <v>2281</v>
      </c>
      <c r="G918" t="s">
        <v>2384</v>
      </c>
      <c r="H918" t="s">
        <v>16</v>
      </c>
      <c r="I918" t="s">
        <v>17</v>
      </c>
      <c r="J918">
        <v>362</v>
      </c>
      <c r="K918" t="s">
        <v>26</v>
      </c>
      <c r="L918" s="2">
        <v>44461</v>
      </c>
      <c r="M918" t="s">
        <v>254</v>
      </c>
      <c r="N918" t="s">
        <v>3769</v>
      </c>
      <c r="O918">
        <v>51110</v>
      </c>
      <c r="P918" t="s">
        <v>21</v>
      </c>
      <c r="Q918" t="str">
        <f>TEXT(Data_Set_3[[#This Row],[date]],"mmmm")</f>
        <v>September</v>
      </c>
      <c r="R918">
        <f>MONTH(Data_Set_3[[#This Row],[date]])</f>
        <v>9</v>
      </c>
      <c r="S918">
        <f>YEAR(Data_Set_3[[#This Row],[date]])</f>
        <v>2021</v>
      </c>
    </row>
    <row r="919" spans="1:19" x14ac:dyDescent="0.3">
      <c r="A919">
        <v>1298</v>
      </c>
      <c r="B919" t="s">
        <v>595</v>
      </c>
      <c r="C919" t="s">
        <v>293</v>
      </c>
      <c r="D919" t="s">
        <v>2900</v>
      </c>
      <c r="E919" t="s">
        <v>2901</v>
      </c>
      <c r="F919" t="s">
        <v>1539</v>
      </c>
      <c r="G919" t="s">
        <v>1952</v>
      </c>
      <c r="H919" t="s">
        <v>32</v>
      </c>
      <c r="I919" t="s">
        <v>543</v>
      </c>
      <c r="J919">
        <v>37</v>
      </c>
      <c r="K919" t="s">
        <v>73</v>
      </c>
      <c r="L919" s="2">
        <v>44462</v>
      </c>
      <c r="M919" t="s">
        <v>115</v>
      </c>
      <c r="N919" t="s">
        <v>351</v>
      </c>
      <c r="O919">
        <v>32891</v>
      </c>
      <c r="P919" t="s">
        <v>21</v>
      </c>
      <c r="Q919" t="str">
        <f>TEXT(Data_Set_3[[#This Row],[date]],"mmmm")</f>
        <v>September</v>
      </c>
      <c r="R919">
        <f>MONTH(Data_Set_3[[#This Row],[date]])</f>
        <v>9</v>
      </c>
      <c r="S919">
        <f>YEAR(Data_Set_3[[#This Row],[date]])</f>
        <v>2021</v>
      </c>
    </row>
    <row r="920" spans="1:19" x14ac:dyDescent="0.3">
      <c r="A920">
        <v>1435</v>
      </c>
      <c r="B920" t="s">
        <v>80</v>
      </c>
      <c r="C920" t="s">
        <v>1045</v>
      </c>
      <c r="D920" t="s">
        <v>2851</v>
      </c>
      <c r="E920" t="s">
        <v>2852</v>
      </c>
      <c r="F920" t="s">
        <v>1853</v>
      </c>
      <c r="G920" t="s">
        <v>2697</v>
      </c>
      <c r="H920" t="s">
        <v>16</v>
      </c>
      <c r="I920" t="s">
        <v>25</v>
      </c>
      <c r="J920">
        <v>745</v>
      </c>
      <c r="K920" t="s">
        <v>83</v>
      </c>
      <c r="L920" s="2">
        <v>44462</v>
      </c>
      <c r="M920" t="s">
        <v>110</v>
      </c>
      <c r="N920" t="s">
        <v>1150</v>
      </c>
      <c r="O920">
        <v>19605</v>
      </c>
      <c r="P920" t="s">
        <v>21</v>
      </c>
      <c r="Q920" t="str">
        <f>TEXT(Data_Set_3[[#This Row],[date]],"mmmm")</f>
        <v>September</v>
      </c>
      <c r="R920">
        <f>MONTH(Data_Set_3[[#This Row],[date]])</f>
        <v>9</v>
      </c>
      <c r="S920">
        <f>YEAR(Data_Set_3[[#This Row],[date]])</f>
        <v>2021</v>
      </c>
    </row>
    <row r="921" spans="1:19" x14ac:dyDescent="0.3">
      <c r="A921">
        <v>1020</v>
      </c>
      <c r="B921" t="s">
        <v>122</v>
      </c>
      <c r="C921" t="s">
        <v>954</v>
      </c>
      <c r="D921" t="s">
        <v>2888</v>
      </c>
      <c r="E921" t="s">
        <v>2889</v>
      </c>
      <c r="F921" t="s">
        <v>1998</v>
      </c>
      <c r="G921" t="s">
        <v>1926</v>
      </c>
      <c r="H921" t="s">
        <v>32</v>
      </c>
      <c r="I921" t="s">
        <v>17</v>
      </c>
      <c r="J921">
        <v>377</v>
      </c>
      <c r="K921" t="s">
        <v>26</v>
      </c>
      <c r="L921" s="2">
        <v>44464</v>
      </c>
      <c r="M921" t="s">
        <v>35</v>
      </c>
      <c r="N921" t="s">
        <v>620</v>
      </c>
      <c r="O921">
        <v>94105</v>
      </c>
      <c r="P921" t="s">
        <v>21</v>
      </c>
      <c r="Q921" t="str">
        <f>TEXT(Data_Set_3[[#This Row],[date]],"mmmm")</f>
        <v>September</v>
      </c>
      <c r="R921">
        <f>MONTH(Data_Set_3[[#This Row],[date]])</f>
        <v>9</v>
      </c>
      <c r="S921">
        <f>YEAR(Data_Set_3[[#This Row],[date]])</f>
        <v>2021</v>
      </c>
    </row>
    <row r="922" spans="1:19" x14ac:dyDescent="0.3">
      <c r="A922">
        <v>1992</v>
      </c>
      <c r="B922" t="s">
        <v>630</v>
      </c>
      <c r="C922" t="s">
        <v>3068</v>
      </c>
      <c r="D922" t="s">
        <v>3069</v>
      </c>
      <c r="E922" t="s">
        <v>3070</v>
      </c>
      <c r="F922" t="s">
        <v>1993</v>
      </c>
      <c r="G922" t="s">
        <v>2735</v>
      </c>
      <c r="H922" t="s">
        <v>32</v>
      </c>
      <c r="I922" t="s">
        <v>33</v>
      </c>
      <c r="J922">
        <v>406</v>
      </c>
      <c r="K922" t="s">
        <v>26</v>
      </c>
      <c r="L922" s="2">
        <v>44466</v>
      </c>
      <c r="M922" t="s">
        <v>96</v>
      </c>
      <c r="N922" t="s">
        <v>3071</v>
      </c>
      <c r="O922">
        <v>47306</v>
      </c>
      <c r="P922" t="s">
        <v>21</v>
      </c>
      <c r="Q922" t="str">
        <f>TEXT(Data_Set_3[[#This Row],[date]],"mmmm")</f>
        <v>September</v>
      </c>
      <c r="R922">
        <f>MONTH(Data_Set_3[[#This Row],[date]])</f>
        <v>9</v>
      </c>
      <c r="S922">
        <f>YEAR(Data_Set_3[[#This Row],[date]])</f>
        <v>2021</v>
      </c>
    </row>
    <row r="923" spans="1:19" x14ac:dyDescent="0.3">
      <c r="A923">
        <v>1435</v>
      </c>
      <c r="B923" t="s">
        <v>80</v>
      </c>
      <c r="C923" t="s">
        <v>1045</v>
      </c>
      <c r="D923" t="s">
        <v>2851</v>
      </c>
      <c r="E923" t="s">
        <v>2852</v>
      </c>
      <c r="F923" t="s">
        <v>1853</v>
      </c>
      <c r="G923" t="s">
        <v>2697</v>
      </c>
      <c r="H923" t="s">
        <v>16</v>
      </c>
      <c r="I923" t="s">
        <v>25</v>
      </c>
      <c r="J923">
        <v>666</v>
      </c>
      <c r="K923" t="s">
        <v>83</v>
      </c>
      <c r="L923" s="2">
        <v>44469</v>
      </c>
      <c r="M923" t="s">
        <v>110</v>
      </c>
      <c r="N923" t="s">
        <v>1150</v>
      </c>
      <c r="O923">
        <v>19605</v>
      </c>
      <c r="P923" t="s">
        <v>21</v>
      </c>
      <c r="Q923" t="str">
        <f>TEXT(Data_Set_3[[#This Row],[date]],"mmmm")</f>
        <v>September</v>
      </c>
      <c r="R923">
        <f>MONTH(Data_Set_3[[#This Row],[date]])</f>
        <v>9</v>
      </c>
      <c r="S923">
        <f>YEAR(Data_Set_3[[#This Row],[date]])</f>
        <v>2021</v>
      </c>
    </row>
    <row r="924" spans="1:19" x14ac:dyDescent="0.3">
      <c r="A924">
        <v>1766</v>
      </c>
      <c r="B924" t="s">
        <v>3278</v>
      </c>
      <c r="C924" t="s">
        <v>69</v>
      </c>
      <c r="D924" t="s">
        <v>3770</v>
      </c>
      <c r="E924" t="s">
        <v>3771</v>
      </c>
      <c r="F924" t="s">
        <v>2119</v>
      </c>
      <c r="G924" t="s">
        <v>2725</v>
      </c>
      <c r="H924" t="s">
        <v>16</v>
      </c>
      <c r="I924" t="s">
        <v>25</v>
      </c>
      <c r="J924">
        <v>935</v>
      </c>
      <c r="K924" t="s">
        <v>34</v>
      </c>
      <c r="L924" s="2">
        <v>44470</v>
      </c>
      <c r="M924" t="s">
        <v>35</v>
      </c>
      <c r="N924" t="s">
        <v>3772</v>
      </c>
      <c r="O924">
        <v>91913</v>
      </c>
      <c r="P924" t="s">
        <v>21</v>
      </c>
      <c r="Q924" t="str">
        <f>TEXT(Data_Set_3[[#This Row],[date]],"mmmm")</f>
        <v>October</v>
      </c>
      <c r="R924">
        <f>MONTH(Data_Set_3[[#This Row],[date]])</f>
        <v>10</v>
      </c>
      <c r="S924">
        <f>YEAR(Data_Set_3[[#This Row],[date]])</f>
        <v>2021</v>
      </c>
    </row>
    <row r="925" spans="1:19" x14ac:dyDescent="0.3">
      <c r="A925">
        <v>1663</v>
      </c>
      <c r="B925" t="s">
        <v>775</v>
      </c>
      <c r="C925" t="s">
        <v>71</v>
      </c>
      <c r="D925" t="s">
        <v>3773</v>
      </c>
      <c r="E925" t="s">
        <v>3774</v>
      </c>
      <c r="F925" t="s">
        <v>2053</v>
      </c>
      <c r="G925" t="s">
        <v>1926</v>
      </c>
      <c r="H925" t="s">
        <v>16</v>
      </c>
      <c r="I925" t="s">
        <v>17</v>
      </c>
      <c r="J925">
        <v>646</v>
      </c>
      <c r="K925" t="s">
        <v>26</v>
      </c>
      <c r="L925" s="2">
        <v>44471</v>
      </c>
      <c r="M925" t="s">
        <v>74</v>
      </c>
      <c r="N925" t="s">
        <v>400</v>
      </c>
      <c r="O925">
        <v>30096</v>
      </c>
      <c r="P925" t="s">
        <v>21</v>
      </c>
      <c r="Q925" t="str">
        <f>TEXT(Data_Set_3[[#This Row],[date]],"mmmm")</f>
        <v>October</v>
      </c>
      <c r="R925">
        <f>MONTH(Data_Set_3[[#This Row],[date]])</f>
        <v>10</v>
      </c>
      <c r="S925">
        <f>YEAR(Data_Set_3[[#This Row],[date]])</f>
        <v>2021</v>
      </c>
    </row>
    <row r="926" spans="1:19" x14ac:dyDescent="0.3">
      <c r="A926">
        <v>1298</v>
      </c>
      <c r="B926" t="s">
        <v>595</v>
      </c>
      <c r="C926" t="s">
        <v>293</v>
      </c>
      <c r="D926" t="s">
        <v>2900</v>
      </c>
      <c r="E926" t="s">
        <v>2901</v>
      </c>
      <c r="F926" t="s">
        <v>1539</v>
      </c>
      <c r="G926" t="s">
        <v>1952</v>
      </c>
      <c r="H926" t="s">
        <v>32</v>
      </c>
      <c r="I926" t="s">
        <v>543</v>
      </c>
      <c r="J926">
        <v>539</v>
      </c>
      <c r="K926" t="s">
        <v>73</v>
      </c>
      <c r="L926" s="2">
        <v>44472</v>
      </c>
      <c r="M926" t="s">
        <v>115</v>
      </c>
      <c r="N926" t="s">
        <v>351</v>
      </c>
      <c r="O926">
        <v>32891</v>
      </c>
      <c r="P926" t="s">
        <v>21</v>
      </c>
      <c r="Q926" t="str">
        <f>TEXT(Data_Set_3[[#This Row],[date]],"mmmm")</f>
        <v>October</v>
      </c>
      <c r="R926">
        <f>MONTH(Data_Set_3[[#This Row],[date]])</f>
        <v>10</v>
      </c>
      <c r="S926">
        <f>YEAR(Data_Set_3[[#This Row],[date]])</f>
        <v>2021</v>
      </c>
    </row>
    <row r="927" spans="1:19" x14ac:dyDescent="0.3">
      <c r="A927">
        <v>1298</v>
      </c>
      <c r="B927" t="s">
        <v>595</v>
      </c>
      <c r="C927" t="s">
        <v>293</v>
      </c>
      <c r="D927" t="s">
        <v>2900</v>
      </c>
      <c r="E927" t="s">
        <v>2901</v>
      </c>
      <c r="F927" t="s">
        <v>1539</v>
      </c>
      <c r="G927" t="s">
        <v>1952</v>
      </c>
      <c r="H927" t="s">
        <v>32</v>
      </c>
      <c r="I927" t="s">
        <v>543</v>
      </c>
      <c r="J927">
        <v>787</v>
      </c>
      <c r="K927" t="s">
        <v>73</v>
      </c>
      <c r="L927" s="2">
        <v>44474</v>
      </c>
      <c r="M927" t="s">
        <v>115</v>
      </c>
      <c r="N927" t="s">
        <v>351</v>
      </c>
      <c r="O927">
        <v>32891</v>
      </c>
      <c r="P927" t="s">
        <v>21</v>
      </c>
      <c r="Q927" t="str">
        <f>TEXT(Data_Set_3[[#This Row],[date]],"mmmm")</f>
        <v>October</v>
      </c>
      <c r="R927">
        <f>MONTH(Data_Set_3[[#This Row],[date]])</f>
        <v>10</v>
      </c>
      <c r="S927">
        <f>YEAR(Data_Set_3[[#This Row],[date]])</f>
        <v>2021</v>
      </c>
    </row>
    <row r="928" spans="1:19" x14ac:dyDescent="0.3">
      <c r="A928">
        <v>1511</v>
      </c>
      <c r="B928" t="s">
        <v>623</v>
      </c>
      <c r="C928" t="s">
        <v>473</v>
      </c>
      <c r="D928" t="s">
        <v>3775</v>
      </c>
      <c r="E928" t="s">
        <v>3776</v>
      </c>
      <c r="F928" t="s">
        <v>1702</v>
      </c>
      <c r="G928" t="s">
        <v>2735</v>
      </c>
      <c r="H928" t="s">
        <v>16</v>
      </c>
      <c r="I928" t="s">
        <v>2813</v>
      </c>
      <c r="J928">
        <v>837</v>
      </c>
      <c r="K928" t="s">
        <v>26</v>
      </c>
      <c r="L928" s="2">
        <v>44474</v>
      </c>
      <c r="M928" t="s">
        <v>35</v>
      </c>
      <c r="N928" t="s">
        <v>3777</v>
      </c>
      <c r="O928">
        <v>93094</v>
      </c>
      <c r="P928" t="s">
        <v>21</v>
      </c>
      <c r="Q928" t="str">
        <f>TEXT(Data_Set_3[[#This Row],[date]],"mmmm")</f>
        <v>October</v>
      </c>
      <c r="R928">
        <f>MONTH(Data_Set_3[[#This Row],[date]])</f>
        <v>10</v>
      </c>
      <c r="S928">
        <f>YEAR(Data_Set_3[[#This Row],[date]])</f>
        <v>2021</v>
      </c>
    </row>
    <row r="929" spans="1:19" x14ac:dyDescent="0.3">
      <c r="A929">
        <v>1851</v>
      </c>
      <c r="B929" t="s">
        <v>471</v>
      </c>
      <c r="C929" t="s">
        <v>220</v>
      </c>
      <c r="D929" t="s">
        <v>3015</v>
      </c>
      <c r="E929" t="s">
        <v>3016</v>
      </c>
      <c r="F929" t="s">
        <v>3017</v>
      </c>
      <c r="G929" t="s">
        <v>2697</v>
      </c>
      <c r="H929" t="s">
        <v>32</v>
      </c>
      <c r="I929" t="s">
        <v>33</v>
      </c>
      <c r="J929">
        <v>14</v>
      </c>
      <c r="K929" t="s">
        <v>73</v>
      </c>
      <c r="L929" s="2">
        <v>44476</v>
      </c>
      <c r="M929" t="s">
        <v>184</v>
      </c>
      <c r="N929" t="s">
        <v>656</v>
      </c>
      <c r="O929">
        <v>11210</v>
      </c>
      <c r="P929" t="s">
        <v>21</v>
      </c>
      <c r="Q929" t="str">
        <f>TEXT(Data_Set_3[[#This Row],[date]],"mmmm")</f>
        <v>October</v>
      </c>
      <c r="R929">
        <f>MONTH(Data_Set_3[[#This Row],[date]])</f>
        <v>10</v>
      </c>
      <c r="S929">
        <f>YEAR(Data_Set_3[[#This Row],[date]])</f>
        <v>2021</v>
      </c>
    </row>
    <row r="930" spans="1:19" x14ac:dyDescent="0.3">
      <c r="A930">
        <v>1623</v>
      </c>
      <c r="B930" t="s">
        <v>222</v>
      </c>
      <c r="C930" t="s">
        <v>113</v>
      </c>
      <c r="D930" t="s">
        <v>3778</v>
      </c>
      <c r="E930" t="s">
        <v>3779</v>
      </c>
      <c r="F930" t="s">
        <v>1402</v>
      </c>
      <c r="G930" t="s">
        <v>1315</v>
      </c>
      <c r="H930" t="s">
        <v>32</v>
      </c>
      <c r="I930" t="s">
        <v>17</v>
      </c>
      <c r="J930">
        <v>935</v>
      </c>
      <c r="K930" t="s">
        <v>26</v>
      </c>
      <c r="L930" s="2">
        <v>44479</v>
      </c>
      <c r="M930" t="s">
        <v>35</v>
      </c>
      <c r="N930" t="s">
        <v>3780</v>
      </c>
      <c r="O930">
        <v>94089</v>
      </c>
      <c r="P930" t="s">
        <v>21</v>
      </c>
      <c r="Q930" t="str">
        <f>TEXT(Data_Set_3[[#This Row],[date]],"mmmm")</f>
        <v>October</v>
      </c>
      <c r="R930">
        <f>MONTH(Data_Set_3[[#This Row],[date]])</f>
        <v>10</v>
      </c>
      <c r="S930">
        <f>YEAR(Data_Set_3[[#This Row],[date]])</f>
        <v>2021</v>
      </c>
    </row>
    <row r="931" spans="1:19" x14ac:dyDescent="0.3">
      <c r="A931">
        <v>1095</v>
      </c>
      <c r="B931" t="s">
        <v>395</v>
      </c>
      <c r="C931" t="s">
        <v>876</v>
      </c>
      <c r="D931" t="s">
        <v>2989</v>
      </c>
      <c r="E931" t="s">
        <v>2990</v>
      </c>
      <c r="F931" t="s">
        <v>1323</v>
      </c>
      <c r="G931" t="s">
        <v>1453</v>
      </c>
      <c r="H931" t="s">
        <v>32</v>
      </c>
      <c r="I931" t="s">
        <v>51</v>
      </c>
      <c r="J931">
        <v>140</v>
      </c>
      <c r="K931" t="s">
        <v>34</v>
      </c>
      <c r="L931" s="2">
        <v>44480</v>
      </c>
      <c r="M931" t="s">
        <v>68</v>
      </c>
      <c r="N931" t="s">
        <v>234</v>
      </c>
      <c r="O931">
        <v>77040</v>
      </c>
      <c r="P931" t="s">
        <v>21</v>
      </c>
      <c r="Q931" t="str">
        <f>TEXT(Data_Set_3[[#This Row],[date]],"mmmm")</f>
        <v>October</v>
      </c>
      <c r="R931">
        <f>MONTH(Data_Set_3[[#This Row],[date]])</f>
        <v>10</v>
      </c>
      <c r="S931">
        <f>YEAR(Data_Set_3[[#This Row],[date]])</f>
        <v>2021</v>
      </c>
    </row>
    <row r="932" spans="1:19" x14ac:dyDescent="0.3">
      <c r="A932">
        <v>1260</v>
      </c>
      <c r="B932" t="s">
        <v>417</v>
      </c>
      <c r="C932" t="s">
        <v>2904</v>
      </c>
      <c r="D932" t="s">
        <v>2905</v>
      </c>
      <c r="E932" t="s">
        <v>2906</v>
      </c>
      <c r="F932" t="s">
        <v>1777</v>
      </c>
      <c r="G932" t="s">
        <v>2571</v>
      </c>
      <c r="H932" t="s">
        <v>16</v>
      </c>
      <c r="I932" t="s">
        <v>543</v>
      </c>
      <c r="J932">
        <v>167</v>
      </c>
      <c r="K932" t="s">
        <v>26</v>
      </c>
      <c r="L932" s="2">
        <v>44482</v>
      </c>
      <c r="M932" t="s">
        <v>220</v>
      </c>
      <c r="N932" t="s">
        <v>2907</v>
      </c>
      <c r="O932">
        <v>99215</v>
      </c>
      <c r="P932" t="s">
        <v>21</v>
      </c>
      <c r="Q932" t="str">
        <f>TEXT(Data_Set_3[[#This Row],[date]],"mmmm")</f>
        <v>October</v>
      </c>
      <c r="R932">
        <f>MONTH(Data_Set_3[[#This Row],[date]])</f>
        <v>10</v>
      </c>
      <c r="S932">
        <f>YEAR(Data_Set_3[[#This Row],[date]])</f>
        <v>2021</v>
      </c>
    </row>
    <row r="933" spans="1:19" x14ac:dyDescent="0.3">
      <c r="A933">
        <v>1020</v>
      </c>
      <c r="B933" t="s">
        <v>122</v>
      </c>
      <c r="C933" t="s">
        <v>954</v>
      </c>
      <c r="D933" t="s">
        <v>2888</v>
      </c>
      <c r="E933" t="s">
        <v>2889</v>
      </c>
      <c r="F933" t="s">
        <v>1998</v>
      </c>
      <c r="G933" t="s">
        <v>1926</v>
      </c>
      <c r="H933" t="s">
        <v>32</v>
      </c>
      <c r="I933" t="s">
        <v>17</v>
      </c>
      <c r="J933">
        <v>605</v>
      </c>
      <c r="K933" t="s">
        <v>26</v>
      </c>
      <c r="L933" s="2">
        <v>44484</v>
      </c>
      <c r="M933" t="s">
        <v>35</v>
      </c>
      <c r="N933" t="s">
        <v>620</v>
      </c>
      <c r="O933">
        <v>94105</v>
      </c>
      <c r="P933" t="s">
        <v>21</v>
      </c>
      <c r="Q933" t="str">
        <f>TEXT(Data_Set_3[[#This Row],[date]],"mmmm")</f>
        <v>October</v>
      </c>
      <c r="R933">
        <f>MONTH(Data_Set_3[[#This Row],[date]])</f>
        <v>10</v>
      </c>
      <c r="S933">
        <f>YEAR(Data_Set_3[[#This Row],[date]])</f>
        <v>2021</v>
      </c>
    </row>
    <row r="934" spans="1:19" x14ac:dyDescent="0.3">
      <c r="A934">
        <v>1234</v>
      </c>
      <c r="B934" t="s">
        <v>2806</v>
      </c>
      <c r="C934" t="s">
        <v>752</v>
      </c>
      <c r="D934" t="s">
        <v>2807</v>
      </c>
      <c r="E934" t="s">
        <v>2808</v>
      </c>
      <c r="F934" t="s">
        <v>1460</v>
      </c>
      <c r="G934" t="s">
        <v>2125</v>
      </c>
      <c r="H934" t="s">
        <v>16</v>
      </c>
      <c r="I934" t="s">
        <v>33</v>
      </c>
      <c r="J934">
        <v>366</v>
      </c>
      <c r="K934" t="s">
        <v>62</v>
      </c>
      <c r="L934" s="2">
        <v>44484</v>
      </c>
      <c r="M934" t="s">
        <v>68</v>
      </c>
      <c r="N934" t="s">
        <v>69</v>
      </c>
      <c r="O934">
        <v>78710</v>
      </c>
      <c r="P934" t="s">
        <v>21</v>
      </c>
      <c r="Q934" t="str">
        <f>TEXT(Data_Set_3[[#This Row],[date]],"mmmm")</f>
        <v>October</v>
      </c>
      <c r="R934">
        <f>MONTH(Data_Set_3[[#This Row],[date]])</f>
        <v>10</v>
      </c>
      <c r="S934">
        <f>YEAR(Data_Set_3[[#This Row],[date]])</f>
        <v>2021</v>
      </c>
    </row>
    <row r="935" spans="1:19" x14ac:dyDescent="0.3">
      <c r="A935">
        <v>1081</v>
      </c>
      <c r="B935" t="s">
        <v>29</v>
      </c>
      <c r="C935" t="s">
        <v>906</v>
      </c>
      <c r="D935" t="s">
        <v>2980</v>
      </c>
      <c r="E935" t="s">
        <v>2981</v>
      </c>
      <c r="F935" t="s">
        <v>2342</v>
      </c>
      <c r="G935" t="s">
        <v>2286</v>
      </c>
      <c r="H935" t="s">
        <v>32</v>
      </c>
      <c r="I935" t="s">
        <v>51</v>
      </c>
      <c r="J935">
        <v>185</v>
      </c>
      <c r="K935" t="s">
        <v>18</v>
      </c>
      <c r="L935" s="2">
        <v>44485</v>
      </c>
      <c r="M935" t="s">
        <v>152</v>
      </c>
      <c r="N935" t="s">
        <v>484</v>
      </c>
      <c r="O935">
        <v>45426</v>
      </c>
      <c r="P935" t="s">
        <v>21</v>
      </c>
      <c r="Q935" t="str">
        <f>TEXT(Data_Set_3[[#This Row],[date]],"mmmm")</f>
        <v>October</v>
      </c>
      <c r="R935">
        <f>MONTH(Data_Set_3[[#This Row],[date]])</f>
        <v>10</v>
      </c>
      <c r="S935">
        <f>YEAR(Data_Set_3[[#This Row],[date]])</f>
        <v>2021</v>
      </c>
    </row>
    <row r="936" spans="1:19" x14ac:dyDescent="0.3">
      <c r="A936">
        <v>1851</v>
      </c>
      <c r="B936" t="s">
        <v>471</v>
      </c>
      <c r="C936" t="s">
        <v>220</v>
      </c>
      <c r="D936" t="s">
        <v>3015</v>
      </c>
      <c r="E936" t="s">
        <v>3016</v>
      </c>
      <c r="F936" t="s">
        <v>3017</v>
      </c>
      <c r="G936" t="s">
        <v>2697</v>
      </c>
      <c r="H936" t="s">
        <v>32</v>
      </c>
      <c r="I936" t="s">
        <v>33</v>
      </c>
      <c r="J936">
        <v>438</v>
      </c>
      <c r="K936" t="s">
        <v>73</v>
      </c>
      <c r="L936" s="2">
        <v>44485</v>
      </c>
      <c r="M936" t="s">
        <v>184</v>
      </c>
      <c r="N936" t="s">
        <v>656</v>
      </c>
      <c r="O936">
        <v>11210</v>
      </c>
      <c r="P936" t="s">
        <v>21</v>
      </c>
      <c r="Q936" t="str">
        <f>TEXT(Data_Set_3[[#This Row],[date]],"mmmm")</f>
        <v>October</v>
      </c>
      <c r="R936">
        <f>MONTH(Data_Set_3[[#This Row],[date]])</f>
        <v>10</v>
      </c>
      <c r="S936">
        <f>YEAR(Data_Set_3[[#This Row],[date]])</f>
        <v>2021</v>
      </c>
    </row>
    <row r="937" spans="1:19" x14ac:dyDescent="0.3">
      <c r="A937">
        <v>1880</v>
      </c>
      <c r="B937" t="s">
        <v>304</v>
      </c>
      <c r="C937" t="s">
        <v>526</v>
      </c>
      <c r="D937" t="s">
        <v>2831</v>
      </c>
      <c r="E937" t="s">
        <v>2832</v>
      </c>
      <c r="F937" t="s">
        <v>1376</v>
      </c>
      <c r="G937" t="s">
        <v>2577</v>
      </c>
      <c r="H937" t="s">
        <v>32</v>
      </c>
      <c r="I937" t="s">
        <v>274</v>
      </c>
      <c r="J937">
        <v>809</v>
      </c>
      <c r="K937" t="s">
        <v>26</v>
      </c>
      <c r="L937" s="2">
        <v>44486</v>
      </c>
      <c r="M937" t="s">
        <v>246</v>
      </c>
      <c r="N937" t="s">
        <v>339</v>
      </c>
      <c r="O937">
        <v>60614</v>
      </c>
      <c r="P937" t="s">
        <v>21</v>
      </c>
      <c r="Q937" t="str">
        <f>TEXT(Data_Set_3[[#This Row],[date]],"mmmm")</f>
        <v>October</v>
      </c>
      <c r="R937">
        <f>MONTH(Data_Set_3[[#This Row],[date]])</f>
        <v>10</v>
      </c>
      <c r="S937">
        <f>YEAR(Data_Set_3[[#This Row],[date]])</f>
        <v>2021</v>
      </c>
    </row>
    <row r="938" spans="1:19" x14ac:dyDescent="0.3">
      <c r="A938">
        <v>1001</v>
      </c>
      <c r="B938" t="s">
        <v>289</v>
      </c>
      <c r="C938" t="s">
        <v>1017</v>
      </c>
      <c r="D938" t="s">
        <v>2874</v>
      </c>
      <c r="E938" t="s">
        <v>2875</v>
      </c>
      <c r="F938" t="s">
        <v>2249</v>
      </c>
      <c r="G938" t="s">
        <v>1766</v>
      </c>
      <c r="H938" t="s">
        <v>16</v>
      </c>
      <c r="I938" t="s">
        <v>17</v>
      </c>
      <c r="J938">
        <v>922</v>
      </c>
      <c r="K938" t="s">
        <v>34</v>
      </c>
      <c r="L938" s="2">
        <v>44487</v>
      </c>
      <c r="M938" t="s">
        <v>68</v>
      </c>
      <c r="N938" t="s">
        <v>169</v>
      </c>
      <c r="O938">
        <v>88563</v>
      </c>
      <c r="P938" t="s">
        <v>21</v>
      </c>
      <c r="Q938" t="str">
        <f>TEXT(Data_Set_3[[#This Row],[date]],"mmmm")</f>
        <v>October</v>
      </c>
      <c r="R938">
        <f>MONTH(Data_Set_3[[#This Row],[date]])</f>
        <v>10</v>
      </c>
      <c r="S938">
        <f>YEAR(Data_Set_3[[#This Row],[date]])</f>
        <v>2021</v>
      </c>
    </row>
    <row r="939" spans="1:19" x14ac:dyDescent="0.3">
      <c r="A939">
        <v>1943</v>
      </c>
      <c r="B939" t="s">
        <v>333</v>
      </c>
      <c r="C939" t="s">
        <v>790</v>
      </c>
      <c r="D939" t="s">
        <v>3781</v>
      </c>
      <c r="E939" t="s">
        <v>3782</v>
      </c>
      <c r="F939" t="s">
        <v>1328</v>
      </c>
      <c r="G939" t="s">
        <v>1397</v>
      </c>
      <c r="H939" t="s">
        <v>32</v>
      </c>
      <c r="I939" t="s">
        <v>25</v>
      </c>
      <c r="J939">
        <v>745</v>
      </c>
      <c r="K939" t="s">
        <v>95</v>
      </c>
      <c r="L939" s="2">
        <v>44488</v>
      </c>
      <c r="M939" t="s">
        <v>230</v>
      </c>
      <c r="N939" t="s">
        <v>963</v>
      </c>
      <c r="O939">
        <v>27105</v>
      </c>
      <c r="P939" t="s">
        <v>21</v>
      </c>
      <c r="Q939" t="str">
        <f>TEXT(Data_Set_3[[#This Row],[date]],"mmmm")</f>
        <v>October</v>
      </c>
      <c r="R939">
        <f>MONTH(Data_Set_3[[#This Row],[date]])</f>
        <v>10</v>
      </c>
      <c r="S939">
        <f>YEAR(Data_Set_3[[#This Row],[date]])</f>
        <v>2021</v>
      </c>
    </row>
    <row r="940" spans="1:19" x14ac:dyDescent="0.3">
      <c r="A940">
        <v>1170</v>
      </c>
      <c r="B940" t="s">
        <v>22</v>
      </c>
      <c r="C940" t="s">
        <v>883</v>
      </c>
      <c r="D940" t="s">
        <v>2837</v>
      </c>
      <c r="E940" t="s">
        <v>2838</v>
      </c>
      <c r="F940" t="s">
        <v>2430</v>
      </c>
      <c r="G940" t="s">
        <v>1333</v>
      </c>
      <c r="H940" t="s">
        <v>16</v>
      </c>
      <c r="I940" t="s">
        <v>33</v>
      </c>
      <c r="J940">
        <v>902</v>
      </c>
      <c r="K940" t="s">
        <v>164</v>
      </c>
      <c r="L940" s="2">
        <v>44489</v>
      </c>
      <c r="M940" t="s">
        <v>68</v>
      </c>
      <c r="N940" t="s">
        <v>169</v>
      </c>
      <c r="O940">
        <v>88574</v>
      </c>
      <c r="P940" t="s">
        <v>21</v>
      </c>
      <c r="Q940" t="str">
        <f>TEXT(Data_Set_3[[#This Row],[date]],"mmmm")</f>
        <v>October</v>
      </c>
      <c r="R940">
        <f>MONTH(Data_Set_3[[#This Row],[date]])</f>
        <v>10</v>
      </c>
      <c r="S940">
        <f>YEAR(Data_Set_3[[#This Row],[date]])</f>
        <v>2021</v>
      </c>
    </row>
    <row r="941" spans="1:19" x14ac:dyDescent="0.3">
      <c r="A941">
        <v>1880</v>
      </c>
      <c r="B941" t="s">
        <v>304</v>
      </c>
      <c r="C941" t="s">
        <v>526</v>
      </c>
      <c r="D941" t="s">
        <v>2831</v>
      </c>
      <c r="E941" t="s">
        <v>2832</v>
      </c>
      <c r="F941" t="s">
        <v>1376</v>
      </c>
      <c r="G941" t="s">
        <v>2577</v>
      </c>
      <c r="H941" t="s">
        <v>32</v>
      </c>
      <c r="I941" t="s">
        <v>274</v>
      </c>
      <c r="J941">
        <v>626</v>
      </c>
      <c r="K941" t="s">
        <v>26</v>
      </c>
      <c r="L941" s="2">
        <v>44489</v>
      </c>
      <c r="M941" t="s">
        <v>246</v>
      </c>
      <c r="N941" t="s">
        <v>339</v>
      </c>
      <c r="O941">
        <v>60614</v>
      </c>
      <c r="P941" t="s">
        <v>21</v>
      </c>
      <c r="Q941" t="str">
        <f>TEXT(Data_Set_3[[#This Row],[date]],"mmmm")</f>
        <v>October</v>
      </c>
      <c r="R941">
        <f>MONTH(Data_Set_3[[#This Row],[date]])</f>
        <v>10</v>
      </c>
      <c r="S941">
        <f>YEAR(Data_Set_3[[#This Row],[date]])</f>
        <v>2021</v>
      </c>
    </row>
    <row r="942" spans="1:19" x14ac:dyDescent="0.3">
      <c r="A942">
        <v>1020</v>
      </c>
      <c r="B942" t="s">
        <v>122</v>
      </c>
      <c r="C942" t="s">
        <v>954</v>
      </c>
      <c r="D942" t="s">
        <v>2888</v>
      </c>
      <c r="E942" t="s">
        <v>2889</v>
      </c>
      <c r="F942" t="s">
        <v>1998</v>
      </c>
      <c r="G942" t="s">
        <v>1926</v>
      </c>
      <c r="H942" t="s">
        <v>32</v>
      </c>
      <c r="I942" t="s">
        <v>17</v>
      </c>
      <c r="J942">
        <v>246</v>
      </c>
      <c r="K942" t="s">
        <v>26</v>
      </c>
      <c r="L942" s="2">
        <v>44494</v>
      </c>
      <c r="M942" t="s">
        <v>35</v>
      </c>
      <c r="N942" t="s">
        <v>620</v>
      </c>
      <c r="O942">
        <v>94105</v>
      </c>
      <c r="P942" t="s">
        <v>21</v>
      </c>
      <c r="Q942" t="str">
        <f>TEXT(Data_Set_3[[#This Row],[date]],"mmmm")</f>
        <v>October</v>
      </c>
      <c r="R942">
        <f>MONTH(Data_Set_3[[#This Row],[date]])</f>
        <v>10</v>
      </c>
      <c r="S942">
        <f>YEAR(Data_Set_3[[#This Row],[date]])</f>
        <v>2021</v>
      </c>
    </row>
    <row r="943" spans="1:19" x14ac:dyDescent="0.3">
      <c r="A943">
        <v>1555</v>
      </c>
      <c r="B943" t="s">
        <v>844</v>
      </c>
      <c r="C943" t="s">
        <v>357</v>
      </c>
      <c r="D943" t="s">
        <v>3783</v>
      </c>
      <c r="E943" t="s">
        <v>3784</v>
      </c>
      <c r="F943" t="s">
        <v>2816</v>
      </c>
      <c r="G943" t="s">
        <v>2444</v>
      </c>
      <c r="H943" t="s">
        <v>32</v>
      </c>
      <c r="I943" t="s">
        <v>2941</v>
      </c>
      <c r="J943">
        <v>376</v>
      </c>
      <c r="K943" t="s">
        <v>62</v>
      </c>
      <c r="L943" s="2">
        <v>44494</v>
      </c>
      <c r="M943" t="s">
        <v>287</v>
      </c>
      <c r="N943" t="s">
        <v>3755</v>
      </c>
      <c r="O943">
        <v>85260</v>
      </c>
      <c r="P943" t="s">
        <v>21</v>
      </c>
      <c r="Q943" t="str">
        <f>TEXT(Data_Set_3[[#This Row],[date]],"mmmm")</f>
        <v>October</v>
      </c>
      <c r="R943">
        <f>MONTH(Data_Set_3[[#This Row],[date]])</f>
        <v>10</v>
      </c>
      <c r="S943">
        <f>YEAR(Data_Set_3[[#This Row],[date]])</f>
        <v>2021</v>
      </c>
    </row>
    <row r="944" spans="1:19" x14ac:dyDescent="0.3">
      <c r="A944">
        <v>1719</v>
      </c>
      <c r="B944" t="s">
        <v>3012</v>
      </c>
      <c r="C944" t="s">
        <v>886</v>
      </c>
      <c r="D944" t="s">
        <v>3785</v>
      </c>
      <c r="E944" t="s">
        <v>3786</v>
      </c>
      <c r="F944" t="s">
        <v>1276</v>
      </c>
      <c r="G944" t="s">
        <v>1985</v>
      </c>
      <c r="H944" t="s">
        <v>16</v>
      </c>
      <c r="I944" t="s">
        <v>17</v>
      </c>
      <c r="J944">
        <v>426</v>
      </c>
      <c r="K944" t="s">
        <v>26</v>
      </c>
      <c r="L944" s="2">
        <v>44494</v>
      </c>
      <c r="M944" t="s">
        <v>35</v>
      </c>
      <c r="N944" t="s">
        <v>735</v>
      </c>
      <c r="O944">
        <v>90847</v>
      </c>
      <c r="P944" t="s">
        <v>21</v>
      </c>
      <c r="Q944" t="str">
        <f>TEXT(Data_Set_3[[#This Row],[date]],"mmmm")</f>
        <v>October</v>
      </c>
      <c r="R944">
        <f>MONTH(Data_Set_3[[#This Row],[date]])</f>
        <v>10</v>
      </c>
      <c r="S944">
        <f>YEAR(Data_Set_3[[#This Row],[date]])</f>
        <v>2021</v>
      </c>
    </row>
    <row r="945" spans="1:19" x14ac:dyDescent="0.3">
      <c r="A945">
        <v>1144</v>
      </c>
      <c r="B945" t="s">
        <v>644</v>
      </c>
      <c r="C945" t="s">
        <v>581</v>
      </c>
      <c r="D945" t="s">
        <v>3114</v>
      </c>
      <c r="E945" t="s">
        <v>3115</v>
      </c>
      <c r="F945" t="s">
        <v>2641</v>
      </c>
      <c r="G945" t="s">
        <v>2709</v>
      </c>
      <c r="H945" t="s">
        <v>32</v>
      </c>
      <c r="I945" t="s">
        <v>25</v>
      </c>
      <c r="J945">
        <v>660</v>
      </c>
      <c r="K945" t="s">
        <v>62</v>
      </c>
      <c r="L945" s="2">
        <v>44496</v>
      </c>
      <c r="M945" t="s">
        <v>184</v>
      </c>
      <c r="N945" t="s">
        <v>3116</v>
      </c>
      <c r="O945">
        <v>11355</v>
      </c>
      <c r="P945" t="s">
        <v>21</v>
      </c>
      <c r="Q945" t="str">
        <f>TEXT(Data_Set_3[[#This Row],[date]],"mmmm")</f>
        <v>October</v>
      </c>
      <c r="R945">
        <f>MONTH(Data_Set_3[[#This Row],[date]])</f>
        <v>10</v>
      </c>
      <c r="S945">
        <f>YEAR(Data_Set_3[[#This Row],[date]])</f>
        <v>2021</v>
      </c>
    </row>
    <row r="946" spans="1:19" x14ac:dyDescent="0.3">
      <c r="A946">
        <v>1752</v>
      </c>
      <c r="B946" t="s">
        <v>112</v>
      </c>
      <c r="C946" t="s">
        <v>182</v>
      </c>
      <c r="D946" t="s">
        <v>3787</v>
      </c>
      <c r="E946" t="s">
        <v>3788</v>
      </c>
      <c r="F946" t="s">
        <v>1376</v>
      </c>
      <c r="G946" t="s">
        <v>1468</v>
      </c>
      <c r="H946" t="s">
        <v>32</v>
      </c>
      <c r="I946" t="s">
        <v>179</v>
      </c>
      <c r="J946">
        <v>576</v>
      </c>
      <c r="K946" t="s">
        <v>26</v>
      </c>
      <c r="L946" s="2">
        <v>44497</v>
      </c>
      <c r="M946" t="s">
        <v>345</v>
      </c>
      <c r="N946" t="s">
        <v>220</v>
      </c>
      <c r="O946">
        <v>20226</v>
      </c>
      <c r="P946" t="s">
        <v>21</v>
      </c>
      <c r="Q946" t="str">
        <f>TEXT(Data_Set_3[[#This Row],[date]],"mmmm")</f>
        <v>October</v>
      </c>
      <c r="R946">
        <f>MONTH(Data_Set_3[[#This Row],[date]])</f>
        <v>10</v>
      </c>
      <c r="S946">
        <f>YEAR(Data_Set_3[[#This Row],[date]])</f>
        <v>2021</v>
      </c>
    </row>
    <row r="947" spans="1:19" x14ac:dyDescent="0.3">
      <c r="A947">
        <v>1365</v>
      </c>
      <c r="B947" t="s">
        <v>1183</v>
      </c>
      <c r="C947" t="s">
        <v>813</v>
      </c>
      <c r="D947" t="s">
        <v>2957</v>
      </c>
      <c r="E947" t="s">
        <v>2958</v>
      </c>
      <c r="F947" t="s">
        <v>1644</v>
      </c>
      <c r="G947" t="s">
        <v>2061</v>
      </c>
      <c r="H947" t="s">
        <v>16</v>
      </c>
      <c r="I947" t="s">
        <v>51</v>
      </c>
      <c r="J947">
        <v>374</v>
      </c>
      <c r="K947" t="s">
        <v>62</v>
      </c>
      <c r="L947" s="2">
        <v>44498</v>
      </c>
      <c r="M947" t="s">
        <v>115</v>
      </c>
      <c r="N947" t="s">
        <v>143</v>
      </c>
      <c r="O947">
        <v>33261</v>
      </c>
      <c r="P947" t="s">
        <v>21</v>
      </c>
      <c r="Q947" t="str">
        <f>TEXT(Data_Set_3[[#This Row],[date]],"mmmm")</f>
        <v>October</v>
      </c>
      <c r="R947">
        <f>MONTH(Data_Set_3[[#This Row],[date]])</f>
        <v>10</v>
      </c>
      <c r="S947">
        <f>YEAR(Data_Set_3[[#This Row],[date]])</f>
        <v>2021</v>
      </c>
    </row>
    <row r="948" spans="1:19" x14ac:dyDescent="0.3">
      <c r="A948">
        <v>1298</v>
      </c>
      <c r="B948" t="s">
        <v>595</v>
      </c>
      <c r="C948" t="s">
        <v>293</v>
      </c>
      <c r="D948" t="s">
        <v>2900</v>
      </c>
      <c r="E948" t="s">
        <v>2901</v>
      </c>
      <c r="F948" t="s">
        <v>1539</v>
      </c>
      <c r="G948" t="s">
        <v>1952</v>
      </c>
      <c r="H948" t="s">
        <v>32</v>
      </c>
      <c r="I948" t="s">
        <v>543</v>
      </c>
      <c r="J948">
        <v>805</v>
      </c>
      <c r="K948" t="s">
        <v>73</v>
      </c>
      <c r="L948" s="2">
        <v>44499</v>
      </c>
      <c r="M948" t="s">
        <v>115</v>
      </c>
      <c r="N948" t="s">
        <v>351</v>
      </c>
      <c r="O948">
        <v>32891</v>
      </c>
      <c r="P948" t="s">
        <v>21</v>
      </c>
      <c r="Q948" t="str">
        <f>TEXT(Data_Set_3[[#This Row],[date]],"mmmm")</f>
        <v>October</v>
      </c>
      <c r="R948">
        <f>MONTH(Data_Set_3[[#This Row],[date]])</f>
        <v>10</v>
      </c>
      <c r="S948">
        <f>YEAR(Data_Set_3[[#This Row],[date]])</f>
        <v>2021</v>
      </c>
    </row>
    <row r="949" spans="1:19" x14ac:dyDescent="0.3">
      <c r="A949">
        <v>1489</v>
      </c>
      <c r="B949" t="s">
        <v>860</v>
      </c>
      <c r="C949" t="s">
        <v>849</v>
      </c>
      <c r="D949" t="s">
        <v>2817</v>
      </c>
      <c r="E949" t="s">
        <v>2818</v>
      </c>
      <c r="F949" t="s">
        <v>1606</v>
      </c>
      <c r="G949" t="s">
        <v>1899</v>
      </c>
      <c r="H949" t="s">
        <v>16</v>
      </c>
      <c r="I949" t="s">
        <v>17</v>
      </c>
      <c r="J949">
        <v>161</v>
      </c>
      <c r="K949" t="s">
        <v>62</v>
      </c>
      <c r="L949" s="2">
        <v>44501</v>
      </c>
      <c r="M949" t="s">
        <v>204</v>
      </c>
      <c r="N949" t="s">
        <v>1135</v>
      </c>
      <c r="O949">
        <v>23668</v>
      </c>
      <c r="P949" t="s">
        <v>21</v>
      </c>
      <c r="Q949" t="str">
        <f>TEXT(Data_Set_3[[#This Row],[date]],"mmmm")</f>
        <v>November</v>
      </c>
      <c r="R949">
        <f>MONTH(Data_Set_3[[#This Row],[date]])</f>
        <v>11</v>
      </c>
      <c r="S949">
        <f>YEAR(Data_Set_3[[#This Row],[date]])</f>
        <v>2021</v>
      </c>
    </row>
    <row r="950" spans="1:19" x14ac:dyDescent="0.3">
      <c r="A950">
        <v>1738</v>
      </c>
      <c r="B950" t="s">
        <v>386</v>
      </c>
      <c r="C950" t="s">
        <v>694</v>
      </c>
      <c r="D950" t="s">
        <v>3789</v>
      </c>
      <c r="E950" t="s">
        <v>3790</v>
      </c>
      <c r="F950" t="s">
        <v>1796</v>
      </c>
      <c r="G950" t="s">
        <v>2219</v>
      </c>
      <c r="H950" t="s">
        <v>16</v>
      </c>
      <c r="I950" t="s">
        <v>151</v>
      </c>
      <c r="J950">
        <v>847</v>
      </c>
      <c r="K950" t="s">
        <v>225</v>
      </c>
      <c r="L950" s="2">
        <v>44501</v>
      </c>
      <c r="M950" t="s">
        <v>35</v>
      </c>
      <c r="N950" t="s">
        <v>180</v>
      </c>
      <c r="O950">
        <v>95113</v>
      </c>
      <c r="P950" t="s">
        <v>21</v>
      </c>
      <c r="Q950" t="str">
        <f>TEXT(Data_Set_3[[#This Row],[date]],"mmmm")</f>
        <v>November</v>
      </c>
      <c r="R950">
        <f>MONTH(Data_Set_3[[#This Row],[date]])</f>
        <v>11</v>
      </c>
      <c r="S950">
        <f>YEAR(Data_Set_3[[#This Row],[date]])</f>
        <v>2021</v>
      </c>
    </row>
    <row r="951" spans="1:19" x14ac:dyDescent="0.3">
      <c r="A951">
        <v>1995</v>
      </c>
      <c r="B951" t="s">
        <v>445</v>
      </c>
      <c r="C951" t="s">
        <v>505</v>
      </c>
      <c r="D951" t="s">
        <v>2995</v>
      </c>
      <c r="E951" t="s">
        <v>2996</v>
      </c>
      <c r="F951" t="s">
        <v>1595</v>
      </c>
      <c r="G951" t="s">
        <v>1388</v>
      </c>
      <c r="H951" t="s">
        <v>32</v>
      </c>
      <c r="I951" t="s">
        <v>33</v>
      </c>
      <c r="J951">
        <v>280</v>
      </c>
      <c r="K951" t="s">
        <v>34</v>
      </c>
      <c r="L951" s="2">
        <v>44501</v>
      </c>
      <c r="M951" t="s">
        <v>393</v>
      </c>
      <c r="N951" t="s">
        <v>394</v>
      </c>
      <c r="O951">
        <v>37939</v>
      </c>
      <c r="P951" t="s">
        <v>21</v>
      </c>
      <c r="Q951" t="str">
        <f>TEXT(Data_Set_3[[#This Row],[date]],"mmmm")</f>
        <v>November</v>
      </c>
      <c r="R951">
        <f>MONTH(Data_Set_3[[#This Row],[date]])</f>
        <v>11</v>
      </c>
      <c r="S951">
        <f>YEAR(Data_Set_3[[#This Row],[date]])</f>
        <v>2021</v>
      </c>
    </row>
    <row r="952" spans="1:19" x14ac:dyDescent="0.3">
      <c r="A952">
        <v>1533</v>
      </c>
      <c r="B952" t="s">
        <v>549</v>
      </c>
      <c r="C952" t="s">
        <v>357</v>
      </c>
      <c r="D952" t="s">
        <v>3791</v>
      </c>
      <c r="E952" t="s">
        <v>3792</v>
      </c>
      <c r="F952" t="s">
        <v>1340</v>
      </c>
      <c r="G952" t="s">
        <v>1746</v>
      </c>
      <c r="H952" t="s">
        <v>32</v>
      </c>
      <c r="I952" t="s">
        <v>2941</v>
      </c>
      <c r="J952">
        <v>832</v>
      </c>
      <c r="K952" t="s">
        <v>26</v>
      </c>
      <c r="L952" s="2">
        <v>44503</v>
      </c>
      <c r="M952" t="s">
        <v>184</v>
      </c>
      <c r="N952" t="s">
        <v>808</v>
      </c>
      <c r="O952">
        <v>11470</v>
      </c>
      <c r="P952" t="s">
        <v>21</v>
      </c>
      <c r="Q952" t="str">
        <f>TEXT(Data_Set_3[[#This Row],[date]],"mmmm")</f>
        <v>November</v>
      </c>
      <c r="R952">
        <f>MONTH(Data_Set_3[[#This Row],[date]])</f>
        <v>11</v>
      </c>
      <c r="S952">
        <f>YEAR(Data_Set_3[[#This Row],[date]])</f>
        <v>2021</v>
      </c>
    </row>
    <row r="953" spans="1:19" x14ac:dyDescent="0.3">
      <c r="A953">
        <v>1298</v>
      </c>
      <c r="B953" t="s">
        <v>595</v>
      </c>
      <c r="C953" t="s">
        <v>293</v>
      </c>
      <c r="D953" t="s">
        <v>2900</v>
      </c>
      <c r="E953" t="s">
        <v>2901</v>
      </c>
      <c r="F953" t="s">
        <v>1539</v>
      </c>
      <c r="G953" t="s">
        <v>1952</v>
      </c>
      <c r="H953" t="s">
        <v>32</v>
      </c>
      <c r="I953" t="s">
        <v>543</v>
      </c>
      <c r="J953">
        <v>448</v>
      </c>
      <c r="K953" t="s">
        <v>73</v>
      </c>
      <c r="L953" s="2">
        <v>44507</v>
      </c>
      <c r="M953" t="s">
        <v>115</v>
      </c>
      <c r="N953" t="s">
        <v>351</v>
      </c>
      <c r="O953">
        <v>32891</v>
      </c>
      <c r="P953" t="s">
        <v>21</v>
      </c>
      <c r="Q953" t="str">
        <f>TEXT(Data_Set_3[[#This Row],[date]],"mmmm")</f>
        <v>November</v>
      </c>
      <c r="R953">
        <f>MONTH(Data_Set_3[[#This Row],[date]])</f>
        <v>11</v>
      </c>
      <c r="S953">
        <f>YEAR(Data_Set_3[[#This Row],[date]])</f>
        <v>2021</v>
      </c>
    </row>
    <row r="954" spans="1:19" x14ac:dyDescent="0.3">
      <c r="A954">
        <v>1512</v>
      </c>
      <c r="B954" t="s">
        <v>680</v>
      </c>
      <c r="C954" t="s">
        <v>278</v>
      </c>
      <c r="D954" t="s">
        <v>3793</v>
      </c>
      <c r="E954" t="s">
        <v>3794</v>
      </c>
      <c r="F954" t="s">
        <v>1890</v>
      </c>
      <c r="G954" t="s">
        <v>2159</v>
      </c>
      <c r="H954" t="s">
        <v>16</v>
      </c>
      <c r="I954" t="s">
        <v>2821</v>
      </c>
      <c r="J954">
        <v>763</v>
      </c>
      <c r="K954" t="s">
        <v>164</v>
      </c>
      <c r="L954" s="2">
        <v>44508</v>
      </c>
      <c r="M954" t="s">
        <v>68</v>
      </c>
      <c r="N954" t="s">
        <v>69</v>
      </c>
      <c r="O954">
        <v>78726</v>
      </c>
      <c r="P954" t="s">
        <v>21</v>
      </c>
      <c r="Q954" t="str">
        <f>TEXT(Data_Set_3[[#This Row],[date]],"mmmm")</f>
        <v>November</v>
      </c>
      <c r="R954">
        <f>MONTH(Data_Set_3[[#This Row],[date]])</f>
        <v>11</v>
      </c>
      <c r="S954">
        <f>YEAR(Data_Set_3[[#This Row],[date]])</f>
        <v>2021</v>
      </c>
    </row>
    <row r="955" spans="1:19" x14ac:dyDescent="0.3">
      <c r="A955">
        <v>1039</v>
      </c>
      <c r="B955" t="s">
        <v>1245</v>
      </c>
      <c r="C955" t="s">
        <v>883</v>
      </c>
      <c r="D955" t="s">
        <v>3128</v>
      </c>
      <c r="E955" t="s">
        <v>3129</v>
      </c>
      <c r="F955" t="s">
        <v>1901</v>
      </c>
      <c r="G955" t="s">
        <v>2508</v>
      </c>
      <c r="H955" t="s">
        <v>16</v>
      </c>
      <c r="I955" t="s">
        <v>17</v>
      </c>
      <c r="J955">
        <v>823</v>
      </c>
      <c r="K955" t="s">
        <v>57</v>
      </c>
      <c r="L955" s="2">
        <v>44511</v>
      </c>
      <c r="M955" t="s">
        <v>41</v>
      </c>
      <c r="N955" t="s">
        <v>42</v>
      </c>
      <c r="O955">
        <v>40298</v>
      </c>
      <c r="P955" t="s">
        <v>21</v>
      </c>
      <c r="Q955" t="str">
        <f>TEXT(Data_Set_3[[#This Row],[date]],"mmmm")</f>
        <v>November</v>
      </c>
      <c r="R955">
        <f>MONTH(Data_Set_3[[#This Row],[date]])</f>
        <v>11</v>
      </c>
      <c r="S955">
        <f>YEAR(Data_Set_3[[#This Row],[date]])</f>
        <v>2021</v>
      </c>
    </row>
    <row r="956" spans="1:19" x14ac:dyDescent="0.3">
      <c r="A956">
        <v>1581</v>
      </c>
      <c r="B956" t="s">
        <v>2925</v>
      </c>
      <c r="C956" t="s">
        <v>752</v>
      </c>
      <c r="D956" t="s">
        <v>3795</v>
      </c>
      <c r="E956" t="s">
        <v>3796</v>
      </c>
      <c r="F956" t="s">
        <v>1561</v>
      </c>
      <c r="G956" t="s">
        <v>2409</v>
      </c>
      <c r="H956" t="s">
        <v>32</v>
      </c>
      <c r="I956" t="s">
        <v>454</v>
      </c>
      <c r="J956">
        <v>428</v>
      </c>
      <c r="K956" t="s">
        <v>34</v>
      </c>
      <c r="L956" s="2">
        <v>44512</v>
      </c>
      <c r="M956" t="s">
        <v>35</v>
      </c>
      <c r="N956" t="s">
        <v>735</v>
      </c>
      <c r="O956">
        <v>90840</v>
      </c>
      <c r="P956" t="s">
        <v>21</v>
      </c>
      <c r="Q956" t="str">
        <f>TEXT(Data_Set_3[[#This Row],[date]],"mmmm")</f>
        <v>November</v>
      </c>
      <c r="R956">
        <f>MONTH(Data_Set_3[[#This Row],[date]])</f>
        <v>11</v>
      </c>
      <c r="S956">
        <f>YEAR(Data_Set_3[[#This Row],[date]])</f>
        <v>2021</v>
      </c>
    </row>
    <row r="957" spans="1:19" x14ac:dyDescent="0.3">
      <c r="A957">
        <v>1436</v>
      </c>
      <c r="B957" t="s">
        <v>356</v>
      </c>
      <c r="C957" t="s">
        <v>737</v>
      </c>
      <c r="D957" t="s">
        <v>2882</v>
      </c>
      <c r="E957" t="s">
        <v>2883</v>
      </c>
      <c r="F957" t="s">
        <v>1359</v>
      </c>
      <c r="G957" t="s">
        <v>2495</v>
      </c>
      <c r="H957" t="s">
        <v>32</v>
      </c>
      <c r="I957" t="s">
        <v>151</v>
      </c>
      <c r="J957">
        <v>286</v>
      </c>
      <c r="K957" t="s">
        <v>26</v>
      </c>
      <c r="L957" s="2">
        <v>44513</v>
      </c>
      <c r="M957" t="s">
        <v>489</v>
      </c>
      <c r="N957" t="s">
        <v>490</v>
      </c>
      <c r="O957">
        <v>89145</v>
      </c>
      <c r="P957" t="s">
        <v>21</v>
      </c>
      <c r="Q957" t="str">
        <f>TEXT(Data_Set_3[[#This Row],[date]],"mmmm")</f>
        <v>November</v>
      </c>
      <c r="R957">
        <f>MONTH(Data_Set_3[[#This Row],[date]])</f>
        <v>11</v>
      </c>
      <c r="S957">
        <f>YEAR(Data_Set_3[[#This Row],[date]])</f>
        <v>2021</v>
      </c>
    </row>
    <row r="958" spans="1:19" x14ac:dyDescent="0.3">
      <c r="A958">
        <v>1988</v>
      </c>
      <c r="B958" t="s">
        <v>395</v>
      </c>
      <c r="C958" t="s">
        <v>1077</v>
      </c>
      <c r="D958" t="s">
        <v>3293</v>
      </c>
      <c r="E958" t="s">
        <v>3294</v>
      </c>
      <c r="F958" t="s">
        <v>1406</v>
      </c>
      <c r="G958" t="s">
        <v>1936</v>
      </c>
      <c r="H958" t="s">
        <v>32</v>
      </c>
      <c r="I958" t="s">
        <v>33</v>
      </c>
      <c r="J958">
        <v>1000</v>
      </c>
      <c r="K958" t="s">
        <v>26</v>
      </c>
      <c r="L958" s="2">
        <v>44514</v>
      </c>
      <c r="M958" t="s">
        <v>46</v>
      </c>
      <c r="N958" t="s">
        <v>692</v>
      </c>
      <c r="O958">
        <v>6912</v>
      </c>
      <c r="P958" t="s">
        <v>21</v>
      </c>
      <c r="Q958" t="str">
        <f>TEXT(Data_Set_3[[#This Row],[date]],"mmmm")</f>
        <v>November</v>
      </c>
      <c r="R958">
        <f>MONTH(Data_Set_3[[#This Row],[date]])</f>
        <v>11</v>
      </c>
      <c r="S958">
        <f>YEAR(Data_Set_3[[#This Row],[date]])</f>
        <v>2021</v>
      </c>
    </row>
    <row r="959" spans="1:19" x14ac:dyDescent="0.3">
      <c r="A959">
        <v>1022</v>
      </c>
      <c r="B959" t="s">
        <v>769</v>
      </c>
      <c r="C959" t="s">
        <v>825</v>
      </c>
      <c r="D959" t="s">
        <v>3008</v>
      </c>
      <c r="E959" t="s">
        <v>3009</v>
      </c>
      <c r="F959" t="s">
        <v>1888</v>
      </c>
      <c r="G959" t="s">
        <v>1794</v>
      </c>
      <c r="H959" t="s">
        <v>16</v>
      </c>
      <c r="I959" t="s">
        <v>17</v>
      </c>
      <c r="J959">
        <v>837</v>
      </c>
      <c r="K959" t="s">
        <v>26</v>
      </c>
      <c r="L959" s="2">
        <v>44516</v>
      </c>
      <c r="M959" t="s">
        <v>345</v>
      </c>
      <c r="N959" t="s">
        <v>220</v>
      </c>
      <c r="O959">
        <v>20430</v>
      </c>
      <c r="P959" t="s">
        <v>21</v>
      </c>
      <c r="Q959" t="str">
        <f>TEXT(Data_Set_3[[#This Row],[date]],"mmmm")</f>
        <v>November</v>
      </c>
      <c r="R959">
        <f>MONTH(Data_Set_3[[#This Row],[date]])</f>
        <v>11</v>
      </c>
      <c r="S959">
        <f>YEAR(Data_Set_3[[#This Row],[date]])</f>
        <v>2021</v>
      </c>
    </row>
    <row r="960" spans="1:19" x14ac:dyDescent="0.3">
      <c r="A960">
        <v>1212</v>
      </c>
      <c r="B960" t="s">
        <v>547</v>
      </c>
      <c r="C960" t="s">
        <v>337</v>
      </c>
      <c r="D960" t="s">
        <v>2828</v>
      </c>
      <c r="E960" t="s">
        <v>2829</v>
      </c>
      <c r="F960" t="s">
        <v>1608</v>
      </c>
      <c r="G960" t="s">
        <v>2830</v>
      </c>
      <c r="H960" t="s">
        <v>32</v>
      </c>
      <c r="I960" t="s">
        <v>33</v>
      </c>
      <c r="J960">
        <v>158</v>
      </c>
      <c r="K960" t="s">
        <v>34</v>
      </c>
      <c r="L960" s="2">
        <v>44518</v>
      </c>
      <c r="M960" t="s">
        <v>46</v>
      </c>
      <c r="N960" t="s">
        <v>47</v>
      </c>
      <c r="O960">
        <v>6183</v>
      </c>
      <c r="P960" t="s">
        <v>21</v>
      </c>
      <c r="Q960" t="str">
        <f>TEXT(Data_Set_3[[#This Row],[date]],"mmmm")</f>
        <v>November</v>
      </c>
      <c r="R960">
        <f>MONTH(Data_Set_3[[#This Row],[date]])</f>
        <v>11</v>
      </c>
      <c r="S960">
        <f>YEAR(Data_Set_3[[#This Row],[date]])</f>
        <v>2021</v>
      </c>
    </row>
    <row r="961" spans="1:19" x14ac:dyDescent="0.3">
      <c r="A961">
        <v>1298</v>
      </c>
      <c r="B961" t="s">
        <v>595</v>
      </c>
      <c r="C961" t="s">
        <v>293</v>
      </c>
      <c r="D961" t="s">
        <v>2900</v>
      </c>
      <c r="E961" t="s">
        <v>2901</v>
      </c>
      <c r="F961" t="s">
        <v>1539</v>
      </c>
      <c r="G961" t="s">
        <v>1952</v>
      </c>
      <c r="H961" t="s">
        <v>32</v>
      </c>
      <c r="I961" t="s">
        <v>543</v>
      </c>
      <c r="J961">
        <v>149</v>
      </c>
      <c r="K961" t="s">
        <v>73</v>
      </c>
      <c r="L961" s="2">
        <v>44518</v>
      </c>
      <c r="M961" t="s">
        <v>115</v>
      </c>
      <c r="N961" t="s">
        <v>351</v>
      </c>
      <c r="O961">
        <v>32891</v>
      </c>
      <c r="P961" t="s">
        <v>21</v>
      </c>
      <c r="Q961" t="str">
        <f>TEXT(Data_Set_3[[#This Row],[date]],"mmmm")</f>
        <v>November</v>
      </c>
      <c r="R961">
        <f>MONTH(Data_Set_3[[#This Row],[date]])</f>
        <v>11</v>
      </c>
      <c r="S961">
        <f>YEAR(Data_Set_3[[#This Row],[date]])</f>
        <v>2021</v>
      </c>
    </row>
    <row r="962" spans="1:19" x14ac:dyDescent="0.3">
      <c r="A962">
        <v>1556</v>
      </c>
      <c r="B962" t="s">
        <v>495</v>
      </c>
      <c r="C962" t="s">
        <v>3130</v>
      </c>
      <c r="D962" t="s">
        <v>3797</v>
      </c>
      <c r="E962" t="s">
        <v>3798</v>
      </c>
      <c r="F962" t="s">
        <v>2030</v>
      </c>
      <c r="G962" t="s">
        <v>2125</v>
      </c>
      <c r="H962" t="s">
        <v>32</v>
      </c>
      <c r="I962" t="s">
        <v>274</v>
      </c>
      <c r="J962">
        <v>444</v>
      </c>
      <c r="K962" t="s">
        <v>73</v>
      </c>
      <c r="L962" s="2">
        <v>44518</v>
      </c>
      <c r="M962" t="s">
        <v>68</v>
      </c>
      <c r="N962" t="s">
        <v>1076</v>
      </c>
      <c r="O962">
        <v>76192</v>
      </c>
      <c r="P962" t="s">
        <v>21</v>
      </c>
      <c r="Q962" t="str">
        <f>TEXT(Data_Set_3[[#This Row],[date]],"mmmm")</f>
        <v>November</v>
      </c>
      <c r="R962">
        <f>MONTH(Data_Set_3[[#This Row],[date]])</f>
        <v>11</v>
      </c>
      <c r="S962">
        <f>YEAR(Data_Set_3[[#This Row],[date]])</f>
        <v>2021</v>
      </c>
    </row>
    <row r="963" spans="1:19" x14ac:dyDescent="0.3">
      <c r="A963">
        <v>1807</v>
      </c>
      <c r="B963" t="s">
        <v>324</v>
      </c>
      <c r="C963" t="s">
        <v>820</v>
      </c>
      <c r="D963" t="s">
        <v>3799</v>
      </c>
      <c r="E963" t="s">
        <v>3800</v>
      </c>
      <c r="F963" t="s">
        <v>3076</v>
      </c>
      <c r="G963" t="s">
        <v>2215</v>
      </c>
      <c r="H963" t="s">
        <v>32</v>
      </c>
      <c r="I963" t="s">
        <v>2941</v>
      </c>
      <c r="J963">
        <v>895</v>
      </c>
      <c r="K963" t="s">
        <v>34</v>
      </c>
      <c r="L963" s="2">
        <v>44518</v>
      </c>
      <c r="M963" t="s">
        <v>68</v>
      </c>
      <c r="N963" t="s">
        <v>498</v>
      </c>
      <c r="O963">
        <v>76305</v>
      </c>
      <c r="P963" t="s">
        <v>21</v>
      </c>
      <c r="Q963" t="str">
        <f>TEXT(Data_Set_3[[#This Row],[date]],"mmmm")</f>
        <v>November</v>
      </c>
      <c r="R963">
        <f>MONTH(Data_Set_3[[#This Row],[date]])</f>
        <v>11</v>
      </c>
      <c r="S963">
        <f>YEAR(Data_Set_3[[#This Row],[date]])</f>
        <v>2021</v>
      </c>
    </row>
    <row r="964" spans="1:19" x14ac:dyDescent="0.3">
      <c r="A964">
        <v>1297</v>
      </c>
      <c r="B964" t="s">
        <v>304</v>
      </c>
      <c r="C964" t="s">
        <v>182</v>
      </c>
      <c r="D964" t="s">
        <v>3801</v>
      </c>
      <c r="E964" t="s">
        <v>3802</v>
      </c>
      <c r="F964" t="s">
        <v>1961</v>
      </c>
      <c r="G964" t="s">
        <v>1370</v>
      </c>
      <c r="H964" t="s">
        <v>32</v>
      </c>
      <c r="I964" t="s">
        <v>2941</v>
      </c>
      <c r="J964">
        <v>678</v>
      </c>
      <c r="K964" t="s">
        <v>26</v>
      </c>
      <c r="L964" s="2">
        <v>44519</v>
      </c>
      <c r="M964" t="s">
        <v>184</v>
      </c>
      <c r="N964" t="s">
        <v>197</v>
      </c>
      <c r="O964">
        <v>10275</v>
      </c>
      <c r="P964" t="s">
        <v>21</v>
      </c>
      <c r="Q964" t="str">
        <f>TEXT(Data_Set_3[[#This Row],[date]],"mmmm")</f>
        <v>November</v>
      </c>
      <c r="R964">
        <f>MONTH(Data_Set_3[[#This Row],[date]])</f>
        <v>11</v>
      </c>
      <c r="S964">
        <f>YEAR(Data_Set_3[[#This Row],[date]])</f>
        <v>2021</v>
      </c>
    </row>
    <row r="965" spans="1:19" x14ac:dyDescent="0.3">
      <c r="A965">
        <v>1019</v>
      </c>
      <c r="B965" t="s">
        <v>460</v>
      </c>
      <c r="C965" t="s">
        <v>446</v>
      </c>
      <c r="D965" t="s">
        <v>3093</v>
      </c>
      <c r="E965" t="s">
        <v>3094</v>
      </c>
      <c r="F965" t="s">
        <v>1323</v>
      </c>
      <c r="G965" t="s">
        <v>2495</v>
      </c>
      <c r="H965" t="s">
        <v>32</v>
      </c>
      <c r="I965" t="s">
        <v>17</v>
      </c>
      <c r="J965">
        <v>847</v>
      </c>
      <c r="K965" t="s">
        <v>62</v>
      </c>
      <c r="L965" s="2">
        <v>44522</v>
      </c>
      <c r="M965" t="s">
        <v>563</v>
      </c>
      <c r="N965" t="s">
        <v>564</v>
      </c>
      <c r="O965">
        <v>83705</v>
      </c>
      <c r="P965" t="s">
        <v>21</v>
      </c>
      <c r="Q965" t="str">
        <f>TEXT(Data_Set_3[[#This Row],[date]],"mmmm")</f>
        <v>November</v>
      </c>
      <c r="R965">
        <f>MONTH(Data_Set_3[[#This Row],[date]])</f>
        <v>11</v>
      </c>
      <c r="S965">
        <f>YEAR(Data_Set_3[[#This Row],[date]])</f>
        <v>2021</v>
      </c>
    </row>
    <row r="966" spans="1:19" x14ac:dyDescent="0.3">
      <c r="A966">
        <v>1405</v>
      </c>
      <c r="B966" t="s">
        <v>1118</v>
      </c>
      <c r="C966" t="s">
        <v>3068</v>
      </c>
      <c r="D966" t="s">
        <v>3803</v>
      </c>
      <c r="E966" t="s">
        <v>3804</v>
      </c>
      <c r="F966" t="s">
        <v>1378</v>
      </c>
      <c r="G966" t="s">
        <v>2763</v>
      </c>
      <c r="H966" t="s">
        <v>32</v>
      </c>
      <c r="I966" t="s">
        <v>274</v>
      </c>
      <c r="J966">
        <v>617</v>
      </c>
      <c r="K966" t="s">
        <v>18</v>
      </c>
      <c r="L966" s="2">
        <v>44523</v>
      </c>
      <c r="M966" t="s">
        <v>192</v>
      </c>
      <c r="N966" t="s">
        <v>193</v>
      </c>
      <c r="O966">
        <v>55446</v>
      </c>
      <c r="P966" t="s">
        <v>21</v>
      </c>
      <c r="Q966" t="str">
        <f>TEXT(Data_Set_3[[#This Row],[date]],"mmmm")</f>
        <v>November</v>
      </c>
      <c r="R966">
        <f>MONTH(Data_Set_3[[#This Row],[date]])</f>
        <v>11</v>
      </c>
      <c r="S966">
        <f>YEAR(Data_Set_3[[#This Row],[date]])</f>
        <v>2021</v>
      </c>
    </row>
    <row r="967" spans="1:19" x14ac:dyDescent="0.3">
      <c r="A967">
        <v>1925</v>
      </c>
      <c r="B967" t="s">
        <v>181</v>
      </c>
      <c r="C967" t="s">
        <v>461</v>
      </c>
      <c r="D967" t="s">
        <v>3805</v>
      </c>
      <c r="E967" t="s">
        <v>3806</v>
      </c>
      <c r="F967" t="s">
        <v>1659</v>
      </c>
      <c r="G967" t="s">
        <v>1726</v>
      </c>
      <c r="H967" t="s">
        <v>32</v>
      </c>
      <c r="I967" t="s">
        <v>361</v>
      </c>
      <c r="J967">
        <v>559</v>
      </c>
      <c r="K967" t="s">
        <v>164</v>
      </c>
      <c r="L967" s="2">
        <v>44525</v>
      </c>
      <c r="M967" t="s">
        <v>68</v>
      </c>
      <c r="N967" t="s">
        <v>234</v>
      </c>
      <c r="O967">
        <v>77293</v>
      </c>
      <c r="P967" t="s">
        <v>21</v>
      </c>
      <c r="Q967" t="str">
        <f>TEXT(Data_Set_3[[#This Row],[date]],"mmmm")</f>
        <v>November</v>
      </c>
      <c r="R967">
        <f>MONTH(Data_Set_3[[#This Row],[date]])</f>
        <v>11</v>
      </c>
      <c r="S967">
        <f>YEAR(Data_Set_3[[#This Row],[date]])</f>
        <v>2021</v>
      </c>
    </row>
    <row r="968" spans="1:19" x14ac:dyDescent="0.3">
      <c r="A968">
        <v>1991</v>
      </c>
      <c r="B968" t="s">
        <v>602</v>
      </c>
      <c r="C968" t="s">
        <v>624</v>
      </c>
      <c r="D968" t="s">
        <v>2839</v>
      </c>
      <c r="E968" t="s">
        <v>2840</v>
      </c>
      <c r="F968" t="s">
        <v>2255</v>
      </c>
      <c r="G968" t="s">
        <v>2159</v>
      </c>
      <c r="H968" t="s">
        <v>32</v>
      </c>
      <c r="I968" t="s">
        <v>33</v>
      </c>
      <c r="J968">
        <v>306</v>
      </c>
      <c r="K968" t="s">
        <v>26</v>
      </c>
      <c r="L968" s="2">
        <v>44525</v>
      </c>
      <c r="M968" t="s">
        <v>435</v>
      </c>
      <c r="N968" t="s">
        <v>436</v>
      </c>
      <c r="O968">
        <v>87180</v>
      </c>
      <c r="P968" t="s">
        <v>21</v>
      </c>
      <c r="Q968" t="str">
        <f>TEXT(Data_Set_3[[#This Row],[date]],"mmmm")</f>
        <v>November</v>
      </c>
      <c r="R968">
        <f>MONTH(Data_Set_3[[#This Row],[date]])</f>
        <v>11</v>
      </c>
      <c r="S968">
        <f>YEAR(Data_Set_3[[#This Row],[date]])</f>
        <v>2021</v>
      </c>
    </row>
    <row r="969" spans="1:19" x14ac:dyDescent="0.3">
      <c r="A969">
        <v>1926</v>
      </c>
      <c r="B969" t="s">
        <v>29</v>
      </c>
      <c r="C969" t="s">
        <v>816</v>
      </c>
      <c r="D969" t="s">
        <v>3807</v>
      </c>
      <c r="E969" t="s">
        <v>3808</v>
      </c>
      <c r="F969" t="s">
        <v>1768</v>
      </c>
      <c r="G969" t="s">
        <v>2752</v>
      </c>
      <c r="H969" t="s">
        <v>32</v>
      </c>
      <c r="I969" t="s">
        <v>25</v>
      </c>
      <c r="J969">
        <v>155</v>
      </c>
      <c r="K969" t="s">
        <v>73</v>
      </c>
      <c r="L969" s="2">
        <v>44527</v>
      </c>
      <c r="M969" t="s">
        <v>35</v>
      </c>
      <c r="N969" t="s">
        <v>180</v>
      </c>
      <c r="O969">
        <v>95108</v>
      </c>
      <c r="P969" t="s">
        <v>21</v>
      </c>
      <c r="Q969" t="str">
        <f>TEXT(Data_Set_3[[#This Row],[date]],"mmmm")</f>
        <v>November</v>
      </c>
      <c r="R969">
        <f>MONTH(Data_Set_3[[#This Row],[date]])</f>
        <v>11</v>
      </c>
      <c r="S969">
        <f>YEAR(Data_Set_3[[#This Row],[date]])</f>
        <v>2021</v>
      </c>
    </row>
    <row r="970" spans="1:19" x14ac:dyDescent="0.3">
      <c r="A970">
        <v>1609</v>
      </c>
      <c r="B970" t="s">
        <v>547</v>
      </c>
      <c r="C970" t="s">
        <v>3712</v>
      </c>
      <c r="D970" t="s">
        <v>3809</v>
      </c>
      <c r="E970" t="s">
        <v>3810</v>
      </c>
      <c r="F970" t="s">
        <v>1314</v>
      </c>
      <c r="G970" t="s">
        <v>1502</v>
      </c>
      <c r="H970" t="s">
        <v>32</v>
      </c>
      <c r="I970" t="s">
        <v>17</v>
      </c>
      <c r="J970">
        <v>14</v>
      </c>
      <c r="K970" t="s">
        <v>109</v>
      </c>
      <c r="L970" s="2">
        <v>44528</v>
      </c>
      <c r="M970" t="s">
        <v>74</v>
      </c>
      <c r="N970" t="s">
        <v>400</v>
      </c>
      <c r="O970">
        <v>30195</v>
      </c>
      <c r="P970" t="s">
        <v>21</v>
      </c>
      <c r="Q970" t="str">
        <f>TEXT(Data_Set_3[[#This Row],[date]],"mmmm")</f>
        <v>November</v>
      </c>
      <c r="R970">
        <f>MONTH(Data_Set_3[[#This Row],[date]])</f>
        <v>11</v>
      </c>
      <c r="S970">
        <f>YEAR(Data_Set_3[[#This Row],[date]])</f>
        <v>2021</v>
      </c>
    </row>
    <row r="971" spans="1:19" x14ac:dyDescent="0.3">
      <c r="A971">
        <v>1880</v>
      </c>
      <c r="B971" t="s">
        <v>304</v>
      </c>
      <c r="C971" t="s">
        <v>526</v>
      </c>
      <c r="D971" t="s">
        <v>2831</v>
      </c>
      <c r="E971" t="s">
        <v>2832</v>
      </c>
      <c r="F971" t="s">
        <v>1376</v>
      </c>
      <c r="G971" t="s">
        <v>2577</v>
      </c>
      <c r="H971" t="s">
        <v>32</v>
      </c>
      <c r="I971" t="s">
        <v>274</v>
      </c>
      <c r="J971">
        <v>181</v>
      </c>
      <c r="K971" t="s">
        <v>26</v>
      </c>
      <c r="L971" s="2">
        <v>44529</v>
      </c>
      <c r="M971" t="s">
        <v>246</v>
      </c>
      <c r="N971" t="s">
        <v>339</v>
      </c>
      <c r="O971">
        <v>60614</v>
      </c>
      <c r="P971" t="s">
        <v>21</v>
      </c>
      <c r="Q971" t="str">
        <f>TEXT(Data_Set_3[[#This Row],[date]],"mmmm")</f>
        <v>November</v>
      </c>
      <c r="R971">
        <f>MONTH(Data_Set_3[[#This Row],[date]])</f>
        <v>11</v>
      </c>
      <c r="S971">
        <f>YEAR(Data_Set_3[[#This Row],[date]])</f>
        <v>2021</v>
      </c>
    </row>
    <row r="972" spans="1:19" x14ac:dyDescent="0.3">
      <c r="A972">
        <v>1170</v>
      </c>
      <c r="B972" t="s">
        <v>22</v>
      </c>
      <c r="C972" t="s">
        <v>883</v>
      </c>
      <c r="D972" t="s">
        <v>2837</v>
      </c>
      <c r="E972" t="s">
        <v>2838</v>
      </c>
      <c r="F972" t="s">
        <v>2430</v>
      </c>
      <c r="G972" t="s">
        <v>1333</v>
      </c>
      <c r="H972" t="s">
        <v>16</v>
      </c>
      <c r="I972" t="s">
        <v>33</v>
      </c>
      <c r="J972">
        <v>547</v>
      </c>
      <c r="K972" t="s">
        <v>164</v>
      </c>
      <c r="L972" s="2">
        <v>44530</v>
      </c>
      <c r="M972" t="s">
        <v>68</v>
      </c>
      <c r="N972" t="s">
        <v>169</v>
      </c>
      <c r="O972">
        <v>88574</v>
      </c>
      <c r="P972" t="s">
        <v>21</v>
      </c>
      <c r="Q972" t="str">
        <f>TEXT(Data_Set_3[[#This Row],[date]],"mmmm")</f>
        <v>November</v>
      </c>
      <c r="R972">
        <f>MONTH(Data_Set_3[[#This Row],[date]])</f>
        <v>11</v>
      </c>
      <c r="S972">
        <f>YEAR(Data_Set_3[[#This Row],[date]])</f>
        <v>2021</v>
      </c>
    </row>
    <row r="973" spans="1:19" x14ac:dyDescent="0.3">
      <c r="A973">
        <v>1170</v>
      </c>
      <c r="B973" t="s">
        <v>22</v>
      </c>
      <c r="C973" t="s">
        <v>883</v>
      </c>
      <c r="D973" t="s">
        <v>2837</v>
      </c>
      <c r="E973" t="s">
        <v>2838</v>
      </c>
      <c r="F973" t="s">
        <v>2430</v>
      </c>
      <c r="G973" t="s">
        <v>1333</v>
      </c>
      <c r="H973" t="s">
        <v>16</v>
      </c>
      <c r="I973" t="s">
        <v>33</v>
      </c>
      <c r="J973">
        <v>131</v>
      </c>
      <c r="K973" t="s">
        <v>164</v>
      </c>
      <c r="L973" s="2">
        <v>44535</v>
      </c>
      <c r="M973" t="s">
        <v>68</v>
      </c>
      <c r="N973" t="s">
        <v>169</v>
      </c>
      <c r="O973">
        <v>88574</v>
      </c>
      <c r="P973" t="s">
        <v>21</v>
      </c>
      <c r="Q973" t="str">
        <f>TEXT(Data_Set_3[[#This Row],[date]],"mmmm")</f>
        <v>December</v>
      </c>
      <c r="R973">
        <f>MONTH(Data_Set_3[[#This Row],[date]])</f>
        <v>12</v>
      </c>
      <c r="S973">
        <f>YEAR(Data_Set_3[[#This Row],[date]])</f>
        <v>2021</v>
      </c>
    </row>
    <row r="974" spans="1:19" x14ac:dyDescent="0.3">
      <c r="A974">
        <v>1170</v>
      </c>
      <c r="B974" t="s">
        <v>22</v>
      </c>
      <c r="C974" t="s">
        <v>883</v>
      </c>
      <c r="D974" t="s">
        <v>2837</v>
      </c>
      <c r="E974" t="s">
        <v>2838</v>
      </c>
      <c r="F974" t="s">
        <v>2430</v>
      </c>
      <c r="G974" t="s">
        <v>1333</v>
      </c>
      <c r="H974" t="s">
        <v>16</v>
      </c>
      <c r="I974" t="s">
        <v>33</v>
      </c>
      <c r="J974">
        <v>203</v>
      </c>
      <c r="K974" t="s">
        <v>164</v>
      </c>
      <c r="L974" s="2">
        <v>44537</v>
      </c>
      <c r="M974" t="s">
        <v>68</v>
      </c>
      <c r="N974" t="s">
        <v>169</v>
      </c>
      <c r="O974">
        <v>88574</v>
      </c>
      <c r="P974" t="s">
        <v>21</v>
      </c>
      <c r="Q974" t="str">
        <f>TEXT(Data_Set_3[[#This Row],[date]],"mmmm")</f>
        <v>December</v>
      </c>
      <c r="R974">
        <f>MONTH(Data_Set_3[[#This Row],[date]])</f>
        <v>12</v>
      </c>
      <c r="S974">
        <f>YEAR(Data_Set_3[[#This Row],[date]])</f>
        <v>2021</v>
      </c>
    </row>
    <row r="975" spans="1:19" x14ac:dyDescent="0.3">
      <c r="A975">
        <v>1613</v>
      </c>
      <c r="B975" t="s">
        <v>999</v>
      </c>
      <c r="C975" t="s">
        <v>764</v>
      </c>
      <c r="D975" t="s">
        <v>3811</v>
      </c>
      <c r="E975" t="s">
        <v>3812</v>
      </c>
      <c r="F975" t="s">
        <v>1869</v>
      </c>
      <c r="G975" t="s">
        <v>1676</v>
      </c>
      <c r="H975" t="s">
        <v>32</v>
      </c>
      <c r="I975" t="s">
        <v>17</v>
      </c>
      <c r="J975">
        <v>697</v>
      </c>
      <c r="K975" t="s">
        <v>73</v>
      </c>
      <c r="L975" s="2">
        <v>44537</v>
      </c>
      <c r="M975" t="s">
        <v>172</v>
      </c>
      <c r="N975" t="s">
        <v>3577</v>
      </c>
      <c r="O975">
        <v>39534</v>
      </c>
      <c r="P975" t="s">
        <v>21</v>
      </c>
      <c r="Q975" t="str">
        <f>TEXT(Data_Set_3[[#This Row],[date]],"mmmm")</f>
        <v>December</v>
      </c>
      <c r="R975">
        <f>MONTH(Data_Set_3[[#This Row],[date]])</f>
        <v>12</v>
      </c>
      <c r="S975">
        <f>YEAR(Data_Set_3[[#This Row],[date]])</f>
        <v>2021</v>
      </c>
    </row>
    <row r="976" spans="1:19" x14ac:dyDescent="0.3">
      <c r="A976">
        <v>1260</v>
      </c>
      <c r="B976" t="s">
        <v>417</v>
      </c>
      <c r="C976" t="s">
        <v>2904</v>
      </c>
      <c r="D976" t="s">
        <v>2905</v>
      </c>
      <c r="E976" t="s">
        <v>2906</v>
      </c>
      <c r="F976" t="s">
        <v>1777</v>
      </c>
      <c r="G976" t="s">
        <v>2571</v>
      </c>
      <c r="H976" t="s">
        <v>16</v>
      </c>
      <c r="I976" t="s">
        <v>543</v>
      </c>
      <c r="J976">
        <v>214</v>
      </c>
      <c r="K976" t="s">
        <v>26</v>
      </c>
      <c r="L976" s="2">
        <v>44538</v>
      </c>
      <c r="M976" t="s">
        <v>220</v>
      </c>
      <c r="N976" t="s">
        <v>2907</v>
      </c>
      <c r="O976">
        <v>99215</v>
      </c>
      <c r="P976" t="s">
        <v>21</v>
      </c>
      <c r="Q976" t="str">
        <f>TEXT(Data_Set_3[[#This Row],[date]],"mmmm")</f>
        <v>December</v>
      </c>
      <c r="R976">
        <f>MONTH(Data_Set_3[[#This Row],[date]])</f>
        <v>12</v>
      </c>
      <c r="S976">
        <f>YEAR(Data_Set_3[[#This Row],[date]])</f>
        <v>2021</v>
      </c>
    </row>
    <row r="977" spans="1:19" x14ac:dyDescent="0.3">
      <c r="A977">
        <v>1783</v>
      </c>
      <c r="B977" t="s">
        <v>721</v>
      </c>
      <c r="C977" t="s">
        <v>2884</v>
      </c>
      <c r="D977" t="s">
        <v>2885</v>
      </c>
      <c r="E977" t="s">
        <v>2886</v>
      </c>
      <c r="F977" t="s">
        <v>1539</v>
      </c>
      <c r="G977" t="s">
        <v>2887</v>
      </c>
      <c r="H977" t="s">
        <v>16</v>
      </c>
      <c r="I977" t="s">
        <v>25</v>
      </c>
      <c r="J977">
        <v>249</v>
      </c>
      <c r="K977" t="s">
        <v>57</v>
      </c>
      <c r="L977" s="2">
        <v>44539</v>
      </c>
      <c r="M977" t="s">
        <v>287</v>
      </c>
      <c r="N977" t="s">
        <v>288</v>
      </c>
      <c r="O977">
        <v>85715</v>
      </c>
      <c r="P977" t="s">
        <v>21</v>
      </c>
      <c r="Q977" t="str">
        <f>TEXT(Data_Set_3[[#This Row],[date]],"mmmm")</f>
        <v>December</v>
      </c>
      <c r="R977">
        <f>MONTH(Data_Set_3[[#This Row],[date]])</f>
        <v>12</v>
      </c>
      <c r="S977">
        <f>YEAR(Data_Set_3[[#This Row],[date]])</f>
        <v>2021</v>
      </c>
    </row>
    <row r="978" spans="1:19" x14ac:dyDescent="0.3">
      <c r="A978">
        <v>1405</v>
      </c>
      <c r="B978" t="s">
        <v>1118</v>
      </c>
      <c r="C978" t="s">
        <v>3068</v>
      </c>
      <c r="D978" t="s">
        <v>3803</v>
      </c>
      <c r="E978" t="s">
        <v>3804</v>
      </c>
      <c r="F978" t="s">
        <v>1378</v>
      </c>
      <c r="G978" t="s">
        <v>2763</v>
      </c>
      <c r="H978" t="s">
        <v>32</v>
      </c>
      <c r="I978" t="s">
        <v>274</v>
      </c>
      <c r="J978">
        <v>40</v>
      </c>
      <c r="K978" t="s">
        <v>18</v>
      </c>
      <c r="L978" s="2">
        <v>44541</v>
      </c>
      <c r="M978" t="s">
        <v>192</v>
      </c>
      <c r="N978" t="s">
        <v>193</v>
      </c>
      <c r="O978">
        <v>55446</v>
      </c>
      <c r="P978" t="s">
        <v>21</v>
      </c>
      <c r="Q978" t="str">
        <f>TEXT(Data_Set_3[[#This Row],[date]],"mmmm")</f>
        <v>December</v>
      </c>
      <c r="R978">
        <f>MONTH(Data_Set_3[[#This Row],[date]])</f>
        <v>12</v>
      </c>
      <c r="S978">
        <f>YEAR(Data_Set_3[[#This Row],[date]])</f>
        <v>2021</v>
      </c>
    </row>
    <row r="979" spans="1:19" x14ac:dyDescent="0.3">
      <c r="A979">
        <v>1001</v>
      </c>
      <c r="B979" t="s">
        <v>289</v>
      </c>
      <c r="C979" t="s">
        <v>1017</v>
      </c>
      <c r="D979" t="s">
        <v>2874</v>
      </c>
      <c r="E979" t="s">
        <v>2875</v>
      </c>
      <c r="F979" t="s">
        <v>2249</v>
      </c>
      <c r="G979" t="s">
        <v>1766</v>
      </c>
      <c r="H979" t="s">
        <v>16</v>
      </c>
      <c r="I979" t="s">
        <v>17</v>
      </c>
      <c r="J979">
        <v>851</v>
      </c>
      <c r="K979" t="s">
        <v>34</v>
      </c>
      <c r="L979" s="2">
        <v>44543</v>
      </c>
      <c r="M979" t="s">
        <v>68</v>
      </c>
      <c r="N979" t="s">
        <v>169</v>
      </c>
      <c r="O979">
        <v>88563</v>
      </c>
      <c r="P979" t="s">
        <v>21</v>
      </c>
      <c r="Q979" t="str">
        <f>TEXT(Data_Set_3[[#This Row],[date]],"mmmm")</f>
        <v>December</v>
      </c>
      <c r="R979">
        <f>MONTH(Data_Set_3[[#This Row],[date]])</f>
        <v>12</v>
      </c>
      <c r="S979">
        <f>YEAR(Data_Set_3[[#This Row],[date]])</f>
        <v>2021</v>
      </c>
    </row>
    <row r="980" spans="1:19" x14ac:dyDescent="0.3">
      <c r="A980">
        <v>1212</v>
      </c>
      <c r="B980" t="s">
        <v>547</v>
      </c>
      <c r="C980" t="s">
        <v>337</v>
      </c>
      <c r="D980" t="s">
        <v>2828</v>
      </c>
      <c r="E980" t="s">
        <v>2829</v>
      </c>
      <c r="F980" t="s">
        <v>1608</v>
      </c>
      <c r="G980" t="s">
        <v>2830</v>
      </c>
      <c r="H980" t="s">
        <v>32</v>
      </c>
      <c r="I980" t="s">
        <v>33</v>
      </c>
      <c r="J980">
        <v>207</v>
      </c>
      <c r="K980" t="s">
        <v>34</v>
      </c>
      <c r="L980" s="2">
        <v>44543</v>
      </c>
      <c r="M980" t="s">
        <v>46</v>
      </c>
      <c r="N980" t="s">
        <v>47</v>
      </c>
      <c r="O980">
        <v>6183</v>
      </c>
      <c r="P980" t="s">
        <v>21</v>
      </c>
      <c r="Q980" t="str">
        <f>TEXT(Data_Set_3[[#This Row],[date]],"mmmm")</f>
        <v>December</v>
      </c>
      <c r="R980">
        <f>MONTH(Data_Set_3[[#This Row],[date]])</f>
        <v>12</v>
      </c>
      <c r="S980">
        <f>YEAR(Data_Set_3[[#This Row],[date]])</f>
        <v>2021</v>
      </c>
    </row>
    <row r="981" spans="1:19" x14ac:dyDescent="0.3">
      <c r="A981">
        <v>1934</v>
      </c>
      <c r="B981" t="s">
        <v>43</v>
      </c>
      <c r="C981" t="s">
        <v>838</v>
      </c>
      <c r="D981" t="s">
        <v>3813</v>
      </c>
      <c r="E981" t="s">
        <v>3814</v>
      </c>
      <c r="F981" t="s">
        <v>1700</v>
      </c>
      <c r="G981" t="s">
        <v>1596</v>
      </c>
      <c r="H981" t="s">
        <v>16</v>
      </c>
      <c r="I981" t="s">
        <v>2813</v>
      </c>
      <c r="J981">
        <v>369</v>
      </c>
      <c r="K981" t="s">
        <v>18</v>
      </c>
      <c r="L981" s="2">
        <v>44546</v>
      </c>
      <c r="M981" t="s">
        <v>287</v>
      </c>
      <c r="N981" t="s">
        <v>36</v>
      </c>
      <c r="O981">
        <v>85305</v>
      </c>
      <c r="P981" t="s">
        <v>21</v>
      </c>
      <c r="Q981" t="str">
        <f>TEXT(Data_Set_3[[#This Row],[date]],"mmmm")</f>
        <v>December</v>
      </c>
      <c r="R981">
        <f>MONTH(Data_Set_3[[#This Row],[date]])</f>
        <v>12</v>
      </c>
      <c r="S981">
        <f>YEAR(Data_Set_3[[#This Row],[date]])</f>
        <v>2021</v>
      </c>
    </row>
    <row r="982" spans="1:19" x14ac:dyDescent="0.3">
      <c r="A982">
        <v>1695</v>
      </c>
      <c r="B982" t="s">
        <v>194</v>
      </c>
      <c r="C982" t="s">
        <v>2949</v>
      </c>
      <c r="D982" t="s">
        <v>3815</v>
      </c>
      <c r="E982" t="s">
        <v>3816</v>
      </c>
      <c r="F982" t="s">
        <v>2233</v>
      </c>
      <c r="G982" t="s">
        <v>1520</v>
      </c>
      <c r="H982" t="s">
        <v>32</v>
      </c>
      <c r="I982" t="s">
        <v>17</v>
      </c>
      <c r="J982">
        <v>304</v>
      </c>
      <c r="K982" t="s">
        <v>34</v>
      </c>
      <c r="L982" s="2">
        <v>44547</v>
      </c>
      <c r="M982" t="s">
        <v>74</v>
      </c>
      <c r="N982" t="s">
        <v>787</v>
      </c>
      <c r="O982">
        <v>31210</v>
      </c>
      <c r="P982" t="s">
        <v>21</v>
      </c>
      <c r="Q982" t="str">
        <f>TEXT(Data_Set_3[[#This Row],[date]],"mmmm")</f>
        <v>December</v>
      </c>
      <c r="R982">
        <f>MONTH(Data_Set_3[[#This Row],[date]])</f>
        <v>12</v>
      </c>
      <c r="S982">
        <f>YEAR(Data_Set_3[[#This Row],[date]])</f>
        <v>2021</v>
      </c>
    </row>
    <row r="983" spans="1:19" x14ac:dyDescent="0.3">
      <c r="A983">
        <v>1123</v>
      </c>
      <c r="B983" t="s">
        <v>1130</v>
      </c>
      <c r="C983" t="s">
        <v>423</v>
      </c>
      <c r="D983" t="s">
        <v>3031</v>
      </c>
      <c r="E983" t="s">
        <v>3032</v>
      </c>
      <c r="F983" t="s">
        <v>1450</v>
      </c>
      <c r="G983" t="s">
        <v>1985</v>
      </c>
      <c r="H983" t="s">
        <v>16</v>
      </c>
      <c r="I983" t="s">
        <v>51</v>
      </c>
      <c r="J983">
        <v>768</v>
      </c>
      <c r="K983" t="s">
        <v>164</v>
      </c>
      <c r="L983" s="2">
        <v>44549</v>
      </c>
      <c r="M983" t="s">
        <v>115</v>
      </c>
      <c r="N983" t="s">
        <v>864</v>
      </c>
      <c r="O983">
        <v>33673</v>
      </c>
      <c r="P983" t="s">
        <v>21</v>
      </c>
      <c r="Q983" t="str">
        <f>TEXT(Data_Set_3[[#This Row],[date]],"mmmm")</f>
        <v>December</v>
      </c>
      <c r="R983">
        <f>MONTH(Data_Set_3[[#This Row],[date]])</f>
        <v>12</v>
      </c>
      <c r="S983">
        <f>YEAR(Data_Set_3[[#This Row],[date]])</f>
        <v>2021</v>
      </c>
    </row>
    <row r="984" spans="1:19" x14ac:dyDescent="0.3">
      <c r="A984">
        <v>1535</v>
      </c>
      <c r="B984" t="s">
        <v>1093</v>
      </c>
      <c r="C984" t="s">
        <v>49</v>
      </c>
      <c r="D984" t="s">
        <v>3817</v>
      </c>
      <c r="E984" t="s">
        <v>3818</v>
      </c>
      <c r="F984" t="s">
        <v>1680</v>
      </c>
      <c r="G984" t="s">
        <v>2265</v>
      </c>
      <c r="H984" t="s">
        <v>16</v>
      </c>
      <c r="I984" t="s">
        <v>406</v>
      </c>
      <c r="J984">
        <v>781</v>
      </c>
      <c r="K984" t="s">
        <v>40</v>
      </c>
      <c r="L984" s="2">
        <v>44549</v>
      </c>
      <c r="M984" t="s">
        <v>524</v>
      </c>
      <c r="N984" t="s">
        <v>872</v>
      </c>
      <c r="O984">
        <v>35805</v>
      </c>
      <c r="P984" t="s">
        <v>21</v>
      </c>
      <c r="Q984" t="str">
        <f>TEXT(Data_Set_3[[#This Row],[date]],"mmmm")</f>
        <v>December</v>
      </c>
      <c r="R984">
        <f>MONTH(Data_Set_3[[#This Row],[date]])</f>
        <v>12</v>
      </c>
      <c r="S984">
        <f>YEAR(Data_Set_3[[#This Row],[date]])</f>
        <v>2021</v>
      </c>
    </row>
    <row r="985" spans="1:19" x14ac:dyDescent="0.3">
      <c r="A985">
        <v>1020</v>
      </c>
      <c r="B985" t="s">
        <v>122</v>
      </c>
      <c r="C985" t="s">
        <v>954</v>
      </c>
      <c r="D985" t="s">
        <v>2888</v>
      </c>
      <c r="E985" t="s">
        <v>2889</v>
      </c>
      <c r="F985" t="s">
        <v>1998</v>
      </c>
      <c r="G985" t="s">
        <v>1926</v>
      </c>
      <c r="H985" t="s">
        <v>32</v>
      </c>
      <c r="I985" t="s">
        <v>17</v>
      </c>
      <c r="J985">
        <v>444</v>
      </c>
      <c r="K985" t="s">
        <v>26</v>
      </c>
      <c r="L985" s="2">
        <v>44553</v>
      </c>
      <c r="M985" t="s">
        <v>35</v>
      </c>
      <c r="N985" t="s">
        <v>620</v>
      </c>
      <c r="O985">
        <v>94105</v>
      </c>
      <c r="P985" t="s">
        <v>21</v>
      </c>
      <c r="Q985" t="str">
        <f>TEXT(Data_Set_3[[#This Row],[date]],"mmmm")</f>
        <v>December</v>
      </c>
      <c r="R985">
        <f>MONTH(Data_Set_3[[#This Row],[date]])</f>
        <v>12</v>
      </c>
      <c r="S985">
        <f>YEAR(Data_Set_3[[#This Row],[date]])</f>
        <v>2021</v>
      </c>
    </row>
    <row r="986" spans="1:19" x14ac:dyDescent="0.3">
      <c r="A986">
        <v>1634</v>
      </c>
      <c r="B986" t="s">
        <v>48</v>
      </c>
      <c r="C986" t="s">
        <v>847</v>
      </c>
      <c r="D986" t="s">
        <v>3819</v>
      </c>
      <c r="E986" t="s">
        <v>3820</v>
      </c>
      <c r="F986" t="s">
        <v>1287</v>
      </c>
      <c r="G986" t="s">
        <v>1822</v>
      </c>
      <c r="H986" t="s">
        <v>32</v>
      </c>
      <c r="I986" t="s">
        <v>17</v>
      </c>
      <c r="J986">
        <v>197</v>
      </c>
      <c r="K986" t="s">
        <v>109</v>
      </c>
      <c r="L986" s="2">
        <v>44555</v>
      </c>
      <c r="M986" t="s">
        <v>63</v>
      </c>
      <c r="N986" t="s">
        <v>448</v>
      </c>
      <c r="O986">
        <v>68510</v>
      </c>
      <c r="P986" t="s">
        <v>21</v>
      </c>
      <c r="Q986" t="str">
        <f>TEXT(Data_Set_3[[#This Row],[date]],"mmmm")</f>
        <v>December</v>
      </c>
      <c r="R986">
        <f>MONTH(Data_Set_3[[#This Row],[date]])</f>
        <v>12</v>
      </c>
      <c r="S986">
        <f>YEAR(Data_Set_3[[#This Row],[date]])</f>
        <v>2021</v>
      </c>
    </row>
    <row r="987" spans="1:19" x14ac:dyDescent="0.3">
      <c r="A987">
        <v>1021</v>
      </c>
      <c r="B987" t="s">
        <v>495</v>
      </c>
      <c r="C987" t="s">
        <v>567</v>
      </c>
      <c r="D987" t="s">
        <v>2795</v>
      </c>
      <c r="E987" t="s">
        <v>2796</v>
      </c>
      <c r="F987" t="s">
        <v>1330</v>
      </c>
      <c r="G987" t="s">
        <v>1863</v>
      </c>
      <c r="H987" t="s">
        <v>32</v>
      </c>
      <c r="I987" t="s">
        <v>17</v>
      </c>
      <c r="J987">
        <v>888</v>
      </c>
      <c r="K987" t="s">
        <v>164</v>
      </c>
      <c r="L987" s="2">
        <v>44556</v>
      </c>
      <c r="M987" t="s">
        <v>78</v>
      </c>
      <c r="N987" t="s">
        <v>2797</v>
      </c>
      <c r="O987">
        <v>48555</v>
      </c>
      <c r="P987" t="s">
        <v>21</v>
      </c>
      <c r="Q987" t="str">
        <f>TEXT(Data_Set_3[[#This Row],[date]],"mmmm")</f>
        <v>December</v>
      </c>
      <c r="R987">
        <f>MONTH(Data_Set_3[[#This Row],[date]])</f>
        <v>12</v>
      </c>
      <c r="S987">
        <f>YEAR(Data_Set_3[[#This Row],[date]])</f>
        <v>2021</v>
      </c>
    </row>
    <row r="988" spans="1:19" x14ac:dyDescent="0.3">
      <c r="A988">
        <v>1988</v>
      </c>
      <c r="B988" t="s">
        <v>395</v>
      </c>
      <c r="C988" t="s">
        <v>1077</v>
      </c>
      <c r="D988" t="s">
        <v>3293</v>
      </c>
      <c r="E988" t="s">
        <v>3294</v>
      </c>
      <c r="F988" t="s">
        <v>1406</v>
      </c>
      <c r="G988" t="s">
        <v>1936</v>
      </c>
      <c r="H988" t="s">
        <v>32</v>
      </c>
      <c r="I988" t="s">
        <v>33</v>
      </c>
      <c r="J988">
        <v>340</v>
      </c>
      <c r="K988" t="s">
        <v>26</v>
      </c>
      <c r="L988" s="2">
        <v>44556</v>
      </c>
      <c r="M988" t="s">
        <v>46</v>
      </c>
      <c r="N988" t="s">
        <v>692</v>
      </c>
      <c r="O988">
        <v>6912</v>
      </c>
      <c r="P988" t="s">
        <v>21</v>
      </c>
      <c r="Q988" t="str">
        <f>TEXT(Data_Set_3[[#This Row],[date]],"mmmm")</f>
        <v>December</v>
      </c>
      <c r="R988">
        <f>MONTH(Data_Set_3[[#This Row],[date]])</f>
        <v>12</v>
      </c>
      <c r="S988">
        <f>YEAR(Data_Set_3[[#This Row],[date]])</f>
        <v>2021</v>
      </c>
    </row>
    <row r="989" spans="1:19" x14ac:dyDescent="0.3">
      <c r="A989">
        <v>1660</v>
      </c>
      <c r="B989" t="s">
        <v>359</v>
      </c>
      <c r="C989" t="s">
        <v>538</v>
      </c>
      <c r="D989" t="s">
        <v>3821</v>
      </c>
      <c r="E989" t="s">
        <v>3822</v>
      </c>
      <c r="F989" t="s">
        <v>1950</v>
      </c>
      <c r="G989" t="s">
        <v>2046</v>
      </c>
      <c r="H989" t="s">
        <v>32</v>
      </c>
      <c r="I989" t="s">
        <v>17</v>
      </c>
      <c r="J989">
        <v>589</v>
      </c>
      <c r="K989" t="s">
        <v>225</v>
      </c>
      <c r="L989" s="2">
        <v>44558</v>
      </c>
      <c r="M989" t="s">
        <v>435</v>
      </c>
      <c r="N989" t="s">
        <v>996</v>
      </c>
      <c r="O989">
        <v>88006</v>
      </c>
      <c r="P989" t="s">
        <v>21</v>
      </c>
      <c r="Q989" t="str">
        <f>TEXT(Data_Set_3[[#This Row],[date]],"mmmm")</f>
        <v>December</v>
      </c>
      <c r="R989">
        <f>MONTH(Data_Set_3[[#This Row],[date]])</f>
        <v>12</v>
      </c>
      <c r="S989">
        <f>YEAR(Data_Set_3[[#This Row],[date]])</f>
        <v>2021</v>
      </c>
    </row>
    <row r="990" spans="1:19" x14ac:dyDescent="0.3">
      <c r="A990">
        <v>1298</v>
      </c>
      <c r="B990" t="s">
        <v>595</v>
      </c>
      <c r="C990" t="s">
        <v>293</v>
      </c>
      <c r="D990" t="s">
        <v>2900</v>
      </c>
      <c r="E990" t="s">
        <v>2901</v>
      </c>
      <c r="F990" t="s">
        <v>1539</v>
      </c>
      <c r="G990" t="s">
        <v>1952</v>
      </c>
      <c r="H990" t="s">
        <v>32</v>
      </c>
      <c r="I990" t="s">
        <v>543</v>
      </c>
      <c r="J990">
        <v>456</v>
      </c>
      <c r="K990" t="s">
        <v>73</v>
      </c>
      <c r="L990" s="2">
        <v>44562</v>
      </c>
      <c r="M990" t="s">
        <v>115</v>
      </c>
      <c r="N990" t="s">
        <v>351</v>
      </c>
      <c r="O990">
        <v>32891</v>
      </c>
      <c r="P990" t="s">
        <v>21</v>
      </c>
      <c r="Q990" t="str">
        <f>TEXT(Data_Set_3[[#This Row],[date]],"mmmm")</f>
        <v>January</v>
      </c>
      <c r="R990">
        <f>MONTH(Data_Set_3[[#This Row],[date]])</f>
        <v>1</v>
      </c>
      <c r="S990">
        <f>YEAR(Data_Set_3[[#This Row],[date]])</f>
        <v>2022</v>
      </c>
    </row>
    <row r="991" spans="1:19" x14ac:dyDescent="0.3">
      <c r="A991">
        <v>1713</v>
      </c>
      <c r="B991" t="s">
        <v>460</v>
      </c>
      <c r="C991" t="s">
        <v>1022</v>
      </c>
      <c r="D991" t="s">
        <v>3823</v>
      </c>
      <c r="E991" t="s">
        <v>3824</v>
      </c>
      <c r="F991" t="s">
        <v>1392</v>
      </c>
      <c r="G991" t="s">
        <v>1453</v>
      </c>
      <c r="H991" t="s">
        <v>32</v>
      </c>
      <c r="I991" t="s">
        <v>17</v>
      </c>
      <c r="J991">
        <v>86</v>
      </c>
      <c r="K991" t="s">
        <v>26</v>
      </c>
      <c r="L991" s="2">
        <v>44563</v>
      </c>
      <c r="M991" t="s">
        <v>78</v>
      </c>
      <c r="N991" t="s">
        <v>88</v>
      </c>
      <c r="O991">
        <v>48670</v>
      </c>
      <c r="P991" t="s">
        <v>21</v>
      </c>
      <c r="Q991" t="str">
        <f>TEXT(Data_Set_3[[#This Row],[date]],"mmmm")</f>
        <v>January</v>
      </c>
      <c r="R991">
        <f>MONTH(Data_Set_3[[#This Row],[date]])</f>
        <v>1</v>
      </c>
      <c r="S991">
        <f>YEAR(Data_Set_3[[#This Row],[date]])</f>
        <v>2022</v>
      </c>
    </row>
    <row r="992" spans="1:19" x14ac:dyDescent="0.3">
      <c r="A992">
        <v>1990</v>
      </c>
      <c r="B992" t="s">
        <v>186</v>
      </c>
      <c r="C992" t="s">
        <v>367</v>
      </c>
      <c r="D992" t="s">
        <v>3534</v>
      </c>
      <c r="E992" t="s">
        <v>3535</v>
      </c>
      <c r="F992" t="s">
        <v>2192</v>
      </c>
      <c r="G992" t="s">
        <v>1609</v>
      </c>
      <c r="H992" t="s">
        <v>32</v>
      </c>
      <c r="I992" t="s">
        <v>33</v>
      </c>
      <c r="J992">
        <v>716</v>
      </c>
      <c r="K992" t="s">
        <v>26</v>
      </c>
      <c r="L992" s="2">
        <v>44563</v>
      </c>
      <c r="M992" t="s">
        <v>524</v>
      </c>
      <c r="N992" t="s">
        <v>715</v>
      </c>
      <c r="O992">
        <v>36622</v>
      </c>
      <c r="P992" t="s">
        <v>21</v>
      </c>
      <c r="Q992" t="str">
        <f>TEXT(Data_Set_3[[#This Row],[date]],"mmmm")</f>
        <v>January</v>
      </c>
      <c r="R992">
        <f>MONTH(Data_Set_3[[#This Row],[date]])</f>
        <v>1</v>
      </c>
      <c r="S992">
        <f>YEAR(Data_Set_3[[#This Row],[date]])</f>
        <v>2022</v>
      </c>
    </row>
    <row r="993" spans="1:19" x14ac:dyDescent="0.3">
      <c r="A993">
        <v>1170</v>
      </c>
      <c r="B993" t="s">
        <v>22</v>
      </c>
      <c r="C993" t="s">
        <v>883</v>
      </c>
      <c r="D993" t="s">
        <v>2837</v>
      </c>
      <c r="E993" t="s">
        <v>2838</v>
      </c>
      <c r="F993" t="s">
        <v>2430</v>
      </c>
      <c r="G993" t="s">
        <v>1333</v>
      </c>
      <c r="H993" t="s">
        <v>16</v>
      </c>
      <c r="I993" t="s">
        <v>33</v>
      </c>
      <c r="J993">
        <v>598</v>
      </c>
      <c r="K993" t="s">
        <v>164</v>
      </c>
      <c r="L993" s="2">
        <v>44564</v>
      </c>
      <c r="M993" t="s">
        <v>68</v>
      </c>
      <c r="N993" t="s">
        <v>169</v>
      </c>
      <c r="O993">
        <v>88574</v>
      </c>
      <c r="P993" t="s">
        <v>21</v>
      </c>
      <c r="Q993" t="str">
        <f>TEXT(Data_Set_3[[#This Row],[date]],"mmmm")</f>
        <v>January</v>
      </c>
      <c r="R993">
        <f>MONTH(Data_Set_3[[#This Row],[date]])</f>
        <v>1</v>
      </c>
      <c r="S993">
        <f>YEAR(Data_Set_3[[#This Row],[date]])</f>
        <v>2022</v>
      </c>
    </row>
    <row r="994" spans="1:19" x14ac:dyDescent="0.3">
      <c r="A994">
        <v>1142</v>
      </c>
      <c r="B994" t="s">
        <v>248</v>
      </c>
      <c r="C994" t="s">
        <v>913</v>
      </c>
      <c r="D994" t="s">
        <v>3825</v>
      </c>
      <c r="E994" t="s">
        <v>3826</v>
      </c>
      <c r="F994" t="s">
        <v>1622</v>
      </c>
      <c r="G994" t="s">
        <v>2409</v>
      </c>
      <c r="H994" t="s">
        <v>16</v>
      </c>
      <c r="I994" t="s">
        <v>25</v>
      </c>
      <c r="J994">
        <v>762</v>
      </c>
      <c r="K994" t="s">
        <v>73</v>
      </c>
      <c r="L994" s="2">
        <v>44565</v>
      </c>
      <c r="M994" t="s">
        <v>52</v>
      </c>
      <c r="N994" t="s">
        <v>189</v>
      </c>
      <c r="O994">
        <v>25356</v>
      </c>
      <c r="P994" t="s">
        <v>21</v>
      </c>
      <c r="Q994" t="str">
        <f>TEXT(Data_Set_3[[#This Row],[date]],"mmmm")</f>
        <v>January</v>
      </c>
      <c r="R994">
        <f>MONTH(Data_Set_3[[#This Row],[date]])</f>
        <v>1</v>
      </c>
      <c r="S994">
        <f>YEAR(Data_Set_3[[#This Row],[date]])</f>
        <v>2022</v>
      </c>
    </row>
    <row r="995" spans="1:19" x14ac:dyDescent="0.3">
      <c r="A995">
        <v>1123</v>
      </c>
      <c r="B995" t="s">
        <v>1130</v>
      </c>
      <c r="C995" t="s">
        <v>423</v>
      </c>
      <c r="D995" t="s">
        <v>3031</v>
      </c>
      <c r="E995" t="s">
        <v>3032</v>
      </c>
      <c r="F995" t="s">
        <v>1450</v>
      </c>
      <c r="G995" t="s">
        <v>1985</v>
      </c>
      <c r="H995" t="s">
        <v>16</v>
      </c>
      <c r="I995" t="s">
        <v>51</v>
      </c>
      <c r="J995">
        <v>913</v>
      </c>
      <c r="K995" t="s">
        <v>164</v>
      </c>
      <c r="L995" s="2">
        <v>44566</v>
      </c>
      <c r="M995" t="s">
        <v>115</v>
      </c>
      <c r="N995" t="s">
        <v>864</v>
      </c>
      <c r="O995">
        <v>33673</v>
      </c>
      <c r="P995" t="s">
        <v>21</v>
      </c>
      <c r="Q995" t="str">
        <f>TEXT(Data_Set_3[[#This Row],[date]],"mmmm")</f>
        <v>January</v>
      </c>
      <c r="R995">
        <f>MONTH(Data_Set_3[[#This Row],[date]])</f>
        <v>1</v>
      </c>
      <c r="S995">
        <f>YEAR(Data_Set_3[[#This Row],[date]])</f>
        <v>2022</v>
      </c>
    </row>
    <row r="996" spans="1:19" x14ac:dyDescent="0.3">
      <c r="A996">
        <v>1513</v>
      </c>
      <c r="B996" t="s">
        <v>429</v>
      </c>
      <c r="C996" t="s">
        <v>528</v>
      </c>
      <c r="D996" t="s">
        <v>3425</v>
      </c>
      <c r="E996" t="s">
        <v>3426</v>
      </c>
      <c r="F996" t="s">
        <v>1481</v>
      </c>
      <c r="G996" t="s">
        <v>3347</v>
      </c>
      <c r="H996" t="s">
        <v>16</v>
      </c>
      <c r="I996" t="s">
        <v>179</v>
      </c>
      <c r="J996">
        <v>945</v>
      </c>
      <c r="K996" t="s">
        <v>259</v>
      </c>
      <c r="L996" s="2">
        <v>44567</v>
      </c>
      <c r="M996" t="s">
        <v>204</v>
      </c>
      <c r="N996" t="s">
        <v>242</v>
      </c>
      <c r="O996">
        <v>23289</v>
      </c>
      <c r="P996" t="s">
        <v>21</v>
      </c>
      <c r="Q996" t="str">
        <f>TEXT(Data_Set_3[[#This Row],[date]],"mmmm")</f>
        <v>January</v>
      </c>
      <c r="R996">
        <f>MONTH(Data_Set_3[[#This Row],[date]])</f>
        <v>1</v>
      </c>
      <c r="S996">
        <f>YEAR(Data_Set_3[[#This Row],[date]])</f>
        <v>2022</v>
      </c>
    </row>
    <row r="997" spans="1:19" x14ac:dyDescent="0.3">
      <c r="A997">
        <v>1092</v>
      </c>
      <c r="B997" t="s">
        <v>516</v>
      </c>
      <c r="C997" t="s">
        <v>455</v>
      </c>
      <c r="D997" t="s">
        <v>2976</v>
      </c>
      <c r="E997" t="s">
        <v>2977</v>
      </c>
      <c r="F997" t="s">
        <v>1763</v>
      </c>
      <c r="G997" t="s">
        <v>1486</v>
      </c>
      <c r="H997" t="s">
        <v>32</v>
      </c>
      <c r="I997" t="s">
        <v>51</v>
      </c>
      <c r="J997">
        <v>263</v>
      </c>
      <c r="K997" t="s">
        <v>73</v>
      </c>
      <c r="L997" s="2">
        <v>44569</v>
      </c>
      <c r="M997" t="s">
        <v>115</v>
      </c>
      <c r="N997" t="s">
        <v>1048</v>
      </c>
      <c r="O997">
        <v>34233</v>
      </c>
      <c r="P997" t="s">
        <v>21</v>
      </c>
      <c r="Q997" t="str">
        <f>TEXT(Data_Set_3[[#This Row],[date]],"mmmm")</f>
        <v>January</v>
      </c>
      <c r="R997">
        <f>MONTH(Data_Set_3[[#This Row],[date]])</f>
        <v>1</v>
      </c>
      <c r="S997">
        <f>YEAR(Data_Set_3[[#This Row],[date]])</f>
        <v>2022</v>
      </c>
    </row>
    <row r="998" spans="1:19" x14ac:dyDescent="0.3">
      <c r="A998">
        <v>1144</v>
      </c>
      <c r="B998" t="s">
        <v>644</v>
      </c>
      <c r="C998" t="s">
        <v>581</v>
      </c>
      <c r="D998" t="s">
        <v>3114</v>
      </c>
      <c r="E998" t="s">
        <v>3115</v>
      </c>
      <c r="F998" t="s">
        <v>2641</v>
      </c>
      <c r="G998" t="s">
        <v>2709</v>
      </c>
      <c r="H998" t="s">
        <v>32</v>
      </c>
      <c r="I998" t="s">
        <v>25</v>
      </c>
      <c r="J998">
        <v>810</v>
      </c>
      <c r="K998" t="s">
        <v>62</v>
      </c>
      <c r="L998" s="2">
        <v>44569</v>
      </c>
      <c r="M998" t="s">
        <v>184</v>
      </c>
      <c r="N998" t="s">
        <v>3116</v>
      </c>
      <c r="O998">
        <v>11355</v>
      </c>
      <c r="P998" t="s">
        <v>21</v>
      </c>
      <c r="Q998" t="str">
        <f>TEXT(Data_Set_3[[#This Row],[date]],"mmmm")</f>
        <v>January</v>
      </c>
      <c r="R998">
        <f>MONTH(Data_Set_3[[#This Row],[date]])</f>
        <v>1</v>
      </c>
      <c r="S998">
        <f>YEAR(Data_Set_3[[#This Row],[date]])</f>
        <v>2022</v>
      </c>
    </row>
    <row r="999" spans="1:19" x14ac:dyDescent="0.3">
      <c r="A999">
        <v>1408</v>
      </c>
      <c r="B999" t="s">
        <v>1245</v>
      </c>
      <c r="C999" t="s">
        <v>507</v>
      </c>
      <c r="D999" t="s">
        <v>3184</v>
      </c>
      <c r="E999" t="s">
        <v>3185</v>
      </c>
      <c r="F999" t="s">
        <v>1981</v>
      </c>
      <c r="G999" t="s">
        <v>1746</v>
      </c>
      <c r="H999" t="s">
        <v>16</v>
      </c>
      <c r="I999" t="s">
        <v>543</v>
      </c>
      <c r="J999">
        <v>617</v>
      </c>
      <c r="K999" t="s">
        <v>26</v>
      </c>
      <c r="L999" s="2">
        <v>44572</v>
      </c>
      <c r="M999" t="s">
        <v>68</v>
      </c>
      <c r="N999" t="s">
        <v>309</v>
      </c>
      <c r="O999">
        <v>76598</v>
      </c>
      <c r="P999" t="s">
        <v>21</v>
      </c>
      <c r="Q999" t="str">
        <f>TEXT(Data_Set_3[[#This Row],[date]],"mmmm")</f>
        <v>January</v>
      </c>
      <c r="R999">
        <f>MONTH(Data_Set_3[[#This Row],[date]])</f>
        <v>1</v>
      </c>
      <c r="S999">
        <f>YEAR(Data_Set_3[[#This Row],[date]])</f>
        <v>2022</v>
      </c>
    </row>
    <row r="1000" spans="1:19" x14ac:dyDescent="0.3">
      <c r="A1000">
        <v>1277</v>
      </c>
      <c r="B1000" t="s">
        <v>43</v>
      </c>
      <c r="C1000" t="s">
        <v>783</v>
      </c>
      <c r="D1000" t="s">
        <v>2861</v>
      </c>
      <c r="E1000" t="s">
        <v>2862</v>
      </c>
      <c r="F1000" t="s">
        <v>1850</v>
      </c>
      <c r="G1000" t="s">
        <v>2219</v>
      </c>
      <c r="H1000" t="s">
        <v>16</v>
      </c>
      <c r="I1000" t="s">
        <v>454</v>
      </c>
      <c r="J1000">
        <v>846</v>
      </c>
      <c r="K1000" t="s">
        <v>416</v>
      </c>
      <c r="L1000" s="2">
        <v>44574</v>
      </c>
      <c r="M1000" t="s">
        <v>152</v>
      </c>
      <c r="N1000" t="s">
        <v>251</v>
      </c>
      <c r="O1000">
        <v>44310</v>
      </c>
      <c r="P1000" t="s">
        <v>21</v>
      </c>
      <c r="Q1000" t="str">
        <f>TEXT(Data_Set_3[[#This Row],[date]],"mmmm")</f>
        <v>January</v>
      </c>
      <c r="R1000">
        <f>MONTH(Data_Set_3[[#This Row],[date]])</f>
        <v>1</v>
      </c>
      <c r="S1000">
        <f>YEAR(Data_Set_3[[#This Row],[date]])</f>
        <v>2022</v>
      </c>
    </row>
    <row r="1001" spans="1:19" x14ac:dyDescent="0.3">
      <c r="A1001">
        <v>1144</v>
      </c>
      <c r="B1001" t="s">
        <v>644</v>
      </c>
      <c r="C1001" t="s">
        <v>581</v>
      </c>
      <c r="D1001" t="s">
        <v>3114</v>
      </c>
      <c r="E1001" t="s">
        <v>3115</v>
      </c>
      <c r="F1001" t="s">
        <v>2641</v>
      </c>
      <c r="G1001" t="s">
        <v>2709</v>
      </c>
      <c r="H1001" t="s">
        <v>32</v>
      </c>
      <c r="I1001" t="s">
        <v>25</v>
      </c>
      <c r="J1001">
        <v>661</v>
      </c>
      <c r="K1001" t="s">
        <v>62</v>
      </c>
      <c r="L1001" s="2">
        <v>44575</v>
      </c>
      <c r="M1001" t="s">
        <v>184</v>
      </c>
      <c r="N1001" t="s">
        <v>3116</v>
      </c>
      <c r="O1001">
        <v>11355</v>
      </c>
      <c r="P1001" t="s">
        <v>21</v>
      </c>
      <c r="Q1001" t="str">
        <f>TEXT(Data_Set_3[[#This Row],[date]],"mmmm")</f>
        <v>January</v>
      </c>
      <c r="R1001">
        <f>MONTH(Data_Set_3[[#This Row],[date]])</f>
        <v>1</v>
      </c>
      <c r="S1001">
        <f>YEAR(Data_Set_3[[#This Row],[date]])</f>
        <v>2022</v>
      </c>
    </row>
    <row r="1002" spans="1:19" x14ac:dyDescent="0.3">
      <c r="A1002">
        <v>1598</v>
      </c>
      <c r="B1002" t="s">
        <v>944</v>
      </c>
      <c r="C1002" t="s">
        <v>973</v>
      </c>
      <c r="D1002" t="s">
        <v>3827</v>
      </c>
      <c r="E1002" t="s">
        <v>3828</v>
      </c>
      <c r="F1002" t="s">
        <v>2053</v>
      </c>
      <c r="G1002" t="s">
        <v>2050</v>
      </c>
      <c r="H1002" t="s">
        <v>32</v>
      </c>
      <c r="I1002" t="s">
        <v>2813</v>
      </c>
      <c r="J1002">
        <v>666</v>
      </c>
      <c r="K1002" t="s">
        <v>26</v>
      </c>
      <c r="L1002" s="2">
        <v>44575</v>
      </c>
      <c r="M1002" t="s">
        <v>68</v>
      </c>
      <c r="N1002" t="s">
        <v>475</v>
      </c>
      <c r="O1002">
        <v>75277</v>
      </c>
      <c r="P1002" t="s">
        <v>21</v>
      </c>
      <c r="Q1002" t="str">
        <f>TEXT(Data_Set_3[[#This Row],[date]],"mmmm")</f>
        <v>January</v>
      </c>
      <c r="R1002">
        <f>MONTH(Data_Set_3[[#This Row],[date]])</f>
        <v>1</v>
      </c>
      <c r="S1002">
        <f>YEAR(Data_Set_3[[#This Row],[date]])</f>
        <v>2022</v>
      </c>
    </row>
    <row r="1003" spans="1:19" x14ac:dyDescent="0.3">
      <c r="A1003">
        <v>1618</v>
      </c>
      <c r="B1003" t="s">
        <v>1174</v>
      </c>
      <c r="C1003" t="s">
        <v>737</v>
      </c>
      <c r="D1003" t="s">
        <v>3829</v>
      </c>
      <c r="E1003" t="s">
        <v>3830</v>
      </c>
      <c r="F1003" t="s">
        <v>1741</v>
      </c>
      <c r="G1003" t="s">
        <v>1766</v>
      </c>
      <c r="H1003" t="s">
        <v>16</v>
      </c>
      <c r="I1003" t="s">
        <v>553</v>
      </c>
      <c r="J1003">
        <v>972</v>
      </c>
      <c r="K1003" t="s">
        <v>26</v>
      </c>
      <c r="L1003" s="2">
        <v>44576</v>
      </c>
      <c r="M1003" t="s">
        <v>291</v>
      </c>
      <c r="N1003" t="s">
        <v>3144</v>
      </c>
      <c r="O1003">
        <v>20709</v>
      </c>
      <c r="P1003" t="s">
        <v>21</v>
      </c>
      <c r="Q1003" t="str">
        <f>TEXT(Data_Set_3[[#This Row],[date]],"mmmm")</f>
        <v>January</v>
      </c>
      <c r="R1003">
        <f>MONTH(Data_Set_3[[#This Row],[date]])</f>
        <v>1</v>
      </c>
      <c r="S1003">
        <f>YEAR(Data_Set_3[[#This Row],[date]])</f>
        <v>2022</v>
      </c>
    </row>
    <row r="1004" spans="1:19" x14ac:dyDescent="0.3">
      <c r="A1004">
        <v>1569</v>
      </c>
      <c r="B1004" t="s">
        <v>333</v>
      </c>
      <c r="C1004" t="s">
        <v>473</v>
      </c>
      <c r="D1004" t="s">
        <v>3831</v>
      </c>
      <c r="E1004" t="s">
        <v>3832</v>
      </c>
      <c r="F1004" t="s">
        <v>1551</v>
      </c>
      <c r="G1004" t="s">
        <v>2326</v>
      </c>
      <c r="H1004" t="s">
        <v>32</v>
      </c>
      <c r="I1004" t="s">
        <v>33</v>
      </c>
      <c r="J1004">
        <v>214</v>
      </c>
      <c r="K1004" t="s">
        <v>18</v>
      </c>
      <c r="L1004" s="2">
        <v>44577</v>
      </c>
      <c r="M1004" t="s">
        <v>345</v>
      </c>
      <c r="N1004" t="s">
        <v>220</v>
      </c>
      <c r="O1004">
        <v>20319</v>
      </c>
      <c r="P1004" t="s">
        <v>21</v>
      </c>
      <c r="Q1004" t="str">
        <f>TEXT(Data_Set_3[[#This Row],[date]],"mmmm")</f>
        <v>January</v>
      </c>
      <c r="R1004">
        <f>MONTH(Data_Set_3[[#This Row],[date]])</f>
        <v>1</v>
      </c>
      <c r="S1004">
        <f>YEAR(Data_Set_3[[#This Row],[date]])</f>
        <v>2022</v>
      </c>
    </row>
    <row r="1005" spans="1:19" x14ac:dyDescent="0.3">
      <c r="A1005">
        <v>1298</v>
      </c>
      <c r="B1005" t="s">
        <v>595</v>
      </c>
      <c r="C1005" t="s">
        <v>293</v>
      </c>
      <c r="D1005" t="s">
        <v>2900</v>
      </c>
      <c r="E1005" t="s">
        <v>2901</v>
      </c>
      <c r="F1005" t="s">
        <v>1539</v>
      </c>
      <c r="G1005" t="s">
        <v>1952</v>
      </c>
      <c r="H1005" t="s">
        <v>32</v>
      </c>
      <c r="I1005" t="s">
        <v>543</v>
      </c>
      <c r="J1005">
        <v>221</v>
      </c>
      <c r="K1005" t="s">
        <v>73</v>
      </c>
      <c r="L1005" s="2">
        <v>44578</v>
      </c>
      <c r="M1005" t="s">
        <v>115</v>
      </c>
      <c r="N1005" t="s">
        <v>351</v>
      </c>
      <c r="O1005">
        <v>32891</v>
      </c>
      <c r="P1005" t="s">
        <v>21</v>
      </c>
      <c r="Q1005" t="str">
        <f>TEXT(Data_Set_3[[#This Row],[date]],"mmmm")</f>
        <v>January</v>
      </c>
      <c r="R1005">
        <f>MONTH(Data_Set_3[[#This Row],[date]])</f>
        <v>1</v>
      </c>
      <c r="S1005">
        <f>YEAR(Data_Set_3[[#This Row],[date]])</f>
        <v>2022</v>
      </c>
    </row>
    <row r="1006" spans="1:19" x14ac:dyDescent="0.3">
      <c r="A1006">
        <v>1549</v>
      </c>
      <c r="B1006" t="s">
        <v>161</v>
      </c>
      <c r="C1006" t="s">
        <v>840</v>
      </c>
      <c r="D1006" t="s">
        <v>3833</v>
      </c>
      <c r="E1006" t="s">
        <v>3834</v>
      </c>
      <c r="F1006" t="s">
        <v>1406</v>
      </c>
      <c r="G1006" t="s">
        <v>2515</v>
      </c>
      <c r="H1006" t="s">
        <v>16</v>
      </c>
      <c r="I1006" t="s">
        <v>17</v>
      </c>
      <c r="J1006">
        <v>995</v>
      </c>
      <c r="K1006" t="s">
        <v>26</v>
      </c>
      <c r="L1006" s="2">
        <v>44578</v>
      </c>
      <c r="M1006" t="s">
        <v>41</v>
      </c>
      <c r="N1006" t="s">
        <v>42</v>
      </c>
      <c r="O1006">
        <v>40210</v>
      </c>
      <c r="P1006" t="s">
        <v>21</v>
      </c>
      <c r="Q1006" t="str">
        <f>TEXT(Data_Set_3[[#This Row],[date]],"mmmm")</f>
        <v>January</v>
      </c>
      <c r="R1006">
        <f>MONTH(Data_Set_3[[#This Row],[date]])</f>
        <v>1</v>
      </c>
      <c r="S1006">
        <f>YEAR(Data_Set_3[[#This Row],[date]])</f>
        <v>2022</v>
      </c>
    </row>
    <row r="1007" spans="1:19" x14ac:dyDescent="0.3">
      <c r="A1007">
        <v>1143</v>
      </c>
      <c r="B1007" t="s">
        <v>48</v>
      </c>
      <c r="C1007" t="s">
        <v>645</v>
      </c>
      <c r="D1007" t="s">
        <v>3835</v>
      </c>
      <c r="E1007" t="s">
        <v>3836</v>
      </c>
      <c r="F1007" t="s">
        <v>3659</v>
      </c>
      <c r="G1007" t="s">
        <v>1786</v>
      </c>
      <c r="H1007" t="s">
        <v>32</v>
      </c>
      <c r="I1007" t="s">
        <v>25</v>
      </c>
      <c r="J1007">
        <v>213</v>
      </c>
      <c r="K1007" t="s">
        <v>225</v>
      </c>
      <c r="L1007" s="2">
        <v>44579</v>
      </c>
      <c r="M1007" t="s">
        <v>52</v>
      </c>
      <c r="N1007" t="s">
        <v>189</v>
      </c>
      <c r="O1007">
        <v>25356</v>
      </c>
      <c r="P1007" t="s">
        <v>21</v>
      </c>
      <c r="Q1007" t="str">
        <f>TEXT(Data_Set_3[[#This Row],[date]],"mmmm")</f>
        <v>January</v>
      </c>
      <c r="R1007">
        <f>MONTH(Data_Set_3[[#This Row],[date]])</f>
        <v>1</v>
      </c>
      <c r="S1007">
        <f>YEAR(Data_Set_3[[#This Row],[date]])</f>
        <v>2022</v>
      </c>
    </row>
    <row r="1008" spans="1:19" x14ac:dyDescent="0.3">
      <c r="A1008">
        <v>1234</v>
      </c>
      <c r="B1008" t="s">
        <v>2806</v>
      </c>
      <c r="C1008" t="s">
        <v>752</v>
      </c>
      <c r="D1008" t="s">
        <v>2807</v>
      </c>
      <c r="E1008" t="s">
        <v>2808</v>
      </c>
      <c r="F1008" t="s">
        <v>1460</v>
      </c>
      <c r="G1008" t="s">
        <v>2125</v>
      </c>
      <c r="H1008" t="s">
        <v>16</v>
      </c>
      <c r="I1008" t="s">
        <v>33</v>
      </c>
      <c r="J1008">
        <v>716</v>
      </c>
      <c r="K1008" t="s">
        <v>62</v>
      </c>
      <c r="L1008" s="2">
        <v>44579</v>
      </c>
      <c r="M1008" t="s">
        <v>68</v>
      </c>
      <c r="N1008" t="s">
        <v>69</v>
      </c>
      <c r="O1008">
        <v>78710</v>
      </c>
      <c r="P1008" t="s">
        <v>21</v>
      </c>
      <c r="Q1008" t="str">
        <f>TEXT(Data_Set_3[[#This Row],[date]],"mmmm")</f>
        <v>January</v>
      </c>
      <c r="R1008">
        <f>MONTH(Data_Set_3[[#This Row],[date]])</f>
        <v>1</v>
      </c>
      <c r="S1008">
        <f>YEAR(Data_Set_3[[#This Row],[date]])</f>
        <v>2022</v>
      </c>
    </row>
    <row r="1009" spans="1:19" x14ac:dyDescent="0.3">
      <c r="A1009">
        <v>1039</v>
      </c>
      <c r="B1009" t="s">
        <v>1245</v>
      </c>
      <c r="C1009" t="s">
        <v>883</v>
      </c>
      <c r="D1009" t="s">
        <v>3128</v>
      </c>
      <c r="E1009" t="s">
        <v>3129</v>
      </c>
      <c r="F1009" t="s">
        <v>1901</v>
      </c>
      <c r="G1009" t="s">
        <v>2508</v>
      </c>
      <c r="H1009" t="s">
        <v>16</v>
      </c>
      <c r="I1009" t="s">
        <v>17</v>
      </c>
      <c r="J1009">
        <v>346</v>
      </c>
      <c r="K1009" t="s">
        <v>57</v>
      </c>
      <c r="L1009" s="2">
        <v>44580</v>
      </c>
      <c r="M1009" t="s">
        <v>41</v>
      </c>
      <c r="N1009" t="s">
        <v>42</v>
      </c>
      <c r="O1009">
        <v>40298</v>
      </c>
      <c r="P1009" t="s">
        <v>21</v>
      </c>
      <c r="Q1009" t="str">
        <f>TEXT(Data_Set_3[[#This Row],[date]],"mmmm")</f>
        <v>January</v>
      </c>
      <c r="R1009">
        <f>MONTH(Data_Set_3[[#This Row],[date]])</f>
        <v>1</v>
      </c>
      <c r="S1009">
        <f>YEAR(Data_Set_3[[#This Row],[date]])</f>
        <v>2022</v>
      </c>
    </row>
    <row r="1010" spans="1:19" x14ac:dyDescent="0.3">
      <c r="A1010">
        <v>1170</v>
      </c>
      <c r="B1010" t="s">
        <v>22</v>
      </c>
      <c r="C1010" t="s">
        <v>883</v>
      </c>
      <c r="D1010" t="s">
        <v>2837</v>
      </c>
      <c r="E1010" t="s">
        <v>2838</v>
      </c>
      <c r="F1010" t="s">
        <v>2430</v>
      </c>
      <c r="G1010" t="s">
        <v>1333</v>
      </c>
      <c r="H1010" t="s">
        <v>16</v>
      </c>
      <c r="I1010" t="s">
        <v>33</v>
      </c>
      <c r="J1010">
        <v>781</v>
      </c>
      <c r="K1010" t="s">
        <v>164</v>
      </c>
      <c r="L1010" s="2">
        <v>44581</v>
      </c>
      <c r="M1010" t="s">
        <v>68</v>
      </c>
      <c r="N1010" t="s">
        <v>169</v>
      </c>
      <c r="O1010">
        <v>88574</v>
      </c>
      <c r="P1010" t="s">
        <v>21</v>
      </c>
      <c r="Q1010" t="str">
        <f>TEXT(Data_Set_3[[#This Row],[date]],"mmmm")</f>
        <v>January</v>
      </c>
      <c r="R1010">
        <f>MONTH(Data_Set_3[[#This Row],[date]])</f>
        <v>1</v>
      </c>
      <c r="S1010">
        <f>YEAR(Data_Set_3[[#This Row],[date]])</f>
        <v>2022</v>
      </c>
    </row>
    <row r="1011" spans="1:19" x14ac:dyDescent="0.3">
      <c r="A1011">
        <v>1092</v>
      </c>
      <c r="B1011" t="s">
        <v>516</v>
      </c>
      <c r="C1011" t="s">
        <v>455</v>
      </c>
      <c r="D1011" t="s">
        <v>2976</v>
      </c>
      <c r="E1011" t="s">
        <v>2977</v>
      </c>
      <c r="F1011" t="s">
        <v>1763</v>
      </c>
      <c r="G1011" t="s">
        <v>1486</v>
      </c>
      <c r="H1011" t="s">
        <v>32</v>
      </c>
      <c r="I1011" t="s">
        <v>51</v>
      </c>
      <c r="J1011">
        <v>525</v>
      </c>
      <c r="K1011" t="s">
        <v>73</v>
      </c>
      <c r="L1011" s="2">
        <v>44582</v>
      </c>
      <c r="M1011" t="s">
        <v>115</v>
      </c>
      <c r="N1011" t="s">
        <v>1048</v>
      </c>
      <c r="O1011">
        <v>34233</v>
      </c>
      <c r="P1011" t="s">
        <v>21</v>
      </c>
      <c r="Q1011" t="str">
        <f>TEXT(Data_Set_3[[#This Row],[date]],"mmmm")</f>
        <v>January</v>
      </c>
      <c r="R1011">
        <f>MONTH(Data_Set_3[[#This Row],[date]])</f>
        <v>1</v>
      </c>
      <c r="S1011">
        <f>YEAR(Data_Set_3[[#This Row],[date]])</f>
        <v>2022</v>
      </c>
    </row>
    <row r="1012" spans="1:19" x14ac:dyDescent="0.3">
      <c r="A1012">
        <v>1510</v>
      </c>
      <c r="B1012" t="s">
        <v>950</v>
      </c>
      <c r="C1012" t="s">
        <v>2853</v>
      </c>
      <c r="D1012" t="s">
        <v>3837</v>
      </c>
      <c r="E1012" t="s">
        <v>3838</v>
      </c>
      <c r="F1012" t="s">
        <v>3076</v>
      </c>
      <c r="G1012" t="s">
        <v>1579</v>
      </c>
      <c r="H1012" t="s">
        <v>16</v>
      </c>
      <c r="I1012" t="s">
        <v>274</v>
      </c>
      <c r="J1012">
        <v>300</v>
      </c>
      <c r="K1012" t="s">
        <v>26</v>
      </c>
      <c r="L1012" s="2">
        <v>44585</v>
      </c>
      <c r="M1012" t="s">
        <v>115</v>
      </c>
      <c r="N1012" t="s">
        <v>546</v>
      </c>
      <c r="O1012">
        <v>33023</v>
      </c>
      <c r="P1012" t="s">
        <v>21</v>
      </c>
      <c r="Q1012" t="str">
        <f>TEXT(Data_Set_3[[#This Row],[date]],"mmmm")</f>
        <v>January</v>
      </c>
      <c r="R1012">
        <f>MONTH(Data_Set_3[[#This Row],[date]])</f>
        <v>1</v>
      </c>
      <c r="S1012">
        <f>YEAR(Data_Set_3[[#This Row],[date]])</f>
        <v>2022</v>
      </c>
    </row>
    <row r="1013" spans="1:19" x14ac:dyDescent="0.3">
      <c r="A1013">
        <v>1998</v>
      </c>
      <c r="B1013" t="s">
        <v>627</v>
      </c>
      <c r="C1013" t="s">
        <v>833</v>
      </c>
      <c r="D1013" t="s">
        <v>2826</v>
      </c>
      <c r="E1013" t="s">
        <v>2827</v>
      </c>
      <c r="F1013" t="s">
        <v>2221</v>
      </c>
      <c r="G1013" t="s">
        <v>2170</v>
      </c>
      <c r="H1013" t="s">
        <v>16</v>
      </c>
      <c r="I1013" t="s">
        <v>361</v>
      </c>
      <c r="J1013">
        <v>677</v>
      </c>
      <c r="K1013" t="s">
        <v>26</v>
      </c>
      <c r="L1013" s="2">
        <v>44585</v>
      </c>
      <c r="M1013" t="s">
        <v>192</v>
      </c>
      <c r="N1013" t="s">
        <v>515</v>
      </c>
      <c r="O1013">
        <v>55146</v>
      </c>
      <c r="P1013" t="s">
        <v>21</v>
      </c>
      <c r="Q1013" t="str">
        <f>TEXT(Data_Set_3[[#This Row],[date]],"mmmm")</f>
        <v>January</v>
      </c>
      <c r="R1013">
        <f>MONTH(Data_Set_3[[#This Row],[date]])</f>
        <v>1</v>
      </c>
      <c r="S1013">
        <f>YEAR(Data_Set_3[[#This Row],[date]])</f>
        <v>2022</v>
      </c>
    </row>
    <row r="1014" spans="1:19" x14ac:dyDescent="0.3">
      <c r="A1014">
        <v>1412</v>
      </c>
      <c r="B1014" t="s">
        <v>277</v>
      </c>
      <c r="C1014" t="s">
        <v>296</v>
      </c>
      <c r="D1014" t="s">
        <v>3638</v>
      </c>
      <c r="E1014" t="s">
        <v>3639</v>
      </c>
      <c r="F1014" t="s">
        <v>1283</v>
      </c>
      <c r="G1014" t="s">
        <v>2687</v>
      </c>
      <c r="H1014" t="s">
        <v>16</v>
      </c>
      <c r="I1014" t="s">
        <v>280</v>
      </c>
      <c r="J1014">
        <v>273</v>
      </c>
      <c r="K1014" t="s">
        <v>26</v>
      </c>
      <c r="L1014" s="2">
        <v>44586</v>
      </c>
      <c r="M1014" t="s">
        <v>58</v>
      </c>
      <c r="N1014" t="s">
        <v>632</v>
      </c>
      <c r="O1014">
        <v>66286</v>
      </c>
      <c r="P1014" t="s">
        <v>21</v>
      </c>
      <c r="Q1014" t="str">
        <f>TEXT(Data_Set_3[[#This Row],[date]],"mmmm")</f>
        <v>January</v>
      </c>
      <c r="R1014">
        <f>MONTH(Data_Set_3[[#This Row],[date]])</f>
        <v>1</v>
      </c>
      <c r="S1014">
        <f>YEAR(Data_Set_3[[#This Row],[date]])</f>
        <v>2022</v>
      </c>
    </row>
    <row r="1015" spans="1:19" x14ac:dyDescent="0.3">
      <c r="A1015">
        <v>1691</v>
      </c>
      <c r="B1015" t="s">
        <v>654</v>
      </c>
      <c r="C1015" t="s">
        <v>285</v>
      </c>
      <c r="D1015" t="s">
        <v>3839</v>
      </c>
      <c r="E1015" t="s">
        <v>3840</v>
      </c>
      <c r="F1015" t="s">
        <v>1725</v>
      </c>
      <c r="G1015" t="s">
        <v>2749</v>
      </c>
      <c r="H1015" t="s">
        <v>32</v>
      </c>
      <c r="I1015" t="s">
        <v>17</v>
      </c>
      <c r="J1015">
        <v>361</v>
      </c>
      <c r="K1015" t="s">
        <v>26</v>
      </c>
      <c r="L1015" s="2">
        <v>44587</v>
      </c>
      <c r="M1015" t="s">
        <v>230</v>
      </c>
      <c r="N1015" t="s">
        <v>372</v>
      </c>
      <c r="O1015">
        <v>27404</v>
      </c>
      <c r="P1015" t="s">
        <v>21</v>
      </c>
      <c r="Q1015" t="str">
        <f>TEXT(Data_Set_3[[#This Row],[date]],"mmmm")</f>
        <v>January</v>
      </c>
      <c r="R1015">
        <f>MONTH(Data_Set_3[[#This Row],[date]])</f>
        <v>1</v>
      </c>
      <c r="S1015">
        <f>YEAR(Data_Set_3[[#This Row],[date]])</f>
        <v>2022</v>
      </c>
    </row>
    <row r="1016" spans="1:19" x14ac:dyDescent="0.3">
      <c r="A1016">
        <v>1630</v>
      </c>
      <c r="B1016" t="s">
        <v>263</v>
      </c>
      <c r="C1016" t="s">
        <v>3712</v>
      </c>
      <c r="D1016" t="s">
        <v>3841</v>
      </c>
      <c r="E1016" t="s">
        <v>3842</v>
      </c>
      <c r="F1016" t="s">
        <v>1367</v>
      </c>
      <c r="G1016" t="s">
        <v>2725</v>
      </c>
      <c r="H1016" t="s">
        <v>16</v>
      </c>
      <c r="I1016" t="s">
        <v>17</v>
      </c>
      <c r="J1016">
        <v>928</v>
      </c>
      <c r="K1016" t="s">
        <v>164</v>
      </c>
      <c r="L1016" s="2">
        <v>44588</v>
      </c>
      <c r="M1016" t="s">
        <v>451</v>
      </c>
      <c r="N1016" t="s">
        <v>3843</v>
      </c>
      <c r="O1016">
        <v>84403</v>
      </c>
      <c r="P1016" t="s">
        <v>21</v>
      </c>
      <c r="Q1016" t="str">
        <f>TEXT(Data_Set_3[[#This Row],[date]],"mmmm")</f>
        <v>January</v>
      </c>
      <c r="R1016">
        <f>MONTH(Data_Set_3[[#This Row],[date]])</f>
        <v>1</v>
      </c>
      <c r="S1016">
        <f>YEAR(Data_Set_3[[#This Row],[date]])</f>
        <v>2022</v>
      </c>
    </row>
    <row r="1017" spans="1:19" x14ac:dyDescent="0.3">
      <c r="A1017">
        <v>1020</v>
      </c>
      <c r="B1017" t="s">
        <v>122</v>
      </c>
      <c r="C1017" t="s">
        <v>954</v>
      </c>
      <c r="D1017" t="s">
        <v>2888</v>
      </c>
      <c r="E1017" t="s">
        <v>2889</v>
      </c>
      <c r="F1017" t="s">
        <v>1998</v>
      </c>
      <c r="G1017" t="s">
        <v>1926</v>
      </c>
      <c r="H1017" t="s">
        <v>32</v>
      </c>
      <c r="I1017" t="s">
        <v>17</v>
      </c>
      <c r="J1017">
        <v>367</v>
      </c>
      <c r="K1017" t="s">
        <v>26</v>
      </c>
      <c r="L1017" s="2">
        <v>44592</v>
      </c>
      <c r="M1017" t="s">
        <v>35</v>
      </c>
      <c r="N1017" t="s">
        <v>620</v>
      </c>
      <c r="O1017">
        <v>94105</v>
      </c>
      <c r="P1017" t="s">
        <v>21</v>
      </c>
      <c r="Q1017" t="str">
        <f>TEXT(Data_Set_3[[#This Row],[date]],"mmmm")</f>
        <v>January</v>
      </c>
      <c r="R1017">
        <f>MONTH(Data_Set_3[[#This Row],[date]])</f>
        <v>1</v>
      </c>
      <c r="S1017">
        <f>YEAR(Data_Set_3[[#This Row],[date]])</f>
        <v>2022</v>
      </c>
    </row>
    <row r="1018" spans="1:19" x14ac:dyDescent="0.3">
      <c r="A1018">
        <v>1748</v>
      </c>
      <c r="B1018" t="s">
        <v>588</v>
      </c>
      <c r="C1018" t="s">
        <v>505</v>
      </c>
      <c r="D1018" t="s">
        <v>3844</v>
      </c>
      <c r="E1018" t="s">
        <v>3845</v>
      </c>
      <c r="F1018" t="s">
        <v>3761</v>
      </c>
      <c r="G1018" t="s">
        <v>3347</v>
      </c>
      <c r="H1018" t="s">
        <v>16</v>
      </c>
      <c r="I1018" t="s">
        <v>2941</v>
      </c>
      <c r="J1018">
        <v>114</v>
      </c>
      <c r="K1018" t="s">
        <v>95</v>
      </c>
      <c r="L1018" s="2">
        <v>44592</v>
      </c>
      <c r="M1018" t="s">
        <v>451</v>
      </c>
      <c r="N1018" t="s">
        <v>823</v>
      </c>
      <c r="O1018">
        <v>84189</v>
      </c>
      <c r="P1018" t="s">
        <v>21</v>
      </c>
      <c r="Q1018" t="str">
        <f>TEXT(Data_Set_3[[#This Row],[date]],"mmmm")</f>
        <v>January</v>
      </c>
      <c r="R1018">
        <f>MONTH(Data_Set_3[[#This Row],[date]])</f>
        <v>1</v>
      </c>
      <c r="S1018">
        <f>YEAR(Data_Set_3[[#This Row],[date]])</f>
        <v>2022</v>
      </c>
    </row>
    <row r="1019" spans="1:19" x14ac:dyDescent="0.3">
      <c r="A1019">
        <v>1365</v>
      </c>
      <c r="B1019" t="s">
        <v>1183</v>
      </c>
      <c r="C1019" t="s">
        <v>813</v>
      </c>
      <c r="D1019" t="s">
        <v>2957</v>
      </c>
      <c r="E1019" t="s">
        <v>2958</v>
      </c>
      <c r="F1019" t="s">
        <v>1644</v>
      </c>
      <c r="G1019" t="s">
        <v>2061</v>
      </c>
      <c r="H1019" t="s">
        <v>16</v>
      </c>
      <c r="I1019" t="s">
        <v>51</v>
      </c>
      <c r="J1019">
        <v>154</v>
      </c>
      <c r="K1019" t="s">
        <v>62</v>
      </c>
      <c r="L1019" s="2">
        <v>44593</v>
      </c>
      <c r="M1019" t="s">
        <v>115</v>
      </c>
      <c r="N1019" t="s">
        <v>143</v>
      </c>
      <c r="O1019">
        <v>33261</v>
      </c>
      <c r="P1019" t="s">
        <v>21</v>
      </c>
      <c r="Q1019" t="str">
        <f>TEXT(Data_Set_3[[#This Row],[date]],"mmmm")</f>
        <v>February</v>
      </c>
      <c r="R1019">
        <f>MONTH(Data_Set_3[[#This Row],[date]])</f>
        <v>2</v>
      </c>
      <c r="S1019">
        <f>YEAR(Data_Set_3[[#This Row],[date]])</f>
        <v>2022</v>
      </c>
    </row>
    <row r="1020" spans="1:19" x14ac:dyDescent="0.3">
      <c r="A1020">
        <v>1437</v>
      </c>
      <c r="B1020" t="s">
        <v>154</v>
      </c>
      <c r="C1020" t="s">
        <v>310</v>
      </c>
      <c r="D1020" t="s">
        <v>3039</v>
      </c>
      <c r="E1020" t="s">
        <v>3040</v>
      </c>
      <c r="F1020" t="s">
        <v>1602</v>
      </c>
      <c r="G1020" t="s">
        <v>2571</v>
      </c>
      <c r="H1020" t="s">
        <v>16</v>
      </c>
      <c r="I1020" t="s">
        <v>151</v>
      </c>
      <c r="J1020">
        <v>750</v>
      </c>
      <c r="K1020" t="s">
        <v>26</v>
      </c>
      <c r="L1020" s="2">
        <v>44593</v>
      </c>
      <c r="M1020" t="s">
        <v>489</v>
      </c>
      <c r="N1020" t="s">
        <v>667</v>
      </c>
      <c r="O1020">
        <v>89505</v>
      </c>
      <c r="P1020" t="s">
        <v>21</v>
      </c>
      <c r="Q1020" t="str">
        <f>TEXT(Data_Set_3[[#This Row],[date]],"mmmm")</f>
        <v>February</v>
      </c>
      <c r="R1020">
        <f>MONTH(Data_Set_3[[#This Row],[date]])</f>
        <v>2</v>
      </c>
      <c r="S1020">
        <f>YEAR(Data_Set_3[[#This Row],[date]])</f>
        <v>2022</v>
      </c>
    </row>
    <row r="1021" spans="1:19" x14ac:dyDescent="0.3">
      <c r="A1021">
        <v>1039</v>
      </c>
      <c r="B1021" t="s">
        <v>1245</v>
      </c>
      <c r="C1021" t="s">
        <v>883</v>
      </c>
      <c r="D1021" t="s">
        <v>3128</v>
      </c>
      <c r="E1021" t="s">
        <v>3129</v>
      </c>
      <c r="F1021" t="s">
        <v>1901</v>
      </c>
      <c r="G1021" t="s">
        <v>2508</v>
      </c>
      <c r="H1021" t="s">
        <v>16</v>
      </c>
      <c r="I1021" t="s">
        <v>17</v>
      </c>
      <c r="J1021">
        <v>910</v>
      </c>
      <c r="K1021" t="s">
        <v>57</v>
      </c>
      <c r="L1021" s="2">
        <v>44594</v>
      </c>
      <c r="M1021" t="s">
        <v>41</v>
      </c>
      <c r="N1021" t="s">
        <v>42</v>
      </c>
      <c r="O1021">
        <v>40298</v>
      </c>
      <c r="P1021" t="s">
        <v>21</v>
      </c>
      <c r="Q1021" t="str">
        <f>TEXT(Data_Set_3[[#This Row],[date]],"mmmm")</f>
        <v>February</v>
      </c>
      <c r="R1021">
        <f>MONTH(Data_Set_3[[#This Row],[date]])</f>
        <v>2</v>
      </c>
      <c r="S1021">
        <f>YEAR(Data_Set_3[[#This Row],[date]])</f>
        <v>2022</v>
      </c>
    </row>
    <row r="1022" spans="1:19" x14ac:dyDescent="0.3">
      <c r="A1022">
        <v>1019</v>
      </c>
      <c r="B1022" t="s">
        <v>460</v>
      </c>
      <c r="C1022" t="s">
        <v>446</v>
      </c>
      <c r="D1022" t="s">
        <v>3093</v>
      </c>
      <c r="E1022" t="s">
        <v>3094</v>
      </c>
      <c r="F1022" t="s">
        <v>1323</v>
      </c>
      <c r="G1022" t="s">
        <v>2495</v>
      </c>
      <c r="H1022" t="s">
        <v>32</v>
      </c>
      <c r="I1022" t="s">
        <v>17</v>
      </c>
      <c r="J1022">
        <v>988</v>
      </c>
      <c r="K1022" t="s">
        <v>62</v>
      </c>
      <c r="L1022" s="2">
        <v>44596</v>
      </c>
      <c r="M1022" t="s">
        <v>563</v>
      </c>
      <c r="N1022" t="s">
        <v>564</v>
      </c>
      <c r="O1022">
        <v>83705</v>
      </c>
      <c r="P1022" t="s">
        <v>21</v>
      </c>
      <c r="Q1022" t="str">
        <f>TEXT(Data_Set_3[[#This Row],[date]],"mmmm")</f>
        <v>February</v>
      </c>
      <c r="R1022">
        <f>MONTH(Data_Set_3[[#This Row],[date]])</f>
        <v>2</v>
      </c>
      <c r="S1022">
        <f>YEAR(Data_Set_3[[#This Row],[date]])</f>
        <v>2022</v>
      </c>
    </row>
    <row r="1023" spans="1:19" x14ac:dyDescent="0.3">
      <c r="A1023">
        <v>1212</v>
      </c>
      <c r="B1023" t="s">
        <v>547</v>
      </c>
      <c r="C1023" t="s">
        <v>337</v>
      </c>
      <c r="D1023" t="s">
        <v>2828</v>
      </c>
      <c r="E1023" t="s">
        <v>2829</v>
      </c>
      <c r="F1023" t="s">
        <v>1608</v>
      </c>
      <c r="G1023" t="s">
        <v>2830</v>
      </c>
      <c r="H1023" t="s">
        <v>32</v>
      </c>
      <c r="I1023" t="s">
        <v>33</v>
      </c>
      <c r="J1023">
        <v>917</v>
      </c>
      <c r="K1023" t="s">
        <v>34</v>
      </c>
      <c r="L1023" s="2">
        <v>44599</v>
      </c>
      <c r="M1023" t="s">
        <v>46</v>
      </c>
      <c r="N1023" t="s">
        <v>47</v>
      </c>
      <c r="O1023">
        <v>6183</v>
      </c>
      <c r="P1023" t="s">
        <v>21</v>
      </c>
      <c r="Q1023" t="str">
        <f>TEXT(Data_Set_3[[#This Row],[date]],"mmmm")</f>
        <v>February</v>
      </c>
      <c r="R1023">
        <f>MONTH(Data_Set_3[[#This Row],[date]])</f>
        <v>2</v>
      </c>
      <c r="S1023">
        <f>YEAR(Data_Set_3[[#This Row],[date]])</f>
        <v>2022</v>
      </c>
    </row>
    <row r="1024" spans="1:19" x14ac:dyDescent="0.3">
      <c r="A1024">
        <v>1260</v>
      </c>
      <c r="B1024" t="s">
        <v>417</v>
      </c>
      <c r="C1024" t="s">
        <v>2904</v>
      </c>
      <c r="D1024" t="s">
        <v>2905</v>
      </c>
      <c r="E1024" t="s">
        <v>2906</v>
      </c>
      <c r="F1024" t="s">
        <v>1777</v>
      </c>
      <c r="G1024" t="s">
        <v>2571</v>
      </c>
      <c r="H1024" t="s">
        <v>16</v>
      </c>
      <c r="I1024" t="s">
        <v>543</v>
      </c>
      <c r="J1024">
        <v>108</v>
      </c>
      <c r="K1024" t="s">
        <v>26</v>
      </c>
      <c r="L1024" s="2">
        <v>44600</v>
      </c>
      <c r="M1024" t="s">
        <v>220</v>
      </c>
      <c r="N1024" t="s">
        <v>2907</v>
      </c>
      <c r="O1024">
        <v>99215</v>
      </c>
      <c r="P1024" t="s">
        <v>21</v>
      </c>
      <c r="Q1024" t="str">
        <f>TEXT(Data_Set_3[[#This Row],[date]],"mmmm")</f>
        <v>February</v>
      </c>
      <c r="R1024">
        <f>MONTH(Data_Set_3[[#This Row],[date]])</f>
        <v>2</v>
      </c>
      <c r="S1024">
        <f>YEAR(Data_Set_3[[#This Row],[date]])</f>
        <v>2022</v>
      </c>
    </row>
    <row r="1025" spans="1:19" x14ac:dyDescent="0.3">
      <c r="A1025">
        <v>1212</v>
      </c>
      <c r="B1025" t="s">
        <v>547</v>
      </c>
      <c r="C1025" t="s">
        <v>337</v>
      </c>
      <c r="D1025" t="s">
        <v>2828</v>
      </c>
      <c r="E1025" t="s">
        <v>2829</v>
      </c>
      <c r="F1025" t="s">
        <v>1608</v>
      </c>
      <c r="G1025" t="s">
        <v>2830</v>
      </c>
      <c r="H1025" t="s">
        <v>32</v>
      </c>
      <c r="I1025" t="s">
        <v>33</v>
      </c>
      <c r="J1025">
        <v>49</v>
      </c>
      <c r="K1025" t="s">
        <v>34</v>
      </c>
      <c r="L1025" s="2">
        <v>44601</v>
      </c>
      <c r="M1025" t="s">
        <v>46</v>
      </c>
      <c r="N1025" t="s">
        <v>47</v>
      </c>
      <c r="O1025">
        <v>6183</v>
      </c>
      <c r="P1025" t="s">
        <v>21</v>
      </c>
      <c r="Q1025" t="str">
        <f>TEXT(Data_Set_3[[#This Row],[date]],"mmmm")</f>
        <v>February</v>
      </c>
      <c r="R1025">
        <f>MONTH(Data_Set_3[[#This Row],[date]])</f>
        <v>2</v>
      </c>
      <c r="S1025">
        <f>YEAR(Data_Set_3[[#This Row],[date]])</f>
        <v>2022</v>
      </c>
    </row>
    <row r="1026" spans="1:19" x14ac:dyDescent="0.3">
      <c r="A1026">
        <v>1681</v>
      </c>
      <c r="B1026" t="s">
        <v>267</v>
      </c>
      <c r="C1026" t="s">
        <v>760</v>
      </c>
      <c r="D1026" t="s">
        <v>3846</v>
      </c>
      <c r="E1026" t="s">
        <v>3847</v>
      </c>
      <c r="F1026" t="s">
        <v>2225</v>
      </c>
      <c r="G1026" t="s">
        <v>2031</v>
      </c>
      <c r="H1026" t="s">
        <v>32</v>
      </c>
      <c r="I1026" t="s">
        <v>17</v>
      </c>
      <c r="J1026">
        <v>245</v>
      </c>
      <c r="K1026" t="s">
        <v>26</v>
      </c>
      <c r="L1026" s="2">
        <v>44601</v>
      </c>
      <c r="M1026" t="s">
        <v>35</v>
      </c>
      <c r="N1026" t="s">
        <v>908</v>
      </c>
      <c r="O1026">
        <v>92153</v>
      </c>
      <c r="P1026" t="s">
        <v>21</v>
      </c>
      <c r="Q1026" t="str">
        <f>TEXT(Data_Set_3[[#This Row],[date]],"mmmm")</f>
        <v>February</v>
      </c>
      <c r="R1026">
        <f>MONTH(Data_Set_3[[#This Row],[date]])</f>
        <v>2</v>
      </c>
      <c r="S1026">
        <f>YEAR(Data_Set_3[[#This Row],[date]])</f>
        <v>2022</v>
      </c>
    </row>
    <row r="1027" spans="1:19" x14ac:dyDescent="0.3">
      <c r="A1027">
        <v>1783</v>
      </c>
      <c r="B1027" t="s">
        <v>721</v>
      </c>
      <c r="C1027" t="s">
        <v>2884</v>
      </c>
      <c r="D1027" t="s">
        <v>2885</v>
      </c>
      <c r="E1027" t="s">
        <v>2886</v>
      </c>
      <c r="F1027" t="s">
        <v>1539</v>
      </c>
      <c r="G1027" t="s">
        <v>2887</v>
      </c>
      <c r="H1027" t="s">
        <v>16</v>
      </c>
      <c r="I1027" t="s">
        <v>25</v>
      </c>
      <c r="J1027">
        <v>517</v>
      </c>
      <c r="K1027" t="s">
        <v>57</v>
      </c>
      <c r="L1027" s="2">
        <v>44601</v>
      </c>
      <c r="M1027" t="s">
        <v>287</v>
      </c>
      <c r="N1027" t="s">
        <v>288</v>
      </c>
      <c r="O1027">
        <v>85715</v>
      </c>
      <c r="P1027" t="s">
        <v>21</v>
      </c>
      <c r="Q1027" t="str">
        <f>TEXT(Data_Set_3[[#This Row],[date]],"mmmm")</f>
        <v>February</v>
      </c>
      <c r="R1027">
        <f>MONTH(Data_Set_3[[#This Row],[date]])</f>
        <v>2</v>
      </c>
      <c r="S1027">
        <f>YEAR(Data_Set_3[[#This Row],[date]])</f>
        <v>2022</v>
      </c>
    </row>
    <row r="1028" spans="1:19" x14ac:dyDescent="0.3">
      <c r="A1028">
        <v>1682</v>
      </c>
      <c r="B1028" t="s">
        <v>1130</v>
      </c>
      <c r="C1028" t="s">
        <v>404</v>
      </c>
      <c r="D1028" t="s">
        <v>3848</v>
      </c>
      <c r="E1028" t="s">
        <v>3849</v>
      </c>
      <c r="F1028" t="s">
        <v>1417</v>
      </c>
      <c r="G1028" t="s">
        <v>1397</v>
      </c>
      <c r="H1028" t="s">
        <v>16</v>
      </c>
      <c r="I1028" t="s">
        <v>17</v>
      </c>
      <c r="J1028">
        <v>688</v>
      </c>
      <c r="K1028" t="s">
        <v>57</v>
      </c>
      <c r="L1028" s="2">
        <v>44604</v>
      </c>
      <c r="M1028" t="s">
        <v>78</v>
      </c>
      <c r="N1028" t="s">
        <v>532</v>
      </c>
      <c r="O1028">
        <v>48604</v>
      </c>
      <c r="P1028" t="s">
        <v>21</v>
      </c>
      <c r="Q1028" t="str">
        <f>TEXT(Data_Set_3[[#This Row],[date]],"mmmm")</f>
        <v>February</v>
      </c>
      <c r="R1028">
        <f>MONTH(Data_Set_3[[#This Row],[date]])</f>
        <v>2</v>
      </c>
      <c r="S1028">
        <f>YEAR(Data_Set_3[[#This Row],[date]])</f>
        <v>2022</v>
      </c>
    </row>
    <row r="1029" spans="1:19" x14ac:dyDescent="0.3">
      <c r="A1029">
        <v>1123</v>
      </c>
      <c r="B1029" t="s">
        <v>1130</v>
      </c>
      <c r="C1029" t="s">
        <v>423</v>
      </c>
      <c r="D1029" t="s">
        <v>3031</v>
      </c>
      <c r="E1029" t="s">
        <v>3032</v>
      </c>
      <c r="F1029" t="s">
        <v>1450</v>
      </c>
      <c r="G1029" t="s">
        <v>1985</v>
      </c>
      <c r="H1029" t="s">
        <v>16</v>
      </c>
      <c r="I1029" t="s">
        <v>51</v>
      </c>
      <c r="J1029">
        <v>903</v>
      </c>
      <c r="K1029" t="s">
        <v>164</v>
      </c>
      <c r="L1029" s="2">
        <v>44605</v>
      </c>
      <c r="M1029" t="s">
        <v>115</v>
      </c>
      <c r="N1029" t="s">
        <v>864</v>
      </c>
      <c r="O1029">
        <v>33673</v>
      </c>
      <c r="P1029" t="s">
        <v>21</v>
      </c>
      <c r="Q1029" t="str">
        <f>TEXT(Data_Set_3[[#This Row],[date]],"mmmm")</f>
        <v>February</v>
      </c>
      <c r="R1029">
        <f>MONTH(Data_Set_3[[#This Row],[date]])</f>
        <v>2</v>
      </c>
      <c r="S1029">
        <f>YEAR(Data_Set_3[[#This Row],[date]])</f>
        <v>2022</v>
      </c>
    </row>
    <row r="1030" spans="1:19" x14ac:dyDescent="0.3">
      <c r="A1030">
        <v>1020</v>
      </c>
      <c r="B1030" t="s">
        <v>122</v>
      </c>
      <c r="C1030" t="s">
        <v>954</v>
      </c>
      <c r="D1030" t="s">
        <v>2888</v>
      </c>
      <c r="E1030" t="s">
        <v>2889</v>
      </c>
      <c r="F1030" t="s">
        <v>1998</v>
      </c>
      <c r="G1030" t="s">
        <v>1926</v>
      </c>
      <c r="H1030" t="s">
        <v>32</v>
      </c>
      <c r="I1030" t="s">
        <v>17</v>
      </c>
      <c r="J1030">
        <v>844</v>
      </c>
      <c r="K1030" t="s">
        <v>26</v>
      </c>
      <c r="L1030" s="2">
        <v>44609</v>
      </c>
      <c r="M1030" t="s">
        <v>35</v>
      </c>
      <c r="N1030" t="s">
        <v>620</v>
      </c>
      <c r="O1030">
        <v>94105</v>
      </c>
      <c r="P1030" t="s">
        <v>21</v>
      </c>
      <c r="Q1030" t="str">
        <f>TEXT(Data_Set_3[[#This Row],[date]],"mmmm")</f>
        <v>February</v>
      </c>
      <c r="R1030">
        <f>MONTH(Data_Set_3[[#This Row],[date]])</f>
        <v>2</v>
      </c>
      <c r="S1030">
        <f>YEAR(Data_Set_3[[#This Row],[date]])</f>
        <v>2022</v>
      </c>
    </row>
    <row r="1031" spans="1:19" x14ac:dyDescent="0.3">
      <c r="A1031">
        <v>1812</v>
      </c>
      <c r="B1031" t="s">
        <v>1130</v>
      </c>
      <c r="C1031" t="s">
        <v>639</v>
      </c>
      <c r="D1031" t="s">
        <v>2863</v>
      </c>
      <c r="E1031" t="s">
        <v>2864</v>
      </c>
      <c r="F1031" t="s">
        <v>2641</v>
      </c>
      <c r="G1031" t="s">
        <v>1653</v>
      </c>
      <c r="H1031" t="s">
        <v>16</v>
      </c>
      <c r="I1031" t="s">
        <v>543</v>
      </c>
      <c r="J1031">
        <v>436</v>
      </c>
      <c r="K1031" t="s">
        <v>34</v>
      </c>
      <c r="L1031" s="2">
        <v>44609</v>
      </c>
      <c r="M1031" t="s">
        <v>524</v>
      </c>
      <c r="N1031" t="s">
        <v>815</v>
      </c>
      <c r="O1031">
        <v>35220</v>
      </c>
      <c r="P1031" t="s">
        <v>21</v>
      </c>
      <c r="Q1031" t="str">
        <f>TEXT(Data_Set_3[[#This Row],[date]],"mmmm")</f>
        <v>February</v>
      </c>
      <c r="R1031">
        <f>MONTH(Data_Set_3[[#This Row],[date]])</f>
        <v>2</v>
      </c>
      <c r="S1031">
        <f>YEAR(Data_Set_3[[#This Row],[date]])</f>
        <v>2022</v>
      </c>
    </row>
    <row r="1032" spans="1:19" x14ac:dyDescent="0.3">
      <c r="A1032">
        <v>1812</v>
      </c>
      <c r="B1032" t="s">
        <v>1130</v>
      </c>
      <c r="C1032" t="s">
        <v>639</v>
      </c>
      <c r="D1032" t="s">
        <v>2863</v>
      </c>
      <c r="E1032" t="s">
        <v>2864</v>
      </c>
      <c r="F1032" t="s">
        <v>2641</v>
      </c>
      <c r="G1032" t="s">
        <v>1653</v>
      </c>
      <c r="H1032" t="s">
        <v>16</v>
      </c>
      <c r="I1032" t="s">
        <v>543</v>
      </c>
      <c r="J1032">
        <v>673</v>
      </c>
      <c r="K1032" t="s">
        <v>34</v>
      </c>
      <c r="L1032" s="2">
        <v>44610</v>
      </c>
      <c r="M1032" t="s">
        <v>524</v>
      </c>
      <c r="N1032" t="s">
        <v>815</v>
      </c>
      <c r="O1032">
        <v>35220</v>
      </c>
      <c r="P1032" t="s">
        <v>21</v>
      </c>
      <c r="Q1032" t="str">
        <f>TEXT(Data_Set_3[[#This Row],[date]],"mmmm")</f>
        <v>February</v>
      </c>
      <c r="R1032">
        <f>MONTH(Data_Set_3[[#This Row],[date]])</f>
        <v>2</v>
      </c>
      <c r="S1032">
        <f>YEAR(Data_Set_3[[#This Row],[date]])</f>
        <v>2022</v>
      </c>
    </row>
    <row r="1033" spans="1:19" x14ac:dyDescent="0.3">
      <c r="A1033">
        <v>1851</v>
      </c>
      <c r="B1033" t="s">
        <v>471</v>
      </c>
      <c r="C1033" t="s">
        <v>220</v>
      </c>
      <c r="D1033" t="s">
        <v>3015</v>
      </c>
      <c r="E1033" t="s">
        <v>3016</v>
      </c>
      <c r="F1033" t="s">
        <v>3017</v>
      </c>
      <c r="G1033" t="s">
        <v>2697</v>
      </c>
      <c r="H1033" t="s">
        <v>32</v>
      </c>
      <c r="I1033" t="s">
        <v>33</v>
      </c>
      <c r="J1033">
        <v>603</v>
      </c>
      <c r="K1033" t="s">
        <v>73</v>
      </c>
      <c r="L1033" s="2">
        <v>44610</v>
      </c>
      <c r="M1033" t="s">
        <v>184</v>
      </c>
      <c r="N1033" t="s">
        <v>656</v>
      </c>
      <c r="O1033">
        <v>11210</v>
      </c>
      <c r="P1033" t="s">
        <v>21</v>
      </c>
      <c r="Q1033" t="str">
        <f>TEXT(Data_Set_3[[#This Row],[date]],"mmmm")</f>
        <v>February</v>
      </c>
      <c r="R1033">
        <f>MONTH(Data_Set_3[[#This Row],[date]])</f>
        <v>2</v>
      </c>
      <c r="S1033">
        <f>YEAR(Data_Set_3[[#This Row],[date]])</f>
        <v>2022</v>
      </c>
    </row>
    <row r="1034" spans="1:19" x14ac:dyDescent="0.3">
      <c r="A1034">
        <v>1170</v>
      </c>
      <c r="B1034" t="s">
        <v>22</v>
      </c>
      <c r="C1034" t="s">
        <v>883</v>
      </c>
      <c r="D1034" t="s">
        <v>2837</v>
      </c>
      <c r="E1034" t="s">
        <v>2838</v>
      </c>
      <c r="F1034" t="s">
        <v>2430</v>
      </c>
      <c r="G1034" t="s">
        <v>1333</v>
      </c>
      <c r="H1034" t="s">
        <v>16</v>
      </c>
      <c r="I1034" t="s">
        <v>33</v>
      </c>
      <c r="J1034">
        <v>328</v>
      </c>
      <c r="K1034" t="s">
        <v>164</v>
      </c>
      <c r="L1034" s="2">
        <v>44612</v>
      </c>
      <c r="M1034" t="s">
        <v>68</v>
      </c>
      <c r="N1034" t="s">
        <v>169</v>
      </c>
      <c r="O1034">
        <v>88574</v>
      </c>
      <c r="P1034" t="s">
        <v>21</v>
      </c>
      <c r="Q1034" t="str">
        <f>TEXT(Data_Set_3[[#This Row],[date]],"mmmm")</f>
        <v>February</v>
      </c>
      <c r="R1034">
        <f>MONTH(Data_Set_3[[#This Row],[date]])</f>
        <v>2</v>
      </c>
      <c r="S1034">
        <f>YEAR(Data_Set_3[[#This Row],[date]])</f>
        <v>2022</v>
      </c>
    </row>
    <row r="1035" spans="1:19" x14ac:dyDescent="0.3">
      <c r="A1035">
        <v>1400</v>
      </c>
      <c r="B1035" t="s">
        <v>248</v>
      </c>
      <c r="C1035" t="s">
        <v>430</v>
      </c>
      <c r="D1035" t="s">
        <v>2928</v>
      </c>
      <c r="E1035" t="s">
        <v>2929</v>
      </c>
      <c r="F1035" t="s">
        <v>1715</v>
      </c>
      <c r="G1035" t="s">
        <v>1985</v>
      </c>
      <c r="H1035" t="s">
        <v>16</v>
      </c>
      <c r="I1035" t="s">
        <v>25</v>
      </c>
      <c r="J1035">
        <v>268</v>
      </c>
      <c r="K1035" t="s">
        <v>26</v>
      </c>
      <c r="L1035" s="2">
        <v>44612</v>
      </c>
      <c r="M1035" t="s">
        <v>110</v>
      </c>
      <c r="N1035" t="s">
        <v>111</v>
      </c>
      <c r="O1035">
        <v>15274</v>
      </c>
      <c r="P1035" t="s">
        <v>21</v>
      </c>
      <c r="Q1035" t="str">
        <f>TEXT(Data_Set_3[[#This Row],[date]],"mmmm")</f>
        <v>February</v>
      </c>
      <c r="R1035">
        <f>MONTH(Data_Set_3[[#This Row],[date]])</f>
        <v>2</v>
      </c>
      <c r="S1035">
        <f>YEAR(Data_Set_3[[#This Row],[date]])</f>
        <v>2022</v>
      </c>
    </row>
    <row r="1036" spans="1:19" x14ac:dyDescent="0.3">
      <c r="A1036">
        <v>1298</v>
      </c>
      <c r="B1036" t="s">
        <v>595</v>
      </c>
      <c r="C1036" t="s">
        <v>293</v>
      </c>
      <c r="D1036" t="s">
        <v>2900</v>
      </c>
      <c r="E1036" t="s">
        <v>2901</v>
      </c>
      <c r="F1036" t="s">
        <v>1539</v>
      </c>
      <c r="G1036" t="s">
        <v>1952</v>
      </c>
      <c r="H1036" t="s">
        <v>32</v>
      </c>
      <c r="I1036" t="s">
        <v>543</v>
      </c>
      <c r="J1036">
        <v>420</v>
      </c>
      <c r="K1036" t="s">
        <v>73</v>
      </c>
      <c r="L1036" s="2">
        <v>44614</v>
      </c>
      <c r="M1036" t="s">
        <v>115</v>
      </c>
      <c r="N1036" t="s">
        <v>351</v>
      </c>
      <c r="O1036">
        <v>32891</v>
      </c>
      <c r="P1036" t="s">
        <v>21</v>
      </c>
      <c r="Q1036" t="str">
        <f>TEXT(Data_Set_3[[#This Row],[date]],"mmmm")</f>
        <v>February</v>
      </c>
      <c r="R1036">
        <f>MONTH(Data_Set_3[[#This Row],[date]])</f>
        <v>2</v>
      </c>
      <c r="S1036">
        <f>YEAR(Data_Set_3[[#This Row],[date]])</f>
        <v>2022</v>
      </c>
    </row>
    <row r="1037" spans="1:19" x14ac:dyDescent="0.3">
      <c r="A1037">
        <v>1081</v>
      </c>
      <c r="B1037" t="s">
        <v>29</v>
      </c>
      <c r="C1037" t="s">
        <v>906</v>
      </c>
      <c r="D1037" t="s">
        <v>2980</v>
      </c>
      <c r="E1037" t="s">
        <v>2981</v>
      </c>
      <c r="F1037" t="s">
        <v>2342</v>
      </c>
      <c r="G1037" t="s">
        <v>2286</v>
      </c>
      <c r="H1037" t="s">
        <v>32</v>
      </c>
      <c r="I1037" t="s">
        <v>51</v>
      </c>
      <c r="J1037">
        <v>428</v>
      </c>
      <c r="K1037" t="s">
        <v>18</v>
      </c>
      <c r="L1037" s="2">
        <v>44616</v>
      </c>
      <c r="M1037" t="s">
        <v>152</v>
      </c>
      <c r="N1037" t="s">
        <v>484</v>
      </c>
      <c r="O1037">
        <v>45426</v>
      </c>
      <c r="P1037" t="s">
        <v>21</v>
      </c>
      <c r="Q1037" t="str">
        <f>TEXT(Data_Set_3[[#This Row],[date]],"mmmm")</f>
        <v>February</v>
      </c>
      <c r="R1037">
        <f>MONTH(Data_Set_3[[#This Row],[date]])</f>
        <v>2</v>
      </c>
      <c r="S1037">
        <f>YEAR(Data_Set_3[[#This Row],[date]])</f>
        <v>2022</v>
      </c>
    </row>
    <row r="1038" spans="1:19" x14ac:dyDescent="0.3">
      <c r="A1038">
        <v>1170</v>
      </c>
      <c r="B1038" t="s">
        <v>22</v>
      </c>
      <c r="C1038" t="s">
        <v>883</v>
      </c>
      <c r="D1038" t="s">
        <v>2837</v>
      </c>
      <c r="E1038" t="s">
        <v>2838</v>
      </c>
      <c r="F1038" t="s">
        <v>2430</v>
      </c>
      <c r="G1038" t="s">
        <v>1333</v>
      </c>
      <c r="H1038" t="s">
        <v>16</v>
      </c>
      <c r="I1038" t="s">
        <v>33</v>
      </c>
      <c r="J1038">
        <v>472</v>
      </c>
      <c r="K1038" t="s">
        <v>164</v>
      </c>
      <c r="L1038" s="2">
        <v>44617</v>
      </c>
      <c r="M1038" t="s">
        <v>68</v>
      </c>
      <c r="N1038" t="s">
        <v>169</v>
      </c>
      <c r="O1038">
        <v>88574</v>
      </c>
      <c r="P1038" t="s">
        <v>21</v>
      </c>
      <c r="Q1038" t="str">
        <f>TEXT(Data_Set_3[[#This Row],[date]],"mmmm")</f>
        <v>February</v>
      </c>
      <c r="R1038">
        <f>MONTH(Data_Set_3[[#This Row],[date]])</f>
        <v>2</v>
      </c>
      <c r="S1038">
        <f>YEAR(Data_Set_3[[#This Row],[date]])</f>
        <v>2022</v>
      </c>
    </row>
    <row r="1039" spans="1:19" x14ac:dyDescent="0.3">
      <c r="A1039">
        <v>1880</v>
      </c>
      <c r="B1039" t="s">
        <v>304</v>
      </c>
      <c r="C1039" t="s">
        <v>526</v>
      </c>
      <c r="D1039" t="s">
        <v>2831</v>
      </c>
      <c r="E1039" t="s">
        <v>2832</v>
      </c>
      <c r="F1039" t="s">
        <v>1376</v>
      </c>
      <c r="G1039" t="s">
        <v>2577</v>
      </c>
      <c r="H1039" t="s">
        <v>32</v>
      </c>
      <c r="I1039" t="s">
        <v>274</v>
      </c>
      <c r="J1039">
        <v>159</v>
      </c>
      <c r="K1039" t="s">
        <v>26</v>
      </c>
      <c r="L1039" s="2">
        <v>44620</v>
      </c>
      <c r="M1039" t="s">
        <v>246</v>
      </c>
      <c r="N1039" t="s">
        <v>339</v>
      </c>
      <c r="O1039">
        <v>60614</v>
      </c>
      <c r="P1039" t="s">
        <v>21</v>
      </c>
      <c r="Q1039" t="str">
        <f>TEXT(Data_Set_3[[#This Row],[date]],"mmmm")</f>
        <v>February</v>
      </c>
      <c r="R1039">
        <f>MONTH(Data_Set_3[[#This Row],[date]])</f>
        <v>2</v>
      </c>
      <c r="S1039">
        <f>YEAR(Data_Set_3[[#This Row],[date]])</f>
        <v>2022</v>
      </c>
    </row>
    <row r="1040" spans="1:19" x14ac:dyDescent="0.3">
      <c r="A1040">
        <v>1020</v>
      </c>
      <c r="B1040" t="s">
        <v>122</v>
      </c>
      <c r="C1040" t="s">
        <v>954</v>
      </c>
      <c r="D1040" t="s">
        <v>2888</v>
      </c>
      <c r="E1040" t="s">
        <v>2889</v>
      </c>
      <c r="F1040" t="s">
        <v>1998</v>
      </c>
      <c r="G1040" t="s">
        <v>1926</v>
      </c>
      <c r="H1040" t="s">
        <v>32</v>
      </c>
      <c r="I1040" t="s">
        <v>17</v>
      </c>
      <c r="J1040">
        <v>51</v>
      </c>
      <c r="K1040" t="s">
        <v>26</v>
      </c>
      <c r="L1040" s="2">
        <v>44621</v>
      </c>
      <c r="M1040" t="s">
        <v>35</v>
      </c>
      <c r="N1040" t="s">
        <v>620</v>
      </c>
      <c r="O1040">
        <v>94105</v>
      </c>
      <c r="P1040" t="s">
        <v>21</v>
      </c>
      <c r="Q1040" t="str">
        <f>TEXT(Data_Set_3[[#This Row],[date]],"mmmm")</f>
        <v>March</v>
      </c>
      <c r="R1040">
        <f>MONTH(Data_Set_3[[#This Row],[date]])</f>
        <v>3</v>
      </c>
      <c r="S1040">
        <f>YEAR(Data_Set_3[[#This Row],[date]])</f>
        <v>2022</v>
      </c>
    </row>
    <row r="1041" spans="1:19" x14ac:dyDescent="0.3">
      <c r="A1041">
        <v>1735</v>
      </c>
      <c r="B1041" t="s">
        <v>471</v>
      </c>
      <c r="C1041" t="s">
        <v>674</v>
      </c>
      <c r="D1041" t="s">
        <v>3850</v>
      </c>
      <c r="E1041" t="s">
        <v>3851</v>
      </c>
      <c r="F1041" t="s">
        <v>2233</v>
      </c>
      <c r="G1041" t="s">
        <v>1965</v>
      </c>
      <c r="H1041" t="s">
        <v>32</v>
      </c>
      <c r="I1041" t="s">
        <v>2813</v>
      </c>
      <c r="J1041">
        <v>696</v>
      </c>
      <c r="K1041" t="s">
        <v>26</v>
      </c>
      <c r="L1041" s="2">
        <v>44626</v>
      </c>
      <c r="M1041" t="s">
        <v>230</v>
      </c>
      <c r="N1041" t="s">
        <v>231</v>
      </c>
      <c r="O1041">
        <v>27615</v>
      </c>
      <c r="P1041" t="s">
        <v>21</v>
      </c>
      <c r="Q1041" t="str">
        <f>TEXT(Data_Set_3[[#This Row],[date]],"mmmm")</f>
        <v>March</v>
      </c>
      <c r="R1041">
        <f>MONTH(Data_Set_3[[#This Row],[date]])</f>
        <v>3</v>
      </c>
      <c r="S1041">
        <f>YEAR(Data_Set_3[[#This Row],[date]])</f>
        <v>2022</v>
      </c>
    </row>
    <row r="1042" spans="1:19" x14ac:dyDescent="0.3">
      <c r="A1042">
        <v>1401</v>
      </c>
      <c r="B1042" t="s">
        <v>293</v>
      </c>
      <c r="C1042" t="s">
        <v>496</v>
      </c>
      <c r="D1042" t="s">
        <v>3852</v>
      </c>
      <c r="E1042" t="s">
        <v>3853</v>
      </c>
      <c r="F1042" t="s">
        <v>1702</v>
      </c>
      <c r="G1042" t="s">
        <v>2452</v>
      </c>
      <c r="H1042" t="s">
        <v>16</v>
      </c>
      <c r="I1042" t="s">
        <v>179</v>
      </c>
      <c r="J1042">
        <v>582</v>
      </c>
      <c r="K1042" t="s">
        <v>26</v>
      </c>
      <c r="L1042" s="2">
        <v>44627</v>
      </c>
      <c r="M1042" t="s">
        <v>204</v>
      </c>
      <c r="N1042" t="s">
        <v>649</v>
      </c>
      <c r="O1042">
        <v>22333</v>
      </c>
      <c r="P1042" t="s">
        <v>21</v>
      </c>
      <c r="Q1042" t="str">
        <f>TEXT(Data_Set_3[[#This Row],[date]],"mmmm")</f>
        <v>March</v>
      </c>
      <c r="R1042">
        <f>MONTH(Data_Set_3[[#This Row],[date]])</f>
        <v>3</v>
      </c>
      <c r="S1042">
        <f>YEAR(Data_Set_3[[#This Row],[date]])</f>
        <v>2022</v>
      </c>
    </row>
    <row r="1043" spans="1:19" x14ac:dyDescent="0.3">
      <c r="A1043">
        <v>1652</v>
      </c>
      <c r="B1043" t="s">
        <v>819</v>
      </c>
      <c r="C1043" t="s">
        <v>612</v>
      </c>
      <c r="D1043" t="s">
        <v>3854</v>
      </c>
      <c r="E1043" t="s">
        <v>3855</v>
      </c>
      <c r="F1043" t="s">
        <v>1608</v>
      </c>
      <c r="G1043" t="s">
        <v>1875</v>
      </c>
      <c r="H1043" t="s">
        <v>32</v>
      </c>
      <c r="I1043" t="s">
        <v>17</v>
      </c>
      <c r="J1043">
        <v>56</v>
      </c>
      <c r="K1043" t="s">
        <v>275</v>
      </c>
      <c r="L1043" s="2">
        <v>44627</v>
      </c>
      <c r="M1043" t="s">
        <v>489</v>
      </c>
      <c r="N1043" t="s">
        <v>490</v>
      </c>
      <c r="O1043">
        <v>89110</v>
      </c>
      <c r="P1043" t="s">
        <v>21</v>
      </c>
      <c r="Q1043" t="str">
        <f>TEXT(Data_Set_3[[#This Row],[date]],"mmmm")</f>
        <v>March</v>
      </c>
      <c r="R1043">
        <f>MONTH(Data_Set_3[[#This Row],[date]])</f>
        <v>3</v>
      </c>
      <c r="S1043">
        <f>YEAR(Data_Set_3[[#This Row],[date]])</f>
        <v>2022</v>
      </c>
    </row>
    <row r="1044" spans="1:19" x14ac:dyDescent="0.3">
      <c r="A1044">
        <v>1039</v>
      </c>
      <c r="B1044" t="s">
        <v>1245</v>
      </c>
      <c r="C1044" t="s">
        <v>883</v>
      </c>
      <c r="D1044" t="s">
        <v>3128</v>
      </c>
      <c r="E1044" t="s">
        <v>3129</v>
      </c>
      <c r="F1044" t="s">
        <v>1901</v>
      </c>
      <c r="G1044" t="s">
        <v>2508</v>
      </c>
      <c r="H1044" t="s">
        <v>16</v>
      </c>
      <c r="I1044" t="s">
        <v>17</v>
      </c>
      <c r="J1044">
        <v>824</v>
      </c>
      <c r="K1044" t="s">
        <v>57</v>
      </c>
      <c r="L1044" s="2">
        <v>44628</v>
      </c>
      <c r="M1044" t="s">
        <v>41</v>
      </c>
      <c r="N1044" t="s">
        <v>42</v>
      </c>
      <c r="O1044">
        <v>40298</v>
      </c>
      <c r="P1044" t="s">
        <v>21</v>
      </c>
      <c r="Q1044" t="str">
        <f>TEXT(Data_Set_3[[#This Row],[date]],"mmmm")</f>
        <v>March</v>
      </c>
      <c r="R1044">
        <f>MONTH(Data_Set_3[[#This Row],[date]])</f>
        <v>3</v>
      </c>
      <c r="S1044">
        <f>YEAR(Data_Set_3[[#This Row],[date]])</f>
        <v>2022</v>
      </c>
    </row>
    <row r="1045" spans="1:19" x14ac:dyDescent="0.3">
      <c r="A1045">
        <v>1678</v>
      </c>
      <c r="B1045" t="s">
        <v>186</v>
      </c>
      <c r="C1045" t="s">
        <v>211</v>
      </c>
      <c r="D1045" t="s">
        <v>3856</v>
      </c>
      <c r="E1045" t="s">
        <v>3857</v>
      </c>
      <c r="F1045" t="s">
        <v>2212</v>
      </c>
      <c r="G1045" t="s">
        <v>1502</v>
      </c>
      <c r="H1045" t="s">
        <v>32</v>
      </c>
      <c r="I1045" t="s">
        <v>17</v>
      </c>
      <c r="J1045">
        <v>328</v>
      </c>
      <c r="K1045" t="s">
        <v>109</v>
      </c>
      <c r="L1045" s="2">
        <v>44628</v>
      </c>
      <c r="M1045" t="s">
        <v>301</v>
      </c>
      <c r="N1045" t="s">
        <v>3858</v>
      </c>
      <c r="O1045">
        <v>29579</v>
      </c>
      <c r="P1045" t="s">
        <v>21</v>
      </c>
      <c r="Q1045" t="str">
        <f>TEXT(Data_Set_3[[#This Row],[date]],"mmmm")</f>
        <v>March</v>
      </c>
      <c r="R1045">
        <f>MONTH(Data_Set_3[[#This Row],[date]])</f>
        <v>3</v>
      </c>
      <c r="S1045">
        <f>YEAR(Data_Set_3[[#This Row],[date]])</f>
        <v>2022</v>
      </c>
    </row>
    <row r="1046" spans="1:19" x14ac:dyDescent="0.3">
      <c r="A1046">
        <v>1880</v>
      </c>
      <c r="B1046" t="s">
        <v>304</v>
      </c>
      <c r="C1046" t="s">
        <v>526</v>
      </c>
      <c r="D1046" t="s">
        <v>2831</v>
      </c>
      <c r="E1046" t="s">
        <v>2832</v>
      </c>
      <c r="F1046" t="s">
        <v>1376</v>
      </c>
      <c r="G1046" t="s">
        <v>2577</v>
      </c>
      <c r="H1046" t="s">
        <v>32</v>
      </c>
      <c r="I1046" t="s">
        <v>274</v>
      </c>
      <c r="J1046">
        <v>141</v>
      </c>
      <c r="K1046" t="s">
        <v>26</v>
      </c>
      <c r="L1046" s="2">
        <v>44628</v>
      </c>
      <c r="M1046" t="s">
        <v>246</v>
      </c>
      <c r="N1046" t="s">
        <v>339</v>
      </c>
      <c r="O1046">
        <v>60614</v>
      </c>
      <c r="P1046" t="s">
        <v>21</v>
      </c>
      <c r="Q1046" t="str">
        <f>TEXT(Data_Set_3[[#This Row],[date]],"mmmm")</f>
        <v>March</v>
      </c>
      <c r="R1046">
        <f>MONTH(Data_Set_3[[#This Row],[date]])</f>
        <v>3</v>
      </c>
      <c r="S1046">
        <f>YEAR(Data_Set_3[[#This Row],[date]])</f>
        <v>2022</v>
      </c>
    </row>
    <row r="1047" spans="1:19" x14ac:dyDescent="0.3">
      <c r="A1047">
        <v>1364</v>
      </c>
      <c r="B1047" t="s">
        <v>182</v>
      </c>
      <c r="C1047" t="s">
        <v>713</v>
      </c>
      <c r="D1047" t="s">
        <v>3859</v>
      </c>
      <c r="E1047" t="s">
        <v>3860</v>
      </c>
      <c r="F1047" t="s">
        <v>2119</v>
      </c>
      <c r="G1047" t="s">
        <v>1333</v>
      </c>
      <c r="H1047" t="s">
        <v>16</v>
      </c>
      <c r="I1047" t="s">
        <v>280</v>
      </c>
      <c r="J1047">
        <v>524</v>
      </c>
      <c r="K1047" t="s">
        <v>416</v>
      </c>
      <c r="L1047" s="2">
        <v>44629</v>
      </c>
      <c r="M1047" t="s">
        <v>120</v>
      </c>
      <c r="N1047" t="s">
        <v>718</v>
      </c>
      <c r="O1047">
        <v>70142</v>
      </c>
      <c r="P1047" t="s">
        <v>21</v>
      </c>
      <c r="Q1047" t="str">
        <f>TEXT(Data_Set_3[[#This Row],[date]],"mmmm")</f>
        <v>March</v>
      </c>
      <c r="R1047">
        <f>MONTH(Data_Set_3[[#This Row],[date]])</f>
        <v>3</v>
      </c>
      <c r="S1047">
        <f>YEAR(Data_Set_3[[#This Row],[date]])</f>
        <v>2022</v>
      </c>
    </row>
    <row r="1048" spans="1:19" x14ac:dyDescent="0.3">
      <c r="A1048">
        <v>1812</v>
      </c>
      <c r="B1048" t="s">
        <v>1130</v>
      </c>
      <c r="C1048" t="s">
        <v>639</v>
      </c>
      <c r="D1048" t="s">
        <v>2863</v>
      </c>
      <c r="E1048" t="s">
        <v>2864</v>
      </c>
      <c r="F1048" t="s">
        <v>2641</v>
      </c>
      <c r="G1048" t="s">
        <v>1653</v>
      </c>
      <c r="H1048" t="s">
        <v>16</v>
      </c>
      <c r="I1048" t="s">
        <v>543</v>
      </c>
      <c r="J1048">
        <v>43</v>
      </c>
      <c r="K1048" t="s">
        <v>34</v>
      </c>
      <c r="L1048" s="2">
        <v>44630</v>
      </c>
      <c r="M1048" t="s">
        <v>524</v>
      </c>
      <c r="N1048" t="s">
        <v>815</v>
      </c>
      <c r="O1048">
        <v>35220</v>
      </c>
      <c r="P1048" t="s">
        <v>21</v>
      </c>
      <c r="Q1048" t="str">
        <f>TEXT(Data_Set_3[[#This Row],[date]],"mmmm")</f>
        <v>March</v>
      </c>
      <c r="R1048">
        <f>MONTH(Data_Set_3[[#This Row],[date]])</f>
        <v>3</v>
      </c>
      <c r="S1048">
        <f>YEAR(Data_Set_3[[#This Row],[date]])</f>
        <v>2022</v>
      </c>
    </row>
    <row r="1049" spans="1:19" x14ac:dyDescent="0.3">
      <c r="A1049">
        <v>1234</v>
      </c>
      <c r="B1049" t="s">
        <v>2806</v>
      </c>
      <c r="C1049" t="s">
        <v>752</v>
      </c>
      <c r="D1049" t="s">
        <v>2807</v>
      </c>
      <c r="E1049" t="s">
        <v>2808</v>
      </c>
      <c r="F1049" t="s">
        <v>1460</v>
      </c>
      <c r="G1049" t="s">
        <v>2125</v>
      </c>
      <c r="H1049" t="s">
        <v>16</v>
      </c>
      <c r="I1049" t="s">
        <v>33</v>
      </c>
      <c r="J1049">
        <v>156</v>
      </c>
      <c r="K1049" t="s">
        <v>62</v>
      </c>
      <c r="L1049" s="2">
        <v>44632</v>
      </c>
      <c r="M1049" t="s">
        <v>68</v>
      </c>
      <c r="N1049" t="s">
        <v>69</v>
      </c>
      <c r="O1049">
        <v>78710</v>
      </c>
      <c r="P1049" t="s">
        <v>21</v>
      </c>
      <c r="Q1049" t="str">
        <f>TEXT(Data_Set_3[[#This Row],[date]],"mmmm")</f>
        <v>March</v>
      </c>
      <c r="R1049">
        <f>MONTH(Data_Set_3[[#This Row],[date]])</f>
        <v>3</v>
      </c>
      <c r="S1049">
        <f>YEAR(Data_Set_3[[#This Row],[date]])</f>
        <v>2022</v>
      </c>
    </row>
    <row r="1050" spans="1:19" x14ac:dyDescent="0.3">
      <c r="A1050">
        <v>1987</v>
      </c>
      <c r="B1050" t="s">
        <v>417</v>
      </c>
      <c r="C1050" t="s">
        <v>954</v>
      </c>
      <c r="D1050" t="s">
        <v>3125</v>
      </c>
      <c r="E1050" t="s">
        <v>3126</v>
      </c>
      <c r="F1050" t="s">
        <v>2024</v>
      </c>
      <c r="G1050" t="s">
        <v>2560</v>
      </c>
      <c r="H1050" t="s">
        <v>16</v>
      </c>
      <c r="I1050" t="s">
        <v>33</v>
      </c>
      <c r="J1050">
        <v>45</v>
      </c>
      <c r="K1050" t="s">
        <v>26</v>
      </c>
      <c r="L1050" s="2">
        <v>44633</v>
      </c>
      <c r="M1050" t="s">
        <v>230</v>
      </c>
      <c r="N1050" t="s">
        <v>3127</v>
      </c>
      <c r="O1050">
        <v>28305</v>
      </c>
      <c r="P1050" t="s">
        <v>21</v>
      </c>
      <c r="Q1050" t="str">
        <f>TEXT(Data_Set_3[[#This Row],[date]],"mmmm")</f>
        <v>March</v>
      </c>
      <c r="R1050">
        <f>MONTH(Data_Set_3[[#This Row],[date]])</f>
        <v>3</v>
      </c>
      <c r="S1050">
        <f>YEAR(Data_Set_3[[#This Row],[date]])</f>
        <v>2022</v>
      </c>
    </row>
    <row r="1051" spans="1:19" x14ac:dyDescent="0.3">
      <c r="A1051">
        <v>1022</v>
      </c>
      <c r="B1051" t="s">
        <v>769</v>
      </c>
      <c r="C1051" t="s">
        <v>825</v>
      </c>
      <c r="D1051" t="s">
        <v>3008</v>
      </c>
      <c r="E1051" t="s">
        <v>3009</v>
      </c>
      <c r="F1051" t="s">
        <v>1888</v>
      </c>
      <c r="G1051" t="s">
        <v>1794</v>
      </c>
      <c r="H1051" t="s">
        <v>16</v>
      </c>
      <c r="I1051" t="s">
        <v>17</v>
      </c>
      <c r="J1051">
        <v>529</v>
      </c>
      <c r="K1051" t="s">
        <v>26</v>
      </c>
      <c r="L1051" s="2">
        <v>44634</v>
      </c>
      <c r="M1051" t="s">
        <v>345</v>
      </c>
      <c r="N1051" t="s">
        <v>220</v>
      </c>
      <c r="O1051">
        <v>20430</v>
      </c>
      <c r="P1051" t="s">
        <v>21</v>
      </c>
      <c r="Q1051" t="str">
        <f>TEXT(Data_Set_3[[#This Row],[date]],"mmmm")</f>
        <v>March</v>
      </c>
      <c r="R1051">
        <f>MONTH(Data_Set_3[[#This Row],[date]])</f>
        <v>3</v>
      </c>
      <c r="S1051">
        <f>YEAR(Data_Set_3[[#This Row],[date]])</f>
        <v>2022</v>
      </c>
    </row>
    <row r="1052" spans="1:19" x14ac:dyDescent="0.3">
      <c r="A1052">
        <v>1168</v>
      </c>
      <c r="B1052" t="s">
        <v>928</v>
      </c>
      <c r="C1052" t="s">
        <v>433</v>
      </c>
      <c r="D1052" t="s">
        <v>3861</v>
      </c>
      <c r="E1052" t="s">
        <v>3862</v>
      </c>
      <c r="F1052" t="s">
        <v>1941</v>
      </c>
      <c r="G1052" t="s">
        <v>2772</v>
      </c>
      <c r="H1052" t="s">
        <v>32</v>
      </c>
      <c r="I1052" t="s">
        <v>33</v>
      </c>
      <c r="J1052">
        <v>154</v>
      </c>
      <c r="K1052" t="s">
        <v>26</v>
      </c>
      <c r="L1052" s="2">
        <v>44634</v>
      </c>
      <c r="M1052" t="s">
        <v>115</v>
      </c>
      <c r="N1052" t="s">
        <v>919</v>
      </c>
      <c r="O1052">
        <v>34210</v>
      </c>
      <c r="P1052" t="s">
        <v>21</v>
      </c>
      <c r="Q1052" t="str">
        <f>TEXT(Data_Set_3[[#This Row],[date]],"mmmm")</f>
        <v>March</v>
      </c>
      <c r="R1052">
        <f>MONTH(Data_Set_3[[#This Row],[date]])</f>
        <v>3</v>
      </c>
      <c r="S1052">
        <f>YEAR(Data_Set_3[[#This Row],[date]])</f>
        <v>2022</v>
      </c>
    </row>
    <row r="1053" spans="1:19" x14ac:dyDescent="0.3">
      <c r="A1053">
        <v>1116</v>
      </c>
      <c r="B1053" t="s">
        <v>135</v>
      </c>
      <c r="C1053" t="s">
        <v>2803</v>
      </c>
      <c r="D1053" t="s">
        <v>2804</v>
      </c>
      <c r="E1053" t="s">
        <v>2805</v>
      </c>
      <c r="F1053" t="s">
        <v>1770</v>
      </c>
      <c r="G1053" t="s">
        <v>2110</v>
      </c>
      <c r="H1053" t="s">
        <v>32</v>
      </c>
      <c r="I1053" t="s">
        <v>51</v>
      </c>
      <c r="J1053">
        <v>121</v>
      </c>
      <c r="K1053" t="s">
        <v>95</v>
      </c>
      <c r="L1053" s="2">
        <v>44635</v>
      </c>
      <c r="M1053" t="s">
        <v>74</v>
      </c>
      <c r="N1053" t="s">
        <v>400</v>
      </c>
      <c r="O1053">
        <v>30096</v>
      </c>
      <c r="P1053" t="s">
        <v>21</v>
      </c>
      <c r="Q1053" t="str">
        <f>TEXT(Data_Set_3[[#This Row],[date]],"mmmm")</f>
        <v>March</v>
      </c>
      <c r="R1053">
        <f>MONTH(Data_Set_3[[#This Row],[date]])</f>
        <v>3</v>
      </c>
      <c r="S1053">
        <f>YEAR(Data_Set_3[[#This Row],[date]])</f>
        <v>2022</v>
      </c>
    </row>
    <row r="1054" spans="1:19" x14ac:dyDescent="0.3">
      <c r="A1054">
        <v>1277</v>
      </c>
      <c r="B1054" t="s">
        <v>43</v>
      </c>
      <c r="C1054" t="s">
        <v>783</v>
      </c>
      <c r="D1054" t="s">
        <v>2861</v>
      </c>
      <c r="E1054" t="s">
        <v>2862</v>
      </c>
      <c r="F1054" t="s">
        <v>1850</v>
      </c>
      <c r="G1054" t="s">
        <v>2219</v>
      </c>
      <c r="H1054" t="s">
        <v>16</v>
      </c>
      <c r="I1054" t="s">
        <v>454</v>
      </c>
      <c r="J1054">
        <v>334</v>
      </c>
      <c r="K1054" t="s">
        <v>416</v>
      </c>
      <c r="L1054" s="2">
        <v>44635</v>
      </c>
      <c r="M1054" t="s">
        <v>152</v>
      </c>
      <c r="N1054" t="s">
        <v>251</v>
      </c>
      <c r="O1054">
        <v>44310</v>
      </c>
      <c r="P1054" t="s">
        <v>21</v>
      </c>
      <c r="Q1054" t="str">
        <f>TEXT(Data_Set_3[[#This Row],[date]],"mmmm")</f>
        <v>March</v>
      </c>
      <c r="R1054">
        <f>MONTH(Data_Set_3[[#This Row],[date]])</f>
        <v>3</v>
      </c>
      <c r="S1054">
        <f>YEAR(Data_Set_3[[#This Row],[date]])</f>
        <v>2022</v>
      </c>
    </row>
    <row r="1055" spans="1:19" x14ac:dyDescent="0.3">
      <c r="A1055">
        <v>1992</v>
      </c>
      <c r="B1055" t="s">
        <v>630</v>
      </c>
      <c r="C1055" t="s">
        <v>3068</v>
      </c>
      <c r="D1055" t="s">
        <v>3069</v>
      </c>
      <c r="E1055" t="s">
        <v>3070</v>
      </c>
      <c r="F1055" t="s">
        <v>1993</v>
      </c>
      <c r="G1055" t="s">
        <v>2735</v>
      </c>
      <c r="H1055" t="s">
        <v>32</v>
      </c>
      <c r="I1055" t="s">
        <v>33</v>
      </c>
      <c r="J1055">
        <v>693</v>
      </c>
      <c r="K1055" t="s">
        <v>26</v>
      </c>
      <c r="L1055" s="2">
        <v>44635</v>
      </c>
      <c r="M1055" t="s">
        <v>96</v>
      </c>
      <c r="N1055" t="s">
        <v>3071</v>
      </c>
      <c r="O1055">
        <v>47306</v>
      </c>
      <c r="P1055" t="s">
        <v>21</v>
      </c>
      <c r="Q1055" t="str">
        <f>TEXT(Data_Set_3[[#This Row],[date]],"mmmm")</f>
        <v>March</v>
      </c>
      <c r="R1055">
        <f>MONTH(Data_Set_3[[#This Row],[date]])</f>
        <v>3</v>
      </c>
      <c r="S1055">
        <f>YEAR(Data_Set_3[[#This Row],[date]])</f>
        <v>2022</v>
      </c>
    </row>
    <row r="1056" spans="1:19" x14ac:dyDescent="0.3">
      <c r="A1056">
        <v>1776</v>
      </c>
      <c r="B1056" t="s">
        <v>3083</v>
      </c>
      <c r="C1056" t="s">
        <v>195</v>
      </c>
      <c r="D1056" t="s">
        <v>3863</v>
      </c>
      <c r="E1056" t="s">
        <v>3864</v>
      </c>
      <c r="F1056" t="s">
        <v>1404</v>
      </c>
      <c r="G1056" t="s">
        <v>1429</v>
      </c>
      <c r="H1056" t="s">
        <v>16</v>
      </c>
      <c r="I1056" t="s">
        <v>25</v>
      </c>
      <c r="J1056">
        <v>314</v>
      </c>
      <c r="K1056" t="s">
        <v>34</v>
      </c>
      <c r="L1056" s="2">
        <v>44636</v>
      </c>
      <c r="M1056" t="s">
        <v>204</v>
      </c>
      <c r="N1056" t="s">
        <v>827</v>
      </c>
      <c r="O1056">
        <v>22205</v>
      </c>
      <c r="P1056" t="s">
        <v>21</v>
      </c>
      <c r="Q1056" t="str">
        <f>TEXT(Data_Set_3[[#This Row],[date]],"mmmm")</f>
        <v>March</v>
      </c>
      <c r="R1056">
        <f>MONTH(Data_Set_3[[#This Row],[date]])</f>
        <v>3</v>
      </c>
      <c r="S1056">
        <f>YEAR(Data_Set_3[[#This Row],[date]])</f>
        <v>2022</v>
      </c>
    </row>
    <row r="1057" spans="1:19" x14ac:dyDescent="0.3">
      <c r="A1057">
        <v>1984</v>
      </c>
      <c r="B1057" t="s">
        <v>333</v>
      </c>
      <c r="C1057" t="s">
        <v>3160</v>
      </c>
      <c r="D1057" t="s">
        <v>3161</v>
      </c>
      <c r="E1057" t="s">
        <v>3162</v>
      </c>
      <c r="F1057" t="s">
        <v>1558</v>
      </c>
      <c r="G1057" t="s">
        <v>2685</v>
      </c>
      <c r="H1057" t="s">
        <v>32</v>
      </c>
      <c r="I1057" t="s">
        <v>33</v>
      </c>
      <c r="J1057">
        <v>121</v>
      </c>
      <c r="K1057" t="s">
        <v>62</v>
      </c>
      <c r="L1057" s="2">
        <v>44636</v>
      </c>
      <c r="M1057" t="s">
        <v>125</v>
      </c>
      <c r="N1057" t="s">
        <v>247</v>
      </c>
      <c r="O1057">
        <v>65810</v>
      </c>
      <c r="P1057" t="s">
        <v>21</v>
      </c>
      <c r="Q1057" t="str">
        <f>TEXT(Data_Set_3[[#This Row],[date]],"mmmm")</f>
        <v>March</v>
      </c>
      <c r="R1057">
        <f>MONTH(Data_Set_3[[#This Row],[date]])</f>
        <v>3</v>
      </c>
      <c r="S1057">
        <f>YEAR(Data_Set_3[[#This Row],[date]])</f>
        <v>2022</v>
      </c>
    </row>
    <row r="1058" spans="1:19" x14ac:dyDescent="0.3">
      <c r="A1058">
        <v>1365</v>
      </c>
      <c r="B1058" t="s">
        <v>1183</v>
      </c>
      <c r="C1058" t="s">
        <v>813</v>
      </c>
      <c r="D1058" t="s">
        <v>2957</v>
      </c>
      <c r="E1058" t="s">
        <v>2958</v>
      </c>
      <c r="F1058" t="s">
        <v>1644</v>
      </c>
      <c r="G1058" t="s">
        <v>2061</v>
      </c>
      <c r="H1058" t="s">
        <v>16</v>
      </c>
      <c r="I1058" t="s">
        <v>51</v>
      </c>
      <c r="J1058">
        <v>438</v>
      </c>
      <c r="K1058" t="s">
        <v>62</v>
      </c>
      <c r="L1058" s="2">
        <v>44637</v>
      </c>
      <c r="M1058" t="s">
        <v>115</v>
      </c>
      <c r="N1058" t="s">
        <v>143</v>
      </c>
      <c r="O1058">
        <v>33261</v>
      </c>
      <c r="P1058" t="s">
        <v>21</v>
      </c>
      <c r="Q1058" t="str">
        <f>TEXT(Data_Set_3[[#This Row],[date]],"mmmm")</f>
        <v>March</v>
      </c>
      <c r="R1058">
        <f>MONTH(Data_Set_3[[#This Row],[date]])</f>
        <v>3</v>
      </c>
      <c r="S1058">
        <f>YEAR(Data_Set_3[[#This Row],[date]])</f>
        <v>2022</v>
      </c>
    </row>
    <row r="1059" spans="1:19" x14ac:dyDescent="0.3">
      <c r="A1059">
        <v>1536</v>
      </c>
      <c r="B1059" t="s">
        <v>363</v>
      </c>
      <c r="C1059" t="s">
        <v>149</v>
      </c>
      <c r="D1059" t="s">
        <v>3865</v>
      </c>
      <c r="E1059" t="s">
        <v>3866</v>
      </c>
      <c r="F1059" t="s">
        <v>1586</v>
      </c>
      <c r="G1059" t="s">
        <v>2602</v>
      </c>
      <c r="H1059" t="s">
        <v>16</v>
      </c>
      <c r="I1059" t="s">
        <v>2813</v>
      </c>
      <c r="J1059">
        <v>285</v>
      </c>
      <c r="K1059" t="s">
        <v>341</v>
      </c>
      <c r="L1059" s="2">
        <v>44637</v>
      </c>
      <c r="M1059" t="s">
        <v>35</v>
      </c>
      <c r="N1059" t="s">
        <v>129</v>
      </c>
      <c r="O1059">
        <v>93786</v>
      </c>
      <c r="P1059" t="s">
        <v>21</v>
      </c>
      <c r="Q1059" t="str">
        <f>TEXT(Data_Set_3[[#This Row],[date]],"mmmm")</f>
        <v>March</v>
      </c>
      <c r="R1059">
        <f>MONTH(Data_Set_3[[#This Row],[date]])</f>
        <v>3</v>
      </c>
      <c r="S1059">
        <f>YEAR(Data_Set_3[[#This Row],[date]])</f>
        <v>2022</v>
      </c>
    </row>
    <row r="1060" spans="1:19" x14ac:dyDescent="0.3">
      <c r="A1060">
        <v>1020</v>
      </c>
      <c r="B1060" t="s">
        <v>122</v>
      </c>
      <c r="C1060" t="s">
        <v>954</v>
      </c>
      <c r="D1060" t="s">
        <v>2888</v>
      </c>
      <c r="E1060" t="s">
        <v>2889</v>
      </c>
      <c r="F1060" t="s">
        <v>1998</v>
      </c>
      <c r="G1060" t="s">
        <v>1926</v>
      </c>
      <c r="H1060" t="s">
        <v>32</v>
      </c>
      <c r="I1060" t="s">
        <v>17</v>
      </c>
      <c r="J1060">
        <v>49</v>
      </c>
      <c r="K1060" t="s">
        <v>26</v>
      </c>
      <c r="L1060" s="2">
        <v>44639</v>
      </c>
      <c r="M1060" t="s">
        <v>35</v>
      </c>
      <c r="N1060" t="s">
        <v>620</v>
      </c>
      <c r="O1060">
        <v>94105</v>
      </c>
      <c r="P1060" t="s">
        <v>21</v>
      </c>
      <c r="Q1060" t="str">
        <f>TEXT(Data_Set_3[[#This Row],[date]],"mmmm")</f>
        <v>March</v>
      </c>
      <c r="R1060">
        <f>MONTH(Data_Set_3[[#This Row],[date]])</f>
        <v>3</v>
      </c>
      <c r="S1060">
        <f>YEAR(Data_Set_3[[#This Row],[date]])</f>
        <v>2022</v>
      </c>
    </row>
    <row r="1061" spans="1:19" x14ac:dyDescent="0.3">
      <c r="A1061">
        <v>1021</v>
      </c>
      <c r="B1061" t="s">
        <v>495</v>
      </c>
      <c r="C1061" t="s">
        <v>567</v>
      </c>
      <c r="D1061" t="s">
        <v>2795</v>
      </c>
      <c r="E1061" t="s">
        <v>2796</v>
      </c>
      <c r="F1061" t="s">
        <v>1330</v>
      </c>
      <c r="G1061" t="s">
        <v>1863</v>
      </c>
      <c r="H1061" t="s">
        <v>32</v>
      </c>
      <c r="I1061" t="s">
        <v>17</v>
      </c>
      <c r="J1061">
        <v>756</v>
      </c>
      <c r="K1061" t="s">
        <v>164</v>
      </c>
      <c r="L1061" s="2">
        <v>44639</v>
      </c>
      <c r="M1061" t="s">
        <v>78</v>
      </c>
      <c r="N1061" t="s">
        <v>2797</v>
      </c>
      <c r="O1061">
        <v>48555</v>
      </c>
      <c r="P1061" t="s">
        <v>21</v>
      </c>
      <c r="Q1061" t="str">
        <f>TEXT(Data_Set_3[[#This Row],[date]],"mmmm")</f>
        <v>March</v>
      </c>
      <c r="R1061">
        <f>MONTH(Data_Set_3[[#This Row],[date]])</f>
        <v>3</v>
      </c>
      <c r="S1061">
        <f>YEAR(Data_Set_3[[#This Row],[date]])</f>
        <v>2022</v>
      </c>
    </row>
    <row r="1062" spans="1:19" x14ac:dyDescent="0.3">
      <c r="A1062">
        <v>1260</v>
      </c>
      <c r="B1062" t="s">
        <v>417</v>
      </c>
      <c r="C1062" t="s">
        <v>2904</v>
      </c>
      <c r="D1062" t="s">
        <v>2905</v>
      </c>
      <c r="E1062" t="s">
        <v>2906</v>
      </c>
      <c r="F1062" t="s">
        <v>1777</v>
      </c>
      <c r="G1062" t="s">
        <v>2571</v>
      </c>
      <c r="H1062" t="s">
        <v>16</v>
      </c>
      <c r="I1062" t="s">
        <v>543</v>
      </c>
      <c r="J1062">
        <v>646</v>
      </c>
      <c r="K1062" t="s">
        <v>26</v>
      </c>
      <c r="L1062" s="2">
        <v>44641</v>
      </c>
      <c r="M1062" t="s">
        <v>220</v>
      </c>
      <c r="N1062" t="s">
        <v>2907</v>
      </c>
      <c r="O1062">
        <v>99215</v>
      </c>
      <c r="P1062" t="s">
        <v>21</v>
      </c>
      <c r="Q1062" t="str">
        <f>TEXT(Data_Set_3[[#This Row],[date]],"mmmm")</f>
        <v>March</v>
      </c>
      <c r="R1062">
        <f>MONTH(Data_Set_3[[#This Row],[date]])</f>
        <v>3</v>
      </c>
      <c r="S1062">
        <f>YEAR(Data_Set_3[[#This Row],[date]])</f>
        <v>2022</v>
      </c>
    </row>
    <row r="1063" spans="1:19" x14ac:dyDescent="0.3">
      <c r="A1063">
        <v>1732</v>
      </c>
      <c r="B1063" t="s">
        <v>135</v>
      </c>
      <c r="C1063" t="s">
        <v>743</v>
      </c>
      <c r="D1063" t="s">
        <v>3867</v>
      </c>
      <c r="E1063" t="s">
        <v>3868</v>
      </c>
      <c r="F1063" t="s">
        <v>2072</v>
      </c>
      <c r="G1063" t="s">
        <v>2310</v>
      </c>
      <c r="H1063" t="s">
        <v>32</v>
      </c>
      <c r="I1063" t="s">
        <v>543</v>
      </c>
      <c r="J1063">
        <v>488</v>
      </c>
      <c r="K1063" t="s">
        <v>26</v>
      </c>
      <c r="L1063" s="2">
        <v>44642</v>
      </c>
      <c r="M1063" t="s">
        <v>172</v>
      </c>
      <c r="N1063" t="s">
        <v>145</v>
      </c>
      <c r="O1063">
        <v>39204</v>
      </c>
      <c r="P1063" t="s">
        <v>21</v>
      </c>
      <c r="Q1063" t="str">
        <f>TEXT(Data_Set_3[[#This Row],[date]],"mmmm")</f>
        <v>March</v>
      </c>
      <c r="R1063">
        <f>MONTH(Data_Set_3[[#This Row],[date]])</f>
        <v>3</v>
      </c>
      <c r="S1063">
        <f>YEAR(Data_Set_3[[#This Row],[date]])</f>
        <v>2022</v>
      </c>
    </row>
    <row r="1064" spans="1:19" x14ac:dyDescent="0.3">
      <c r="A1064">
        <v>1751</v>
      </c>
      <c r="B1064" t="s">
        <v>491</v>
      </c>
      <c r="C1064" t="s">
        <v>783</v>
      </c>
      <c r="D1064" t="s">
        <v>3869</v>
      </c>
      <c r="E1064" t="s">
        <v>3870</v>
      </c>
      <c r="F1064" t="s">
        <v>1668</v>
      </c>
      <c r="G1064" t="s">
        <v>1886</v>
      </c>
      <c r="H1064" t="s">
        <v>32</v>
      </c>
      <c r="I1064" t="s">
        <v>280</v>
      </c>
      <c r="J1064">
        <v>526</v>
      </c>
      <c r="K1064" t="s">
        <v>164</v>
      </c>
      <c r="L1064" s="2">
        <v>44643</v>
      </c>
      <c r="M1064" t="s">
        <v>230</v>
      </c>
      <c r="N1064" t="s">
        <v>260</v>
      </c>
      <c r="O1064">
        <v>28247</v>
      </c>
      <c r="P1064" t="s">
        <v>21</v>
      </c>
      <c r="Q1064" t="str">
        <f>TEXT(Data_Set_3[[#This Row],[date]],"mmmm")</f>
        <v>March</v>
      </c>
      <c r="R1064">
        <f>MONTH(Data_Set_3[[#This Row],[date]])</f>
        <v>3</v>
      </c>
      <c r="S1064">
        <f>YEAR(Data_Set_3[[#This Row],[date]])</f>
        <v>2022</v>
      </c>
    </row>
    <row r="1065" spans="1:19" x14ac:dyDescent="0.3">
      <c r="A1065">
        <v>1606</v>
      </c>
      <c r="B1065" t="s">
        <v>893</v>
      </c>
      <c r="C1065" t="s">
        <v>182</v>
      </c>
      <c r="D1065" t="s">
        <v>3871</v>
      </c>
      <c r="E1065" t="s">
        <v>3872</v>
      </c>
      <c r="F1065" t="s">
        <v>1905</v>
      </c>
      <c r="G1065" t="s">
        <v>1429</v>
      </c>
      <c r="H1065" t="s">
        <v>32</v>
      </c>
      <c r="I1065" t="s">
        <v>406</v>
      </c>
      <c r="J1065">
        <v>681</v>
      </c>
      <c r="K1065" t="s">
        <v>83</v>
      </c>
      <c r="L1065" s="2">
        <v>44645</v>
      </c>
      <c r="M1065" t="s">
        <v>68</v>
      </c>
      <c r="N1065" t="s">
        <v>2961</v>
      </c>
      <c r="O1065">
        <v>75049</v>
      </c>
      <c r="P1065" t="s">
        <v>21</v>
      </c>
      <c r="Q1065" t="str">
        <f>TEXT(Data_Set_3[[#This Row],[date]],"mmmm")</f>
        <v>March</v>
      </c>
      <c r="R1065">
        <f>MONTH(Data_Set_3[[#This Row],[date]])</f>
        <v>3</v>
      </c>
      <c r="S1065">
        <f>YEAR(Data_Set_3[[#This Row],[date]])</f>
        <v>2022</v>
      </c>
    </row>
    <row r="1066" spans="1:19" x14ac:dyDescent="0.3">
      <c r="A1066">
        <v>1395</v>
      </c>
      <c r="B1066" t="s">
        <v>537</v>
      </c>
      <c r="C1066" t="s">
        <v>118</v>
      </c>
      <c r="D1066" t="s">
        <v>3873</v>
      </c>
      <c r="E1066" t="s">
        <v>3874</v>
      </c>
      <c r="F1066" t="s">
        <v>2129</v>
      </c>
      <c r="G1066" t="s">
        <v>2709</v>
      </c>
      <c r="H1066" t="s">
        <v>16</v>
      </c>
      <c r="I1066" t="s">
        <v>179</v>
      </c>
      <c r="J1066">
        <v>806</v>
      </c>
      <c r="K1066" t="s">
        <v>416</v>
      </c>
      <c r="L1066" s="2">
        <v>44646</v>
      </c>
      <c r="M1066" t="s">
        <v>147</v>
      </c>
      <c r="N1066" t="s">
        <v>1129</v>
      </c>
      <c r="O1066">
        <v>53234</v>
      </c>
      <c r="P1066" t="s">
        <v>21</v>
      </c>
      <c r="Q1066" t="str">
        <f>TEXT(Data_Set_3[[#This Row],[date]],"mmmm")</f>
        <v>March</v>
      </c>
      <c r="R1066">
        <f>MONTH(Data_Set_3[[#This Row],[date]])</f>
        <v>3</v>
      </c>
      <c r="S1066">
        <f>YEAR(Data_Set_3[[#This Row],[date]])</f>
        <v>2022</v>
      </c>
    </row>
    <row r="1067" spans="1:19" x14ac:dyDescent="0.3">
      <c r="A1067">
        <v>1880</v>
      </c>
      <c r="B1067" t="s">
        <v>304</v>
      </c>
      <c r="C1067" t="s">
        <v>526</v>
      </c>
      <c r="D1067" t="s">
        <v>2831</v>
      </c>
      <c r="E1067" t="s">
        <v>2832</v>
      </c>
      <c r="F1067" t="s">
        <v>1376</v>
      </c>
      <c r="G1067" t="s">
        <v>2577</v>
      </c>
      <c r="H1067" t="s">
        <v>32</v>
      </c>
      <c r="I1067" t="s">
        <v>274</v>
      </c>
      <c r="J1067">
        <v>548</v>
      </c>
      <c r="K1067" t="s">
        <v>26</v>
      </c>
      <c r="L1067" s="2">
        <v>44649</v>
      </c>
      <c r="M1067" t="s">
        <v>246</v>
      </c>
      <c r="N1067" t="s">
        <v>339</v>
      </c>
      <c r="O1067">
        <v>60614</v>
      </c>
      <c r="P1067" t="s">
        <v>21</v>
      </c>
      <c r="Q1067" t="str">
        <f>TEXT(Data_Set_3[[#This Row],[date]],"mmmm")</f>
        <v>March</v>
      </c>
      <c r="R1067">
        <f>MONTH(Data_Set_3[[#This Row],[date]])</f>
        <v>3</v>
      </c>
      <c r="S1067">
        <f>YEAR(Data_Set_3[[#This Row],[date]])</f>
        <v>2022</v>
      </c>
    </row>
    <row r="1068" spans="1:19" x14ac:dyDescent="0.3">
      <c r="A1068">
        <v>1026</v>
      </c>
      <c r="B1068" t="s">
        <v>844</v>
      </c>
      <c r="C1068" t="s">
        <v>671</v>
      </c>
      <c r="D1068" t="s">
        <v>2814</v>
      </c>
      <c r="E1068" t="s">
        <v>2815</v>
      </c>
      <c r="F1068" t="s">
        <v>2816</v>
      </c>
      <c r="G1068" t="s">
        <v>2554</v>
      </c>
      <c r="H1068" t="s">
        <v>32</v>
      </c>
      <c r="I1068" t="s">
        <v>17</v>
      </c>
      <c r="J1068">
        <v>466</v>
      </c>
      <c r="K1068" t="s">
        <v>26</v>
      </c>
      <c r="L1068" s="2">
        <v>44650</v>
      </c>
      <c r="M1068" t="s">
        <v>184</v>
      </c>
      <c r="N1068" t="s">
        <v>185</v>
      </c>
      <c r="O1068">
        <v>10469</v>
      </c>
      <c r="P1068" t="s">
        <v>21</v>
      </c>
      <c r="Q1068" t="str">
        <f>TEXT(Data_Set_3[[#This Row],[date]],"mmmm")</f>
        <v>March</v>
      </c>
      <c r="R1068">
        <f>MONTH(Data_Set_3[[#This Row],[date]])</f>
        <v>3</v>
      </c>
      <c r="S1068">
        <f>YEAR(Data_Set_3[[#This Row],[date]])</f>
        <v>2022</v>
      </c>
    </row>
    <row r="1069" spans="1:19" x14ac:dyDescent="0.3">
      <c r="A1069">
        <v>1645</v>
      </c>
      <c r="B1069" t="s">
        <v>29</v>
      </c>
      <c r="C1069" t="s">
        <v>572</v>
      </c>
      <c r="D1069" t="s">
        <v>3875</v>
      </c>
      <c r="E1069" t="s">
        <v>3876</v>
      </c>
      <c r="F1069" t="s">
        <v>1901</v>
      </c>
      <c r="G1069" t="s">
        <v>1845</v>
      </c>
      <c r="H1069" t="s">
        <v>32</v>
      </c>
      <c r="I1069" t="s">
        <v>17</v>
      </c>
      <c r="J1069">
        <v>282</v>
      </c>
      <c r="K1069" t="s">
        <v>34</v>
      </c>
      <c r="L1069" s="2">
        <v>44650</v>
      </c>
      <c r="M1069" t="s">
        <v>192</v>
      </c>
      <c r="N1069" t="s">
        <v>193</v>
      </c>
      <c r="O1069">
        <v>55428</v>
      </c>
      <c r="P1069" t="s">
        <v>21</v>
      </c>
      <c r="Q1069" t="str">
        <f>TEXT(Data_Set_3[[#This Row],[date]],"mmmm")</f>
        <v>March</v>
      </c>
      <c r="R1069">
        <f>MONTH(Data_Set_3[[#This Row],[date]])</f>
        <v>3</v>
      </c>
      <c r="S1069">
        <f>YEAR(Data_Set_3[[#This Row],[date]])</f>
        <v>2022</v>
      </c>
    </row>
    <row r="1070" spans="1:19" x14ac:dyDescent="0.3">
      <c r="A1070">
        <v>1020</v>
      </c>
      <c r="B1070" t="s">
        <v>122</v>
      </c>
      <c r="C1070" t="s">
        <v>954</v>
      </c>
      <c r="D1070" t="s">
        <v>2888</v>
      </c>
      <c r="E1070" t="s">
        <v>2889</v>
      </c>
      <c r="F1070" t="s">
        <v>1998</v>
      </c>
      <c r="G1070" t="s">
        <v>1926</v>
      </c>
      <c r="H1070" t="s">
        <v>32</v>
      </c>
      <c r="I1070" t="s">
        <v>17</v>
      </c>
      <c r="J1070">
        <v>477</v>
      </c>
      <c r="K1070" t="s">
        <v>26</v>
      </c>
      <c r="L1070" s="2">
        <v>44651</v>
      </c>
      <c r="M1070" t="s">
        <v>35</v>
      </c>
      <c r="N1070" t="s">
        <v>620</v>
      </c>
      <c r="O1070">
        <v>94105</v>
      </c>
      <c r="P1070" t="s">
        <v>21</v>
      </c>
      <c r="Q1070" t="str">
        <f>TEXT(Data_Set_3[[#This Row],[date]],"mmmm")</f>
        <v>March</v>
      </c>
      <c r="R1070">
        <f>MONTH(Data_Set_3[[#This Row],[date]])</f>
        <v>3</v>
      </c>
      <c r="S1070">
        <f>YEAR(Data_Set_3[[#This Row],[date]])</f>
        <v>2022</v>
      </c>
    </row>
    <row r="1071" spans="1:19" x14ac:dyDescent="0.3">
      <c r="A1071">
        <v>1144</v>
      </c>
      <c r="B1071" t="s">
        <v>644</v>
      </c>
      <c r="C1071" t="s">
        <v>581</v>
      </c>
      <c r="D1071" t="s">
        <v>3114</v>
      </c>
      <c r="E1071" t="s">
        <v>3115</v>
      </c>
      <c r="F1071" t="s">
        <v>2641</v>
      </c>
      <c r="G1071" t="s">
        <v>2709</v>
      </c>
      <c r="H1071" t="s">
        <v>32</v>
      </c>
      <c r="I1071" t="s">
        <v>25</v>
      </c>
      <c r="J1071">
        <v>682</v>
      </c>
      <c r="K1071" t="s">
        <v>62</v>
      </c>
      <c r="L1071" s="2">
        <v>44652</v>
      </c>
      <c r="M1071" t="s">
        <v>184</v>
      </c>
      <c r="N1071" t="s">
        <v>3116</v>
      </c>
      <c r="O1071">
        <v>11355</v>
      </c>
      <c r="P1071" t="s">
        <v>21</v>
      </c>
      <c r="Q1071" t="str">
        <f>TEXT(Data_Set_3[[#This Row],[date]],"mmmm")</f>
        <v>April</v>
      </c>
      <c r="R1071">
        <f>MONTH(Data_Set_3[[#This Row],[date]])</f>
        <v>4</v>
      </c>
      <c r="S1071">
        <f>YEAR(Data_Set_3[[#This Row],[date]])</f>
        <v>2022</v>
      </c>
    </row>
    <row r="1072" spans="1:19" x14ac:dyDescent="0.3">
      <c r="A1072">
        <v>1212</v>
      </c>
      <c r="B1072" t="s">
        <v>547</v>
      </c>
      <c r="C1072" t="s">
        <v>337</v>
      </c>
      <c r="D1072" t="s">
        <v>2828</v>
      </c>
      <c r="E1072" t="s">
        <v>2829</v>
      </c>
      <c r="F1072" t="s">
        <v>1608</v>
      </c>
      <c r="G1072" t="s">
        <v>2830</v>
      </c>
      <c r="H1072" t="s">
        <v>32</v>
      </c>
      <c r="I1072" t="s">
        <v>33</v>
      </c>
      <c r="J1072">
        <v>656</v>
      </c>
      <c r="K1072" t="s">
        <v>34</v>
      </c>
      <c r="L1072" s="2">
        <v>44653</v>
      </c>
      <c r="M1072" t="s">
        <v>46</v>
      </c>
      <c r="N1072" t="s">
        <v>47</v>
      </c>
      <c r="O1072">
        <v>6183</v>
      </c>
      <c r="P1072" t="s">
        <v>21</v>
      </c>
      <c r="Q1072" t="str">
        <f>TEXT(Data_Set_3[[#This Row],[date]],"mmmm")</f>
        <v>April</v>
      </c>
      <c r="R1072">
        <f>MONTH(Data_Set_3[[#This Row],[date]])</f>
        <v>4</v>
      </c>
      <c r="S1072">
        <f>YEAR(Data_Set_3[[#This Row],[date]])</f>
        <v>2022</v>
      </c>
    </row>
    <row r="1073" spans="1:19" x14ac:dyDescent="0.3">
      <c r="A1073">
        <v>1647</v>
      </c>
      <c r="B1073" t="s">
        <v>706</v>
      </c>
      <c r="C1073" t="s">
        <v>473</v>
      </c>
      <c r="D1073" t="s">
        <v>3877</v>
      </c>
      <c r="E1073" t="s">
        <v>3878</v>
      </c>
      <c r="F1073" t="s">
        <v>2140</v>
      </c>
      <c r="G1073" t="s">
        <v>2384</v>
      </c>
      <c r="H1073" t="s">
        <v>32</v>
      </c>
      <c r="I1073" t="s">
        <v>17</v>
      </c>
      <c r="J1073">
        <v>50</v>
      </c>
      <c r="K1073" t="s">
        <v>26</v>
      </c>
      <c r="L1073" s="2">
        <v>44653</v>
      </c>
      <c r="M1073" t="s">
        <v>35</v>
      </c>
      <c r="N1073" t="s">
        <v>3652</v>
      </c>
      <c r="O1073">
        <v>92867</v>
      </c>
      <c r="P1073" t="s">
        <v>21</v>
      </c>
      <c r="Q1073" t="str">
        <f>TEXT(Data_Set_3[[#This Row],[date]],"mmmm")</f>
        <v>April</v>
      </c>
      <c r="R1073">
        <f>MONTH(Data_Set_3[[#This Row],[date]])</f>
        <v>4</v>
      </c>
      <c r="S1073">
        <f>YEAR(Data_Set_3[[#This Row],[date]])</f>
        <v>2022</v>
      </c>
    </row>
    <row r="1074" spans="1:19" x14ac:dyDescent="0.3">
      <c r="A1074">
        <v>1258</v>
      </c>
      <c r="B1074" t="s">
        <v>630</v>
      </c>
      <c r="C1074" t="s">
        <v>49</v>
      </c>
      <c r="D1074" t="s">
        <v>3879</v>
      </c>
      <c r="E1074" t="s">
        <v>3880</v>
      </c>
      <c r="F1074" t="s">
        <v>2497</v>
      </c>
      <c r="G1074" t="s">
        <v>1794</v>
      </c>
      <c r="H1074" t="s">
        <v>32</v>
      </c>
      <c r="I1074" t="s">
        <v>406</v>
      </c>
      <c r="J1074">
        <v>485</v>
      </c>
      <c r="K1074" t="s">
        <v>225</v>
      </c>
      <c r="L1074" s="2">
        <v>44654</v>
      </c>
      <c r="M1074" t="s">
        <v>393</v>
      </c>
      <c r="N1074" t="s">
        <v>578</v>
      </c>
      <c r="O1074">
        <v>38119</v>
      </c>
      <c r="P1074" t="s">
        <v>21</v>
      </c>
      <c r="Q1074" t="str">
        <f>TEXT(Data_Set_3[[#This Row],[date]],"mmmm")</f>
        <v>April</v>
      </c>
      <c r="R1074">
        <f>MONTH(Data_Set_3[[#This Row],[date]])</f>
        <v>4</v>
      </c>
      <c r="S1074">
        <f>YEAR(Data_Set_3[[#This Row],[date]])</f>
        <v>2022</v>
      </c>
    </row>
    <row r="1075" spans="1:19" x14ac:dyDescent="0.3">
      <c r="A1075">
        <v>1961</v>
      </c>
      <c r="B1075" t="s">
        <v>547</v>
      </c>
      <c r="C1075" t="s">
        <v>561</v>
      </c>
      <c r="D1075" t="s">
        <v>3881</v>
      </c>
      <c r="E1075" t="s">
        <v>3882</v>
      </c>
      <c r="F1075" t="s">
        <v>1686</v>
      </c>
      <c r="G1075" t="s">
        <v>2887</v>
      </c>
      <c r="H1075" t="s">
        <v>32</v>
      </c>
      <c r="I1075" t="s">
        <v>280</v>
      </c>
      <c r="J1075">
        <v>33</v>
      </c>
      <c r="K1075" t="s">
        <v>26</v>
      </c>
      <c r="L1075" s="2">
        <v>44657</v>
      </c>
      <c r="M1075" t="s">
        <v>345</v>
      </c>
      <c r="N1075" t="s">
        <v>220</v>
      </c>
      <c r="O1075">
        <v>20046</v>
      </c>
      <c r="P1075" t="s">
        <v>21</v>
      </c>
      <c r="Q1075" t="str">
        <f>TEXT(Data_Set_3[[#This Row],[date]],"mmmm")</f>
        <v>April</v>
      </c>
      <c r="R1075">
        <f>MONTH(Data_Set_3[[#This Row],[date]])</f>
        <v>4</v>
      </c>
      <c r="S1075">
        <f>YEAR(Data_Set_3[[#This Row],[date]])</f>
        <v>2022</v>
      </c>
    </row>
    <row r="1076" spans="1:19" x14ac:dyDescent="0.3">
      <c r="A1076">
        <v>1987</v>
      </c>
      <c r="B1076" t="s">
        <v>417</v>
      </c>
      <c r="C1076" t="s">
        <v>954</v>
      </c>
      <c r="D1076" t="s">
        <v>3125</v>
      </c>
      <c r="E1076" t="s">
        <v>3126</v>
      </c>
      <c r="F1076" t="s">
        <v>2024</v>
      </c>
      <c r="G1076" t="s">
        <v>2560</v>
      </c>
      <c r="H1076" t="s">
        <v>16</v>
      </c>
      <c r="I1076" t="s">
        <v>33</v>
      </c>
      <c r="J1076">
        <v>947</v>
      </c>
      <c r="K1076" t="s">
        <v>26</v>
      </c>
      <c r="L1076" s="2">
        <v>44657</v>
      </c>
      <c r="M1076" t="s">
        <v>230</v>
      </c>
      <c r="N1076" t="s">
        <v>3127</v>
      </c>
      <c r="O1076">
        <v>28305</v>
      </c>
      <c r="P1076" t="s">
        <v>21</v>
      </c>
      <c r="Q1076" t="str">
        <f>TEXT(Data_Set_3[[#This Row],[date]],"mmmm")</f>
        <v>April</v>
      </c>
      <c r="R1076">
        <f>MONTH(Data_Set_3[[#This Row],[date]])</f>
        <v>4</v>
      </c>
      <c r="S1076">
        <f>YEAR(Data_Set_3[[#This Row],[date]])</f>
        <v>2022</v>
      </c>
    </row>
    <row r="1077" spans="1:19" x14ac:dyDescent="0.3">
      <c r="A1077">
        <v>1783</v>
      </c>
      <c r="B1077" t="s">
        <v>721</v>
      </c>
      <c r="C1077" t="s">
        <v>2884</v>
      </c>
      <c r="D1077" t="s">
        <v>2885</v>
      </c>
      <c r="E1077" t="s">
        <v>2886</v>
      </c>
      <c r="F1077" t="s">
        <v>1539</v>
      </c>
      <c r="G1077" t="s">
        <v>2887</v>
      </c>
      <c r="H1077" t="s">
        <v>16</v>
      </c>
      <c r="I1077" t="s">
        <v>25</v>
      </c>
      <c r="J1077">
        <v>822</v>
      </c>
      <c r="K1077" t="s">
        <v>57</v>
      </c>
      <c r="L1077" s="2">
        <v>44658</v>
      </c>
      <c r="M1077" t="s">
        <v>287</v>
      </c>
      <c r="N1077" t="s">
        <v>288</v>
      </c>
      <c r="O1077">
        <v>85715</v>
      </c>
      <c r="P1077" t="s">
        <v>21</v>
      </c>
      <c r="Q1077" t="str">
        <f>TEXT(Data_Set_3[[#This Row],[date]],"mmmm")</f>
        <v>April</v>
      </c>
      <c r="R1077">
        <f>MONTH(Data_Set_3[[#This Row],[date]])</f>
        <v>4</v>
      </c>
      <c r="S1077">
        <f>YEAR(Data_Set_3[[#This Row],[date]])</f>
        <v>2022</v>
      </c>
    </row>
    <row r="1078" spans="1:19" x14ac:dyDescent="0.3">
      <c r="A1078">
        <v>1812</v>
      </c>
      <c r="B1078" t="s">
        <v>1130</v>
      </c>
      <c r="C1078" t="s">
        <v>639</v>
      </c>
      <c r="D1078" t="s">
        <v>2863</v>
      </c>
      <c r="E1078" t="s">
        <v>2864</v>
      </c>
      <c r="F1078" t="s">
        <v>2641</v>
      </c>
      <c r="G1078" t="s">
        <v>1653</v>
      </c>
      <c r="H1078" t="s">
        <v>16</v>
      </c>
      <c r="I1078" t="s">
        <v>543</v>
      </c>
      <c r="J1078">
        <v>215</v>
      </c>
      <c r="K1078" t="s">
        <v>34</v>
      </c>
      <c r="L1078" s="2">
        <v>44659</v>
      </c>
      <c r="M1078" t="s">
        <v>524</v>
      </c>
      <c r="N1078" t="s">
        <v>815</v>
      </c>
      <c r="O1078">
        <v>35220</v>
      </c>
      <c r="P1078" t="s">
        <v>21</v>
      </c>
      <c r="Q1078" t="str">
        <f>TEXT(Data_Set_3[[#This Row],[date]],"mmmm")</f>
        <v>April</v>
      </c>
      <c r="R1078">
        <f>MONTH(Data_Set_3[[#This Row],[date]])</f>
        <v>4</v>
      </c>
      <c r="S1078">
        <f>YEAR(Data_Set_3[[#This Row],[date]])</f>
        <v>2022</v>
      </c>
    </row>
    <row r="1079" spans="1:19" x14ac:dyDescent="0.3">
      <c r="A1079">
        <v>1987</v>
      </c>
      <c r="B1079" t="s">
        <v>417</v>
      </c>
      <c r="C1079" t="s">
        <v>954</v>
      </c>
      <c r="D1079" t="s">
        <v>3125</v>
      </c>
      <c r="E1079" t="s">
        <v>3126</v>
      </c>
      <c r="F1079" t="s">
        <v>2024</v>
      </c>
      <c r="G1079" t="s">
        <v>2560</v>
      </c>
      <c r="H1079" t="s">
        <v>16</v>
      </c>
      <c r="I1079" t="s">
        <v>33</v>
      </c>
      <c r="J1079">
        <v>165</v>
      </c>
      <c r="K1079" t="s">
        <v>26</v>
      </c>
      <c r="L1079" s="2">
        <v>44660</v>
      </c>
      <c r="M1079" t="s">
        <v>230</v>
      </c>
      <c r="N1079" t="s">
        <v>3127</v>
      </c>
      <c r="O1079">
        <v>28305</v>
      </c>
      <c r="P1079" t="s">
        <v>21</v>
      </c>
      <c r="Q1079" t="str">
        <f>TEXT(Data_Set_3[[#This Row],[date]],"mmmm")</f>
        <v>April</v>
      </c>
      <c r="R1079">
        <f>MONTH(Data_Set_3[[#This Row],[date]])</f>
        <v>4</v>
      </c>
      <c r="S1079">
        <f>YEAR(Data_Set_3[[#This Row],[date]])</f>
        <v>2022</v>
      </c>
    </row>
    <row r="1080" spans="1:19" x14ac:dyDescent="0.3">
      <c r="A1080">
        <v>1295</v>
      </c>
      <c r="B1080" t="s">
        <v>1093</v>
      </c>
      <c r="C1080" t="s">
        <v>833</v>
      </c>
      <c r="D1080" t="s">
        <v>3883</v>
      </c>
      <c r="E1080" t="s">
        <v>3884</v>
      </c>
      <c r="F1080" t="s">
        <v>1332</v>
      </c>
      <c r="G1080" t="s">
        <v>1429</v>
      </c>
      <c r="H1080" t="s">
        <v>16</v>
      </c>
      <c r="I1080" t="s">
        <v>274</v>
      </c>
      <c r="J1080">
        <v>353</v>
      </c>
      <c r="K1080" t="s">
        <v>26</v>
      </c>
      <c r="L1080" s="2">
        <v>44662</v>
      </c>
      <c r="M1080" t="s">
        <v>152</v>
      </c>
      <c r="N1080" t="s">
        <v>571</v>
      </c>
      <c r="O1080">
        <v>44191</v>
      </c>
      <c r="P1080" t="s">
        <v>21</v>
      </c>
      <c r="Q1080" t="str">
        <f>TEXT(Data_Set_3[[#This Row],[date]],"mmmm")</f>
        <v>April</v>
      </c>
      <c r="R1080">
        <f>MONTH(Data_Set_3[[#This Row],[date]])</f>
        <v>4</v>
      </c>
      <c r="S1080">
        <f>YEAR(Data_Set_3[[#This Row],[date]])</f>
        <v>2022</v>
      </c>
    </row>
    <row r="1081" spans="1:19" x14ac:dyDescent="0.3">
      <c r="A1081">
        <v>1081</v>
      </c>
      <c r="B1081" t="s">
        <v>29</v>
      </c>
      <c r="C1081" t="s">
        <v>906</v>
      </c>
      <c r="D1081" t="s">
        <v>2980</v>
      </c>
      <c r="E1081" t="s">
        <v>2981</v>
      </c>
      <c r="F1081" t="s">
        <v>2342</v>
      </c>
      <c r="G1081" t="s">
        <v>2286</v>
      </c>
      <c r="H1081" t="s">
        <v>32</v>
      </c>
      <c r="I1081" t="s">
        <v>51</v>
      </c>
      <c r="J1081">
        <v>420</v>
      </c>
      <c r="K1081" t="s">
        <v>18</v>
      </c>
      <c r="L1081" s="2">
        <v>44663</v>
      </c>
      <c r="M1081" t="s">
        <v>152</v>
      </c>
      <c r="N1081" t="s">
        <v>484</v>
      </c>
      <c r="O1081">
        <v>45426</v>
      </c>
      <c r="P1081" t="s">
        <v>21</v>
      </c>
      <c r="Q1081" t="str">
        <f>TEXT(Data_Set_3[[#This Row],[date]],"mmmm")</f>
        <v>April</v>
      </c>
      <c r="R1081">
        <f>MONTH(Data_Set_3[[#This Row],[date]])</f>
        <v>4</v>
      </c>
      <c r="S1081">
        <f>YEAR(Data_Set_3[[#This Row],[date]])</f>
        <v>2022</v>
      </c>
    </row>
    <row r="1082" spans="1:19" x14ac:dyDescent="0.3">
      <c r="A1082">
        <v>1711</v>
      </c>
      <c r="B1082" t="s">
        <v>2925</v>
      </c>
      <c r="C1082" t="s">
        <v>55</v>
      </c>
      <c r="D1082" t="s">
        <v>3885</v>
      </c>
      <c r="E1082" t="s">
        <v>3886</v>
      </c>
      <c r="F1082" t="s">
        <v>1332</v>
      </c>
      <c r="G1082" t="s">
        <v>2678</v>
      </c>
      <c r="H1082" t="s">
        <v>32</v>
      </c>
      <c r="I1082" t="s">
        <v>17</v>
      </c>
      <c r="J1082">
        <v>53</v>
      </c>
      <c r="K1082" t="s">
        <v>416</v>
      </c>
      <c r="L1082" s="2">
        <v>44663</v>
      </c>
      <c r="M1082" t="s">
        <v>480</v>
      </c>
      <c r="N1082" t="s">
        <v>481</v>
      </c>
      <c r="O1082">
        <v>7112</v>
      </c>
      <c r="P1082" t="s">
        <v>21</v>
      </c>
      <c r="Q1082" t="str">
        <f>TEXT(Data_Set_3[[#This Row],[date]],"mmmm")</f>
        <v>April</v>
      </c>
      <c r="R1082">
        <f>MONTH(Data_Set_3[[#This Row],[date]])</f>
        <v>4</v>
      </c>
      <c r="S1082">
        <f>YEAR(Data_Set_3[[#This Row],[date]])</f>
        <v>2022</v>
      </c>
    </row>
    <row r="1083" spans="1:19" x14ac:dyDescent="0.3">
      <c r="A1083">
        <v>1990</v>
      </c>
      <c r="B1083" t="s">
        <v>186</v>
      </c>
      <c r="C1083" t="s">
        <v>367</v>
      </c>
      <c r="D1083" t="s">
        <v>3534</v>
      </c>
      <c r="E1083" t="s">
        <v>3535</v>
      </c>
      <c r="F1083" t="s">
        <v>2192</v>
      </c>
      <c r="G1083" t="s">
        <v>1609</v>
      </c>
      <c r="H1083" t="s">
        <v>32</v>
      </c>
      <c r="I1083" t="s">
        <v>33</v>
      </c>
      <c r="J1083">
        <v>39</v>
      </c>
      <c r="K1083" t="s">
        <v>26</v>
      </c>
      <c r="L1083" s="2">
        <v>44668</v>
      </c>
      <c r="M1083" t="s">
        <v>524</v>
      </c>
      <c r="N1083" t="s">
        <v>715</v>
      </c>
      <c r="O1083">
        <v>36622</v>
      </c>
      <c r="P1083" t="s">
        <v>21</v>
      </c>
      <c r="Q1083" t="str">
        <f>TEXT(Data_Set_3[[#This Row],[date]],"mmmm")</f>
        <v>April</v>
      </c>
      <c r="R1083">
        <f>MONTH(Data_Set_3[[#This Row],[date]])</f>
        <v>4</v>
      </c>
      <c r="S1083">
        <f>YEAR(Data_Set_3[[#This Row],[date]])</f>
        <v>2022</v>
      </c>
    </row>
    <row r="1084" spans="1:19" x14ac:dyDescent="0.3">
      <c r="A1084">
        <v>1037</v>
      </c>
      <c r="B1084" t="s">
        <v>333</v>
      </c>
      <c r="C1084" t="s">
        <v>423</v>
      </c>
      <c r="D1084" t="s">
        <v>3887</v>
      </c>
      <c r="E1084" t="s">
        <v>3888</v>
      </c>
      <c r="F1084" t="s">
        <v>2986</v>
      </c>
      <c r="G1084" t="s">
        <v>1615</v>
      </c>
      <c r="H1084" t="s">
        <v>32</v>
      </c>
      <c r="I1084" t="s">
        <v>17</v>
      </c>
      <c r="J1084">
        <v>956</v>
      </c>
      <c r="K1084" t="s">
        <v>83</v>
      </c>
      <c r="L1084" s="2">
        <v>44669</v>
      </c>
      <c r="M1084" t="s">
        <v>35</v>
      </c>
      <c r="N1084" t="s">
        <v>3889</v>
      </c>
      <c r="O1084">
        <v>94405</v>
      </c>
      <c r="P1084" t="s">
        <v>21</v>
      </c>
      <c r="Q1084" t="str">
        <f>TEXT(Data_Set_3[[#This Row],[date]],"mmmm")</f>
        <v>April</v>
      </c>
      <c r="R1084">
        <f>MONTH(Data_Set_3[[#This Row],[date]])</f>
        <v>4</v>
      </c>
      <c r="S1084">
        <f>YEAR(Data_Set_3[[#This Row],[date]])</f>
        <v>2022</v>
      </c>
    </row>
    <row r="1085" spans="1:19" x14ac:dyDescent="0.3">
      <c r="A1085">
        <v>1043</v>
      </c>
      <c r="B1085" t="s">
        <v>661</v>
      </c>
      <c r="C1085" t="s">
        <v>883</v>
      </c>
      <c r="D1085" t="s">
        <v>2987</v>
      </c>
      <c r="E1085" t="s">
        <v>2988</v>
      </c>
      <c r="F1085" t="s">
        <v>1353</v>
      </c>
      <c r="G1085" t="s">
        <v>2546</v>
      </c>
      <c r="H1085" t="s">
        <v>16</v>
      </c>
      <c r="I1085" t="s">
        <v>17</v>
      </c>
      <c r="J1085">
        <v>117</v>
      </c>
      <c r="K1085" t="s">
        <v>164</v>
      </c>
      <c r="L1085" s="2">
        <v>44669</v>
      </c>
      <c r="M1085" t="s">
        <v>489</v>
      </c>
      <c r="N1085" t="s">
        <v>490</v>
      </c>
      <c r="O1085">
        <v>89140</v>
      </c>
      <c r="P1085" t="s">
        <v>21</v>
      </c>
      <c r="Q1085" t="str">
        <f>TEXT(Data_Set_3[[#This Row],[date]],"mmmm")</f>
        <v>April</v>
      </c>
      <c r="R1085">
        <f>MONTH(Data_Set_3[[#This Row],[date]])</f>
        <v>4</v>
      </c>
      <c r="S1085">
        <f>YEAR(Data_Set_3[[#This Row],[date]])</f>
        <v>2022</v>
      </c>
    </row>
    <row r="1086" spans="1:19" x14ac:dyDescent="0.3">
      <c r="A1086">
        <v>1019</v>
      </c>
      <c r="B1086" t="s">
        <v>460</v>
      </c>
      <c r="C1086" t="s">
        <v>446</v>
      </c>
      <c r="D1086" t="s">
        <v>3093</v>
      </c>
      <c r="E1086" t="s">
        <v>3094</v>
      </c>
      <c r="F1086" t="s">
        <v>1323</v>
      </c>
      <c r="G1086" t="s">
        <v>2495</v>
      </c>
      <c r="H1086" t="s">
        <v>32</v>
      </c>
      <c r="I1086" t="s">
        <v>17</v>
      </c>
      <c r="J1086">
        <v>159</v>
      </c>
      <c r="K1086" t="s">
        <v>62</v>
      </c>
      <c r="L1086" s="2">
        <v>44670</v>
      </c>
      <c r="M1086" t="s">
        <v>563</v>
      </c>
      <c r="N1086" t="s">
        <v>564</v>
      </c>
      <c r="O1086">
        <v>83705</v>
      </c>
      <c r="P1086" t="s">
        <v>21</v>
      </c>
      <c r="Q1086" t="str">
        <f>TEXT(Data_Set_3[[#This Row],[date]],"mmmm")</f>
        <v>April</v>
      </c>
      <c r="R1086">
        <f>MONTH(Data_Set_3[[#This Row],[date]])</f>
        <v>4</v>
      </c>
      <c r="S1086">
        <f>YEAR(Data_Set_3[[#This Row],[date]])</f>
        <v>2022</v>
      </c>
    </row>
    <row r="1087" spans="1:19" x14ac:dyDescent="0.3">
      <c r="A1087">
        <v>1779</v>
      </c>
      <c r="B1087" t="s">
        <v>252</v>
      </c>
      <c r="C1087" t="s">
        <v>986</v>
      </c>
      <c r="D1087" t="s">
        <v>3890</v>
      </c>
      <c r="E1087" t="s">
        <v>3891</v>
      </c>
      <c r="F1087" t="s">
        <v>1472</v>
      </c>
      <c r="G1087" t="s">
        <v>2403</v>
      </c>
      <c r="H1087" t="s">
        <v>16</v>
      </c>
      <c r="I1087" t="s">
        <v>25</v>
      </c>
      <c r="J1087">
        <v>456</v>
      </c>
      <c r="K1087" t="s">
        <v>26</v>
      </c>
      <c r="L1087" s="2">
        <v>44670</v>
      </c>
      <c r="M1087" t="s">
        <v>19</v>
      </c>
      <c r="N1087" t="s">
        <v>932</v>
      </c>
      <c r="O1087">
        <v>2163</v>
      </c>
      <c r="P1087" t="s">
        <v>21</v>
      </c>
      <c r="Q1087" t="str">
        <f>TEXT(Data_Set_3[[#This Row],[date]],"mmmm")</f>
        <v>April</v>
      </c>
      <c r="R1087">
        <f>MONTH(Data_Set_3[[#This Row],[date]])</f>
        <v>4</v>
      </c>
      <c r="S1087">
        <f>YEAR(Data_Set_3[[#This Row],[date]])</f>
        <v>2022</v>
      </c>
    </row>
    <row r="1088" spans="1:19" x14ac:dyDescent="0.3">
      <c r="A1088">
        <v>1084</v>
      </c>
      <c r="B1088" t="s">
        <v>809</v>
      </c>
      <c r="C1088" t="s">
        <v>1006</v>
      </c>
      <c r="D1088" t="s">
        <v>2844</v>
      </c>
      <c r="E1088" t="s">
        <v>2845</v>
      </c>
      <c r="F1088" t="s">
        <v>2124</v>
      </c>
      <c r="G1088" t="s">
        <v>1952</v>
      </c>
      <c r="H1088" t="s">
        <v>16</v>
      </c>
      <c r="I1088" t="s">
        <v>51</v>
      </c>
      <c r="J1088">
        <v>510</v>
      </c>
      <c r="K1088" t="s">
        <v>26</v>
      </c>
      <c r="L1088" s="2">
        <v>44671</v>
      </c>
      <c r="M1088" t="s">
        <v>19</v>
      </c>
      <c r="N1088" t="s">
        <v>2846</v>
      </c>
      <c r="O1088">
        <v>2453</v>
      </c>
      <c r="P1088" t="s">
        <v>21</v>
      </c>
      <c r="Q1088" t="str">
        <f>TEXT(Data_Set_3[[#This Row],[date]],"mmmm")</f>
        <v>April</v>
      </c>
      <c r="R1088">
        <f>MONTH(Data_Set_3[[#This Row],[date]])</f>
        <v>4</v>
      </c>
      <c r="S1088">
        <f>YEAR(Data_Set_3[[#This Row],[date]])</f>
        <v>2022</v>
      </c>
    </row>
    <row r="1089" spans="1:19" x14ac:dyDescent="0.3">
      <c r="A1089">
        <v>1851</v>
      </c>
      <c r="B1089" t="s">
        <v>471</v>
      </c>
      <c r="C1089" t="s">
        <v>220</v>
      </c>
      <c r="D1089" t="s">
        <v>3015</v>
      </c>
      <c r="E1089" t="s">
        <v>3016</v>
      </c>
      <c r="F1089" t="s">
        <v>3017</v>
      </c>
      <c r="G1089" t="s">
        <v>2697</v>
      </c>
      <c r="H1089" t="s">
        <v>32</v>
      </c>
      <c r="I1089" t="s">
        <v>33</v>
      </c>
      <c r="J1089">
        <v>372</v>
      </c>
      <c r="K1089" t="s">
        <v>73</v>
      </c>
      <c r="L1089" s="2">
        <v>44671</v>
      </c>
      <c r="M1089" t="s">
        <v>184</v>
      </c>
      <c r="N1089" t="s">
        <v>656</v>
      </c>
      <c r="O1089">
        <v>11210</v>
      </c>
      <c r="P1089" t="s">
        <v>21</v>
      </c>
      <c r="Q1089" t="str">
        <f>TEXT(Data_Set_3[[#This Row],[date]],"mmmm")</f>
        <v>April</v>
      </c>
      <c r="R1089">
        <f>MONTH(Data_Set_3[[#This Row],[date]])</f>
        <v>4</v>
      </c>
      <c r="S1089">
        <f>YEAR(Data_Set_3[[#This Row],[date]])</f>
        <v>2022</v>
      </c>
    </row>
    <row r="1090" spans="1:19" x14ac:dyDescent="0.3">
      <c r="A1090">
        <v>1637</v>
      </c>
      <c r="B1090" t="s">
        <v>687</v>
      </c>
      <c r="C1090" t="s">
        <v>449</v>
      </c>
      <c r="D1090" t="s">
        <v>3892</v>
      </c>
      <c r="E1090" t="s">
        <v>3893</v>
      </c>
      <c r="F1090" t="s">
        <v>1993</v>
      </c>
      <c r="G1090" t="s">
        <v>2326</v>
      </c>
      <c r="H1090" t="s">
        <v>16</v>
      </c>
      <c r="I1090" t="s">
        <v>17</v>
      </c>
      <c r="J1090">
        <v>771</v>
      </c>
      <c r="K1090" t="s">
        <v>26</v>
      </c>
      <c r="L1090" s="2">
        <v>44672</v>
      </c>
      <c r="M1090" t="s">
        <v>230</v>
      </c>
      <c r="N1090" t="s">
        <v>260</v>
      </c>
      <c r="O1090">
        <v>28242</v>
      </c>
      <c r="P1090" t="s">
        <v>21</v>
      </c>
      <c r="Q1090" t="str">
        <f>TEXT(Data_Set_3[[#This Row],[date]],"mmmm")</f>
        <v>April</v>
      </c>
      <c r="R1090">
        <f>MONTH(Data_Set_3[[#This Row],[date]])</f>
        <v>4</v>
      </c>
      <c r="S1090">
        <f>YEAR(Data_Set_3[[#This Row],[date]])</f>
        <v>2022</v>
      </c>
    </row>
    <row r="1091" spans="1:19" x14ac:dyDescent="0.3">
      <c r="A1091">
        <v>1298</v>
      </c>
      <c r="B1091" t="s">
        <v>595</v>
      </c>
      <c r="C1091" t="s">
        <v>293</v>
      </c>
      <c r="D1091" t="s">
        <v>2900</v>
      </c>
      <c r="E1091" t="s">
        <v>2901</v>
      </c>
      <c r="F1091" t="s">
        <v>1539</v>
      </c>
      <c r="G1091" t="s">
        <v>1952</v>
      </c>
      <c r="H1091" t="s">
        <v>32</v>
      </c>
      <c r="I1091" t="s">
        <v>543</v>
      </c>
      <c r="J1091">
        <v>157</v>
      </c>
      <c r="K1091" t="s">
        <v>73</v>
      </c>
      <c r="L1091" s="2">
        <v>44675</v>
      </c>
      <c r="M1091" t="s">
        <v>115</v>
      </c>
      <c r="N1091" t="s">
        <v>351</v>
      </c>
      <c r="O1091">
        <v>32891</v>
      </c>
      <c r="P1091" t="s">
        <v>21</v>
      </c>
      <c r="Q1091" t="str">
        <f>TEXT(Data_Set_3[[#This Row],[date]],"mmmm")</f>
        <v>April</v>
      </c>
      <c r="R1091">
        <f>MONTH(Data_Set_3[[#This Row],[date]])</f>
        <v>4</v>
      </c>
      <c r="S1091">
        <f>YEAR(Data_Set_3[[#This Row],[date]])</f>
        <v>2022</v>
      </c>
    </row>
    <row r="1092" spans="1:19" x14ac:dyDescent="0.3">
      <c r="A1092">
        <v>1277</v>
      </c>
      <c r="B1092" t="s">
        <v>43</v>
      </c>
      <c r="C1092" t="s">
        <v>783</v>
      </c>
      <c r="D1092" t="s">
        <v>2861</v>
      </c>
      <c r="E1092" t="s">
        <v>2862</v>
      </c>
      <c r="F1092" t="s">
        <v>1850</v>
      </c>
      <c r="G1092" t="s">
        <v>2219</v>
      </c>
      <c r="H1092" t="s">
        <v>16</v>
      </c>
      <c r="I1092" t="s">
        <v>454</v>
      </c>
      <c r="J1092">
        <v>477</v>
      </c>
      <c r="K1092" t="s">
        <v>416</v>
      </c>
      <c r="L1092" s="2">
        <v>44676</v>
      </c>
      <c r="M1092" t="s">
        <v>152</v>
      </c>
      <c r="N1092" t="s">
        <v>251</v>
      </c>
      <c r="O1092">
        <v>44310</v>
      </c>
      <c r="P1092" t="s">
        <v>21</v>
      </c>
      <c r="Q1092" t="str">
        <f>TEXT(Data_Set_3[[#This Row],[date]],"mmmm")</f>
        <v>April</v>
      </c>
      <c r="R1092">
        <f>MONTH(Data_Set_3[[#This Row],[date]])</f>
        <v>4</v>
      </c>
      <c r="S1092">
        <f>YEAR(Data_Set_3[[#This Row],[date]])</f>
        <v>2022</v>
      </c>
    </row>
    <row r="1093" spans="1:19" x14ac:dyDescent="0.3">
      <c r="A1093">
        <v>1563</v>
      </c>
      <c r="B1093" t="s">
        <v>190</v>
      </c>
      <c r="C1093" t="s">
        <v>343</v>
      </c>
      <c r="D1093" t="s">
        <v>3894</v>
      </c>
      <c r="E1093" t="s">
        <v>3895</v>
      </c>
      <c r="F1093" t="s">
        <v>1295</v>
      </c>
      <c r="G1093" t="s">
        <v>2356</v>
      </c>
      <c r="H1093" t="s">
        <v>16</v>
      </c>
      <c r="I1093" t="s">
        <v>454</v>
      </c>
      <c r="J1093">
        <v>742</v>
      </c>
      <c r="K1093" t="s">
        <v>26</v>
      </c>
      <c r="L1093" s="2">
        <v>44676</v>
      </c>
      <c r="M1093" t="s">
        <v>74</v>
      </c>
      <c r="N1093" t="s">
        <v>75</v>
      </c>
      <c r="O1093">
        <v>30375</v>
      </c>
      <c r="P1093" t="s">
        <v>21</v>
      </c>
      <c r="Q1093" t="str">
        <f>TEXT(Data_Set_3[[#This Row],[date]],"mmmm")</f>
        <v>April</v>
      </c>
      <c r="R1093">
        <f>MONTH(Data_Set_3[[#This Row],[date]])</f>
        <v>4</v>
      </c>
      <c r="S1093">
        <f>YEAR(Data_Set_3[[#This Row],[date]])</f>
        <v>2022</v>
      </c>
    </row>
    <row r="1094" spans="1:19" x14ac:dyDescent="0.3">
      <c r="A1094">
        <v>1986</v>
      </c>
      <c r="B1094" t="s">
        <v>409</v>
      </c>
      <c r="C1094" t="s">
        <v>511</v>
      </c>
      <c r="D1094" t="s">
        <v>3431</v>
      </c>
      <c r="E1094" t="s">
        <v>3432</v>
      </c>
      <c r="F1094" t="s">
        <v>1279</v>
      </c>
      <c r="G1094" t="s">
        <v>2396</v>
      </c>
      <c r="H1094" t="s">
        <v>16</v>
      </c>
      <c r="I1094" t="s">
        <v>33</v>
      </c>
      <c r="J1094">
        <v>166</v>
      </c>
      <c r="K1094" t="s">
        <v>225</v>
      </c>
      <c r="L1094" s="2">
        <v>44676</v>
      </c>
      <c r="M1094" t="s">
        <v>68</v>
      </c>
      <c r="N1094" t="s">
        <v>234</v>
      </c>
      <c r="O1094">
        <v>77010</v>
      </c>
      <c r="P1094" t="s">
        <v>21</v>
      </c>
      <c r="Q1094" t="str">
        <f>TEXT(Data_Set_3[[#This Row],[date]],"mmmm")</f>
        <v>April</v>
      </c>
      <c r="R1094">
        <f>MONTH(Data_Set_3[[#This Row],[date]])</f>
        <v>4</v>
      </c>
      <c r="S1094">
        <f>YEAR(Data_Set_3[[#This Row],[date]])</f>
        <v>2022</v>
      </c>
    </row>
    <row r="1095" spans="1:19" x14ac:dyDescent="0.3">
      <c r="A1095">
        <v>1298</v>
      </c>
      <c r="B1095" t="s">
        <v>595</v>
      </c>
      <c r="C1095" t="s">
        <v>293</v>
      </c>
      <c r="D1095" t="s">
        <v>2900</v>
      </c>
      <c r="E1095" t="s">
        <v>2901</v>
      </c>
      <c r="F1095" t="s">
        <v>1539</v>
      </c>
      <c r="G1095" t="s">
        <v>1952</v>
      </c>
      <c r="H1095" t="s">
        <v>32</v>
      </c>
      <c r="I1095" t="s">
        <v>543</v>
      </c>
      <c r="J1095">
        <v>981</v>
      </c>
      <c r="K1095" t="s">
        <v>73</v>
      </c>
      <c r="L1095" s="2">
        <v>44681</v>
      </c>
      <c r="M1095" t="s">
        <v>115</v>
      </c>
      <c r="N1095" t="s">
        <v>351</v>
      </c>
      <c r="O1095">
        <v>32891</v>
      </c>
      <c r="P1095" t="s">
        <v>21</v>
      </c>
      <c r="Q1095" t="str">
        <f>TEXT(Data_Set_3[[#This Row],[date]],"mmmm")</f>
        <v>April</v>
      </c>
      <c r="R1095">
        <f>MONTH(Data_Set_3[[#This Row],[date]])</f>
        <v>4</v>
      </c>
      <c r="S1095">
        <f>YEAR(Data_Set_3[[#This Row],[date]])</f>
        <v>2022</v>
      </c>
    </row>
    <row r="1096" spans="1:19" x14ac:dyDescent="0.3">
      <c r="A1096">
        <v>1953</v>
      </c>
      <c r="B1096" t="s">
        <v>384</v>
      </c>
      <c r="C1096" t="s">
        <v>3073</v>
      </c>
      <c r="D1096" t="s">
        <v>3896</v>
      </c>
      <c r="E1096" t="s">
        <v>3897</v>
      </c>
      <c r="F1096" t="s">
        <v>1608</v>
      </c>
      <c r="G1096" t="s">
        <v>1780</v>
      </c>
      <c r="H1096" t="s">
        <v>16</v>
      </c>
      <c r="I1096" t="s">
        <v>179</v>
      </c>
      <c r="J1096">
        <v>599</v>
      </c>
      <c r="K1096" t="s">
        <v>26</v>
      </c>
      <c r="L1096" s="2">
        <v>44682</v>
      </c>
      <c r="M1096" t="s">
        <v>35</v>
      </c>
      <c r="N1096" t="s">
        <v>438</v>
      </c>
      <c r="O1096">
        <v>90045</v>
      </c>
      <c r="P1096" t="s">
        <v>21</v>
      </c>
      <c r="Q1096" t="str">
        <f>TEXT(Data_Set_3[[#This Row],[date]],"mmmm")</f>
        <v>May</v>
      </c>
      <c r="R1096">
        <f>MONTH(Data_Set_3[[#This Row],[date]])</f>
        <v>5</v>
      </c>
      <c r="S1096">
        <f>YEAR(Data_Set_3[[#This Row],[date]])</f>
        <v>2022</v>
      </c>
    </row>
    <row r="1097" spans="1:19" x14ac:dyDescent="0.3">
      <c r="A1097">
        <v>1365</v>
      </c>
      <c r="B1097" t="s">
        <v>1183</v>
      </c>
      <c r="C1097" t="s">
        <v>813</v>
      </c>
      <c r="D1097" t="s">
        <v>2957</v>
      </c>
      <c r="E1097" t="s">
        <v>2958</v>
      </c>
      <c r="F1097" t="s">
        <v>1644</v>
      </c>
      <c r="G1097" t="s">
        <v>2061</v>
      </c>
      <c r="H1097" t="s">
        <v>16</v>
      </c>
      <c r="I1097" t="s">
        <v>51</v>
      </c>
      <c r="J1097">
        <v>529</v>
      </c>
      <c r="K1097" t="s">
        <v>62</v>
      </c>
      <c r="L1097" s="2">
        <v>44683</v>
      </c>
      <c r="M1097" t="s">
        <v>115</v>
      </c>
      <c r="N1097" t="s">
        <v>143</v>
      </c>
      <c r="O1097">
        <v>33261</v>
      </c>
      <c r="P1097" t="s">
        <v>21</v>
      </c>
      <c r="Q1097" t="str">
        <f>TEXT(Data_Set_3[[#This Row],[date]],"mmmm")</f>
        <v>May</v>
      </c>
      <c r="R1097">
        <f>MONTH(Data_Set_3[[#This Row],[date]])</f>
        <v>5</v>
      </c>
      <c r="S1097">
        <f>YEAR(Data_Set_3[[#This Row],[date]])</f>
        <v>2022</v>
      </c>
    </row>
    <row r="1098" spans="1:19" x14ac:dyDescent="0.3">
      <c r="A1098">
        <v>1123</v>
      </c>
      <c r="B1098" t="s">
        <v>1130</v>
      </c>
      <c r="C1098" t="s">
        <v>423</v>
      </c>
      <c r="D1098" t="s">
        <v>3031</v>
      </c>
      <c r="E1098" t="s">
        <v>3032</v>
      </c>
      <c r="F1098" t="s">
        <v>1450</v>
      </c>
      <c r="G1098" t="s">
        <v>1985</v>
      </c>
      <c r="H1098" t="s">
        <v>16</v>
      </c>
      <c r="I1098" t="s">
        <v>51</v>
      </c>
      <c r="J1098">
        <v>649</v>
      </c>
      <c r="K1098" t="s">
        <v>164</v>
      </c>
      <c r="L1098" s="2">
        <v>44687</v>
      </c>
      <c r="M1098" t="s">
        <v>115</v>
      </c>
      <c r="N1098" t="s">
        <v>864</v>
      </c>
      <c r="O1098">
        <v>33673</v>
      </c>
      <c r="P1098" t="s">
        <v>21</v>
      </c>
      <c r="Q1098" t="str">
        <f>TEXT(Data_Set_3[[#This Row],[date]],"mmmm")</f>
        <v>May</v>
      </c>
      <c r="R1098">
        <f>MONTH(Data_Set_3[[#This Row],[date]])</f>
        <v>5</v>
      </c>
      <c r="S1098">
        <f>YEAR(Data_Set_3[[#This Row],[date]])</f>
        <v>2022</v>
      </c>
    </row>
    <row r="1099" spans="1:19" x14ac:dyDescent="0.3">
      <c r="A1099">
        <v>1298</v>
      </c>
      <c r="B1099" t="s">
        <v>595</v>
      </c>
      <c r="C1099" t="s">
        <v>293</v>
      </c>
      <c r="D1099" t="s">
        <v>2900</v>
      </c>
      <c r="E1099" t="s">
        <v>2901</v>
      </c>
      <c r="F1099" t="s">
        <v>1539</v>
      </c>
      <c r="G1099" t="s">
        <v>1952</v>
      </c>
      <c r="H1099" t="s">
        <v>32</v>
      </c>
      <c r="I1099" t="s">
        <v>543</v>
      </c>
      <c r="J1099">
        <v>841</v>
      </c>
      <c r="K1099" t="s">
        <v>73</v>
      </c>
      <c r="L1099" s="2">
        <v>44690</v>
      </c>
      <c r="M1099" t="s">
        <v>115</v>
      </c>
      <c r="N1099" t="s">
        <v>351</v>
      </c>
      <c r="O1099">
        <v>32891</v>
      </c>
      <c r="P1099" t="s">
        <v>21</v>
      </c>
      <c r="Q1099" t="str">
        <f>TEXT(Data_Set_3[[#This Row],[date]],"mmmm")</f>
        <v>May</v>
      </c>
      <c r="R1099">
        <f>MONTH(Data_Set_3[[#This Row],[date]])</f>
        <v>5</v>
      </c>
      <c r="S1099">
        <f>YEAR(Data_Set_3[[#This Row],[date]])</f>
        <v>2022</v>
      </c>
    </row>
    <row r="1100" spans="1:19" x14ac:dyDescent="0.3">
      <c r="A1100">
        <v>1783</v>
      </c>
      <c r="B1100" t="s">
        <v>721</v>
      </c>
      <c r="C1100" t="s">
        <v>2884</v>
      </c>
      <c r="D1100" t="s">
        <v>2885</v>
      </c>
      <c r="E1100" t="s">
        <v>2886</v>
      </c>
      <c r="F1100" t="s">
        <v>1539</v>
      </c>
      <c r="G1100" t="s">
        <v>2887</v>
      </c>
      <c r="H1100" t="s">
        <v>16</v>
      </c>
      <c r="I1100" t="s">
        <v>25</v>
      </c>
      <c r="J1100">
        <v>494</v>
      </c>
      <c r="K1100" t="s">
        <v>57</v>
      </c>
      <c r="L1100" s="2">
        <v>44690</v>
      </c>
      <c r="M1100" t="s">
        <v>287</v>
      </c>
      <c r="N1100" t="s">
        <v>288</v>
      </c>
      <c r="O1100">
        <v>85715</v>
      </c>
      <c r="P1100" t="s">
        <v>21</v>
      </c>
      <c r="Q1100" t="str">
        <f>TEXT(Data_Set_3[[#This Row],[date]],"mmmm")</f>
        <v>May</v>
      </c>
      <c r="R1100">
        <f>MONTH(Data_Set_3[[#This Row],[date]])</f>
        <v>5</v>
      </c>
      <c r="S1100">
        <f>YEAR(Data_Set_3[[#This Row],[date]])</f>
        <v>2022</v>
      </c>
    </row>
    <row r="1101" spans="1:19" x14ac:dyDescent="0.3">
      <c r="A1101">
        <v>1020</v>
      </c>
      <c r="B1101" t="s">
        <v>122</v>
      </c>
      <c r="C1101" t="s">
        <v>954</v>
      </c>
      <c r="D1101" t="s">
        <v>2888</v>
      </c>
      <c r="E1101" t="s">
        <v>2889</v>
      </c>
      <c r="F1101" t="s">
        <v>1998</v>
      </c>
      <c r="G1101" t="s">
        <v>1926</v>
      </c>
      <c r="H1101" t="s">
        <v>32</v>
      </c>
      <c r="I1101" t="s">
        <v>17</v>
      </c>
      <c r="J1101">
        <v>714</v>
      </c>
      <c r="K1101" t="s">
        <v>26</v>
      </c>
      <c r="L1101" s="2">
        <v>44692</v>
      </c>
      <c r="M1101" t="s">
        <v>35</v>
      </c>
      <c r="N1101" t="s">
        <v>620</v>
      </c>
      <c r="O1101">
        <v>94105</v>
      </c>
      <c r="P1101" t="s">
        <v>21</v>
      </c>
      <c r="Q1101" t="str">
        <f>TEXT(Data_Set_3[[#This Row],[date]],"mmmm")</f>
        <v>May</v>
      </c>
      <c r="R1101">
        <f>MONTH(Data_Set_3[[#This Row],[date]])</f>
        <v>5</v>
      </c>
      <c r="S1101">
        <f>YEAR(Data_Set_3[[#This Row],[date]])</f>
        <v>2022</v>
      </c>
    </row>
    <row r="1102" spans="1:19" x14ac:dyDescent="0.3">
      <c r="A1102">
        <v>1964</v>
      </c>
      <c r="B1102" t="s">
        <v>999</v>
      </c>
      <c r="C1102" t="s">
        <v>880</v>
      </c>
      <c r="D1102" t="s">
        <v>3898</v>
      </c>
      <c r="E1102" t="s">
        <v>3899</v>
      </c>
      <c r="F1102" t="s">
        <v>3179</v>
      </c>
      <c r="G1102" t="s">
        <v>1780</v>
      </c>
      <c r="H1102" t="s">
        <v>32</v>
      </c>
      <c r="I1102" t="s">
        <v>17</v>
      </c>
      <c r="J1102">
        <v>978</v>
      </c>
      <c r="K1102" t="s">
        <v>34</v>
      </c>
      <c r="L1102" s="2">
        <v>44692</v>
      </c>
      <c r="M1102" t="s">
        <v>35</v>
      </c>
      <c r="N1102" t="s">
        <v>599</v>
      </c>
      <c r="O1102">
        <v>94280</v>
      </c>
      <c r="P1102" t="s">
        <v>21</v>
      </c>
      <c r="Q1102" t="str">
        <f>TEXT(Data_Set_3[[#This Row],[date]],"mmmm")</f>
        <v>May</v>
      </c>
      <c r="R1102">
        <f>MONTH(Data_Set_3[[#This Row],[date]])</f>
        <v>5</v>
      </c>
      <c r="S1102">
        <f>YEAR(Data_Set_3[[#This Row],[date]])</f>
        <v>2022</v>
      </c>
    </row>
    <row r="1103" spans="1:19" x14ac:dyDescent="0.3">
      <c r="A1103">
        <v>1468</v>
      </c>
      <c r="B1103" t="s">
        <v>2915</v>
      </c>
      <c r="C1103" t="s">
        <v>722</v>
      </c>
      <c r="D1103" t="s">
        <v>2916</v>
      </c>
      <c r="E1103" t="s">
        <v>2917</v>
      </c>
      <c r="F1103" t="s">
        <v>2918</v>
      </c>
      <c r="G1103" t="s">
        <v>1559</v>
      </c>
      <c r="H1103" t="s">
        <v>32</v>
      </c>
      <c r="I1103" t="s">
        <v>33</v>
      </c>
      <c r="J1103">
        <v>672</v>
      </c>
      <c r="K1103" t="s">
        <v>259</v>
      </c>
      <c r="L1103" s="2">
        <v>44693</v>
      </c>
      <c r="M1103" t="s">
        <v>120</v>
      </c>
      <c r="N1103" t="s">
        <v>718</v>
      </c>
      <c r="O1103">
        <v>70116</v>
      </c>
      <c r="P1103" t="s">
        <v>21</v>
      </c>
      <c r="Q1103" t="str">
        <f>TEXT(Data_Set_3[[#This Row],[date]],"mmmm")</f>
        <v>May</v>
      </c>
      <c r="R1103">
        <f>MONTH(Data_Set_3[[#This Row],[date]])</f>
        <v>5</v>
      </c>
      <c r="S1103">
        <f>YEAR(Data_Set_3[[#This Row],[date]])</f>
        <v>2022</v>
      </c>
    </row>
    <row r="1104" spans="1:19" x14ac:dyDescent="0.3">
      <c r="A1104">
        <v>1969</v>
      </c>
      <c r="B1104" t="s">
        <v>789</v>
      </c>
      <c r="C1104" t="s">
        <v>833</v>
      </c>
      <c r="D1104" t="s">
        <v>3900</v>
      </c>
      <c r="E1104" t="s">
        <v>3901</v>
      </c>
      <c r="F1104" t="s">
        <v>2124</v>
      </c>
      <c r="G1104" t="s">
        <v>2657</v>
      </c>
      <c r="H1104" t="s">
        <v>16</v>
      </c>
      <c r="I1104" t="s">
        <v>25</v>
      </c>
      <c r="J1104">
        <v>919</v>
      </c>
      <c r="K1104" t="s">
        <v>26</v>
      </c>
      <c r="L1104" s="2">
        <v>44693</v>
      </c>
      <c r="M1104" t="s">
        <v>68</v>
      </c>
      <c r="N1104" t="s">
        <v>1076</v>
      </c>
      <c r="O1104">
        <v>76178</v>
      </c>
      <c r="P1104" t="s">
        <v>21</v>
      </c>
      <c r="Q1104" t="str">
        <f>TEXT(Data_Set_3[[#This Row],[date]],"mmmm")</f>
        <v>May</v>
      </c>
      <c r="R1104">
        <f>MONTH(Data_Set_3[[#This Row],[date]])</f>
        <v>5</v>
      </c>
      <c r="S1104">
        <f>YEAR(Data_Set_3[[#This Row],[date]])</f>
        <v>2022</v>
      </c>
    </row>
    <row r="1105" spans="1:19" x14ac:dyDescent="0.3">
      <c r="A1105">
        <v>1081</v>
      </c>
      <c r="B1105" t="s">
        <v>29</v>
      </c>
      <c r="C1105" t="s">
        <v>906</v>
      </c>
      <c r="D1105" t="s">
        <v>2980</v>
      </c>
      <c r="E1105" t="s">
        <v>2981</v>
      </c>
      <c r="F1105" t="s">
        <v>2342</v>
      </c>
      <c r="G1105" t="s">
        <v>2286</v>
      </c>
      <c r="H1105" t="s">
        <v>32</v>
      </c>
      <c r="I1105" t="s">
        <v>51</v>
      </c>
      <c r="J1105">
        <v>970</v>
      </c>
      <c r="K1105" t="s">
        <v>18</v>
      </c>
      <c r="L1105" s="2">
        <v>44694</v>
      </c>
      <c r="M1105" t="s">
        <v>152</v>
      </c>
      <c r="N1105" t="s">
        <v>484</v>
      </c>
      <c r="O1105">
        <v>45426</v>
      </c>
      <c r="P1105" t="s">
        <v>21</v>
      </c>
      <c r="Q1105" t="str">
        <f>TEXT(Data_Set_3[[#This Row],[date]],"mmmm")</f>
        <v>May</v>
      </c>
      <c r="R1105">
        <f>MONTH(Data_Set_3[[#This Row],[date]])</f>
        <v>5</v>
      </c>
      <c r="S1105">
        <f>YEAR(Data_Set_3[[#This Row],[date]])</f>
        <v>2022</v>
      </c>
    </row>
    <row r="1106" spans="1:19" x14ac:dyDescent="0.3">
      <c r="A1106">
        <v>1880</v>
      </c>
      <c r="B1106" t="s">
        <v>304</v>
      </c>
      <c r="C1106" t="s">
        <v>526</v>
      </c>
      <c r="D1106" t="s">
        <v>2831</v>
      </c>
      <c r="E1106" t="s">
        <v>2832</v>
      </c>
      <c r="F1106" t="s">
        <v>1376</v>
      </c>
      <c r="G1106" t="s">
        <v>2577</v>
      </c>
      <c r="H1106" t="s">
        <v>32</v>
      </c>
      <c r="I1106" t="s">
        <v>274</v>
      </c>
      <c r="J1106">
        <v>181</v>
      </c>
      <c r="K1106" t="s">
        <v>26</v>
      </c>
      <c r="L1106" s="2">
        <v>44695</v>
      </c>
      <c r="M1106" t="s">
        <v>246</v>
      </c>
      <c r="N1106" t="s">
        <v>339</v>
      </c>
      <c r="O1106">
        <v>60614</v>
      </c>
      <c r="P1106" t="s">
        <v>21</v>
      </c>
      <c r="Q1106" t="str">
        <f>TEXT(Data_Set_3[[#This Row],[date]],"mmmm")</f>
        <v>May</v>
      </c>
      <c r="R1106">
        <f>MONTH(Data_Set_3[[#This Row],[date]])</f>
        <v>5</v>
      </c>
      <c r="S1106">
        <f>YEAR(Data_Set_3[[#This Row],[date]])</f>
        <v>2022</v>
      </c>
    </row>
    <row r="1107" spans="1:19" x14ac:dyDescent="0.3">
      <c r="A1107">
        <v>1020</v>
      </c>
      <c r="B1107" t="s">
        <v>122</v>
      </c>
      <c r="C1107" t="s">
        <v>954</v>
      </c>
      <c r="D1107" t="s">
        <v>2888</v>
      </c>
      <c r="E1107" t="s">
        <v>2889</v>
      </c>
      <c r="F1107" t="s">
        <v>1998</v>
      </c>
      <c r="G1107" t="s">
        <v>1926</v>
      </c>
      <c r="H1107" t="s">
        <v>32</v>
      </c>
      <c r="I1107" t="s">
        <v>17</v>
      </c>
      <c r="J1107">
        <v>457</v>
      </c>
      <c r="K1107" t="s">
        <v>26</v>
      </c>
      <c r="L1107" s="2">
        <v>44698</v>
      </c>
      <c r="M1107" t="s">
        <v>35</v>
      </c>
      <c r="N1107" t="s">
        <v>620</v>
      </c>
      <c r="O1107">
        <v>94105</v>
      </c>
      <c r="P1107" t="s">
        <v>21</v>
      </c>
      <c r="Q1107" t="str">
        <f>TEXT(Data_Set_3[[#This Row],[date]],"mmmm")</f>
        <v>May</v>
      </c>
      <c r="R1107">
        <f>MONTH(Data_Set_3[[#This Row],[date]])</f>
        <v>5</v>
      </c>
      <c r="S1107">
        <f>YEAR(Data_Set_3[[#This Row],[date]])</f>
        <v>2022</v>
      </c>
    </row>
    <row r="1108" spans="1:19" x14ac:dyDescent="0.3">
      <c r="A1108">
        <v>1298</v>
      </c>
      <c r="B1108" t="s">
        <v>595</v>
      </c>
      <c r="C1108" t="s">
        <v>293</v>
      </c>
      <c r="D1108" t="s">
        <v>2900</v>
      </c>
      <c r="E1108" t="s">
        <v>2901</v>
      </c>
      <c r="F1108" t="s">
        <v>1539</v>
      </c>
      <c r="G1108" t="s">
        <v>1952</v>
      </c>
      <c r="H1108" t="s">
        <v>32</v>
      </c>
      <c r="I1108" t="s">
        <v>543</v>
      </c>
      <c r="J1108">
        <v>462</v>
      </c>
      <c r="K1108" t="s">
        <v>73</v>
      </c>
      <c r="L1108" s="2">
        <v>44698</v>
      </c>
      <c r="M1108" t="s">
        <v>115</v>
      </c>
      <c r="N1108" t="s">
        <v>351</v>
      </c>
      <c r="O1108">
        <v>32891</v>
      </c>
      <c r="P1108" t="s">
        <v>21</v>
      </c>
      <c r="Q1108" t="str">
        <f>TEXT(Data_Set_3[[#This Row],[date]],"mmmm")</f>
        <v>May</v>
      </c>
      <c r="R1108">
        <f>MONTH(Data_Set_3[[#This Row],[date]])</f>
        <v>5</v>
      </c>
      <c r="S1108">
        <f>YEAR(Data_Set_3[[#This Row],[date]])</f>
        <v>2022</v>
      </c>
    </row>
    <row r="1109" spans="1:19" x14ac:dyDescent="0.3">
      <c r="A1109">
        <v>1170</v>
      </c>
      <c r="B1109" t="s">
        <v>22</v>
      </c>
      <c r="C1109" t="s">
        <v>883</v>
      </c>
      <c r="D1109" t="s">
        <v>2837</v>
      </c>
      <c r="E1109" t="s">
        <v>2838</v>
      </c>
      <c r="F1109" t="s">
        <v>2430</v>
      </c>
      <c r="G1109" t="s">
        <v>1333</v>
      </c>
      <c r="H1109" t="s">
        <v>16</v>
      </c>
      <c r="I1109" t="s">
        <v>33</v>
      </c>
      <c r="J1109">
        <v>603</v>
      </c>
      <c r="K1109" t="s">
        <v>164</v>
      </c>
      <c r="L1109" s="2">
        <v>44699</v>
      </c>
      <c r="M1109" t="s">
        <v>68</v>
      </c>
      <c r="N1109" t="s">
        <v>169</v>
      </c>
      <c r="O1109">
        <v>88574</v>
      </c>
      <c r="P1109" t="s">
        <v>21</v>
      </c>
      <c r="Q1109" t="str">
        <f>TEXT(Data_Set_3[[#This Row],[date]],"mmmm")</f>
        <v>May</v>
      </c>
      <c r="R1109">
        <f>MONTH(Data_Set_3[[#This Row],[date]])</f>
        <v>5</v>
      </c>
      <c r="S1109">
        <f>YEAR(Data_Set_3[[#This Row],[date]])</f>
        <v>2022</v>
      </c>
    </row>
    <row r="1110" spans="1:19" x14ac:dyDescent="0.3">
      <c r="A1110">
        <v>1522</v>
      </c>
      <c r="B1110" t="s">
        <v>687</v>
      </c>
      <c r="C1110" t="s">
        <v>612</v>
      </c>
      <c r="D1110" t="s">
        <v>3902</v>
      </c>
      <c r="E1110" t="s">
        <v>3903</v>
      </c>
      <c r="F1110" t="s">
        <v>2816</v>
      </c>
      <c r="G1110" t="s">
        <v>1429</v>
      </c>
      <c r="H1110" t="s">
        <v>16</v>
      </c>
      <c r="I1110" t="s">
        <v>361</v>
      </c>
      <c r="J1110">
        <v>801</v>
      </c>
      <c r="K1110" t="s">
        <v>95</v>
      </c>
      <c r="L1110" s="2">
        <v>44699</v>
      </c>
      <c r="M1110" t="s">
        <v>27</v>
      </c>
      <c r="N1110" t="s">
        <v>398</v>
      </c>
      <c r="O1110">
        <v>80126</v>
      </c>
      <c r="P1110" t="s">
        <v>21</v>
      </c>
      <c r="Q1110" t="str">
        <f>TEXT(Data_Set_3[[#This Row],[date]],"mmmm")</f>
        <v>May</v>
      </c>
      <c r="R1110">
        <f>MONTH(Data_Set_3[[#This Row],[date]])</f>
        <v>5</v>
      </c>
      <c r="S1110">
        <f>YEAR(Data_Set_3[[#This Row],[date]])</f>
        <v>2022</v>
      </c>
    </row>
    <row r="1111" spans="1:19" x14ac:dyDescent="0.3">
      <c r="A1111">
        <v>1017</v>
      </c>
      <c r="B1111" t="s">
        <v>803</v>
      </c>
      <c r="C1111" t="s">
        <v>3048</v>
      </c>
      <c r="D1111" t="s">
        <v>3049</v>
      </c>
      <c r="E1111" t="s">
        <v>3050</v>
      </c>
      <c r="F1111" t="s">
        <v>1306</v>
      </c>
      <c r="G1111" t="s">
        <v>1845</v>
      </c>
      <c r="H1111" t="s">
        <v>32</v>
      </c>
      <c r="I1111" t="s">
        <v>17</v>
      </c>
      <c r="J1111">
        <v>536</v>
      </c>
      <c r="K1111" t="s">
        <v>26</v>
      </c>
      <c r="L1111" s="2">
        <v>44702</v>
      </c>
      <c r="M1111" t="s">
        <v>246</v>
      </c>
      <c r="N1111" t="s">
        <v>339</v>
      </c>
      <c r="O1111">
        <v>60663</v>
      </c>
      <c r="P1111" t="s">
        <v>21</v>
      </c>
      <c r="Q1111" t="str">
        <f>TEXT(Data_Set_3[[#This Row],[date]],"mmmm")</f>
        <v>May</v>
      </c>
      <c r="R1111">
        <f>MONTH(Data_Set_3[[#This Row],[date]])</f>
        <v>5</v>
      </c>
      <c r="S1111">
        <f>YEAR(Data_Set_3[[#This Row],[date]])</f>
        <v>2022</v>
      </c>
    </row>
    <row r="1112" spans="1:19" x14ac:dyDescent="0.3">
      <c r="A1112">
        <v>1170</v>
      </c>
      <c r="B1112" t="s">
        <v>22</v>
      </c>
      <c r="C1112" t="s">
        <v>883</v>
      </c>
      <c r="D1112" t="s">
        <v>2837</v>
      </c>
      <c r="E1112" t="s">
        <v>2838</v>
      </c>
      <c r="F1112" t="s">
        <v>2430</v>
      </c>
      <c r="G1112" t="s">
        <v>1333</v>
      </c>
      <c r="H1112" t="s">
        <v>16</v>
      </c>
      <c r="I1112" t="s">
        <v>33</v>
      </c>
      <c r="J1112">
        <v>388</v>
      </c>
      <c r="K1112" t="s">
        <v>164</v>
      </c>
      <c r="L1112" s="2">
        <v>44702</v>
      </c>
      <c r="M1112" t="s">
        <v>68</v>
      </c>
      <c r="N1112" t="s">
        <v>169</v>
      </c>
      <c r="O1112">
        <v>88574</v>
      </c>
      <c r="P1112" t="s">
        <v>21</v>
      </c>
      <c r="Q1112" t="str">
        <f>TEXT(Data_Set_3[[#This Row],[date]],"mmmm")</f>
        <v>May</v>
      </c>
      <c r="R1112">
        <f>MONTH(Data_Set_3[[#This Row],[date]])</f>
        <v>5</v>
      </c>
      <c r="S1112">
        <f>YEAR(Data_Set_3[[#This Row],[date]])</f>
        <v>2022</v>
      </c>
    </row>
    <row r="1113" spans="1:19" x14ac:dyDescent="0.3">
      <c r="A1113">
        <v>1729</v>
      </c>
      <c r="B1113" t="s">
        <v>140</v>
      </c>
      <c r="C1113" t="s">
        <v>228</v>
      </c>
      <c r="D1113" t="s">
        <v>3904</v>
      </c>
      <c r="E1113" t="s">
        <v>3905</v>
      </c>
      <c r="F1113" t="s">
        <v>1606</v>
      </c>
      <c r="G1113" t="s">
        <v>1676</v>
      </c>
      <c r="H1113" t="s">
        <v>32</v>
      </c>
      <c r="I1113" t="s">
        <v>2821</v>
      </c>
      <c r="J1113">
        <v>387</v>
      </c>
      <c r="K1113" t="s">
        <v>109</v>
      </c>
      <c r="L1113" s="2">
        <v>44705</v>
      </c>
      <c r="M1113" t="s">
        <v>35</v>
      </c>
      <c r="N1113" t="s">
        <v>599</v>
      </c>
      <c r="O1113">
        <v>94273</v>
      </c>
      <c r="P1113" t="s">
        <v>21</v>
      </c>
      <c r="Q1113" t="str">
        <f>TEXT(Data_Set_3[[#This Row],[date]],"mmmm")</f>
        <v>May</v>
      </c>
      <c r="R1113">
        <f>MONTH(Data_Set_3[[#This Row],[date]])</f>
        <v>5</v>
      </c>
      <c r="S1113">
        <f>YEAR(Data_Set_3[[#This Row],[date]])</f>
        <v>2022</v>
      </c>
    </row>
    <row r="1114" spans="1:19" x14ac:dyDescent="0.3">
      <c r="A1114">
        <v>1983</v>
      </c>
      <c r="B1114" t="s">
        <v>117</v>
      </c>
      <c r="C1114" t="s">
        <v>930</v>
      </c>
      <c r="D1114" t="s">
        <v>3022</v>
      </c>
      <c r="E1114" t="s">
        <v>3023</v>
      </c>
      <c r="F1114" t="s">
        <v>1420</v>
      </c>
      <c r="G1114" t="s">
        <v>1863</v>
      </c>
      <c r="H1114" t="s">
        <v>32</v>
      </c>
      <c r="I1114" t="s">
        <v>33</v>
      </c>
      <c r="J1114">
        <v>288</v>
      </c>
      <c r="K1114" t="s">
        <v>26</v>
      </c>
      <c r="L1114" s="2">
        <v>44705</v>
      </c>
      <c r="M1114" t="s">
        <v>58</v>
      </c>
      <c r="N1114" t="s">
        <v>419</v>
      </c>
      <c r="O1114">
        <v>66112</v>
      </c>
      <c r="P1114" t="s">
        <v>21</v>
      </c>
      <c r="Q1114" t="str">
        <f>TEXT(Data_Set_3[[#This Row],[date]],"mmmm")</f>
        <v>May</v>
      </c>
      <c r="R1114">
        <f>MONTH(Data_Set_3[[#This Row],[date]])</f>
        <v>5</v>
      </c>
      <c r="S1114">
        <f>YEAR(Data_Set_3[[#This Row],[date]])</f>
        <v>2022</v>
      </c>
    </row>
    <row r="1115" spans="1:19" x14ac:dyDescent="0.3">
      <c r="A1115">
        <v>1093</v>
      </c>
      <c r="B1115" t="s">
        <v>3403</v>
      </c>
      <c r="C1115" t="s">
        <v>404</v>
      </c>
      <c r="D1115" t="s">
        <v>3906</v>
      </c>
      <c r="E1115" t="s">
        <v>3907</v>
      </c>
      <c r="F1115" t="s">
        <v>1450</v>
      </c>
      <c r="G1115" t="s">
        <v>2102</v>
      </c>
      <c r="H1115" t="s">
        <v>16</v>
      </c>
      <c r="I1115" t="s">
        <v>51</v>
      </c>
      <c r="J1115">
        <v>467</v>
      </c>
      <c r="K1115" t="s">
        <v>95</v>
      </c>
      <c r="L1115" s="2">
        <v>44710</v>
      </c>
      <c r="M1115" t="s">
        <v>254</v>
      </c>
      <c r="N1115" t="s">
        <v>3769</v>
      </c>
      <c r="O1115">
        <v>51105</v>
      </c>
      <c r="P1115" t="s">
        <v>21</v>
      </c>
      <c r="Q1115" t="str">
        <f>TEXT(Data_Set_3[[#This Row],[date]],"mmmm")</f>
        <v>May</v>
      </c>
      <c r="R1115">
        <f>MONTH(Data_Set_3[[#This Row],[date]])</f>
        <v>5</v>
      </c>
      <c r="S1115">
        <f>YEAR(Data_Set_3[[#This Row],[date]])</f>
        <v>2022</v>
      </c>
    </row>
    <row r="1116" spans="1:19" x14ac:dyDescent="0.3">
      <c r="A1116">
        <v>1298</v>
      </c>
      <c r="B1116" t="s">
        <v>595</v>
      </c>
      <c r="C1116" t="s">
        <v>293</v>
      </c>
      <c r="D1116" t="s">
        <v>2900</v>
      </c>
      <c r="E1116" t="s">
        <v>2901</v>
      </c>
      <c r="F1116" t="s">
        <v>1539</v>
      </c>
      <c r="G1116" t="s">
        <v>1952</v>
      </c>
      <c r="H1116" t="s">
        <v>32</v>
      </c>
      <c r="I1116" t="s">
        <v>543</v>
      </c>
      <c r="J1116">
        <v>403</v>
      </c>
      <c r="K1116" t="s">
        <v>73</v>
      </c>
      <c r="L1116" s="2">
        <v>44710</v>
      </c>
      <c r="M1116" t="s">
        <v>115</v>
      </c>
      <c r="N1116" t="s">
        <v>351</v>
      </c>
      <c r="O1116">
        <v>32891</v>
      </c>
      <c r="P1116" t="s">
        <v>21</v>
      </c>
      <c r="Q1116" t="str">
        <f>TEXT(Data_Set_3[[#This Row],[date]],"mmmm")</f>
        <v>May</v>
      </c>
      <c r="R1116">
        <f>MONTH(Data_Set_3[[#This Row],[date]])</f>
        <v>5</v>
      </c>
      <c r="S1116">
        <f>YEAR(Data_Set_3[[#This Row],[date]])</f>
        <v>2022</v>
      </c>
    </row>
    <row r="1117" spans="1:19" x14ac:dyDescent="0.3">
      <c r="A1117">
        <v>1018</v>
      </c>
      <c r="B1117" t="s">
        <v>336</v>
      </c>
      <c r="C1117" t="s">
        <v>1210</v>
      </c>
      <c r="D1117" t="s">
        <v>3908</v>
      </c>
      <c r="E1117" t="s">
        <v>3909</v>
      </c>
      <c r="F1117" t="s">
        <v>1420</v>
      </c>
      <c r="G1117" t="s">
        <v>2664</v>
      </c>
      <c r="H1117" t="s">
        <v>16</v>
      </c>
      <c r="I1117" t="s">
        <v>17</v>
      </c>
      <c r="J1117">
        <v>464</v>
      </c>
      <c r="K1117" t="s">
        <v>164</v>
      </c>
      <c r="L1117" s="2">
        <v>44711</v>
      </c>
      <c r="M1117" t="s">
        <v>78</v>
      </c>
      <c r="N1117" t="s">
        <v>532</v>
      </c>
      <c r="O1117">
        <v>48604</v>
      </c>
      <c r="P1117" t="s">
        <v>21</v>
      </c>
      <c r="Q1117" t="str">
        <f>TEXT(Data_Set_3[[#This Row],[date]],"mmmm")</f>
        <v>May</v>
      </c>
      <c r="R1117">
        <f>MONTH(Data_Set_3[[#This Row],[date]])</f>
        <v>5</v>
      </c>
      <c r="S1117">
        <f>YEAR(Data_Set_3[[#This Row],[date]])</f>
        <v>2022</v>
      </c>
    </row>
    <row r="1118" spans="1:19" x14ac:dyDescent="0.3">
      <c r="A1118">
        <v>1095</v>
      </c>
      <c r="B1118" t="s">
        <v>395</v>
      </c>
      <c r="C1118" t="s">
        <v>876</v>
      </c>
      <c r="D1118" t="s">
        <v>2989</v>
      </c>
      <c r="E1118" t="s">
        <v>2990</v>
      </c>
      <c r="F1118" t="s">
        <v>1323</v>
      </c>
      <c r="G1118" t="s">
        <v>1453</v>
      </c>
      <c r="H1118" t="s">
        <v>32</v>
      </c>
      <c r="I1118" t="s">
        <v>51</v>
      </c>
      <c r="J1118">
        <v>972</v>
      </c>
      <c r="K1118" t="s">
        <v>34</v>
      </c>
      <c r="L1118" s="2">
        <v>44712</v>
      </c>
      <c r="M1118" t="s">
        <v>68</v>
      </c>
      <c r="N1118" t="s">
        <v>234</v>
      </c>
      <c r="O1118">
        <v>77040</v>
      </c>
      <c r="P1118" t="s">
        <v>21</v>
      </c>
      <c r="Q1118" t="str">
        <f>TEXT(Data_Set_3[[#This Row],[date]],"mmmm")</f>
        <v>May</v>
      </c>
      <c r="R1118">
        <f>MONTH(Data_Set_3[[#This Row],[date]])</f>
        <v>5</v>
      </c>
      <c r="S1118">
        <f>YEAR(Data_Set_3[[#This Row],[date]])</f>
        <v>2022</v>
      </c>
    </row>
    <row r="1119" spans="1:19" x14ac:dyDescent="0.3">
      <c r="A1119">
        <v>1123</v>
      </c>
      <c r="B1119" t="s">
        <v>1130</v>
      </c>
      <c r="C1119" t="s">
        <v>423</v>
      </c>
      <c r="D1119" t="s">
        <v>3031</v>
      </c>
      <c r="E1119" t="s">
        <v>3032</v>
      </c>
      <c r="F1119" t="s">
        <v>1450</v>
      </c>
      <c r="G1119" t="s">
        <v>1985</v>
      </c>
      <c r="H1119" t="s">
        <v>16</v>
      </c>
      <c r="I1119" t="s">
        <v>51</v>
      </c>
      <c r="J1119">
        <v>989</v>
      </c>
      <c r="K1119" t="s">
        <v>164</v>
      </c>
      <c r="L1119" s="2">
        <v>44712</v>
      </c>
      <c r="M1119" t="s">
        <v>115</v>
      </c>
      <c r="N1119" t="s">
        <v>864</v>
      </c>
      <c r="O1119">
        <v>33673</v>
      </c>
      <c r="P1119" t="s">
        <v>21</v>
      </c>
      <c r="Q1119" t="str">
        <f>TEXT(Data_Set_3[[#This Row],[date]],"mmmm")</f>
        <v>May</v>
      </c>
      <c r="R1119">
        <f>MONTH(Data_Set_3[[#This Row],[date]])</f>
        <v>5</v>
      </c>
      <c r="S1119">
        <f>YEAR(Data_Set_3[[#This Row],[date]])</f>
        <v>2022</v>
      </c>
    </row>
    <row r="1120" spans="1:19" x14ac:dyDescent="0.3">
      <c r="A1120">
        <v>1847</v>
      </c>
      <c r="B1120" t="s">
        <v>851</v>
      </c>
      <c r="C1120" t="s">
        <v>764</v>
      </c>
      <c r="D1120" t="s">
        <v>3910</v>
      </c>
      <c r="E1120" t="s">
        <v>3911</v>
      </c>
      <c r="F1120" t="s">
        <v>2505</v>
      </c>
      <c r="G1120" t="s">
        <v>1709</v>
      </c>
      <c r="H1120" t="s">
        <v>16</v>
      </c>
      <c r="I1120" t="s">
        <v>543</v>
      </c>
      <c r="J1120">
        <v>139</v>
      </c>
      <c r="K1120" t="s">
        <v>26</v>
      </c>
      <c r="L1120" s="2">
        <v>44713</v>
      </c>
      <c r="M1120" t="s">
        <v>451</v>
      </c>
      <c r="N1120" t="s">
        <v>823</v>
      </c>
      <c r="O1120">
        <v>84140</v>
      </c>
      <c r="P1120" t="s">
        <v>21</v>
      </c>
      <c r="Q1120" t="str">
        <f>TEXT(Data_Set_3[[#This Row],[date]],"mmmm")</f>
        <v>June</v>
      </c>
      <c r="R1120">
        <f>MONTH(Data_Set_3[[#This Row],[date]])</f>
        <v>6</v>
      </c>
      <c r="S1120">
        <f>YEAR(Data_Set_3[[#This Row],[date]])</f>
        <v>2022</v>
      </c>
    </row>
    <row r="1121" spans="1:19" x14ac:dyDescent="0.3">
      <c r="A1121">
        <v>1880</v>
      </c>
      <c r="B1121" t="s">
        <v>304</v>
      </c>
      <c r="C1121" t="s">
        <v>526</v>
      </c>
      <c r="D1121" t="s">
        <v>2831</v>
      </c>
      <c r="E1121" t="s">
        <v>2832</v>
      </c>
      <c r="F1121" t="s">
        <v>1376</v>
      </c>
      <c r="G1121" t="s">
        <v>2577</v>
      </c>
      <c r="H1121" t="s">
        <v>32</v>
      </c>
      <c r="I1121" t="s">
        <v>274</v>
      </c>
      <c r="J1121">
        <v>64</v>
      </c>
      <c r="K1121" t="s">
        <v>26</v>
      </c>
      <c r="L1121" s="2">
        <v>44713</v>
      </c>
      <c r="M1121" t="s">
        <v>246</v>
      </c>
      <c r="N1121" t="s">
        <v>339</v>
      </c>
      <c r="O1121">
        <v>60614</v>
      </c>
      <c r="P1121" t="s">
        <v>21</v>
      </c>
      <c r="Q1121" t="str">
        <f>TEXT(Data_Set_3[[#This Row],[date]],"mmmm")</f>
        <v>June</v>
      </c>
      <c r="R1121">
        <f>MONTH(Data_Set_3[[#This Row],[date]])</f>
        <v>6</v>
      </c>
      <c r="S1121">
        <f>YEAR(Data_Set_3[[#This Row],[date]])</f>
        <v>2022</v>
      </c>
    </row>
    <row r="1122" spans="1:19" x14ac:dyDescent="0.3">
      <c r="A1122">
        <v>1170</v>
      </c>
      <c r="B1122" t="s">
        <v>22</v>
      </c>
      <c r="C1122" t="s">
        <v>883</v>
      </c>
      <c r="D1122" t="s">
        <v>2837</v>
      </c>
      <c r="E1122" t="s">
        <v>2838</v>
      </c>
      <c r="F1122" t="s">
        <v>2430</v>
      </c>
      <c r="G1122" t="s">
        <v>1333</v>
      </c>
      <c r="H1122" t="s">
        <v>16</v>
      </c>
      <c r="I1122" t="s">
        <v>33</v>
      </c>
      <c r="J1122">
        <v>529</v>
      </c>
      <c r="K1122" t="s">
        <v>164</v>
      </c>
      <c r="L1122" s="2">
        <v>44714</v>
      </c>
      <c r="M1122" t="s">
        <v>68</v>
      </c>
      <c r="N1122" t="s">
        <v>169</v>
      </c>
      <c r="O1122">
        <v>88574</v>
      </c>
      <c r="P1122" t="s">
        <v>21</v>
      </c>
      <c r="Q1122" t="str">
        <f>TEXT(Data_Set_3[[#This Row],[date]],"mmmm")</f>
        <v>June</v>
      </c>
      <c r="R1122">
        <f>MONTH(Data_Set_3[[#This Row],[date]])</f>
        <v>6</v>
      </c>
      <c r="S1122">
        <f>YEAR(Data_Set_3[[#This Row],[date]])</f>
        <v>2022</v>
      </c>
    </row>
    <row r="1123" spans="1:19" x14ac:dyDescent="0.3">
      <c r="A1123">
        <v>1414</v>
      </c>
      <c r="B1123" t="s">
        <v>248</v>
      </c>
      <c r="C1123" t="s">
        <v>23</v>
      </c>
      <c r="D1123" t="s">
        <v>3593</v>
      </c>
      <c r="E1123" t="s">
        <v>3594</v>
      </c>
      <c r="F1123" t="s">
        <v>1689</v>
      </c>
      <c r="G1123" t="s">
        <v>1952</v>
      </c>
      <c r="H1123" t="s">
        <v>16</v>
      </c>
      <c r="I1123" t="s">
        <v>553</v>
      </c>
      <c r="J1123">
        <v>420</v>
      </c>
      <c r="K1123" t="s">
        <v>225</v>
      </c>
      <c r="L1123" s="2">
        <v>44714</v>
      </c>
      <c r="M1123" t="s">
        <v>115</v>
      </c>
      <c r="N1123" t="s">
        <v>3595</v>
      </c>
      <c r="O1123">
        <v>34643</v>
      </c>
      <c r="P1123" t="s">
        <v>21</v>
      </c>
      <c r="Q1123" t="str">
        <f>TEXT(Data_Set_3[[#This Row],[date]],"mmmm")</f>
        <v>June</v>
      </c>
      <c r="R1123">
        <f>MONTH(Data_Set_3[[#This Row],[date]])</f>
        <v>6</v>
      </c>
      <c r="S1123">
        <f>YEAR(Data_Set_3[[#This Row],[date]])</f>
        <v>2022</v>
      </c>
    </row>
    <row r="1124" spans="1:19" x14ac:dyDescent="0.3">
      <c r="A1124">
        <v>1468</v>
      </c>
      <c r="B1124" t="s">
        <v>2915</v>
      </c>
      <c r="C1124" t="s">
        <v>722</v>
      </c>
      <c r="D1124" t="s">
        <v>2916</v>
      </c>
      <c r="E1124" t="s">
        <v>2917</v>
      </c>
      <c r="F1124" t="s">
        <v>2918</v>
      </c>
      <c r="G1124" t="s">
        <v>1559</v>
      </c>
      <c r="H1124" t="s">
        <v>32</v>
      </c>
      <c r="I1124" t="s">
        <v>33</v>
      </c>
      <c r="J1124">
        <v>375</v>
      </c>
      <c r="K1124" t="s">
        <v>259</v>
      </c>
      <c r="L1124" s="2">
        <v>44714</v>
      </c>
      <c r="M1124" t="s">
        <v>120</v>
      </c>
      <c r="N1124" t="s">
        <v>718</v>
      </c>
      <c r="O1124">
        <v>70116</v>
      </c>
      <c r="P1124" t="s">
        <v>21</v>
      </c>
      <c r="Q1124" t="str">
        <f>TEXT(Data_Set_3[[#This Row],[date]],"mmmm")</f>
        <v>June</v>
      </c>
      <c r="R1124">
        <f>MONTH(Data_Set_3[[#This Row],[date]])</f>
        <v>6</v>
      </c>
      <c r="S1124">
        <f>YEAR(Data_Set_3[[#This Row],[date]])</f>
        <v>2022</v>
      </c>
    </row>
    <row r="1125" spans="1:19" x14ac:dyDescent="0.3">
      <c r="A1125">
        <v>1530</v>
      </c>
      <c r="B1125" t="s">
        <v>706</v>
      </c>
      <c r="C1125" t="s">
        <v>60</v>
      </c>
      <c r="D1125" t="s">
        <v>3912</v>
      </c>
      <c r="E1125" t="s">
        <v>3913</v>
      </c>
      <c r="F1125" t="s">
        <v>3202</v>
      </c>
      <c r="G1125" t="s">
        <v>2709</v>
      </c>
      <c r="H1125" t="s">
        <v>32</v>
      </c>
      <c r="I1125" t="s">
        <v>2941</v>
      </c>
      <c r="J1125">
        <v>860</v>
      </c>
      <c r="K1125" t="s">
        <v>26</v>
      </c>
      <c r="L1125" s="2">
        <v>44714</v>
      </c>
      <c r="M1125" t="s">
        <v>152</v>
      </c>
      <c r="N1125" t="s">
        <v>484</v>
      </c>
      <c r="O1125">
        <v>45426</v>
      </c>
      <c r="P1125" t="s">
        <v>21</v>
      </c>
      <c r="Q1125" t="str">
        <f>TEXT(Data_Set_3[[#This Row],[date]],"mmmm")</f>
        <v>June</v>
      </c>
      <c r="R1125">
        <f>MONTH(Data_Set_3[[#This Row],[date]])</f>
        <v>6</v>
      </c>
      <c r="S1125">
        <f>YEAR(Data_Set_3[[#This Row],[date]])</f>
        <v>2022</v>
      </c>
    </row>
    <row r="1126" spans="1:19" x14ac:dyDescent="0.3">
      <c r="A1126">
        <v>1234</v>
      </c>
      <c r="B1126" t="s">
        <v>2806</v>
      </c>
      <c r="C1126" t="s">
        <v>752</v>
      </c>
      <c r="D1126" t="s">
        <v>2807</v>
      </c>
      <c r="E1126" t="s">
        <v>2808</v>
      </c>
      <c r="F1126" t="s">
        <v>1460</v>
      </c>
      <c r="G1126" t="s">
        <v>2125</v>
      </c>
      <c r="H1126" t="s">
        <v>16</v>
      </c>
      <c r="I1126" t="s">
        <v>33</v>
      </c>
      <c r="J1126">
        <v>896</v>
      </c>
      <c r="K1126" t="s">
        <v>62</v>
      </c>
      <c r="L1126" s="2">
        <v>44718</v>
      </c>
      <c r="M1126" t="s">
        <v>68</v>
      </c>
      <c r="N1126" t="s">
        <v>69</v>
      </c>
      <c r="O1126">
        <v>78710</v>
      </c>
      <c r="P1126" t="s">
        <v>21</v>
      </c>
      <c r="Q1126" t="str">
        <f>TEXT(Data_Set_3[[#This Row],[date]],"mmmm")</f>
        <v>June</v>
      </c>
      <c r="R1126">
        <f>MONTH(Data_Set_3[[#This Row],[date]])</f>
        <v>6</v>
      </c>
      <c r="S1126">
        <f>YEAR(Data_Set_3[[#This Row],[date]])</f>
        <v>2022</v>
      </c>
    </row>
    <row r="1127" spans="1:19" x14ac:dyDescent="0.3">
      <c r="A1127">
        <v>1123</v>
      </c>
      <c r="B1127" t="s">
        <v>1130</v>
      </c>
      <c r="C1127" t="s">
        <v>423</v>
      </c>
      <c r="D1127" t="s">
        <v>3031</v>
      </c>
      <c r="E1127" t="s">
        <v>3032</v>
      </c>
      <c r="F1127" t="s">
        <v>1450</v>
      </c>
      <c r="G1127" t="s">
        <v>1985</v>
      </c>
      <c r="H1127" t="s">
        <v>16</v>
      </c>
      <c r="I1127" t="s">
        <v>51</v>
      </c>
      <c r="J1127">
        <v>275</v>
      </c>
      <c r="K1127" t="s">
        <v>164</v>
      </c>
      <c r="L1127" s="2">
        <v>44719</v>
      </c>
      <c r="M1127" t="s">
        <v>115</v>
      </c>
      <c r="N1127" t="s">
        <v>864</v>
      </c>
      <c r="O1127">
        <v>33673</v>
      </c>
      <c r="P1127" t="s">
        <v>21</v>
      </c>
      <c r="Q1127" t="str">
        <f>TEXT(Data_Set_3[[#This Row],[date]],"mmmm")</f>
        <v>June</v>
      </c>
      <c r="R1127">
        <f>MONTH(Data_Set_3[[#This Row],[date]])</f>
        <v>6</v>
      </c>
      <c r="S1127">
        <f>YEAR(Data_Set_3[[#This Row],[date]])</f>
        <v>2022</v>
      </c>
    </row>
    <row r="1128" spans="1:19" x14ac:dyDescent="0.3">
      <c r="A1128">
        <v>1234</v>
      </c>
      <c r="B1128" t="s">
        <v>2806</v>
      </c>
      <c r="C1128" t="s">
        <v>752</v>
      </c>
      <c r="D1128" t="s">
        <v>2807</v>
      </c>
      <c r="E1128" t="s">
        <v>2808</v>
      </c>
      <c r="F1128" t="s">
        <v>1460</v>
      </c>
      <c r="G1128" t="s">
        <v>2125</v>
      </c>
      <c r="H1128" t="s">
        <v>16</v>
      </c>
      <c r="I1128" t="s">
        <v>33</v>
      </c>
      <c r="J1128">
        <v>812</v>
      </c>
      <c r="K1128" t="s">
        <v>62</v>
      </c>
      <c r="L1128" s="2">
        <v>44720</v>
      </c>
      <c r="M1128" t="s">
        <v>68</v>
      </c>
      <c r="N1128" t="s">
        <v>69</v>
      </c>
      <c r="O1128">
        <v>78710</v>
      </c>
      <c r="P1128" t="s">
        <v>21</v>
      </c>
      <c r="Q1128" t="str">
        <f>TEXT(Data_Set_3[[#This Row],[date]],"mmmm")</f>
        <v>June</v>
      </c>
      <c r="R1128">
        <f>MONTH(Data_Set_3[[#This Row],[date]])</f>
        <v>6</v>
      </c>
      <c r="S1128">
        <f>YEAR(Data_Set_3[[#This Row],[date]])</f>
        <v>2022</v>
      </c>
    </row>
    <row r="1129" spans="1:19" x14ac:dyDescent="0.3">
      <c r="A1129">
        <v>1277</v>
      </c>
      <c r="B1129" t="s">
        <v>43</v>
      </c>
      <c r="C1129" t="s">
        <v>783</v>
      </c>
      <c r="D1129" t="s">
        <v>2861</v>
      </c>
      <c r="E1129" t="s">
        <v>2862</v>
      </c>
      <c r="F1129" t="s">
        <v>1850</v>
      </c>
      <c r="G1129" t="s">
        <v>2219</v>
      </c>
      <c r="H1129" t="s">
        <v>16</v>
      </c>
      <c r="I1129" t="s">
        <v>454</v>
      </c>
      <c r="J1129">
        <v>734</v>
      </c>
      <c r="K1129" t="s">
        <v>416</v>
      </c>
      <c r="L1129" s="2">
        <v>44720</v>
      </c>
      <c r="M1129" t="s">
        <v>152</v>
      </c>
      <c r="N1129" t="s">
        <v>251</v>
      </c>
      <c r="O1129">
        <v>44310</v>
      </c>
      <c r="P1129" t="s">
        <v>21</v>
      </c>
      <c r="Q1129" t="str">
        <f>TEXT(Data_Set_3[[#This Row],[date]],"mmmm")</f>
        <v>June</v>
      </c>
      <c r="R1129">
        <f>MONTH(Data_Set_3[[#This Row],[date]])</f>
        <v>6</v>
      </c>
      <c r="S1129">
        <f>YEAR(Data_Set_3[[#This Row],[date]])</f>
        <v>2022</v>
      </c>
    </row>
    <row r="1130" spans="1:19" x14ac:dyDescent="0.3">
      <c r="A1130">
        <v>1960</v>
      </c>
      <c r="B1130" t="s">
        <v>166</v>
      </c>
      <c r="C1130" t="s">
        <v>446</v>
      </c>
      <c r="D1130" t="s">
        <v>3914</v>
      </c>
      <c r="E1130" t="s">
        <v>3915</v>
      </c>
      <c r="F1130" t="s">
        <v>1686</v>
      </c>
      <c r="G1130" t="s">
        <v>2416</v>
      </c>
      <c r="H1130" t="s">
        <v>32</v>
      </c>
      <c r="I1130" t="s">
        <v>17</v>
      </c>
      <c r="J1130">
        <v>127</v>
      </c>
      <c r="K1130" t="s">
        <v>26</v>
      </c>
      <c r="L1130" s="2">
        <v>44721</v>
      </c>
      <c r="M1130" t="s">
        <v>110</v>
      </c>
      <c r="N1130" t="s">
        <v>160</v>
      </c>
      <c r="O1130">
        <v>19136</v>
      </c>
      <c r="P1130" t="s">
        <v>21</v>
      </c>
      <c r="Q1130" t="str">
        <f>TEXT(Data_Set_3[[#This Row],[date]],"mmmm")</f>
        <v>June</v>
      </c>
      <c r="R1130">
        <f>MONTH(Data_Set_3[[#This Row],[date]])</f>
        <v>6</v>
      </c>
      <c r="S1130">
        <f>YEAR(Data_Set_3[[#This Row],[date]])</f>
        <v>2022</v>
      </c>
    </row>
    <row r="1131" spans="1:19" x14ac:dyDescent="0.3">
      <c r="A1131">
        <v>1731</v>
      </c>
      <c r="B1131" t="s">
        <v>271</v>
      </c>
      <c r="C1131" t="s">
        <v>800</v>
      </c>
      <c r="D1131" t="s">
        <v>3916</v>
      </c>
      <c r="E1131" t="s">
        <v>3917</v>
      </c>
      <c r="F1131" t="s">
        <v>1489</v>
      </c>
      <c r="G1131" t="s">
        <v>1324</v>
      </c>
      <c r="H1131" t="s">
        <v>16</v>
      </c>
      <c r="I1131" t="s">
        <v>2821</v>
      </c>
      <c r="J1131">
        <v>399</v>
      </c>
      <c r="K1131" t="s">
        <v>26</v>
      </c>
      <c r="L1131" s="2">
        <v>44722</v>
      </c>
      <c r="M1131" t="s">
        <v>115</v>
      </c>
      <c r="N1131" t="s">
        <v>3595</v>
      </c>
      <c r="O1131">
        <v>34643</v>
      </c>
      <c r="P1131" t="s">
        <v>21</v>
      </c>
      <c r="Q1131" t="str">
        <f>TEXT(Data_Set_3[[#This Row],[date]],"mmmm")</f>
        <v>June</v>
      </c>
      <c r="R1131">
        <f>MONTH(Data_Set_3[[#This Row],[date]])</f>
        <v>6</v>
      </c>
      <c r="S1131">
        <f>YEAR(Data_Set_3[[#This Row],[date]])</f>
        <v>2022</v>
      </c>
    </row>
    <row r="1132" spans="1:19" x14ac:dyDescent="0.3">
      <c r="A1132">
        <v>1298</v>
      </c>
      <c r="B1132" t="s">
        <v>595</v>
      </c>
      <c r="C1132" t="s">
        <v>293</v>
      </c>
      <c r="D1132" t="s">
        <v>2900</v>
      </c>
      <c r="E1132" t="s">
        <v>2901</v>
      </c>
      <c r="F1132" t="s">
        <v>1539</v>
      </c>
      <c r="G1132" t="s">
        <v>1952</v>
      </c>
      <c r="H1132" t="s">
        <v>32</v>
      </c>
      <c r="I1132" t="s">
        <v>543</v>
      </c>
      <c r="J1132">
        <v>888</v>
      </c>
      <c r="K1132" t="s">
        <v>73</v>
      </c>
      <c r="L1132" s="2">
        <v>44725</v>
      </c>
      <c r="M1132" t="s">
        <v>115</v>
      </c>
      <c r="N1132" t="s">
        <v>351</v>
      </c>
      <c r="O1132">
        <v>32891</v>
      </c>
      <c r="P1132" t="s">
        <v>21</v>
      </c>
      <c r="Q1132" t="str">
        <f>TEXT(Data_Set_3[[#This Row],[date]],"mmmm")</f>
        <v>June</v>
      </c>
      <c r="R1132">
        <f>MONTH(Data_Set_3[[#This Row],[date]])</f>
        <v>6</v>
      </c>
      <c r="S1132">
        <f>YEAR(Data_Set_3[[#This Row],[date]])</f>
        <v>2022</v>
      </c>
    </row>
    <row r="1133" spans="1:19" x14ac:dyDescent="0.3">
      <c r="A1133">
        <v>1489</v>
      </c>
      <c r="B1133" t="s">
        <v>860</v>
      </c>
      <c r="C1133" t="s">
        <v>849</v>
      </c>
      <c r="D1133" t="s">
        <v>2817</v>
      </c>
      <c r="E1133" t="s">
        <v>2818</v>
      </c>
      <c r="F1133" t="s">
        <v>1606</v>
      </c>
      <c r="G1133" t="s">
        <v>1899</v>
      </c>
      <c r="H1133" t="s">
        <v>16</v>
      </c>
      <c r="I1133" t="s">
        <v>17</v>
      </c>
      <c r="J1133">
        <v>520</v>
      </c>
      <c r="K1133" t="s">
        <v>62</v>
      </c>
      <c r="L1133" s="2">
        <v>44725</v>
      </c>
      <c r="M1133" t="s">
        <v>204</v>
      </c>
      <c r="N1133" t="s">
        <v>1135</v>
      </c>
      <c r="O1133">
        <v>23668</v>
      </c>
      <c r="P1133" t="s">
        <v>21</v>
      </c>
      <c r="Q1133" t="str">
        <f>TEXT(Data_Set_3[[#This Row],[date]],"mmmm")</f>
        <v>June</v>
      </c>
      <c r="R1133">
        <f>MONTH(Data_Set_3[[#This Row],[date]])</f>
        <v>6</v>
      </c>
      <c r="S1133">
        <f>YEAR(Data_Set_3[[#This Row],[date]])</f>
        <v>2022</v>
      </c>
    </row>
    <row r="1134" spans="1:19" x14ac:dyDescent="0.3">
      <c r="A1134">
        <v>1017</v>
      </c>
      <c r="B1134" t="s">
        <v>803</v>
      </c>
      <c r="C1134" t="s">
        <v>3048</v>
      </c>
      <c r="D1134" t="s">
        <v>3049</v>
      </c>
      <c r="E1134" t="s">
        <v>3050</v>
      </c>
      <c r="F1134" t="s">
        <v>1306</v>
      </c>
      <c r="G1134" t="s">
        <v>1845</v>
      </c>
      <c r="H1134" t="s">
        <v>32</v>
      </c>
      <c r="I1134" t="s">
        <v>17</v>
      </c>
      <c r="J1134">
        <v>146</v>
      </c>
      <c r="K1134" t="s">
        <v>26</v>
      </c>
      <c r="L1134" s="2">
        <v>44726</v>
      </c>
      <c r="M1134" t="s">
        <v>246</v>
      </c>
      <c r="N1134" t="s">
        <v>339</v>
      </c>
      <c r="O1134">
        <v>60663</v>
      </c>
      <c r="P1134" t="s">
        <v>21</v>
      </c>
      <c r="Q1134" t="str">
        <f>TEXT(Data_Set_3[[#This Row],[date]],"mmmm")</f>
        <v>June</v>
      </c>
      <c r="R1134">
        <f>MONTH(Data_Set_3[[#This Row],[date]])</f>
        <v>6</v>
      </c>
      <c r="S1134">
        <f>YEAR(Data_Set_3[[#This Row],[date]])</f>
        <v>2022</v>
      </c>
    </row>
    <row r="1135" spans="1:19" x14ac:dyDescent="0.3">
      <c r="A1135">
        <v>1088</v>
      </c>
      <c r="B1135" t="s">
        <v>2869</v>
      </c>
      <c r="C1135" t="s">
        <v>913</v>
      </c>
      <c r="D1135" t="s">
        <v>3918</v>
      </c>
      <c r="E1135" t="s">
        <v>3919</v>
      </c>
      <c r="F1135" t="s">
        <v>2003</v>
      </c>
      <c r="G1135" t="s">
        <v>1834</v>
      </c>
      <c r="H1135" t="s">
        <v>16</v>
      </c>
      <c r="I1135" t="s">
        <v>51</v>
      </c>
      <c r="J1135">
        <v>473</v>
      </c>
      <c r="K1135" t="s">
        <v>164</v>
      </c>
      <c r="L1135" s="2">
        <v>44726</v>
      </c>
      <c r="M1135" t="s">
        <v>287</v>
      </c>
      <c r="N1135" t="s">
        <v>288</v>
      </c>
      <c r="O1135">
        <v>85754</v>
      </c>
      <c r="P1135" t="s">
        <v>21</v>
      </c>
      <c r="Q1135" t="str">
        <f>TEXT(Data_Set_3[[#This Row],[date]],"mmmm")</f>
        <v>June</v>
      </c>
      <c r="R1135">
        <f>MONTH(Data_Set_3[[#This Row],[date]])</f>
        <v>6</v>
      </c>
      <c r="S1135">
        <f>YEAR(Data_Set_3[[#This Row],[date]])</f>
        <v>2022</v>
      </c>
    </row>
    <row r="1136" spans="1:19" x14ac:dyDescent="0.3">
      <c r="A1136">
        <v>1116</v>
      </c>
      <c r="B1136" t="s">
        <v>135</v>
      </c>
      <c r="C1136" t="s">
        <v>2803</v>
      </c>
      <c r="D1136" t="s">
        <v>2804</v>
      </c>
      <c r="E1136" t="s">
        <v>2805</v>
      </c>
      <c r="F1136" t="s">
        <v>1770</v>
      </c>
      <c r="G1136" t="s">
        <v>2110</v>
      </c>
      <c r="H1136" t="s">
        <v>32</v>
      </c>
      <c r="I1136" t="s">
        <v>51</v>
      </c>
      <c r="J1136">
        <v>389</v>
      </c>
      <c r="K1136" t="s">
        <v>95</v>
      </c>
      <c r="L1136" s="2">
        <v>44726</v>
      </c>
      <c r="M1136" t="s">
        <v>74</v>
      </c>
      <c r="N1136" t="s">
        <v>400</v>
      </c>
      <c r="O1136">
        <v>30096</v>
      </c>
      <c r="P1136" t="s">
        <v>21</v>
      </c>
      <c r="Q1136" t="str">
        <f>TEXT(Data_Set_3[[#This Row],[date]],"mmmm")</f>
        <v>June</v>
      </c>
      <c r="R1136">
        <f>MONTH(Data_Set_3[[#This Row],[date]])</f>
        <v>6</v>
      </c>
      <c r="S1136">
        <f>YEAR(Data_Set_3[[#This Row],[date]])</f>
        <v>2022</v>
      </c>
    </row>
    <row r="1137" spans="1:19" x14ac:dyDescent="0.3">
      <c r="A1137">
        <v>1260</v>
      </c>
      <c r="B1137" t="s">
        <v>417</v>
      </c>
      <c r="C1137" t="s">
        <v>2904</v>
      </c>
      <c r="D1137" t="s">
        <v>2905</v>
      </c>
      <c r="E1137" t="s">
        <v>2906</v>
      </c>
      <c r="F1137" t="s">
        <v>1777</v>
      </c>
      <c r="G1137" t="s">
        <v>2571</v>
      </c>
      <c r="H1137" t="s">
        <v>16</v>
      </c>
      <c r="I1137" t="s">
        <v>543</v>
      </c>
      <c r="J1137">
        <v>592</v>
      </c>
      <c r="K1137" t="s">
        <v>26</v>
      </c>
      <c r="L1137" s="2">
        <v>44726</v>
      </c>
      <c r="M1137" t="s">
        <v>220</v>
      </c>
      <c r="N1137" t="s">
        <v>2907</v>
      </c>
      <c r="O1137">
        <v>99215</v>
      </c>
      <c r="P1137" t="s">
        <v>21</v>
      </c>
      <c r="Q1137" t="str">
        <f>TEXT(Data_Set_3[[#This Row],[date]],"mmmm")</f>
        <v>June</v>
      </c>
      <c r="R1137">
        <f>MONTH(Data_Set_3[[#This Row],[date]])</f>
        <v>6</v>
      </c>
      <c r="S1137">
        <f>YEAR(Data_Set_3[[#This Row],[date]])</f>
        <v>2022</v>
      </c>
    </row>
    <row r="1138" spans="1:19" x14ac:dyDescent="0.3">
      <c r="A1138">
        <v>1468</v>
      </c>
      <c r="B1138" t="s">
        <v>2915</v>
      </c>
      <c r="C1138" t="s">
        <v>722</v>
      </c>
      <c r="D1138" t="s">
        <v>2916</v>
      </c>
      <c r="E1138" t="s">
        <v>2917</v>
      </c>
      <c r="F1138" t="s">
        <v>2918</v>
      </c>
      <c r="G1138" t="s">
        <v>1559</v>
      </c>
      <c r="H1138" t="s">
        <v>32</v>
      </c>
      <c r="I1138" t="s">
        <v>33</v>
      </c>
      <c r="J1138">
        <v>466</v>
      </c>
      <c r="K1138" t="s">
        <v>259</v>
      </c>
      <c r="L1138" s="2">
        <v>44727</v>
      </c>
      <c r="M1138" t="s">
        <v>120</v>
      </c>
      <c r="N1138" t="s">
        <v>718</v>
      </c>
      <c r="O1138">
        <v>70116</v>
      </c>
      <c r="P1138" t="s">
        <v>21</v>
      </c>
      <c r="Q1138" t="str">
        <f>TEXT(Data_Set_3[[#This Row],[date]],"mmmm")</f>
        <v>June</v>
      </c>
      <c r="R1138">
        <f>MONTH(Data_Set_3[[#This Row],[date]])</f>
        <v>6</v>
      </c>
      <c r="S1138">
        <f>YEAR(Data_Set_3[[#This Row],[date]])</f>
        <v>2022</v>
      </c>
    </row>
    <row r="1139" spans="1:19" x14ac:dyDescent="0.3">
      <c r="A1139">
        <v>1170</v>
      </c>
      <c r="B1139" t="s">
        <v>22</v>
      </c>
      <c r="C1139" t="s">
        <v>883</v>
      </c>
      <c r="D1139" t="s">
        <v>2837</v>
      </c>
      <c r="E1139" t="s">
        <v>2838</v>
      </c>
      <c r="F1139" t="s">
        <v>2430</v>
      </c>
      <c r="G1139" t="s">
        <v>1333</v>
      </c>
      <c r="H1139" t="s">
        <v>16</v>
      </c>
      <c r="I1139" t="s">
        <v>33</v>
      </c>
      <c r="J1139">
        <v>527</v>
      </c>
      <c r="K1139" t="s">
        <v>164</v>
      </c>
      <c r="L1139" s="2">
        <v>44728</v>
      </c>
      <c r="M1139" t="s">
        <v>68</v>
      </c>
      <c r="N1139" t="s">
        <v>169</v>
      </c>
      <c r="O1139">
        <v>88574</v>
      </c>
      <c r="P1139" t="s">
        <v>21</v>
      </c>
      <c r="Q1139" t="str">
        <f>TEXT(Data_Set_3[[#This Row],[date]],"mmmm")</f>
        <v>June</v>
      </c>
      <c r="R1139">
        <f>MONTH(Data_Set_3[[#This Row],[date]])</f>
        <v>6</v>
      </c>
      <c r="S1139">
        <f>YEAR(Data_Set_3[[#This Row],[date]])</f>
        <v>2022</v>
      </c>
    </row>
    <row r="1140" spans="1:19" x14ac:dyDescent="0.3">
      <c r="A1140">
        <v>1651</v>
      </c>
      <c r="B1140" t="s">
        <v>3920</v>
      </c>
      <c r="C1140" t="s">
        <v>906</v>
      </c>
      <c r="D1140" t="s">
        <v>3921</v>
      </c>
      <c r="E1140" t="s">
        <v>3922</v>
      </c>
      <c r="F1140" t="s">
        <v>1417</v>
      </c>
      <c r="G1140" t="s">
        <v>2604</v>
      </c>
      <c r="H1140" t="s">
        <v>16</v>
      </c>
      <c r="I1140" t="s">
        <v>17</v>
      </c>
      <c r="J1140">
        <v>623</v>
      </c>
      <c r="K1140" t="s">
        <v>26</v>
      </c>
      <c r="L1140" s="2">
        <v>44730</v>
      </c>
      <c r="M1140" t="s">
        <v>68</v>
      </c>
      <c r="N1140" t="s">
        <v>234</v>
      </c>
      <c r="O1140">
        <v>77075</v>
      </c>
      <c r="P1140" t="s">
        <v>21</v>
      </c>
      <c r="Q1140" t="str">
        <f>TEXT(Data_Set_3[[#This Row],[date]],"mmmm")</f>
        <v>June</v>
      </c>
      <c r="R1140">
        <f>MONTH(Data_Set_3[[#This Row],[date]])</f>
        <v>6</v>
      </c>
      <c r="S1140">
        <f>YEAR(Data_Set_3[[#This Row],[date]])</f>
        <v>2022</v>
      </c>
    </row>
    <row r="1141" spans="1:19" x14ac:dyDescent="0.3">
      <c r="A1141">
        <v>1999</v>
      </c>
      <c r="B1141" t="s">
        <v>2930</v>
      </c>
      <c r="C1141" t="s">
        <v>567</v>
      </c>
      <c r="D1141" t="s">
        <v>2931</v>
      </c>
      <c r="E1141" t="s">
        <v>2932</v>
      </c>
      <c r="F1141" t="s">
        <v>1529</v>
      </c>
      <c r="G1141" t="s">
        <v>2687</v>
      </c>
      <c r="H1141" t="s">
        <v>16</v>
      </c>
      <c r="I1141" t="s">
        <v>406</v>
      </c>
      <c r="J1141">
        <v>949</v>
      </c>
      <c r="K1141" t="s">
        <v>26</v>
      </c>
      <c r="L1141" s="2">
        <v>44730</v>
      </c>
      <c r="M1141" t="s">
        <v>74</v>
      </c>
      <c r="N1141" t="s">
        <v>643</v>
      </c>
      <c r="O1141">
        <v>31914</v>
      </c>
      <c r="P1141" t="s">
        <v>21</v>
      </c>
      <c r="Q1141" t="str">
        <f>TEXT(Data_Set_3[[#This Row],[date]],"mmmm")</f>
        <v>June</v>
      </c>
      <c r="R1141">
        <f>MONTH(Data_Set_3[[#This Row],[date]])</f>
        <v>6</v>
      </c>
      <c r="S1141">
        <f>YEAR(Data_Set_3[[#This Row],[date]])</f>
        <v>2022</v>
      </c>
    </row>
    <row r="1142" spans="1:19" x14ac:dyDescent="0.3">
      <c r="A1142">
        <v>1783</v>
      </c>
      <c r="B1142" t="s">
        <v>721</v>
      </c>
      <c r="C1142" t="s">
        <v>2884</v>
      </c>
      <c r="D1142" t="s">
        <v>2885</v>
      </c>
      <c r="E1142" t="s">
        <v>2886</v>
      </c>
      <c r="F1142" t="s">
        <v>1539</v>
      </c>
      <c r="G1142" t="s">
        <v>2887</v>
      </c>
      <c r="H1142" t="s">
        <v>16</v>
      </c>
      <c r="I1142" t="s">
        <v>25</v>
      </c>
      <c r="J1142">
        <v>738</v>
      </c>
      <c r="K1142" t="s">
        <v>57</v>
      </c>
      <c r="L1142" s="2">
        <v>44731</v>
      </c>
      <c r="M1142" t="s">
        <v>287</v>
      </c>
      <c r="N1142" t="s">
        <v>288</v>
      </c>
      <c r="O1142">
        <v>85715</v>
      </c>
      <c r="P1142" t="s">
        <v>21</v>
      </c>
      <c r="Q1142" t="str">
        <f>TEXT(Data_Set_3[[#This Row],[date]],"mmmm")</f>
        <v>June</v>
      </c>
      <c r="R1142">
        <f>MONTH(Data_Set_3[[#This Row],[date]])</f>
        <v>6</v>
      </c>
      <c r="S1142">
        <f>YEAR(Data_Set_3[[#This Row],[date]])</f>
        <v>2022</v>
      </c>
    </row>
    <row r="1143" spans="1:19" x14ac:dyDescent="0.3">
      <c r="A1143">
        <v>1020</v>
      </c>
      <c r="B1143" t="s">
        <v>122</v>
      </c>
      <c r="C1143" t="s">
        <v>954</v>
      </c>
      <c r="D1143" t="s">
        <v>2888</v>
      </c>
      <c r="E1143" t="s">
        <v>2889</v>
      </c>
      <c r="F1143" t="s">
        <v>1998</v>
      </c>
      <c r="G1143" t="s">
        <v>1926</v>
      </c>
      <c r="H1143" t="s">
        <v>32</v>
      </c>
      <c r="I1143" t="s">
        <v>17</v>
      </c>
      <c r="J1143">
        <v>156</v>
      </c>
      <c r="K1143" t="s">
        <v>26</v>
      </c>
      <c r="L1143" s="2">
        <v>44732</v>
      </c>
      <c r="M1143" t="s">
        <v>35</v>
      </c>
      <c r="N1143" t="s">
        <v>620</v>
      </c>
      <c r="O1143">
        <v>94105</v>
      </c>
      <c r="P1143" t="s">
        <v>21</v>
      </c>
      <c r="Q1143" t="str">
        <f>TEXT(Data_Set_3[[#This Row],[date]],"mmmm")</f>
        <v>June</v>
      </c>
      <c r="R1143">
        <f>MONTH(Data_Set_3[[#This Row],[date]])</f>
        <v>6</v>
      </c>
      <c r="S1143">
        <f>YEAR(Data_Set_3[[#This Row],[date]])</f>
        <v>2022</v>
      </c>
    </row>
    <row r="1144" spans="1:19" x14ac:dyDescent="0.3">
      <c r="A1144">
        <v>1081</v>
      </c>
      <c r="B1144" t="s">
        <v>29</v>
      </c>
      <c r="C1144" t="s">
        <v>906</v>
      </c>
      <c r="D1144" t="s">
        <v>2980</v>
      </c>
      <c r="E1144" t="s">
        <v>2981</v>
      </c>
      <c r="F1144" t="s">
        <v>2342</v>
      </c>
      <c r="G1144" t="s">
        <v>2286</v>
      </c>
      <c r="H1144" t="s">
        <v>32</v>
      </c>
      <c r="I1144" t="s">
        <v>51</v>
      </c>
      <c r="J1144">
        <v>170</v>
      </c>
      <c r="K1144" t="s">
        <v>18</v>
      </c>
      <c r="L1144" s="2">
        <v>44732</v>
      </c>
      <c r="M1144" t="s">
        <v>152</v>
      </c>
      <c r="N1144" t="s">
        <v>484</v>
      </c>
      <c r="O1144">
        <v>45426</v>
      </c>
      <c r="P1144" t="s">
        <v>21</v>
      </c>
      <c r="Q1144" t="str">
        <f>TEXT(Data_Set_3[[#This Row],[date]],"mmmm")</f>
        <v>June</v>
      </c>
      <c r="R1144">
        <f>MONTH(Data_Set_3[[#This Row],[date]])</f>
        <v>6</v>
      </c>
      <c r="S1144">
        <f>YEAR(Data_Set_3[[#This Row],[date]])</f>
        <v>2022</v>
      </c>
    </row>
    <row r="1145" spans="1:19" x14ac:dyDescent="0.3">
      <c r="A1145">
        <v>1234</v>
      </c>
      <c r="B1145" t="s">
        <v>2806</v>
      </c>
      <c r="C1145" t="s">
        <v>752</v>
      </c>
      <c r="D1145" t="s">
        <v>2807</v>
      </c>
      <c r="E1145" t="s">
        <v>2808</v>
      </c>
      <c r="F1145" t="s">
        <v>1460</v>
      </c>
      <c r="G1145" t="s">
        <v>2125</v>
      </c>
      <c r="H1145" t="s">
        <v>16</v>
      </c>
      <c r="I1145" t="s">
        <v>33</v>
      </c>
      <c r="J1145">
        <v>794</v>
      </c>
      <c r="K1145" t="s">
        <v>62</v>
      </c>
      <c r="L1145" s="2">
        <v>44732</v>
      </c>
      <c r="M1145" t="s">
        <v>68</v>
      </c>
      <c r="N1145" t="s">
        <v>69</v>
      </c>
      <c r="O1145">
        <v>78710</v>
      </c>
      <c r="P1145" t="s">
        <v>21</v>
      </c>
      <c r="Q1145" t="str">
        <f>TEXT(Data_Set_3[[#This Row],[date]],"mmmm")</f>
        <v>June</v>
      </c>
      <c r="R1145">
        <f>MONTH(Data_Set_3[[#This Row],[date]])</f>
        <v>6</v>
      </c>
      <c r="S1145">
        <f>YEAR(Data_Set_3[[#This Row],[date]])</f>
        <v>2022</v>
      </c>
    </row>
    <row r="1146" spans="1:19" x14ac:dyDescent="0.3">
      <c r="A1146">
        <v>1116</v>
      </c>
      <c r="B1146" t="s">
        <v>135</v>
      </c>
      <c r="C1146" t="s">
        <v>2803</v>
      </c>
      <c r="D1146" t="s">
        <v>2804</v>
      </c>
      <c r="E1146" t="s">
        <v>2805</v>
      </c>
      <c r="F1146" t="s">
        <v>1770</v>
      </c>
      <c r="G1146" t="s">
        <v>2110</v>
      </c>
      <c r="H1146" t="s">
        <v>32</v>
      </c>
      <c r="I1146" t="s">
        <v>51</v>
      </c>
      <c r="J1146">
        <v>733</v>
      </c>
      <c r="K1146" t="s">
        <v>95</v>
      </c>
      <c r="L1146" s="2">
        <v>44733</v>
      </c>
      <c r="M1146" t="s">
        <v>74</v>
      </c>
      <c r="N1146" t="s">
        <v>400</v>
      </c>
      <c r="O1146">
        <v>30096</v>
      </c>
      <c r="P1146" t="s">
        <v>21</v>
      </c>
      <c r="Q1146" t="str">
        <f>TEXT(Data_Set_3[[#This Row],[date]],"mmmm")</f>
        <v>June</v>
      </c>
      <c r="R1146">
        <f>MONTH(Data_Set_3[[#This Row],[date]])</f>
        <v>6</v>
      </c>
      <c r="S1146">
        <f>YEAR(Data_Set_3[[#This Row],[date]])</f>
        <v>2022</v>
      </c>
    </row>
    <row r="1147" spans="1:19" x14ac:dyDescent="0.3">
      <c r="A1147">
        <v>1578</v>
      </c>
      <c r="B1147" t="s">
        <v>352</v>
      </c>
      <c r="C1147" t="s">
        <v>468</v>
      </c>
      <c r="D1147" t="s">
        <v>3923</v>
      </c>
      <c r="E1147" t="s">
        <v>3924</v>
      </c>
      <c r="F1147" t="s">
        <v>1438</v>
      </c>
      <c r="G1147" t="s">
        <v>2752</v>
      </c>
      <c r="H1147" t="s">
        <v>32</v>
      </c>
      <c r="I1147" t="s">
        <v>2813</v>
      </c>
      <c r="J1147">
        <v>272</v>
      </c>
      <c r="K1147" t="s">
        <v>26</v>
      </c>
      <c r="L1147" s="2">
        <v>44733</v>
      </c>
      <c r="M1147" t="s">
        <v>192</v>
      </c>
      <c r="N1147" t="s">
        <v>193</v>
      </c>
      <c r="O1147">
        <v>55487</v>
      </c>
      <c r="P1147" t="s">
        <v>21</v>
      </c>
      <c r="Q1147" t="str">
        <f>TEXT(Data_Set_3[[#This Row],[date]],"mmmm")</f>
        <v>June</v>
      </c>
      <c r="R1147">
        <f>MONTH(Data_Set_3[[#This Row],[date]])</f>
        <v>6</v>
      </c>
      <c r="S1147">
        <f>YEAR(Data_Set_3[[#This Row],[date]])</f>
        <v>2022</v>
      </c>
    </row>
    <row r="1148" spans="1:19" x14ac:dyDescent="0.3">
      <c r="A1148">
        <v>1038</v>
      </c>
      <c r="B1148" t="s">
        <v>644</v>
      </c>
      <c r="C1148" t="s">
        <v>1074</v>
      </c>
      <c r="D1148" t="s">
        <v>3925</v>
      </c>
      <c r="E1148" t="s">
        <v>3926</v>
      </c>
      <c r="F1148" t="s">
        <v>2240</v>
      </c>
      <c r="G1148" t="s">
        <v>1746</v>
      </c>
      <c r="H1148" t="s">
        <v>32</v>
      </c>
      <c r="I1148" t="s">
        <v>17</v>
      </c>
      <c r="J1148">
        <v>199</v>
      </c>
      <c r="K1148" t="s">
        <v>26</v>
      </c>
      <c r="L1148" s="2">
        <v>44735</v>
      </c>
      <c r="M1148" t="s">
        <v>35</v>
      </c>
      <c r="N1148" t="s">
        <v>1139</v>
      </c>
      <c r="O1148">
        <v>91797</v>
      </c>
      <c r="P1148" t="s">
        <v>21</v>
      </c>
      <c r="Q1148" t="str">
        <f>TEXT(Data_Set_3[[#This Row],[date]],"mmmm")</f>
        <v>June</v>
      </c>
      <c r="R1148">
        <f>MONTH(Data_Set_3[[#This Row],[date]])</f>
        <v>6</v>
      </c>
      <c r="S1148">
        <f>YEAR(Data_Set_3[[#This Row],[date]])</f>
        <v>2022</v>
      </c>
    </row>
    <row r="1149" spans="1:19" x14ac:dyDescent="0.3">
      <c r="A1149">
        <v>1997</v>
      </c>
      <c r="B1149" t="s">
        <v>899</v>
      </c>
      <c r="C1149" t="s">
        <v>1069</v>
      </c>
      <c r="D1149" t="s">
        <v>3234</v>
      </c>
      <c r="E1149" t="s">
        <v>3235</v>
      </c>
      <c r="F1149" t="s">
        <v>3236</v>
      </c>
      <c r="G1149" t="s">
        <v>2326</v>
      </c>
      <c r="H1149" t="s">
        <v>32</v>
      </c>
      <c r="I1149" t="s">
        <v>543</v>
      </c>
      <c r="J1149">
        <v>550</v>
      </c>
      <c r="K1149" t="s">
        <v>26</v>
      </c>
      <c r="L1149" s="2">
        <v>44735</v>
      </c>
      <c r="M1149" t="s">
        <v>184</v>
      </c>
      <c r="N1149" t="s">
        <v>197</v>
      </c>
      <c r="O1149">
        <v>10155</v>
      </c>
      <c r="P1149" t="s">
        <v>21</v>
      </c>
      <c r="Q1149" t="str">
        <f>TEXT(Data_Set_3[[#This Row],[date]],"mmmm")</f>
        <v>June</v>
      </c>
      <c r="R1149">
        <f>MONTH(Data_Set_3[[#This Row],[date]])</f>
        <v>6</v>
      </c>
      <c r="S1149">
        <f>YEAR(Data_Set_3[[#This Row],[date]])</f>
        <v>2022</v>
      </c>
    </row>
    <row r="1150" spans="1:19" x14ac:dyDescent="0.3">
      <c r="A1150">
        <v>1434</v>
      </c>
      <c r="B1150" t="s">
        <v>2915</v>
      </c>
      <c r="C1150" t="s">
        <v>167</v>
      </c>
      <c r="D1150" t="s">
        <v>2947</v>
      </c>
      <c r="E1150" t="s">
        <v>2948</v>
      </c>
      <c r="F1150" t="s">
        <v>1664</v>
      </c>
      <c r="G1150" t="s">
        <v>2546</v>
      </c>
      <c r="H1150" t="s">
        <v>32</v>
      </c>
      <c r="I1150" t="s">
        <v>25</v>
      </c>
      <c r="J1150">
        <v>817</v>
      </c>
      <c r="K1150" t="s">
        <v>26</v>
      </c>
      <c r="L1150" s="2">
        <v>44736</v>
      </c>
      <c r="M1150" t="s">
        <v>192</v>
      </c>
      <c r="N1150" t="s">
        <v>193</v>
      </c>
      <c r="O1150">
        <v>55436</v>
      </c>
      <c r="P1150" t="s">
        <v>21</v>
      </c>
      <c r="Q1150" t="str">
        <f>TEXT(Data_Set_3[[#This Row],[date]],"mmmm")</f>
        <v>June</v>
      </c>
      <c r="R1150">
        <f>MONTH(Data_Set_3[[#This Row],[date]])</f>
        <v>6</v>
      </c>
      <c r="S1150">
        <f>YEAR(Data_Set_3[[#This Row],[date]])</f>
        <v>2022</v>
      </c>
    </row>
    <row r="1151" spans="1:19" x14ac:dyDescent="0.3">
      <c r="A1151">
        <v>1812</v>
      </c>
      <c r="B1151" t="s">
        <v>1130</v>
      </c>
      <c r="C1151" t="s">
        <v>639</v>
      </c>
      <c r="D1151" t="s">
        <v>2863</v>
      </c>
      <c r="E1151" t="s">
        <v>2864</v>
      </c>
      <c r="F1151" t="s">
        <v>2641</v>
      </c>
      <c r="G1151" t="s">
        <v>1653</v>
      </c>
      <c r="H1151" t="s">
        <v>16</v>
      </c>
      <c r="I1151" t="s">
        <v>543</v>
      </c>
      <c r="J1151">
        <v>475</v>
      </c>
      <c r="K1151" t="s">
        <v>34</v>
      </c>
      <c r="L1151" s="2">
        <v>44736</v>
      </c>
      <c r="M1151" t="s">
        <v>524</v>
      </c>
      <c r="N1151" t="s">
        <v>815</v>
      </c>
      <c r="O1151">
        <v>35220</v>
      </c>
      <c r="P1151" t="s">
        <v>21</v>
      </c>
      <c r="Q1151" t="str">
        <f>TEXT(Data_Set_3[[#This Row],[date]],"mmmm")</f>
        <v>June</v>
      </c>
      <c r="R1151">
        <f>MONTH(Data_Set_3[[#This Row],[date]])</f>
        <v>6</v>
      </c>
      <c r="S1151">
        <f>YEAR(Data_Set_3[[#This Row],[date]])</f>
        <v>2022</v>
      </c>
    </row>
    <row r="1152" spans="1:19" x14ac:dyDescent="0.3">
      <c r="A1152">
        <v>1095</v>
      </c>
      <c r="B1152" t="s">
        <v>395</v>
      </c>
      <c r="C1152" t="s">
        <v>876</v>
      </c>
      <c r="D1152" t="s">
        <v>2989</v>
      </c>
      <c r="E1152" t="s">
        <v>2990</v>
      </c>
      <c r="F1152" t="s">
        <v>1323</v>
      </c>
      <c r="G1152" t="s">
        <v>1453</v>
      </c>
      <c r="H1152" t="s">
        <v>32</v>
      </c>
      <c r="I1152" t="s">
        <v>51</v>
      </c>
      <c r="J1152">
        <v>713</v>
      </c>
      <c r="K1152" t="s">
        <v>34</v>
      </c>
      <c r="L1152" s="2">
        <v>44741</v>
      </c>
      <c r="M1152" t="s">
        <v>68</v>
      </c>
      <c r="N1152" t="s">
        <v>234</v>
      </c>
      <c r="O1152">
        <v>77040</v>
      </c>
      <c r="P1152" t="s">
        <v>21</v>
      </c>
      <c r="Q1152" t="str">
        <f>TEXT(Data_Set_3[[#This Row],[date]],"mmmm")</f>
        <v>June</v>
      </c>
      <c r="R1152">
        <f>MONTH(Data_Set_3[[#This Row],[date]])</f>
        <v>6</v>
      </c>
      <c r="S1152">
        <f>YEAR(Data_Set_3[[#This Row],[date]])</f>
        <v>2022</v>
      </c>
    </row>
    <row r="1153" spans="1:19" x14ac:dyDescent="0.3">
      <c r="A1153">
        <v>1957</v>
      </c>
      <c r="B1153" t="s">
        <v>623</v>
      </c>
      <c r="C1153" t="s">
        <v>567</v>
      </c>
      <c r="D1153" t="s">
        <v>3927</v>
      </c>
      <c r="E1153" t="s">
        <v>3928</v>
      </c>
      <c r="F1153" t="s">
        <v>1945</v>
      </c>
      <c r="G1153" t="s">
        <v>2215</v>
      </c>
      <c r="H1153" t="s">
        <v>16</v>
      </c>
      <c r="I1153" t="s">
        <v>17</v>
      </c>
      <c r="J1153">
        <v>203</v>
      </c>
      <c r="K1153" t="s">
        <v>341</v>
      </c>
      <c r="L1153" s="2">
        <v>44741</v>
      </c>
      <c r="M1153" t="s">
        <v>345</v>
      </c>
      <c r="N1153" t="s">
        <v>220</v>
      </c>
      <c r="O1153">
        <v>20409</v>
      </c>
      <c r="P1153" t="s">
        <v>21</v>
      </c>
      <c r="Q1153" t="str">
        <f>TEXT(Data_Set_3[[#This Row],[date]],"mmmm")</f>
        <v>June</v>
      </c>
      <c r="R1153">
        <f>MONTH(Data_Set_3[[#This Row],[date]])</f>
        <v>6</v>
      </c>
      <c r="S1153">
        <f>YEAR(Data_Set_3[[#This Row],[date]])</f>
        <v>2022</v>
      </c>
    </row>
    <row r="1154" spans="1:19" x14ac:dyDescent="0.3">
      <c r="A1154">
        <v>1941</v>
      </c>
      <c r="B1154" t="s">
        <v>271</v>
      </c>
      <c r="C1154" t="s">
        <v>426</v>
      </c>
      <c r="D1154" t="s">
        <v>3929</v>
      </c>
      <c r="E1154" t="s">
        <v>3930</v>
      </c>
      <c r="F1154" t="s">
        <v>1670</v>
      </c>
      <c r="G1154" t="s">
        <v>2215</v>
      </c>
      <c r="H1154" t="s">
        <v>16</v>
      </c>
      <c r="I1154" t="s">
        <v>543</v>
      </c>
      <c r="J1154">
        <v>299</v>
      </c>
      <c r="K1154" t="s">
        <v>26</v>
      </c>
      <c r="L1154" s="2">
        <v>44745</v>
      </c>
      <c r="M1154" t="s">
        <v>246</v>
      </c>
      <c r="N1154" t="s">
        <v>339</v>
      </c>
      <c r="O1154">
        <v>60609</v>
      </c>
      <c r="P1154" t="s">
        <v>21</v>
      </c>
      <c r="Q1154" t="str">
        <f>TEXT(Data_Set_3[[#This Row],[date]],"mmmm")</f>
        <v>July</v>
      </c>
      <c r="R1154">
        <f>MONTH(Data_Set_3[[#This Row],[date]])</f>
        <v>7</v>
      </c>
      <c r="S1154">
        <f>YEAR(Data_Set_3[[#This Row],[date]])</f>
        <v>2022</v>
      </c>
    </row>
    <row r="1155" spans="1:19" x14ac:dyDescent="0.3">
      <c r="A1155">
        <v>1035</v>
      </c>
      <c r="B1155" t="s">
        <v>352</v>
      </c>
      <c r="C1155" t="s">
        <v>964</v>
      </c>
      <c r="D1155" t="s">
        <v>3931</v>
      </c>
      <c r="E1155" t="s">
        <v>3932</v>
      </c>
      <c r="F1155" t="s">
        <v>2436</v>
      </c>
      <c r="G1155" t="s">
        <v>1786</v>
      </c>
      <c r="H1155" t="s">
        <v>32</v>
      </c>
      <c r="I1155" t="s">
        <v>17</v>
      </c>
      <c r="J1155">
        <v>357</v>
      </c>
      <c r="K1155" t="s">
        <v>40</v>
      </c>
      <c r="L1155" s="2">
        <v>44746</v>
      </c>
      <c r="M1155" t="s">
        <v>254</v>
      </c>
      <c r="N1155" t="s">
        <v>1157</v>
      </c>
      <c r="O1155">
        <v>52809</v>
      </c>
      <c r="P1155" t="s">
        <v>21</v>
      </c>
      <c r="Q1155" t="str">
        <f>TEXT(Data_Set_3[[#This Row],[date]],"mmmm")</f>
        <v>July</v>
      </c>
      <c r="R1155">
        <f>MONTH(Data_Set_3[[#This Row],[date]])</f>
        <v>7</v>
      </c>
      <c r="S1155">
        <f>YEAR(Data_Set_3[[#This Row],[date]])</f>
        <v>2022</v>
      </c>
    </row>
    <row r="1156" spans="1:19" x14ac:dyDescent="0.3">
      <c r="A1156">
        <v>1592</v>
      </c>
      <c r="B1156" t="s">
        <v>3278</v>
      </c>
      <c r="C1156" t="s">
        <v>762</v>
      </c>
      <c r="D1156" t="s">
        <v>3933</v>
      </c>
      <c r="E1156" t="s">
        <v>3934</v>
      </c>
      <c r="F1156" t="s">
        <v>2342</v>
      </c>
      <c r="G1156" t="s">
        <v>2554</v>
      </c>
      <c r="H1156" t="s">
        <v>16</v>
      </c>
      <c r="I1156" t="s">
        <v>179</v>
      </c>
      <c r="J1156">
        <v>99</v>
      </c>
      <c r="K1156" t="s">
        <v>225</v>
      </c>
      <c r="L1156" s="2">
        <v>44748</v>
      </c>
      <c r="M1156" t="s">
        <v>96</v>
      </c>
      <c r="N1156" t="s">
        <v>329</v>
      </c>
      <c r="O1156">
        <v>47747</v>
      </c>
      <c r="P1156" t="s">
        <v>21</v>
      </c>
      <c r="Q1156" t="str">
        <f>TEXT(Data_Set_3[[#This Row],[date]],"mmmm")</f>
        <v>July</v>
      </c>
      <c r="R1156">
        <f>MONTH(Data_Set_3[[#This Row],[date]])</f>
        <v>7</v>
      </c>
      <c r="S1156">
        <f>YEAR(Data_Set_3[[#This Row],[date]])</f>
        <v>2022</v>
      </c>
    </row>
    <row r="1157" spans="1:19" x14ac:dyDescent="0.3">
      <c r="A1157">
        <v>1755</v>
      </c>
      <c r="B1157" t="s">
        <v>2915</v>
      </c>
      <c r="C1157" t="s">
        <v>426</v>
      </c>
      <c r="D1157" t="s">
        <v>3935</v>
      </c>
      <c r="E1157" t="s">
        <v>3936</v>
      </c>
      <c r="F1157" t="s">
        <v>1515</v>
      </c>
      <c r="G1157" t="s">
        <v>2452</v>
      </c>
      <c r="H1157" t="s">
        <v>32</v>
      </c>
      <c r="I1157" t="s">
        <v>406</v>
      </c>
      <c r="J1157">
        <v>457</v>
      </c>
      <c r="K1157" t="s">
        <v>62</v>
      </c>
      <c r="L1157" s="2">
        <v>44748</v>
      </c>
      <c r="M1157" t="s">
        <v>35</v>
      </c>
      <c r="N1157" t="s">
        <v>908</v>
      </c>
      <c r="O1157">
        <v>92170</v>
      </c>
      <c r="P1157" t="s">
        <v>21</v>
      </c>
      <c r="Q1157" t="str">
        <f>TEXT(Data_Set_3[[#This Row],[date]],"mmmm")</f>
        <v>July</v>
      </c>
      <c r="R1157">
        <f>MONTH(Data_Set_3[[#This Row],[date]])</f>
        <v>7</v>
      </c>
      <c r="S1157">
        <f>YEAR(Data_Set_3[[#This Row],[date]])</f>
        <v>2022</v>
      </c>
    </row>
    <row r="1158" spans="1:19" x14ac:dyDescent="0.3">
      <c r="A1158">
        <v>1974</v>
      </c>
      <c r="B1158" t="s">
        <v>560</v>
      </c>
      <c r="C1158" t="s">
        <v>750</v>
      </c>
      <c r="D1158" t="s">
        <v>3937</v>
      </c>
      <c r="E1158" t="s">
        <v>3938</v>
      </c>
      <c r="F1158" t="s">
        <v>2297</v>
      </c>
      <c r="G1158" t="s">
        <v>2196</v>
      </c>
      <c r="H1158" t="s">
        <v>32</v>
      </c>
      <c r="I1158" t="s">
        <v>33</v>
      </c>
      <c r="J1158">
        <v>763</v>
      </c>
      <c r="K1158" t="s">
        <v>73</v>
      </c>
      <c r="L1158" s="2">
        <v>44750</v>
      </c>
      <c r="M1158" t="s">
        <v>345</v>
      </c>
      <c r="N1158" t="s">
        <v>220</v>
      </c>
      <c r="O1158">
        <v>20525</v>
      </c>
      <c r="P1158" t="s">
        <v>21</v>
      </c>
      <c r="Q1158" t="str">
        <f>TEXT(Data_Set_3[[#This Row],[date]],"mmmm")</f>
        <v>July</v>
      </c>
      <c r="R1158">
        <f>MONTH(Data_Set_3[[#This Row],[date]])</f>
        <v>7</v>
      </c>
      <c r="S1158">
        <f>YEAR(Data_Set_3[[#This Row],[date]])</f>
        <v>2022</v>
      </c>
    </row>
    <row r="1159" spans="1:19" x14ac:dyDescent="0.3">
      <c r="A1159">
        <v>1783</v>
      </c>
      <c r="B1159" t="s">
        <v>721</v>
      </c>
      <c r="C1159" t="s">
        <v>2884</v>
      </c>
      <c r="D1159" t="s">
        <v>2885</v>
      </c>
      <c r="E1159" t="s">
        <v>2886</v>
      </c>
      <c r="F1159" t="s">
        <v>1539</v>
      </c>
      <c r="G1159" t="s">
        <v>2887</v>
      </c>
      <c r="H1159" t="s">
        <v>16</v>
      </c>
      <c r="I1159" t="s">
        <v>25</v>
      </c>
      <c r="J1159">
        <v>157</v>
      </c>
      <c r="K1159" t="s">
        <v>57</v>
      </c>
      <c r="L1159" s="2">
        <v>44751</v>
      </c>
      <c r="M1159" t="s">
        <v>287</v>
      </c>
      <c r="N1159" t="s">
        <v>288</v>
      </c>
      <c r="O1159">
        <v>85715</v>
      </c>
      <c r="P1159" t="s">
        <v>21</v>
      </c>
      <c r="Q1159" t="str">
        <f>TEXT(Data_Set_3[[#This Row],[date]],"mmmm")</f>
        <v>July</v>
      </c>
      <c r="R1159">
        <f>MONTH(Data_Set_3[[#This Row],[date]])</f>
        <v>7</v>
      </c>
      <c r="S1159">
        <f>YEAR(Data_Set_3[[#This Row],[date]])</f>
        <v>2022</v>
      </c>
    </row>
    <row r="1160" spans="1:19" x14ac:dyDescent="0.3">
      <c r="A1160">
        <v>1513</v>
      </c>
      <c r="B1160" t="s">
        <v>429</v>
      </c>
      <c r="C1160" t="s">
        <v>528</v>
      </c>
      <c r="D1160" t="s">
        <v>3425</v>
      </c>
      <c r="E1160" t="s">
        <v>3426</v>
      </c>
      <c r="F1160" t="s">
        <v>1481</v>
      </c>
      <c r="G1160" t="s">
        <v>3347</v>
      </c>
      <c r="H1160" t="s">
        <v>16</v>
      </c>
      <c r="I1160" t="s">
        <v>179</v>
      </c>
      <c r="J1160">
        <v>809</v>
      </c>
      <c r="K1160" t="s">
        <v>259</v>
      </c>
      <c r="L1160" s="2">
        <v>44752</v>
      </c>
      <c r="M1160" t="s">
        <v>204</v>
      </c>
      <c r="N1160" t="s">
        <v>242</v>
      </c>
      <c r="O1160">
        <v>23289</v>
      </c>
      <c r="P1160" t="s">
        <v>21</v>
      </c>
      <c r="Q1160" t="str">
        <f>TEXT(Data_Set_3[[#This Row],[date]],"mmmm")</f>
        <v>July</v>
      </c>
      <c r="R1160">
        <f>MONTH(Data_Set_3[[#This Row],[date]])</f>
        <v>7</v>
      </c>
      <c r="S1160">
        <f>YEAR(Data_Set_3[[#This Row],[date]])</f>
        <v>2022</v>
      </c>
    </row>
    <row r="1161" spans="1:19" x14ac:dyDescent="0.3">
      <c r="A1161">
        <v>1761</v>
      </c>
      <c r="B1161" t="s">
        <v>773</v>
      </c>
      <c r="C1161" t="s">
        <v>3068</v>
      </c>
      <c r="D1161" t="s">
        <v>3939</v>
      </c>
      <c r="E1161" t="s">
        <v>3940</v>
      </c>
      <c r="F1161" t="s">
        <v>1869</v>
      </c>
      <c r="G1161" t="s">
        <v>2735</v>
      </c>
      <c r="H1161" t="s">
        <v>16</v>
      </c>
      <c r="I1161" t="s">
        <v>553</v>
      </c>
      <c r="J1161">
        <v>230</v>
      </c>
      <c r="K1161" t="s">
        <v>26</v>
      </c>
      <c r="L1161" s="2">
        <v>44752</v>
      </c>
      <c r="M1161" t="s">
        <v>68</v>
      </c>
      <c r="N1161" t="s">
        <v>518</v>
      </c>
      <c r="O1161">
        <v>78205</v>
      </c>
      <c r="P1161" t="s">
        <v>21</v>
      </c>
      <c r="Q1161" t="str">
        <f>TEXT(Data_Set_3[[#This Row],[date]],"mmmm")</f>
        <v>July</v>
      </c>
      <c r="R1161">
        <f>MONTH(Data_Set_3[[#This Row],[date]])</f>
        <v>7</v>
      </c>
      <c r="S1161">
        <f>YEAR(Data_Set_3[[#This Row],[date]])</f>
        <v>2022</v>
      </c>
    </row>
    <row r="1162" spans="1:19" x14ac:dyDescent="0.3">
      <c r="A1162">
        <v>1020</v>
      </c>
      <c r="B1162" t="s">
        <v>122</v>
      </c>
      <c r="C1162" t="s">
        <v>954</v>
      </c>
      <c r="D1162" t="s">
        <v>2888</v>
      </c>
      <c r="E1162" t="s">
        <v>2889</v>
      </c>
      <c r="F1162" t="s">
        <v>1998</v>
      </c>
      <c r="G1162" t="s">
        <v>1926</v>
      </c>
      <c r="H1162" t="s">
        <v>32</v>
      </c>
      <c r="I1162" t="s">
        <v>17</v>
      </c>
      <c r="J1162">
        <v>900</v>
      </c>
      <c r="K1162" t="s">
        <v>26</v>
      </c>
      <c r="L1162" s="2">
        <v>44753</v>
      </c>
      <c r="M1162" t="s">
        <v>35</v>
      </c>
      <c r="N1162" t="s">
        <v>620</v>
      </c>
      <c r="O1162">
        <v>94105</v>
      </c>
      <c r="P1162" t="s">
        <v>21</v>
      </c>
      <c r="Q1162" t="str">
        <f>TEXT(Data_Set_3[[#This Row],[date]],"mmmm")</f>
        <v>July</v>
      </c>
      <c r="R1162">
        <f>MONTH(Data_Set_3[[#This Row],[date]])</f>
        <v>7</v>
      </c>
      <c r="S1162">
        <f>YEAR(Data_Set_3[[#This Row],[date]])</f>
        <v>2022</v>
      </c>
    </row>
    <row r="1163" spans="1:19" x14ac:dyDescent="0.3">
      <c r="A1163">
        <v>1026</v>
      </c>
      <c r="B1163" t="s">
        <v>844</v>
      </c>
      <c r="C1163" t="s">
        <v>671</v>
      </c>
      <c r="D1163" t="s">
        <v>2814</v>
      </c>
      <c r="E1163" t="s">
        <v>2815</v>
      </c>
      <c r="F1163" t="s">
        <v>2816</v>
      </c>
      <c r="G1163" t="s">
        <v>2554</v>
      </c>
      <c r="H1163" t="s">
        <v>32</v>
      </c>
      <c r="I1163" t="s">
        <v>17</v>
      </c>
      <c r="J1163">
        <v>496</v>
      </c>
      <c r="K1163" t="s">
        <v>26</v>
      </c>
      <c r="L1163" s="2">
        <v>44754</v>
      </c>
      <c r="M1163" t="s">
        <v>184</v>
      </c>
      <c r="N1163" t="s">
        <v>185</v>
      </c>
      <c r="O1163">
        <v>10469</v>
      </c>
      <c r="P1163" t="s">
        <v>21</v>
      </c>
      <c r="Q1163" t="str">
        <f>TEXT(Data_Set_3[[#This Row],[date]],"mmmm")</f>
        <v>July</v>
      </c>
      <c r="R1163">
        <f>MONTH(Data_Set_3[[#This Row],[date]])</f>
        <v>7</v>
      </c>
      <c r="S1163">
        <f>YEAR(Data_Set_3[[#This Row],[date]])</f>
        <v>2022</v>
      </c>
    </row>
    <row r="1164" spans="1:19" x14ac:dyDescent="0.3">
      <c r="A1164">
        <v>1394</v>
      </c>
      <c r="B1164" t="s">
        <v>600</v>
      </c>
      <c r="C1164" t="s">
        <v>975</v>
      </c>
      <c r="D1164" t="s">
        <v>3941</v>
      </c>
      <c r="E1164" t="s">
        <v>3942</v>
      </c>
      <c r="F1164" t="s">
        <v>1712</v>
      </c>
      <c r="G1164" t="s">
        <v>2125</v>
      </c>
      <c r="H1164" t="s">
        <v>32</v>
      </c>
      <c r="I1164" t="s">
        <v>2941</v>
      </c>
      <c r="J1164">
        <v>203</v>
      </c>
      <c r="K1164" t="s">
        <v>26</v>
      </c>
      <c r="L1164" s="2">
        <v>44757</v>
      </c>
      <c r="M1164" t="s">
        <v>35</v>
      </c>
      <c r="N1164" t="s">
        <v>908</v>
      </c>
      <c r="O1164">
        <v>92105</v>
      </c>
      <c r="P1164" t="s">
        <v>21</v>
      </c>
      <c r="Q1164" t="str">
        <f>TEXT(Data_Set_3[[#This Row],[date]],"mmmm")</f>
        <v>July</v>
      </c>
      <c r="R1164">
        <f>MONTH(Data_Set_3[[#This Row],[date]])</f>
        <v>7</v>
      </c>
      <c r="S1164">
        <f>YEAR(Data_Set_3[[#This Row],[date]])</f>
        <v>2022</v>
      </c>
    </row>
    <row r="1165" spans="1:19" x14ac:dyDescent="0.3">
      <c r="A1165">
        <v>1851</v>
      </c>
      <c r="B1165" t="s">
        <v>471</v>
      </c>
      <c r="C1165" t="s">
        <v>220</v>
      </c>
      <c r="D1165" t="s">
        <v>3015</v>
      </c>
      <c r="E1165" t="s">
        <v>3016</v>
      </c>
      <c r="F1165" t="s">
        <v>3017</v>
      </c>
      <c r="G1165" t="s">
        <v>2697</v>
      </c>
      <c r="H1165" t="s">
        <v>32</v>
      </c>
      <c r="I1165" t="s">
        <v>33</v>
      </c>
      <c r="J1165">
        <v>56</v>
      </c>
      <c r="K1165" t="s">
        <v>73</v>
      </c>
      <c r="L1165" s="2">
        <v>44757</v>
      </c>
      <c r="M1165" t="s">
        <v>184</v>
      </c>
      <c r="N1165" t="s">
        <v>656</v>
      </c>
      <c r="O1165">
        <v>11210</v>
      </c>
      <c r="P1165" t="s">
        <v>21</v>
      </c>
      <c r="Q1165" t="str">
        <f>TEXT(Data_Set_3[[#This Row],[date]],"mmmm")</f>
        <v>July</v>
      </c>
      <c r="R1165">
        <f>MONTH(Data_Set_3[[#This Row],[date]])</f>
        <v>7</v>
      </c>
      <c r="S1165">
        <f>YEAR(Data_Set_3[[#This Row],[date]])</f>
        <v>2022</v>
      </c>
    </row>
    <row r="1166" spans="1:19" x14ac:dyDescent="0.3">
      <c r="A1166">
        <v>1188</v>
      </c>
      <c r="B1166" t="s">
        <v>117</v>
      </c>
      <c r="C1166" t="s">
        <v>69</v>
      </c>
      <c r="D1166" t="s">
        <v>3943</v>
      </c>
      <c r="E1166" t="s">
        <v>3944</v>
      </c>
      <c r="F1166" t="s">
        <v>3202</v>
      </c>
      <c r="G1166" t="s">
        <v>2525</v>
      </c>
      <c r="H1166" t="s">
        <v>32</v>
      </c>
      <c r="I1166" t="s">
        <v>33</v>
      </c>
      <c r="J1166">
        <v>94</v>
      </c>
      <c r="K1166" t="s">
        <v>26</v>
      </c>
      <c r="L1166" s="2">
        <v>44758</v>
      </c>
      <c r="M1166" t="s">
        <v>246</v>
      </c>
      <c r="N1166" t="s">
        <v>339</v>
      </c>
      <c r="O1166">
        <v>60663</v>
      </c>
      <c r="P1166" t="s">
        <v>21</v>
      </c>
      <c r="Q1166" t="str">
        <f>TEXT(Data_Set_3[[#This Row],[date]],"mmmm")</f>
        <v>July</v>
      </c>
      <c r="R1166">
        <f>MONTH(Data_Set_3[[#This Row],[date]])</f>
        <v>7</v>
      </c>
      <c r="S1166">
        <f>YEAR(Data_Set_3[[#This Row],[date]])</f>
        <v>2022</v>
      </c>
    </row>
    <row r="1167" spans="1:19" x14ac:dyDescent="0.3">
      <c r="A1167">
        <v>1675</v>
      </c>
      <c r="B1167" t="s">
        <v>1118</v>
      </c>
      <c r="C1167" t="s">
        <v>981</v>
      </c>
      <c r="D1167" t="s">
        <v>3945</v>
      </c>
      <c r="E1167" t="s">
        <v>3946</v>
      </c>
      <c r="F1167" t="s">
        <v>1563</v>
      </c>
      <c r="G1167" t="s">
        <v>1564</v>
      </c>
      <c r="H1167" t="s">
        <v>32</v>
      </c>
      <c r="I1167" t="s">
        <v>17</v>
      </c>
      <c r="J1167">
        <v>780</v>
      </c>
      <c r="K1167" t="s">
        <v>57</v>
      </c>
      <c r="L1167" s="2">
        <v>44758</v>
      </c>
      <c r="M1167" t="s">
        <v>68</v>
      </c>
      <c r="N1167" t="s">
        <v>475</v>
      </c>
      <c r="O1167">
        <v>75231</v>
      </c>
      <c r="P1167" t="s">
        <v>21</v>
      </c>
      <c r="Q1167" t="str">
        <f>TEXT(Data_Set_3[[#This Row],[date]],"mmmm")</f>
        <v>July</v>
      </c>
      <c r="R1167">
        <f>MONTH(Data_Set_3[[#This Row],[date]])</f>
        <v>7</v>
      </c>
      <c r="S1167">
        <f>YEAR(Data_Set_3[[#This Row],[date]])</f>
        <v>2022</v>
      </c>
    </row>
    <row r="1168" spans="1:19" x14ac:dyDescent="0.3">
      <c r="A1168">
        <v>1694</v>
      </c>
      <c r="B1168" t="s">
        <v>313</v>
      </c>
      <c r="C1168" t="s">
        <v>71</v>
      </c>
      <c r="D1168" t="s">
        <v>3947</v>
      </c>
      <c r="E1168" t="s">
        <v>3948</v>
      </c>
      <c r="F1168" t="s">
        <v>2089</v>
      </c>
      <c r="G1168" t="s">
        <v>2286</v>
      </c>
      <c r="H1168" t="s">
        <v>16</v>
      </c>
      <c r="I1168" t="s">
        <v>17</v>
      </c>
      <c r="J1168">
        <v>819</v>
      </c>
      <c r="K1168" t="s">
        <v>26</v>
      </c>
      <c r="L1168" s="2">
        <v>44767</v>
      </c>
      <c r="M1168" t="s">
        <v>27</v>
      </c>
      <c r="N1168" t="s">
        <v>215</v>
      </c>
      <c r="O1168">
        <v>80940</v>
      </c>
      <c r="P1168" t="s">
        <v>21</v>
      </c>
      <c r="Q1168" t="str">
        <f>TEXT(Data_Set_3[[#This Row],[date]],"mmmm")</f>
        <v>July</v>
      </c>
      <c r="R1168">
        <f>MONTH(Data_Set_3[[#This Row],[date]])</f>
        <v>7</v>
      </c>
      <c r="S1168">
        <f>YEAR(Data_Set_3[[#This Row],[date]])</f>
        <v>2022</v>
      </c>
    </row>
    <row r="1169" spans="1:19" x14ac:dyDescent="0.3">
      <c r="A1169">
        <v>1848</v>
      </c>
      <c r="B1169" t="s">
        <v>271</v>
      </c>
      <c r="C1169" t="s">
        <v>396</v>
      </c>
      <c r="D1169" t="s">
        <v>3949</v>
      </c>
      <c r="E1169" t="s">
        <v>3950</v>
      </c>
      <c r="F1169" t="s">
        <v>1631</v>
      </c>
      <c r="G1169" t="s">
        <v>2452</v>
      </c>
      <c r="H1169" t="s">
        <v>16</v>
      </c>
      <c r="I1169" t="s">
        <v>454</v>
      </c>
      <c r="J1169">
        <v>964</v>
      </c>
      <c r="K1169" t="s">
        <v>164</v>
      </c>
      <c r="L1169" s="2">
        <v>44769</v>
      </c>
      <c r="M1169" t="s">
        <v>269</v>
      </c>
      <c r="N1169" t="s">
        <v>270</v>
      </c>
      <c r="O1169">
        <v>99812</v>
      </c>
      <c r="P1169" t="s">
        <v>21</v>
      </c>
      <c r="Q1169" t="str">
        <f>TEXT(Data_Set_3[[#This Row],[date]],"mmmm")</f>
        <v>July</v>
      </c>
      <c r="R1169">
        <f>MONTH(Data_Set_3[[#This Row],[date]])</f>
        <v>7</v>
      </c>
      <c r="S1169">
        <f>YEAR(Data_Set_3[[#This Row],[date]])</f>
        <v>2022</v>
      </c>
    </row>
    <row r="1170" spans="1:19" x14ac:dyDescent="0.3">
      <c r="A1170">
        <v>1741</v>
      </c>
      <c r="B1170" t="s">
        <v>330</v>
      </c>
      <c r="C1170" t="s">
        <v>307</v>
      </c>
      <c r="D1170" t="s">
        <v>3951</v>
      </c>
      <c r="E1170" t="s">
        <v>3952</v>
      </c>
      <c r="F1170" t="s">
        <v>3199</v>
      </c>
      <c r="G1170" t="s">
        <v>1913</v>
      </c>
      <c r="H1170" t="s">
        <v>32</v>
      </c>
      <c r="I1170" t="s">
        <v>17</v>
      </c>
      <c r="J1170">
        <v>521</v>
      </c>
      <c r="K1170" t="s">
        <v>57</v>
      </c>
      <c r="L1170" s="2">
        <v>44770</v>
      </c>
      <c r="M1170" t="s">
        <v>35</v>
      </c>
      <c r="N1170" t="s">
        <v>494</v>
      </c>
      <c r="O1170">
        <v>94605</v>
      </c>
      <c r="P1170" t="s">
        <v>21</v>
      </c>
      <c r="Q1170" t="str">
        <f>TEXT(Data_Set_3[[#This Row],[date]],"mmmm")</f>
        <v>July</v>
      </c>
      <c r="R1170">
        <f>MONTH(Data_Set_3[[#This Row],[date]])</f>
        <v>7</v>
      </c>
      <c r="S1170">
        <f>YEAR(Data_Set_3[[#This Row],[date]])</f>
        <v>2022</v>
      </c>
    </row>
    <row r="1171" spans="1:19" x14ac:dyDescent="0.3">
      <c r="A1171">
        <v>1026</v>
      </c>
      <c r="B1171" t="s">
        <v>844</v>
      </c>
      <c r="C1171" t="s">
        <v>671</v>
      </c>
      <c r="D1171" t="s">
        <v>2814</v>
      </c>
      <c r="E1171" t="s">
        <v>2815</v>
      </c>
      <c r="F1171" t="s">
        <v>2816</v>
      </c>
      <c r="G1171" t="s">
        <v>2554</v>
      </c>
      <c r="H1171" t="s">
        <v>32</v>
      </c>
      <c r="I1171" t="s">
        <v>17</v>
      </c>
      <c r="J1171">
        <v>630</v>
      </c>
      <c r="K1171" t="s">
        <v>26</v>
      </c>
      <c r="L1171" s="2">
        <v>44773</v>
      </c>
      <c r="M1171" t="s">
        <v>184</v>
      </c>
      <c r="N1171" t="s">
        <v>185</v>
      </c>
      <c r="O1171">
        <v>10469</v>
      </c>
      <c r="P1171" t="s">
        <v>21</v>
      </c>
      <c r="Q1171" t="str">
        <f>TEXT(Data_Set_3[[#This Row],[date]],"mmmm")</f>
        <v>July</v>
      </c>
      <c r="R1171">
        <f>MONTH(Data_Set_3[[#This Row],[date]])</f>
        <v>7</v>
      </c>
      <c r="S1171">
        <f>YEAR(Data_Set_3[[#This Row],[date]])</f>
        <v>2022</v>
      </c>
    </row>
    <row r="1172" spans="1:19" x14ac:dyDescent="0.3">
      <c r="A1172">
        <v>1973</v>
      </c>
      <c r="B1172" t="s">
        <v>638</v>
      </c>
      <c r="C1172" t="s">
        <v>313</v>
      </c>
      <c r="D1172" t="s">
        <v>3953</v>
      </c>
      <c r="E1172" t="s">
        <v>3954</v>
      </c>
      <c r="F1172" t="s">
        <v>2350</v>
      </c>
      <c r="G1172" t="s">
        <v>1831</v>
      </c>
      <c r="H1172" t="s">
        <v>32</v>
      </c>
      <c r="I1172" t="s">
        <v>179</v>
      </c>
      <c r="J1172">
        <v>330</v>
      </c>
      <c r="K1172" t="s">
        <v>26</v>
      </c>
      <c r="L1172" s="2">
        <v>44773</v>
      </c>
      <c r="M1172" t="s">
        <v>68</v>
      </c>
      <c r="N1172" t="s">
        <v>475</v>
      </c>
      <c r="O1172">
        <v>75353</v>
      </c>
      <c r="P1172" t="s">
        <v>21</v>
      </c>
      <c r="Q1172" t="str">
        <f>TEXT(Data_Set_3[[#This Row],[date]],"mmmm")</f>
        <v>July</v>
      </c>
      <c r="R1172">
        <f>MONTH(Data_Set_3[[#This Row],[date]])</f>
        <v>7</v>
      </c>
      <c r="S1172">
        <f>YEAR(Data_Set_3[[#This Row],[date]])</f>
        <v>2022</v>
      </c>
    </row>
    <row r="1173" spans="1:19" x14ac:dyDescent="0.3">
      <c r="A1173">
        <v>1812</v>
      </c>
      <c r="B1173" t="s">
        <v>1130</v>
      </c>
      <c r="C1173" t="s">
        <v>639</v>
      </c>
      <c r="D1173" t="s">
        <v>2863</v>
      </c>
      <c r="E1173" t="s">
        <v>2864</v>
      </c>
      <c r="F1173" t="s">
        <v>2641</v>
      </c>
      <c r="G1173" t="s">
        <v>1653</v>
      </c>
      <c r="H1173" t="s">
        <v>16</v>
      </c>
      <c r="I1173" t="s">
        <v>543</v>
      </c>
      <c r="J1173">
        <v>299</v>
      </c>
      <c r="K1173" t="s">
        <v>34</v>
      </c>
      <c r="L1173" s="2">
        <v>44778</v>
      </c>
      <c r="M1173" t="s">
        <v>524</v>
      </c>
      <c r="N1173" t="s">
        <v>815</v>
      </c>
      <c r="O1173">
        <v>35220</v>
      </c>
      <c r="P1173" t="s">
        <v>21</v>
      </c>
      <c r="Q1173" t="str">
        <f>TEXT(Data_Set_3[[#This Row],[date]],"mmmm")</f>
        <v>August</v>
      </c>
      <c r="R1173">
        <f>MONTH(Data_Set_3[[#This Row],[date]])</f>
        <v>8</v>
      </c>
      <c r="S1173">
        <f>YEAR(Data_Set_3[[#This Row],[date]])</f>
        <v>2022</v>
      </c>
    </row>
    <row r="1174" spans="1:19" x14ac:dyDescent="0.3">
      <c r="A1174">
        <v>1632</v>
      </c>
      <c r="B1174" t="s">
        <v>369</v>
      </c>
      <c r="C1174" t="s">
        <v>232</v>
      </c>
      <c r="D1174" t="s">
        <v>3955</v>
      </c>
      <c r="E1174" t="s">
        <v>3956</v>
      </c>
      <c r="F1174" t="s">
        <v>1672</v>
      </c>
      <c r="G1174" t="s">
        <v>2142</v>
      </c>
      <c r="H1174" t="s">
        <v>16</v>
      </c>
      <c r="I1174" t="s">
        <v>17</v>
      </c>
      <c r="J1174">
        <v>30</v>
      </c>
      <c r="K1174" t="s">
        <v>83</v>
      </c>
      <c r="L1174" s="2">
        <v>44781</v>
      </c>
      <c r="M1174" t="s">
        <v>78</v>
      </c>
      <c r="N1174" t="s">
        <v>532</v>
      </c>
      <c r="O1174">
        <v>48604</v>
      </c>
      <c r="P1174" t="s">
        <v>21</v>
      </c>
      <c r="Q1174" t="str">
        <f>TEXT(Data_Set_3[[#This Row],[date]],"mmmm")</f>
        <v>August</v>
      </c>
      <c r="R1174">
        <f>MONTH(Data_Set_3[[#This Row],[date]])</f>
        <v>8</v>
      </c>
      <c r="S1174">
        <f>YEAR(Data_Set_3[[#This Row],[date]])</f>
        <v>2022</v>
      </c>
    </row>
    <row r="1175" spans="1:19" x14ac:dyDescent="0.3">
      <c r="A1175">
        <v>1514</v>
      </c>
      <c r="B1175" t="s">
        <v>112</v>
      </c>
      <c r="C1175" t="s">
        <v>220</v>
      </c>
      <c r="D1175" t="s">
        <v>3376</v>
      </c>
      <c r="E1175" t="s">
        <v>3377</v>
      </c>
      <c r="F1175" t="s">
        <v>1367</v>
      </c>
      <c r="G1175" t="s">
        <v>1502</v>
      </c>
      <c r="H1175" t="s">
        <v>32</v>
      </c>
      <c r="I1175" t="s">
        <v>2813</v>
      </c>
      <c r="J1175">
        <v>572</v>
      </c>
      <c r="K1175" t="s">
        <v>40</v>
      </c>
      <c r="L1175" s="2">
        <v>44782</v>
      </c>
      <c r="M1175" t="s">
        <v>35</v>
      </c>
      <c r="N1175" t="s">
        <v>355</v>
      </c>
      <c r="O1175">
        <v>94913</v>
      </c>
      <c r="P1175" t="s">
        <v>21</v>
      </c>
      <c r="Q1175" t="str">
        <f>TEXT(Data_Set_3[[#This Row],[date]],"mmmm")</f>
        <v>August</v>
      </c>
      <c r="R1175">
        <f>MONTH(Data_Set_3[[#This Row],[date]])</f>
        <v>8</v>
      </c>
      <c r="S1175">
        <f>YEAR(Data_Set_3[[#This Row],[date]])</f>
        <v>2022</v>
      </c>
    </row>
    <row r="1176" spans="1:19" x14ac:dyDescent="0.3">
      <c r="A1176">
        <v>1985</v>
      </c>
      <c r="B1176" t="s">
        <v>595</v>
      </c>
      <c r="C1176" t="s">
        <v>840</v>
      </c>
      <c r="D1176" t="s">
        <v>3532</v>
      </c>
      <c r="E1176" t="s">
        <v>3533</v>
      </c>
      <c r="F1176" t="s">
        <v>1770</v>
      </c>
      <c r="G1176" t="s">
        <v>2142</v>
      </c>
      <c r="H1176" t="s">
        <v>32</v>
      </c>
      <c r="I1176" t="s">
        <v>33</v>
      </c>
      <c r="J1176">
        <v>523</v>
      </c>
      <c r="K1176" t="s">
        <v>18</v>
      </c>
      <c r="L1176" s="2">
        <v>44782</v>
      </c>
      <c r="M1176" t="s">
        <v>246</v>
      </c>
      <c r="N1176" t="s">
        <v>339</v>
      </c>
      <c r="O1176">
        <v>60646</v>
      </c>
      <c r="P1176" t="s">
        <v>21</v>
      </c>
      <c r="Q1176" t="str">
        <f>TEXT(Data_Set_3[[#This Row],[date]],"mmmm")</f>
        <v>August</v>
      </c>
      <c r="R1176">
        <f>MONTH(Data_Set_3[[#This Row],[date]])</f>
        <v>8</v>
      </c>
      <c r="S1176">
        <f>YEAR(Data_Set_3[[#This Row],[date]])</f>
        <v>2022</v>
      </c>
    </row>
    <row r="1177" spans="1:19" x14ac:dyDescent="0.3">
      <c r="A1177">
        <v>1976</v>
      </c>
      <c r="B1177" t="s">
        <v>386</v>
      </c>
      <c r="C1177" t="s">
        <v>38</v>
      </c>
      <c r="D1177" t="s">
        <v>3957</v>
      </c>
      <c r="E1177" t="s">
        <v>3958</v>
      </c>
      <c r="F1177" t="s">
        <v>1404</v>
      </c>
      <c r="G1177" t="s">
        <v>1615</v>
      </c>
      <c r="H1177" t="s">
        <v>16</v>
      </c>
      <c r="I1177" t="s">
        <v>33</v>
      </c>
      <c r="J1177">
        <v>874</v>
      </c>
      <c r="K1177" t="s">
        <v>34</v>
      </c>
      <c r="L1177" s="2">
        <v>44783</v>
      </c>
      <c r="M1177" t="s">
        <v>246</v>
      </c>
      <c r="N1177" t="s">
        <v>339</v>
      </c>
      <c r="O1177">
        <v>60674</v>
      </c>
      <c r="P1177" t="s">
        <v>21</v>
      </c>
      <c r="Q1177" t="str">
        <f>TEXT(Data_Set_3[[#This Row],[date]],"mmmm")</f>
        <v>August</v>
      </c>
      <c r="R1177">
        <f>MONTH(Data_Set_3[[#This Row],[date]])</f>
        <v>8</v>
      </c>
      <c r="S1177">
        <f>YEAR(Data_Set_3[[#This Row],[date]])</f>
        <v>2022</v>
      </c>
    </row>
    <row r="1178" spans="1:19" x14ac:dyDescent="0.3">
      <c r="A1178">
        <v>1437</v>
      </c>
      <c r="B1178" t="s">
        <v>154</v>
      </c>
      <c r="C1178" t="s">
        <v>310</v>
      </c>
      <c r="D1178" t="s">
        <v>3039</v>
      </c>
      <c r="E1178" t="s">
        <v>3040</v>
      </c>
      <c r="F1178" t="s">
        <v>1602</v>
      </c>
      <c r="G1178" t="s">
        <v>2571</v>
      </c>
      <c r="H1178" t="s">
        <v>16</v>
      </c>
      <c r="I1178" t="s">
        <v>151</v>
      </c>
      <c r="J1178">
        <v>476</v>
      </c>
      <c r="K1178" t="s">
        <v>26</v>
      </c>
      <c r="L1178" s="2">
        <v>44784</v>
      </c>
      <c r="M1178" t="s">
        <v>489</v>
      </c>
      <c r="N1178" t="s">
        <v>667</v>
      </c>
      <c r="O1178">
        <v>89505</v>
      </c>
      <c r="P1178" t="s">
        <v>21</v>
      </c>
      <c r="Q1178" t="str">
        <f>TEXT(Data_Set_3[[#This Row],[date]],"mmmm")</f>
        <v>August</v>
      </c>
      <c r="R1178">
        <f>MONTH(Data_Set_3[[#This Row],[date]])</f>
        <v>8</v>
      </c>
      <c r="S1178">
        <f>YEAR(Data_Set_3[[#This Row],[date]])</f>
        <v>2022</v>
      </c>
    </row>
    <row r="1179" spans="1:19" x14ac:dyDescent="0.3">
      <c r="A1179">
        <v>1087</v>
      </c>
      <c r="B1179" t="s">
        <v>706</v>
      </c>
      <c r="C1179" t="s">
        <v>118</v>
      </c>
      <c r="D1179" t="s">
        <v>3959</v>
      </c>
      <c r="E1179" t="s">
        <v>3960</v>
      </c>
      <c r="F1179" t="s">
        <v>3007</v>
      </c>
      <c r="G1179" t="s">
        <v>1577</v>
      </c>
      <c r="H1179" t="s">
        <v>32</v>
      </c>
      <c r="I1179" t="s">
        <v>51</v>
      </c>
      <c r="J1179">
        <v>465</v>
      </c>
      <c r="K1179" t="s">
        <v>34</v>
      </c>
      <c r="L1179" s="2">
        <v>44786</v>
      </c>
      <c r="M1179" t="s">
        <v>35</v>
      </c>
      <c r="N1179" t="s">
        <v>3961</v>
      </c>
      <c r="O1179">
        <v>92705</v>
      </c>
      <c r="P1179" t="s">
        <v>21</v>
      </c>
      <c r="Q1179" t="str">
        <f>TEXT(Data_Set_3[[#This Row],[date]],"mmmm")</f>
        <v>August</v>
      </c>
      <c r="R1179">
        <f>MONTH(Data_Set_3[[#This Row],[date]])</f>
        <v>8</v>
      </c>
      <c r="S1179">
        <f>YEAR(Data_Set_3[[#This Row],[date]])</f>
        <v>2022</v>
      </c>
    </row>
    <row r="1180" spans="1:19" x14ac:dyDescent="0.3">
      <c r="A1180">
        <v>1039</v>
      </c>
      <c r="B1180" t="s">
        <v>1245</v>
      </c>
      <c r="C1180" t="s">
        <v>883</v>
      </c>
      <c r="D1180" t="s">
        <v>3128</v>
      </c>
      <c r="E1180" t="s">
        <v>3129</v>
      </c>
      <c r="F1180" t="s">
        <v>1901</v>
      </c>
      <c r="G1180" t="s">
        <v>2508</v>
      </c>
      <c r="H1180" t="s">
        <v>16</v>
      </c>
      <c r="I1180" t="s">
        <v>17</v>
      </c>
      <c r="J1180">
        <v>808</v>
      </c>
      <c r="K1180" t="s">
        <v>57</v>
      </c>
      <c r="L1180" s="2">
        <v>44787</v>
      </c>
      <c r="M1180" t="s">
        <v>41</v>
      </c>
      <c r="N1180" t="s">
        <v>42</v>
      </c>
      <c r="O1180">
        <v>40298</v>
      </c>
      <c r="P1180" t="s">
        <v>21</v>
      </c>
      <c r="Q1180" t="str">
        <f>TEXT(Data_Set_3[[#This Row],[date]],"mmmm")</f>
        <v>August</v>
      </c>
      <c r="R1180">
        <f>MONTH(Data_Set_3[[#This Row],[date]])</f>
        <v>8</v>
      </c>
      <c r="S1180">
        <f>YEAR(Data_Set_3[[#This Row],[date]])</f>
        <v>2022</v>
      </c>
    </row>
    <row r="1181" spans="1:19" x14ac:dyDescent="0.3">
      <c r="A1181">
        <v>1234</v>
      </c>
      <c r="B1181" t="s">
        <v>2806</v>
      </c>
      <c r="C1181" t="s">
        <v>752</v>
      </c>
      <c r="D1181" t="s">
        <v>2807</v>
      </c>
      <c r="E1181" t="s">
        <v>2808</v>
      </c>
      <c r="F1181" t="s">
        <v>1460</v>
      </c>
      <c r="G1181" t="s">
        <v>2125</v>
      </c>
      <c r="H1181" t="s">
        <v>16</v>
      </c>
      <c r="I1181" t="s">
        <v>33</v>
      </c>
      <c r="J1181">
        <v>851</v>
      </c>
      <c r="K1181" t="s">
        <v>62</v>
      </c>
      <c r="L1181" s="2">
        <v>44787</v>
      </c>
      <c r="M1181" t="s">
        <v>68</v>
      </c>
      <c r="N1181" t="s">
        <v>69</v>
      </c>
      <c r="O1181">
        <v>78710</v>
      </c>
      <c r="P1181" t="s">
        <v>21</v>
      </c>
      <c r="Q1181" t="str">
        <f>TEXT(Data_Set_3[[#This Row],[date]],"mmmm")</f>
        <v>August</v>
      </c>
      <c r="R1181">
        <f>MONTH(Data_Set_3[[#This Row],[date]])</f>
        <v>8</v>
      </c>
      <c r="S1181">
        <f>YEAR(Data_Set_3[[#This Row],[date]])</f>
        <v>2022</v>
      </c>
    </row>
    <row r="1182" spans="1:19" x14ac:dyDescent="0.3">
      <c r="A1182">
        <v>1985</v>
      </c>
      <c r="B1182" t="s">
        <v>595</v>
      </c>
      <c r="C1182" t="s">
        <v>840</v>
      </c>
      <c r="D1182" t="s">
        <v>3532</v>
      </c>
      <c r="E1182" t="s">
        <v>3533</v>
      </c>
      <c r="F1182" t="s">
        <v>1770</v>
      </c>
      <c r="G1182" t="s">
        <v>2142</v>
      </c>
      <c r="H1182" t="s">
        <v>32</v>
      </c>
      <c r="I1182" t="s">
        <v>33</v>
      </c>
      <c r="J1182">
        <v>426</v>
      </c>
      <c r="K1182" t="s">
        <v>18</v>
      </c>
      <c r="L1182" s="2">
        <v>44787</v>
      </c>
      <c r="M1182" t="s">
        <v>246</v>
      </c>
      <c r="N1182" t="s">
        <v>339</v>
      </c>
      <c r="O1182">
        <v>60646</v>
      </c>
      <c r="P1182" t="s">
        <v>21</v>
      </c>
      <c r="Q1182" t="str">
        <f>TEXT(Data_Set_3[[#This Row],[date]],"mmmm")</f>
        <v>August</v>
      </c>
      <c r="R1182">
        <f>MONTH(Data_Set_3[[#This Row],[date]])</f>
        <v>8</v>
      </c>
      <c r="S1182">
        <f>YEAR(Data_Set_3[[#This Row],[date]])</f>
        <v>2022</v>
      </c>
    </row>
    <row r="1183" spans="1:19" x14ac:dyDescent="0.3">
      <c r="A1183">
        <v>1783</v>
      </c>
      <c r="B1183" t="s">
        <v>721</v>
      </c>
      <c r="C1183" t="s">
        <v>2884</v>
      </c>
      <c r="D1183" t="s">
        <v>2885</v>
      </c>
      <c r="E1183" t="s">
        <v>2886</v>
      </c>
      <c r="F1183" t="s">
        <v>1539</v>
      </c>
      <c r="G1183" t="s">
        <v>2887</v>
      </c>
      <c r="H1183" t="s">
        <v>16</v>
      </c>
      <c r="I1183" t="s">
        <v>25</v>
      </c>
      <c r="J1183">
        <v>495</v>
      </c>
      <c r="K1183" t="s">
        <v>57</v>
      </c>
      <c r="L1183" s="2">
        <v>44789</v>
      </c>
      <c r="M1183" t="s">
        <v>287</v>
      </c>
      <c r="N1183" t="s">
        <v>288</v>
      </c>
      <c r="O1183">
        <v>85715</v>
      </c>
      <c r="P1183" t="s">
        <v>21</v>
      </c>
      <c r="Q1183" t="str">
        <f>TEXT(Data_Set_3[[#This Row],[date]],"mmmm")</f>
        <v>August</v>
      </c>
      <c r="R1183">
        <f>MONTH(Data_Set_3[[#This Row],[date]])</f>
        <v>8</v>
      </c>
      <c r="S1183">
        <f>YEAR(Data_Set_3[[#This Row],[date]])</f>
        <v>2022</v>
      </c>
    </row>
    <row r="1184" spans="1:19" x14ac:dyDescent="0.3">
      <c r="A1184">
        <v>1489</v>
      </c>
      <c r="B1184" t="s">
        <v>860</v>
      </c>
      <c r="C1184" t="s">
        <v>849</v>
      </c>
      <c r="D1184" t="s">
        <v>2817</v>
      </c>
      <c r="E1184" t="s">
        <v>2818</v>
      </c>
      <c r="F1184" t="s">
        <v>1606</v>
      </c>
      <c r="G1184" t="s">
        <v>1899</v>
      </c>
      <c r="H1184" t="s">
        <v>16</v>
      </c>
      <c r="I1184" t="s">
        <v>17</v>
      </c>
      <c r="J1184">
        <v>868</v>
      </c>
      <c r="K1184" t="s">
        <v>62</v>
      </c>
      <c r="L1184" s="2">
        <v>44792</v>
      </c>
      <c r="M1184" t="s">
        <v>204</v>
      </c>
      <c r="N1184" t="s">
        <v>1135</v>
      </c>
      <c r="O1184">
        <v>23668</v>
      </c>
      <c r="P1184" t="s">
        <v>21</v>
      </c>
      <c r="Q1184" t="str">
        <f>TEXT(Data_Set_3[[#This Row],[date]],"mmmm")</f>
        <v>August</v>
      </c>
      <c r="R1184">
        <f>MONTH(Data_Set_3[[#This Row],[date]])</f>
        <v>8</v>
      </c>
      <c r="S1184">
        <f>YEAR(Data_Set_3[[#This Row],[date]])</f>
        <v>2022</v>
      </c>
    </row>
    <row r="1185" spans="1:19" x14ac:dyDescent="0.3">
      <c r="A1185">
        <v>1407</v>
      </c>
      <c r="B1185" t="s">
        <v>2806</v>
      </c>
      <c r="C1185" t="s">
        <v>473</v>
      </c>
      <c r="D1185" t="s">
        <v>3186</v>
      </c>
      <c r="E1185" t="s">
        <v>3187</v>
      </c>
      <c r="F1185" t="s">
        <v>1332</v>
      </c>
      <c r="G1185" t="s">
        <v>2617</v>
      </c>
      <c r="H1185" t="s">
        <v>16</v>
      </c>
      <c r="I1185" t="s">
        <v>2821</v>
      </c>
      <c r="J1185">
        <v>133</v>
      </c>
      <c r="K1185" t="s">
        <v>40</v>
      </c>
      <c r="L1185" s="2">
        <v>44793</v>
      </c>
      <c r="M1185" t="s">
        <v>35</v>
      </c>
      <c r="N1185" t="s">
        <v>908</v>
      </c>
      <c r="O1185">
        <v>92153</v>
      </c>
      <c r="P1185" t="s">
        <v>21</v>
      </c>
      <c r="Q1185" t="str">
        <f>TEXT(Data_Set_3[[#This Row],[date]],"mmmm")</f>
        <v>August</v>
      </c>
      <c r="R1185">
        <f>MONTH(Data_Set_3[[#This Row],[date]])</f>
        <v>8</v>
      </c>
      <c r="S1185">
        <f>YEAR(Data_Set_3[[#This Row],[date]])</f>
        <v>2022</v>
      </c>
    </row>
    <row r="1186" spans="1:19" x14ac:dyDescent="0.3">
      <c r="A1186">
        <v>1708</v>
      </c>
      <c r="B1186" t="s">
        <v>899</v>
      </c>
      <c r="C1186" t="s">
        <v>707</v>
      </c>
      <c r="D1186" t="s">
        <v>3962</v>
      </c>
      <c r="E1186" t="s">
        <v>3963</v>
      </c>
      <c r="F1186" t="s">
        <v>1295</v>
      </c>
      <c r="G1186" t="s">
        <v>1899</v>
      </c>
      <c r="H1186" t="s">
        <v>32</v>
      </c>
      <c r="I1186" t="s">
        <v>17</v>
      </c>
      <c r="J1186">
        <v>270</v>
      </c>
      <c r="K1186" t="s">
        <v>83</v>
      </c>
      <c r="L1186" s="2">
        <v>44793</v>
      </c>
      <c r="M1186" t="s">
        <v>78</v>
      </c>
      <c r="N1186" t="s">
        <v>3964</v>
      </c>
      <c r="O1186">
        <v>48107</v>
      </c>
      <c r="P1186" t="s">
        <v>21</v>
      </c>
      <c r="Q1186" t="str">
        <f>TEXT(Data_Set_3[[#This Row],[date]],"mmmm")</f>
        <v>August</v>
      </c>
      <c r="R1186">
        <f>MONTH(Data_Set_3[[#This Row],[date]])</f>
        <v>8</v>
      </c>
      <c r="S1186">
        <f>YEAR(Data_Set_3[[#This Row],[date]])</f>
        <v>2022</v>
      </c>
    </row>
    <row r="1187" spans="1:19" x14ac:dyDescent="0.3">
      <c r="A1187">
        <v>1998</v>
      </c>
      <c r="B1187" t="s">
        <v>627</v>
      </c>
      <c r="C1187" t="s">
        <v>833</v>
      </c>
      <c r="D1187" t="s">
        <v>2826</v>
      </c>
      <c r="E1187" t="s">
        <v>2827</v>
      </c>
      <c r="F1187" t="s">
        <v>2221</v>
      </c>
      <c r="G1187" t="s">
        <v>2170</v>
      </c>
      <c r="H1187" t="s">
        <v>16</v>
      </c>
      <c r="I1187" t="s">
        <v>361</v>
      </c>
      <c r="J1187">
        <v>984</v>
      </c>
      <c r="K1187" t="s">
        <v>26</v>
      </c>
      <c r="L1187" s="2">
        <v>44794</v>
      </c>
      <c r="M1187" t="s">
        <v>192</v>
      </c>
      <c r="N1187" t="s">
        <v>515</v>
      </c>
      <c r="O1187">
        <v>55146</v>
      </c>
      <c r="P1187" t="s">
        <v>21</v>
      </c>
      <c r="Q1187" t="str">
        <f>TEXT(Data_Set_3[[#This Row],[date]],"mmmm")</f>
        <v>August</v>
      </c>
      <c r="R1187">
        <f>MONTH(Data_Set_3[[#This Row],[date]])</f>
        <v>8</v>
      </c>
      <c r="S1187">
        <f>YEAR(Data_Set_3[[#This Row],[date]])</f>
        <v>2022</v>
      </c>
    </row>
    <row r="1188" spans="1:19" x14ac:dyDescent="0.3">
      <c r="A1188">
        <v>1489</v>
      </c>
      <c r="B1188" t="s">
        <v>860</v>
      </c>
      <c r="C1188" t="s">
        <v>849</v>
      </c>
      <c r="D1188" t="s">
        <v>2817</v>
      </c>
      <c r="E1188" t="s">
        <v>2818</v>
      </c>
      <c r="F1188" t="s">
        <v>1606</v>
      </c>
      <c r="G1188" t="s">
        <v>1899</v>
      </c>
      <c r="H1188" t="s">
        <v>16</v>
      </c>
      <c r="I1188" t="s">
        <v>17</v>
      </c>
      <c r="J1188">
        <v>996</v>
      </c>
      <c r="K1188" t="s">
        <v>62</v>
      </c>
      <c r="L1188" s="2">
        <v>44795</v>
      </c>
      <c r="M1188" t="s">
        <v>204</v>
      </c>
      <c r="N1188" t="s">
        <v>1135</v>
      </c>
      <c r="O1188">
        <v>23668</v>
      </c>
      <c r="P1188" t="s">
        <v>21</v>
      </c>
      <c r="Q1188" t="str">
        <f>TEXT(Data_Set_3[[#This Row],[date]],"mmmm")</f>
        <v>August</v>
      </c>
      <c r="R1188">
        <f>MONTH(Data_Set_3[[#This Row],[date]])</f>
        <v>8</v>
      </c>
      <c r="S1188">
        <f>YEAR(Data_Set_3[[#This Row],[date]])</f>
        <v>2022</v>
      </c>
    </row>
    <row r="1189" spans="1:19" x14ac:dyDescent="0.3">
      <c r="A1189">
        <v>1664</v>
      </c>
      <c r="B1189" t="s">
        <v>299</v>
      </c>
      <c r="C1189" t="s">
        <v>2841</v>
      </c>
      <c r="D1189" t="s">
        <v>3965</v>
      </c>
      <c r="E1189" t="s">
        <v>3966</v>
      </c>
      <c r="F1189" t="s">
        <v>1918</v>
      </c>
      <c r="G1189" t="s">
        <v>1913</v>
      </c>
      <c r="H1189" t="s">
        <v>32</v>
      </c>
      <c r="I1189" t="s">
        <v>17</v>
      </c>
      <c r="J1189">
        <v>452</v>
      </c>
      <c r="K1189" t="s">
        <v>416</v>
      </c>
      <c r="L1189" s="2">
        <v>44797</v>
      </c>
      <c r="M1189" t="s">
        <v>435</v>
      </c>
      <c r="N1189" t="s">
        <v>436</v>
      </c>
      <c r="O1189">
        <v>87195</v>
      </c>
      <c r="P1189" t="s">
        <v>21</v>
      </c>
      <c r="Q1189" t="str">
        <f>TEXT(Data_Set_3[[#This Row],[date]],"mmmm")</f>
        <v>August</v>
      </c>
      <c r="R1189">
        <f>MONTH(Data_Set_3[[#This Row],[date]])</f>
        <v>8</v>
      </c>
      <c r="S1189">
        <f>YEAR(Data_Set_3[[#This Row],[date]])</f>
        <v>2022</v>
      </c>
    </row>
    <row r="1190" spans="1:19" x14ac:dyDescent="0.3">
      <c r="A1190">
        <v>1600</v>
      </c>
      <c r="B1190" t="s">
        <v>555</v>
      </c>
      <c r="C1190" t="s">
        <v>465</v>
      </c>
      <c r="D1190" t="s">
        <v>3967</v>
      </c>
      <c r="E1190" t="s">
        <v>3968</v>
      </c>
      <c r="F1190" t="s">
        <v>2223</v>
      </c>
      <c r="G1190" t="s">
        <v>1333</v>
      </c>
      <c r="H1190" t="s">
        <v>16</v>
      </c>
      <c r="I1190" t="s">
        <v>553</v>
      </c>
      <c r="J1190">
        <v>342</v>
      </c>
      <c r="K1190" t="s">
        <v>34</v>
      </c>
      <c r="L1190" s="2">
        <v>44798</v>
      </c>
      <c r="M1190" t="s">
        <v>58</v>
      </c>
      <c r="N1190" t="s">
        <v>59</v>
      </c>
      <c r="O1190">
        <v>67260</v>
      </c>
      <c r="P1190" t="s">
        <v>21</v>
      </c>
      <c r="Q1190" t="str">
        <f>TEXT(Data_Set_3[[#This Row],[date]],"mmmm")</f>
        <v>August</v>
      </c>
      <c r="R1190">
        <f>MONTH(Data_Set_3[[#This Row],[date]])</f>
        <v>8</v>
      </c>
      <c r="S1190">
        <f>YEAR(Data_Set_3[[#This Row],[date]])</f>
        <v>2022</v>
      </c>
    </row>
    <row r="1191" spans="1:19" x14ac:dyDescent="0.3">
      <c r="A1191">
        <v>1144</v>
      </c>
      <c r="B1191" t="s">
        <v>644</v>
      </c>
      <c r="C1191" t="s">
        <v>581</v>
      </c>
      <c r="D1191" t="s">
        <v>3114</v>
      </c>
      <c r="E1191" t="s">
        <v>3115</v>
      </c>
      <c r="F1191" t="s">
        <v>2641</v>
      </c>
      <c r="G1191" t="s">
        <v>2709</v>
      </c>
      <c r="H1191" t="s">
        <v>32</v>
      </c>
      <c r="I1191" t="s">
        <v>25</v>
      </c>
      <c r="J1191">
        <v>134</v>
      </c>
      <c r="K1191" t="s">
        <v>62</v>
      </c>
      <c r="L1191" s="2">
        <v>44799</v>
      </c>
      <c r="M1191" t="s">
        <v>184</v>
      </c>
      <c r="N1191" t="s">
        <v>3116</v>
      </c>
      <c r="O1191">
        <v>11355</v>
      </c>
      <c r="P1191" t="s">
        <v>21</v>
      </c>
      <c r="Q1191" t="str">
        <f>TEXT(Data_Set_3[[#This Row],[date]],"mmmm")</f>
        <v>August</v>
      </c>
      <c r="R1191">
        <f>MONTH(Data_Set_3[[#This Row],[date]])</f>
        <v>8</v>
      </c>
      <c r="S1191">
        <f>YEAR(Data_Set_3[[#This Row],[date]])</f>
        <v>2022</v>
      </c>
    </row>
    <row r="1192" spans="1:19" x14ac:dyDescent="0.3">
      <c r="A1192">
        <v>1580</v>
      </c>
      <c r="B1192" t="s">
        <v>890</v>
      </c>
      <c r="C1192" t="s">
        <v>3130</v>
      </c>
      <c r="D1192" t="s">
        <v>3969</v>
      </c>
      <c r="E1192" t="s">
        <v>3970</v>
      </c>
      <c r="F1192" t="s">
        <v>2074</v>
      </c>
      <c r="G1192" t="s">
        <v>1453</v>
      </c>
      <c r="H1192" t="s">
        <v>32</v>
      </c>
      <c r="I1192" t="s">
        <v>361</v>
      </c>
      <c r="J1192">
        <v>428</v>
      </c>
      <c r="K1192" t="s">
        <v>62</v>
      </c>
      <c r="L1192" s="2">
        <v>44799</v>
      </c>
      <c r="M1192" t="s">
        <v>192</v>
      </c>
      <c r="N1192" t="s">
        <v>515</v>
      </c>
      <c r="O1192">
        <v>55188</v>
      </c>
      <c r="P1192" t="s">
        <v>21</v>
      </c>
      <c r="Q1192" t="str">
        <f>TEXT(Data_Set_3[[#This Row],[date]],"mmmm")</f>
        <v>August</v>
      </c>
      <c r="R1192">
        <f>MONTH(Data_Set_3[[#This Row],[date]])</f>
        <v>8</v>
      </c>
      <c r="S1192">
        <f>YEAR(Data_Set_3[[#This Row],[date]])</f>
        <v>2022</v>
      </c>
    </row>
    <row r="1193" spans="1:19" x14ac:dyDescent="0.3">
      <c r="A1193">
        <v>1043</v>
      </c>
      <c r="B1193" t="s">
        <v>661</v>
      </c>
      <c r="C1193" t="s">
        <v>883</v>
      </c>
      <c r="D1193" t="s">
        <v>2987</v>
      </c>
      <c r="E1193" t="s">
        <v>2988</v>
      </c>
      <c r="F1193" t="s">
        <v>1353</v>
      </c>
      <c r="G1193" t="s">
        <v>2546</v>
      </c>
      <c r="H1193" t="s">
        <v>16</v>
      </c>
      <c r="I1193" t="s">
        <v>17</v>
      </c>
      <c r="J1193">
        <v>639</v>
      </c>
      <c r="K1193" t="s">
        <v>164</v>
      </c>
      <c r="L1193" s="2">
        <v>44801</v>
      </c>
      <c r="M1193" t="s">
        <v>489</v>
      </c>
      <c r="N1193" t="s">
        <v>490</v>
      </c>
      <c r="O1193">
        <v>89140</v>
      </c>
      <c r="P1193" t="s">
        <v>21</v>
      </c>
      <c r="Q1193" t="str">
        <f>TEXT(Data_Set_3[[#This Row],[date]],"mmmm")</f>
        <v>August</v>
      </c>
      <c r="R1193">
        <f>MONTH(Data_Set_3[[#This Row],[date]])</f>
        <v>8</v>
      </c>
      <c r="S1193">
        <f>YEAR(Data_Set_3[[#This Row],[date]])</f>
        <v>2022</v>
      </c>
    </row>
    <row r="1194" spans="1:19" x14ac:dyDescent="0.3">
      <c r="A1194">
        <v>1274</v>
      </c>
      <c r="B1194" t="s">
        <v>795</v>
      </c>
      <c r="C1194" t="s">
        <v>921</v>
      </c>
      <c r="D1194" t="s">
        <v>3971</v>
      </c>
      <c r="E1194" t="s">
        <v>3972</v>
      </c>
      <c r="F1194" t="s">
        <v>1493</v>
      </c>
      <c r="G1194" t="s">
        <v>2050</v>
      </c>
      <c r="H1194" t="s">
        <v>32</v>
      </c>
      <c r="I1194" t="s">
        <v>51</v>
      </c>
      <c r="J1194">
        <v>434</v>
      </c>
      <c r="K1194" t="s">
        <v>83</v>
      </c>
      <c r="L1194" s="2">
        <v>44801</v>
      </c>
      <c r="M1194" t="s">
        <v>68</v>
      </c>
      <c r="N1194" t="s">
        <v>518</v>
      </c>
      <c r="O1194">
        <v>78235</v>
      </c>
      <c r="P1194" t="s">
        <v>21</v>
      </c>
      <c r="Q1194" t="str">
        <f>TEXT(Data_Set_3[[#This Row],[date]],"mmmm")</f>
        <v>August</v>
      </c>
      <c r="R1194">
        <f>MONTH(Data_Set_3[[#This Row],[date]])</f>
        <v>8</v>
      </c>
      <c r="S1194">
        <f>YEAR(Data_Set_3[[#This Row],[date]])</f>
        <v>2022</v>
      </c>
    </row>
    <row r="1195" spans="1:19" x14ac:dyDescent="0.3">
      <c r="A1195">
        <v>1083</v>
      </c>
      <c r="B1195" t="s">
        <v>624</v>
      </c>
      <c r="C1195" t="s">
        <v>934</v>
      </c>
      <c r="D1195" t="s">
        <v>3973</v>
      </c>
      <c r="E1195" t="s">
        <v>3974</v>
      </c>
      <c r="F1195" t="s">
        <v>1533</v>
      </c>
      <c r="G1195" t="s">
        <v>3461</v>
      </c>
      <c r="H1195" t="s">
        <v>16</v>
      </c>
      <c r="I1195" t="s">
        <v>51</v>
      </c>
      <c r="J1195">
        <v>272</v>
      </c>
      <c r="K1195" t="s">
        <v>26</v>
      </c>
      <c r="L1195" s="2">
        <v>44802</v>
      </c>
      <c r="M1195" t="s">
        <v>115</v>
      </c>
      <c r="N1195" t="s">
        <v>351</v>
      </c>
      <c r="O1195">
        <v>32868</v>
      </c>
      <c r="P1195" t="s">
        <v>21</v>
      </c>
      <c r="Q1195" t="str">
        <f>TEXT(Data_Set_3[[#This Row],[date]],"mmmm")</f>
        <v>August</v>
      </c>
      <c r="R1195">
        <f>MONTH(Data_Set_3[[#This Row],[date]])</f>
        <v>8</v>
      </c>
      <c r="S1195">
        <f>YEAR(Data_Set_3[[#This Row],[date]])</f>
        <v>2022</v>
      </c>
    </row>
    <row r="1196" spans="1:19" x14ac:dyDescent="0.3">
      <c r="A1196">
        <v>1465</v>
      </c>
      <c r="B1196" t="s">
        <v>218</v>
      </c>
      <c r="C1196" t="s">
        <v>366</v>
      </c>
      <c r="D1196" t="s">
        <v>3975</v>
      </c>
      <c r="E1196" t="s">
        <v>3976</v>
      </c>
      <c r="F1196" t="s">
        <v>2430</v>
      </c>
      <c r="G1196" t="s">
        <v>1746</v>
      </c>
      <c r="H1196" t="s">
        <v>16</v>
      </c>
      <c r="I1196" t="s">
        <v>274</v>
      </c>
      <c r="J1196">
        <v>631</v>
      </c>
      <c r="K1196" t="s">
        <v>73</v>
      </c>
      <c r="L1196" s="2">
        <v>44802</v>
      </c>
      <c r="M1196" t="s">
        <v>68</v>
      </c>
      <c r="N1196" t="s">
        <v>827</v>
      </c>
      <c r="O1196">
        <v>76004</v>
      </c>
      <c r="P1196" t="s">
        <v>21</v>
      </c>
      <c r="Q1196" t="str">
        <f>TEXT(Data_Set_3[[#This Row],[date]],"mmmm")</f>
        <v>August</v>
      </c>
      <c r="R1196">
        <f>MONTH(Data_Set_3[[#This Row],[date]])</f>
        <v>8</v>
      </c>
      <c r="S1196">
        <f>YEAR(Data_Set_3[[#This Row],[date]])</f>
        <v>2022</v>
      </c>
    </row>
    <row r="1197" spans="1:19" x14ac:dyDescent="0.3">
      <c r="A1197">
        <v>1298</v>
      </c>
      <c r="B1197" t="s">
        <v>595</v>
      </c>
      <c r="C1197" t="s">
        <v>293</v>
      </c>
      <c r="D1197" t="s">
        <v>2900</v>
      </c>
      <c r="E1197" t="s">
        <v>2901</v>
      </c>
      <c r="F1197" t="s">
        <v>1539</v>
      </c>
      <c r="G1197" t="s">
        <v>1952</v>
      </c>
      <c r="H1197" t="s">
        <v>32</v>
      </c>
      <c r="I1197" t="s">
        <v>543</v>
      </c>
      <c r="J1197">
        <v>391</v>
      </c>
      <c r="K1197" t="s">
        <v>73</v>
      </c>
      <c r="L1197" s="2">
        <v>44803</v>
      </c>
      <c r="M1197" t="s">
        <v>115</v>
      </c>
      <c r="N1197" t="s">
        <v>351</v>
      </c>
      <c r="O1197">
        <v>32891</v>
      </c>
      <c r="P1197" t="s">
        <v>21</v>
      </c>
      <c r="Q1197" t="str">
        <f>TEXT(Data_Set_3[[#This Row],[date]],"mmmm")</f>
        <v>August</v>
      </c>
      <c r="R1197">
        <f>MONTH(Data_Set_3[[#This Row],[date]])</f>
        <v>8</v>
      </c>
      <c r="S1197">
        <f>YEAR(Data_Set_3[[#This Row],[date]])</f>
        <v>2022</v>
      </c>
    </row>
    <row r="1198" spans="1:19" x14ac:dyDescent="0.3">
      <c r="A1198">
        <v>1880</v>
      </c>
      <c r="B1198" t="s">
        <v>304</v>
      </c>
      <c r="C1198" t="s">
        <v>526</v>
      </c>
      <c r="D1198" t="s">
        <v>2831</v>
      </c>
      <c r="E1198" t="s">
        <v>2832</v>
      </c>
      <c r="F1198" t="s">
        <v>1376</v>
      </c>
      <c r="G1198" t="s">
        <v>2577</v>
      </c>
      <c r="H1198" t="s">
        <v>32</v>
      </c>
      <c r="I1198" t="s">
        <v>274</v>
      </c>
      <c r="J1198">
        <v>484</v>
      </c>
      <c r="K1198" t="s">
        <v>26</v>
      </c>
      <c r="L1198" s="2">
        <v>44806</v>
      </c>
      <c r="M1198" t="s">
        <v>246</v>
      </c>
      <c r="N1198" t="s">
        <v>339</v>
      </c>
      <c r="O1198">
        <v>60614</v>
      </c>
      <c r="P1198" t="s">
        <v>21</v>
      </c>
      <c r="Q1198" t="str">
        <f>TEXT(Data_Set_3[[#This Row],[date]],"mmmm")</f>
        <v>September</v>
      </c>
      <c r="R1198">
        <f>MONTH(Data_Set_3[[#This Row],[date]])</f>
        <v>9</v>
      </c>
      <c r="S1198">
        <f>YEAR(Data_Set_3[[#This Row],[date]])</f>
        <v>2022</v>
      </c>
    </row>
    <row r="1199" spans="1:19" x14ac:dyDescent="0.3">
      <c r="A1199">
        <v>1091</v>
      </c>
      <c r="B1199" t="s">
        <v>3278</v>
      </c>
      <c r="C1199" t="s">
        <v>669</v>
      </c>
      <c r="D1199" t="s">
        <v>3977</v>
      </c>
      <c r="E1199" t="s">
        <v>3978</v>
      </c>
      <c r="F1199" t="s">
        <v>1470</v>
      </c>
      <c r="G1199" t="s">
        <v>1596</v>
      </c>
      <c r="H1199" t="s">
        <v>16</v>
      </c>
      <c r="I1199" t="s">
        <v>51</v>
      </c>
      <c r="J1199">
        <v>497</v>
      </c>
      <c r="K1199" t="s">
        <v>26</v>
      </c>
      <c r="L1199" s="2">
        <v>44809</v>
      </c>
      <c r="M1199" t="s">
        <v>220</v>
      </c>
      <c r="N1199" t="s">
        <v>3979</v>
      </c>
      <c r="O1199">
        <v>98498</v>
      </c>
      <c r="P1199" t="s">
        <v>21</v>
      </c>
      <c r="Q1199" t="str">
        <f>TEXT(Data_Set_3[[#This Row],[date]],"mmmm")</f>
        <v>September</v>
      </c>
      <c r="R1199">
        <f>MONTH(Data_Set_3[[#This Row],[date]])</f>
        <v>9</v>
      </c>
      <c r="S1199">
        <f>YEAR(Data_Set_3[[#This Row],[date]])</f>
        <v>2022</v>
      </c>
    </row>
    <row r="1200" spans="1:19" x14ac:dyDescent="0.3">
      <c r="A1200">
        <v>1921</v>
      </c>
      <c r="B1200" t="s">
        <v>3766</v>
      </c>
      <c r="C1200" t="s">
        <v>2904</v>
      </c>
      <c r="D1200" t="s">
        <v>3980</v>
      </c>
      <c r="E1200" t="s">
        <v>3981</v>
      </c>
      <c r="F1200" t="s">
        <v>1843</v>
      </c>
      <c r="G1200" t="s">
        <v>1574</v>
      </c>
      <c r="H1200" t="s">
        <v>16</v>
      </c>
      <c r="I1200" t="s">
        <v>17</v>
      </c>
      <c r="J1200">
        <v>332</v>
      </c>
      <c r="K1200" t="s">
        <v>34</v>
      </c>
      <c r="L1200" s="2">
        <v>44809</v>
      </c>
      <c r="M1200" t="s">
        <v>345</v>
      </c>
      <c r="N1200" t="s">
        <v>220</v>
      </c>
      <c r="O1200">
        <v>20073</v>
      </c>
      <c r="P1200" t="s">
        <v>21</v>
      </c>
      <c r="Q1200" t="str">
        <f>TEXT(Data_Set_3[[#This Row],[date]],"mmmm")</f>
        <v>September</v>
      </c>
      <c r="R1200">
        <f>MONTH(Data_Set_3[[#This Row],[date]])</f>
        <v>9</v>
      </c>
      <c r="S1200">
        <f>YEAR(Data_Set_3[[#This Row],[date]])</f>
        <v>2022</v>
      </c>
    </row>
    <row r="1201" spans="1:19" x14ac:dyDescent="0.3">
      <c r="A1201">
        <v>1020</v>
      </c>
      <c r="B1201" t="s">
        <v>122</v>
      </c>
      <c r="C1201" t="s">
        <v>954</v>
      </c>
      <c r="D1201" t="s">
        <v>2888</v>
      </c>
      <c r="E1201" t="s">
        <v>2889</v>
      </c>
      <c r="F1201" t="s">
        <v>1998</v>
      </c>
      <c r="G1201" t="s">
        <v>1926</v>
      </c>
      <c r="H1201" t="s">
        <v>32</v>
      </c>
      <c r="I1201" t="s">
        <v>17</v>
      </c>
      <c r="J1201">
        <v>16</v>
      </c>
      <c r="K1201" t="s">
        <v>26</v>
      </c>
      <c r="L1201" s="2">
        <v>44812</v>
      </c>
      <c r="M1201" t="s">
        <v>35</v>
      </c>
      <c r="N1201" t="s">
        <v>620</v>
      </c>
      <c r="O1201">
        <v>94105</v>
      </c>
      <c r="P1201" t="s">
        <v>21</v>
      </c>
      <c r="Q1201" t="str">
        <f>TEXT(Data_Set_3[[#This Row],[date]],"mmmm")</f>
        <v>September</v>
      </c>
      <c r="R1201">
        <f>MONTH(Data_Set_3[[#This Row],[date]])</f>
        <v>9</v>
      </c>
      <c r="S1201">
        <f>YEAR(Data_Set_3[[#This Row],[date]])</f>
        <v>2022</v>
      </c>
    </row>
    <row r="1202" spans="1:19" x14ac:dyDescent="0.3">
      <c r="A1202">
        <v>1039</v>
      </c>
      <c r="B1202" t="s">
        <v>1245</v>
      </c>
      <c r="C1202" t="s">
        <v>883</v>
      </c>
      <c r="D1202" t="s">
        <v>3128</v>
      </c>
      <c r="E1202" t="s">
        <v>3129</v>
      </c>
      <c r="F1202" t="s">
        <v>1901</v>
      </c>
      <c r="G1202" t="s">
        <v>2508</v>
      </c>
      <c r="H1202" t="s">
        <v>16</v>
      </c>
      <c r="I1202" t="s">
        <v>17</v>
      </c>
      <c r="J1202">
        <v>432</v>
      </c>
      <c r="K1202" t="s">
        <v>57</v>
      </c>
      <c r="L1202" s="2">
        <v>44812</v>
      </c>
      <c r="M1202" t="s">
        <v>41</v>
      </c>
      <c r="N1202" t="s">
        <v>42</v>
      </c>
      <c r="O1202">
        <v>40298</v>
      </c>
      <c r="P1202" t="s">
        <v>21</v>
      </c>
      <c r="Q1202" t="str">
        <f>TEXT(Data_Set_3[[#This Row],[date]],"mmmm")</f>
        <v>September</v>
      </c>
      <c r="R1202">
        <f>MONTH(Data_Set_3[[#This Row],[date]])</f>
        <v>9</v>
      </c>
      <c r="S1202">
        <f>YEAR(Data_Set_3[[#This Row],[date]])</f>
        <v>2022</v>
      </c>
    </row>
    <row r="1203" spans="1:19" x14ac:dyDescent="0.3">
      <c r="A1203">
        <v>1753</v>
      </c>
      <c r="B1203" t="s">
        <v>381</v>
      </c>
      <c r="C1203" t="s">
        <v>3279</v>
      </c>
      <c r="D1203" t="s">
        <v>3982</v>
      </c>
      <c r="E1203" t="s">
        <v>3983</v>
      </c>
      <c r="F1203" t="s">
        <v>2155</v>
      </c>
      <c r="G1203" t="s">
        <v>2495</v>
      </c>
      <c r="H1203" t="s">
        <v>16</v>
      </c>
      <c r="I1203" t="s">
        <v>51</v>
      </c>
      <c r="J1203">
        <v>80</v>
      </c>
      <c r="K1203" t="s">
        <v>34</v>
      </c>
      <c r="L1203" s="2">
        <v>44812</v>
      </c>
      <c r="M1203" t="s">
        <v>110</v>
      </c>
      <c r="N1203" t="s">
        <v>1012</v>
      </c>
      <c r="O1203">
        <v>16522</v>
      </c>
      <c r="P1203" t="s">
        <v>21</v>
      </c>
      <c r="Q1203" t="str">
        <f>TEXT(Data_Set_3[[#This Row],[date]],"mmmm")</f>
        <v>September</v>
      </c>
      <c r="R1203">
        <f>MONTH(Data_Set_3[[#This Row],[date]])</f>
        <v>9</v>
      </c>
      <c r="S1203">
        <f>YEAR(Data_Set_3[[#This Row],[date]])</f>
        <v>2022</v>
      </c>
    </row>
    <row r="1204" spans="1:19" x14ac:dyDescent="0.3">
      <c r="A1204">
        <v>1021</v>
      </c>
      <c r="B1204" t="s">
        <v>495</v>
      </c>
      <c r="C1204" t="s">
        <v>567</v>
      </c>
      <c r="D1204" t="s">
        <v>2795</v>
      </c>
      <c r="E1204" t="s">
        <v>2796</v>
      </c>
      <c r="F1204" t="s">
        <v>1330</v>
      </c>
      <c r="G1204" t="s">
        <v>1863</v>
      </c>
      <c r="H1204" t="s">
        <v>32</v>
      </c>
      <c r="I1204" t="s">
        <v>17</v>
      </c>
      <c r="J1204">
        <v>726</v>
      </c>
      <c r="K1204" t="s">
        <v>164</v>
      </c>
      <c r="L1204" s="2">
        <v>44814</v>
      </c>
      <c r="M1204" t="s">
        <v>78</v>
      </c>
      <c r="N1204" t="s">
        <v>2797</v>
      </c>
      <c r="O1204">
        <v>48555</v>
      </c>
      <c r="P1204" t="s">
        <v>21</v>
      </c>
      <c r="Q1204" t="str">
        <f>TEXT(Data_Set_3[[#This Row],[date]],"mmmm")</f>
        <v>September</v>
      </c>
      <c r="R1204">
        <f>MONTH(Data_Set_3[[#This Row],[date]])</f>
        <v>9</v>
      </c>
      <c r="S1204">
        <f>YEAR(Data_Set_3[[#This Row],[date]])</f>
        <v>2022</v>
      </c>
    </row>
    <row r="1205" spans="1:19" x14ac:dyDescent="0.3">
      <c r="A1205">
        <v>1298</v>
      </c>
      <c r="B1205" t="s">
        <v>595</v>
      </c>
      <c r="C1205" t="s">
        <v>293</v>
      </c>
      <c r="D1205" t="s">
        <v>2900</v>
      </c>
      <c r="E1205" t="s">
        <v>2901</v>
      </c>
      <c r="F1205" t="s">
        <v>1539</v>
      </c>
      <c r="G1205" t="s">
        <v>1952</v>
      </c>
      <c r="H1205" t="s">
        <v>32</v>
      </c>
      <c r="I1205" t="s">
        <v>543</v>
      </c>
      <c r="J1205">
        <v>979</v>
      </c>
      <c r="K1205" t="s">
        <v>73</v>
      </c>
      <c r="L1205" s="2">
        <v>44814</v>
      </c>
      <c r="M1205" t="s">
        <v>115</v>
      </c>
      <c r="N1205" t="s">
        <v>351</v>
      </c>
      <c r="O1205">
        <v>32891</v>
      </c>
      <c r="P1205" t="s">
        <v>21</v>
      </c>
      <c r="Q1205" t="str">
        <f>TEXT(Data_Set_3[[#This Row],[date]],"mmmm")</f>
        <v>September</v>
      </c>
      <c r="R1205">
        <f>MONTH(Data_Set_3[[#This Row],[date]])</f>
        <v>9</v>
      </c>
      <c r="S1205">
        <f>YEAR(Data_Set_3[[#This Row],[date]])</f>
        <v>2022</v>
      </c>
    </row>
    <row r="1206" spans="1:19" x14ac:dyDescent="0.3">
      <c r="A1206">
        <v>1298</v>
      </c>
      <c r="B1206" t="s">
        <v>595</v>
      </c>
      <c r="C1206" t="s">
        <v>293</v>
      </c>
      <c r="D1206" t="s">
        <v>2900</v>
      </c>
      <c r="E1206" t="s">
        <v>2901</v>
      </c>
      <c r="F1206" t="s">
        <v>1539</v>
      </c>
      <c r="G1206" t="s">
        <v>1952</v>
      </c>
      <c r="H1206" t="s">
        <v>32</v>
      </c>
      <c r="I1206" t="s">
        <v>543</v>
      </c>
      <c r="J1206">
        <v>902</v>
      </c>
      <c r="K1206" t="s">
        <v>73</v>
      </c>
      <c r="L1206" s="2">
        <v>44816</v>
      </c>
      <c r="M1206" t="s">
        <v>115</v>
      </c>
      <c r="N1206" t="s">
        <v>351</v>
      </c>
      <c r="O1206">
        <v>32891</v>
      </c>
      <c r="P1206" t="s">
        <v>21</v>
      </c>
      <c r="Q1206" t="str">
        <f>TEXT(Data_Set_3[[#This Row],[date]],"mmmm")</f>
        <v>September</v>
      </c>
      <c r="R1206">
        <f>MONTH(Data_Set_3[[#This Row],[date]])</f>
        <v>9</v>
      </c>
      <c r="S1206">
        <f>YEAR(Data_Set_3[[#This Row],[date]])</f>
        <v>2022</v>
      </c>
    </row>
    <row r="1207" spans="1:19" x14ac:dyDescent="0.3">
      <c r="A1207">
        <v>1212</v>
      </c>
      <c r="B1207" t="s">
        <v>547</v>
      </c>
      <c r="C1207" t="s">
        <v>337</v>
      </c>
      <c r="D1207" t="s">
        <v>2828</v>
      </c>
      <c r="E1207" t="s">
        <v>2829</v>
      </c>
      <c r="F1207" t="s">
        <v>1608</v>
      </c>
      <c r="G1207" t="s">
        <v>2830</v>
      </c>
      <c r="H1207" t="s">
        <v>32</v>
      </c>
      <c r="I1207" t="s">
        <v>33</v>
      </c>
      <c r="J1207">
        <v>30</v>
      </c>
      <c r="K1207" t="s">
        <v>34</v>
      </c>
      <c r="L1207" s="2">
        <v>44817</v>
      </c>
      <c r="M1207" t="s">
        <v>46</v>
      </c>
      <c r="N1207" t="s">
        <v>47</v>
      </c>
      <c r="O1207">
        <v>6183</v>
      </c>
      <c r="P1207" t="s">
        <v>21</v>
      </c>
      <c r="Q1207" t="str">
        <f>TEXT(Data_Set_3[[#This Row],[date]],"mmmm")</f>
        <v>September</v>
      </c>
      <c r="R1207">
        <f>MONTH(Data_Set_3[[#This Row],[date]])</f>
        <v>9</v>
      </c>
      <c r="S1207">
        <f>YEAR(Data_Set_3[[#This Row],[date]])</f>
        <v>2022</v>
      </c>
    </row>
    <row r="1208" spans="1:19" x14ac:dyDescent="0.3">
      <c r="A1208">
        <v>1808</v>
      </c>
      <c r="B1208" t="s">
        <v>588</v>
      </c>
      <c r="C1208" t="s">
        <v>30</v>
      </c>
      <c r="D1208" t="s">
        <v>3984</v>
      </c>
      <c r="E1208" t="s">
        <v>3985</v>
      </c>
      <c r="F1208" t="s">
        <v>1435</v>
      </c>
      <c r="G1208" t="s">
        <v>1690</v>
      </c>
      <c r="H1208" t="s">
        <v>16</v>
      </c>
      <c r="I1208" t="s">
        <v>179</v>
      </c>
      <c r="J1208">
        <v>36</v>
      </c>
      <c r="K1208" t="s">
        <v>26</v>
      </c>
      <c r="L1208" s="2">
        <v>44817</v>
      </c>
      <c r="M1208" t="s">
        <v>68</v>
      </c>
      <c r="N1208" t="s">
        <v>518</v>
      </c>
      <c r="O1208">
        <v>78296</v>
      </c>
      <c r="P1208" t="s">
        <v>21</v>
      </c>
      <c r="Q1208" t="str">
        <f>TEXT(Data_Set_3[[#This Row],[date]],"mmmm")</f>
        <v>September</v>
      </c>
      <c r="R1208">
        <f>MONTH(Data_Set_3[[#This Row],[date]])</f>
        <v>9</v>
      </c>
      <c r="S1208">
        <f>YEAR(Data_Set_3[[#This Row],[date]])</f>
        <v>2022</v>
      </c>
    </row>
    <row r="1209" spans="1:19" x14ac:dyDescent="0.3">
      <c r="A1209">
        <v>1039</v>
      </c>
      <c r="B1209" t="s">
        <v>1245</v>
      </c>
      <c r="C1209" t="s">
        <v>883</v>
      </c>
      <c r="D1209" t="s">
        <v>3128</v>
      </c>
      <c r="E1209" t="s">
        <v>3129</v>
      </c>
      <c r="F1209" t="s">
        <v>1901</v>
      </c>
      <c r="G1209" t="s">
        <v>2508</v>
      </c>
      <c r="H1209" t="s">
        <v>16</v>
      </c>
      <c r="I1209" t="s">
        <v>17</v>
      </c>
      <c r="J1209">
        <v>251</v>
      </c>
      <c r="K1209" t="s">
        <v>57</v>
      </c>
      <c r="L1209" s="2">
        <v>44819</v>
      </c>
      <c r="M1209" t="s">
        <v>41</v>
      </c>
      <c r="N1209" t="s">
        <v>42</v>
      </c>
      <c r="O1209">
        <v>40298</v>
      </c>
      <c r="P1209" t="s">
        <v>21</v>
      </c>
      <c r="Q1209" t="str">
        <f>TEXT(Data_Set_3[[#This Row],[date]],"mmmm")</f>
        <v>September</v>
      </c>
      <c r="R1209">
        <f>MONTH(Data_Set_3[[#This Row],[date]])</f>
        <v>9</v>
      </c>
      <c r="S1209">
        <f>YEAR(Data_Set_3[[#This Row],[date]])</f>
        <v>2022</v>
      </c>
    </row>
    <row r="1210" spans="1:19" x14ac:dyDescent="0.3">
      <c r="A1210">
        <v>1022</v>
      </c>
      <c r="B1210" t="s">
        <v>769</v>
      </c>
      <c r="C1210" t="s">
        <v>825</v>
      </c>
      <c r="D1210" t="s">
        <v>3008</v>
      </c>
      <c r="E1210" t="s">
        <v>3009</v>
      </c>
      <c r="F1210" t="s">
        <v>1888</v>
      </c>
      <c r="G1210" t="s">
        <v>1794</v>
      </c>
      <c r="H1210" t="s">
        <v>16</v>
      </c>
      <c r="I1210" t="s">
        <v>17</v>
      </c>
      <c r="J1210">
        <v>893</v>
      </c>
      <c r="K1210" t="s">
        <v>26</v>
      </c>
      <c r="L1210" s="2">
        <v>44820</v>
      </c>
      <c r="M1210" t="s">
        <v>345</v>
      </c>
      <c r="N1210" t="s">
        <v>220</v>
      </c>
      <c r="O1210">
        <v>20430</v>
      </c>
      <c r="P1210" t="s">
        <v>21</v>
      </c>
      <c r="Q1210" t="str">
        <f>TEXT(Data_Set_3[[#This Row],[date]],"mmmm")</f>
        <v>September</v>
      </c>
      <c r="R1210">
        <f>MONTH(Data_Set_3[[#This Row],[date]])</f>
        <v>9</v>
      </c>
      <c r="S1210">
        <f>YEAR(Data_Set_3[[#This Row],[date]])</f>
        <v>2022</v>
      </c>
    </row>
    <row r="1211" spans="1:19" x14ac:dyDescent="0.3">
      <c r="A1211">
        <v>1095</v>
      </c>
      <c r="B1211" t="s">
        <v>395</v>
      </c>
      <c r="C1211" t="s">
        <v>876</v>
      </c>
      <c r="D1211" t="s">
        <v>2989</v>
      </c>
      <c r="E1211" t="s">
        <v>2990</v>
      </c>
      <c r="F1211" t="s">
        <v>1323</v>
      </c>
      <c r="G1211" t="s">
        <v>1453</v>
      </c>
      <c r="H1211" t="s">
        <v>32</v>
      </c>
      <c r="I1211" t="s">
        <v>51</v>
      </c>
      <c r="J1211">
        <v>281</v>
      </c>
      <c r="K1211" t="s">
        <v>34</v>
      </c>
      <c r="L1211" s="2">
        <v>44823</v>
      </c>
      <c r="M1211" t="s">
        <v>68</v>
      </c>
      <c r="N1211" t="s">
        <v>234</v>
      </c>
      <c r="O1211">
        <v>77040</v>
      </c>
      <c r="P1211" t="s">
        <v>21</v>
      </c>
      <c r="Q1211" t="str">
        <f>TEXT(Data_Set_3[[#This Row],[date]],"mmmm")</f>
        <v>September</v>
      </c>
      <c r="R1211">
        <f>MONTH(Data_Set_3[[#This Row],[date]])</f>
        <v>9</v>
      </c>
      <c r="S1211">
        <f>YEAR(Data_Set_3[[#This Row],[date]])</f>
        <v>2022</v>
      </c>
    </row>
    <row r="1212" spans="1:19" x14ac:dyDescent="0.3">
      <c r="A1212">
        <v>1851</v>
      </c>
      <c r="B1212" t="s">
        <v>471</v>
      </c>
      <c r="C1212" t="s">
        <v>220</v>
      </c>
      <c r="D1212" t="s">
        <v>3015</v>
      </c>
      <c r="E1212" t="s">
        <v>3016</v>
      </c>
      <c r="F1212" t="s">
        <v>3017</v>
      </c>
      <c r="G1212" t="s">
        <v>2697</v>
      </c>
      <c r="H1212" t="s">
        <v>32</v>
      </c>
      <c r="I1212" t="s">
        <v>33</v>
      </c>
      <c r="J1212">
        <v>511</v>
      </c>
      <c r="K1212" t="s">
        <v>73</v>
      </c>
      <c r="L1212" s="2">
        <v>44823</v>
      </c>
      <c r="M1212" t="s">
        <v>184</v>
      </c>
      <c r="N1212" t="s">
        <v>656</v>
      </c>
      <c r="O1212">
        <v>11210</v>
      </c>
      <c r="P1212" t="s">
        <v>21</v>
      </c>
      <c r="Q1212" t="str">
        <f>TEXT(Data_Set_3[[#This Row],[date]],"mmmm")</f>
        <v>September</v>
      </c>
      <c r="R1212">
        <f>MONTH(Data_Set_3[[#This Row],[date]])</f>
        <v>9</v>
      </c>
      <c r="S1212">
        <f>YEAR(Data_Set_3[[#This Row],[date]])</f>
        <v>2022</v>
      </c>
    </row>
    <row r="1213" spans="1:19" x14ac:dyDescent="0.3">
      <c r="A1213">
        <v>1667</v>
      </c>
      <c r="B1213" t="s">
        <v>2925</v>
      </c>
      <c r="C1213" t="s">
        <v>816</v>
      </c>
      <c r="D1213" t="s">
        <v>3986</v>
      </c>
      <c r="E1213" t="s">
        <v>3987</v>
      </c>
      <c r="F1213" t="s">
        <v>1387</v>
      </c>
      <c r="G1213" t="s">
        <v>2159</v>
      </c>
      <c r="H1213" t="s">
        <v>32</v>
      </c>
      <c r="I1213" t="s">
        <v>17</v>
      </c>
      <c r="J1213">
        <v>556</v>
      </c>
      <c r="K1213" t="s">
        <v>26</v>
      </c>
      <c r="L1213" s="2">
        <v>44824</v>
      </c>
      <c r="M1213" t="s">
        <v>74</v>
      </c>
      <c r="N1213" t="s">
        <v>787</v>
      </c>
      <c r="O1213">
        <v>31296</v>
      </c>
      <c r="P1213" t="s">
        <v>21</v>
      </c>
      <c r="Q1213" t="str">
        <f>TEXT(Data_Set_3[[#This Row],[date]],"mmmm")</f>
        <v>September</v>
      </c>
      <c r="R1213">
        <f>MONTH(Data_Set_3[[#This Row],[date]])</f>
        <v>9</v>
      </c>
      <c r="S1213">
        <f>YEAR(Data_Set_3[[#This Row],[date]])</f>
        <v>2022</v>
      </c>
    </row>
    <row r="1214" spans="1:19" x14ac:dyDescent="0.3">
      <c r="A1214">
        <v>1092</v>
      </c>
      <c r="B1214" t="s">
        <v>516</v>
      </c>
      <c r="C1214" t="s">
        <v>455</v>
      </c>
      <c r="D1214" t="s">
        <v>2976</v>
      </c>
      <c r="E1214" t="s">
        <v>2977</v>
      </c>
      <c r="F1214" t="s">
        <v>1763</v>
      </c>
      <c r="G1214" t="s">
        <v>1486</v>
      </c>
      <c r="H1214" t="s">
        <v>32</v>
      </c>
      <c r="I1214" t="s">
        <v>51</v>
      </c>
      <c r="J1214">
        <v>120</v>
      </c>
      <c r="K1214" t="s">
        <v>73</v>
      </c>
      <c r="L1214" s="2">
        <v>44826</v>
      </c>
      <c r="M1214" t="s">
        <v>115</v>
      </c>
      <c r="N1214" t="s">
        <v>1048</v>
      </c>
      <c r="O1214">
        <v>34233</v>
      </c>
      <c r="P1214" t="s">
        <v>21</v>
      </c>
      <c r="Q1214" t="str">
        <f>TEXT(Data_Set_3[[#This Row],[date]],"mmmm")</f>
        <v>September</v>
      </c>
      <c r="R1214">
        <f>MONTH(Data_Set_3[[#This Row],[date]])</f>
        <v>9</v>
      </c>
      <c r="S1214">
        <f>YEAR(Data_Set_3[[#This Row],[date]])</f>
        <v>2022</v>
      </c>
    </row>
    <row r="1215" spans="1:19" x14ac:dyDescent="0.3">
      <c r="A1215">
        <v>1017</v>
      </c>
      <c r="B1215" t="s">
        <v>803</v>
      </c>
      <c r="C1215" t="s">
        <v>3048</v>
      </c>
      <c r="D1215" t="s">
        <v>3049</v>
      </c>
      <c r="E1215" t="s">
        <v>3050</v>
      </c>
      <c r="F1215" t="s">
        <v>1306</v>
      </c>
      <c r="G1215" t="s">
        <v>1845</v>
      </c>
      <c r="H1215" t="s">
        <v>32</v>
      </c>
      <c r="I1215" t="s">
        <v>17</v>
      </c>
      <c r="J1215">
        <v>746</v>
      </c>
      <c r="K1215" t="s">
        <v>26</v>
      </c>
      <c r="L1215" s="2">
        <v>44829</v>
      </c>
      <c r="M1215" t="s">
        <v>246</v>
      </c>
      <c r="N1215" t="s">
        <v>339</v>
      </c>
      <c r="O1215">
        <v>60663</v>
      </c>
      <c r="P1215" t="s">
        <v>21</v>
      </c>
      <c r="Q1215" t="str">
        <f>TEXT(Data_Set_3[[#This Row],[date]],"mmmm")</f>
        <v>September</v>
      </c>
      <c r="R1215">
        <f>MONTH(Data_Set_3[[#This Row],[date]])</f>
        <v>9</v>
      </c>
      <c r="S1215">
        <f>YEAR(Data_Set_3[[#This Row],[date]])</f>
        <v>2022</v>
      </c>
    </row>
    <row r="1216" spans="1:19" x14ac:dyDescent="0.3">
      <c r="A1216">
        <v>1260</v>
      </c>
      <c r="B1216" t="s">
        <v>417</v>
      </c>
      <c r="C1216" t="s">
        <v>2904</v>
      </c>
      <c r="D1216" t="s">
        <v>2905</v>
      </c>
      <c r="E1216" t="s">
        <v>2906</v>
      </c>
      <c r="F1216" t="s">
        <v>1777</v>
      </c>
      <c r="G1216" t="s">
        <v>2571</v>
      </c>
      <c r="H1216" t="s">
        <v>16</v>
      </c>
      <c r="I1216" t="s">
        <v>543</v>
      </c>
      <c r="J1216">
        <v>705</v>
      </c>
      <c r="K1216" t="s">
        <v>26</v>
      </c>
      <c r="L1216" s="2">
        <v>44830</v>
      </c>
      <c r="M1216" t="s">
        <v>220</v>
      </c>
      <c r="N1216" t="s">
        <v>2907</v>
      </c>
      <c r="O1216">
        <v>99215</v>
      </c>
      <c r="P1216" t="s">
        <v>21</v>
      </c>
      <c r="Q1216" t="str">
        <f>TEXT(Data_Set_3[[#This Row],[date]],"mmmm")</f>
        <v>September</v>
      </c>
      <c r="R1216">
        <f>MONTH(Data_Set_3[[#This Row],[date]])</f>
        <v>9</v>
      </c>
      <c r="S1216">
        <f>YEAR(Data_Set_3[[#This Row],[date]])</f>
        <v>2022</v>
      </c>
    </row>
    <row r="1217" spans="1:19" x14ac:dyDescent="0.3">
      <c r="A1217">
        <v>1769</v>
      </c>
      <c r="B1217" t="s">
        <v>1163</v>
      </c>
      <c r="C1217" t="s">
        <v>334</v>
      </c>
      <c r="D1217" t="s">
        <v>3988</v>
      </c>
      <c r="E1217" t="s">
        <v>3989</v>
      </c>
      <c r="F1217" t="s">
        <v>1629</v>
      </c>
      <c r="G1217" t="s">
        <v>1728</v>
      </c>
      <c r="H1217" t="s">
        <v>32</v>
      </c>
      <c r="I1217" t="s">
        <v>25</v>
      </c>
      <c r="J1217">
        <v>71</v>
      </c>
      <c r="K1217" t="s">
        <v>73</v>
      </c>
      <c r="L1217" s="2">
        <v>44831</v>
      </c>
      <c r="M1217" t="s">
        <v>115</v>
      </c>
      <c r="N1217" t="s">
        <v>351</v>
      </c>
      <c r="O1217">
        <v>32885</v>
      </c>
      <c r="P1217" t="s">
        <v>21</v>
      </c>
      <c r="Q1217" t="str">
        <f>TEXT(Data_Set_3[[#This Row],[date]],"mmmm")</f>
        <v>September</v>
      </c>
      <c r="R1217">
        <f>MONTH(Data_Set_3[[#This Row],[date]])</f>
        <v>9</v>
      </c>
      <c r="S1217">
        <f>YEAR(Data_Set_3[[#This Row],[date]])</f>
        <v>2022</v>
      </c>
    </row>
    <row r="1218" spans="1:19" x14ac:dyDescent="0.3">
      <c r="A1218">
        <v>1489</v>
      </c>
      <c r="B1218" t="s">
        <v>860</v>
      </c>
      <c r="C1218" t="s">
        <v>849</v>
      </c>
      <c r="D1218" t="s">
        <v>2817</v>
      </c>
      <c r="E1218" t="s">
        <v>2818</v>
      </c>
      <c r="F1218" t="s">
        <v>1606</v>
      </c>
      <c r="G1218" t="s">
        <v>1899</v>
      </c>
      <c r="H1218" t="s">
        <v>16</v>
      </c>
      <c r="I1218" t="s">
        <v>17</v>
      </c>
      <c r="J1218">
        <v>292</v>
      </c>
      <c r="K1218" t="s">
        <v>62</v>
      </c>
      <c r="L1218" s="2">
        <v>44832</v>
      </c>
      <c r="M1218" t="s">
        <v>204</v>
      </c>
      <c r="N1218" t="s">
        <v>1135</v>
      </c>
      <c r="O1218">
        <v>23668</v>
      </c>
      <c r="P1218" t="s">
        <v>21</v>
      </c>
      <c r="Q1218" t="str">
        <f>TEXT(Data_Set_3[[#This Row],[date]],"mmmm")</f>
        <v>September</v>
      </c>
      <c r="R1218">
        <f>MONTH(Data_Set_3[[#This Row],[date]])</f>
        <v>9</v>
      </c>
      <c r="S1218">
        <f>YEAR(Data_Set_3[[#This Row],[date]])</f>
        <v>2022</v>
      </c>
    </row>
    <row r="1219" spans="1:19" x14ac:dyDescent="0.3">
      <c r="A1219">
        <v>1095</v>
      </c>
      <c r="B1219" t="s">
        <v>395</v>
      </c>
      <c r="C1219" t="s">
        <v>876</v>
      </c>
      <c r="D1219" t="s">
        <v>2989</v>
      </c>
      <c r="E1219" t="s">
        <v>2990</v>
      </c>
      <c r="F1219" t="s">
        <v>1323</v>
      </c>
      <c r="G1219" t="s">
        <v>1453</v>
      </c>
      <c r="H1219" t="s">
        <v>32</v>
      </c>
      <c r="I1219" t="s">
        <v>51</v>
      </c>
      <c r="J1219">
        <v>901</v>
      </c>
      <c r="K1219" t="s">
        <v>34</v>
      </c>
      <c r="L1219" s="2">
        <v>44833</v>
      </c>
      <c r="M1219" t="s">
        <v>68</v>
      </c>
      <c r="N1219" t="s">
        <v>234</v>
      </c>
      <c r="O1219">
        <v>77040</v>
      </c>
      <c r="P1219" t="s">
        <v>21</v>
      </c>
      <c r="Q1219" t="str">
        <f>TEXT(Data_Set_3[[#This Row],[date]],"mmmm")</f>
        <v>September</v>
      </c>
      <c r="R1219">
        <f>MONTH(Data_Set_3[[#This Row],[date]])</f>
        <v>9</v>
      </c>
      <c r="S1219">
        <f>YEAR(Data_Set_3[[#This Row],[date]])</f>
        <v>2022</v>
      </c>
    </row>
    <row r="1220" spans="1:19" x14ac:dyDescent="0.3">
      <c r="A1220">
        <v>1212</v>
      </c>
      <c r="B1220" t="s">
        <v>547</v>
      </c>
      <c r="C1220" t="s">
        <v>337</v>
      </c>
      <c r="D1220" t="s">
        <v>2828</v>
      </c>
      <c r="E1220" t="s">
        <v>2829</v>
      </c>
      <c r="F1220" t="s">
        <v>1608</v>
      </c>
      <c r="G1220" t="s">
        <v>2830</v>
      </c>
      <c r="H1220" t="s">
        <v>32</v>
      </c>
      <c r="I1220" t="s">
        <v>33</v>
      </c>
      <c r="J1220">
        <v>303</v>
      </c>
      <c r="K1220" t="s">
        <v>34</v>
      </c>
      <c r="L1220" s="2">
        <v>44834</v>
      </c>
      <c r="M1220" t="s">
        <v>46</v>
      </c>
      <c r="N1220" t="s">
        <v>47</v>
      </c>
      <c r="O1220">
        <v>6183</v>
      </c>
      <c r="P1220" t="s">
        <v>21</v>
      </c>
      <c r="Q1220" t="str">
        <f>TEXT(Data_Set_3[[#This Row],[date]],"mmmm")</f>
        <v>September</v>
      </c>
      <c r="R1220">
        <f>MONTH(Data_Set_3[[#This Row],[date]])</f>
        <v>9</v>
      </c>
      <c r="S1220">
        <f>YEAR(Data_Set_3[[#This Row],[date]])</f>
        <v>2022</v>
      </c>
    </row>
    <row r="1221" spans="1:19" x14ac:dyDescent="0.3">
      <c r="A1221">
        <v>1812</v>
      </c>
      <c r="B1221" t="s">
        <v>1130</v>
      </c>
      <c r="C1221" t="s">
        <v>639</v>
      </c>
      <c r="D1221" t="s">
        <v>2863</v>
      </c>
      <c r="E1221" t="s">
        <v>2864</v>
      </c>
      <c r="F1221" t="s">
        <v>2641</v>
      </c>
      <c r="G1221" t="s">
        <v>1653</v>
      </c>
      <c r="H1221" t="s">
        <v>16</v>
      </c>
      <c r="I1221" t="s">
        <v>543</v>
      </c>
      <c r="J1221">
        <v>990</v>
      </c>
      <c r="K1221" t="s">
        <v>34</v>
      </c>
      <c r="L1221" s="2">
        <v>44836</v>
      </c>
      <c r="M1221" t="s">
        <v>524</v>
      </c>
      <c r="N1221" t="s">
        <v>815</v>
      </c>
      <c r="O1221">
        <v>35220</v>
      </c>
      <c r="P1221" t="s">
        <v>21</v>
      </c>
      <c r="Q1221" t="str">
        <f>TEXT(Data_Set_3[[#This Row],[date]],"mmmm")</f>
        <v>October</v>
      </c>
      <c r="R1221">
        <f>MONTH(Data_Set_3[[#This Row],[date]])</f>
        <v>10</v>
      </c>
      <c r="S1221">
        <f>YEAR(Data_Set_3[[#This Row],[date]])</f>
        <v>2022</v>
      </c>
    </row>
    <row r="1222" spans="1:19" x14ac:dyDescent="0.3">
      <c r="A1222">
        <v>1022</v>
      </c>
      <c r="B1222" t="s">
        <v>769</v>
      </c>
      <c r="C1222" t="s">
        <v>825</v>
      </c>
      <c r="D1222" t="s">
        <v>3008</v>
      </c>
      <c r="E1222" t="s">
        <v>3009</v>
      </c>
      <c r="F1222" t="s">
        <v>1888</v>
      </c>
      <c r="G1222" t="s">
        <v>1794</v>
      </c>
      <c r="H1222" t="s">
        <v>16</v>
      </c>
      <c r="I1222" t="s">
        <v>17</v>
      </c>
      <c r="J1222">
        <v>15</v>
      </c>
      <c r="K1222" t="s">
        <v>26</v>
      </c>
      <c r="L1222" s="2">
        <v>44840</v>
      </c>
      <c r="M1222" t="s">
        <v>345</v>
      </c>
      <c r="N1222" t="s">
        <v>220</v>
      </c>
      <c r="O1222">
        <v>20430</v>
      </c>
      <c r="P1222" t="s">
        <v>21</v>
      </c>
      <c r="Q1222" t="str">
        <f>TEXT(Data_Set_3[[#This Row],[date]],"mmmm")</f>
        <v>October</v>
      </c>
      <c r="R1222">
        <f>MONTH(Data_Set_3[[#This Row],[date]])</f>
        <v>10</v>
      </c>
      <c r="S1222">
        <f>YEAR(Data_Set_3[[#This Row],[date]])</f>
        <v>2022</v>
      </c>
    </row>
    <row r="1223" spans="1:19" x14ac:dyDescent="0.3">
      <c r="A1223">
        <v>1760</v>
      </c>
      <c r="B1223" t="s">
        <v>213</v>
      </c>
      <c r="C1223" t="s">
        <v>223</v>
      </c>
      <c r="D1223" t="s">
        <v>3990</v>
      </c>
      <c r="E1223" t="s">
        <v>3991</v>
      </c>
      <c r="F1223" t="s">
        <v>1378</v>
      </c>
      <c r="G1223" t="s">
        <v>2416</v>
      </c>
      <c r="H1223" t="s">
        <v>16</v>
      </c>
      <c r="I1223" t="s">
        <v>2813</v>
      </c>
      <c r="J1223">
        <v>568</v>
      </c>
      <c r="K1223" t="s">
        <v>275</v>
      </c>
      <c r="L1223" s="2">
        <v>44840</v>
      </c>
      <c r="M1223" t="s">
        <v>152</v>
      </c>
      <c r="N1223" t="s">
        <v>484</v>
      </c>
      <c r="O1223">
        <v>45432</v>
      </c>
      <c r="P1223" t="s">
        <v>21</v>
      </c>
      <c r="Q1223" t="str">
        <f>TEXT(Data_Set_3[[#This Row],[date]],"mmmm")</f>
        <v>October</v>
      </c>
      <c r="R1223">
        <f>MONTH(Data_Set_3[[#This Row],[date]])</f>
        <v>10</v>
      </c>
      <c r="S1223">
        <f>YEAR(Data_Set_3[[#This Row],[date]])</f>
        <v>2022</v>
      </c>
    </row>
    <row r="1224" spans="1:19" x14ac:dyDescent="0.3">
      <c r="A1224">
        <v>1081</v>
      </c>
      <c r="B1224" t="s">
        <v>29</v>
      </c>
      <c r="C1224" t="s">
        <v>906</v>
      </c>
      <c r="D1224" t="s">
        <v>2980</v>
      </c>
      <c r="E1224" t="s">
        <v>2981</v>
      </c>
      <c r="F1224" t="s">
        <v>2342</v>
      </c>
      <c r="G1224" t="s">
        <v>2286</v>
      </c>
      <c r="H1224" t="s">
        <v>32</v>
      </c>
      <c r="I1224" t="s">
        <v>51</v>
      </c>
      <c r="J1224">
        <v>340</v>
      </c>
      <c r="K1224" t="s">
        <v>18</v>
      </c>
      <c r="L1224" s="2">
        <v>44845</v>
      </c>
      <c r="M1224" t="s">
        <v>152</v>
      </c>
      <c r="N1224" t="s">
        <v>484</v>
      </c>
      <c r="O1224">
        <v>45426</v>
      </c>
      <c r="P1224" t="s">
        <v>21</v>
      </c>
      <c r="Q1224" t="str">
        <f>TEXT(Data_Set_3[[#This Row],[date]],"mmmm")</f>
        <v>October</v>
      </c>
      <c r="R1224">
        <f>MONTH(Data_Set_3[[#This Row],[date]])</f>
        <v>10</v>
      </c>
      <c r="S1224">
        <f>YEAR(Data_Set_3[[#This Row],[date]])</f>
        <v>2022</v>
      </c>
    </row>
    <row r="1225" spans="1:19" x14ac:dyDescent="0.3">
      <c r="A1225">
        <v>1561</v>
      </c>
      <c r="B1225" t="s">
        <v>384</v>
      </c>
      <c r="C1225" t="s">
        <v>2884</v>
      </c>
      <c r="D1225" t="s">
        <v>3992</v>
      </c>
      <c r="E1225" t="s">
        <v>3993</v>
      </c>
      <c r="F1225" t="s">
        <v>1666</v>
      </c>
      <c r="G1225" t="s">
        <v>2452</v>
      </c>
      <c r="H1225" t="s">
        <v>16</v>
      </c>
      <c r="I1225" t="s">
        <v>151</v>
      </c>
      <c r="J1225">
        <v>78</v>
      </c>
      <c r="K1225" t="s">
        <v>73</v>
      </c>
      <c r="L1225" s="2">
        <v>44846</v>
      </c>
      <c r="M1225" t="s">
        <v>152</v>
      </c>
      <c r="N1225" t="s">
        <v>3180</v>
      </c>
      <c r="O1225">
        <v>45243</v>
      </c>
      <c r="P1225" t="s">
        <v>21</v>
      </c>
      <c r="Q1225" t="str">
        <f>TEXT(Data_Set_3[[#This Row],[date]],"mmmm")</f>
        <v>October</v>
      </c>
      <c r="R1225">
        <f>MONTH(Data_Set_3[[#This Row],[date]])</f>
        <v>10</v>
      </c>
      <c r="S1225">
        <f>YEAR(Data_Set_3[[#This Row],[date]])</f>
        <v>2022</v>
      </c>
    </row>
    <row r="1226" spans="1:19" x14ac:dyDescent="0.3">
      <c r="A1226">
        <v>1880</v>
      </c>
      <c r="B1226" t="s">
        <v>304</v>
      </c>
      <c r="C1226" t="s">
        <v>526</v>
      </c>
      <c r="D1226" t="s">
        <v>2831</v>
      </c>
      <c r="E1226" t="s">
        <v>2832</v>
      </c>
      <c r="F1226" t="s">
        <v>1376</v>
      </c>
      <c r="G1226" t="s">
        <v>2577</v>
      </c>
      <c r="H1226" t="s">
        <v>32</v>
      </c>
      <c r="I1226" t="s">
        <v>274</v>
      </c>
      <c r="J1226">
        <v>350</v>
      </c>
      <c r="K1226" t="s">
        <v>26</v>
      </c>
      <c r="L1226" s="2">
        <v>44846</v>
      </c>
      <c r="M1226" t="s">
        <v>246</v>
      </c>
      <c r="N1226" t="s">
        <v>339</v>
      </c>
      <c r="O1226">
        <v>60614</v>
      </c>
      <c r="P1226" t="s">
        <v>21</v>
      </c>
      <c r="Q1226" t="str">
        <f>TEXT(Data_Set_3[[#This Row],[date]],"mmmm")</f>
        <v>October</v>
      </c>
      <c r="R1226">
        <f>MONTH(Data_Set_3[[#This Row],[date]])</f>
        <v>10</v>
      </c>
      <c r="S1226">
        <f>YEAR(Data_Set_3[[#This Row],[date]])</f>
        <v>2022</v>
      </c>
    </row>
    <row r="1227" spans="1:19" x14ac:dyDescent="0.3">
      <c r="A1227">
        <v>1604</v>
      </c>
      <c r="B1227" t="s">
        <v>227</v>
      </c>
      <c r="C1227" t="s">
        <v>1069</v>
      </c>
      <c r="D1227" t="s">
        <v>3994</v>
      </c>
      <c r="E1227" t="s">
        <v>3995</v>
      </c>
      <c r="F1227" t="s">
        <v>1668</v>
      </c>
      <c r="G1227" t="s">
        <v>2508</v>
      </c>
      <c r="H1227" t="s">
        <v>16</v>
      </c>
      <c r="I1227" t="s">
        <v>2821</v>
      </c>
      <c r="J1227">
        <v>675</v>
      </c>
      <c r="K1227" t="s">
        <v>26</v>
      </c>
      <c r="L1227" s="2">
        <v>44847</v>
      </c>
      <c r="M1227" t="s">
        <v>68</v>
      </c>
      <c r="N1227" t="s">
        <v>234</v>
      </c>
      <c r="O1227">
        <v>77010</v>
      </c>
      <c r="P1227" t="s">
        <v>21</v>
      </c>
      <c r="Q1227" t="str">
        <f>TEXT(Data_Set_3[[#This Row],[date]],"mmmm")</f>
        <v>October</v>
      </c>
      <c r="R1227">
        <f>MONTH(Data_Set_3[[#This Row],[date]])</f>
        <v>10</v>
      </c>
      <c r="S1227">
        <f>YEAR(Data_Set_3[[#This Row],[date]])</f>
        <v>2022</v>
      </c>
    </row>
    <row r="1228" spans="1:19" x14ac:dyDescent="0.3">
      <c r="A1228">
        <v>1013</v>
      </c>
      <c r="B1228" t="s">
        <v>851</v>
      </c>
      <c r="C1228" t="s">
        <v>507</v>
      </c>
      <c r="D1228" t="s">
        <v>3996</v>
      </c>
      <c r="E1228" t="s">
        <v>3997</v>
      </c>
      <c r="F1228" t="s">
        <v>1890</v>
      </c>
      <c r="G1228" t="s">
        <v>1520</v>
      </c>
      <c r="H1228" t="s">
        <v>16</v>
      </c>
      <c r="I1228" t="s">
        <v>17</v>
      </c>
      <c r="J1228">
        <v>725</v>
      </c>
      <c r="K1228" t="s">
        <v>341</v>
      </c>
      <c r="L1228" s="2">
        <v>44848</v>
      </c>
      <c r="M1228" t="s">
        <v>74</v>
      </c>
      <c r="N1228" t="s">
        <v>75</v>
      </c>
      <c r="O1228">
        <v>30358</v>
      </c>
      <c r="P1228" t="s">
        <v>21</v>
      </c>
      <c r="Q1228" t="str">
        <f>TEXT(Data_Set_3[[#This Row],[date]],"mmmm")</f>
        <v>October</v>
      </c>
      <c r="R1228">
        <f>MONTH(Data_Set_3[[#This Row],[date]])</f>
        <v>10</v>
      </c>
      <c r="S1228">
        <f>YEAR(Data_Set_3[[#This Row],[date]])</f>
        <v>2022</v>
      </c>
    </row>
    <row r="1229" spans="1:19" x14ac:dyDescent="0.3">
      <c r="A1229">
        <v>1365</v>
      </c>
      <c r="B1229" t="s">
        <v>1183</v>
      </c>
      <c r="C1229" t="s">
        <v>813</v>
      </c>
      <c r="D1229" t="s">
        <v>2957</v>
      </c>
      <c r="E1229" t="s">
        <v>2958</v>
      </c>
      <c r="F1229" t="s">
        <v>1644</v>
      </c>
      <c r="G1229" t="s">
        <v>2061</v>
      </c>
      <c r="H1229" t="s">
        <v>16</v>
      </c>
      <c r="I1229" t="s">
        <v>51</v>
      </c>
      <c r="J1229">
        <v>459</v>
      </c>
      <c r="K1229" t="s">
        <v>62</v>
      </c>
      <c r="L1229" s="2">
        <v>44848</v>
      </c>
      <c r="M1229" t="s">
        <v>115</v>
      </c>
      <c r="N1229" t="s">
        <v>143</v>
      </c>
      <c r="O1229">
        <v>33261</v>
      </c>
      <c r="P1229" t="s">
        <v>21</v>
      </c>
      <c r="Q1229" t="str">
        <f>TEXT(Data_Set_3[[#This Row],[date]],"mmmm")</f>
        <v>October</v>
      </c>
      <c r="R1229">
        <f>MONTH(Data_Set_3[[#This Row],[date]])</f>
        <v>10</v>
      </c>
      <c r="S1229">
        <f>YEAR(Data_Set_3[[#This Row],[date]])</f>
        <v>2022</v>
      </c>
    </row>
    <row r="1230" spans="1:19" x14ac:dyDescent="0.3">
      <c r="A1230">
        <v>1022</v>
      </c>
      <c r="B1230" t="s">
        <v>769</v>
      </c>
      <c r="C1230" t="s">
        <v>825</v>
      </c>
      <c r="D1230" t="s">
        <v>3008</v>
      </c>
      <c r="E1230" t="s">
        <v>3009</v>
      </c>
      <c r="F1230" t="s">
        <v>1888</v>
      </c>
      <c r="G1230" t="s">
        <v>1794</v>
      </c>
      <c r="H1230" t="s">
        <v>16</v>
      </c>
      <c r="I1230" t="s">
        <v>17</v>
      </c>
      <c r="J1230">
        <v>983</v>
      </c>
      <c r="K1230" t="s">
        <v>26</v>
      </c>
      <c r="L1230" s="2">
        <v>44849</v>
      </c>
      <c r="M1230" t="s">
        <v>345</v>
      </c>
      <c r="N1230" t="s">
        <v>220</v>
      </c>
      <c r="O1230">
        <v>20430</v>
      </c>
      <c r="P1230" t="s">
        <v>21</v>
      </c>
      <c r="Q1230" t="str">
        <f>TEXT(Data_Set_3[[#This Row],[date]],"mmmm")</f>
        <v>October</v>
      </c>
      <c r="R1230">
        <f>MONTH(Data_Set_3[[#This Row],[date]])</f>
        <v>10</v>
      </c>
      <c r="S1230">
        <f>YEAR(Data_Set_3[[#This Row],[date]])</f>
        <v>2022</v>
      </c>
    </row>
    <row r="1231" spans="1:19" x14ac:dyDescent="0.3">
      <c r="A1231">
        <v>1019</v>
      </c>
      <c r="B1231" t="s">
        <v>460</v>
      </c>
      <c r="C1231" t="s">
        <v>446</v>
      </c>
      <c r="D1231" t="s">
        <v>3093</v>
      </c>
      <c r="E1231" t="s">
        <v>3094</v>
      </c>
      <c r="F1231" t="s">
        <v>1323</v>
      </c>
      <c r="G1231" t="s">
        <v>2495</v>
      </c>
      <c r="H1231" t="s">
        <v>32</v>
      </c>
      <c r="I1231" t="s">
        <v>17</v>
      </c>
      <c r="J1231">
        <v>714</v>
      </c>
      <c r="K1231" t="s">
        <v>62</v>
      </c>
      <c r="L1231" s="2">
        <v>44850</v>
      </c>
      <c r="M1231" t="s">
        <v>563</v>
      </c>
      <c r="N1231" t="s">
        <v>564</v>
      </c>
      <c r="O1231">
        <v>83705</v>
      </c>
      <c r="P1231" t="s">
        <v>21</v>
      </c>
      <c r="Q1231" t="str">
        <f>TEXT(Data_Set_3[[#This Row],[date]],"mmmm")</f>
        <v>October</v>
      </c>
      <c r="R1231">
        <f>MONTH(Data_Set_3[[#This Row],[date]])</f>
        <v>10</v>
      </c>
      <c r="S1231">
        <f>YEAR(Data_Set_3[[#This Row],[date]])</f>
        <v>2022</v>
      </c>
    </row>
    <row r="1232" spans="1:19" x14ac:dyDescent="0.3">
      <c r="A1232">
        <v>1298</v>
      </c>
      <c r="B1232" t="s">
        <v>595</v>
      </c>
      <c r="C1232" t="s">
        <v>293</v>
      </c>
      <c r="D1232" t="s">
        <v>2900</v>
      </c>
      <c r="E1232" t="s">
        <v>2901</v>
      </c>
      <c r="F1232" t="s">
        <v>1539</v>
      </c>
      <c r="G1232" t="s">
        <v>1952</v>
      </c>
      <c r="H1232" t="s">
        <v>32</v>
      </c>
      <c r="I1232" t="s">
        <v>543</v>
      </c>
      <c r="J1232">
        <v>58</v>
      </c>
      <c r="K1232" t="s">
        <v>73</v>
      </c>
      <c r="L1232" s="2">
        <v>44851</v>
      </c>
      <c r="M1232" t="s">
        <v>115</v>
      </c>
      <c r="N1232" t="s">
        <v>351</v>
      </c>
      <c r="O1232">
        <v>32891</v>
      </c>
      <c r="P1232" t="s">
        <v>21</v>
      </c>
      <c r="Q1232" t="str">
        <f>TEXT(Data_Set_3[[#This Row],[date]],"mmmm")</f>
        <v>October</v>
      </c>
      <c r="R1232">
        <f>MONTH(Data_Set_3[[#This Row],[date]])</f>
        <v>10</v>
      </c>
      <c r="S1232">
        <f>YEAR(Data_Set_3[[#This Row],[date]])</f>
        <v>2022</v>
      </c>
    </row>
    <row r="1233" spans="1:19" x14ac:dyDescent="0.3">
      <c r="A1233">
        <v>1095</v>
      </c>
      <c r="B1233" t="s">
        <v>395</v>
      </c>
      <c r="C1233" t="s">
        <v>876</v>
      </c>
      <c r="D1233" t="s">
        <v>2989</v>
      </c>
      <c r="E1233" t="s">
        <v>2990</v>
      </c>
      <c r="F1233" t="s">
        <v>1323</v>
      </c>
      <c r="G1233" t="s">
        <v>1453</v>
      </c>
      <c r="H1233" t="s">
        <v>32</v>
      </c>
      <c r="I1233" t="s">
        <v>51</v>
      </c>
      <c r="J1233">
        <v>968</v>
      </c>
      <c r="K1233" t="s">
        <v>34</v>
      </c>
      <c r="L1233" s="2">
        <v>44852</v>
      </c>
      <c r="M1233" t="s">
        <v>68</v>
      </c>
      <c r="N1233" t="s">
        <v>234</v>
      </c>
      <c r="O1233">
        <v>77040</v>
      </c>
      <c r="P1233" t="s">
        <v>21</v>
      </c>
      <c r="Q1233" t="str">
        <f>TEXT(Data_Set_3[[#This Row],[date]],"mmmm")</f>
        <v>October</v>
      </c>
      <c r="R1233">
        <f>MONTH(Data_Set_3[[#This Row],[date]])</f>
        <v>10</v>
      </c>
      <c r="S1233">
        <f>YEAR(Data_Set_3[[#This Row],[date]])</f>
        <v>2022</v>
      </c>
    </row>
    <row r="1234" spans="1:19" x14ac:dyDescent="0.3">
      <c r="A1234">
        <v>1676</v>
      </c>
      <c r="B1234" t="s">
        <v>239</v>
      </c>
      <c r="C1234" t="s">
        <v>23</v>
      </c>
      <c r="D1234" t="s">
        <v>3998</v>
      </c>
      <c r="E1234" t="s">
        <v>3999</v>
      </c>
      <c r="F1234" t="s">
        <v>2771</v>
      </c>
      <c r="G1234" t="s">
        <v>1786</v>
      </c>
      <c r="H1234" t="s">
        <v>32</v>
      </c>
      <c r="I1234" t="s">
        <v>17</v>
      </c>
      <c r="J1234">
        <v>893</v>
      </c>
      <c r="K1234" t="s">
        <v>57</v>
      </c>
      <c r="L1234" s="2">
        <v>44852</v>
      </c>
      <c r="M1234" t="s">
        <v>230</v>
      </c>
      <c r="N1234" t="s">
        <v>260</v>
      </c>
      <c r="O1234">
        <v>28242</v>
      </c>
      <c r="P1234" t="s">
        <v>21</v>
      </c>
      <c r="Q1234" t="str">
        <f>TEXT(Data_Set_3[[#This Row],[date]],"mmmm")</f>
        <v>October</v>
      </c>
      <c r="R1234">
        <f>MONTH(Data_Set_3[[#This Row],[date]])</f>
        <v>10</v>
      </c>
      <c r="S1234">
        <f>YEAR(Data_Set_3[[#This Row],[date]])</f>
        <v>2022</v>
      </c>
    </row>
    <row r="1235" spans="1:19" x14ac:dyDescent="0.3">
      <c r="A1235">
        <v>1116</v>
      </c>
      <c r="B1235" t="s">
        <v>135</v>
      </c>
      <c r="C1235" t="s">
        <v>2803</v>
      </c>
      <c r="D1235" t="s">
        <v>2804</v>
      </c>
      <c r="E1235" t="s">
        <v>2805</v>
      </c>
      <c r="F1235" t="s">
        <v>1770</v>
      </c>
      <c r="G1235" t="s">
        <v>2110</v>
      </c>
      <c r="H1235" t="s">
        <v>32</v>
      </c>
      <c r="I1235" t="s">
        <v>51</v>
      </c>
      <c r="J1235">
        <v>650</v>
      </c>
      <c r="K1235" t="s">
        <v>95</v>
      </c>
      <c r="L1235" s="2">
        <v>44856</v>
      </c>
      <c r="M1235" t="s">
        <v>74</v>
      </c>
      <c r="N1235" t="s">
        <v>400</v>
      </c>
      <c r="O1235">
        <v>30096</v>
      </c>
      <c r="P1235" t="s">
        <v>21</v>
      </c>
      <c r="Q1235" t="str">
        <f>TEXT(Data_Set_3[[#This Row],[date]],"mmmm")</f>
        <v>October</v>
      </c>
      <c r="R1235">
        <f>MONTH(Data_Set_3[[#This Row],[date]])</f>
        <v>10</v>
      </c>
      <c r="S1235">
        <f>YEAR(Data_Set_3[[#This Row],[date]])</f>
        <v>2022</v>
      </c>
    </row>
    <row r="1236" spans="1:19" x14ac:dyDescent="0.3">
      <c r="A1236">
        <v>1401</v>
      </c>
      <c r="B1236" t="s">
        <v>293</v>
      </c>
      <c r="C1236" t="s">
        <v>496</v>
      </c>
      <c r="D1236" t="s">
        <v>3852</v>
      </c>
      <c r="E1236" t="s">
        <v>3853</v>
      </c>
      <c r="F1236" t="s">
        <v>1702</v>
      </c>
      <c r="G1236" t="s">
        <v>2452</v>
      </c>
      <c r="H1236" t="s">
        <v>16</v>
      </c>
      <c r="I1236" t="s">
        <v>179</v>
      </c>
      <c r="J1236">
        <v>32</v>
      </c>
      <c r="K1236" t="s">
        <v>26</v>
      </c>
      <c r="L1236" s="2">
        <v>44858</v>
      </c>
      <c r="M1236" t="s">
        <v>204</v>
      </c>
      <c r="N1236" t="s">
        <v>649</v>
      </c>
      <c r="O1236">
        <v>22333</v>
      </c>
      <c r="P1236" t="s">
        <v>21</v>
      </c>
      <c r="Q1236" t="str">
        <f>TEXT(Data_Set_3[[#This Row],[date]],"mmmm")</f>
        <v>October</v>
      </c>
      <c r="R1236">
        <f>MONTH(Data_Set_3[[#This Row],[date]])</f>
        <v>10</v>
      </c>
      <c r="S1236">
        <f>YEAR(Data_Set_3[[#This Row],[date]])</f>
        <v>2022</v>
      </c>
    </row>
    <row r="1237" spans="1:19" x14ac:dyDescent="0.3">
      <c r="A1237">
        <v>1437</v>
      </c>
      <c r="B1237" t="s">
        <v>154</v>
      </c>
      <c r="C1237" t="s">
        <v>310</v>
      </c>
      <c r="D1237" t="s">
        <v>3039</v>
      </c>
      <c r="E1237" t="s">
        <v>3040</v>
      </c>
      <c r="F1237" t="s">
        <v>1602</v>
      </c>
      <c r="G1237" t="s">
        <v>2571</v>
      </c>
      <c r="H1237" t="s">
        <v>16</v>
      </c>
      <c r="I1237" t="s">
        <v>151</v>
      </c>
      <c r="J1237">
        <v>449</v>
      </c>
      <c r="K1237" t="s">
        <v>26</v>
      </c>
      <c r="L1237" s="2">
        <v>44859</v>
      </c>
      <c r="M1237" t="s">
        <v>489</v>
      </c>
      <c r="N1237" t="s">
        <v>667</v>
      </c>
      <c r="O1237">
        <v>89505</v>
      </c>
      <c r="P1237" t="s">
        <v>21</v>
      </c>
      <c r="Q1237" t="str">
        <f>TEXT(Data_Set_3[[#This Row],[date]],"mmmm")</f>
        <v>October</v>
      </c>
      <c r="R1237">
        <f>MONTH(Data_Set_3[[#This Row],[date]])</f>
        <v>10</v>
      </c>
      <c r="S1237">
        <f>YEAR(Data_Set_3[[#This Row],[date]])</f>
        <v>2022</v>
      </c>
    </row>
    <row r="1238" spans="1:19" x14ac:dyDescent="0.3">
      <c r="A1238">
        <v>1880</v>
      </c>
      <c r="B1238" t="s">
        <v>304</v>
      </c>
      <c r="C1238" t="s">
        <v>526</v>
      </c>
      <c r="D1238" t="s">
        <v>2831</v>
      </c>
      <c r="E1238" t="s">
        <v>2832</v>
      </c>
      <c r="F1238" t="s">
        <v>1376</v>
      </c>
      <c r="G1238" t="s">
        <v>2577</v>
      </c>
      <c r="H1238" t="s">
        <v>32</v>
      </c>
      <c r="I1238" t="s">
        <v>274</v>
      </c>
      <c r="J1238">
        <v>221</v>
      </c>
      <c r="K1238" t="s">
        <v>26</v>
      </c>
      <c r="L1238" s="2">
        <v>44865</v>
      </c>
      <c r="M1238" t="s">
        <v>246</v>
      </c>
      <c r="N1238" t="s">
        <v>339</v>
      </c>
      <c r="O1238">
        <v>60614</v>
      </c>
      <c r="P1238" t="s">
        <v>21</v>
      </c>
      <c r="Q1238" t="str">
        <f>TEXT(Data_Set_3[[#This Row],[date]],"mmmm")</f>
        <v>October</v>
      </c>
      <c r="R1238">
        <f>MONTH(Data_Set_3[[#This Row],[date]])</f>
        <v>10</v>
      </c>
      <c r="S1238">
        <f>YEAR(Data_Set_3[[#This Row],[date]])</f>
        <v>2022</v>
      </c>
    </row>
    <row r="1239" spans="1:19" x14ac:dyDescent="0.3">
      <c r="A1239">
        <v>1234</v>
      </c>
      <c r="B1239" t="s">
        <v>2806</v>
      </c>
      <c r="C1239" t="s">
        <v>752</v>
      </c>
      <c r="D1239" t="s">
        <v>2807</v>
      </c>
      <c r="E1239" t="s">
        <v>2808</v>
      </c>
      <c r="F1239" t="s">
        <v>1460</v>
      </c>
      <c r="G1239" t="s">
        <v>2125</v>
      </c>
      <c r="H1239" t="s">
        <v>16</v>
      </c>
      <c r="I1239" t="s">
        <v>33</v>
      </c>
      <c r="J1239">
        <v>550</v>
      </c>
      <c r="K1239" t="s">
        <v>62</v>
      </c>
      <c r="L1239" s="2">
        <v>44868</v>
      </c>
      <c r="M1239" t="s">
        <v>68</v>
      </c>
      <c r="N1239" t="s">
        <v>69</v>
      </c>
      <c r="O1239">
        <v>78710</v>
      </c>
      <c r="P1239" t="s">
        <v>21</v>
      </c>
      <c r="Q1239" t="str">
        <f>TEXT(Data_Set_3[[#This Row],[date]],"mmmm")</f>
        <v>November</v>
      </c>
      <c r="R1239">
        <f>MONTH(Data_Set_3[[#This Row],[date]])</f>
        <v>11</v>
      </c>
      <c r="S1239">
        <f>YEAR(Data_Set_3[[#This Row],[date]])</f>
        <v>2022</v>
      </c>
    </row>
    <row r="1240" spans="1:19" x14ac:dyDescent="0.3">
      <c r="A1240">
        <v>1170</v>
      </c>
      <c r="B1240" t="s">
        <v>22</v>
      </c>
      <c r="C1240" t="s">
        <v>883</v>
      </c>
      <c r="D1240" t="s">
        <v>2837</v>
      </c>
      <c r="E1240" t="s">
        <v>2838</v>
      </c>
      <c r="F1240" t="s">
        <v>2430</v>
      </c>
      <c r="G1240" t="s">
        <v>1333</v>
      </c>
      <c r="H1240" t="s">
        <v>16</v>
      </c>
      <c r="I1240" t="s">
        <v>33</v>
      </c>
      <c r="J1240">
        <v>38</v>
      </c>
      <c r="K1240" t="s">
        <v>164</v>
      </c>
      <c r="L1240" s="2">
        <v>44870</v>
      </c>
      <c r="M1240" t="s">
        <v>68</v>
      </c>
      <c r="N1240" t="s">
        <v>169</v>
      </c>
      <c r="O1240">
        <v>88574</v>
      </c>
      <c r="P1240" t="s">
        <v>21</v>
      </c>
      <c r="Q1240" t="str">
        <f>TEXT(Data_Set_3[[#This Row],[date]],"mmmm")</f>
        <v>November</v>
      </c>
      <c r="R1240">
        <f>MONTH(Data_Set_3[[#This Row],[date]])</f>
        <v>11</v>
      </c>
      <c r="S1240">
        <f>YEAR(Data_Set_3[[#This Row],[date]])</f>
        <v>2022</v>
      </c>
    </row>
    <row r="1241" spans="1:19" x14ac:dyDescent="0.3">
      <c r="A1241">
        <v>1532</v>
      </c>
      <c r="B1241" t="s">
        <v>144</v>
      </c>
      <c r="C1241" t="s">
        <v>182</v>
      </c>
      <c r="D1241" t="s">
        <v>4000</v>
      </c>
      <c r="E1241" t="s">
        <v>4001</v>
      </c>
      <c r="F1241" t="s">
        <v>1763</v>
      </c>
      <c r="G1241" t="s">
        <v>2546</v>
      </c>
      <c r="H1241" t="s">
        <v>32</v>
      </c>
      <c r="I1241" t="s">
        <v>17</v>
      </c>
      <c r="J1241">
        <v>888</v>
      </c>
      <c r="K1241" t="s">
        <v>164</v>
      </c>
      <c r="L1241" s="2">
        <v>44870</v>
      </c>
      <c r="M1241" t="s">
        <v>68</v>
      </c>
      <c r="N1241" t="s">
        <v>518</v>
      </c>
      <c r="O1241">
        <v>78225</v>
      </c>
      <c r="P1241" t="s">
        <v>21</v>
      </c>
      <c r="Q1241" t="str">
        <f>TEXT(Data_Set_3[[#This Row],[date]],"mmmm")</f>
        <v>November</v>
      </c>
      <c r="R1241">
        <f>MONTH(Data_Set_3[[#This Row],[date]])</f>
        <v>11</v>
      </c>
      <c r="S1241">
        <f>YEAR(Data_Set_3[[#This Row],[date]])</f>
        <v>2022</v>
      </c>
    </row>
    <row r="1242" spans="1:19" x14ac:dyDescent="0.3">
      <c r="A1242">
        <v>1084</v>
      </c>
      <c r="B1242" t="s">
        <v>809</v>
      </c>
      <c r="C1242" t="s">
        <v>1006</v>
      </c>
      <c r="D1242" t="s">
        <v>2844</v>
      </c>
      <c r="E1242" t="s">
        <v>2845</v>
      </c>
      <c r="F1242" t="s">
        <v>2124</v>
      </c>
      <c r="G1242" t="s">
        <v>1952</v>
      </c>
      <c r="H1242" t="s">
        <v>16</v>
      </c>
      <c r="I1242" t="s">
        <v>51</v>
      </c>
      <c r="J1242">
        <v>326</v>
      </c>
      <c r="K1242" t="s">
        <v>26</v>
      </c>
      <c r="L1242" s="2">
        <v>44871</v>
      </c>
      <c r="M1242" t="s">
        <v>19</v>
      </c>
      <c r="N1242" t="s">
        <v>2846</v>
      </c>
      <c r="O1242">
        <v>2453</v>
      </c>
      <c r="P1242" t="s">
        <v>21</v>
      </c>
      <c r="Q1242" t="str">
        <f>TEXT(Data_Set_3[[#This Row],[date]],"mmmm")</f>
        <v>November</v>
      </c>
      <c r="R1242">
        <f>MONTH(Data_Set_3[[#This Row],[date]])</f>
        <v>11</v>
      </c>
      <c r="S1242">
        <f>YEAR(Data_Set_3[[#This Row],[date]])</f>
        <v>2022</v>
      </c>
    </row>
    <row r="1243" spans="1:19" x14ac:dyDescent="0.3">
      <c r="A1243">
        <v>1734</v>
      </c>
      <c r="B1243" t="s">
        <v>3403</v>
      </c>
      <c r="C1243" t="s">
        <v>281</v>
      </c>
      <c r="D1243" t="s">
        <v>4002</v>
      </c>
      <c r="E1243" t="s">
        <v>4003</v>
      </c>
      <c r="F1243" t="s">
        <v>1568</v>
      </c>
      <c r="G1243" t="s">
        <v>2170</v>
      </c>
      <c r="H1243" t="s">
        <v>16</v>
      </c>
      <c r="I1243" t="s">
        <v>33</v>
      </c>
      <c r="J1243">
        <v>149</v>
      </c>
      <c r="K1243" t="s">
        <v>341</v>
      </c>
      <c r="L1243" s="2">
        <v>44871</v>
      </c>
      <c r="M1243" t="s">
        <v>152</v>
      </c>
      <c r="N1243" t="s">
        <v>626</v>
      </c>
      <c r="O1243">
        <v>43666</v>
      </c>
      <c r="P1243" t="s">
        <v>21</v>
      </c>
      <c r="Q1243" t="str">
        <f>TEXT(Data_Set_3[[#This Row],[date]],"mmmm")</f>
        <v>November</v>
      </c>
      <c r="R1243">
        <f>MONTH(Data_Set_3[[#This Row],[date]])</f>
        <v>11</v>
      </c>
      <c r="S1243">
        <f>YEAR(Data_Set_3[[#This Row],[date]])</f>
        <v>2022</v>
      </c>
    </row>
    <row r="1244" spans="1:19" x14ac:dyDescent="0.3">
      <c r="A1244">
        <v>1582</v>
      </c>
      <c r="B1244" t="s">
        <v>439</v>
      </c>
      <c r="C1244" t="s">
        <v>849</v>
      </c>
      <c r="D1244" t="s">
        <v>4004</v>
      </c>
      <c r="E1244" t="s">
        <v>4005</v>
      </c>
      <c r="F1244" t="s">
        <v>3225</v>
      </c>
      <c r="G1244" t="s">
        <v>1834</v>
      </c>
      <c r="H1244" t="s">
        <v>32</v>
      </c>
      <c r="I1244" t="s">
        <v>361</v>
      </c>
      <c r="J1244">
        <v>227</v>
      </c>
      <c r="K1244" t="s">
        <v>34</v>
      </c>
      <c r="L1244" s="2">
        <v>44874</v>
      </c>
      <c r="M1244" t="s">
        <v>41</v>
      </c>
      <c r="N1244" t="s">
        <v>42</v>
      </c>
      <c r="O1244">
        <v>40205</v>
      </c>
      <c r="P1244" t="s">
        <v>21</v>
      </c>
      <c r="Q1244" t="str">
        <f>TEXT(Data_Set_3[[#This Row],[date]],"mmmm")</f>
        <v>November</v>
      </c>
      <c r="R1244">
        <f>MONTH(Data_Set_3[[#This Row],[date]])</f>
        <v>11</v>
      </c>
      <c r="S1244">
        <f>YEAR(Data_Set_3[[#This Row],[date]])</f>
        <v>2022</v>
      </c>
    </row>
    <row r="1245" spans="1:19" x14ac:dyDescent="0.3">
      <c r="A1245">
        <v>1995</v>
      </c>
      <c r="B1245" t="s">
        <v>445</v>
      </c>
      <c r="C1245" t="s">
        <v>505</v>
      </c>
      <c r="D1245" t="s">
        <v>2995</v>
      </c>
      <c r="E1245" t="s">
        <v>2996</v>
      </c>
      <c r="F1245" t="s">
        <v>1595</v>
      </c>
      <c r="G1245" t="s">
        <v>1388</v>
      </c>
      <c r="H1245" t="s">
        <v>32</v>
      </c>
      <c r="I1245" t="s">
        <v>33</v>
      </c>
      <c r="J1245">
        <v>329</v>
      </c>
      <c r="K1245" t="s">
        <v>34</v>
      </c>
      <c r="L1245" s="2">
        <v>44874</v>
      </c>
      <c r="M1245" t="s">
        <v>393</v>
      </c>
      <c r="N1245" t="s">
        <v>394</v>
      </c>
      <c r="O1245">
        <v>37939</v>
      </c>
      <c r="P1245" t="s">
        <v>21</v>
      </c>
      <c r="Q1245" t="str">
        <f>TEXT(Data_Set_3[[#This Row],[date]],"mmmm")</f>
        <v>November</v>
      </c>
      <c r="R1245">
        <f>MONTH(Data_Set_3[[#This Row],[date]])</f>
        <v>11</v>
      </c>
      <c r="S1245">
        <f>YEAR(Data_Set_3[[#This Row],[date]])</f>
        <v>2022</v>
      </c>
    </row>
    <row r="1246" spans="1:19" x14ac:dyDescent="0.3">
      <c r="A1246">
        <v>1123</v>
      </c>
      <c r="B1246" t="s">
        <v>1130</v>
      </c>
      <c r="C1246" t="s">
        <v>423</v>
      </c>
      <c r="D1246" t="s">
        <v>3031</v>
      </c>
      <c r="E1246" t="s">
        <v>3032</v>
      </c>
      <c r="F1246" t="s">
        <v>1450</v>
      </c>
      <c r="G1246" t="s">
        <v>1985</v>
      </c>
      <c r="H1246" t="s">
        <v>16</v>
      </c>
      <c r="I1246" t="s">
        <v>51</v>
      </c>
      <c r="J1246">
        <v>651</v>
      </c>
      <c r="K1246" t="s">
        <v>164</v>
      </c>
      <c r="L1246" s="2">
        <v>44878</v>
      </c>
      <c r="M1246" t="s">
        <v>115</v>
      </c>
      <c r="N1246" t="s">
        <v>864</v>
      </c>
      <c r="O1246">
        <v>33673</v>
      </c>
      <c r="P1246" t="s">
        <v>21</v>
      </c>
      <c r="Q1246" t="str">
        <f>TEXT(Data_Set_3[[#This Row],[date]],"mmmm")</f>
        <v>November</v>
      </c>
      <c r="R1246">
        <f>MONTH(Data_Set_3[[#This Row],[date]])</f>
        <v>11</v>
      </c>
      <c r="S1246">
        <f>YEAR(Data_Set_3[[#This Row],[date]])</f>
        <v>2022</v>
      </c>
    </row>
    <row r="1247" spans="1:19" x14ac:dyDescent="0.3">
      <c r="A1247">
        <v>1020</v>
      </c>
      <c r="B1247" t="s">
        <v>122</v>
      </c>
      <c r="C1247" t="s">
        <v>954</v>
      </c>
      <c r="D1247" t="s">
        <v>2888</v>
      </c>
      <c r="E1247" t="s">
        <v>2889</v>
      </c>
      <c r="F1247" t="s">
        <v>1998</v>
      </c>
      <c r="G1247" t="s">
        <v>1926</v>
      </c>
      <c r="H1247" t="s">
        <v>32</v>
      </c>
      <c r="I1247" t="s">
        <v>17</v>
      </c>
      <c r="J1247">
        <v>50</v>
      </c>
      <c r="K1247" t="s">
        <v>26</v>
      </c>
      <c r="L1247" s="2">
        <v>44879</v>
      </c>
      <c r="M1247" t="s">
        <v>35</v>
      </c>
      <c r="N1247" t="s">
        <v>620</v>
      </c>
      <c r="O1247">
        <v>94105</v>
      </c>
      <c r="P1247" t="s">
        <v>21</v>
      </c>
      <c r="Q1247" t="str">
        <f>TEXT(Data_Set_3[[#This Row],[date]],"mmmm")</f>
        <v>November</v>
      </c>
      <c r="R1247">
        <f>MONTH(Data_Set_3[[#This Row],[date]])</f>
        <v>11</v>
      </c>
      <c r="S1247">
        <f>YEAR(Data_Set_3[[#This Row],[date]])</f>
        <v>2022</v>
      </c>
    </row>
    <row r="1248" spans="1:19" x14ac:dyDescent="0.3">
      <c r="A1248">
        <v>1411</v>
      </c>
      <c r="B1248" t="s">
        <v>182</v>
      </c>
      <c r="C1248" t="s">
        <v>3712</v>
      </c>
      <c r="D1248" t="s">
        <v>3713</v>
      </c>
      <c r="E1248" t="s">
        <v>3714</v>
      </c>
      <c r="F1248" t="s">
        <v>2289</v>
      </c>
      <c r="G1248" t="s">
        <v>2432</v>
      </c>
      <c r="H1248" t="s">
        <v>16</v>
      </c>
      <c r="I1248" t="s">
        <v>51</v>
      </c>
      <c r="J1248">
        <v>298</v>
      </c>
      <c r="K1248" t="s">
        <v>18</v>
      </c>
      <c r="L1248" s="2">
        <v>44880</v>
      </c>
      <c r="M1248" t="s">
        <v>345</v>
      </c>
      <c r="N1248" t="s">
        <v>220</v>
      </c>
      <c r="O1248">
        <v>20067</v>
      </c>
      <c r="P1248" t="s">
        <v>21</v>
      </c>
      <c r="Q1248" t="str">
        <f>TEXT(Data_Set_3[[#This Row],[date]],"mmmm")</f>
        <v>November</v>
      </c>
      <c r="R1248">
        <f>MONTH(Data_Set_3[[#This Row],[date]])</f>
        <v>11</v>
      </c>
      <c r="S1248">
        <f>YEAR(Data_Set_3[[#This Row],[date]])</f>
        <v>2022</v>
      </c>
    </row>
    <row r="1249" spans="1:19" x14ac:dyDescent="0.3">
      <c r="A1249">
        <v>1514</v>
      </c>
      <c r="B1249" t="s">
        <v>112</v>
      </c>
      <c r="C1249" t="s">
        <v>220</v>
      </c>
      <c r="D1249" t="s">
        <v>3376</v>
      </c>
      <c r="E1249" t="s">
        <v>3377</v>
      </c>
      <c r="F1249" t="s">
        <v>1367</v>
      </c>
      <c r="G1249" t="s">
        <v>1502</v>
      </c>
      <c r="H1249" t="s">
        <v>32</v>
      </c>
      <c r="I1249" t="s">
        <v>2813</v>
      </c>
      <c r="J1249">
        <v>122</v>
      </c>
      <c r="K1249" t="s">
        <v>40</v>
      </c>
      <c r="L1249" s="2">
        <v>44881</v>
      </c>
      <c r="M1249" t="s">
        <v>35</v>
      </c>
      <c r="N1249" t="s">
        <v>355</v>
      </c>
      <c r="O1249">
        <v>94913</v>
      </c>
      <c r="P1249" t="s">
        <v>21</v>
      </c>
      <c r="Q1249" t="str">
        <f>TEXT(Data_Set_3[[#This Row],[date]],"mmmm")</f>
        <v>November</v>
      </c>
      <c r="R1249">
        <f>MONTH(Data_Set_3[[#This Row],[date]])</f>
        <v>11</v>
      </c>
      <c r="S1249">
        <f>YEAR(Data_Set_3[[#This Row],[date]])</f>
        <v>2022</v>
      </c>
    </row>
    <row r="1250" spans="1:19" x14ac:dyDescent="0.3">
      <c r="A1250">
        <v>1084</v>
      </c>
      <c r="B1250" t="s">
        <v>809</v>
      </c>
      <c r="C1250" t="s">
        <v>1006</v>
      </c>
      <c r="D1250" t="s">
        <v>2844</v>
      </c>
      <c r="E1250" t="s">
        <v>2845</v>
      </c>
      <c r="F1250" t="s">
        <v>2124</v>
      </c>
      <c r="G1250" t="s">
        <v>1952</v>
      </c>
      <c r="H1250" t="s">
        <v>16</v>
      </c>
      <c r="I1250" t="s">
        <v>51</v>
      </c>
      <c r="J1250">
        <v>685</v>
      </c>
      <c r="K1250" t="s">
        <v>26</v>
      </c>
      <c r="L1250" s="2">
        <v>44882</v>
      </c>
      <c r="M1250" t="s">
        <v>19</v>
      </c>
      <c r="N1250" t="s">
        <v>2846</v>
      </c>
      <c r="O1250">
        <v>2453</v>
      </c>
      <c r="P1250" t="s">
        <v>21</v>
      </c>
      <c r="Q1250" t="str">
        <f>TEXT(Data_Set_3[[#This Row],[date]],"mmmm")</f>
        <v>November</v>
      </c>
      <c r="R1250">
        <f>MONTH(Data_Set_3[[#This Row],[date]])</f>
        <v>11</v>
      </c>
      <c r="S1250">
        <f>YEAR(Data_Set_3[[#This Row],[date]])</f>
        <v>2022</v>
      </c>
    </row>
    <row r="1251" spans="1:19" x14ac:dyDescent="0.3">
      <c r="A1251">
        <v>1962</v>
      </c>
      <c r="B1251" t="s">
        <v>386</v>
      </c>
      <c r="C1251" t="s">
        <v>825</v>
      </c>
      <c r="D1251" t="s">
        <v>4006</v>
      </c>
      <c r="E1251" t="s">
        <v>4007</v>
      </c>
      <c r="F1251" t="s">
        <v>2514</v>
      </c>
      <c r="G1251" t="s">
        <v>1913</v>
      </c>
      <c r="H1251" t="s">
        <v>16</v>
      </c>
      <c r="I1251" t="s">
        <v>151</v>
      </c>
      <c r="J1251">
        <v>541</v>
      </c>
      <c r="K1251" t="s">
        <v>225</v>
      </c>
      <c r="L1251" s="2">
        <v>44883</v>
      </c>
      <c r="M1251" t="s">
        <v>393</v>
      </c>
      <c r="N1251" t="s">
        <v>394</v>
      </c>
      <c r="O1251">
        <v>37931</v>
      </c>
      <c r="P1251" t="s">
        <v>21</v>
      </c>
      <c r="Q1251" t="str">
        <f>TEXT(Data_Set_3[[#This Row],[date]],"mmmm")</f>
        <v>November</v>
      </c>
      <c r="R1251">
        <f>MONTH(Data_Set_3[[#This Row],[date]])</f>
        <v>11</v>
      </c>
      <c r="S1251">
        <f>YEAR(Data_Set_3[[#This Row],[date]])</f>
        <v>2022</v>
      </c>
    </row>
    <row r="1252" spans="1:19" x14ac:dyDescent="0.3">
      <c r="A1252">
        <v>1880</v>
      </c>
      <c r="B1252" t="s">
        <v>304</v>
      </c>
      <c r="C1252" t="s">
        <v>526</v>
      </c>
      <c r="D1252" t="s">
        <v>2831</v>
      </c>
      <c r="E1252" t="s">
        <v>2832</v>
      </c>
      <c r="F1252" t="s">
        <v>1376</v>
      </c>
      <c r="G1252" t="s">
        <v>2577</v>
      </c>
      <c r="H1252" t="s">
        <v>32</v>
      </c>
      <c r="I1252" t="s">
        <v>274</v>
      </c>
      <c r="J1252">
        <v>713</v>
      </c>
      <c r="K1252" t="s">
        <v>26</v>
      </c>
      <c r="L1252" s="2">
        <v>44884</v>
      </c>
      <c r="M1252" t="s">
        <v>246</v>
      </c>
      <c r="N1252" t="s">
        <v>339</v>
      </c>
      <c r="O1252">
        <v>60614</v>
      </c>
      <c r="P1252" t="s">
        <v>21</v>
      </c>
      <c r="Q1252" t="str">
        <f>TEXT(Data_Set_3[[#This Row],[date]],"mmmm")</f>
        <v>November</v>
      </c>
      <c r="R1252">
        <f>MONTH(Data_Set_3[[#This Row],[date]])</f>
        <v>11</v>
      </c>
      <c r="S1252">
        <f>YEAR(Data_Set_3[[#This Row],[date]])</f>
        <v>2022</v>
      </c>
    </row>
    <row r="1253" spans="1:19" x14ac:dyDescent="0.3">
      <c r="A1253">
        <v>2000</v>
      </c>
      <c r="B1253" t="s">
        <v>547</v>
      </c>
      <c r="C1253" t="s">
        <v>69</v>
      </c>
      <c r="D1253" t="s">
        <v>3059</v>
      </c>
      <c r="E1253" t="s">
        <v>3060</v>
      </c>
      <c r="F1253" t="s">
        <v>1306</v>
      </c>
      <c r="G1253" t="s">
        <v>1502</v>
      </c>
      <c r="H1253" t="s">
        <v>32</v>
      </c>
      <c r="I1253" t="s">
        <v>179</v>
      </c>
      <c r="J1253">
        <v>658</v>
      </c>
      <c r="K1253" t="s">
        <v>62</v>
      </c>
      <c r="L1253" s="2">
        <v>44884</v>
      </c>
      <c r="M1253" t="s">
        <v>35</v>
      </c>
      <c r="N1253" t="s">
        <v>599</v>
      </c>
      <c r="O1253">
        <v>94230</v>
      </c>
      <c r="P1253" t="s">
        <v>21</v>
      </c>
      <c r="Q1253" t="str">
        <f>TEXT(Data_Set_3[[#This Row],[date]],"mmmm")</f>
        <v>November</v>
      </c>
      <c r="R1253">
        <f>MONTH(Data_Set_3[[#This Row],[date]])</f>
        <v>11</v>
      </c>
      <c r="S1253">
        <f>YEAR(Data_Set_3[[#This Row],[date]])</f>
        <v>2022</v>
      </c>
    </row>
    <row r="1254" spans="1:19" x14ac:dyDescent="0.3">
      <c r="A1254">
        <v>1690</v>
      </c>
      <c r="B1254" t="s">
        <v>384</v>
      </c>
      <c r="C1254" t="s">
        <v>195</v>
      </c>
      <c r="D1254" t="s">
        <v>4008</v>
      </c>
      <c r="E1254" t="s">
        <v>4009</v>
      </c>
      <c r="F1254" t="s">
        <v>3202</v>
      </c>
      <c r="G1254" t="s">
        <v>2326</v>
      </c>
      <c r="H1254" t="s">
        <v>16</v>
      </c>
      <c r="I1254" t="s">
        <v>17</v>
      </c>
      <c r="J1254">
        <v>884</v>
      </c>
      <c r="K1254" t="s">
        <v>416</v>
      </c>
      <c r="L1254" s="2">
        <v>44885</v>
      </c>
      <c r="M1254" t="s">
        <v>35</v>
      </c>
      <c r="N1254" t="s">
        <v>599</v>
      </c>
      <c r="O1254">
        <v>94245</v>
      </c>
      <c r="P1254" t="s">
        <v>21</v>
      </c>
      <c r="Q1254" t="str">
        <f>TEXT(Data_Set_3[[#This Row],[date]],"mmmm")</f>
        <v>November</v>
      </c>
      <c r="R1254">
        <f>MONTH(Data_Set_3[[#This Row],[date]])</f>
        <v>11</v>
      </c>
      <c r="S1254">
        <f>YEAR(Data_Set_3[[#This Row],[date]])</f>
        <v>2022</v>
      </c>
    </row>
    <row r="1255" spans="1:19" x14ac:dyDescent="0.3">
      <c r="A1255">
        <v>1017</v>
      </c>
      <c r="B1255" t="s">
        <v>803</v>
      </c>
      <c r="C1255" t="s">
        <v>3048</v>
      </c>
      <c r="D1255" t="s">
        <v>3049</v>
      </c>
      <c r="E1255" t="s">
        <v>3050</v>
      </c>
      <c r="F1255" t="s">
        <v>1306</v>
      </c>
      <c r="G1255" t="s">
        <v>1845</v>
      </c>
      <c r="H1255" t="s">
        <v>32</v>
      </c>
      <c r="I1255" t="s">
        <v>17</v>
      </c>
      <c r="J1255">
        <v>820</v>
      </c>
      <c r="K1255" t="s">
        <v>26</v>
      </c>
      <c r="L1255" s="2">
        <v>44891</v>
      </c>
      <c r="M1255" t="s">
        <v>246</v>
      </c>
      <c r="N1255" t="s">
        <v>339</v>
      </c>
      <c r="O1255">
        <v>60663</v>
      </c>
      <c r="P1255" t="s">
        <v>21</v>
      </c>
      <c r="Q1255" t="str">
        <f>TEXT(Data_Set_3[[#This Row],[date]],"mmmm")</f>
        <v>November</v>
      </c>
      <c r="R1255">
        <f>MONTH(Data_Set_3[[#This Row],[date]])</f>
        <v>11</v>
      </c>
      <c r="S1255">
        <f>YEAR(Data_Set_3[[#This Row],[date]])</f>
        <v>2022</v>
      </c>
    </row>
    <row r="1256" spans="1:19" x14ac:dyDescent="0.3">
      <c r="A1256">
        <v>1212</v>
      </c>
      <c r="B1256" t="s">
        <v>547</v>
      </c>
      <c r="C1256" t="s">
        <v>337</v>
      </c>
      <c r="D1256" t="s">
        <v>2828</v>
      </c>
      <c r="E1256" t="s">
        <v>2829</v>
      </c>
      <c r="F1256" t="s">
        <v>1608</v>
      </c>
      <c r="G1256" t="s">
        <v>2830</v>
      </c>
      <c r="H1256" t="s">
        <v>32</v>
      </c>
      <c r="I1256" t="s">
        <v>33</v>
      </c>
      <c r="J1256">
        <v>790</v>
      </c>
      <c r="K1256" t="s">
        <v>34</v>
      </c>
      <c r="L1256" s="2">
        <v>44892</v>
      </c>
      <c r="M1256" t="s">
        <v>46</v>
      </c>
      <c r="N1256" t="s">
        <v>47</v>
      </c>
      <c r="O1256">
        <v>6183</v>
      </c>
      <c r="P1256" t="s">
        <v>21</v>
      </c>
      <c r="Q1256" t="str">
        <f>TEXT(Data_Set_3[[#This Row],[date]],"mmmm")</f>
        <v>November</v>
      </c>
      <c r="R1256">
        <f>MONTH(Data_Set_3[[#This Row],[date]])</f>
        <v>11</v>
      </c>
      <c r="S1256">
        <f>YEAR(Data_Set_3[[#This Row],[date]])</f>
        <v>2022</v>
      </c>
    </row>
    <row r="1257" spans="1:19" x14ac:dyDescent="0.3">
      <c r="A1257">
        <v>1985</v>
      </c>
      <c r="B1257" t="s">
        <v>595</v>
      </c>
      <c r="C1257" t="s">
        <v>840</v>
      </c>
      <c r="D1257" t="s">
        <v>3532</v>
      </c>
      <c r="E1257" t="s">
        <v>3533</v>
      </c>
      <c r="F1257" t="s">
        <v>1770</v>
      </c>
      <c r="G1257" t="s">
        <v>2142</v>
      </c>
      <c r="H1257" t="s">
        <v>32</v>
      </c>
      <c r="I1257" t="s">
        <v>33</v>
      </c>
      <c r="J1257">
        <v>648</v>
      </c>
      <c r="K1257" t="s">
        <v>18</v>
      </c>
      <c r="L1257" s="2">
        <v>44892</v>
      </c>
      <c r="M1257" t="s">
        <v>246</v>
      </c>
      <c r="N1257" t="s">
        <v>339</v>
      </c>
      <c r="O1257">
        <v>60646</v>
      </c>
      <c r="P1257" t="s">
        <v>21</v>
      </c>
      <c r="Q1257" t="str">
        <f>TEXT(Data_Set_3[[#This Row],[date]],"mmmm")</f>
        <v>November</v>
      </c>
      <c r="R1257">
        <f>MONTH(Data_Set_3[[#This Row],[date]])</f>
        <v>11</v>
      </c>
      <c r="S1257">
        <f>YEAR(Data_Set_3[[#This Row],[date]])</f>
        <v>2022</v>
      </c>
    </row>
    <row r="1258" spans="1:19" x14ac:dyDescent="0.3">
      <c r="A1258">
        <v>2000</v>
      </c>
      <c r="B1258" t="s">
        <v>547</v>
      </c>
      <c r="C1258" t="s">
        <v>69</v>
      </c>
      <c r="D1258" t="s">
        <v>3059</v>
      </c>
      <c r="E1258" t="s">
        <v>3060</v>
      </c>
      <c r="F1258" t="s">
        <v>1306</v>
      </c>
      <c r="G1258" t="s">
        <v>1502</v>
      </c>
      <c r="H1258" t="s">
        <v>32</v>
      </c>
      <c r="I1258" t="s">
        <v>179</v>
      </c>
      <c r="J1258">
        <v>689</v>
      </c>
      <c r="K1258" t="s">
        <v>62</v>
      </c>
      <c r="L1258" s="2">
        <v>44892</v>
      </c>
      <c r="M1258" t="s">
        <v>35</v>
      </c>
      <c r="N1258" t="s">
        <v>599</v>
      </c>
      <c r="O1258">
        <v>94230</v>
      </c>
      <c r="P1258" t="s">
        <v>21</v>
      </c>
      <c r="Q1258" t="str">
        <f>TEXT(Data_Set_3[[#This Row],[date]],"mmmm")</f>
        <v>November</v>
      </c>
      <c r="R1258">
        <f>MONTH(Data_Set_3[[#This Row],[date]])</f>
        <v>11</v>
      </c>
      <c r="S1258">
        <f>YEAR(Data_Set_3[[#This Row],[date]])</f>
        <v>2022</v>
      </c>
    </row>
    <row r="1259" spans="1:19" x14ac:dyDescent="0.3">
      <c r="A1259">
        <v>1116</v>
      </c>
      <c r="B1259" t="s">
        <v>135</v>
      </c>
      <c r="C1259" t="s">
        <v>2803</v>
      </c>
      <c r="D1259" t="s">
        <v>2804</v>
      </c>
      <c r="E1259" t="s">
        <v>2805</v>
      </c>
      <c r="F1259" t="s">
        <v>1770</v>
      </c>
      <c r="G1259" t="s">
        <v>2110</v>
      </c>
      <c r="H1259" t="s">
        <v>32</v>
      </c>
      <c r="I1259" t="s">
        <v>51</v>
      </c>
      <c r="J1259">
        <v>566</v>
      </c>
      <c r="K1259" t="s">
        <v>95</v>
      </c>
      <c r="L1259" s="2">
        <v>44896</v>
      </c>
      <c r="M1259" t="s">
        <v>74</v>
      </c>
      <c r="N1259" t="s">
        <v>400</v>
      </c>
      <c r="O1259">
        <v>30096</v>
      </c>
      <c r="P1259" t="s">
        <v>21</v>
      </c>
      <c r="Q1259" t="str">
        <f>TEXT(Data_Set_3[[#This Row],[date]],"mmmm")</f>
        <v>December</v>
      </c>
      <c r="R1259">
        <f>MONTH(Data_Set_3[[#This Row],[date]])</f>
        <v>12</v>
      </c>
      <c r="S1259">
        <f>YEAR(Data_Set_3[[#This Row],[date]])</f>
        <v>2022</v>
      </c>
    </row>
    <row r="1260" spans="1:19" x14ac:dyDescent="0.3">
      <c r="A1260">
        <v>1986</v>
      </c>
      <c r="B1260" t="s">
        <v>409</v>
      </c>
      <c r="C1260" t="s">
        <v>511</v>
      </c>
      <c r="D1260" t="s">
        <v>3431</v>
      </c>
      <c r="E1260" t="s">
        <v>3432</v>
      </c>
      <c r="F1260" t="s">
        <v>1279</v>
      </c>
      <c r="G1260" t="s">
        <v>2396</v>
      </c>
      <c r="H1260" t="s">
        <v>16</v>
      </c>
      <c r="I1260" t="s">
        <v>33</v>
      </c>
      <c r="J1260">
        <v>134</v>
      </c>
      <c r="K1260" t="s">
        <v>225</v>
      </c>
      <c r="L1260" s="2">
        <v>44896</v>
      </c>
      <c r="M1260" t="s">
        <v>68</v>
      </c>
      <c r="N1260" t="s">
        <v>234</v>
      </c>
      <c r="O1260">
        <v>77010</v>
      </c>
      <c r="P1260" t="s">
        <v>21</v>
      </c>
      <c r="Q1260" t="str">
        <f>TEXT(Data_Set_3[[#This Row],[date]],"mmmm")</f>
        <v>December</v>
      </c>
      <c r="R1260">
        <f>MONTH(Data_Set_3[[#This Row],[date]])</f>
        <v>12</v>
      </c>
      <c r="S1260">
        <f>YEAR(Data_Set_3[[#This Row],[date]])</f>
        <v>2022</v>
      </c>
    </row>
    <row r="1261" spans="1:19" x14ac:dyDescent="0.3">
      <c r="A1261">
        <v>1043</v>
      </c>
      <c r="B1261" t="s">
        <v>661</v>
      </c>
      <c r="C1261" t="s">
        <v>883</v>
      </c>
      <c r="D1261" t="s">
        <v>2987</v>
      </c>
      <c r="E1261" t="s">
        <v>2988</v>
      </c>
      <c r="F1261" t="s">
        <v>1353</v>
      </c>
      <c r="G1261" t="s">
        <v>2546</v>
      </c>
      <c r="H1261" t="s">
        <v>16</v>
      </c>
      <c r="I1261" t="s">
        <v>17</v>
      </c>
      <c r="J1261">
        <v>484</v>
      </c>
      <c r="K1261" t="s">
        <v>164</v>
      </c>
      <c r="L1261" s="2">
        <v>44897</v>
      </c>
      <c r="M1261" t="s">
        <v>489</v>
      </c>
      <c r="N1261" t="s">
        <v>490</v>
      </c>
      <c r="O1261">
        <v>89140</v>
      </c>
      <c r="P1261" t="s">
        <v>21</v>
      </c>
      <c r="Q1261" t="str">
        <f>TEXT(Data_Set_3[[#This Row],[date]],"mmmm")</f>
        <v>December</v>
      </c>
      <c r="R1261">
        <f>MONTH(Data_Set_3[[#This Row],[date]])</f>
        <v>12</v>
      </c>
      <c r="S1261">
        <f>YEAR(Data_Set_3[[#This Row],[date]])</f>
        <v>2022</v>
      </c>
    </row>
    <row r="1262" spans="1:19" x14ac:dyDescent="0.3">
      <c r="A1262">
        <v>1070</v>
      </c>
      <c r="B1262" t="s">
        <v>627</v>
      </c>
      <c r="C1262" t="s">
        <v>4010</v>
      </c>
      <c r="D1262" t="s">
        <v>4011</v>
      </c>
      <c r="E1262" t="s">
        <v>4012</v>
      </c>
      <c r="F1262" t="s">
        <v>1392</v>
      </c>
      <c r="G1262" t="s">
        <v>1952</v>
      </c>
      <c r="H1262" t="s">
        <v>16</v>
      </c>
      <c r="I1262" t="s">
        <v>51</v>
      </c>
      <c r="J1262">
        <v>408</v>
      </c>
      <c r="K1262" t="s">
        <v>95</v>
      </c>
      <c r="L1262" s="2">
        <v>44897</v>
      </c>
      <c r="M1262" t="s">
        <v>120</v>
      </c>
      <c r="N1262" t="s">
        <v>121</v>
      </c>
      <c r="O1262">
        <v>71137</v>
      </c>
      <c r="P1262" t="s">
        <v>21</v>
      </c>
      <c r="Q1262" t="str">
        <f>TEXT(Data_Set_3[[#This Row],[date]],"mmmm")</f>
        <v>December</v>
      </c>
      <c r="R1262">
        <f>MONTH(Data_Set_3[[#This Row],[date]])</f>
        <v>12</v>
      </c>
      <c r="S1262">
        <f>YEAR(Data_Set_3[[#This Row],[date]])</f>
        <v>2022</v>
      </c>
    </row>
    <row r="1263" spans="1:19" x14ac:dyDescent="0.3">
      <c r="A1263">
        <v>1489</v>
      </c>
      <c r="B1263" t="s">
        <v>860</v>
      </c>
      <c r="C1263" t="s">
        <v>849</v>
      </c>
      <c r="D1263" t="s">
        <v>2817</v>
      </c>
      <c r="E1263" t="s">
        <v>2818</v>
      </c>
      <c r="F1263" t="s">
        <v>1606</v>
      </c>
      <c r="G1263" t="s">
        <v>1899</v>
      </c>
      <c r="H1263" t="s">
        <v>16</v>
      </c>
      <c r="I1263" t="s">
        <v>17</v>
      </c>
      <c r="J1263">
        <v>528</v>
      </c>
      <c r="K1263" t="s">
        <v>62</v>
      </c>
      <c r="L1263" s="2">
        <v>44897</v>
      </c>
      <c r="M1263" t="s">
        <v>204</v>
      </c>
      <c r="N1263" t="s">
        <v>1135</v>
      </c>
      <c r="O1263">
        <v>23668</v>
      </c>
      <c r="P1263" t="s">
        <v>21</v>
      </c>
      <c r="Q1263" t="str">
        <f>TEXT(Data_Set_3[[#This Row],[date]],"mmmm")</f>
        <v>December</v>
      </c>
      <c r="R1263">
        <f>MONTH(Data_Set_3[[#This Row],[date]])</f>
        <v>12</v>
      </c>
      <c r="S1263">
        <f>YEAR(Data_Set_3[[#This Row],[date]])</f>
        <v>2022</v>
      </c>
    </row>
    <row r="1264" spans="1:19" x14ac:dyDescent="0.3">
      <c r="A1264">
        <v>1573</v>
      </c>
      <c r="B1264" t="s">
        <v>277</v>
      </c>
      <c r="C1264" t="s">
        <v>23</v>
      </c>
      <c r="D1264" t="s">
        <v>4013</v>
      </c>
      <c r="E1264" t="s">
        <v>4014</v>
      </c>
      <c r="F1264" t="s">
        <v>1385</v>
      </c>
      <c r="G1264" t="s">
        <v>2779</v>
      </c>
      <c r="H1264" t="s">
        <v>16</v>
      </c>
      <c r="I1264" t="s">
        <v>280</v>
      </c>
      <c r="J1264">
        <v>68</v>
      </c>
      <c r="K1264" t="s">
        <v>18</v>
      </c>
      <c r="L1264" s="2">
        <v>44897</v>
      </c>
      <c r="M1264" t="s">
        <v>68</v>
      </c>
      <c r="N1264" t="s">
        <v>69</v>
      </c>
      <c r="O1264">
        <v>78703</v>
      </c>
      <c r="P1264" t="s">
        <v>21</v>
      </c>
      <c r="Q1264" t="str">
        <f>TEXT(Data_Set_3[[#This Row],[date]],"mmmm")</f>
        <v>December</v>
      </c>
      <c r="R1264">
        <f>MONTH(Data_Set_3[[#This Row],[date]])</f>
        <v>12</v>
      </c>
      <c r="S1264">
        <f>YEAR(Data_Set_3[[#This Row],[date]])</f>
        <v>2022</v>
      </c>
    </row>
    <row r="1265" spans="1:19" x14ac:dyDescent="0.3">
      <c r="A1265">
        <v>1017</v>
      </c>
      <c r="B1265" t="s">
        <v>803</v>
      </c>
      <c r="C1265" t="s">
        <v>3048</v>
      </c>
      <c r="D1265" t="s">
        <v>3049</v>
      </c>
      <c r="E1265" t="s">
        <v>3050</v>
      </c>
      <c r="F1265" t="s">
        <v>1306</v>
      </c>
      <c r="G1265" t="s">
        <v>1845</v>
      </c>
      <c r="H1265" t="s">
        <v>32</v>
      </c>
      <c r="I1265" t="s">
        <v>17</v>
      </c>
      <c r="J1265">
        <v>11</v>
      </c>
      <c r="K1265" t="s">
        <v>26</v>
      </c>
      <c r="L1265" s="2">
        <v>44899</v>
      </c>
      <c r="M1265" t="s">
        <v>246</v>
      </c>
      <c r="N1265" t="s">
        <v>339</v>
      </c>
      <c r="O1265">
        <v>60663</v>
      </c>
      <c r="P1265" t="s">
        <v>21</v>
      </c>
      <c r="Q1265" t="str">
        <f>TEXT(Data_Set_3[[#This Row],[date]],"mmmm")</f>
        <v>December</v>
      </c>
      <c r="R1265">
        <f>MONTH(Data_Set_3[[#This Row],[date]])</f>
        <v>12</v>
      </c>
      <c r="S1265">
        <f>YEAR(Data_Set_3[[#This Row],[date]])</f>
        <v>2022</v>
      </c>
    </row>
    <row r="1266" spans="1:19" x14ac:dyDescent="0.3">
      <c r="A1266">
        <v>1081</v>
      </c>
      <c r="B1266" t="s">
        <v>29</v>
      </c>
      <c r="C1266" t="s">
        <v>906</v>
      </c>
      <c r="D1266" t="s">
        <v>2980</v>
      </c>
      <c r="E1266" t="s">
        <v>2981</v>
      </c>
      <c r="F1266" t="s">
        <v>2342</v>
      </c>
      <c r="G1266" t="s">
        <v>2286</v>
      </c>
      <c r="H1266" t="s">
        <v>32</v>
      </c>
      <c r="I1266" t="s">
        <v>51</v>
      </c>
      <c r="J1266">
        <v>828</v>
      </c>
      <c r="K1266" t="s">
        <v>18</v>
      </c>
      <c r="L1266" s="2">
        <v>44899</v>
      </c>
      <c r="M1266" t="s">
        <v>152</v>
      </c>
      <c r="N1266" t="s">
        <v>484</v>
      </c>
      <c r="O1266">
        <v>45426</v>
      </c>
      <c r="P1266" t="s">
        <v>21</v>
      </c>
      <c r="Q1266" t="str">
        <f>TEXT(Data_Set_3[[#This Row],[date]],"mmmm")</f>
        <v>December</v>
      </c>
      <c r="R1266">
        <f>MONTH(Data_Set_3[[#This Row],[date]])</f>
        <v>12</v>
      </c>
      <c r="S1266">
        <f>YEAR(Data_Set_3[[#This Row],[date]])</f>
        <v>2022</v>
      </c>
    </row>
    <row r="1267" spans="1:19" x14ac:dyDescent="0.3">
      <c r="A1267">
        <v>1095</v>
      </c>
      <c r="B1267" t="s">
        <v>395</v>
      </c>
      <c r="C1267" t="s">
        <v>876</v>
      </c>
      <c r="D1267" t="s">
        <v>2989</v>
      </c>
      <c r="E1267" t="s">
        <v>2990</v>
      </c>
      <c r="F1267" t="s">
        <v>1323</v>
      </c>
      <c r="G1267" t="s">
        <v>1453</v>
      </c>
      <c r="H1267" t="s">
        <v>32</v>
      </c>
      <c r="I1267" t="s">
        <v>51</v>
      </c>
      <c r="J1267">
        <v>383</v>
      </c>
      <c r="K1267" t="s">
        <v>34</v>
      </c>
      <c r="L1267" s="2">
        <v>44899</v>
      </c>
      <c r="M1267" t="s">
        <v>68</v>
      </c>
      <c r="N1267" t="s">
        <v>234</v>
      </c>
      <c r="O1267">
        <v>77040</v>
      </c>
      <c r="P1267" t="s">
        <v>21</v>
      </c>
      <c r="Q1267" t="str">
        <f>TEXT(Data_Set_3[[#This Row],[date]],"mmmm")</f>
        <v>December</v>
      </c>
      <c r="R1267">
        <f>MONTH(Data_Set_3[[#This Row],[date]])</f>
        <v>12</v>
      </c>
      <c r="S1267">
        <f>YEAR(Data_Set_3[[#This Row],[date]])</f>
        <v>2022</v>
      </c>
    </row>
    <row r="1268" spans="1:19" x14ac:dyDescent="0.3">
      <c r="A1268">
        <v>1641</v>
      </c>
      <c r="B1268" t="s">
        <v>775</v>
      </c>
      <c r="C1268" t="s">
        <v>123</v>
      </c>
      <c r="D1268" t="s">
        <v>4015</v>
      </c>
      <c r="E1268" t="s">
        <v>4016</v>
      </c>
      <c r="F1268" t="s">
        <v>3007</v>
      </c>
      <c r="G1268" t="s">
        <v>2606</v>
      </c>
      <c r="H1268" t="s">
        <v>16</v>
      </c>
      <c r="I1268" t="s">
        <v>17</v>
      </c>
      <c r="J1268">
        <v>773</v>
      </c>
      <c r="K1268" t="s">
        <v>26</v>
      </c>
      <c r="L1268" s="2">
        <v>44899</v>
      </c>
      <c r="M1268" t="s">
        <v>254</v>
      </c>
      <c r="N1268" t="s">
        <v>255</v>
      </c>
      <c r="O1268">
        <v>50310</v>
      </c>
      <c r="P1268" t="s">
        <v>21</v>
      </c>
      <c r="Q1268" t="str">
        <f>TEXT(Data_Set_3[[#This Row],[date]],"mmmm")</f>
        <v>December</v>
      </c>
      <c r="R1268">
        <f>MONTH(Data_Set_3[[#This Row],[date]])</f>
        <v>12</v>
      </c>
      <c r="S1268">
        <f>YEAR(Data_Set_3[[#This Row],[date]])</f>
        <v>2022</v>
      </c>
    </row>
    <row r="1269" spans="1:19" x14ac:dyDescent="0.3">
      <c r="A1269">
        <v>1706</v>
      </c>
      <c r="B1269" t="s">
        <v>186</v>
      </c>
      <c r="C1269" t="s">
        <v>23</v>
      </c>
      <c r="D1269" t="s">
        <v>4017</v>
      </c>
      <c r="E1269" t="s">
        <v>4018</v>
      </c>
      <c r="F1269" t="s">
        <v>1318</v>
      </c>
      <c r="G1269" t="s">
        <v>2050</v>
      </c>
      <c r="H1269" t="s">
        <v>32</v>
      </c>
      <c r="I1269" t="s">
        <v>17</v>
      </c>
      <c r="J1269">
        <v>68</v>
      </c>
      <c r="K1269" t="s">
        <v>34</v>
      </c>
      <c r="L1269" s="2">
        <v>44901</v>
      </c>
      <c r="M1269" t="s">
        <v>68</v>
      </c>
      <c r="N1269" t="s">
        <v>234</v>
      </c>
      <c r="O1269">
        <v>77075</v>
      </c>
      <c r="P1269" t="s">
        <v>21</v>
      </c>
      <c r="Q1269" t="str">
        <f>TEXT(Data_Set_3[[#This Row],[date]],"mmmm")</f>
        <v>December</v>
      </c>
      <c r="R1269">
        <f>MONTH(Data_Set_3[[#This Row],[date]])</f>
        <v>12</v>
      </c>
      <c r="S1269">
        <f>YEAR(Data_Set_3[[#This Row],[date]])</f>
        <v>2022</v>
      </c>
    </row>
    <row r="1270" spans="1:19" x14ac:dyDescent="0.3">
      <c r="A1270">
        <v>1997</v>
      </c>
      <c r="B1270" t="s">
        <v>899</v>
      </c>
      <c r="C1270" t="s">
        <v>1069</v>
      </c>
      <c r="D1270" t="s">
        <v>3234</v>
      </c>
      <c r="E1270" t="s">
        <v>3235</v>
      </c>
      <c r="F1270" t="s">
        <v>3236</v>
      </c>
      <c r="G1270" t="s">
        <v>2326</v>
      </c>
      <c r="H1270" t="s">
        <v>32</v>
      </c>
      <c r="I1270" t="s">
        <v>543</v>
      </c>
      <c r="J1270">
        <v>360</v>
      </c>
      <c r="K1270" t="s">
        <v>26</v>
      </c>
      <c r="L1270" s="2">
        <v>44901</v>
      </c>
      <c r="M1270" t="s">
        <v>184</v>
      </c>
      <c r="N1270" t="s">
        <v>197</v>
      </c>
      <c r="O1270">
        <v>10155</v>
      </c>
      <c r="P1270" t="s">
        <v>21</v>
      </c>
      <c r="Q1270" t="str">
        <f>TEXT(Data_Set_3[[#This Row],[date]],"mmmm")</f>
        <v>December</v>
      </c>
      <c r="R1270">
        <f>MONTH(Data_Set_3[[#This Row],[date]])</f>
        <v>12</v>
      </c>
      <c r="S1270">
        <f>YEAR(Data_Set_3[[#This Row],[date]])</f>
        <v>2022</v>
      </c>
    </row>
    <row r="1271" spans="1:19" x14ac:dyDescent="0.3">
      <c r="A1271">
        <v>1463</v>
      </c>
      <c r="B1271" t="s">
        <v>277</v>
      </c>
      <c r="C1271" t="s">
        <v>2822</v>
      </c>
      <c r="D1271" t="s">
        <v>4019</v>
      </c>
      <c r="E1271" t="s">
        <v>4020</v>
      </c>
      <c r="F1271" t="s">
        <v>1903</v>
      </c>
      <c r="G1271" t="s">
        <v>1936</v>
      </c>
      <c r="H1271" t="s">
        <v>16</v>
      </c>
      <c r="I1271" t="s">
        <v>2821</v>
      </c>
      <c r="J1271">
        <v>21</v>
      </c>
      <c r="K1271" t="s">
        <v>34</v>
      </c>
      <c r="L1271" s="2">
        <v>44902</v>
      </c>
      <c r="M1271" t="s">
        <v>115</v>
      </c>
      <c r="N1271" t="s">
        <v>143</v>
      </c>
      <c r="O1271">
        <v>33134</v>
      </c>
      <c r="P1271" t="s">
        <v>21</v>
      </c>
      <c r="Q1271" t="str">
        <f>TEXT(Data_Set_3[[#This Row],[date]],"mmmm")</f>
        <v>December</v>
      </c>
      <c r="R1271">
        <f>MONTH(Data_Set_3[[#This Row],[date]])</f>
        <v>12</v>
      </c>
      <c r="S1271">
        <f>YEAR(Data_Set_3[[#This Row],[date]])</f>
        <v>2022</v>
      </c>
    </row>
    <row r="1272" spans="1:19" x14ac:dyDescent="0.3">
      <c r="A1272">
        <v>1978</v>
      </c>
      <c r="B1272" t="s">
        <v>893</v>
      </c>
      <c r="C1272" t="s">
        <v>167</v>
      </c>
      <c r="D1272" t="s">
        <v>4021</v>
      </c>
      <c r="E1272" t="s">
        <v>4022</v>
      </c>
      <c r="F1272" t="s">
        <v>1591</v>
      </c>
      <c r="G1272" t="s">
        <v>2326</v>
      </c>
      <c r="H1272" t="s">
        <v>32</v>
      </c>
      <c r="I1272" t="s">
        <v>33</v>
      </c>
      <c r="J1272">
        <v>221</v>
      </c>
      <c r="K1272" t="s">
        <v>26</v>
      </c>
      <c r="L1272" s="2">
        <v>44904</v>
      </c>
      <c r="M1272" t="s">
        <v>291</v>
      </c>
      <c r="N1272" t="s">
        <v>4023</v>
      </c>
      <c r="O1272">
        <v>20904</v>
      </c>
      <c r="P1272" t="s">
        <v>21</v>
      </c>
      <c r="Q1272" t="str">
        <f>TEXT(Data_Set_3[[#This Row],[date]],"mmmm")</f>
        <v>December</v>
      </c>
      <c r="R1272">
        <f>MONTH(Data_Set_3[[#This Row],[date]])</f>
        <v>12</v>
      </c>
      <c r="S1272">
        <f>YEAR(Data_Set_3[[#This Row],[date]])</f>
        <v>2022</v>
      </c>
    </row>
    <row r="1273" spans="1:19" x14ac:dyDescent="0.3">
      <c r="A1273">
        <v>1084</v>
      </c>
      <c r="B1273" t="s">
        <v>809</v>
      </c>
      <c r="C1273" t="s">
        <v>1006</v>
      </c>
      <c r="D1273" t="s">
        <v>2844</v>
      </c>
      <c r="E1273" t="s">
        <v>2845</v>
      </c>
      <c r="F1273" t="s">
        <v>2124</v>
      </c>
      <c r="G1273" t="s">
        <v>1952</v>
      </c>
      <c r="H1273" t="s">
        <v>16</v>
      </c>
      <c r="I1273" t="s">
        <v>51</v>
      </c>
      <c r="J1273">
        <v>937</v>
      </c>
      <c r="K1273" t="s">
        <v>26</v>
      </c>
      <c r="L1273" s="2">
        <v>44905</v>
      </c>
      <c r="M1273" t="s">
        <v>19</v>
      </c>
      <c r="N1273" t="s">
        <v>2846</v>
      </c>
      <c r="O1273">
        <v>2453</v>
      </c>
      <c r="P1273" t="s">
        <v>21</v>
      </c>
      <c r="Q1273" t="str">
        <f>TEXT(Data_Set_3[[#This Row],[date]],"mmmm")</f>
        <v>December</v>
      </c>
      <c r="R1273">
        <f>MONTH(Data_Set_3[[#This Row],[date]])</f>
        <v>12</v>
      </c>
      <c r="S1273">
        <f>YEAR(Data_Set_3[[#This Row],[date]])</f>
        <v>2022</v>
      </c>
    </row>
    <row r="1274" spans="1:19" x14ac:dyDescent="0.3">
      <c r="A1274">
        <v>1144</v>
      </c>
      <c r="B1274" t="s">
        <v>644</v>
      </c>
      <c r="C1274" t="s">
        <v>581</v>
      </c>
      <c r="D1274" t="s">
        <v>3114</v>
      </c>
      <c r="E1274" t="s">
        <v>3115</v>
      </c>
      <c r="F1274" t="s">
        <v>2641</v>
      </c>
      <c r="G1274" t="s">
        <v>2709</v>
      </c>
      <c r="H1274" t="s">
        <v>32</v>
      </c>
      <c r="I1274" t="s">
        <v>25</v>
      </c>
      <c r="J1274">
        <v>514</v>
      </c>
      <c r="K1274" t="s">
        <v>62</v>
      </c>
      <c r="L1274" s="2">
        <v>44912</v>
      </c>
      <c r="M1274" t="s">
        <v>184</v>
      </c>
      <c r="N1274" t="s">
        <v>3116</v>
      </c>
      <c r="O1274">
        <v>11355</v>
      </c>
      <c r="P1274" t="s">
        <v>21</v>
      </c>
      <c r="Q1274" t="str">
        <f>TEXT(Data_Set_3[[#This Row],[date]],"mmmm")</f>
        <v>December</v>
      </c>
      <c r="R1274">
        <f>MONTH(Data_Set_3[[#This Row],[date]])</f>
        <v>12</v>
      </c>
      <c r="S1274">
        <f>YEAR(Data_Set_3[[#This Row],[date]])</f>
        <v>2022</v>
      </c>
    </row>
    <row r="1275" spans="1:19" x14ac:dyDescent="0.3">
      <c r="A1275">
        <v>1546</v>
      </c>
      <c r="B1275" t="s">
        <v>851</v>
      </c>
      <c r="C1275" t="s">
        <v>382</v>
      </c>
      <c r="D1275" t="s">
        <v>4024</v>
      </c>
      <c r="E1275" t="s">
        <v>4025</v>
      </c>
      <c r="F1275" t="s">
        <v>3017</v>
      </c>
      <c r="G1275" t="s">
        <v>2043</v>
      </c>
      <c r="H1275" t="s">
        <v>16</v>
      </c>
      <c r="I1275" t="s">
        <v>274</v>
      </c>
      <c r="J1275">
        <v>669</v>
      </c>
      <c r="K1275" t="s">
        <v>26</v>
      </c>
      <c r="L1275" s="2">
        <v>44913</v>
      </c>
      <c r="M1275" t="s">
        <v>393</v>
      </c>
      <c r="N1275" t="s">
        <v>4026</v>
      </c>
      <c r="O1275">
        <v>37665</v>
      </c>
      <c r="P1275" t="s">
        <v>21</v>
      </c>
      <c r="Q1275" t="str">
        <f>TEXT(Data_Set_3[[#This Row],[date]],"mmmm")</f>
        <v>December</v>
      </c>
      <c r="R1275">
        <f>MONTH(Data_Set_3[[#This Row],[date]])</f>
        <v>12</v>
      </c>
      <c r="S1275">
        <f>YEAR(Data_Set_3[[#This Row],[date]])</f>
        <v>2022</v>
      </c>
    </row>
    <row r="1276" spans="1:19" x14ac:dyDescent="0.3">
      <c r="A1276">
        <v>1783</v>
      </c>
      <c r="B1276" t="s">
        <v>721</v>
      </c>
      <c r="C1276" t="s">
        <v>2884</v>
      </c>
      <c r="D1276" t="s">
        <v>2885</v>
      </c>
      <c r="E1276" t="s">
        <v>2886</v>
      </c>
      <c r="F1276" t="s">
        <v>1539</v>
      </c>
      <c r="G1276" t="s">
        <v>2887</v>
      </c>
      <c r="H1276" t="s">
        <v>16</v>
      </c>
      <c r="I1276" t="s">
        <v>25</v>
      </c>
      <c r="J1276">
        <v>540</v>
      </c>
      <c r="K1276" t="s">
        <v>57</v>
      </c>
      <c r="L1276" s="2">
        <v>44914</v>
      </c>
      <c r="M1276" t="s">
        <v>287</v>
      </c>
      <c r="N1276" t="s">
        <v>288</v>
      </c>
      <c r="O1276">
        <v>85715</v>
      </c>
      <c r="P1276" t="s">
        <v>21</v>
      </c>
      <c r="Q1276" t="str">
        <f>TEXT(Data_Set_3[[#This Row],[date]],"mmmm")</f>
        <v>December</v>
      </c>
      <c r="R1276">
        <f>MONTH(Data_Set_3[[#This Row],[date]])</f>
        <v>12</v>
      </c>
      <c r="S1276">
        <f>YEAR(Data_Set_3[[#This Row],[date]])</f>
        <v>2022</v>
      </c>
    </row>
    <row r="1277" spans="1:19" x14ac:dyDescent="0.3">
      <c r="A1277">
        <v>1017</v>
      </c>
      <c r="B1277" t="s">
        <v>803</v>
      </c>
      <c r="C1277" t="s">
        <v>3048</v>
      </c>
      <c r="D1277" t="s">
        <v>3049</v>
      </c>
      <c r="E1277" t="s">
        <v>3050</v>
      </c>
      <c r="F1277" t="s">
        <v>1306</v>
      </c>
      <c r="G1277" t="s">
        <v>1845</v>
      </c>
      <c r="H1277" t="s">
        <v>32</v>
      </c>
      <c r="I1277" t="s">
        <v>17</v>
      </c>
      <c r="J1277">
        <v>922</v>
      </c>
      <c r="K1277" t="s">
        <v>26</v>
      </c>
      <c r="L1277" s="2">
        <v>44915</v>
      </c>
      <c r="M1277" t="s">
        <v>246</v>
      </c>
      <c r="N1277" t="s">
        <v>339</v>
      </c>
      <c r="O1277">
        <v>60663</v>
      </c>
      <c r="P1277" t="s">
        <v>21</v>
      </c>
      <c r="Q1277" t="str">
        <f>TEXT(Data_Set_3[[#This Row],[date]],"mmmm")</f>
        <v>December</v>
      </c>
      <c r="R1277">
        <f>MONTH(Data_Set_3[[#This Row],[date]])</f>
        <v>12</v>
      </c>
      <c r="S1277">
        <f>YEAR(Data_Set_3[[#This Row],[date]])</f>
        <v>2022</v>
      </c>
    </row>
    <row r="1278" spans="1:19" x14ac:dyDescent="0.3">
      <c r="A1278">
        <v>1846</v>
      </c>
      <c r="B1278" t="s">
        <v>89</v>
      </c>
      <c r="C1278" t="s">
        <v>810</v>
      </c>
      <c r="D1278" t="s">
        <v>4027</v>
      </c>
      <c r="E1278" t="s">
        <v>4028</v>
      </c>
      <c r="F1278" t="s">
        <v>1993</v>
      </c>
      <c r="G1278" t="s">
        <v>2735</v>
      </c>
      <c r="H1278" t="s">
        <v>16</v>
      </c>
      <c r="I1278" t="s">
        <v>274</v>
      </c>
      <c r="J1278">
        <v>603</v>
      </c>
      <c r="K1278" t="s">
        <v>18</v>
      </c>
      <c r="L1278" s="2">
        <v>44915</v>
      </c>
      <c r="M1278" t="s">
        <v>35</v>
      </c>
      <c r="N1278" t="s">
        <v>180</v>
      </c>
      <c r="O1278">
        <v>95194</v>
      </c>
      <c r="P1278" t="s">
        <v>21</v>
      </c>
      <c r="Q1278" t="str">
        <f>TEXT(Data_Set_3[[#This Row],[date]],"mmmm")</f>
        <v>December</v>
      </c>
      <c r="R1278">
        <f>MONTH(Data_Set_3[[#This Row],[date]])</f>
        <v>12</v>
      </c>
      <c r="S1278">
        <f>YEAR(Data_Set_3[[#This Row],[date]])</f>
        <v>2022</v>
      </c>
    </row>
    <row r="1279" spans="1:19" x14ac:dyDescent="0.3">
      <c r="A1279">
        <v>1170</v>
      </c>
      <c r="B1279" t="s">
        <v>22</v>
      </c>
      <c r="C1279" t="s">
        <v>883</v>
      </c>
      <c r="D1279" t="s">
        <v>2837</v>
      </c>
      <c r="E1279" t="s">
        <v>2838</v>
      </c>
      <c r="F1279" t="s">
        <v>2430</v>
      </c>
      <c r="G1279" t="s">
        <v>1333</v>
      </c>
      <c r="H1279" t="s">
        <v>16</v>
      </c>
      <c r="I1279" t="s">
        <v>33</v>
      </c>
      <c r="J1279">
        <v>588</v>
      </c>
      <c r="K1279" t="s">
        <v>164</v>
      </c>
      <c r="L1279" s="2">
        <v>44916</v>
      </c>
      <c r="M1279" t="s">
        <v>68</v>
      </c>
      <c r="N1279" t="s">
        <v>169</v>
      </c>
      <c r="O1279">
        <v>88574</v>
      </c>
      <c r="P1279" t="s">
        <v>21</v>
      </c>
      <c r="Q1279" t="str">
        <f>TEXT(Data_Set_3[[#This Row],[date]],"mmmm")</f>
        <v>December</v>
      </c>
      <c r="R1279">
        <f>MONTH(Data_Set_3[[#This Row],[date]])</f>
        <v>12</v>
      </c>
      <c r="S1279">
        <f>YEAR(Data_Set_3[[#This Row],[date]])</f>
        <v>2022</v>
      </c>
    </row>
    <row r="1280" spans="1:19" x14ac:dyDescent="0.3">
      <c r="A1280">
        <v>1169</v>
      </c>
      <c r="B1280" t="s">
        <v>721</v>
      </c>
      <c r="C1280" t="s">
        <v>182</v>
      </c>
      <c r="D1280" t="s">
        <v>4029</v>
      </c>
      <c r="E1280" t="s">
        <v>4030</v>
      </c>
      <c r="F1280" t="s">
        <v>1470</v>
      </c>
      <c r="G1280" t="s">
        <v>2265</v>
      </c>
      <c r="H1280" t="s">
        <v>16</v>
      </c>
      <c r="I1280" t="s">
        <v>33</v>
      </c>
      <c r="J1280">
        <v>792</v>
      </c>
      <c r="K1280" t="s">
        <v>26</v>
      </c>
      <c r="L1280" s="2">
        <v>44919</v>
      </c>
      <c r="M1280" t="s">
        <v>192</v>
      </c>
      <c r="N1280" t="s">
        <v>193</v>
      </c>
      <c r="O1280">
        <v>55446</v>
      </c>
      <c r="P1280" t="s">
        <v>21</v>
      </c>
      <c r="Q1280" t="str">
        <f>TEXT(Data_Set_3[[#This Row],[date]],"mmmm")</f>
        <v>December</v>
      </c>
      <c r="R1280">
        <f>MONTH(Data_Set_3[[#This Row],[date]])</f>
        <v>12</v>
      </c>
      <c r="S1280">
        <f>YEAR(Data_Set_3[[#This Row],[date]])</f>
        <v>2022</v>
      </c>
    </row>
    <row r="1281" spans="1:19" x14ac:dyDescent="0.3">
      <c r="A1281">
        <v>1468</v>
      </c>
      <c r="B1281" t="s">
        <v>2915</v>
      </c>
      <c r="C1281" t="s">
        <v>722</v>
      </c>
      <c r="D1281" t="s">
        <v>2916</v>
      </c>
      <c r="E1281" t="s">
        <v>2917</v>
      </c>
      <c r="F1281" t="s">
        <v>2918</v>
      </c>
      <c r="G1281" t="s">
        <v>1559</v>
      </c>
      <c r="H1281" t="s">
        <v>32</v>
      </c>
      <c r="I1281" t="s">
        <v>33</v>
      </c>
      <c r="J1281">
        <v>996</v>
      </c>
      <c r="K1281" t="s">
        <v>259</v>
      </c>
      <c r="L1281" s="2">
        <v>44920</v>
      </c>
      <c r="M1281" t="s">
        <v>120</v>
      </c>
      <c r="N1281" t="s">
        <v>718</v>
      </c>
      <c r="O1281">
        <v>70116</v>
      </c>
      <c r="P1281" t="s">
        <v>21</v>
      </c>
      <c r="Q1281" t="str">
        <f>TEXT(Data_Set_3[[#This Row],[date]],"mmmm")</f>
        <v>December</v>
      </c>
      <c r="R1281">
        <f>MONTH(Data_Set_3[[#This Row],[date]])</f>
        <v>12</v>
      </c>
      <c r="S1281">
        <f>YEAR(Data_Set_3[[#This Row],[date]])</f>
        <v>2022</v>
      </c>
    </row>
    <row r="1282" spans="1:19" x14ac:dyDescent="0.3">
      <c r="A1282">
        <v>1468</v>
      </c>
      <c r="B1282" t="s">
        <v>2915</v>
      </c>
      <c r="C1282" t="s">
        <v>722</v>
      </c>
      <c r="D1282" t="s">
        <v>2916</v>
      </c>
      <c r="E1282" t="s">
        <v>2917</v>
      </c>
      <c r="F1282" t="s">
        <v>2918</v>
      </c>
      <c r="G1282" t="s">
        <v>1559</v>
      </c>
      <c r="H1282" t="s">
        <v>32</v>
      </c>
      <c r="I1282" t="s">
        <v>33</v>
      </c>
      <c r="J1282">
        <v>608</v>
      </c>
      <c r="K1282" t="s">
        <v>259</v>
      </c>
      <c r="L1282" s="2">
        <v>44921</v>
      </c>
      <c r="M1282" t="s">
        <v>120</v>
      </c>
      <c r="N1282" t="s">
        <v>718</v>
      </c>
      <c r="O1282">
        <v>70116</v>
      </c>
      <c r="P1282" t="s">
        <v>21</v>
      </c>
      <c r="Q1282" t="str">
        <f>TEXT(Data_Set_3[[#This Row],[date]],"mmmm")</f>
        <v>December</v>
      </c>
      <c r="R1282">
        <f>MONTH(Data_Set_3[[#This Row],[date]])</f>
        <v>12</v>
      </c>
      <c r="S1282">
        <f>YEAR(Data_Set_3[[#This Row],[date]])</f>
        <v>2022</v>
      </c>
    </row>
    <row r="1283" spans="1:19" x14ac:dyDescent="0.3">
      <c r="A1283">
        <v>1468</v>
      </c>
      <c r="B1283" t="s">
        <v>2915</v>
      </c>
      <c r="C1283" t="s">
        <v>722</v>
      </c>
      <c r="D1283" t="s">
        <v>2916</v>
      </c>
      <c r="E1283" t="s">
        <v>2917</v>
      </c>
      <c r="F1283" t="s">
        <v>2918</v>
      </c>
      <c r="G1283" t="s">
        <v>1559</v>
      </c>
      <c r="H1283" t="s">
        <v>32</v>
      </c>
      <c r="I1283" t="s">
        <v>33</v>
      </c>
      <c r="J1283">
        <v>996</v>
      </c>
      <c r="K1283" t="s">
        <v>259</v>
      </c>
      <c r="L1283" s="2">
        <v>44921</v>
      </c>
      <c r="M1283" t="s">
        <v>120</v>
      </c>
      <c r="N1283" t="s">
        <v>718</v>
      </c>
      <c r="O1283">
        <v>70116</v>
      </c>
      <c r="P1283" t="s">
        <v>21</v>
      </c>
      <c r="Q1283" t="str">
        <f>TEXT(Data_Set_3[[#This Row],[date]],"mmmm")</f>
        <v>December</v>
      </c>
      <c r="R1283">
        <f>MONTH(Data_Set_3[[#This Row],[date]])</f>
        <v>12</v>
      </c>
      <c r="S1283">
        <f>YEAR(Data_Set_3[[#This Row],[date]])</f>
        <v>2022</v>
      </c>
    </row>
    <row r="1284" spans="1:19" x14ac:dyDescent="0.3">
      <c r="A1284">
        <v>1840</v>
      </c>
      <c r="B1284" t="s">
        <v>154</v>
      </c>
      <c r="C1284" t="s">
        <v>682</v>
      </c>
      <c r="D1284" t="s">
        <v>4031</v>
      </c>
      <c r="E1284" t="s">
        <v>4032</v>
      </c>
      <c r="F1284" t="s">
        <v>1931</v>
      </c>
      <c r="G1284" t="s">
        <v>2409</v>
      </c>
      <c r="H1284" t="s">
        <v>16</v>
      </c>
      <c r="I1284" t="s">
        <v>179</v>
      </c>
      <c r="J1284">
        <v>623</v>
      </c>
      <c r="K1284" t="s">
        <v>26</v>
      </c>
      <c r="L1284" s="2">
        <v>44923</v>
      </c>
      <c r="M1284" t="s">
        <v>96</v>
      </c>
      <c r="N1284" t="s">
        <v>425</v>
      </c>
      <c r="O1284">
        <v>46254</v>
      </c>
      <c r="P1284" t="s">
        <v>21</v>
      </c>
      <c r="Q1284" t="str">
        <f>TEXT(Data_Set_3[[#This Row],[date]],"mmmm")</f>
        <v>December</v>
      </c>
      <c r="R1284">
        <f>MONTH(Data_Set_3[[#This Row],[date]])</f>
        <v>12</v>
      </c>
      <c r="S1284">
        <f>YEAR(Data_Set_3[[#This Row],[date]])</f>
        <v>2022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B613A-098E-41E9-986C-D5D5D0113C9D}">
  <dimension ref="A1:Q51"/>
  <sheetViews>
    <sheetView workbookViewId="0">
      <selection activeCell="A31" sqref="A31"/>
    </sheetView>
  </sheetViews>
  <sheetFormatPr defaultRowHeight="14.4" x14ac:dyDescent="0.3"/>
  <cols>
    <col min="1" max="2" width="12.44140625" bestFit="1" customWidth="1"/>
    <col min="12" max="12" width="22.44140625" bestFit="1" customWidth="1"/>
    <col min="13" max="13" width="11.109375" bestFit="1" customWidth="1"/>
    <col min="15" max="15" width="16.77734375" bestFit="1" customWidth="1"/>
    <col min="16" max="16" width="12.44140625" bestFit="1" customWidth="1"/>
  </cols>
  <sheetData>
    <row r="1" spans="1:17" x14ac:dyDescent="0.3">
      <c r="A1" s="3" t="s">
        <v>4621</v>
      </c>
      <c r="L1" s="3" t="s">
        <v>4637</v>
      </c>
      <c r="O1" s="3" t="s">
        <v>4640</v>
      </c>
      <c r="Q1" s="10" t="s">
        <v>4646</v>
      </c>
    </row>
    <row r="2" spans="1:17" x14ac:dyDescent="0.3">
      <c r="A2" s="6" t="s">
        <v>4618</v>
      </c>
      <c r="B2" t="s">
        <v>4634</v>
      </c>
      <c r="L2" s="6" t="s">
        <v>4638</v>
      </c>
      <c r="M2" t="s">
        <v>4634</v>
      </c>
      <c r="O2" s="6" t="s">
        <v>4641</v>
      </c>
      <c r="P2" t="s">
        <v>4635</v>
      </c>
    </row>
    <row r="3" spans="1:17" x14ac:dyDescent="0.3">
      <c r="A3" s="7">
        <v>2018</v>
      </c>
      <c r="B3" s="4">
        <v>130379</v>
      </c>
      <c r="L3" s="7" t="s">
        <v>1539</v>
      </c>
      <c r="M3" s="4">
        <v>42023</v>
      </c>
      <c r="O3" s="7" t="s">
        <v>524</v>
      </c>
      <c r="P3" s="8">
        <v>513.60606060606062</v>
      </c>
    </row>
    <row r="4" spans="1:17" x14ac:dyDescent="0.3">
      <c r="A4" s="7">
        <v>2019</v>
      </c>
      <c r="B4" s="4">
        <v>122950</v>
      </c>
      <c r="L4" s="7" t="s">
        <v>1998</v>
      </c>
      <c r="M4" s="4">
        <v>23274</v>
      </c>
      <c r="O4" s="7" t="s">
        <v>269</v>
      </c>
      <c r="P4" s="8">
        <v>686.66666666666663</v>
      </c>
    </row>
    <row r="5" spans="1:17" x14ac:dyDescent="0.3">
      <c r="A5" s="7">
        <v>2020</v>
      </c>
      <c r="B5" s="4">
        <v>106520</v>
      </c>
      <c r="L5" s="7" t="s">
        <v>1376</v>
      </c>
      <c r="M5" s="4">
        <v>22125</v>
      </c>
      <c r="O5" s="7" t="s">
        <v>287</v>
      </c>
      <c r="P5" s="8">
        <v>543.59259259259261</v>
      </c>
    </row>
    <row r="6" spans="1:17" x14ac:dyDescent="0.3">
      <c r="A6" s="7">
        <v>2021</v>
      </c>
      <c r="B6" s="4">
        <v>141307</v>
      </c>
      <c r="L6" s="7" t="s">
        <v>2641</v>
      </c>
      <c r="M6" s="4">
        <v>20306</v>
      </c>
      <c r="O6" s="7" t="s">
        <v>696</v>
      </c>
      <c r="P6" s="8">
        <v>285.66666666666669</v>
      </c>
    </row>
    <row r="7" spans="1:17" x14ac:dyDescent="0.3">
      <c r="A7" s="7">
        <v>2022</v>
      </c>
      <c r="B7" s="4">
        <v>146698</v>
      </c>
      <c r="L7" s="7" t="s">
        <v>1323</v>
      </c>
      <c r="M7" s="4">
        <v>20274</v>
      </c>
      <c r="O7" s="7" t="s">
        <v>35</v>
      </c>
      <c r="P7" s="8">
        <v>490.22727272727275</v>
      </c>
    </row>
    <row r="8" spans="1:17" x14ac:dyDescent="0.3">
      <c r="A8" s="7" t="s">
        <v>4620</v>
      </c>
      <c r="B8" s="4">
        <v>647854</v>
      </c>
      <c r="L8" s="7" t="s">
        <v>4620</v>
      </c>
      <c r="M8" s="4">
        <v>128002</v>
      </c>
      <c r="O8" s="7" t="s">
        <v>27</v>
      </c>
      <c r="P8" s="8">
        <v>520.81818181818187</v>
      </c>
    </row>
    <row r="9" spans="1:17" x14ac:dyDescent="0.3">
      <c r="A9" s="10" t="s">
        <v>4643</v>
      </c>
      <c r="O9" s="7" t="s">
        <v>46</v>
      </c>
      <c r="P9" s="8">
        <v>390.7</v>
      </c>
    </row>
    <row r="10" spans="1:17" x14ac:dyDescent="0.3">
      <c r="A10" s="12"/>
      <c r="L10" s="9" t="s">
        <v>4639</v>
      </c>
      <c r="O10" s="7" t="s">
        <v>780</v>
      </c>
      <c r="P10" s="8">
        <v>927</v>
      </c>
    </row>
    <row r="11" spans="1:17" x14ac:dyDescent="0.3">
      <c r="L11" s="6" t="s">
        <v>4609</v>
      </c>
      <c r="M11" t="s">
        <v>4634</v>
      </c>
      <c r="O11" s="7" t="s">
        <v>345</v>
      </c>
      <c r="P11" s="8">
        <v>508.71052631578948</v>
      </c>
    </row>
    <row r="12" spans="1:17" x14ac:dyDescent="0.3">
      <c r="L12" s="7" t="s">
        <v>26</v>
      </c>
      <c r="M12" s="4">
        <v>220898</v>
      </c>
      <c r="O12" s="7" t="s">
        <v>115</v>
      </c>
      <c r="P12" s="8">
        <v>476.54838709677421</v>
      </c>
    </row>
    <row r="13" spans="1:17" x14ac:dyDescent="0.3">
      <c r="A13" s="3" t="s">
        <v>4636</v>
      </c>
      <c r="L13" s="7" t="s">
        <v>62</v>
      </c>
      <c r="M13" s="4">
        <v>77208</v>
      </c>
      <c r="O13" s="7" t="s">
        <v>74</v>
      </c>
      <c r="P13" s="8">
        <v>556.31578947368416</v>
      </c>
    </row>
    <row r="14" spans="1:17" x14ac:dyDescent="0.3">
      <c r="A14" s="6" t="s">
        <v>4616</v>
      </c>
      <c r="B14" t="s">
        <v>4635</v>
      </c>
      <c r="L14" s="7" t="s">
        <v>34</v>
      </c>
      <c r="M14" s="4">
        <v>64819</v>
      </c>
      <c r="O14" s="7" t="s">
        <v>133</v>
      </c>
      <c r="P14" s="8">
        <v>596.5</v>
      </c>
    </row>
    <row r="15" spans="1:17" x14ac:dyDescent="0.3">
      <c r="A15" s="7" t="s">
        <v>4622</v>
      </c>
      <c r="B15" s="4">
        <v>483.11111111111109</v>
      </c>
      <c r="L15" s="7" t="s">
        <v>73</v>
      </c>
      <c r="M15" s="4">
        <v>60057</v>
      </c>
      <c r="O15" s="7" t="s">
        <v>563</v>
      </c>
      <c r="P15" s="8">
        <v>528.875</v>
      </c>
    </row>
    <row r="16" spans="1:17" x14ac:dyDescent="0.3">
      <c r="A16" s="7" t="s">
        <v>4623</v>
      </c>
      <c r="B16" s="4">
        <v>523.16999999999996</v>
      </c>
      <c r="L16" s="7" t="s">
        <v>164</v>
      </c>
      <c r="M16" s="4">
        <v>58572</v>
      </c>
      <c r="O16" s="7" t="s">
        <v>246</v>
      </c>
      <c r="P16" s="8">
        <v>525.15116279069764</v>
      </c>
    </row>
    <row r="17" spans="1:16" x14ac:dyDescent="0.3">
      <c r="A17" s="7" t="s">
        <v>4624</v>
      </c>
      <c r="B17" s="4">
        <v>464.91509433962267</v>
      </c>
      <c r="L17" s="7" t="s">
        <v>18</v>
      </c>
      <c r="M17" s="4">
        <v>29399</v>
      </c>
      <c r="O17" s="7" t="s">
        <v>96</v>
      </c>
      <c r="P17" s="8">
        <v>565.3125</v>
      </c>
    </row>
    <row r="18" spans="1:16" x14ac:dyDescent="0.3">
      <c r="A18" s="7" t="s">
        <v>4625</v>
      </c>
      <c r="B18" s="4">
        <v>482.94545454545454</v>
      </c>
      <c r="L18" s="7" t="s">
        <v>57</v>
      </c>
      <c r="M18" s="4">
        <v>28845</v>
      </c>
      <c r="O18" s="7" t="s">
        <v>254</v>
      </c>
      <c r="P18" s="8">
        <v>459</v>
      </c>
    </row>
    <row r="19" spans="1:16" x14ac:dyDescent="0.3">
      <c r="A19" s="7" t="s">
        <v>4626</v>
      </c>
      <c r="B19" s="4">
        <v>571.96610169491521</v>
      </c>
      <c r="L19" s="7" t="s">
        <v>95</v>
      </c>
      <c r="M19" s="4">
        <v>28033</v>
      </c>
      <c r="O19" s="7" t="s">
        <v>58</v>
      </c>
      <c r="P19" s="8">
        <v>309.27272727272725</v>
      </c>
    </row>
    <row r="20" spans="1:16" x14ac:dyDescent="0.3">
      <c r="A20" s="7" t="s">
        <v>4627</v>
      </c>
      <c r="B20" s="4">
        <v>497.13592233009706</v>
      </c>
      <c r="L20" s="7" t="s">
        <v>416</v>
      </c>
      <c r="M20" s="4">
        <v>16533</v>
      </c>
      <c r="O20" s="7" t="s">
        <v>41</v>
      </c>
      <c r="P20" s="8">
        <v>513.52631578947364</v>
      </c>
    </row>
    <row r="21" spans="1:16" x14ac:dyDescent="0.3">
      <c r="A21" s="7" t="s">
        <v>4628</v>
      </c>
      <c r="B21" s="4">
        <v>478.47</v>
      </c>
      <c r="L21" s="7" t="s">
        <v>225</v>
      </c>
      <c r="M21" s="4">
        <v>15138</v>
      </c>
      <c r="O21" s="7" t="s">
        <v>120</v>
      </c>
      <c r="P21" s="8">
        <v>572.92307692307691</v>
      </c>
    </row>
    <row r="22" spans="1:16" x14ac:dyDescent="0.3">
      <c r="A22" s="7" t="s">
        <v>4629</v>
      </c>
      <c r="B22" s="4">
        <v>491.62295081967216</v>
      </c>
      <c r="L22" s="7" t="s">
        <v>259</v>
      </c>
      <c r="M22" s="4">
        <v>14523</v>
      </c>
      <c r="O22" s="7" t="s">
        <v>291</v>
      </c>
      <c r="P22" s="8">
        <v>690.8</v>
      </c>
    </row>
    <row r="23" spans="1:16" x14ac:dyDescent="0.3">
      <c r="A23" s="7" t="s">
        <v>4630</v>
      </c>
      <c r="B23" s="4">
        <v>528.59090909090912</v>
      </c>
      <c r="L23" s="7" t="s">
        <v>83</v>
      </c>
      <c r="M23" s="4">
        <v>9381</v>
      </c>
      <c r="O23" s="7" t="s">
        <v>19</v>
      </c>
      <c r="P23" s="8">
        <v>534.9</v>
      </c>
    </row>
    <row r="24" spans="1:16" x14ac:dyDescent="0.3">
      <c r="A24" s="7" t="s">
        <v>4631</v>
      </c>
      <c r="B24" s="4">
        <v>510.37755102040819</v>
      </c>
      <c r="L24" s="7" t="s">
        <v>109</v>
      </c>
      <c r="M24" s="4">
        <v>7991</v>
      </c>
      <c r="O24" s="7" t="s">
        <v>78</v>
      </c>
      <c r="P24" s="8">
        <v>482.40909090909093</v>
      </c>
    </row>
    <row r="25" spans="1:16" x14ac:dyDescent="0.3">
      <c r="A25" s="7" t="s">
        <v>4632</v>
      </c>
      <c r="B25" s="4">
        <v>518.67961165048541</v>
      </c>
      <c r="L25" s="7" t="s">
        <v>40</v>
      </c>
      <c r="M25" s="4">
        <v>7697</v>
      </c>
      <c r="O25" s="7" t="s">
        <v>192</v>
      </c>
      <c r="P25" s="8">
        <v>545.6521739130435</v>
      </c>
    </row>
    <row r="26" spans="1:16" x14ac:dyDescent="0.3">
      <c r="A26" s="7" t="s">
        <v>4633</v>
      </c>
      <c r="B26" s="4">
        <v>503.31428571428569</v>
      </c>
      <c r="L26" s="7" t="s">
        <v>275</v>
      </c>
      <c r="M26" s="4">
        <v>4737</v>
      </c>
      <c r="O26" s="7" t="s">
        <v>172</v>
      </c>
      <c r="P26" s="8">
        <v>591.33333333333337</v>
      </c>
    </row>
    <row r="27" spans="1:16" x14ac:dyDescent="0.3">
      <c r="A27" s="7" t="s">
        <v>4620</v>
      </c>
      <c r="B27" s="4">
        <v>504.95245518316443</v>
      </c>
      <c r="L27" s="7" t="s">
        <v>341</v>
      </c>
      <c r="M27" s="4">
        <v>4023</v>
      </c>
      <c r="O27" s="7" t="s">
        <v>125</v>
      </c>
      <c r="P27" s="8">
        <v>582.0526315789474</v>
      </c>
    </row>
    <row r="28" spans="1:16" x14ac:dyDescent="0.3">
      <c r="A28" s="11" t="s">
        <v>4644</v>
      </c>
      <c r="L28" s="7" t="s">
        <v>4620</v>
      </c>
      <c r="M28" s="4">
        <v>647854</v>
      </c>
      <c r="O28" s="7" t="s">
        <v>3619</v>
      </c>
      <c r="P28" s="8">
        <v>364</v>
      </c>
    </row>
    <row r="29" spans="1:16" x14ac:dyDescent="0.3">
      <c r="A29" s="13"/>
      <c r="L29" s="11" t="s">
        <v>4645</v>
      </c>
      <c r="O29" s="7" t="s">
        <v>63</v>
      </c>
      <c r="P29" s="8">
        <v>519.125</v>
      </c>
    </row>
    <row r="30" spans="1:16" x14ac:dyDescent="0.3">
      <c r="A30" s="9" t="s">
        <v>4642</v>
      </c>
      <c r="O30" s="7" t="s">
        <v>489</v>
      </c>
      <c r="P30" s="8">
        <v>490.94117647058823</v>
      </c>
    </row>
    <row r="31" spans="1:16" x14ac:dyDescent="0.3">
      <c r="A31" s="11" t="s">
        <v>4647</v>
      </c>
      <c r="O31" s="7" t="s">
        <v>3610</v>
      </c>
      <c r="P31" s="8">
        <v>99</v>
      </c>
    </row>
    <row r="32" spans="1:16" x14ac:dyDescent="0.3">
      <c r="O32" s="7" t="s">
        <v>480</v>
      </c>
      <c r="P32" s="8">
        <v>464.6</v>
      </c>
    </row>
    <row r="33" spans="15:16" x14ac:dyDescent="0.3">
      <c r="O33" s="7" t="s">
        <v>435</v>
      </c>
      <c r="P33" s="8">
        <v>608</v>
      </c>
    </row>
    <row r="34" spans="15:16" x14ac:dyDescent="0.3">
      <c r="O34" s="7" t="s">
        <v>184</v>
      </c>
      <c r="P34" s="8">
        <v>451.65957446808511</v>
      </c>
    </row>
    <row r="35" spans="15:16" x14ac:dyDescent="0.3">
      <c r="O35" s="7" t="s">
        <v>230</v>
      </c>
      <c r="P35" s="8">
        <v>528.36842105263156</v>
      </c>
    </row>
    <row r="36" spans="15:16" x14ac:dyDescent="0.3">
      <c r="O36" s="7" t="s">
        <v>842</v>
      </c>
      <c r="P36" s="8">
        <v>456.33333333333331</v>
      </c>
    </row>
    <row r="37" spans="15:16" x14ac:dyDescent="0.3">
      <c r="O37" s="7" t="s">
        <v>152</v>
      </c>
      <c r="P37" s="8">
        <v>541.48333333333335</v>
      </c>
    </row>
    <row r="38" spans="15:16" x14ac:dyDescent="0.3">
      <c r="O38" s="7" t="s">
        <v>704</v>
      </c>
      <c r="P38" s="8">
        <v>408.33333333333331</v>
      </c>
    </row>
    <row r="39" spans="15:16" x14ac:dyDescent="0.3">
      <c r="O39" s="7" t="s">
        <v>138</v>
      </c>
      <c r="P39" s="8">
        <v>404.4</v>
      </c>
    </row>
    <row r="40" spans="15:16" x14ac:dyDescent="0.3">
      <c r="O40" s="7" t="s">
        <v>110</v>
      </c>
      <c r="P40" s="8">
        <v>490.52173913043481</v>
      </c>
    </row>
    <row r="41" spans="15:16" x14ac:dyDescent="0.3">
      <c r="O41" s="7" t="s">
        <v>301</v>
      </c>
      <c r="P41" s="8">
        <v>557</v>
      </c>
    </row>
    <row r="42" spans="15:16" x14ac:dyDescent="0.3">
      <c r="O42" s="7" t="s">
        <v>375</v>
      </c>
      <c r="P42" s="8">
        <v>705</v>
      </c>
    </row>
    <row r="43" spans="15:16" x14ac:dyDescent="0.3">
      <c r="O43" s="7" t="s">
        <v>393</v>
      </c>
      <c r="P43" s="8">
        <v>509.41666666666669</v>
      </c>
    </row>
    <row r="44" spans="15:16" x14ac:dyDescent="0.3">
      <c r="O44" s="7" t="s">
        <v>68</v>
      </c>
      <c r="P44" s="8">
        <v>519.77586206896547</v>
      </c>
    </row>
    <row r="45" spans="15:16" x14ac:dyDescent="0.3">
      <c r="O45" s="7" t="s">
        <v>451</v>
      </c>
      <c r="P45" s="8">
        <v>393.66666666666669</v>
      </c>
    </row>
    <row r="46" spans="15:16" x14ac:dyDescent="0.3">
      <c r="O46" s="7" t="s">
        <v>204</v>
      </c>
      <c r="P46" s="8">
        <v>520.17499999999995</v>
      </c>
    </row>
    <row r="47" spans="15:16" x14ac:dyDescent="0.3">
      <c r="O47" s="7" t="s">
        <v>220</v>
      </c>
      <c r="P47" s="8">
        <v>435.68421052631578</v>
      </c>
    </row>
    <row r="48" spans="15:16" x14ac:dyDescent="0.3">
      <c r="O48" s="7" t="s">
        <v>52</v>
      </c>
      <c r="P48" s="8">
        <v>559.125</v>
      </c>
    </row>
    <row r="49" spans="15:16" x14ac:dyDescent="0.3">
      <c r="O49" s="7" t="s">
        <v>147</v>
      </c>
      <c r="P49" s="8">
        <v>631</v>
      </c>
    </row>
    <row r="50" spans="15:16" x14ac:dyDescent="0.3">
      <c r="O50" s="7" t="s">
        <v>3553</v>
      </c>
      <c r="P50" s="8">
        <v>457</v>
      </c>
    </row>
    <row r="51" spans="15:16" x14ac:dyDescent="0.3">
      <c r="O51" s="7" t="s">
        <v>4620</v>
      </c>
      <c r="P51" s="8">
        <v>504.95245518316443</v>
      </c>
    </row>
  </sheetData>
  <conditionalFormatting pivot="1" sqref="B3:B7">
    <cfRule type="colorScale" priority="4">
      <colorScale>
        <cfvo type="min"/>
        <cfvo type="percentile" val="50"/>
        <cfvo type="max"/>
        <color rgb="FFF8696B"/>
        <color rgb="FFFFEB84"/>
        <color rgb="FF63BE7B"/>
      </colorScale>
    </cfRule>
  </conditionalFormatting>
  <conditionalFormatting pivot="1" sqref="B15:B26">
    <cfRule type="colorScale" priority="3">
      <colorScale>
        <cfvo type="min"/>
        <cfvo type="percentile" val="50"/>
        <cfvo type="max"/>
        <color rgb="FFF8696B"/>
        <color rgb="FFFFEB84"/>
        <color rgb="FF63BE7B"/>
      </colorScale>
    </cfRule>
  </conditionalFormatting>
  <conditionalFormatting pivot="1" sqref="M12:M27">
    <cfRule type="colorScale" priority="2">
      <colorScale>
        <cfvo type="min"/>
        <cfvo type="percentile" val="50"/>
        <cfvo type="max"/>
        <color rgb="FFF8696B"/>
        <color rgb="FFFFEB84"/>
        <color rgb="FF63BE7B"/>
      </colorScale>
    </cfRule>
  </conditionalFormatting>
  <conditionalFormatting pivot="1" sqref="P3:P50">
    <cfRule type="colorScale" priority="1">
      <colorScale>
        <cfvo type="min"/>
        <cfvo type="percentile" val="50"/>
        <cfvo type="max"/>
        <color rgb="FFF8696B"/>
        <color rgb="FFFFEB84"/>
        <color rgb="FF63BE7B"/>
      </colorScale>
    </cfRule>
  </conditionalFormatting>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0573B-0807-4F40-B654-519B76F54187}">
  <dimension ref="A1:D1001"/>
  <sheetViews>
    <sheetView workbookViewId="0">
      <selection activeCell="C17" sqref="C17"/>
    </sheetView>
  </sheetViews>
  <sheetFormatPr defaultRowHeight="14.4" x14ac:dyDescent="0.3"/>
  <cols>
    <col min="1" max="1" width="5" bestFit="1" customWidth="1"/>
    <col min="2" max="2" width="14.33203125" bestFit="1" customWidth="1"/>
    <col min="3" max="3" width="16.21875" bestFit="1" customWidth="1"/>
    <col min="4" max="4" width="32.77734375" bestFit="1" customWidth="1"/>
  </cols>
  <sheetData>
    <row r="1" spans="1:4" x14ac:dyDescent="0.3">
      <c r="A1" t="s">
        <v>1271</v>
      </c>
      <c r="B1" t="s">
        <v>1272</v>
      </c>
      <c r="C1" t="s">
        <v>1273</v>
      </c>
      <c r="D1" t="s">
        <v>1274</v>
      </c>
    </row>
    <row r="2" spans="1:4" x14ac:dyDescent="0.3">
      <c r="A2">
        <v>1</v>
      </c>
      <c r="B2" t="s">
        <v>2355</v>
      </c>
      <c r="C2" t="s">
        <v>2063</v>
      </c>
      <c r="D2" t="s">
        <v>2356</v>
      </c>
    </row>
    <row r="3" spans="1:4" x14ac:dyDescent="0.3">
      <c r="A3">
        <v>2</v>
      </c>
      <c r="B3" t="s">
        <v>2487</v>
      </c>
      <c r="C3" t="s">
        <v>2488</v>
      </c>
      <c r="D3" t="s">
        <v>2489</v>
      </c>
    </row>
    <row r="4" spans="1:4" x14ac:dyDescent="0.3">
      <c r="A4">
        <v>3</v>
      </c>
      <c r="B4" t="s">
        <v>1862</v>
      </c>
      <c r="C4" t="s">
        <v>1765</v>
      </c>
      <c r="D4" t="s">
        <v>1863</v>
      </c>
    </row>
    <row r="5" spans="1:4" x14ac:dyDescent="0.3">
      <c r="A5">
        <v>4</v>
      </c>
      <c r="B5" t="s">
        <v>2277</v>
      </c>
      <c r="C5" t="s">
        <v>1694</v>
      </c>
      <c r="D5" t="s">
        <v>2278</v>
      </c>
    </row>
    <row r="6" spans="1:4" x14ac:dyDescent="0.3">
      <c r="A6">
        <v>5</v>
      </c>
      <c r="B6" t="s">
        <v>2539</v>
      </c>
      <c r="C6" t="s">
        <v>1291</v>
      </c>
      <c r="D6" t="s">
        <v>2540</v>
      </c>
    </row>
    <row r="7" spans="1:4" x14ac:dyDescent="0.3">
      <c r="A7">
        <v>6</v>
      </c>
      <c r="B7" t="s">
        <v>1999</v>
      </c>
      <c r="C7" t="s">
        <v>1666</v>
      </c>
      <c r="D7" t="s">
        <v>2000</v>
      </c>
    </row>
    <row r="8" spans="1:4" x14ac:dyDescent="0.3">
      <c r="A8">
        <v>7</v>
      </c>
      <c r="B8" t="s">
        <v>2077</v>
      </c>
      <c r="C8" t="s">
        <v>1481</v>
      </c>
      <c r="D8" t="s">
        <v>2078</v>
      </c>
    </row>
    <row r="9" spans="1:4" x14ac:dyDescent="0.3">
      <c r="A9">
        <v>8</v>
      </c>
      <c r="B9" t="s">
        <v>2559</v>
      </c>
      <c r="C9" t="s">
        <v>1860</v>
      </c>
      <c r="D9" t="s">
        <v>2560</v>
      </c>
    </row>
    <row r="10" spans="1:4" x14ac:dyDescent="0.3">
      <c r="A10">
        <v>9</v>
      </c>
      <c r="B10" t="s">
        <v>1485</v>
      </c>
      <c r="C10" t="s">
        <v>1351</v>
      </c>
      <c r="D10" t="s">
        <v>1486</v>
      </c>
    </row>
    <row r="11" spans="1:4" x14ac:dyDescent="0.3">
      <c r="A11">
        <v>10</v>
      </c>
      <c r="B11" t="s">
        <v>2095</v>
      </c>
      <c r="C11" t="s">
        <v>2096</v>
      </c>
      <c r="D11" t="s">
        <v>2097</v>
      </c>
    </row>
    <row r="12" spans="1:4" x14ac:dyDescent="0.3">
      <c r="A12">
        <v>11</v>
      </c>
      <c r="B12" t="s">
        <v>2494</v>
      </c>
      <c r="C12" t="s">
        <v>1608</v>
      </c>
      <c r="D12" t="s">
        <v>2495</v>
      </c>
    </row>
    <row r="13" spans="1:4" x14ac:dyDescent="0.3">
      <c r="A13">
        <v>12</v>
      </c>
      <c r="B13" t="s">
        <v>2605</v>
      </c>
      <c r="C13" t="s">
        <v>1472</v>
      </c>
      <c r="D13" t="s">
        <v>2606</v>
      </c>
    </row>
    <row r="14" spans="1:4" x14ac:dyDescent="0.3">
      <c r="A14">
        <v>13</v>
      </c>
      <c r="B14" t="s">
        <v>2541</v>
      </c>
      <c r="C14" t="s">
        <v>1622</v>
      </c>
      <c r="D14" t="s">
        <v>2540</v>
      </c>
    </row>
    <row r="15" spans="1:4" x14ac:dyDescent="0.3">
      <c r="A15">
        <v>14</v>
      </c>
      <c r="B15" t="s">
        <v>2300</v>
      </c>
      <c r="C15" t="s">
        <v>1374</v>
      </c>
      <c r="D15" t="s">
        <v>2301</v>
      </c>
    </row>
    <row r="16" spans="1:4" x14ac:dyDescent="0.3">
      <c r="A16">
        <v>15</v>
      </c>
      <c r="B16" t="s">
        <v>2663</v>
      </c>
      <c r="C16" t="s">
        <v>1661</v>
      </c>
      <c r="D16" t="s">
        <v>2664</v>
      </c>
    </row>
    <row r="17" spans="1:4" x14ac:dyDescent="0.3">
      <c r="A17">
        <v>16</v>
      </c>
      <c r="B17" t="s">
        <v>1934</v>
      </c>
      <c r="C17" t="s">
        <v>1935</v>
      </c>
      <c r="D17" t="s">
        <v>1936</v>
      </c>
    </row>
    <row r="18" spans="1:4" x14ac:dyDescent="0.3">
      <c r="A18">
        <v>17</v>
      </c>
      <c r="B18" t="s">
        <v>1275</v>
      </c>
      <c r="C18" t="s">
        <v>1276</v>
      </c>
      <c r="D18" t="s">
        <v>1277</v>
      </c>
    </row>
    <row r="19" spans="1:4" x14ac:dyDescent="0.3">
      <c r="A19">
        <v>18</v>
      </c>
      <c r="B19" t="s">
        <v>2473</v>
      </c>
      <c r="C19" t="s">
        <v>1328</v>
      </c>
      <c r="D19" t="s">
        <v>2474</v>
      </c>
    </row>
    <row r="20" spans="1:4" x14ac:dyDescent="0.3">
      <c r="A20">
        <v>19</v>
      </c>
      <c r="B20" t="s">
        <v>1937</v>
      </c>
      <c r="C20" t="s">
        <v>1803</v>
      </c>
      <c r="D20" t="s">
        <v>1936</v>
      </c>
    </row>
    <row r="21" spans="1:4" x14ac:dyDescent="0.3">
      <c r="A21">
        <v>20</v>
      </c>
      <c r="B21" t="s">
        <v>2090</v>
      </c>
      <c r="C21" t="s">
        <v>1279</v>
      </c>
      <c r="D21" t="s">
        <v>2091</v>
      </c>
    </row>
    <row r="22" spans="1:4" x14ac:dyDescent="0.3">
      <c r="A22">
        <v>21</v>
      </c>
      <c r="B22" t="s">
        <v>1466</v>
      </c>
      <c r="C22" t="s">
        <v>1467</v>
      </c>
      <c r="D22" t="s">
        <v>1468</v>
      </c>
    </row>
    <row r="23" spans="1:4" x14ac:dyDescent="0.3">
      <c r="A23">
        <v>22</v>
      </c>
      <c r="B23" t="s">
        <v>2169</v>
      </c>
      <c r="C23" t="s">
        <v>1638</v>
      </c>
      <c r="D23" t="s">
        <v>2170</v>
      </c>
    </row>
    <row r="24" spans="1:4" x14ac:dyDescent="0.3">
      <c r="A24">
        <v>23</v>
      </c>
      <c r="B24" t="s">
        <v>1727</v>
      </c>
      <c r="C24" t="s">
        <v>1378</v>
      </c>
      <c r="D24" t="s">
        <v>1728</v>
      </c>
    </row>
    <row r="25" spans="1:4" x14ac:dyDescent="0.3">
      <c r="A25">
        <v>24</v>
      </c>
      <c r="B25" t="s">
        <v>2542</v>
      </c>
      <c r="C25" t="s">
        <v>1285</v>
      </c>
      <c r="D25" t="s">
        <v>2540</v>
      </c>
    </row>
    <row r="26" spans="1:4" x14ac:dyDescent="0.3">
      <c r="A26">
        <v>25</v>
      </c>
      <c r="B26" t="s">
        <v>2734</v>
      </c>
      <c r="C26" t="s">
        <v>2072</v>
      </c>
      <c r="D26" t="s">
        <v>2735</v>
      </c>
    </row>
    <row r="27" spans="1:4" x14ac:dyDescent="0.3">
      <c r="A27">
        <v>26</v>
      </c>
      <c r="B27" t="s">
        <v>2673</v>
      </c>
      <c r="C27" t="s">
        <v>1888</v>
      </c>
      <c r="D27" t="s">
        <v>2674</v>
      </c>
    </row>
    <row r="28" spans="1:4" x14ac:dyDescent="0.3">
      <c r="A28">
        <v>27</v>
      </c>
      <c r="B28" t="s">
        <v>1427</v>
      </c>
      <c r="C28" t="s">
        <v>1428</v>
      </c>
      <c r="D28" t="s">
        <v>1429</v>
      </c>
    </row>
    <row r="29" spans="1:4" x14ac:dyDescent="0.3">
      <c r="A29">
        <v>28</v>
      </c>
      <c r="B29" t="s">
        <v>1912</v>
      </c>
      <c r="C29" t="s">
        <v>1684</v>
      </c>
      <c r="D29" t="s">
        <v>1913</v>
      </c>
    </row>
    <row r="30" spans="1:4" x14ac:dyDescent="0.3">
      <c r="A30">
        <v>29</v>
      </c>
      <c r="B30" t="s">
        <v>2015</v>
      </c>
      <c r="C30" t="s">
        <v>1987</v>
      </c>
      <c r="D30" t="s">
        <v>2016</v>
      </c>
    </row>
    <row r="31" spans="1:4" x14ac:dyDescent="0.3">
      <c r="A31">
        <v>30</v>
      </c>
      <c r="B31" t="s">
        <v>2250</v>
      </c>
      <c r="C31" t="s">
        <v>1543</v>
      </c>
      <c r="D31" t="s">
        <v>2251</v>
      </c>
    </row>
    <row r="32" spans="1:4" x14ac:dyDescent="0.3">
      <c r="A32">
        <v>31</v>
      </c>
      <c r="B32" t="s">
        <v>2378</v>
      </c>
      <c r="C32" t="s">
        <v>1417</v>
      </c>
      <c r="D32" t="s">
        <v>2379</v>
      </c>
    </row>
    <row r="33" spans="1:4" x14ac:dyDescent="0.3">
      <c r="A33">
        <v>32</v>
      </c>
      <c r="B33" t="s">
        <v>2677</v>
      </c>
      <c r="C33" t="s">
        <v>1818</v>
      </c>
      <c r="D33" t="s">
        <v>2678</v>
      </c>
    </row>
    <row r="34" spans="1:4" x14ac:dyDescent="0.3">
      <c r="A34">
        <v>33</v>
      </c>
      <c r="B34" t="s">
        <v>2650</v>
      </c>
      <c r="C34" t="s">
        <v>1337</v>
      </c>
      <c r="D34" t="s">
        <v>2651</v>
      </c>
    </row>
    <row r="35" spans="1:4" x14ac:dyDescent="0.3">
      <c r="A35">
        <v>34</v>
      </c>
      <c r="B35" t="s">
        <v>2171</v>
      </c>
      <c r="C35" t="s">
        <v>1537</v>
      </c>
      <c r="D35" t="s">
        <v>2170</v>
      </c>
    </row>
    <row r="36" spans="1:4" x14ac:dyDescent="0.3">
      <c r="A36">
        <v>35</v>
      </c>
      <c r="B36" t="s">
        <v>2524</v>
      </c>
      <c r="C36" t="s">
        <v>1760</v>
      </c>
      <c r="D36" t="s">
        <v>2525</v>
      </c>
    </row>
    <row r="37" spans="1:4" x14ac:dyDescent="0.3">
      <c r="A37">
        <v>36</v>
      </c>
      <c r="B37" t="s">
        <v>2543</v>
      </c>
      <c r="C37" t="s">
        <v>2060</v>
      </c>
      <c r="D37" t="s">
        <v>2540</v>
      </c>
    </row>
    <row r="38" spans="1:4" x14ac:dyDescent="0.3">
      <c r="A38">
        <v>37</v>
      </c>
      <c r="B38" t="s">
        <v>1925</v>
      </c>
      <c r="C38" t="s">
        <v>1763</v>
      </c>
      <c r="D38" t="s">
        <v>1926</v>
      </c>
    </row>
    <row r="39" spans="1:4" x14ac:dyDescent="0.3">
      <c r="A39">
        <v>38</v>
      </c>
      <c r="B39" t="s">
        <v>2109</v>
      </c>
      <c r="C39" t="s">
        <v>2053</v>
      </c>
      <c r="D39" t="s">
        <v>2110</v>
      </c>
    </row>
    <row r="40" spans="1:4" x14ac:dyDescent="0.3">
      <c r="A40">
        <v>39</v>
      </c>
      <c r="B40" t="s">
        <v>1707</v>
      </c>
      <c r="C40" t="s">
        <v>1708</v>
      </c>
      <c r="D40" t="s">
        <v>1709</v>
      </c>
    </row>
    <row r="41" spans="1:4" x14ac:dyDescent="0.3">
      <c r="A41">
        <v>40</v>
      </c>
      <c r="B41" t="s">
        <v>2218</v>
      </c>
      <c r="C41" t="s">
        <v>1515</v>
      </c>
      <c r="D41" t="s">
        <v>2219</v>
      </c>
    </row>
    <row r="42" spans="1:4" x14ac:dyDescent="0.3">
      <c r="A42">
        <v>41</v>
      </c>
      <c r="B42" t="s">
        <v>2101</v>
      </c>
      <c r="C42" t="s">
        <v>1606</v>
      </c>
      <c r="D42" t="s">
        <v>2102</v>
      </c>
    </row>
    <row r="43" spans="1:4" x14ac:dyDescent="0.3">
      <c r="A43">
        <v>42</v>
      </c>
      <c r="B43" t="s">
        <v>1557</v>
      </c>
      <c r="C43" t="s">
        <v>1558</v>
      </c>
      <c r="D43" t="s">
        <v>1559</v>
      </c>
    </row>
    <row r="44" spans="1:4" x14ac:dyDescent="0.3">
      <c r="A44">
        <v>43</v>
      </c>
      <c r="B44" t="s">
        <v>2325</v>
      </c>
      <c r="C44" t="s">
        <v>1394</v>
      </c>
      <c r="D44" t="s">
        <v>2326</v>
      </c>
    </row>
    <row r="45" spans="1:4" x14ac:dyDescent="0.3">
      <c r="A45">
        <v>44</v>
      </c>
      <c r="B45" t="s">
        <v>2607</v>
      </c>
      <c r="C45" t="s">
        <v>2608</v>
      </c>
      <c r="D45" t="s">
        <v>2606</v>
      </c>
    </row>
    <row r="46" spans="1:4" x14ac:dyDescent="0.3">
      <c r="A46">
        <v>45</v>
      </c>
      <c r="B46" t="s">
        <v>2232</v>
      </c>
      <c r="C46" t="s">
        <v>2233</v>
      </c>
      <c r="D46" t="s">
        <v>2234</v>
      </c>
    </row>
    <row r="47" spans="1:4" x14ac:dyDescent="0.3">
      <c r="A47">
        <v>46</v>
      </c>
      <c r="B47" t="s">
        <v>1964</v>
      </c>
      <c r="C47" t="s">
        <v>1417</v>
      </c>
      <c r="D47" t="s">
        <v>1965</v>
      </c>
    </row>
    <row r="48" spans="1:4" x14ac:dyDescent="0.3">
      <c r="A48">
        <v>47</v>
      </c>
      <c r="B48" t="s">
        <v>1545</v>
      </c>
      <c r="C48" t="s">
        <v>1546</v>
      </c>
      <c r="D48" t="s">
        <v>1547</v>
      </c>
    </row>
    <row r="49" spans="1:4" x14ac:dyDescent="0.3">
      <c r="A49">
        <v>48</v>
      </c>
      <c r="B49" t="s">
        <v>2017</v>
      </c>
      <c r="C49" t="s">
        <v>2018</v>
      </c>
      <c r="D49" t="s">
        <v>2016</v>
      </c>
    </row>
    <row r="50" spans="1:4" x14ac:dyDescent="0.3">
      <c r="A50">
        <v>49</v>
      </c>
      <c r="B50" t="s">
        <v>2665</v>
      </c>
      <c r="C50" t="s">
        <v>1362</v>
      </c>
      <c r="D50" t="s">
        <v>2664</v>
      </c>
    </row>
    <row r="51" spans="1:4" x14ac:dyDescent="0.3">
      <c r="A51">
        <v>50</v>
      </c>
      <c r="B51" t="s">
        <v>2526</v>
      </c>
      <c r="C51" t="s">
        <v>1444</v>
      </c>
      <c r="D51" t="s">
        <v>2525</v>
      </c>
    </row>
    <row r="52" spans="1:4" x14ac:dyDescent="0.3">
      <c r="A52">
        <v>51</v>
      </c>
      <c r="B52" t="s">
        <v>2708</v>
      </c>
      <c r="C52" t="s">
        <v>1941</v>
      </c>
      <c r="D52" t="s">
        <v>2709</v>
      </c>
    </row>
    <row r="53" spans="1:4" x14ac:dyDescent="0.3">
      <c r="A53">
        <v>52</v>
      </c>
      <c r="B53" t="s">
        <v>1632</v>
      </c>
      <c r="C53" t="s">
        <v>1633</v>
      </c>
      <c r="D53" t="s">
        <v>1634</v>
      </c>
    </row>
    <row r="54" spans="1:4" x14ac:dyDescent="0.3">
      <c r="A54">
        <v>53</v>
      </c>
      <c r="B54" t="s">
        <v>2666</v>
      </c>
      <c r="C54" t="s">
        <v>1394</v>
      </c>
      <c r="D54" t="s">
        <v>2664</v>
      </c>
    </row>
    <row r="55" spans="1:4" x14ac:dyDescent="0.3">
      <c r="A55">
        <v>54</v>
      </c>
      <c r="B55" t="s">
        <v>2770</v>
      </c>
      <c r="C55" t="s">
        <v>2771</v>
      </c>
      <c r="D55" t="s">
        <v>2772</v>
      </c>
    </row>
    <row r="56" spans="1:4" x14ac:dyDescent="0.3">
      <c r="A56">
        <v>55</v>
      </c>
      <c r="B56" t="s">
        <v>2123</v>
      </c>
      <c r="C56" t="s">
        <v>2124</v>
      </c>
      <c r="D56" t="s">
        <v>2125</v>
      </c>
    </row>
    <row r="57" spans="1:4" x14ac:dyDescent="0.3">
      <c r="A57">
        <v>56</v>
      </c>
      <c r="B57" t="s">
        <v>1823</v>
      </c>
      <c r="C57" t="s">
        <v>1704</v>
      </c>
      <c r="D57" t="s">
        <v>1824</v>
      </c>
    </row>
    <row r="58" spans="1:4" x14ac:dyDescent="0.3">
      <c r="A58">
        <v>57</v>
      </c>
      <c r="B58" t="s">
        <v>2357</v>
      </c>
      <c r="C58" t="s">
        <v>1981</v>
      </c>
      <c r="D58" t="s">
        <v>2356</v>
      </c>
    </row>
    <row r="59" spans="1:4" x14ac:dyDescent="0.3">
      <c r="A59">
        <v>58</v>
      </c>
      <c r="B59" t="s">
        <v>2172</v>
      </c>
      <c r="C59" t="s">
        <v>1355</v>
      </c>
      <c r="D59" t="s">
        <v>2170</v>
      </c>
    </row>
    <row r="60" spans="1:4" x14ac:dyDescent="0.3">
      <c r="A60">
        <v>59</v>
      </c>
      <c r="B60" t="s">
        <v>1613</v>
      </c>
      <c r="C60" t="s">
        <v>1614</v>
      </c>
      <c r="D60" t="s">
        <v>1615</v>
      </c>
    </row>
    <row r="61" spans="1:4" x14ac:dyDescent="0.3">
      <c r="A61">
        <v>60</v>
      </c>
      <c r="B61" t="s">
        <v>1652</v>
      </c>
      <c r="C61" t="s">
        <v>1330</v>
      </c>
      <c r="D61" t="s">
        <v>1653</v>
      </c>
    </row>
    <row r="62" spans="1:4" x14ac:dyDescent="0.3">
      <c r="A62">
        <v>61</v>
      </c>
      <c r="B62" t="s">
        <v>1469</v>
      </c>
      <c r="C62" t="s">
        <v>1470</v>
      </c>
      <c r="D62" t="s">
        <v>1468</v>
      </c>
    </row>
    <row r="63" spans="1:4" x14ac:dyDescent="0.3">
      <c r="A63">
        <v>62</v>
      </c>
      <c r="B63" t="s">
        <v>1898</v>
      </c>
      <c r="C63" t="s">
        <v>1855</v>
      </c>
      <c r="D63" t="s">
        <v>1899</v>
      </c>
    </row>
    <row r="64" spans="1:4" x14ac:dyDescent="0.3">
      <c r="A64">
        <v>63</v>
      </c>
      <c r="B64" t="s">
        <v>2187</v>
      </c>
      <c r="C64" t="s">
        <v>1337</v>
      </c>
      <c r="D64" t="s">
        <v>2188</v>
      </c>
    </row>
    <row r="65" spans="1:4" x14ac:dyDescent="0.3">
      <c r="A65">
        <v>64</v>
      </c>
      <c r="B65" t="s">
        <v>2252</v>
      </c>
      <c r="C65" t="s">
        <v>2018</v>
      </c>
      <c r="D65" t="s">
        <v>2251</v>
      </c>
    </row>
    <row r="66" spans="1:4" x14ac:dyDescent="0.3">
      <c r="A66">
        <v>65</v>
      </c>
      <c r="B66" t="s">
        <v>1300</v>
      </c>
      <c r="C66" t="s">
        <v>1301</v>
      </c>
      <c r="D66" t="s">
        <v>1302</v>
      </c>
    </row>
    <row r="67" spans="1:4" x14ac:dyDescent="0.3">
      <c r="A67">
        <v>66</v>
      </c>
      <c r="B67" t="s">
        <v>1938</v>
      </c>
      <c r="C67" t="s">
        <v>1939</v>
      </c>
      <c r="D67" t="s">
        <v>1936</v>
      </c>
    </row>
    <row r="68" spans="1:4" x14ac:dyDescent="0.3">
      <c r="A68">
        <v>67</v>
      </c>
      <c r="B68" t="s">
        <v>2173</v>
      </c>
      <c r="C68" t="s">
        <v>2174</v>
      </c>
      <c r="D68" t="s">
        <v>2170</v>
      </c>
    </row>
    <row r="69" spans="1:4" x14ac:dyDescent="0.3">
      <c r="A69">
        <v>68</v>
      </c>
      <c r="B69" t="s">
        <v>2147</v>
      </c>
      <c r="C69" t="s">
        <v>2119</v>
      </c>
      <c r="D69" t="s">
        <v>2148</v>
      </c>
    </row>
    <row r="70" spans="1:4" x14ac:dyDescent="0.3">
      <c r="A70">
        <v>69</v>
      </c>
      <c r="B70" t="s">
        <v>1395</v>
      </c>
      <c r="C70" t="s">
        <v>1396</v>
      </c>
      <c r="D70" t="s">
        <v>1397</v>
      </c>
    </row>
    <row r="71" spans="1:4" x14ac:dyDescent="0.3">
      <c r="A71">
        <v>70</v>
      </c>
      <c r="B71" t="s">
        <v>1487</v>
      </c>
      <c r="C71" t="s">
        <v>1351</v>
      </c>
      <c r="D71" t="s">
        <v>1486</v>
      </c>
    </row>
    <row r="72" spans="1:4" x14ac:dyDescent="0.3">
      <c r="A72">
        <v>71</v>
      </c>
      <c r="B72" t="s">
        <v>1810</v>
      </c>
      <c r="C72" t="s">
        <v>1811</v>
      </c>
      <c r="D72" t="s">
        <v>1812</v>
      </c>
    </row>
    <row r="73" spans="1:4" x14ac:dyDescent="0.3">
      <c r="A73">
        <v>72</v>
      </c>
      <c r="B73" t="s">
        <v>1864</v>
      </c>
      <c r="C73" t="s">
        <v>1380</v>
      </c>
      <c r="D73" t="s">
        <v>1863</v>
      </c>
    </row>
    <row r="74" spans="1:4" x14ac:dyDescent="0.3">
      <c r="A74">
        <v>73</v>
      </c>
      <c r="B74" t="s">
        <v>2626</v>
      </c>
      <c r="C74" t="s">
        <v>2227</v>
      </c>
      <c r="D74" t="s">
        <v>2627</v>
      </c>
    </row>
    <row r="75" spans="1:4" x14ac:dyDescent="0.3">
      <c r="A75">
        <v>74</v>
      </c>
      <c r="B75" t="s">
        <v>1793</v>
      </c>
      <c r="C75" t="s">
        <v>1321</v>
      </c>
      <c r="D75" t="s">
        <v>1794</v>
      </c>
    </row>
    <row r="76" spans="1:4" x14ac:dyDescent="0.3">
      <c r="A76">
        <v>75</v>
      </c>
      <c r="B76" t="s">
        <v>2369</v>
      </c>
      <c r="C76" t="s">
        <v>1920</v>
      </c>
      <c r="D76" t="s">
        <v>2370</v>
      </c>
    </row>
    <row r="77" spans="1:4" x14ac:dyDescent="0.3">
      <c r="A77">
        <v>76</v>
      </c>
      <c r="B77" t="s">
        <v>2111</v>
      </c>
      <c r="C77" t="s">
        <v>1365</v>
      </c>
      <c r="D77" t="s">
        <v>2110</v>
      </c>
    </row>
    <row r="78" spans="1:4" x14ac:dyDescent="0.3">
      <c r="A78">
        <v>77</v>
      </c>
      <c r="B78" t="s">
        <v>2285</v>
      </c>
      <c r="C78" t="s">
        <v>1470</v>
      </c>
      <c r="D78" t="s">
        <v>2286</v>
      </c>
    </row>
    <row r="79" spans="1:4" x14ac:dyDescent="0.3">
      <c r="A79">
        <v>78</v>
      </c>
      <c r="B79" t="s">
        <v>2680</v>
      </c>
      <c r="C79" t="s">
        <v>1412</v>
      </c>
      <c r="D79" t="s">
        <v>2681</v>
      </c>
    </row>
    <row r="80" spans="1:4" x14ac:dyDescent="0.3">
      <c r="A80">
        <v>79</v>
      </c>
      <c r="B80" t="s">
        <v>1914</v>
      </c>
      <c r="C80" t="s">
        <v>1404</v>
      </c>
      <c r="D80" t="s">
        <v>1913</v>
      </c>
    </row>
    <row r="81" spans="1:4" x14ac:dyDescent="0.3">
      <c r="A81">
        <v>80</v>
      </c>
      <c r="B81" t="s">
        <v>1951</v>
      </c>
      <c r="C81" t="s">
        <v>1517</v>
      </c>
      <c r="D81" t="s">
        <v>1952</v>
      </c>
    </row>
    <row r="82" spans="1:4" x14ac:dyDescent="0.3">
      <c r="A82">
        <v>81</v>
      </c>
      <c r="B82" t="s">
        <v>1772</v>
      </c>
      <c r="C82" t="s">
        <v>1668</v>
      </c>
      <c r="D82" t="s">
        <v>1773</v>
      </c>
    </row>
    <row r="83" spans="1:4" x14ac:dyDescent="0.3">
      <c r="A83">
        <v>82</v>
      </c>
      <c r="B83" t="s">
        <v>2667</v>
      </c>
      <c r="C83" t="s">
        <v>1644</v>
      </c>
      <c r="D83" t="s">
        <v>2664</v>
      </c>
    </row>
    <row r="84" spans="1:4" x14ac:dyDescent="0.3">
      <c r="A84">
        <v>83</v>
      </c>
      <c r="B84" t="s">
        <v>2736</v>
      </c>
      <c r="C84" t="s">
        <v>2133</v>
      </c>
      <c r="D84" t="s">
        <v>2735</v>
      </c>
    </row>
    <row r="85" spans="1:4" x14ac:dyDescent="0.3">
      <c r="A85">
        <v>84</v>
      </c>
      <c r="B85" t="s">
        <v>2235</v>
      </c>
      <c r="C85" t="s">
        <v>2093</v>
      </c>
      <c r="D85" t="s">
        <v>2234</v>
      </c>
    </row>
    <row r="86" spans="1:4" x14ac:dyDescent="0.3">
      <c r="A86">
        <v>85</v>
      </c>
      <c r="B86" t="s">
        <v>2781</v>
      </c>
      <c r="C86" t="s">
        <v>1752</v>
      </c>
      <c r="D86" t="s">
        <v>2782</v>
      </c>
    </row>
    <row r="87" spans="1:4" x14ac:dyDescent="0.3">
      <c r="A87">
        <v>86</v>
      </c>
      <c r="B87" t="s">
        <v>1500</v>
      </c>
      <c r="C87" t="s">
        <v>1501</v>
      </c>
      <c r="D87" t="s">
        <v>1502</v>
      </c>
    </row>
    <row r="88" spans="1:4" x14ac:dyDescent="0.3">
      <c r="A88">
        <v>87</v>
      </c>
      <c r="B88" t="s">
        <v>1278</v>
      </c>
      <c r="C88" t="s">
        <v>1279</v>
      </c>
      <c r="D88" t="s">
        <v>1277</v>
      </c>
    </row>
    <row r="89" spans="1:4" x14ac:dyDescent="0.3">
      <c r="A89">
        <v>88</v>
      </c>
      <c r="B89" t="s">
        <v>2496</v>
      </c>
      <c r="C89" t="s">
        <v>2497</v>
      </c>
      <c r="D89" t="s">
        <v>2495</v>
      </c>
    </row>
    <row r="90" spans="1:4" x14ac:dyDescent="0.3">
      <c r="A90">
        <v>89</v>
      </c>
      <c r="B90" t="s">
        <v>1884</v>
      </c>
      <c r="C90" t="s">
        <v>1885</v>
      </c>
      <c r="D90" t="s">
        <v>1886</v>
      </c>
    </row>
    <row r="91" spans="1:4" x14ac:dyDescent="0.3">
      <c r="A91">
        <v>90</v>
      </c>
      <c r="B91" t="s">
        <v>1915</v>
      </c>
      <c r="C91" t="s">
        <v>1916</v>
      </c>
      <c r="D91" t="s">
        <v>1913</v>
      </c>
    </row>
    <row r="92" spans="1:4" x14ac:dyDescent="0.3">
      <c r="A92">
        <v>91</v>
      </c>
      <c r="B92" t="s">
        <v>2395</v>
      </c>
      <c r="C92" t="s">
        <v>1694</v>
      </c>
      <c r="D92" t="s">
        <v>2396</v>
      </c>
    </row>
    <row r="93" spans="1:4" x14ac:dyDescent="0.3">
      <c r="A93">
        <v>92</v>
      </c>
      <c r="B93" t="s">
        <v>2628</v>
      </c>
      <c r="C93" t="s">
        <v>1563</v>
      </c>
      <c r="D93" t="s">
        <v>2627</v>
      </c>
    </row>
    <row r="94" spans="1:4" x14ac:dyDescent="0.3">
      <c r="A94">
        <v>93</v>
      </c>
      <c r="B94" t="s">
        <v>2098</v>
      </c>
      <c r="C94" t="s">
        <v>1803</v>
      </c>
      <c r="D94" t="s">
        <v>2097</v>
      </c>
    </row>
    <row r="95" spans="1:4" x14ac:dyDescent="0.3">
      <c r="A95">
        <v>94</v>
      </c>
      <c r="B95" t="s">
        <v>1729</v>
      </c>
      <c r="C95" t="s">
        <v>1462</v>
      </c>
      <c r="D95" t="s">
        <v>1728</v>
      </c>
    </row>
    <row r="96" spans="1:4" x14ac:dyDescent="0.3">
      <c r="A96">
        <v>95</v>
      </c>
      <c r="B96" t="s">
        <v>2195</v>
      </c>
      <c r="C96" t="s">
        <v>2067</v>
      </c>
      <c r="D96" t="s">
        <v>2196</v>
      </c>
    </row>
    <row r="97" spans="1:4" x14ac:dyDescent="0.3">
      <c r="A97">
        <v>96</v>
      </c>
      <c r="B97" t="s">
        <v>1865</v>
      </c>
      <c r="C97" t="s">
        <v>1387</v>
      </c>
      <c r="D97" t="s">
        <v>1863</v>
      </c>
    </row>
    <row r="98" spans="1:4" x14ac:dyDescent="0.3">
      <c r="A98">
        <v>97</v>
      </c>
      <c r="B98" t="s">
        <v>1430</v>
      </c>
      <c r="C98" t="s">
        <v>1431</v>
      </c>
      <c r="D98" t="s">
        <v>1429</v>
      </c>
    </row>
    <row r="99" spans="1:4" x14ac:dyDescent="0.3">
      <c r="A99">
        <v>98</v>
      </c>
      <c r="B99" t="s">
        <v>2751</v>
      </c>
      <c r="C99" t="s">
        <v>1390</v>
      </c>
      <c r="D99" t="s">
        <v>2752</v>
      </c>
    </row>
    <row r="100" spans="1:4" x14ac:dyDescent="0.3">
      <c r="A100">
        <v>99</v>
      </c>
      <c r="B100" t="s">
        <v>2603</v>
      </c>
      <c r="C100" t="s">
        <v>1602</v>
      </c>
      <c r="D100" t="s">
        <v>2604</v>
      </c>
    </row>
    <row r="101" spans="1:4" x14ac:dyDescent="0.3">
      <c r="A101">
        <v>100</v>
      </c>
      <c r="B101" t="s">
        <v>1416</v>
      </c>
      <c r="C101" t="s">
        <v>1417</v>
      </c>
      <c r="D101" t="s">
        <v>1418</v>
      </c>
    </row>
    <row r="102" spans="1:4" x14ac:dyDescent="0.3">
      <c r="A102">
        <v>101</v>
      </c>
      <c r="B102" t="s">
        <v>1688</v>
      </c>
      <c r="C102" t="s">
        <v>1689</v>
      </c>
      <c r="D102" t="s">
        <v>1690</v>
      </c>
    </row>
    <row r="103" spans="1:4" x14ac:dyDescent="0.3">
      <c r="A103">
        <v>102</v>
      </c>
      <c r="B103" t="s">
        <v>2059</v>
      </c>
      <c r="C103" t="s">
        <v>2060</v>
      </c>
      <c r="D103" t="s">
        <v>2061</v>
      </c>
    </row>
    <row r="104" spans="1:4" x14ac:dyDescent="0.3">
      <c r="A104">
        <v>103</v>
      </c>
      <c r="B104" t="s">
        <v>2561</v>
      </c>
      <c r="C104" t="s">
        <v>2562</v>
      </c>
      <c r="D104" t="s">
        <v>2560</v>
      </c>
    </row>
    <row r="105" spans="1:4" x14ac:dyDescent="0.3">
      <c r="A105">
        <v>104</v>
      </c>
      <c r="B105" t="s">
        <v>1966</v>
      </c>
      <c r="C105" t="s">
        <v>1460</v>
      </c>
      <c r="D105" t="s">
        <v>1965</v>
      </c>
    </row>
    <row r="106" spans="1:4" x14ac:dyDescent="0.3">
      <c r="A106">
        <v>105</v>
      </c>
      <c r="B106" t="s">
        <v>1280</v>
      </c>
      <c r="C106" t="s">
        <v>1281</v>
      </c>
      <c r="D106" t="s">
        <v>1277</v>
      </c>
    </row>
    <row r="107" spans="1:4" x14ac:dyDescent="0.3">
      <c r="A107">
        <v>106</v>
      </c>
      <c r="B107" t="s">
        <v>2092</v>
      </c>
      <c r="C107" t="s">
        <v>2093</v>
      </c>
      <c r="D107" t="s">
        <v>2091</v>
      </c>
    </row>
    <row r="108" spans="1:4" x14ac:dyDescent="0.3">
      <c r="A108">
        <v>107</v>
      </c>
      <c r="B108" t="s">
        <v>2601</v>
      </c>
      <c r="C108" t="s">
        <v>2074</v>
      </c>
      <c r="D108" t="s">
        <v>2602</v>
      </c>
    </row>
    <row r="109" spans="1:4" x14ac:dyDescent="0.3">
      <c r="A109">
        <v>108</v>
      </c>
      <c r="B109" t="s">
        <v>1764</v>
      </c>
      <c r="C109" t="s">
        <v>1765</v>
      </c>
      <c r="D109" t="s">
        <v>1766</v>
      </c>
    </row>
    <row r="110" spans="1:4" x14ac:dyDescent="0.3">
      <c r="A110">
        <v>109</v>
      </c>
      <c r="B110" t="s">
        <v>1795</v>
      </c>
      <c r="C110" t="s">
        <v>1796</v>
      </c>
      <c r="D110" t="s">
        <v>1794</v>
      </c>
    </row>
    <row r="111" spans="1:4" x14ac:dyDescent="0.3">
      <c r="A111">
        <v>110</v>
      </c>
      <c r="B111" t="s">
        <v>2175</v>
      </c>
      <c r="C111" t="s">
        <v>1328</v>
      </c>
      <c r="D111" t="s">
        <v>2170</v>
      </c>
    </row>
    <row r="112" spans="1:4" x14ac:dyDescent="0.3">
      <c r="A112">
        <v>111</v>
      </c>
      <c r="B112" t="s">
        <v>1562</v>
      </c>
      <c r="C112" t="s">
        <v>1563</v>
      </c>
      <c r="D112" t="s">
        <v>1564</v>
      </c>
    </row>
    <row r="113" spans="1:4" x14ac:dyDescent="0.3">
      <c r="A113">
        <v>112</v>
      </c>
      <c r="B113" t="s">
        <v>1797</v>
      </c>
      <c r="C113" t="s">
        <v>1495</v>
      </c>
      <c r="D113" t="s">
        <v>1794</v>
      </c>
    </row>
    <row r="114" spans="1:4" x14ac:dyDescent="0.3">
      <c r="A114">
        <v>113</v>
      </c>
      <c r="B114" t="s">
        <v>2609</v>
      </c>
      <c r="C114" t="s">
        <v>1877</v>
      </c>
      <c r="D114" t="s">
        <v>2606</v>
      </c>
    </row>
    <row r="115" spans="1:4" x14ac:dyDescent="0.3">
      <c r="A115">
        <v>114</v>
      </c>
      <c r="B115" t="s">
        <v>1967</v>
      </c>
      <c r="C115" t="s">
        <v>1890</v>
      </c>
      <c r="D115" t="s">
        <v>1965</v>
      </c>
    </row>
    <row r="116" spans="1:4" x14ac:dyDescent="0.3">
      <c r="A116">
        <v>115</v>
      </c>
      <c r="B116" t="s">
        <v>2408</v>
      </c>
      <c r="C116" t="s">
        <v>1847</v>
      </c>
      <c r="D116" t="s">
        <v>2409</v>
      </c>
    </row>
    <row r="117" spans="1:4" x14ac:dyDescent="0.3">
      <c r="A117">
        <v>116</v>
      </c>
      <c r="B117" t="s">
        <v>2468</v>
      </c>
      <c r="C117" t="s">
        <v>1524</v>
      </c>
      <c r="D117" t="s">
        <v>2469</v>
      </c>
    </row>
    <row r="118" spans="1:4" x14ac:dyDescent="0.3">
      <c r="A118">
        <v>117</v>
      </c>
      <c r="B118" t="s">
        <v>1345</v>
      </c>
      <c r="C118" t="s">
        <v>1346</v>
      </c>
      <c r="D118" t="s">
        <v>1347</v>
      </c>
    </row>
    <row r="119" spans="1:4" x14ac:dyDescent="0.3">
      <c r="A119">
        <v>118</v>
      </c>
      <c r="B119" t="s">
        <v>2333</v>
      </c>
      <c r="C119" t="s">
        <v>2174</v>
      </c>
      <c r="D119" t="s">
        <v>2334</v>
      </c>
    </row>
    <row r="120" spans="1:4" x14ac:dyDescent="0.3">
      <c r="A120">
        <v>119</v>
      </c>
      <c r="B120" t="s">
        <v>2753</v>
      </c>
      <c r="C120" t="s">
        <v>2003</v>
      </c>
      <c r="D120" t="s">
        <v>2752</v>
      </c>
    </row>
    <row r="121" spans="1:4" x14ac:dyDescent="0.3">
      <c r="A121">
        <v>120</v>
      </c>
      <c r="B121" t="s">
        <v>1654</v>
      </c>
      <c r="C121" t="s">
        <v>1328</v>
      </c>
      <c r="D121" t="s">
        <v>1653</v>
      </c>
    </row>
    <row r="122" spans="1:4" x14ac:dyDescent="0.3">
      <c r="A122">
        <v>121</v>
      </c>
      <c r="B122" t="s">
        <v>2158</v>
      </c>
      <c r="C122" t="s">
        <v>1760</v>
      </c>
      <c r="D122" t="s">
        <v>2159</v>
      </c>
    </row>
    <row r="123" spans="1:4" x14ac:dyDescent="0.3">
      <c r="A123">
        <v>122</v>
      </c>
      <c r="B123" t="s">
        <v>2656</v>
      </c>
      <c r="C123" t="s">
        <v>1963</v>
      </c>
      <c r="D123" t="s">
        <v>2657</v>
      </c>
    </row>
    <row r="124" spans="1:4" x14ac:dyDescent="0.3">
      <c r="A124">
        <v>123</v>
      </c>
      <c r="B124" t="s">
        <v>2545</v>
      </c>
      <c r="C124" t="s">
        <v>1378</v>
      </c>
      <c r="D124" t="s">
        <v>2546</v>
      </c>
    </row>
    <row r="125" spans="1:4" x14ac:dyDescent="0.3">
      <c r="A125">
        <v>124</v>
      </c>
      <c r="B125" t="s">
        <v>1984</v>
      </c>
      <c r="C125" t="s">
        <v>1380</v>
      </c>
      <c r="D125" t="s">
        <v>1985</v>
      </c>
    </row>
    <row r="126" spans="1:4" x14ac:dyDescent="0.3">
      <c r="A126">
        <v>125</v>
      </c>
      <c r="B126" t="s">
        <v>2126</v>
      </c>
      <c r="C126" t="s">
        <v>1775</v>
      </c>
      <c r="D126" t="s">
        <v>2125</v>
      </c>
    </row>
    <row r="127" spans="1:4" x14ac:dyDescent="0.3">
      <c r="A127">
        <v>126</v>
      </c>
      <c r="B127" t="s">
        <v>2197</v>
      </c>
      <c r="C127" t="s">
        <v>1799</v>
      </c>
      <c r="D127" t="s">
        <v>2196</v>
      </c>
    </row>
    <row r="128" spans="1:4" x14ac:dyDescent="0.3">
      <c r="A128">
        <v>127</v>
      </c>
      <c r="B128" t="s">
        <v>2475</v>
      </c>
      <c r="C128" t="s">
        <v>2476</v>
      </c>
      <c r="D128" t="s">
        <v>2474</v>
      </c>
    </row>
    <row r="129" spans="1:4" x14ac:dyDescent="0.3">
      <c r="A129">
        <v>128</v>
      </c>
      <c r="B129" t="s">
        <v>1844</v>
      </c>
      <c r="C129" t="s">
        <v>1752</v>
      </c>
      <c r="D129" t="s">
        <v>1845</v>
      </c>
    </row>
    <row r="130" spans="1:4" x14ac:dyDescent="0.3">
      <c r="A130">
        <v>129</v>
      </c>
      <c r="B130" t="s">
        <v>1451</v>
      </c>
      <c r="C130" t="s">
        <v>1452</v>
      </c>
      <c r="D130" t="s">
        <v>1453</v>
      </c>
    </row>
    <row r="131" spans="1:4" x14ac:dyDescent="0.3">
      <c r="A131">
        <v>130</v>
      </c>
      <c r="B131" t="s">
        <v>2344</v>
      </c>
      <c r="C131" t="s">
        <v>1622</v>
      </c>
      <c r="D131" t="s">
        <v>2345</v>
      </c>
    </row>
    <row r="132" spans="1:4" x14ac:dyDescent="0.3">
      <c r="A132">
        <v>131</v>
      </c>
      <c r="B132" t="s">
        <v>2629</v>
      </c>
      <c r="C132" t="s">
        <v>1479</v>
      </c>
      <c r="D132" t="s">
        <v>2627</v>
      </c>
    </row>
    <row r="133" spans="1:4" x14ac:dyDescent="0.3">
      <c r="A133">
        <v>132</v>
      </c>
      <c r="B133" t="s">
        <v>1518</v>
      </c>
      <c r="C133" t="s">
        <v>1519</v>
      </c>
      <c r="D133" t="s">
        <v>1520</v>
      </c>
    </row>
    <row r="134" spans="1:4" x14ac:dyDescent="0.3">
      <c r="A134">
        <v>133</v>
      </c>
      <c r="B134" t="s">
        <v>2040</v>
      </c>
      <c r="C134" t="s">
        <v>2026</v>
      </c>
      <c r="D134" t="s">
        <v>2041</v>
      </c>
    </row>
    <row r="135" spans="1:4" x14ac:dyDescent="0.3">
      <c r="A135">
        <v>134</v>
      </c>
      <c r="B135" t="s">
        <v>2253</v>
      </c>
      <c r="C135" t="s">
        <v>1614</v>
      </c>
      <c r="D135" t="s">
        <v>2251</v>
      </c>
    </row>
    <row r="136" spans="1:4" x14ac:dyDescent="0.3">
      <c r="A136">
        <v>135</v>
      </c>
      <c r="B136" t="s">
        <v>2358</v>
      </c>
      <c r="C136" t="s">
        <v>1323</v>
      </c>
      <c r="D136" t="s">
        <v>2356</v>
      </c>
    </row>
    <row r="137" spans="1:4" x14ac:dyDescent="0.3">
      <c r="A137">
        <v>136</v>
      </c>
      <c r="B137" t="s">
        <v>2447</v>
      </c>
      <c r="C137" t="s">
        <v>1295</v>
      </c>
      <c r="D137" t="s">
        <v>2448</v>
      </c>
    </row>
    <row r="138" spans="1:4" x14ac:dyDescent="0.3">
      <c r="A138">
        <v>137</v>
      </c>
      <c r="B138" t="s">
        <v>1521</v>
      </c>
      <c r="C138" t="s">
        <v>1522</v>
      </c>
      <c r="D138" t="s">
        <v>1520</v>
      </c>
    </row>
    <row r="139" spans="1:4" x14ac:dyDescent="0.3">
      <c r="A139">
        <v>138</v>
      </c>
      <c r="B139" t="s">
        <v>2160</v>
      </c>
      <c r="C139" t="s">
        <v>2161</v>
      </c>
      <c r="D139" t="s">
        <v>2159</v>
      </c>
    </row>
    <row r="140" spans="1:4" x14ac:dyDescent="0.3">
      <c r="A140">
        <v>139</v>
      </c>
      <c r="B140" t="s">
        <v>2001</v>
      </c>
      <c r="C140" t="s">
        <v>1479</v>
      </c>
      <c r="D140" t="s">
        <v>2000</v>
      </c>
    </row>
    <row r="141" spans="1:4" x14ac:dyDescent="0.3">
      <c r="A141">
        <v>140</v>
      </c>
      <c r="B141" t="s">
        <v>2490</v>
      </c>
      <c r="C141" t="s">
        <v>1646</v>
      </c>
      <c r="D141" t="s">
        <v>2489</v>
      </c>
    </row>
    <row r="142" spans="1:4" x14ac:dyDescent="0.3">
      <c r="A142">
        <v>141</v>
      </c>
      <c r="B142" t="s">
        <v>2019</v>
      </c>
      <c r="C142" t="s">
        <v>1374</v>
      </c>
      <c r="D142" t="s">
        <v>2016</v>
      </c>
    </row>
    <row r="143" spans="1:4" x14ac:dyDescent="0.3">
      <c r="A143">
        <v>142</v>
      </c>
      <c r="B143" t="s">
        <v>1488</v>
      </c>
      <c r="C143" t="s">
        <v>1489</v>
      </c>
      <c r="D143" t="s">
        <v>1486</v>
      </c>
    </row>
    <row r="144" spans="1:4" x14ac:dyDescent="0.3">
      <c r="A144">
        <v>143</v>
      </c>
      <c r="B144" t="s">
        <v>1927</v>
      </c>
      <c r="C144" t="s">
        <v>1928</v>
      </c>
      <c r="D144" t="s">
        <v>1926</v>
      </c>
    </row>
    <row r="145" spans="1:4" x14ac:dyDescent="0.3">
      <c r="A145">
        <v>144</v>
      </c>
      <c r="B145" t="s">
        <v>1798</v>
      </c>
      <c r="C145" t="s">
        <v>1799</v>
      </c>
      <c r="D145" t="s">
        <v>1794</v>
      </c>
    </row>
    <row r="146" spans="1:4" x14ac:dyDescent="0.3">
      <c r="A146">
        <v>145</v>
      </c>
      <c r="B146" t="s">
        <v>2789</v>
      </c>
      <c r="C146" t="s">
        <v>1458</v>
      </c>
      <c r="D146" t="s">
        <v>2790</v>
      </c>
    </row>
    <row r="147" spans="1:4" x14ac:dyDescent="0.3">
      <c r="A147">
        <v>146</v>
      </c>
      <c r="B147" t="s">
        <v>2582</v>
      </c>
      <c r="C147" t="s">
        <v>2089</v>
      </c>
      <c r="D147" t="s">
        <v>2583</v>
      </c>
    </row>
    <row r="148" spans="1:4" x14ac:dyDescent="0.3">
      <c r="A148">
        <v>147</v>
      </c>
      <c r="B148" t="s">
        <v>1361</v>
      </c>
      <c r="C148" t="s">
        <v>1362</v>
      </c>
      <c r="D148" t="s">
        <v>1363</v>
      </c>
    </row>
    <row r="149" spans="1:4" x14ac:dyDescent="0.3">
      <c r="A149">
        <v>148</v>
      </c>
      <c r="B149" t="s">
        <v>1567</v>
      </c>
      <c r="C149" t="s">
        <v>1568</v>
      </c>
      <c r="D149" t="s">
        <v>1569</v>
      </c>
    </row>
    <row r="150" spans="1:4" x14ac:dyDescent="0.3">
      <c r="A150">
        <v>149</v>
      </c>
      <c r="B150" t="s">
        <v>2264</v>
      </c>
      <c r="C150" t="s">
        <v>1499</v>
      </c>
      <c r="D150" t="s">
        <v>2265</v>
      </c>
    </row>
    <row r="151" spans="1:4" x14ac:dyDescent="0.3">
      <c r="A151">
        <v>150</v>
      </c>
      <c r="B151" t="s">
        <v>2527</v>
      </c>
      <c r="C151" t="s">
        <v>1888</v>
      </c>
      <c r="D151" t="s">
        <v>2525</v>
      </c>
    </row>
    <row r="152" spans="1:4" x14ac:dyDescent="0.3">
      <c r="A152">
        <v>151</v>
      </c>
      <c r="B152" t="s">
        <v>1635</v>
      </c>
      <c r="C152" t="s">
        <v>1636</v>
      </c>
      <c r="D152" t="s">
        <v>1634</v>
      </c>
    </row>
    <row r="153" spans="1:4" x14ac:dyDescent="0.3">
      <c r="A153">
        <v>152</v>
      </c>
      <c r="B153" t="s">
        <v>1317</v>
      </c>
      <c r="C153" t="s">
        <v>1318</v>
      </c>
      <c r="D153" t="s">
        <v>1319</v>
      </c>
    </row>
    <row r="154" spans="1:4" x14ac:dyDescent="0.3">
      <c r="A154">
        <v>153</v>
      </c>
      <c r="B154" t="s">
        <v>2410</v>
      </c>
      <c r="C154" t="s">
        <v>1297</v>
      </c>
      <c r="D154" t="s">
        <v>2409</v>
      </c>
    </row>
    <row r="155" spans="1:4" x14ac:dyDescent="0.3">
      <c r="A155">
        <v>154</v>
      </c>
      <c r="B155" t="s">
        <v>1336</v>
      </c>
      <c r="C155" t="s">
        <v>1337</v>
      </c>
      <c r="D155" t="s">
        <v>1338</v>
      </c>
    </row>
    <row r="156" spans="1:4" x14ac:dyDescent="0.3">
      <c r="A156">
        <v>155</v>
      </c>
      <c r="B156" t="s">
        <v>2647</v>
      </c>
      <c r="C156" t="s">
        <v>1380</v>
      </c>
      <c r="D156" t="s">
        <v>2648</v>
      </c>
    </row>
    <row r="157" spans="1:4" x14ac:dyDescent="0.3">
      <c r="A157">
        <v>156</v>
      </c>
      <c r="B157" t="s">
        <v>1730</v>
      </c>
      <c r="C157" t="s">
        <v>1731</v>
      </c>
      <c r="D157" t="s">
        <v>1728</v>
      </c>
    </row>
    <row r="158" spans="1:4" x14ac:dyDescent="0.3">
      <c r="A158">
        <v>157</v>
      </c>
      <c r="B158" t="s">
        <v>1833</v>
      </c>
      <c r="C158" t="s">
        <v>1524</v>
      </c>
      <c r="D158" t="s">
        <v>1834</v>
      </c>
    </row>
    <row r="159" spans="1:4" x14ac:dyDescent="0.3">
      <c r="A159">
        <v>158</v>
      </c>
      <c r="B159" t="s">
        <v>1368</v>
      </c>
      <c r="C159" t="s">
        <v>1369</v>
      </c>
      <c r="D159" t="s">
        <v>1370</v>
      </c>
    </row>
    <row r="160" spans="1:4" x14ac:dyDescent="0.3">
      <c r="A160">
        <v>159</v>
      </c>
      <c r="B160" t="s">
        <v>2431</v>
      </c>
      <c r="C160" t="s">
        <v>1606</v>
      </c>
      <c r="D160" t="s">
        <v>2432</v>
      </c>
    </row>
    <row r="161" spans="1:4" x14ac:dyDescent="0.3">
      <c r="A161">
        <v>160</v>
      </c>
      <c r="B161" t="s">
        <v>2383</v>
      </c>
      <c r="C161" t="s">
        <v>1646</v>
      </c>
      <c r="D161" t="s">
        <v>2384</v>
      </c>
    </row>
    <row r="162" spans="1:4" x14ac:dyDescent="0.3">
      <c r="A162">
        <v>161</v>
      </c>
      <c r="B162" t="s">
        <v>2309</v>
      </c>
      <c r="C162" t="s">
        <v>1539</v>
      </c>
      <c r="D162" t="s">
        <v>2310</v>
      </c>
    </row>
    <row r="163" spans="1:4" x14ac:dyDescent="0.3">
      <c r="A163">
        <v>162</v>
      </c>
      <c r="B163" t="s">
        <v>2006</v>
      </c>
      <c r="C163" t="s">
        <v>1369</v>
      </c>
      <c r="D163" t="s">
        <v>2007</v>
      </c>
    </row>
    <row r="164" spans="1:4" x14ac:dyDescent="0.3">
      <c r="A164">
        <v>163</v>
      </c>
      <c r="B164" t="s">
        <v>1364</v>
      </c>
      <c r="C164" t="s">
        <v>1365</v>
      </c>
      <c r="D164" t="s">
        <v>1363</v>
      </c>
    </row>
    <row r="165" spans="1:4" x14ac:dyDescent="0.3">
      <c r="A165">
        <v>164</v>
      </c>
      <c r="B165" t="s">
        <v>2346</v>
      </c>
      <c r="C165" t="s">
        <v>1715</v>
      </c>
      <c r="D165" t="s">
        <v>2345</v>
      </c>
    </row>
    <row r="166" spans="1:4" x14ac:dyDescent="0.3">
      <c r="A166">
        <v>165</v>
      </c>
      <c r="B166" t="s">
        <v>1313</v>
      </c>
      <c r="C166" t="s">
        <v>1314</v>
      </c>
      <c r="D166" t="s">
        <v>1315</v>
      </c>
    </row>
    <row r="167" spans="1:4" x14ac:dyDescent="0.3">
      <c r="A167">
        <v>166</v>
      </c>
      <c r="B167" t="s">
        <v>2042</v>
      </c>
      <c r="C167" t="s">
        <v>1561</v>
      </c>
      <c r="D167" t="s">
        <v>2043</v>
      </c>
    </row>
    <row r="168" spans="1:4" x14ac:dyDescent="0.3">
      <c r="A168">
        <v>167</v>
      </c>
      <c r="B168" t="s">
        <v>2414</v>
      </c>
      <c r="C168" t="s">
        <v>2415</v>
      </c>
      <c r="D168" t="s">
        <v>2416</v>
      </c>
    </row>
    <row r="169" spans="1:4" x14ac:dyDescent="0.3">
      <c r="A169">
        <v>168</v>
      </c>
      <c r="B169" t="s">
        <v>2236</v>
      </c>
      <c r="C169" t="s">
        <v>1931</v>
      </c>
      <c r="D169" t="s">
        <v>2234</v>
      </c>
    </row>
    <row r="170" spans="1:4" x14ac:dyDescent="0.3">
      <c r="A170">
        <v>169</v>
      </c>
      <c r="B170" t="s">
        <v>2640</v>
      </c>
      <c r="C170" t="s">
        <v>2641</v>
      </c>
      <c r="D170" t="s">
        <v>2642</v>
      </c>
    </row>
    <row r="171" spans="1:4" x14ac:dyDescent="0.3">
      <c r="A171">
        <v>170</v>
      </c>
      <c r="B171" t="s">
        <v>2761</v>
      </c>
      <c r="C171" t="s">
        <v>2762</v>
      </c>
      <c r="D171" t="s">
        <v>2763</v>
      </c>
    </row>
    <row r="172" spans="1:4" x14ac:dyDescent="0.3">
      <c r="A172">
        <v>171</v>
      </c>
      <c r="B172" t="s">
        <v>2445</v>
      </c>
      <c r="C172" t="s">
        <v>1446</v>
      </c>
      <c r="D172" t="s">
        <v>2446</v>
      </c>
    </row>
    <row r="173" spans="1:4" x14ac:dyDescent="0.3">
      <c r="A173">
        <v>172</v>
      </c>
      <c r="B173" t="s">
        <v>2287</v>
      </c>
      <c r="C173" t="s">
        <v>1595</v>
      </c>
      <c r="D173" t="s">
        <v>2286</v>
      </c>
    </row>
    <row r="174" spans="1:4" x14ac:dyDescent="0.3">
      <c r="A174">
        <v>173</v>
      </c>
      <c r="B174" t="s">
        <v>1371</v>
      </c>
      <c r="C174" t="s">
        <v>1372</v>
      </c>
      <c r="D174" t="s">
        <v>1370</v>
      </c>
    </row>
    <row r="175" spans="1:4" x14ac:dyDescent="0.3">
      <c r="A175">
        <v>174</v>
      </c>
      <c r="B175" t="s">
        <v>1637</v>
      </c>
      <c r="C175" t="s">
        <v>1638</v>
      </c>
      <c r="D175" t="s">
        <v>1634</v>
      </c>
    </row>
    <row r="176" spans="1:4" x14ac:dyDescent="0.3">
      <c r="A176">
        <v>175</v>
      </c>
      <c r="B176" t="s">
        <v>2189</v>
      </c>
      <c r="C176" t="s">
        <v>2003</v>
      </c>
      <c r="D176" t="s">
        <v>2188</v>
      </c>
    </row>
    <row r="177" spans="1:4" x14ac:dyDescent="0.3">
      <c r="A177">
        <v>176</v>
      </c>
      <c r="B177" t="s">
        <v>2302</v>
      </c>
      <c r="C177" t="s">
        <v>1752</v>
      </c>
      <c r="D177" t="s">
        <v>2301</v>
      </c>
    </row>
    <row r="178" spans="1:4" x14ac:dyDescent="0.3">
      <c r="A178">
        <v>177</v>
      </c>
      <c r="B178" t="s">
        <v>2220</v>
      </c>
      <c r="C178" t="s">
        <v>2221</v>
      </c>
      <c r="D178" t="s">
        <v>2219</v>
      </c>
    </row>
    <row r="179" spans="1:4" x14ac:dyDescent="0.3">
      <c r="A179">
        <v>178</v>
      </c>
      <c r="B179" t="s">
        <v>2668</v>
      </c>
      <c r="C179" t="s">
        <v>1636</v>
      </c>
      <c r="D179" t="s">
        <v>2664</v>
      </c>
    </row>
    <row r="180" spans="1:4" x14ac:dyDescent="0.3">
      <c r="A180">
        <v>179</v>
      </c>
      <c r="B180" t="s">
        <v>2528</v>
      </c>
      <c r="C180" t="s">
        <v>1916</v>
      </c>
      <c r="D180" t="s">
        <v>2525</v>
      </c>
    </row>
    <row r="181" spans="1:4" x14ac:dyDescent="0.3">
      <c r="A181">
        <v>180</v>
      </c>
      <c r="B181" t="s">
        <v>2149</v>
      </c>
      <c r="C181" t="s">
        <v>1299</v>
      </c>
      <c r="D181" t="s">
        <v>2148</v>
      </c>
    </row>
    <row r="182" spans="1:4" x14ac:dyDescent="0.3">
      <c r="A182">
        <v>181</v>
      </c>
      <c r="B182" t="s">
        <v>2359</v>
      </c>
      <c r="C182" t="s">
        <v>1289</v>
      </c>
      <c r="D182" t="s">
        <v>2356</v>
      </c>
    </row>
    <row r="183" spans="1:4" x14ac:dyDescent="0.3">
      <c r="A183">
        <v>182</v>
      </c>
      <c r="B183" t="s">
        <v>2630</v>
      </c>
      <c r="C183" t="s">
        <v>1775</v>
      </c>
      <c r="D183" t="s">
        <v>2627</v>
      </c>
    </row>
    <row r="184" spans="1:4" x14ac:dyDescent="0.3">
      <c r="A184">
        <v>183</v>
      </c>
      <c r="B184" t="s">
        <v>2433</v>
      </c>
      <c r="C184" t="s">
        <v>1640</v>
      </c>
      <c r="D184" t="s">
        <v>2432</v>
      </c>
    </row>
    <row r="185" spans="1:4" x14ac:dyDescent="0.3">
      <c r="A185">
        <v>184</v>
      </c>
      <c r="B185" t="s">
        <v>1784</v>
      </c>
      <c r="C185" t="s">
        <v>1785</v>
      </c>
      <c r="D185" t="s">
        <v>1786</v>
      </c>
    </row>
    <row r="186" spans="1:4" x14ac:dyDescent="0.3">
      <c r="A186">
        <v>185</v>
      </c>
      <c r="B186" t="s">
        <v>2366</v>
      </c>
      <c r="C186" t="s">
        <v>1976</v>
      </c>
      <c r="D186" t="s">
        <v>2367</v>
      </c>
    </row>
    <row r="187" spans="1:4" x14ac:dyDescent="0.3">
      <c r="A187">
        <v>186</v>
      </c>
      <c r="B187" t="s">
        <v>1573</v>
      </c>
      <c r="C187" t="s">
        <v>1539</v>
      </c>
      <c r="D187" t="s">
        <v>1574</v>
      </c>
    </row>
    <row r="188" spans="1:4" x14ac:dyDescent="0.3">
      <c r="A188">
        <v>187</v>
      </c>
      <c r="B188" t="s">
        <v>2547</v>
      </c>
      <c r="C188" t="s">
        <v>1472</v>
      </c>
      <c r="D188" t="s">
        <v>2546</v>
      </c>
    </row>
    <row r="189" spans="1:4" x14ac:dyDescent="0.3">
      <c r="A189">
        <v>188</v>
      </c>
      <c r="B189" t="s">
        <v>2083</v>
      </c>
      <c r="C189" t="s">
        <v>2084</v>
      </c>
      <c r="D189" t="s">
        <v>2085</v>
      </c>
    </row>
    <row r="190" spans="1:4" x14ac:dyDescent="0.3">
      <c r="A190">
        <v>189</v>
      </c>
      <c r="B190" t="s">
        <v>1953</v>
      </c>
      <c r="C190" t="s">
        <v>1954</v>
      </c>
      <c r="D190" t="s">
        <v>1952</v>
      </c>
    </row>
    <row r="191" spans="1:4" x14ac:dyDescent="0.3">
      <c r="A191">
        <v>190</v>
      </c>
      <c r="B191" t="s">
        <v>2103</v>
      </c>
      <c r="C191" t="s">
        <v>1323</v>
      </c>
      <c r="D191" t="s">
        <v>2102</v>
      </c>
    </row>
    <row r="192" spans="1:4" x14ac:dyDescent="0.3">
      <c r="A192">
        <v>191</v>
      </c>
      <c r="B192" t="s">
        <v>2303</v>
      </c>
      <c r="C192" t="s">
        <v>2249</v>
      </c>
      <c r="D192" t="s">
        <v>2301</v>
      </c>
    </row>
    <row r="193" spans="1:4" x14ac:dyDescent="0.3">
      <c r="A193">
        <v>192</v>
      </c>
      <c r="B193" t="s">
        <v>2598</v>
      </c>
      <c r="C193" t="s">
        <v>2372</v>
      </c>
      <c r="D193" t="s">
        <v>2599</v>
      </c>
    </row>
    <row r="194" spans="1:4" x14ac:dyDescent="0.3">
      <c r="A194">
        <v>193</v>
      </c>
      <c r="B194" t="s">
        <v>2385</v>
      </c>
      <c r="C194" t="s">
        <v>2072</v>
      </c>
      <c r="D194" t="s">
        <v>2384</v>
      </c>
    </row>
    <row r="195" spans="1:4" x14ac:dyDescent="0.3">
      <c r="A195">
        <v>194</v>
      </c>
      <c r="B195" t="s">
        <v>1787</v>
      </c>
      <c r="C195" t="s">
        <v>1777</v>
      </c>
      <c r="D195" t="s">
        <v>1786</v>
      </c>
    </row>
    <row r="196" spans="1:4" x14ac:dyDescent="0.3">
      <c r="A196">
        <v>195</v>
      </c>
      <c r="B196" t="s">
        <v>2266</v>
      </c>
      <c r="C196" t="s">
        <v>1504</v>
      </c>
      <c r="D196" t="s">
        <v>2265</v>
      </c>
    </row>
    <row r="197" spans="1:4" x14ac:dyDescent="0.3">
      <c r="A197">
        <v>196</v>
      </c>
      <c r="B197" t="s">
        <v>2411</v>
      </c>
      <c r="C197" t="s">
        <v>1614</v>
      </c>
      <c r="D197" t="s">
        <v>2409</v>
      </c>
    </row>
    <row r="198" spans="1:4" x14ac:dyDescent="0.3">
      <c r="A198">
        <v>197</v>
      </c>
      <c r="B198" t="s">
        <v>1655</v>
      </c>
      <c r="C198" t="s">
        <v>1656</v>
      </c>
      <c r="D198" t="s">
        <v>1653</v>
      </c>
    </row>
    <row r="199" spans="1:4" x14ac:dyDescent="0.3">
      <c r="A199">
        <v>198</v>
      </c>
      <c r="B199" t="s">
        <v>1348</v>
      </c>
      <c r="C199" t="s">
        <v>1349</v>
      </c>
      <c r="D199" t="s">
        <v>1347</v>
      </c>
    </row>
    <row r="200" spans="1:4" x14ac:dyDescent="0.3">
      <c r="A200">
        <v>199</v>
      </c>
      <c r="B200" t="s">
        <v>1711</v>
      </c>
      <c r="C200" t="s">
        <v>1712</v>
      </c>
      <c r="D200" t="s">
        <v>1713</v>
      </c>
    </row>
    <row r="201" spans="1:4" x14ac:dyDescent="0.3">
      <c r="A201">
        <v>200</v>
      </c>
      <c r="B201" t="s">
        <v>2580</v>
      </c>
      <c r="C201" t="s">
        <v>1311</v>
      </c>
      <c r="D201" t="s">
        <v>2581</v>
      </c>
    </row>
    <row r="202" spans="1:4" x14ac:dyDescent="0.3">
      <c r="A202">
        <v>201</v>
      </c>
      <c r="B202" t="s">
        <v>2150</v>
      </c>
      <c r="C202" t="s">
        <v>1749</v>
      </c>
      <c r="D202" t="s">
        <v>2148</v>
      </c>
    </row>
    <row r="203" spans="1:4" x14ac:dyDescent="0.3">
      <c r="A203">
        <v>202</v>
      </c>
      <c r="B203" t="s">
        <v>2386</v>
      </c>
      <c r="C203" t="s">
        <v>1304</v>
      </c>
      <c r="D203" t="s">
        <v>2384</v>
      </c>
    </row>
    <row r="204" spans="1:4" x14ac:dyDescent="0.3">
      <c r="A204">
        <v>203</v>
      </c>
      <c r="B204" t="s">
        <v>2151</v>
      </c>
      <c r="C204" t="s">
        <v>1428</v>
      </c>
      <c r="D204" t="s">
        <v>2148</v>
      </c>
    </row>
    <row r="205" spans="1:4" x14ac:dyDescent="0.3">
      <c r="A205">
        <v>204</v>
      </c>
      <c r="B205" t="s">
        <v>1718</v>
      </c>
      <c r="C205" t="s">
        <v>1476</v>
      </c>
      <c r="D205" t="s">
        <v>1719</v>
      </c>
    </row>
    <row r="206" spans="1:4" x14ac:dyDescent="0.3">
      <c r="A206">
        <v>205</v>
      </c>
      <c r="B206" t="s">
        <v>2682</v>
      </c>
      <c r="C206" t="s">
        <v>1591</v>
      </c>
      <c r="D206" t="s">
        <v>2681</v>
      </c>
    </row>
    <row r="207" spans="1:4" x14ac:dyDescent="0.3">
      <c r="A207">
        <v>206</v>
      </c>
      <c r="B207" t="s">
        <v>1282</v>
      </c>
      <c r="C207" t="s">
        <v>1283</v>
      </c>
      <c r="D207" t="s">
        <v>1277</v>
      </c>
    </row>
    <row r="208" spans="1:4" x14ac:dyDescent="0.3">
      <c r="A208">
        <v>207</v>
      </c>
      <c r="B208" t="s">
        <v>2127</v>
      </c>
      <c r="C208" t="s">
        <v>1672</v>
      </c>
      <c r="D208" t="s">
        <v>2125</v>
      </c>
    </row>
    <row r="209" spans="1:4" x14ac:dyDescent="0.3">
      <c r="A209">
        <v>208</v>
      </c>
      <c r="B209" t="s">
        <v>1675</v>
      </c>
      <c r="C209" t="s">
        <v>1672</v>
      </c>
      <c r="D209" t="s">
        <v>1676</v>
      </c>
    </row>
    <row r="210" spans="1:4" x14ac:dyDescent="0.3">
      <c r="A210">
        <v>209</v>
      </c>
      <c r="B210" t="s">
        <v>2311</v>
      </c>
      <c r="C210" t="s">
        <v>1515</v>
      </c>
      <c r="D210" t="s">
        <v>2310</v>
      </c>
    </row>
    <row r="211" spans="1:4" x14ac:dyDescent="0.3">
      <c r="A211">
        <v>210</v>
      </c>
      <c r="B211" t="s">
        <v>1552</v>
      </c>
      <c r="C211" t="s">
        <v>1553</v>
      </c>
      <c r="D211" t="s">
        <v>1554</v>
      </c>
    </row>
    <row r="212" spans="1:4" x14ac:dyDescent="0.3">
      <c r="A212">
        <v>211</v>
      </c>
      <c r="B212" t="s">
        <v>2387</v>
      </c>
      <c r="C212" t="s">
        <v>1696</v>
      </c>
      <c r="D212" t="s">
        <v>2384</v>
      </c>
    </row>
    <row r="213" spans="1:4" x14ac:dyDescent="0.3">
      <c r="A213">
        <v>212</v>
      </c>
      <c r="B213" t="s">
        <v>2696</v>
      </c>
      <c r="C213" t="s">
        <v>2269</v>
      </c>
      <c r="D213" t="s">
        <v>2697</v>
      </c>
    </row>
    <row r="214" spans="1:4" x14ac:dyDescent="0.3">
      <c r="A214">
        <v>213</v>
      </c>
      <c r="B214" t="s">
        <v>2128</v>
      </c>
      <c r="C214" t="s">
        <v>2129</v>
      </c>
      <c r="D214" t="s">
        <v>2125</v>
      </c>
    </row>
    <row r="215" spans="1:4" x14ac:dyDescent="0.3">
      <c r="A215">
        <v>214</v>
      </c>
      <c r="B215" t="s">
        <v>2754</v>
      </c>
      <c r="C215" t="s">
        <v>1827</v>
      </c>
      <c r="D215" t="s">
        <v>2752</v>
      </c>
    </row>
    <row r="216" spans="1:4" x14ac:dyDescent="0.3">
      <c r="A216">
        <v>215</v>
      </c>
      <c r="B216" t="s">
        <v>1732</v>
      </c>
      <c r="C216" t="s">
        <v>1367</v>
      </c>
      <c r="D216" t="s">
        <v>1728</v>
      </c>
    </row>
    <row r="217" spans="1:4" x14ac:dyDescent="0.3">
      <c r="A217">
        <v>216</v>
      </c>
      <c r="B217" t="s">
        <v>2304</v>
      </c>
      <c r="C217" t="s">
        <v>1721</v>
      </c>
      <c r="D217" t="s">
        <v>2301</v>
      </c>
    </row>
    <row r="218" spans="1:4" x14ac:dyDescent="0.3">
      <c r="A218">
        <v>217</v>
      </c>
      <c r="B218" t="s">
        <v>1657</v>
      </c>
      <c r="C218" t="s">
        <v>1467</v>
      </c>
      <c r="D218" t="s">
        <v>1653</v>
      </c>
    </row>
    <row r="219" spans="1:4" x14ac:dyDescent="0.3">
      <c r="A219">
        <v>218</v>
      </c>
      <c r="B219" t="s">
        <v>2198</v>
      </c>
      <c r="C219" t="s">
        <v>1311</v>
      </c>
      <c r="D219" t="s">
        <v>2196</v>
      </c>
    </row>
    <row r="220" spans="1:4" x14ac:dyDescent="0.3">
      <c r="A220">
        <v>219</v>
      </c>
      <c r="B220" t="s">
        <v>2576</v>
      </c>
      <c r="C220" t="s">
        <v>2072</v>
      </c>
      <c r="D220" t="s">
        <v>2577</v>
      </c>
    </row>
    <row r="221" spans="1:4" x14ac:dyDescent="0.3">
      <c r="A221">
        <v>220</v>
      </c>
      <c r="B221" t="s">
        <v>2698</v>
      </c>
      <c r="C221" t="s">
        <v>2689</v>
      </c>
      <c r="D221" t="s">
        <v>2697</v>
      </c>
    </row>
    <row r="222" spans="1:4" x14ac:dyDescent="0.3">
      <c r="A222">
        <v>221</v>
      </c>
      <c r="B222" t="s">
        <v>1523</v>
      </c>
      <c r="C222" t="s">
        <v>1524</v>
      </c>
      <c r="D222" t="s">
        <v>1520</v>
      </c>
    </row>
    <row r="223" spans="1:4" x14ac:dyDescent="0.3">
      <c r="A223">
        <v>222</v>
      </c>
      <c r="B223" t="s">
        <v>2610</v>
      </c>
      <c r="C223" t="s">
        <v>1672</v>
      </c>
      <c r="D223" t="s">
        <v>2606</v>
      </c>
    </row>
    <row r="224" spans="1:4" x14ac:dyDescent="0.3">
      <c r="A224">
        <v>223</v>
      </c>
      <c r="B224" t="s">
        <v>1813</v>
      </c>
      <c r="C224" t="s">
        <v>1814</v>
      </c>
      <c r="D224" t="s">
        <v>1812</v>
      </c>
    </row>
    <row r="225" spans="1:4" x14ac:dyDescent="0.3">
      <c r="A225">
        <v>224</v>
      </c>
      <c r="B225" t="s">
        <v>1284</v>
      </c>
      <c r="C225" t="s">
        <v>1285</v>
      </c>
      <c r="D225" t="s">
        <v>1277</v>
      </c>
    </row>
    <row r="226" spans="1:4" x14ac:dyDescent="0.3">
      <c r="A226">
        <v>225</v>
      </c>
      <c r="B226" t="s">
        <v>2498</v>
      </c>
      <c r="C226" t="s">
        <v>1566</v>
      </c>
      <c r="D226" t="s">
        <v>2495</v>
      </c>
    </row>
    <row r="227" spans="1:4" x14ac:dyDescent="0.3">
      <c r="A227">
        <v>226</v>
      </c>
      <c r="B227" t="s">
        <v>2254</v>
      </c>
      <c r="C227" t="s">
        <v>2255</v>
      </c>
      <c r="D227" t="s">
        <v>2251</v>
      </c>
    </row>
    <row r="228" spans="1:4" x14ac:dyDescent="0.3">
      <c r="A228">
        <v>227</v>
      </c>
      <c r="B228" t="s">
        <v>1419</v>
      </c>
      <c r="C228" t="s">
        <v>1420</v>
      </c>
      <c r="D228" t="s">
        <v>1418</v>
      </c>
    </row>
    <row r="229" spans="1:4" x14ac:dyDescent="0.3">
      <c r="A229">
        <v>228</v>
      </c>
      <c r="B229" t="s">
        <v>2737</v>
      </c>
      <c r="C229" t="s">
        <v>1491</v>
      </c>
      <c r="D229" t="s">
        <v>2735</v>
      </c>
    </row>
    <row r="230" spans="1:4" x14ac:dyDescent="0.3">
      <c r="A230">
        <v>229</v>
      </c>
      <c r="B230" t="s">
        <v>1525</v>
      </c>
      <c r="C230" t="s">
        <v>1458</v>
      </c>
      <c r="D230" t="s">
        <v>1520</v>
      </c>
    </row>
    <row r="231" spans="1:4" x14ac:dyDescent="0.3">
      <c r="A231">
        <v>230</v>
      </c>
      <c r="B231" t="s">
        <v>2094</v>
      </c>
      <c r="C231" t="s">
        <v>1355</v>
      </c>
      <c r="D231" t="s">
        <v>2091</v>
      </c>
    </row>
    <row r="232" spans="1:4" x14ac:dyDescent="0.3">
      <c r="A232">
        <v>231</v>
      </c>
      <c r="B232" t="s">
        <v>2459</v>
      </c>
      <c r="C232" t="s">
        <v>2021</v>
      </c>
      <c r="D232" t="s">
        <v>2460</v>
      </c>
    </row>
    <row r="233" spans="1:4" x14ac:dyDescent="0.3">
      <c r="A233">
        <v>232</v>
      </c>
      <c r="B233" t="s">
        <v>1929</v>
      </c>
      <c r="C233" t="s">
        <v>1435</v>
      </c>
      <c r="D233" t="s">
        <v>1926</v>
      </c>
    </row>
    <row r="234" spans="1:4" x14ac:dyDescent="0.3">
      <c r="A234">
        <v>233</v>
      </c>
      <c r="B234" t="s">
        <v>2592</v>
      </c>
      <c r="C234" t="s">
        <v>2593</v>
      </c>
      <c r="D234" t="s">
        <v>2594</v>
      </c>
    </row>
    <row r="235" spans="1:4" x14ac:dyDescent="0.3">
      <c r="A235">
        <v>234</v>
      </c>
      <c r="B235" t="s">
        <v>2434</v>
      </c>
      <c r="C235" t="s">
        <v>1700</v>
      </c>
      <c r="D235" t="s">
        <v>2432</v>
      </c>
    </row>
    <row r="236" spans="1:4" x14ac:dyDescent="0.3">
      <c r="A236">
        <v>235</v>
      </c>
      <c r="B236" t="s">
        <v>2162</v>
      </c>
      <c r="C236" t="s">
        <v>1775</v>
      </c>
      <c r="D236" t="s">
        <v>2159</v>
      </c>
    </row>
    <row r="237" spans="1:4" x14ac:dyDescent="0.3">
      <c r="A237">
        <v>236</v>
      </c>
      <c r="B237" t="s">
        <v>2045</v>
      </c>
      <c r="C237" t="s">
        <v>1446</v>
      </c>
      <c r="D237" t="s">
        <v>2046</v>
      </c>
    </row>
    <row r="238" spans="1:4" x14ac:dyDescent="0.3">
      <c r="A238">
        <v>237</v>
      </c>
      <c r="B238" t="s">
        <v>2347</v>
      </c>
      <c r="C238" t="s">
        <v>1956</v>
      </c>
      <c r="D238" t="s">
        <v>2345</v>
      </c>
    </row>
    <row r="239" spans="1:4" x14ac:dyDescent="0.3">
      <c r="A239">
        <v>238</v>
      </c>
      <c r="B239" t="s">
        <v>1677</v>
      </c>
      <c r="C239" t="s">
        <v>1306</v>
      </c>
      <c r="D239" t="s">
        <v>1676</v>
      </c>
    </row>
    <row r="240" spans="1:4" x14ac:dyDescent="0.3">
      <c r="A240">
        <v>239</v>
      </c>
      <c r="B240" t="s">
        <v>1828</v>
      </c>
      <c r="C240" t="s">
        <v>1674</v>
      </c>
      <c r="D240" t="s">
        <v>1829</v>
      </c>
    </row>
    <row r="241" spans="1:4" x14ac:dyDescent="0.3">
      <c r="A241">
        <v>240</v>
      </c>
      <c r="B241" t="s">
        <v>2451</v>
      </c>
      <c r="C241" t="s">
        <v>1369</v>
      </c>
      <c r="D241" t="s">
        <v>2452</v>
      </c>
    </row>
    <row r="242" spans="1:4" x14ac:dyDescent="0.3">
      <c r="A242">
        <v>241</v>
      </c>
      <c r="B242" t="s">
        <v>2453</v>
      </c>
      <c r="C242" t="s">
        <v>2036</v>
      </c>
      <c r="D242" t="s">
        <v>2452</v>
      </c>
    </row>
    <row r="243" spans="1:4" x14ac:dyDescent="0.3">
      <c r="A243">
        <v>242</v>
      </c>
      <c r="B243" t="s">
        <v>2584</v>
      </c>
      <c r="C243" t="s">
        <v>2342</v>
      </c>
      <c r="D243" t="s">
        <v>2583</v>
      </c>
    </row>
    <row r="244" spans="1:4" x14ac:dyDescent="0.3">
      <c r="A244">
        <v>243</v>
      </c>
      <c r="B244" t="s">
        <v>1379</v>
      </c>
      <c r="C244" t="s">
        <v>1380</v>
      </c>
      <c r="D244" t="s">
        <v>1381</v>
      </c>
    </row>
    <row r="245" spans="1:4" x14ac:dyDescent="0.3">
      <c r="A245">
        <v>244</v>
      </c>
      <c r="B245" t="s">
        <v>1846</v>
      </c>
      <c r="C245" t="s">
        <v>1847</v>
      </c>
      <c r="D245" t="s">
        <v>1845</v>
      </c>
    </row>
    <row r="246" spans="1:4" x14ac:dyDescent="0.3">
      <c r="A246">
        <v>245</v>
      </c>
      <c r="B246" t="s">
        <v>1830</v>
      </c>
      <c r="C246" t="s">
        <v>1438</v>
      </c>
      <c r="D246" t="s">
        <v>1831</v>
      </c>
    </row>
    <row r="247" spans="1:4" x14ac:dyDescent="0.3">
      <c r="A247">
        <v>246</v>
      </c>
      <c r="B247" t="s">
        <v>2112</v>
      </c>
      <c r="C247" t="s">
        <v>2096</v>
      </c>
      <c r="D247" t="s">
        <v>2110</v>
      </c>
    </row>
    <row r="248" spans="1:4" x14ac:dyDescent="0.3">
      <c r="A248">
        <v>247</v>
      </c>
      <c r="B248" t="s">
        <v>1868</v>
      </c>
      <c r="C248" t="s">
        <v>1869</v>
      </c>
      <c r="D248" t="s">
        <v>1870</v>
      </c>
    </row>
    <row r="249" spans="1:4" x14ac:dyDescent="0.3">
      <c r="A249">
        <v>248</v>
      </c>
      <c r="B249" t="s">
        <v>1424</v>
      </c>
      <c r="C249" t="s">
        <v>1295</v>
      </c>
      <c r="D249" t="s">
        <v>1425</v>
      </c>
    </row>
    <row r="250" spans="1:4" x14ac:dyDescent="0.3">
      <c r="A250">
        <v>249</v>
      </c>
      <c r="B250" t="s">
        <v>2532</v>
      </c>
      <c r="C250" t="s">
        <v>1920</v>
      </c>
      <c r="D250" t="s">
        <v>2533</v>
      </c>
    </row>
    <row r="251" spans="1:4" x14ac:dyDescent="0.3">
      <c r="A251">
        <v>250</v>
      </c>
      <c r="B251" t="s">
        <v>2029</v>
      </c>
      <c r="C251" t="s">
        <v>2030</v>
      </c>
      <c r="D251" t="s">
        <v>2031</v>
      </c>
    </row>
    <row r="252" spans="1:4" x14ac:dyDescent="0.3">
      <c r="A252">
        <v>251</v>
      </c>
      <c r="B252" t="s">
        <v>2435</v>
      </c>
      <c r="C252" t="s">
        <v>2436</v>
      </c>
      <c r="D252" t="s">
        <v>2432</v>
      </c>
    </row>
    <row r="253" spans="1:4" x14ac:dyDescent="0.3">
      <c r="A253">
        <v>252</v>
      </c>
      <c r="B253" t="s">
        <v>2020</v>
      </c>
      <c r="C253" t="s">
        <v>2021</v>
      </c>
      <c r="D253" t="s">
        <v>2016</v>
      </c>
    </row>
    <row r="254" spans="1:4" x14ac:dyDescent="0.3">
      <c r="A254">
        <v>253</v>
      </c>
      <c r="B254" t="s">
        <v>1490</v>
      </c>
      <c r="C254" t="s">
        <v>1491</v>
      </c>
      <c r="D254" t="s">
        <v>1486</v>
      </c>
    </row>
    <row r="255" spans="1:4" x14ac:dyDescent="0.3">
      <c r="A255">
        <v>254</v>
      </c>
      <c r="B255" t="s">
        <v>1878</v>
      </c>
      <c r="C255" t="s">
        <v>1489</v>
      </c>
      <c r="D255" t="s">
        <v>1879</v>
      </c>
    </row>
    <row r="256" spans="1:4" x14ac:dyDescent="0.3">
      <c r="A256">
        <v>255</v>
      </c>
      <c r="B256" t="s">
        <v>2312</v>
      </c>
      <c r="C256" t="s">
        <v>1850</v>
      </c>
      <c r="D256" t="s">
        <v>2310</v>
      </c>
    </row>
    <row r="257" spans="1:4" x14ac:dyDescent="0.3">
      <c r="A257">
        <v>256</v>
      </c>
      <c r="B257" t="s">
        <v>1917</v>
      </c>
      <c r="C257" t="s">
        <v>1918</v>
      </c>
      <c r="D257" t="s">
        <v>1913</v>
      </c>
    </row>
    <row r="258" spans="1:4" x14ac:dyDescent="0.3">
      <c r="A258">
        <v>257</v>
      </c>
      <c r="B258" t="s">
        <v>1986</v>
      </c>
      <c r="C258" t="s">
        <v>1987</v>
      </c>
      <c r="D258" t="s">
        <v>1985</v>
      </c>
    </row>
    <row r="259" spans="1:4" x14ac:dyDescent="0.3">
      <c r="A259">
        <v>258</v>
      </c>
      <c r="B259" t="s">
        <v>2130</v>
      </c>
      <c r="C259" t="s">
        <v>1617</v>
      </c>
      <c r="D259" t="s">
        <v>2125</v>
      </c>
    </row>
    <row r="260" spans="1:4" x14ac:dyDescent="0.3">
      <c r="A260">
        <v>259</v>
      </c>
      <c r="B260" t="s">
        <v>2002</v>
      </c>
      <c r="C260" t="s">
        <v>2003</v>
      </c>
      <c r="D260" t="s">
        <v>2000</v>
      </c>
    </row>
    <row r="261" spans="1:4" x14ac:dyDescent="0.3">
      <c r="A261">
        <v>260</v>
      </c>
      <c r="B261" t="s">
        <v>2484</v>
      </c>
      <c r="C261" t="s">
        <v>2485</v>
      </c>
      <c r="D261" t="s">
        <v>2486</v>
      </c>
    </row>
    <row r="262" spans="1:4" x14ac:dyDescent="0.3">
      <c r="A262">
        <v>261</v>
      </c>
      <c r="B262" t="s">
        <v>1955</v>
      </c>
      <c r="C262" t="s">
        <v>1956</v>
      </c>
      <c r="D262" t="s">
        <v>1952</v>
      </c>
    </row>
    <row r="263" spans="1:4" x14ac:dyDescent="0.3">
      <c r="A263">
        <v>262</v>
      </c>
      <c r="B263" t="s">
        <v>1471</v>
      </c>
      <c r="C263" t="s">
        <v>1472</v>
      </c>
      <c r="D263" t="s">
        <v>1468</v>
      </c>
    </row>
    <row r="264" spans="1:4" x14ac:dyDescent="0.3">
      <c r="A264">
        <v>263</v>
      </c>
      <c r="B264" t="s">
        <v>2288</v>
      </c>
      <c r="C264" t="s">
        <v>2289</v>
      </c>
      <c r="D264" t="s">
        <v>2286</v>
      </c>
    </row>
    <row r="265" spans="1:4" x14ac:dyDescent="0.3">
      <c r="A265">
        <v>264</v>
      </c>
      <c r="B265" t="s">
        <v>2099</v>
      </c>
      <c r="C265" t="s">
        <v>1295</v>
      </c>
      <c r="D265" t="s">
        <v>2097</v>
      </c>
    </row>
    <row r="266" spans="1:4" x14ac:dyDescent="0.3">
      <c r="A266">
        <v>265</v>
      </c>
      <c r="B266" t="s">
        <v>1303</v>
      </c>
      <c r="C266" t="s">
        <v>1304</v>
      </c>
      <c r="D266" t="s">
        <v>1302</v>
      </c>
    </row>
    <row r="267" spans="1:4" x14ac:dyDescent="0.3">
      <c r="A267">
        <v>266</v>
      </c>
      <c r="B267" t="s">
        <v>2348</v>
      </c>
      <c r="C267" t="s">
        <v>1349</v>
      </c>
      <c r="D267" t="s">
        <v>2345</v>
      </c>
    </row>
    <row r="268" spans="1:4" x14ac:dyDescent="0.3">
      <c r="A268">
        <v>267</v>
      </c>
      <c r="B268" t="s">
        <v>2785</v>
      </c>
      <c r="C268" t="s">
        <v>1608</v>
      </c>
      <c r="D268" t="s">
        <v>2786</v>
      </c>
    </row>
    <row r="269" spans="1:4" x14ac:dyDescent="0.3">
      <c r="A269">
        <v>268</v>
      </c>
      <c r="B269" t="s">
        <v>2209</v>
      </c>
      <c r="C269" t="s">
        <v>1328</v>
      </c>
      <c r="D269" t="s">
        <v>2210</v>
      </c>
    </row>
    <row r="270" spans="1:4" x14ac:dyDescent="0.3">
      <c r="A270">
        <v>269</v>
      </c>
      <c r="B270" t="s">
        <v>2313</v>
      </c>
      <c r="C270" t="s">
        <v>1598</v>
      </c>
      <c r="D270" t="s">
        <v>2310</v>
      </c>
    </row>
    <row r="271" spans="1:4" x14ac:dyDescent="0.3">
      <c r="A271">
        <v>270</v>
      </c>
      <c r="B271" t="s">
        <v>1733</v>
      </c>
      <c r="C271" t="s">
        <v>1349</v>
      </c>
      <c r="D271" t="s">
        <v>1728</v>
      </c>
    </row>
    <row r="272" spans="1:4" x14ac:dyDescent="0.3">
      <c r="A272">
        <v>271</v>
      </c>
      <c r="B272" t="s">
        <v>2335</v>
      </c>
      <c r="C272" t="s">
        <v>2336</v>
      </c>
      <c r="D272" t="s">
        <v>2334</v>
      </c>
    </row>
    <row r="273" spans="1:4" x14ac:dyDescent="0.3">
      <c r="A273">
        <v>272</v>
      </c>
      <c r="B273" t="s">
        <v>2141</v>
      </c>
      <c r="C273" t="s">
        <v>1770</v>
      </c>
      <c r="D273" t="s">
        <v>2142</v>
      </c>
    </row>
    <row r="274" spans="1:4" x14ac:dyDescent="0.3">
      <c r="A274">
        <v>273</v>
      </c>
      <c r="B274" t="s">
        <v>1848</v>
      </c>
      <c r="C274" t="s">
        <v>1493</v>
      </c>
      <c r="D274" t="s">
        <v>1845</v>
      </c>
    </row>
    <row r="275" spans="1:4" x14ac:dyDescent="0.3">
      <c r="A275">
        <v>274</v>
      </c>
      <c r="B275" t="s">
        <v>2279</v>
      </c>
      <c r="C275" t="s">
        <v>1595</v>
      </c>
      <c r="D275" t="s">
        <v>2278</v>
      </c>
    </row>
    <row r="276" spans="1:4" x14ac:dyDescent="0.3">
      <c r="A276">
        <v>275</v>
      </c>
      <c r="B276" t="s">
        <v>1919</v>
      </c>
      <c r="C276" t="s">
        <v>1920</v>
      </c>
      <c r="D276" t="s">
        <v>1913</v>
      </c>
    </row>
    <row r="277" spans="1:4" x14ac:dyDescent="0.3">
      <c r="A277">
        <v>276</v>
      </c>
      <c r="B277" t="s">
        <v>2274</v>
      </c>
      <c r="C277" t="s">
        <v>1752</v>
      </c>
      <c r="D277" t="s">
        <v>2275</v>
      </c>
    </row>
    <row r="278" spans="1:4" x14ac:dyDescent="0.3">
      <c r="A278">
        <v>277</v>
      </c>
      <c r="B278" t="s">
        <v>2022</v>
      </c>
      <c r="C278" t="s">
        <v>1452</v>
      </c>
      <c r="D278" t="s">
        <v>2016</v>
      </c>
    </row>
    <row r="279" spans="1:4" x14ac:dyDescent="0.3">
      <c r="A279">
        <v>278</v>
      </c>
      <c r="B279" t="s">
        <v>1988</v>
      </c>
      <c r="C279" t="s">
        <v>1745</v>
      </c>
      <c r="D279" t="s">
        <v>1985</v>
      </c>
    </row>
    <row r="280" spans="1:4" x14ac:dyDescent="0.3">
      <c r="A280">
        <v>279</v>
      </c>
      <c r="B280" t="s">
        <v>2778</v>
      </c>
      <c r="C280" t="s">
        <v>1939</v>
      </c>
      <c r="D280" t="s">
        <v>2779</v>
      </c>
    </row>
    <row r="281" spans="1:4" x14ac:dyDescent="0.3">
      <c r="A281">
        <v>280</v>
      </c>
      <c r="B281" t="s">
        <v>1849</v>
      </c>
      <c r="C281" t="s">
        <v>1850</v>
      </c>
      <c r="D281" t="s">
        <v>1845</v>
      </c>
    </row>
    <row r="282" spans="1:4" x14ac:dyDescent="0.3">
      <c r="A282">
        <v>281</v>
      </c>
      <c r="B282" t="s">
        <v>2764</v>
      </c>
      <c r="C282" t="s">
        <v>1974</v>
      </c>
      <c r="D282" t="s">
        <v>2763</v>
      </c>
    </row>
    <row r="283" spans="1:4" x14ac:dyDescent="0.3">
      <c r="A283">
        <v>282</v>
      </c>
      <c r="B283" t="s">
        <v>2529</v>
      </c>
      <c r="C283" t="s">
        <v>1725</v>
      </c>
      <c r="D283" t="s">
        <v>2525</v>
      </c>
    </row>
    <row r="284" spans="1:4" x14ac:dyDescent="0.3">
      <c r="A284">
        <v>283</v>
      </c>
      <c r="B284" t="s">
        <v>2669</v>
      </c>
      <c r="C284" t="s">
        <v>1931</v>
      </c>
      <c r="D284" t="s">
        <v>2664</v>
      </c>
    </row>
    <row r="285" spans="1:4" x14ac:dyDescent="0.3">
      <c r="A285">
        <v>284</v>
      </c>
      <c r="B285" t="s">
        <v>1678</v>
      </c>
      <c r="C285" t="s">
        <v>1458</v>
      </c>
      <c r="D285" t="s">
        <v>1676</v>
      </c>
    </row>
    <row r="286" spans="1:4" x14ac:dyDescent="0.3">
      <c r="A286">
        <v>285</v>
      </c>
      <c r="B286" t="s">
        <v>1616</v>
      </c>
      <c r="C286" t="s">
        <v>1617</v>
      </c>
      <c r="D286" t="s">
        <v>1615</v>
      </c>
    </row>
    <row r="287" spans="1:4" x14ac:dyDescent="0.3">
      <c r="A287">
        <v>286</v>
      </c>
      <c r="B287" t="s">
        <v>2738</v>
      </c>
      <c r="C287" t="s">
        <v>1777</v>
      </c>
      <c r="D287" t="s">
        <v>2735</v>
      </c>
    </row>
    <row r="288" spans="1:4" x14ac:dyDescent="0.3">
      <c r="A288">
        <v>287</v>
      </c>
      <c r="B288" t="s">
        <v>2631</v>
      </c>
      <c r="C288" t="s">
        <v>1803</v>
      </c>
      <c r="D288" t="s">
        <v>2627</v>
      </c>
    </row>
    <row r="289" spans="1:4" x14ac:dyDescent="0.3">
      <c r="A289">
        <v>288</v>
      </c>
      <c r="B289" t="s">
        <v>2739</v>
      </c>
      <c r="C289" t="s">
        <v>2289</v>
      </c>
      <c r="D289" t="s">
        <v>2735</v>
      </c>
    </row>
    <row r="290" spans="1:4" x14ac:dyDescent="0.3">
      <c r="A290">
        <v>289</v>
      </c>
      <c r="B290" t="s">
        <v>1691</v>
      </c>
      <c r="C290" t="s">
        <v>1692</v>
      </c>
      <c r="D290" t="s">
        <v>1690</v>
      </c>
    </row>
    <row r="291" spans="1:4" x14ac:dyDescent="0.3">
      <c r="A291">
        <v>290</v>
      </c>
      <c r="B291" t="s">
        <v>1618</v>
      </c>
      <c r="C291" t="s">
        <v>1283</v>
      </c>
      <c r="D291" t="s">
        <v>1615</v>
      </c>
    </row>
    <row r="292" spans="1:4" x14ac:dyDescent="0.3">
      <c r="A292">
        <v>291</v>
      </c>
      <c r="B292" t="s">
        <v>2658</v>
      </c>
      <c r="C292" t="s">
        <v>1670</v>
      </c>
      <c r="D292" t="s">
        <v>2657</v>
      </c>
    </row>
    <row r="293" spans="1:4" x14ac:dyDescent="0.3">
      <c r="A293">
        <v>292</v>
      </c>
      <c r="B293" t="s">
        <v>1930</v>
      </c>
      <c r="C293" t="s">
        <v>1931</v>
      </c>
      <c r="D293" t="s">
        <v>1926</v>
      </c>
    </row>
    <row r="294" spans="1:4" x14ac:dyDescent="0.3">
      <c r="A294">
        <v>293</v>
      </c>
      <c r="B294" t="s">
        <v>2062</v>
      </c>
      <c r="C294" t="s">
        <v>2063</v>
      </c>
      <c r="D294" t="s">
        <v>2061</v>
      </c>
    </row>
    <row r="295" spans="1:4" x14ac:dyDescent="0.3">
      <c r="A295">
        <v>294</v>
      </c>
      <c r="B295" t="s">
        <v>1492</v>
      </c>
      <c r="C295" t="s">
        <v>1493</v>
      </c>
      <c r="D295" t="s">
        <v>1486</v>
      </c>
    </row>
    <row r="296" spans="1:4" x14ac:dyDescent="0.3">
      <c r="A296">
        <v>295</v>
      </c>
      <c r="B296" t="s">
        <v>2152</v>
      </c>
      <c r="C296" t="s">
        <v>1901</v>
      </c>
      <c r="D296" t="s">
        <v>2148</v>
      </c>
    </row>
    <row r="297" spans="1:4" x14ac:dyDescent="0.3">
      <c r="A297">
        <v>296</v>
      </c>
      <c r="B297" t="s">
        <v>2079</v>
      </c>
      <c r="C297" t="s">
        <v>1387</v>
      </c>
      <c r="D297" t="s">
        <v>2078</v>
      </c>
    </row>
    <row r="298" spans="1:4" x14ac:dyDescent="0.3">
      <c r="A298">
        <v>297</v>
      </c>
      <c r="B298" t="s">
        <v>1968</v>
      </c>
      <c r="C298" t="s">
        <v>1969</v>
      </c>
      <c r="D298" t="s">
        <v>1965</v>
      </c>
    </row>
    <row r="299" spans="1:4" x14ac:dyDescent="0.3">
      <c r="A299">
        <v>298</v>
      </c>
      <c r="B299" t="s">
        <v>2454</v>
      </c>
      <c r="C299" t="s">
        <v>1566</v>
      </c>
      <c r="D299" t="s">
        <v>2452</v>
      </c>
    </row>
    <row r="300" spans="1:4" x14ac:dyDescent="0.3">
      <c r="A300">
        <v>299</v>
      </c>
      <c r="B300" t="s">
        <v>2611</v>
      </c>
      <c r="C300" t="s">
        <v>2612</v>
      </c>
      <c r="D300" t="s">
        <v>2606</v>
      </c>
    </row>
    <row r="301" spans="1:4" x14ac:dyDescent="0.3">
      <c r="A301">
        <v>300</v>
      </c>
      <c r="B301" t="s">
        <v>1619</v>
      </c>
      <c r="C301" t="s">
        <v>1620</v>
      </c>
      <c r="D301" t="s">
        <v>1615</v>
      </c>
    </row>
    <row r="302" spans="1:4" x14ac:dyDescent="0.3">
      <c r="A302">
        <v>301</v>
      </c>
      <c r="B302" t="s">
        <v>1866</v>
      </c>
      <c r="C302" t="s">
        <v>1551</v>
      </c>
      <c r="D302" t="s">
        <v>1863</v>
      </c>
    </row>
    <row r="303" spans="1:4" x14ac:dyDescent="0.3">
      <c r="A303">
        <v>302</v>
      </c>
      <c r="B303" t="s">
        <v>2388</v>
      </c>
      <c r="C303" t="s">
        <v>1321</v>
      </c>
      <c r="D303" t="s">
        <v>2384</v>
      </c>
    </row>
    <row r="304" spans="1:4" x14ac:dyDescent="0.3">
      <c r="A304">
        <v>303</v>
      </c>
      <c r="B304" t="s">
        <v>2621</v>
      </c>
      <c r="C304" t="s">
        <v>2021</v>
      </c>
      <c r="D304" t="s">
        <v>2622</v>
      </c>
    </row>
    <row r="305" spans="1:4" x14ac:dyDescent="0.3">
      <c r="A305">
        <v>304</v>
      </c>
      <c r="B305" t="s">
        <v>1800</v>
      </c>
      <c r="C305" t="s">
        <v>1491</v>
      </c>
      <c r="D305" t="s">
        <v>1794</v>
      </c>
    </row>
    <row r="306" spans="1:4" x14ac:dyDescent="0.3">
      <c r="A306">
        <v>305</v>
      </c>
      <c r="B306" t="s">
        <v>2113</v>
      </c>
      <c r="C306" t="s">
        <v>1629</v>
      </c>
      <c r="D306" t="s">
        <v>2110</v>
      </c>
    </row>
    <row r="307" spans="1:4" x14ac:dyDescent="0.3">
      <c r="A307">
        <v>306</v>
      </c>
      <c r="B307" t="s">
        <v>1825</v>
      </c>
      <c r="C307" t="s">
        <v>1600</v>
      </c>
      <c r="D307" t="s">
        <v>1824</v>
      </c>
    </row>
    <row r="308" spans="1:4" x14ac:dyDescent="0.3">
      <c r="A308">
        <v>307</v>
      </c>
      <c r="B308" t="s">
        <v>2337</v>
      </c>
      <c r="C308" t="s">
        <v>1438</v>
      </c>
      <c r="D308" t="s">
        <v>2334</v>
      </c>
    </row>
    <row r="309" spans="1:4" x14ac:dyDescent="0.3">
      <c r="A309">
        <v>308</v>
      </c>
      <c r="B309" t="s">
        <v>2032</v>
      </c>
      <c r="C309" t="s">
        <v>2033</v>
      </c>
      <c r="D309" t="s">
        <v>2031</v>
      </c>
    </row>
    <row r="310" spans="1:4" x14ac:dyDescent="0.3">
      <c r="A310">
        <v>309</v>
      </c>
      <c r="B310" t="s">
        <v>1358</v>
      </c>
      <c r="C310" t="s">
        <v>1359</v>
      </c>
      <c r="D310" t="s">
        <v>1360</v>
      </c>
    </row>
    <row r="311" spans="1:4" x14ac:dyDescent="0.3">
      <c r="A311">
        <v>310</v>
      </c>
      <c r="B311" t="s">
        <v>2397</v>
      </c>
      <c r="C311" t="s">
        <v>1723</v>
      </c>
      <c r="D311" t="s">
        <v>2396</v>
      </c>
    </row>
    <row r="312" spans="1:4" x14ac:dyDescent="0.3">
      <c r="A312">
        <v>311</v>
      </c>
      <c r="B312" t="s">
        <v>2780</v>
      </c>
      <c r="C312" t="s">
        <v>1287</v>
      </c>
      <c r="D312" t="s">
        <v>2779</v>
      </c>
    </row>
    <row r="313" spans="1:4" x14ac:dyDescent="0.3">
      <c r="A313">
        <v>312</v>
      </c>
      <c r="B313" t="s">
        <v>2686</v>
      </c>
      <c r="C313" t="s">
        <v>1622</v>
      </c>
      <c r="D313" t="s">
        <v>2687</v>
      </c>
    </row>
    <row r="314" spans="1:4" x14ac:dyDescent="0.3">
      <c r="A314">
        <v>313</v>
      </c>
      <c r="B314" t="s">
        <v>2417</v>
      </c>
      <c r="C314" t="s">
        <v>1974</v>
      </c>
      <c r="D314" t="s">
        <v>2416</v>
      </c>
    </row>
    <row r="315" spans="1:4" x14ac:dyDescent="0.3">
      <c r="A315">
        <v>314</v>
      </c>
      <c r="B315" t="s">
        <v>1710</v>
      </c>
      <c r="C315" t="s">
        <v>1515</v>
      </c>
      <c r="D315" t="s">
        <v>1709</v>
      </c>
    </row>
    <row r="316" spans="1:4" x14ac:dyDescent="0.3">
      <c r="A316">
        <v>315</v>
      </c>
      <c r="B316" t="s">
        <v>2710</v>
      </c>
      <c r="C316" t="s">
        <v>1591</v>
      </c>
      <c r="D316" t="s">
        <v>2709</v>
      </c>
    </row>
    <row r="317" spans="1:4" x14ac:dyDescent="0.3">
      <c r="A317">
        <v>316</v>
      </c>
      <c r="B317" t="s">
        <v>1658</v>
      </c>
      <c r="C317" t="s">
        <v>1659</v>
      </c>
      <c r="D317" t="s">
        <v>1653</v>
      </c>
    </row>
    <row r="318" spans="1:4" x14ac:dyDescent="0.3">
      <c r="A318">
        <v>317</v>
      </c>
      <c r="B318" t="s">
        <v>2765</v>
      </c>
      <c r="C318" t="s">
        <v>1563</v>
      </c>
      <c r="D318" t="s">
        <v>2763</v>
      </c>
    </row>
    <row r="319" spans="1:4" x14ac:dyDescent="0.3">
      <c r="A319">
        <v>318</v>
      </c>
      <c r="B319" t="s">
        <v>2437</v>
      </c>
      <c r="C319" t="s">
        <v>2438</v>
      </c>
      <c r="D319" t="s">
        <v>2432</v>
      </c>
    </row>
    <row r="320" spans="1:4" x14ac:dyDescent="0.3">
      <c r="A320">
        <v>319</v>
      </c>
      <c r="B320" t="s">
        <v>1660</v>
      </c>
      <c r="C320" t="s">
        <v>1661</v>
      </c>
      <c r="D320" t="s">
        <v>1653</v>
      </c>
    </row>
    <row r="321" spans="1:4" x14ac:dyDescent="0.3">
      <c r="A321">
        <v>320</v>
      </c>
      <c r="B321" t="s">
        <v>2449</v>
      </c>
      <c r="C321" t="s">
        <v>1349</v>
      </c>
      <c r="D321" t="s">
        <v>2448</v>
      </c>
    </row>
    <row r="322" spans="1:4" x14ac:dyDescent="0.3">
      <c r="A322">
        <v>321</v>
      </c>
      <c r="B322" t="s">
        <v>2688</v>
      </c>
      <c r="C322" t="s">
        <v>2689</v>
      </c>
      <c r="D322" t="s">
        <v>2687</v>
      </c>
    </row>
    <row r="323" spans="1:4" x14ac:dyDescent="0.3">
      <c r="A323">
        <v>322</v>
      </c>
      <c r="B323" t="s">
        <v>2755</v>
      </c>
      <c r="C323" t="s">
        <v>2423</v>
      </c>
      <c r="D323" t="s">
        <v>2752</v>
      </c>
    </row>
    <row r="324" spans="1:4" x14ac:dyDescent="0.3">
      <c r="A324">
        <v>323</v>
      </c>
      <c r="B324" t="s">
        <v>2632</v>
      </c>
      <c r="C324" t="s">
        <v>1462</v>
      </c>
      <c r="D324" t="s">
        <v>2627</v>
      </c>
    </row>
    <row r="325" spans="1:4" x14ac:dyDescent="0.3">
      <c r="A325">
        <v>324</v>
      </c>
      <c r="B325" t="s">
        <v>1940</v>
      </c>
      <c r="C325" t="s">
        <v>1941</v>
      </c>
      <c r="D325" t="s">
        <v>1936</v>
      </c>
    </row>
    <row r="326" spans="1:4" x14ac:dyDescent="0.3">
      <c r="A326">
        <v>325</v>
      </c>
      <c r="B326" t="s">
        <v>2199</v>
      </c>
      <c r="C326" t="s">
        <v>1736</v>
      </c>
      <c r="D326" t="s">
        <v>2196</v>
      </c>
    </row>
    <row r="327" spans="1:4" x14ac:dyDescent="0.3">
      <c r="A327">
        <v>326</v>
      </c>
      <c r="B327" t="s">
        <v>2104</v>
      </c>
      <c r="C327" t="s">
        <v>1712</v>
      </c>
      <c r="D327" t="s">
        <v>2102</v>
      </c>
    </row>
    <row r="328" spans="1:4" x14ac:dyDescent="0.3">
      <c r="A328">
        <v>327</v>
      </c>
      <c r="B328" t="s">
        <v>2783</v>
      </c>
      <c r="C328" t="s">
        <v>1745</v>
      </c>
      <c r="D328" t="s">
        <v>2782</v>
      </c>
    </row>
    <row r="329" spans="1:4" x14ac:dyDescent="0.3">
      <c r="A329">
        <v>328</v>
      </c>
      <c r="B329" t="s">
        <v>2200</v>
      </c>
      <c r="C329" t="s">
        <v>1838</v>
      </c>
      <c r="D329" t="s">
        <v>2196</v>
      </c>
    </row>
    <row r="330" spans="1:4" x14ac:dyDescent="0.3">
      <c r="A330">
        <v>329</v>
      </c>
      <c r="B330" t="s">
        <v>2305</v>
      </c>
      <c r="C330" t="s">
        <v>1838</v>
      </c>
      <c r="D330" t="s">
        <v>2301</v>
      </c>
    </row>
    <row r="331" spans="1:4" x14ac:dyDescent="0.3">
      <c r="A331">
        <v>330</v>
      </c>
      <c r="B331" t="s">
        <v>1432</v>
      </c>
      <c r="C331" t="s">
        <v>1433</v>
      </c>
      <c r="D331" t="s">
        <v>1429</v>
      </c>
    </row>
    <row r="332" spans="1:4" x14ac:dyDescent="0.3">
      <c r="A332">
        <v>331</v>
      </c>
      <c r="B332" t="s">
        <v>2740</v>
      </c>
      <c r="C332" t="s">
        <v>1476</v>
      </c>
      <c r="D332" t="s">
        <v>2735</v>
      </c>
    </row>
    <row r="333" spans="1:4" x14ac:dyDescent="0.3">
      <c r="A333">
        <v>332</v>
      </c>
      <c r="B333" t="s">
        <v>2222</v>
      </c>
      <c r="C333" t="s">
        <v>2223</v>
      </c>
      <c r="D333" t="s">
        <v>2219</v>
      </c>
    </row>
    <row r="334" spans="1:4" x14ac:dyDescent="0.3">
      <c r="A334">
        <v>333</v>
      </c>
      <c r="B334" t="s">
        <v>2023</v>
      </c>
      <c r="C334" t="s">
        <v>2024</v>
      </c>
      <c r="D334" t="s">
        <v>2016</v>
      </c>
    </row>
    <row r="335" spans="1:4" x14ac:dyDescent="0.3">
      <c r="A335">
        <v>334</v>
      </c>
      <c r="B335" t="s">
        <v>1970</v>
      </c>
      <c r="C335" t="s">
        <v>1885</v>
      </c>
      <c r="D335" t="s">
        <v>1965</v>
      </c>
    </row>
    <row r="336" spans="1:4" x14ac:dyDescent="0.3">
      <c r="A336">
        <v>335</v>
      </c>
      <c r="B336" t="s">
        <v>2563</v>
      </c>
      <c r="C336" t="s">
        <v>1385</v>
      </c>
      <c r="D336" t="s">
        <v>2560</v>
      </c>
    </row>
    <row r="337" spans="1:4" x14ac:dyDescent="0.3">
      <c r="A337">
        <v>336</v>
      </c>
      <c r="B337" t="s">
        <v>2314</v>
      </c>
      <c r="C337" t="s">
        <v>1631</v>
      </c>
      <c r="D337" t="s">
        <v>2310</v>
      </c>
    </row>
    <row r="338" spans="1:4" x14ac:dyDescent="0.3">
      <c r="A338">
        <v>337</v>
      </c>
      <c r="B338" t="s">
        <v>1887</v>
      </c>
      <c r="C338" t="s">
        <v>1888</v>
      </c>
      <c r="D338" t="s">
        <v>1886</v>
      </c>
    </row>
    <row r="339" spans="1:4" x14ac:dyDescent="0.3">
      <c r="A339">
        <v>338</v>
      </c>
      <c r="B339" t="s">
        <v>2190</v>
      </c>
      <c r="C339" t="s">
        <v>1299</v>
      </c>
      <c r="D339" t="s">
        <v>2188</v>
      </c>
    </row>
    <row r="340" spans="1:4" x14ac:dyDescent="0.3">
      <c r="A340">
        <v>339</v>
      </c>
      <c r="B340" t="s">
        <v>2315</v>
      </c>
      <c r="C340" t="s">
        <v>1796</v>
      </c>
      <c r="D340" t="s">
        <v>2310</v>
      </c>
    </row>
    <row r="341" spans="1:4" x14ac:dyDescent="0.3">
      <c r="A341">
        <v>340</v>
      </c>
      <c r="B341" t="s">
        <v>1989</v>
      </c>
      <c r="C341" t="s">
        <v>1572</v>
      </c>
      <c r="D341" t="s">
        <v>1985</v>
      </c>
    </row>
    <row r="342" spans="1:4" x14ac:dyDescent="0.3">
      <c r="A342">
        <v>341</v>
      </c>
      <c r="B342" t="s">
        <v>1316</v>
      </c>
      <c r="C342" t="s">
        <v>1311</v>
      </c>
      <c r="D342" t="s">
        <v>1315</v>
      </c>
    </row>
    <row r="343" spans="1:4" x14ac:dyDescent="0.3">
      <c r="A343">
        <v>342</v>
      </c>
      <c r="B343" t="s">
        <v>2237</v>
      </c>
      <c r="C343" t="s">
        <v>2233</v>
      </c>
      <c r="D343" t="s">
        <v>2234</v>
      </c>
    </row>
    <row r="344" spans="1:4" x14ac:dyDescent="0.3">
      <c r="A344">
        <v>343</v>
      </c>
      <c r="B344" t="s">
        <v>2163</v>
      </c>
      <c r="C344" t="s">
        <v>1476</v>
      </c>
      <c r="D344" t="s">
        <v>2159</v>
      </c>
    </row>
    <row r="345" spans="1:4" x14ac:dyDescent="0.3">
      <c r="A345">
        <v>344</v>
      </c>
      <c r="B345" t="s">
        <v>2553</v>
      </c>
      <c r="C345" t="s">
        <v>1549</v>
      </c>
      <c r="D345" t="s">
        <v>2554</v>
      </c>
    </row>
    <row r="346" spans="1:4" x14ac:dyDescent="0.3">
      <c r="A346">
        <v>345</v>
      </c>
      <c r="B346" t="s">
        <v>2316</v>
      </c>
      <c r="C346" t="s">
        <v>1474</v>
      </c>
      <c r="D346" t="s">
        <v>2310</v>
      </c>
    </row>
    <row r="347" spans="1:4" x14ac:dyDescent="0.3">
      <c r="A347">
        <v>346</v>
      </c>
      <c r="B347" t="s">
        <v>2699</v>
      </c>
      <c r="C347" t="s">
        <v>1642</v>
      </c>
      <c r="D347" t="s">
        <v>2697</v>
      </c>
    </row>
    <row r="348" spans="1:4" x14ac:dyDescent="0.3">
      <c r="A348">
        <v>347</v>
      </c>
      <c r="B348" t="s">
        <v>2418</v>
      </c>
      <c r="C348" t="s">
        <v>1346</v>
      </c>
      <c r="D348" t="s">
        <v>2416</v>
      </c>
    </row>
    <row r="349" spans="1:4" x14ac:dyDescent="0.3">
      <c r="A349">
        <v>348</v>
      </c>
      <c r="B349" t="s">
        <v>2419</v>
      </c>
      <c r="C349" t="s">
        <v>2165</v>
      </c>
      <c r="D349" t="s">
        <v>2416</v>
      </c>
    </row>
    <row r="350" spans="1:4" x14ac:dyDescent="0.3">
      <c r="A350">
        <v>349</v>
      </c>
      <c r="B350" t="s">
        <v>2256</v>
      </c>
      <c r="C350" t="s">
        <v>1853</v>
      </c>
      <c r="D350" t="s">
        <v>2251</v>
      </c>
    </row>
    <row r="351" spans="1:4" x14ac:dyDescent="0.3">
      <c r="A351">
        <v>350</v>
      </c>
      <c r="B351" t="s">
        <v>2238</v>
      </c>
      <c r="C351" t="s">
        <v>1696</v>
      </c>
      <c r="D351" t="s">
        <v>2234</v>
      </c>
    </row>
    <row r="352" spans="1:4" x14ac:dyDescent="0.3">
      <c r="A352">
        <v>351</v>
      </c>
      <c r="B352" t="s">
        <v>2412</v>
      </c>
      <c r="C352" t="s">
        <v>1383</v>
      </c>
      <c r="D352" t="s">
        <v>2409</v>
      </c>
    </row>
    <row r="353" spans="1:4" x14ac:dyDescent="0.3">
      <c r="A353">
        <v>352</v>
      </c>
      <c r="B353" t="s">
        <v>2290</v>
      </c>
      <c r="C353" t="s">
        <v>1495</v>
      </c>
      <c r="D353" t="s">
        <v>2286</v>
      </c>
    </row>
    <row r="354" spans="1:4" x14ac:dyDescent="0.3">
      <c r="A354">
        <v>353</v>
      </c>
      <c r="B354" t="s">
        <v>2711</v>
      </c>
      <c r="C354" t="s">
        <v>1768</v>
      </c>
      <c r="D354" t="s">
        <v>2709</v>
      </c>
    </row>
    <row r="355" spans="1:4" x14ac:dyDescent="0.3">
      <c r="A355">
        <v>354</v>
      </c>
      <c r="B355" t="s">
        <v>2724</v>
      </c>
      <c r="C355" t="s">
        <v>1941</v>
      </c>
      <c r="D355" t="s">
        <v>2725</v>
      </c>
    </row>
    <row r="356" spans="1:4" x14ac:dyDescent="0.3">
      <c r="A356">
        <v>355</v>
      </c>
      <c r="B356" t="s">
        <v>2164</v>
      </c>
      <c r="C356" t="s">
        <v>2165</v>
      </c>
      <c r="D356" t="s">
        <v>2159</v>
      </c>
    </row>
    <row r="357" spans="1:4" x14ac:dyDescent="0.3">
      <c r="A357">
        <v>356</v>
      </c>
      <c r="B357" t="s">
        <v>2766</v>
      </c>
      <c r="C357" t="s">
        <v>1638</v>
      </c>
      <c r="D357" t="s">
        <v>2763</v>
      </c>
    </row>
    <row r="358" spans="1:4" x14ac:dyDescent="0.3">
      <c r="A358">
        <v>357</v>
      </c>
      <c r="B358" t="s">
        <v>1815</v>
      </c>
      <c r="C358" t="s">
        <v>1648</v>
      </c>
      <c r="D358" t="s">
        <v>1812</v>
      </c>
    </row>
    <row r="359" spans="1:4" x14ac:dyDescent="0.3">
      <c r="A359">
        <v>358</v>
      </c>
      <c r="B359" t="s">
        <v>2712</v>
      </c>
      <c r="C359" t="s">
        <v>2713</v>
      </c>
      <c r="D359" t="s">
        <v>2709</v>
      </c>
    </row>
    <row r="360" spans="1:4" x14ac:dyDescent="0.3">
      <c r="A360">
        <v>359</v>
      </c>
      <c r="B360" t="s">
        <v>1932</v>
      </c>
      <c r="C360" t="s">
        <v>1725</v>
      </c>
      <c r="D360" t="s">
        <v>1926</v>
      </c>
    </row>
    <row r="361" spans="1:4" x14ac:dyDescent="0.3">
      <c r="A361">
        <v>360</v>
      </c>
      <c r="B361" t="s">
        <v>1693</v>
      </c>
      <c r="C361" t="s">
        <v>1694</v>
      </c>
      <c r="D361" t="s">
        <v>1690</v>
      </c>
    </row>
    <row r="362" spans="1:4" x14ac:dyDescent="0.3">
      <c r="A362">
        <v>361</v>
      </c>
      <c r="B362" t="s">
        <v>2338</v>
      </c>
      <c r="C362" t="s">
        <v>1600</v>
      </c>
      <c r="D362" t="s">
        <v>2334</v>
      </c>
    </row>
    <row r="363" spans="1:4" x14ac:dyDescent="0.3">
      <c r="A363">
        <v>362</v>
      </c>
      <c r="B363" t="s">
        <v>1639</v>
      </c>
      <c r="C363" t="s">
        <v>1640</v>
      </c>
      <c r="D363" t="s">
        <v>1634</v>
      </c>
    </row>
    <row r="364" spans="1:4" x14ac:dyDescent="0.3">
      <c r="A364">
        <v>363</v>
      </c>
      <c r="B364" t="s">
        <v>1744</v>
      </c>
      <c r="C364" t="s">
        <v>1745</v>
      </c>
      <c r="D364" t="s">
        <v>1746</v>
      </c>
    </row>
    <row r="365" spans="1:4" x14ac:dyDescent="0.3">
      <c r="A365">
        <v>364</v>
      </c>
      <c r="B365" t="s">
        <v>1816</v>
      </c>
      <c r="C365" t="s">
        <v>1614</v>
      </c>
      <c r="D365" t="s">
        <v>1812</v>
      </c>
    </row>
    <row r="366" spans="1:4" x14ac:dyDescent="0.3">
      <c r="A366">
        <v>365</v>
      </c>
      <c r="B366" t="s">
        <v>2587</v>
      </c>
      <c r="C366" t="s">
        <v>2588</v>
      </c>
      <c r="D366" t="s">
        <v>2589</v>
      </c>
    </row>
    <row r="367" spans="1:4" x14ac:dyDescent="0.3">
      <c r="A367">
        <v>366</v>
      </c>
      <c r="B367" t="s">
        <v>1662</v>
      </c>
      <c r="C367" t="s">
        <v>1297</v>
      </c>
      <c r="D367" t="s">
        <v>1653</v>
      </c>
    </row>
    <row r="368" spans="1:4" x14ac:dyDescent="0.3">
      <c r="A368">
        <v>367</v>
      </c>
      <c r="B368" t="s">
        <v>1350</v>
      </c>
      <c r="C368" t="s">
        <v>1351</v>
      </c>
      <c r="D368" t="s">
        <v>1347</v>
      </c>
    </row>
    <row r="369" spans="1:4" x14ac:dyDescent="0.3">
      <c r="A369">
        <v>368</v>
      </c>
      <c r="B369" t="s">
        <v>1607</v>
      </c>
      <c r="C369" t="s">
        <v>1608</v>
      </c>
      <c r="D369" t="s">
        <v>1609</v>
      </c>
    </row>
    <row r="370" spans="1:4" x14ac:dyDescent="0.3">
      <c r="A370">
        <v>369</v>
      </c>
      <c r="B370" t="s">
        <v>1801</v>
      </c>
      <c r="C370" t="s">
        <v>1431</v>
      </c>
      <c r="D370" t="s">
        <v>1794</v>
      </c>
    </row>
    <row r="371" spans="1:4" x14ac:dyDescent="0.3">
      <c r="A371">
        <v>370</v>
      </c>
      <c r="B371" t="s">
        <v>2360</v>
      </c>
      <c r="C371" t="s">
        <v>1770</v>
      </c>
      <c r="D371" t="s">
        <v>2356</v>
      </c>
    </row>
    <row r="372" spans="1:4" x14ac:dyDescent="0.3">
      <c r="A372">
        <v>371</v>
      </c>
      <c r="B372" t="s">
        <v>2049</v>
      </c>
      <c r="C372" t="s">
        <v>1428</v>
      </c>
      <c r="D372" t="s">
        <v>2050</v>
      </c>
    </row>
    <row r="373" spans="1:4" x14ac:dyDescent="0.3">
      <c r="A373">
        <v>372</v>
      </c>
      <c r="B373" t="s">
        <v>2257</v>
      </c>
      <c r="C373" t="s">
        <v>1311</v>
      </c>
      <c r="D373" t="s">
        <v>2251</v>
      </c>
    </row>
    <row r="374" spans="1:4" x14ac:dyDescent="0.3">
      <c r="A374">
        <v>373</v>
      </c>
      <c r="B374" t="s">
        <v>1889</v>
      </c>
      <c r="C374" t="s">
        <v>1890</v>
      </c>
      <c r="D374" t="s">
        <v>1886</v>
      </c>
    </row>
    <row r="375" spans="1:4" x14ac:dyDescent="0.3">
      <c r="A375">
        <v>374</v>
      </c>
      <c r="B375" t="s">
        <v>1445</v>
      </c>
      <c r="C375" t="s">
        <v>1446</v>
      </c>
      <c r="D375" t="s">
        <v>1447</v>
      </c>
    </row>
    <row r="376" spans="1:4" x14ac:dyDescent="0.3">
      <c r="A376">
        <v>375</v>
      </c>
      <c r="B376" t="s">
        <v>2114</v>
      </c>
      <c r="C376" t="s">
        <v>1383</v>
      </c>
      <c r="D376" t="s">
        <v>2110</v>
      </c>
    </row>
    <row r="377" spans="1:4" x14ac:dyDescent="0.3">
      <c r="A377">
        <v>376</v>
      </c>
      <c r="B377" t="s">
        <v>1747</v>
      </c>
      <c r="C377" t="s">
        <v>1539</v>
      </c>
      <c r="D377" t="s">
        <v>1746</v>
      </c>
    </row>
    <row r="378" spans="1:4" x14ac:dyDescent="0.3">
      <c r="A378">
        <v>377</v>
      </c>
      <c r="B378" t="s">
        <v>2555</v>
      </c>
      <c r="C378" t="s">
        <v>1838</v>
      </c>
      <c r="D378" t="s">
        <v>2554</v>
      </c>
    </row>
    <row r="379" spans="1:4" x14ac:dyDescent="0.3">
      <c r="A379">
        <v>378</v>
      </c>
      <c r="B379" t="s">
        <v>2633</v>
      </c>
      <c r="C379" t="s">
        <v>1515</v>
      </c>
      <c r="D379" t="s">
        <v>2627</v>
      </c>
    </row>
    <row r="380" spans="1:4" x14ac:dyDescent="0.3">
      <c r="A380">
        <v>379</v>
      </c>
      <c r="B380" t="s">
        <v>2201</v>
      </c>
      <c r="C380" t="s">
        <v>1702</v>
      </c>
      <c r="D380" t="s">
        <v>2196</v>
      </c>
    </row>
    <row r="381" spans="1:4" x14ac:dyDescent="0.3">
      <c r="A381">
        <v>380</v>
      </c>
      <c r="B381" t="s">
        <v>2634</v>
      </c>
      <c r="C381" t="s">
        <v>2635</v>
      </c>
      <c r="D381" t="s">
        <v>2627</v>
      </c>
    </row>
    <row r="382" spans="1:4" x14ac:dyDescent="0.3">
      <c r="A382">
        <v>381</v>
      </c>
      <c r="B382" t="s">
        <v>2714</v>
      </c>
      <c r="C382" t="s">
        <v>1666</v>
      </c>
      <c r="D382" t="s">
        <v>2709</v>
      </c>
    </row>
    <row r="383" spans="1:4" x14ac:dyDescent="0.3">
      <c r="A383">
        <v>382</v>
      </c>
      <c r="B383" t="s">
        <v>1594</v>
      </c>
      <c r="C383" t="s">
        <v>1595</v>
      </c>
      <c r="D383" t="s">
        <v>1596</v>
      </c>
    </row>
    <row r="384" spans="1:4" x14ac:dyDescent="0.3">
      <c r="A384">
        <v>383</v>
      </c>
      <c r="B384" t="s">
        <v>2368</v>
      </c>
      <c r="C384" t="s">
        <v>1661</v>
      </c>
      <c r="D384" t="s">
        <v>2367</v>
      </c>
    </row>
    <row r="385" spans="1:4" x14ac:dyDescent="0.3">
      <c r="A385">
        <v>384</v>
      </c>
      <c r="B385" t="s">
        <v>2051</v>
      </c>
      <c r="C385" t="s">
        <v>1696</v>
      </c>
      <c r="D385" t="s">
        <v>2050</v>
      </c>
    </row>
    <row r="386" spans="1:4" x14ac:dyDescent="0.3">
      <c r="A386">
        <v>385</v>
      </c>
      <c r="B386" t="s">
        <v>1880</v>
      </c>
      <c r="C386" t="s">
        <v>1841</v>
      </c>
      <c r="D386" t="s">
        <v>1879</v>
      </c>
    </row>
    <row r="387" spans="1:4" x14ac:dyDescent="0.3">
      <c r="A387">
        <v>386</v>
      </c>
      <c r="B387" t="s">
        <v>2477</v>
      </c>
      <c r="C387" t="s">
        <v>1287</v>
      </c>
      <c r="D387" t="s">
        <v>2474</v>
      </c>
    </row>
    <row r="388" spans="1:4" x14ac:dyDescent="0.3">
      <c r="A388">
        <v>387</v>
      </c>
      <c r="B388" t="s">
        <v>2202</v>
      </c>
      <c r="C388" t="s">
        <v>1495</v>
      </c>
      <c r="D388" t="s">
        <v>2196</v>
      </c>
    </row>
    <row r="389" spans="1:4" x14ac:dyDescent="0.3">
      <c r="A389">
        <v>388</v>
      </c>
      <c r="B389" t="s">
        <v>2455</v>
      </c>
      <c r="C389" t="s">
        <v>2053</v>
      </c>
      <c r="D389" t="s">
        <v>2452</v>
      </c>
    </row>
    <row r="390" spans="1:4" x14ac:dyDescent="0.3">
      <c r="A390">
        <v>389</v>
      </c>
      <c r="B390" t="s">
        <v>2258</v>
      </c>
      <c r="C390" t="s">
        <v>1372</v>
      </c>
      <c r="D390" t="s">
        <v>2251</v>
      </c>
    </row>
    <row r="391" spans="1:4" x14ac:dyDescent="0.3">
      <c r="A391">
        <v>390</v>
      </c>
      <c r="B391" t="s">
        <v>1382</v>
      </c>
      <c r="C391" t="s">
        <v>1383</v>
      </c>
      <c r="D391" t="s">
        <v>1381</v>
      </c>
    </row>
    <row r="392" spans="1:4" x14ac:dyDescent="0.3">
      <c r="A392">
        <v>391</v>
      </c>
      <c r="B392" t="s">
        <v>2115</v>
      </c>
      <c r="C392" t="s">
        <v>1680</v>
      </c>
      <c r="D392" t="s">
        <v>2110</v>
      </c>
    </row>
    <row r="393" spans="1:4" x14ac:dyDescent="0.3">
      <c r="A393">
        <v>392</v>
      </c>
      <c r="B393" t="s">
        <v>2176</v>
      </c>
      <c r="C393" t="s">
        <v>2177</v>
      </c>
      <c r="D393" t="s">
        <v>2170</v>
      </c>
    </row>
    <row r="394" spans="1:4" x14ac:dyDescent="0.3">
      <c r="A394">
        <v>393</v>
      </c>
      <c r="B394" t="s">
        <v>1448</v>
      </c>
      <c r="C394" t="s">
        <v>1335</v>
      </c>
      <c r="D394" t="s">
        <v>1447</v>
      </c>
    </row>
    <row r="395" spans="1:4" x14ac:dyDescent="0.3">
      <c r="A395">
        <v>394</v>
      </c>
      <c r="B395" t="s">
        <v>2643</v>
      </c>
      <c r="C395" t="s">
        <v>1568</v>
      </c>
      <c r="D395" t="s">
        <v>2642</v>
      </c>
    </row>
    <row r="396" spans="1:4" x14ac:dyDescent="0.3">
      <c r="A396">
        <v>395</v>
      </c>
      <c r="B396" t="s">
        <v>2064</v>
      </c>
      <c r="C396" t="s">
        <v>1860</v>
      </c>
      <c r="D396" t="s">
        <v>2061</v>
      </c>
    </row>
    <row r="397" spans="1:4" x14ac:dyDescent="0.3">
      <c r="A397">
        <v>396</v>
      </c>
      <c r="B397" t="s">
        <v>1503</v>
      </c>
      <c r="C397" t="s">
        <v>1504</v>
      </c>
      <c r="D397" t="s">
        <v>1502</v>
      </c>
    </row>
    <row r="398" spans="1:4" x14ac:dyDescent="0.3">
      <c r="A398">
        <v>397</v>
      </c>
      <c r="B398" t="s">
        <v>2239</v>
      </c>
      <c r="C398" t="s">
        <v>2240</v>
      </c>
      <c r="D398" t="s">
        <v>2234</v>
      </c>
    </row>
    <row r="399" spans="1:4" x14ac:dyDescent="0.3">
      <c r="A399">
        <v>398</v>
      </c>
      <c r="B399" t="s">
        <v>1331</v>
      </c>
      <c r="C399" t="s">
        <v>1332</v>
      </c>
      <c r="D399" t="s">
        <v>1333</v>
      </c>
    </row>
    <row r="400" spans="1:4" x14ac:dyDescent="0.3">
      <c r="A400">
        <v>399</v>
      </c>
      <c r="B400" t="s">
        <v>2224</v>
      </c>
      <c r="C400" t="s">
        <v>2225</v>
      </c>
      <c r="D400" t="s">
        <v>2219</v>
      </c>
    </row>
    <row r="401" spans="1:4" x14ac:dyDescent="0.3">
      <c r="A401">
        <v>400</v>
      </c>
      <c r="B401" t="s">
        <v>2767</v>
      </c>
      <c r="C401" t="s">
        <v>1566</v>
      </c>
      <c r="D401" t="s">
        <v>2763</v>
      </c>
    </row>
    <row r="402" spans="1:4" x14ac:dyDescent="0.3">
      <c r="A402">
        <v>401</v>
      </c>
      <c r="B402" t="s">
        <v>1560</v>
      </c>
      <c r="C402" t="s">
        <v>1561</v>
      </c>
      <c r="D402" t="s">
        <v>1559</v>
      </c>
    </row>
    <row r="403" spans="1:4" x14ac:dyDescent="0.3">
      <c r="A403">
        <v>402</v>
      </c>
      <c r="B403" t="s">
        <v>1386</v>
      </c>
      <c r="C403" t="s">
        <v>1387</v>
      </c>
      <c r="D403" t="s">
        <v>1388</v>
      </c>
    </row>
    <row r="404" spans="1:4" x14ac:dyDescent="0.3">
      <c r="A404">
        <v>403</v>
      </c>
      <c r="B404" t="s">
        <v>2439</v>
      </c>
      <c r="C404" t="s">
        <v>1950</v>
      </c>
      <c r="D404" t="s">
        <v>2432</v>
      </c>
    </row>
    <row r="405" spans="1:4" x14ac:dyDescent="0.3">
      <c r="A405">
        <v>404</v>
      </c>
      <c r="B405" t="s">
        <v>1597</v>
      </c>
      <c r="C405" t="s">
        <v>1598</v>
      </c>
      <c r="D405" t="s">
        <v>1596</v>
      </c>
    </row>
    <row r="406" spans="1:4" x14ac:dyDescent="0.3">
      <c r="A406">
        <v>405</v>
      </c>
      <c r="B406" t="s">
        <v>2420</v>
      </c>
      <c r="C406" t="s">
        <v>2421</v>
      </c>
      <c r="D406" t="s">
        <v>2416</v>
      </c>
    </row>
    <row r="407" spans="1:4" x14ac:dyDescent="0.3">
      <c r="A407">
        <v>406</v>
      </c>
      <c r="B407" t="s">
        <v>1788</v>
      </c>
      <c r="C407" t="s">
        <v>1481</v>
      </c>
      <c r="D407" t="s">
        <v>1786</v>
      </c>
    </row>
    <row r="408" spans="1:4" x14ac:dyDescent="0.3">
      <c r="A408">
        <v>407</v>
      </c>
      <c r="B408" t="s">
        <v>2513</v>
      </c>
      <c r="C408" t="s">
        <v>2514</v>
      </c>
      <c r="D408" t="s">
        <v>2515</v>
      </c>
    </row>
    <row r="409" spans="1:4" x14ac:dyDescent="0.3">
      <c r="A409">
        <v>408</v>
      </c>
      <c r="B409" t="s">
        <v>1585</v>
      </c>
      <c r="C409" t="s">
        <v>1586</v>
      </c>
      <c r="D409" t="s">
        <v>1587</v>
      </c>
    </row>
    <row r="410" spans="1:4" x14ac:dyDescent="0.3">
      <c r="A410">
        <v>409</v>
      </c>
      <c r="B410" t="s">
        <v>1641</v>
      </c>
      <c r="C410" t="s">
        <v>1642</v>
      </c>
      <c r="D410" t="s">
        <v>1634</v>
      </c>
    </row>
    <row r="411" spans="1:4" x14ac:dyDescent="0.3">
      <c r="A411">
        <v>410</v>
      </c>
      <c r="B411" t="s">
        <v>1570</v>
      </c>
      <c r="C411" t="s">
        <v>1281</v>
      </c>
      <c r="D411" t="s">
        <v>1569</v>
      </c>
    </row>
    <row r="412" spans="1:4" x14ac:dyDescent="0.3">
      <c r="A412">
        <v>411</v>
      </c>
      <c r="B412" t="s">
        <v>2491</v>
      </c>
      <c r="C412" t="s">
        <v>1556</v>
      </c>
      <c r="D412" t="s">
        <v>2489</v>
      </c>
    </row>
    <row r="413" spans="1:4" x14ac:dyDescent="0.3">
      <c r="A413">
        <v>412</v>
      </c>
      <c r="B413" t="s">
        <v>1774</v>
      </c>
      <c r="C413" t="s">
        <v>1775</v>
      </c>
      <c r="D413" t="s">
        <v>1773</v>
      </c>
    </row>
    <row r="414" spans="1:4" x14ac:dyDescent="0.3">
      <c r="A414">
        <v>413</v>
      </c>
      <c r="B414" t="s">
        <v>2726</v>
      </c>
      <c r="C414" t="s">
        <v>1551</v>
      </c>
      <c r="D414" t="s">
        <v>2725</v>
      </c>
    </row>
    <row r="415" spans="1:4" x14ac:dyDescent="0.3">
      <c r="A415">
        <v>414</v>
      </c>
      <c r="B415" t="s">
        <v>2456</v>
      </c>
      <c r="C415" t="s">
        <v>1987</v>
      </c>
      <c r="D415" t="s">
        <v>2452</v>
      </c>
    </row>
    <row r="416" spans="1:4" x14ac:dyDescent="0.3">
      <c r="A416">
        <v>415</v>
      </c>
      <c r="B416" t="s">
        <v>1505</v>
      </c>
      <c r="C416" t="s">
        <v>1462</v>
      </c>
      <c r="D416" t="s">
        <v>1502</v>
      </c>
    </row>
    <row r="417" spans="1:4" x14ac:dyDescent="0.3">
      <c r="A417">
        <v>416</v>
      </c>
      <c r="B417" t="s">
        <v>1610</v>
      </c>
      <c r="C417" t="s">
        <v>1522</v>
      </c>
      <c r="D417" t="s">
        <v>1609</v>
      </c>
    </row>
    <row r="418" spans="1:4" x14ac:dyDescent="0.3">
      <c r="A418">
        <v>417</v>
      </c>
      <c r="B418" t="s">
        <v>1643</v>
      </c>
      <c r="C418" t="s">
        <v>1644</v>
      </c>
      <c r="D418" t="s">
        <v>1634</v>
      </c>
    </row>
    <row r="419" spans="1:4" x14ac:dyDescent="0.3">
      <c r="A419">
        <v>418</v>
      </c>
      <c r="B419" t="s">
        <v>1835</v>
      </c>
      <c r="C419" t="s">
        <v>1355</v>
      </c>
      <c r="D419" t="s">
        <v>1834</v>
      </c>
    </row>
    <row r="420" spans="1:4" x14ac:dyDescent="0.3">
      <c r="A420">
        <v>419</v>
      </c>
      <c r="B420" t="s">
        <v>2402</v>
      </c>
      <c r="C420" t="s">
        <v>1365</v>
      </c>
      <c r="D420" t="s">
        <v>2403</v>
      </c>
    </row>
    <row r="421" spans="1:4" x14ac:dyDescent="0.3">
      <c r="A421">
        <v>420</v>
      </c>
      <c r="B421" t="s">
        <v>2516</v>
      </c>
      <c r="C421" t="s">
        <v>1749</v>
      </c>
      <c r="D421" t="s">
        <v>2515</v>
      </c>
    </row>
    <row r="422" spans="1:4" x14ac:dyDescent="0.3">
      <c r="A422">
        <v>421</v>
      </c>
      <c r="B422" t="s">
        <v>2065</v>
      </c>
      <c r="C422" t="s">
        <v>1332</v>
      </c>
      <c r="D422" t="s">
        <v>2061</v>
      </c>
    </row>
    <row r="423" spans="1:4" x14ac:dyDescent="0.3">
      <c r="A423">
        <v>422</v>
      </c>
      <c r="B423" t="s">
        <v>2499</v>
      </c>
      <c r="C423" t="s">
        <v>1954</v>
      </c>
      <c r="D423" t="s">
        <v>2495</v>
      </c>
    </row>
    <row r="424" spans="1:4" x14ac:dyDescent="0.3">
      <c r="A424">
        <v>423</v>
      </c>
      <c r="B424" t="s">
        <v>2690</v>
      </c>
      <c r="C424" t="s">
        <v>1765</v>
      </c>
      <c r="D424" t="s">
        <v>2687</v>
      </c>
    </row>
    <row r="425" spans="1:4" x14ac:dyDescent="0.3">
      <c r="A425">
        <v>424</v>
      </c>
      <c r="B425" t="s">
        <v>2373</v>
      </c>
      <c r="C425" t="s">
        <v>2374</v>
      </c>
      <c r="D425" t="s">
        <v>2375</v>
      </c>
    </row>
    <row r="426" spans="1:4" x14ac:dyDescent="0.3">
      <c r="A426">
        <v>425</v>
      </c>
      <c r="B426" t="s">
        <v>2404</v>
      </c>
      <c r="C426" t="s">
        <v>1721</v>
      </c>
      <c r="D426" t="s">
        <v>2403</v>
      </c>
    </row>
    <row r="427" spans="1:4" x14ac:dyDescent="0.3">
      <c r="A427">
        <v>426</v>
      </c>
      <c r="B427" t="s">
        <v>1506</v>
      </c>
      <c r="C427" t="s">
        <v>1507</v>
      </c>
      <c r="D427" t="s">
        <v>1502</v>
      </c>
    </row>
    <row r="428" spans="1:4" x14ac:dyDescent="0.3">
      <c r="A428">
        <v>427</v>
      </c>
      <c r="B428" t="s">
        <v>2500</v>
      </c>
      <c r="C428" t="s">
        <v>1993</v>
      </c>
      <c r="D428" t="s">
        <v>2495</v>
      </c>
    </row>
    <row r="429" spans="1:4" x14ac:dyDescent="0.3">
      <c r="A429">
        <v>428</v>
      </c>
      <c r="B429" t="s">
        <v>2440</v>
      </c>
      <c r="C429" t="s">
        <v>1464</v>
      </c>
      <c r="D429" t="s">
        <v>2432</v>
      </c>
    </row>
    <row r="430" spans="1:4" x14ac:dyDescent="0.3">
      <c r="A430">
        <v>429</v>
      </c>
      <c r="B430" t="s">
        <v>1942</v>
      </c>
      <c r="C430" t="s">
        <v>1943</v>
      </c>
      <c r="D430" t="s">
        <v>1936</v>
      </c>
    </row>
    <row r="431" spans="1:4" x14ac:dyDescent="0.3">
      <c r="A431">
        <v>430</v>
      </c>
      <c r="B431" t="s">
        <v>2756</v>
      </c>
      <c r="C431" t="s">
        <v>1367</v>
      </c>
      <c r="D431" t="s">
        <v>2752</v>
      </c>
    </row>
    <row r="432" spans="1:4" x14ac:dyDescent="0.3">
      <c r="A432">
        <v>431</v>
      </c>
      <c r="B432" t="s">
        <v>1621</v>
      </c>
      <c r="C432" t="s">
        <v>1622</v>
      </c>
      <c r="D432" t="s">
        <v>1615</v>
      </c>
    </row>
    <row r="433" spans="1:4" x14ac:dyDescent="0.3">
      <c r="A433">
        <v>432</v>
      </c>
      <c r="B433" t="s">
        <v>2618</v>
      </c>
      <c r="C433" t="s">
        <v>1470</v>
      </c>
      <c r="D433" t="s">
        <v>2619</v>
      </c>
    </row>
    <row r="434" spans="1:4" x14ac:dyDescent="0.3">
      <c r="A434">
        <v>433</v>
      </c>
      <c r="B434" t="s">
        <v>1971</v>
      </c>
      <c r="C434" t="s">
        <v>1400</v>
      </c>
      <c r="D434" t="s">
        <v>1965</v>
      </c>
    </row>
    <row r="435" spans="1:4" x14ac:dyDescent="0.3">
      <c r="A435">
        <v>434</v>
      </c>
      <c r="B435" t="s">
        <v>1921</v>
      </c>
      <c r="C435" t="s">
        <v>1775</v>
      </c>
      <c r="D435" t="s">
        <v>1913</v>
      </c>
    </row>
    <row r="436" spans="1:4" x14ac:dyDescent="0.3">
      <c r="A436">
        <v>435</v>
      </c>
      <c r="B436" t="s">
        <v>2191</v>
      </c>
      <c r="C436" t="s">
        <v>2192</v>
      </c>
      <c r="D436" t="s">
        <v>2188</v>
      </c>
    </row>
    <row r="437" spans="1:4" x14ac:dyDescent="0.3">
      <c r="A437">
        <v>436</v>
      </c>
      <c r="B437" t="s">
        <v>2131</v>
      </c>
      <c r="C437" t="s">
        <v>1442</v>
      </c>
      <c r="D437" t="s">
        <v>2125</v>
      </c>
    </row>
    <row r="438" spans="1:4" x14ac:dyDescent="0.3">
      <c r="A438">
        <v>437</v>
      </c>
      <c r="B438" t="s">
        <v>2578</v>
      </c>
      <c r="C438" t="s">
        <v>1736</v>
      </c>
      <c r="D438" t="s">
        <v>2577</v>
      </c>
    </row>
    <row r="439" spans="1:4" x14ac:dyDescent="0.3">
      <c r="A439">
        <v>438</v>
      </c>
      <c r="B439" t="s">
        <v>2116</v>
      </c>
      <c r="C439" t="s">
        <v>1702</v>
      </c>
      <c r="D439" t="s">
        <v>2110</v>
      </c>
    </row>
    <row r="440" spans="1:4" x14ac:dyDescent="0.3">
      <c r="A440">
        <v>439</v>
      </c>
      <c r="B440" t="s">
        <v>2715</v>
      </c>
      <c r="C440" t="s">
        <v>2119</v>
      </c>
      <c r="D440" t="s">
        <v>2709</v>
      </c>
    </row>
    <row r="441" spans="1:4" x14ac:dyDescent="0.3">
      <c r="A441">
        <v>440</v>
      </c>
      <c r="B441" t="s">
        <v>2216</v>
      </c>
      <c r="C441" t="s">
        <v>1385</v>
      </c>
      <c r="D441" t="s">
        <v>2217</v>
      </c>
    </row>
    <row r="442" spans="1:4" x14ac:dyDescent="0.3">
      <c r="A442">
        <v>441</v>
      </c>
      <c r="B442" t="s">
        <v>2166</v>
      </c>
      <c r="C442" t="s">
        <v>1715</v>
      </c>
      <c r="D442" t="s">
        <v>2159</v>
      </c>
    </row>
    <row r="443" spans="1:4" x14ac:dyDescent="0.3">
      <c r="A443">
        <v>442</v>
      </c>
      <c r="B443" t="s">
        <v>2132</v>
      </c>
      <c r="C443" t="s">
        <v>2133</v>
      </c>
      <c r="D443" t="s">
        <v>2125</v>
      </c>
    </row>
    <row r="444" spans="1:4" x14ac:dyDescent="0.3">
      <c r="A444">
        <v>443</v>
      </c>
      <c r="B444" t="s">
        <v>1821</v>
      </c>
      <c r="C444" t="s">
        <v>1519</v>
      </c>
      <c r="D444" t="s">
        <v>1822</v>
      </c>
    </row>
    <row r="445" spans="1:4" x14ac:dyDescent="0.3">
      <c r="A445">
        <v>444</v>
      </c>
      <c r="B445" t="s">
        <v>1286</v>
      </c>
      <c r="C445" t="s">
        <v>1287</v>
      </c>
      <c r="D445" t="s">
        <v>1277</v>
      </c>
    </row>
    <row r="446" spans="1:4" x14ac:dyDescent="0.3">
      <c r="A446">
        <v>445</v>
      </c>
      <c r="B446" t="s">
        <v>1580</v>
      </c>
      <c r="C446" t="s">
        <v>1581</v>
      </c>
      <c r="D446" t="s">
        <v>1582</v>
      </c>
    </row>
    <row r="447" spans="1:4" x14ac:dyDescent="0.3">
      <c r="A447">
        <v>446</v>
      </c>
      <c r="B447" t="s">
        <v>1352</v>
      </c>
      <c r="C447" t="s">
        <v>1353</v>
      </c>
      <c r="D447" t="s">
        <v>1347</v>
      </c>
    </row>
    <row r="448" spans="1:4" x14ac:dyDescent="0.3">
      <c r="A448">
        <v>447</v>
      </c>
      <c r="B448" t="s">
        <v>2226</v>
      </c>
      <c r="C448" t="s">
        <v>2227</v>
      </c>
      <c r="D448" t="s">
        <v>2219</v>
      </c>
    </row>
    <row r="449" spans="1:4" x14ac:dyDescent="0.3">
      <c r="A449">
        <v>448</v>
      </c>
      <c r="B449" t="s">
        <v>1873</v>
      </c>
      <c r="C449" t="s">
        <v>1874</v>
      </c>
      <c r="D449" t="s">
        <v>1875</v>
      </c>
    </row>
    <row r="450" spans="1:4" x14ac:dyDescent="0.3">
      <c r="A450">
        <v>449</v>
      </c>
      <c r="B450" t="s">
        <v>2178</v>
      </c>
      <c r="C450" t="s">
        <v>1304</v>
      </c>
      <c r="D450" t="s">
        <v>2170</v>
      </c>
    </row>
    <row r="451" spans="1:4" x14ac:dyDescent="0.3">
      <c r="A451">
        <v>450</v>
      </c>
      <c r="B451" t="s">
        <v>2179</v>
      </c>
      <c r="C451" t="s">
        <v>1636</v>
      </c>
      <c r="D451" t="s">
        <v>2170</v>
      </c>
    </row>
    <row r="452" spans="1:4" x14ac:dyDescent="0.3">
      <c r="A452">
        <v>451</v>
      </c>
      <c r="B452" t="s">
        <v>1645</v>
      </c>
      <c r="C452" t="s">
        <v>1646</v>
      </c>
      <c r="D452" t="s">
        <v>1634</v>
      </c>
    </row>
    <row r="453" spans="1:4" x14ac:dyDescent="0.3">
      <c r="A453">
        <v>452</v>
      </c>
      <c r="B453" t="s">
        <v>2398</v>
      </c>
      <c r="C453" t="s">
        <v>1285</v>
      </c>
      <c r="D453" t="s">
        <v>2396</v>
      </c>
    </row>
    <row r="454" spans="1:4" x14ac:dyDescent="0.3">
      <c r="A454">
        <v>453</v>
      </c>
      <c r="B454" t="s">
        <v>1748</v>
      </c>
      <c r="C454" t="s">
        <v>1749</v>
      </c>
      <c r="D454" t="s">
        <v>1746</v>
      </c>
    </row>
    <row r="455" spans="1:4" x14ac:dyDescent="0.3">
      <c r="A455">
        <v>454</v>
      </c>
      <c r="B455" t="s">
        <v>2636</v>
      </c>
      <c r="C455" t="s">
        <v>1376</v>
      </c>
      <c r="D455" t="s">
        <v>2627</v>
      </c>
    </row>
    <row r="456" spans="1:4" x14ac:dyDescent="0.3">
      <c r="A456">
        <v>455</v>
      </c>
      <c r="B456" t="s">
        <v>2134</v>
      </c>
      <c r="C456" t="s">
        <v>1281</v>
      </c>
      <c r="D456" t="s">
        <v>2125</v>
      </c>
    </row>
    <row r="457" spans="1:4" x14ac:dyDescent="0.3">
      <c r="A457">
        <v>456</v>
      </c>
      <c r="B457" t="s">
        <v>2775</v>
      </c>
      <c r="C457" t="s">
        <v>1369</v>
      </c>
      <c r="D457" t="s">
        <v>2776</v>
      </c>
    </row>
    <row r="458" spans="1:4" x14ac:dyDescent="0.3">
      <c r="A458">
        <v>457</v>
      </c>
      <c r="B458" t="s">
        <v>2741</v>
      </c>
      <c r="C458" t="s">
        <v>1591</v>
      </c>
      <c r="D458" t="s">
        <v>2735</v>
      </c>
    </row>
    <row r="459" spans="1:4" x14ac:dyDescent="0.3">
      <c r="A459">
        <v>458</v>
      </c>
      <c r="B459" t="s">
        <v>2422</v>
      </c>
      <c r="C459" t="s">
        <v>2423</v>
      </c>
      <c r="D459" t="s">
        <v>2416</v>
      </c>
    </row>
    <row r="460" spans="1:4" x14ac:dyDescent="0.3">
      <c r="A460">
        <v>459</v>
      </c>
      <c r="B460" t="s">
        <v>2534</v>
      </c>
      <c r="C460" t="s">
        <v>2415</v>
      </c>
      <c r="D460" t="s">
        <v>2533</v>
      </c>
    </row>
    <row r="461" spans="1:4" x14ac:dyDescent="0.3">
      <c r="A461">
        <v>460</v>
      </c>
      <c r="B461" t="s">
        <v>2066</v>
      </c>
      <c r="C461" t="s">
        <v>2067</v>
      </c>
      <c r="D461" t="s">
        <v>2061</v>
      </c>
    </row>
    <row r="462" spans="1:4" x14ac:dyDescent="0.3">
      <c r="A462">
        <v>461</v>
      </c>
      <c r="B462" t="s">
        <v>1851</v>
      </c>
      <c r="C462" t="s">
        <v>1656</v>
      </c>
      <c r="D462" t="s">
        <v>1845</v>
      </c>
    </row>
    <row r="463" spans="1:4" x14ac:dyDescent="0.3">
      <c r="A463">
        <v>462</v>
      </c>
      <c r="B463" t="s">
        <v>2478</v>
      </c>
      <c r="C463" t="s">
        <v>2479</v>
      </c>
      <c r="D463" t="s">
        <v>2474</v>
      </c>
    </row>
    <row r="464" spans="1:4" x14ac:dyDescent="0.3">
      <c r="A464">
        <v>463</v>
      </c>
      <c r="B464" t="s">
        <v>2679</v>
      </c>
      <c r="C464" t="s">
        <v>1458</v>
      </c>
      <c r="D464" t="s">
        <v>2678</v>
      </c>
    </row>
    <row r="465" spans="1:4" x14ac:dyDescent="0.3">
      <c r="A465">
        <v>464</v>
      </c>
      <c r="B465" t="s">
        <v>2052</v>
      </c>
      <c r="C465" t="s">
        <v>2053</v>
      </c>
      <c r="D465" t="s">
        <v>2050</v>
      </c>
    </row>
    <row r="466" spans="1:4" x14ac:dyDescent="0.3">
      <c r="A466">
        <v>465</v>
      </c>
      <c r="B466" t="s">
        <v>1779</v>
      </c>
      <c r="C466" t="s">
        <v>1497</v>
      </c>
      <c r="D466" t="s">
        <v>1780</v>
      </c>
    </row>
    <row r="467" spans="1:4" x14ac:dyDescent="0.3">
      <c r="A467">
        <v>466</v>
      </c>
      <c r="B467" t="s">
        <v>2143</v>
      </c>
      <c r="C467" t="s">
        <v>1369</v>
      </c>
      <c r="D467" t="s">
        <v>2142</v>
      </c>
    </row>
    <row r="468" spans="1:4" x14ac:dyDescent="0.3">
      <c r="A468">
        <v>467</v>
      </c>
      <c r="B468" t="s">
        <v>2361</v>
      </c>
      <c r="C468" t="s">
        <v>2030</v>
      </c>
      <c r="D468" t="s">
        <v>2356</v>
      </c>
    </row>
    <row r="469" spans="1:4" x14ac:dyDescent="0.3">
      <c r="A469">
        <v>468</v>
      </c>
      <c r="B469" t="s">
        <v>1922</v>
      </c>
      <c r="C469" t="s">
        <v>1725</v>
      </c>
      <c r="D469" t="s">
        <v>1913</v>
      </c>
    </row>
    <row r="470" spans="1:4" x14ac:dyDescent="0.3">
      <c r="A470">
        <v>469</v>
      </c>
      <c r="B470" t="s">
        <v>1836</v>
      </c>
      <c r="C470" t="s">
        <v>1378</v>
      </c>
      <c r="D470" t="s">
        <v>1834</v>
      </c>
    </row>
    <row r="471" spans="1:4" x14ac:dyDescent="0.3">
      <c r="A471">
        <v>470</v>
      </c>
      <c r="B471" t="s">
        <v>2267</v>
      </c>
      <c r="C471" t="s">
        <v>1369</v>
      </c>
      <c r="D471" t="s">
        <v>2265</v>
      </c>
    </row>
    <row r="472" spans="1:4" x14ac:dyDescent="0.3">
      <c r="A472">
        <v>471</v>
      </c>
      <c r="B472" t="s">
        <v>1663</v>
      </c>
      <c r="C472" t="s">
        <v>1664</v>
      </c>
      <c r="D472" t="s">
        <v>1653</v>
      </c>
    </row>
    <row r="473" spans="1:4" x14ac:dyDescent="0.3">
      <c r="A473">
        <v>472</v>
      </c>
      <c r="B473" t="s">
        <v>2034</v>
      </c>
      <c r="C473" t="s">
        <v>1376</v>
      </c>
      <c r="D473" t="s">
        <v>2031</v>
      </c>
    </row>
    <row r="474" spans="1:4" x14ac:dyDescent="0.3">
      <c r="A474">
        <v>473</v>
      </c>
      <c r="B474" t="s">
        <v>1750</v>
      </c>
      <c r="C474" t="s">
        <v>1700</v>
      </c>
      <c r="D474" t="s">
        <v>1746</v>
      </c>
    </row>
    <row r="475" spans="1:4" x14ac:dyDescent="0.3">
      <c r="A475">
        <v>474</v>
      </c>
      <c r="B475" t="s">
        <v>1789</v>
      </c>
      <c r="C475" t="s">
        <v>1790</v>
      </c>
      <c r="D475" t="s">
        <v>1786</v>
      </c>
    </row>
    <row r="476" spans="1:4" x14ac:dyDescent="0.3">
      <c r="A476">
        <v>475</v>
      </c>
      <c r="B476" t="s">
        <v>2530</v>
      </c>
      <c r="C476" t="s">
        <v>1483</v>
      </c>
      <c r="D476" t="s">
        <v>2525</v>
      </c>
    </row>
    <row r="477" spans="1:4" x14ac:dyDescent="0.3">
      <c r="A477">
        <v>476</v>
      </c>
      <c r="B477" t="s">
        <v>1623</v>
      </c>
      <c r="C477" t="s">
        <v>1462</v>
      </c>
      <c r="D477" t="s">
        <v>1615</v>
      </c>
    </row>
    <row r="478" spans="1:4" x14ac:dyDescent="0.3">
      <c r="A478">
        <v>477</v>
      </c>
      <c r="B478" t="s">
        <v>2675</v>
      </c>
      <c r="C478" t="s">
        <v>2462</v>
      </c>
      <c r="D478" t="s">
        <v>2674</v>
      </c>
    </row>
    <row r="479" spans="1:4" x14ac:dyDescent="0.3">
      <c r="A479">
        <v>478</v>
      </c>
      <c r="B479" t="s">
        <v>1320</v>
      </c>
      <c r="C479" t="s">
        <v>1321</v>
      </c>
      <c r="D479" t="s">
        <v>1319</v>
      </c>
    </row>
    <row r="480" spans="1:4" x14ac:dyDescent="0.3">
      <c r="A480">
        <v>479</v>
      </c>
      <c r="B480" t="s">
        <v>2047</v>
      </c>
      <c r="C480" t="s">
        <v>1556</v>
      </c>
      <c r="D480" t="s">
        <v>2046</v>
      </c>
    </row>
    <row r="481" spans="1:4" x14ac:dyDescent="0.3">
      <c r="A481">
        <v>480</v>
      </c>
      <c r="B481" t="s">
        <v>2068</v>
      </c>
      <c r="C481" t="s">
        <v>1818</v>
      </c>
      <c r="D481" t="s">
        <v>2061</v>
      </c>
    </row>
    <row r="482" spans="1:4" x14ac:dyDescent="0.3">
      <c r="A482">
        <v>481</v>
      </c>
      <c r="B482" t="s">
        <v>2025</v>
      </c>
      <c r="C482" t="s">
        <v>2026</v>
      </c>
      <c r="D482" t="s">
        <v>2016</v>
      </c>
    </row>
    <row r="483" spans="1:4" x14ac:dyDescent="0.3">
      <c r="A483">
        <v>482</v>
      </c>
      <c r="B483" t="s">
        <v>1665</v>
      </c>
      <c r="C483" t="s">
        <v>1666</v>
      </c>
      <c r="D483" t="s">
        <v>1653</v>
      </c>
    </row>
    <row r="484" spans="1:4" x14ac:dyDescent="0.3">
      <c r="A484">
        <v>483</v>
      </c>
      <c r="B484" t="s">
        <v>1454</v>
      </c>
      <c r="C484" t="s">
        <v>1455</v>
      </c>
      <c r="D484" t="s">
        <v>1453</v>
      </c>
    </row>
    <row r="485" spans="1:4" x14ac:dyDescent="0.3">
      <c r="A485">
        <v>484</v>
      </c>
      <c r="B485" t="s">
        <v>2507</v>
      </c>
      <c r="C485" t="s">
        <v>1515</v>
      </c>
      <c r="D485" t="s">
        <v>2508</v>
      </c>
    </row>
    <row r="486" spans="1:4" x14ac:dyDescent="0.3">
      <c r="A486">
        <v>485</v>
      </c>
      <c r="B486" t="s">
        <v>1322</v>
      </c>
      <c r="C486" t="s">
        <v>1323</v>
      </c>
      <c r="D486" t="s">
        <v>1324</v>
      </c>
    </row>
    <row r="487" spans="1:4" x14ac:dyDescent="0.3">
      <c r="A487">
        <v>486</v>
      </c>
      <c r="B487" t="s">
        <v>1972</v>
      </c>
      <c r="C487" t="s">
        <v>1558</v>
      </c>
      <c r="D487" t="s">
        <v>1965</v>
      </c>
    </row>
    <row r="488" spans="1:4" x14ac:dyDescent="0.3">
      <c r="A488">
        <v>487</v>
      </c>
      <c r="B488" t="s">
        <v>1398</v>
      </c>
      <c r="C488" t="s">
        <v>1318</v>
      </c>
      <c r="D488" t="s">
        <v>1397</v>
      </c>
    </row>
    <row r="489" spans="1:4" x14ac:dyDescent="0.3">
      <c r="A489">
        <v>488</v>
      </c>
      <c r="B489" t="s">
        <v>2080</v>
      </c>
      <c r="C489" t="s">
        <v>1390</v>
      </c>
      <c r="D489" t="s">
        <v>2078</v>
      </c>
    </row>
    <row r="490" spans="1:4" x14ac:dyDescent="0.3">
      <c r="A490">
        <v>489</v>
      </c>
      <c r="B490" t="s">
        <v>2027</v>
      </c>
      <c r="C490" t="s">
        <v>1309</v>
      </c>
      <c r="D490" t="s">
        <v>2016</v>
      </c>
    </row>
    <row r="491" spans="1:4" x14ac:dyDescent="0.3">
      <c r="A491">
        <v>490</v>
      </c>
      <c r="B491" t="s">
        <v>2742</v>
      </c>
      <c r="C491" t="s">
        <v>2013</v>
      </c>
      <c r="D491" t="s">
        <v>2735</v>
      </c>
    </row>
    <row r="492" spans="1:4" x14ac:dyDescent="0.3">
      <c r="A492">
        <v>491</v>
      </c>
      <c r="B492" t="s">
        <v>1624</v>
      </c>
      <c r="C492" t="s">
        <v>1625</v>
      </c>
      <c r="D492" t="s">
        <v>1615</v>
      </c>
    </row>
    <row r="493" spans="1:4" x14ac:dyDescent="0.3">
      <c r="A493">
        <v>492</v>
      </c>
      <c r="B493" t="s">
        <v>2457</v>
      </c>
      <c r="C493" t="s">
        <v>1519</v>
      </c>
      <c r="D493" t="s">
        <v>2452</v>
      </c>
    </row>
    <row r="494" spans="1:4" x14ac:dyDescent="0.3">
      <c r="A494">
        <v>493</v>
      </c>
      <c r="B494" t="s">
        <v>2535</v>
      </c>
      <c r="C494" t="s">
        <v>1674</v>
      </c>
      <c r="D494" t="s">
        <v>2533</v>
      </c>
    </row>
    <row r="495" spans="1:4" x14ac:dyDescent="0.3">
      <c r="A495">
        <v>494</v>
      </c>
      <c r="B495" t="s">
        <v>2376</v>
      </c>
      <c r="C495" t="s">
        <v>2072</v>
      </c>
      <c r="D495" t="s">
        <v>2377</v>
      </c>
    </row>
    <row r="496" spans="1:4" x14ac:dyDescent="0.3">
      <c r="A496">
        <v>495</v>
      </c>
      <c r="B496" t="s">
        <v>2362</v>
      </c>
      <c r="C496" t="s">
        <v>1911</v>
      </c>
      <c r="D496" t="s">
        <v>2356</v>
      </c>
    </row>
    <row r="497" spans="1:4" x14ac:dyDescent="0.3">
      <c r="A497">
        <v>496</v>
      </c>
      <c r="B497" t="s">
        <v>2501</v>
      </c>
      <c r="C497" t="s">
        <v>2174</v>
      </c>
      <c r="D497" t="s">
        <v>2495</v>
      </c>
    </row>
    <row r="498" spans="1:4" x14ac:dyDescent="0.3">
      <c r="A498">
        <v>497</v>
      </c>
      <c r="B498" t="s">
        <v>2349</v>
      </c>
      <c r="C498" t="s">
        <v>2350</v>
      </c>
      <c r="D498" t="s">
        <v>2345</v>
      </c>
    </row>
    <row r="499" spans="1:4" x14ac:dyDescent="0.3">
      <c r="A499">
        <v>498</v>
      </c>
      <c r="B499" t="s">
        <v>2389</v>
      </c>
      <c r="C499" t="s">
        <v>1495</v>
      </c>
      <c r="D499" t="s">
        <v>2384</v>
      </c>
    </row>
    <row r="500" spans="1:4" x14ac:dyDescent="0.3">
      <c r="A500">
        <v>499</v>
      </c>
      <c r="B500" t="s">
        <v>2351</v>
      </c>
      <c r="C500" t="s">
        <v>1412</v>
      </c>
      <c r="D500" t="s">
        <v>2345</v>
      </c>
    </row>
    <row r="501" spans="1:4" x14ac:dyDescent="0.3">
      <c r="A501">
        <v>500</v>
      </c>
      <c r="B501" t="s">
        <v>2517</v>
      </c>
      <c r="C501" t="s">
        <v>1546</v>
      </c>
      <c r="D501" t="s">
        <v>2515</v>
      </c>
    </row>
    <row r="502" spans="1:4" x14ac:dyDescent="0.3">
      <c r="A502">
        <v>501</v>
      </c>
      <c r="B502" t="s">
        <v>1891</v>
      </c>
      <c r="C502" t="s">
        <v>1704</v>
      </c>
      <c r="D502" t="s">
        <v>1886</v>
      </c>
    </row>
    <row r="503" spans="1:4" x14ac:dyDescent="0.3">
      <c r="A503">
        <v>502</v>
      </c>
      <c r="B503" t="s">
        <v>1434</v>
      </c>
      <c r="C503" t="s">
        <v>1435</v>
      </c>
      <c r="D503" t="s">
        <v>1429</v>
      </c>
    </row>
    <row r="504" spans="1:4" x14ac:dyDescent="0.3">
      <c r="A504">
        <v>503</v>
      </c>
      <c r="B504" t="s">
        <v>2144</v>
      </c>
      <c r="C504" t="s">
        <v>1394</v>
      </c>
      <c r="D504" t="s">
        <v>2142</v>
      </c>
    </row>
    <row r="505" spans="1:4" x14ac:dyDescent="0.3">
      <c r="A505">
        <v>504</v>
      </c>
      <c r="B505" t="s">
        <v>2637</v>
      </c>
      <c r="C505" t="s">
        <v>2281</v>
      </c>
      <c r="D505" t="s">
        <v>2627</v>
      </c>
    </row>
    <row r="506" spans="1:4" x14ac:dyDescent="0.3">
      <c r="A506">
        <v>505</v>
      </c>
      <c r="B506" t="s">
        <v>2502</v>
      </c>
      <c r="C506" t="s">
        <v>1438</v>
      </c>
      <c r="D506" t="s">
        <v>2495</v>
      </c>
    </row>
    <row r="507" spans="1:4" x14ac:dyDescent="0.3">
      <c r="A507">
        <v>506</v>
      </c>
      <c r="B507" t="s">
        <v>2556</v>
      </c>
      <c r="C507" t="s">
        <v>1330</v>
      </c>
      <c r="D507" t="s">
        <v>2554</v>
      </c>
    </row>
    <row r="508" spans="1:4" x14ac:dyDescent="0.3">
      <c r="A508">
        <v>507</v>
      </c>
      <c r="B508" t="s">
        <v>1900</v>
      </c>
      <c r="C508" t="s">
        <v>1901</v>
      </c>
      <c r="D508" t="s">
        <v>1899</v>
      </c>
    </row>
    <row r="509" spans="1:4" x14ac:dyDescent="0.3">
      <c r="A509">
        <v>508</v>
      </c>
      <c r="B509" t="s">
        <v>1817</v>
      </c>
      <c r="C509" t="s">
        <v>1818</v>
      </c>
      <c r="D509" t="s">
        <v>1812</v>
      </c>
    </row>
    <row r="510" spans="1:4" x14ac:dyDescent="0.3">
      <c r="A510">
        <v>509</v>
      </c>
      <c r="B510" t="s">
        <v>1973</v>
      </c>
      <c r="C510" t="s">
        <v>1974</v>
      </c>
      <c r="D510" t="s">
        <v>1965</v>
      </c>
    </row>
    <row r="511" spans="1:4" x14ac:dyDescent="0.3">
      <c r="A511">
        <v>510</v>
      </c>
      <c r="B511" t="s">
        <v>1837</v>
      </c>
      <c r="C511" t="s">
        <v>1838</v>
      </c>
      <c r="D511" t="s">
        <v>1834</v>
      </c>
    </row>
    <row r="512" spans="1:4" x14ac:dyDescent="0.3">
      <c r="A512">
        <v>511</v>
      </c>
      <c r="B512" t="s">
        <v>1413</v>
      </c>
      <c r="C512" t="s">
        <v>1414</v>
      </c>
      <c r="D512" t="s">
        <v>1415</v>
      </c>
    </row>
    <row r="513" spans="1:4" x14ac:dyDescent="0.3">
      <c r="A513">
        <v>512</v>
      </c>
      <c r="B513" t="s">
        <v>1588</v>
      </c>
      <c r="C513" t="s">
        <v>1497</v>
      </c>
      <c r="D513" t="s">
        <v>1587</v>
      </c>
    </row>
    <row r="514" spans="1:4" x14ac:dyDescent="0.3">
      <c r="A514">
        <v>513</v>
      </c>
      <c r="B514" t="s">
        <v>1667</v>
      </c>
      <c r="C514" t="s">
        <v>1668</v>
      </c>
      <c r="D514" t="s">
        <v>1653</v>
      </c>
    </row>
    <row r="515" spans="1:4" x14ac:dyDescent="0.3">
      <c r="A515">
        <v>514</v>
      </c>
      <c r="B515" t="s">
        <v>2241</v>
      </c>
      <c r="C515" t="s">
        <v>1546</v>
      </c>
      <c r="D515" t="s">
        <v>2234</v>
      </c>
    </row>
    <row r="516" spans="1:4" x14ac:dyDescent="0.3">
      <c r="A516">
        <v>515</v>
      </c>
      <c r="B516" t="s">
        <v>1995</v>
      </c>
      <c r="C516" t="s">
        <v>1664</v>
      </c>
      <c r="D516" t="s">
        <v>1996</v>
      </c>
    </row>
    <row r="517" spans="1:4" x14ac:dyDescent="0.3">
      <c r="A517">
        <v>516</v>
      </c>
      <c r="B517" t="s">
        <v>2470</v>
      </c>
      <c r="C517" t="s">
        <v>1606</v>
      </c>
      <c r="D517" t="s">
        <v>2469</v>
      </c>
    </row>
    <row r="518" spans="1:4" x14ac:dyDescent="0.3">
      <c r="A518">
        <v>517</v>
      </c>
      <c r="B518" t="s">
        <v>2458</v>
      </c>
      <c r="C518" t="s">
        <v>1537</v>
      </c>
      <c r="D518" t="s">
        <v>2452</v>
      </c>
    </row>
    <row r="519" spans="1:4" x14ac:dyDescent="0.3">
      <c r="A519">
        <v>518</v>
      </c>
      <c r="B519" t="s">
        <v>1456</v>
      </c>
      <c r="C519" t="s">
        <v>1359</v>
      </c>
      <c r="D519" t="s">
        <v>1453</v>
      </c>
    </row>
    <row r="520" spans="1:4" x14ac:dyDescent="0.3">
      <c r="A520">
        <v>519</v>
      </c>
      <c r="B520" t="s">
        <v>2595</v>
      </c>
      <c r="C520" t="s">
        <v>1279</v>
      </c>
      <c r="D520" t="s">
        <v>2594</v>
      </c>
    </row>
    <row r="521" spans="1:4" x14ac:dyDescent="0.3">
      <c r="A521">
        <v>520</v>
      </c>
      <c r="B521" t="s">
        <v>1526</v>
      </c>
      <c r="C521" t="s">
        <v>1524</v>
      </c>
      <c r="D521" t="s">
        <v>1520</v>
      </c>
    </row>
    <row r="522" spans="1:4" x14ac:dyDescent="0.3">
      <c r="A522">
        <v>521</v>
      </c>
      <c r="B522" t="s">
        <v>2564</v>
      </c>
      <c r="C522" t="s">
        <v>1598</v>
      </c>
      <c r="D522" t="s">
        <v>2560</v>
      </c>
    </row>
    <row r="523" spans="1:4" x14ac:dyDescent="0.3">
      <c r="A523">
        <v>522</v>
      </c>
      <c r="B523" t="s">
        <v>2327</v>
      </c>
      <c r="C523" t="s">
        <v>2244</v>
      </c>
      <c r="D523" t="s">
        <v>2326</v>
      </c>
    </row>
    <row r="524" spans="1:4" x14ac:dyDescent="0.3">
      <c r="A524">
        <v>523</v>
      </c>
      <c r="B524" t="s">
        <v>1527</v>
      </c>
      <c r="C524" t="s">
        <v>1279</v>
      </c>
      <c r="D524" t="s">
        <v>1520</v>
      </c>
    </row>
    <row r="525" spans="1:4" x14ac:dyDescent="0.3">
      <c r="A525">
        <v>524</v>
      </c>
      <c r="B525" t="s">
        <v>1802</v>
      </c>
      <c r="C525" t="s">
        <v>1803</v>
      </c>
      <c r="D525" t="s">
        <v>1794</v>
      </c>
    </row>
    <row r="526" spans="1:4" x14ac:dyDescent="0.3">
      <c r="A526">
        <v>525</v>
      </c>
      <c r="B526" t="s">
        <v>2787</v>
      </c>
      <c r="C526" t="s">
        <v>2374</v>
      </c>
      <c r="D526" t="s">
        <v>2786</v>
      </c>
    </row>
    <row r="527" spans="1:4" x14ac:dyDescent="0.3">
      <c r="A527">
        <v>526</v>
      </c>
      <c r="B527" t="s">
        <v>1852</v>
      </c>
      <c r="C527" t="s">
        <v>1853</v>
      </c>
      <c r="D527" t="s">
        <v>1845</v>
      </c>
    </row>
    <row r="528" spans="1:4" x14ac:dyDescent="0.3">
      <c r="A528">
        <v>527</v>
      </c>
      <c r="B528" t="s">
        <v>2716</v>
      </c>
      <c r="C528" t="s">
        <v>2612</v>
      </c>
      <c r="D528" t="s">
        <v>2709</v>
      </c>
    </row>
    <row r="529" spans="1:4" x14ac:dyDescent="0.3">
      <c r="A529">
        <v>528</v>
      </c>
      <c r="B529" t="s">
        <v>1508</v>
      </c>
      <c r="C529" t="s">
        <v>1509</v>
      </c>
      <c r="D529" t="s">
        <v>1502</v>
      </c>
    </row>
    <row r="530" spans="1:4" x14ac:dyDescent="0.3">
      <c r="A530">
        <v>529</v>
      </c>
      <c r="B530" t="s">
        <v>2117</v>
      </c>
      <c r="C530" t="s">
        <v>1417</v>
      </c>
      <c r="D530" t="s">
        <v>2110</v>
      </c>
    </row>
    <row r="531" spans="1:4" x14ac:dyDescent="0.3">
      <c r="A531">
        <v>530</v>
      </c>
      <c r="B531" t="s">
        <v>1734</v>
      </c>
      <c r="C531" t="s">
        <v>1600</v>
      </c>
      <c r="D531" t="s">
        <v>1728</v>
      </c>
    </row>
    <row r="532" spans="1:4" x14ac:dyDescent="0.3">
      <c r="A532">
        <v>531</v>
      </c>
      <c r="B532" t="s">
        <v>1354</v>
      </c>
      <c r="C532" t="s">
        <v>1355</v>
      </c>
      <c r="D532" t="s">
        <v>1347</v>
      </c>
    </row>
    <row r="533" spans="1:4" x14ac:dyDescent="0.3">
      <c r="A533">
        <v>532</v>
      </c>
      <c r="B533" t="s">
        <v>2585</v>
      </c>
      <c r="C533" t="s">
        <v>1344</v>
      </c>
      <c r="D533" t="s">
        <v>2583</v>
      </c>
    </row>
    <row r="534" spans="1:4" x14ac:dyDescent="0.3">
      <c r="A534">
        <v>533</v>
      </c>
      <c r="B534" t="s">
        <v>2054</v>
      </c>
      <c r="C534" t="s">
        <v>1328</v>
      </c>
      <c r="D534" t="s">
        <v>2050</v>
      </c>
    </row>
    <row r="535" spans="1:4" x14ac:dyDescent="0.3">
      <c r="A535">
        <v>534</v>
      </c>
      <c r="B535" t="s">
        <v>2757</v>
      </c>
      <c r="C535" t="s">
        <v>1404</v>
      </c>
      <c r="D535" t="s">
        <v>2752</v>
      </c>
    </row>
    <row r="536" spans="1:4" x14ac:dyDescent="0.3">
      <c r="A536">
        <v>535</v>
      </c>
      <c r="B536" t="s">
        <v>2228</v>
      </c>
      <c r="C536" t="s">
        <v>1501</v>
      </c>
      <c r="D536" t="s">
        <v>2219</v>
      </c>
    </row>
    <row r="537" spans="1:4" x14ac:dyDescent="0.3">
      <c r="A537">
        <v>536</v>
      </c>
      <c r="B537" t="s">
        <v>2069</v>
      </c>
      <c r="C537" t="s">
        <v>1777</v>
      </c>
      <c r="D537" t="s">
        <v>2061</v>
      </c>
    </row>
    <row r="538" spans="1:4" x14ac:dyDescent="0.3">
      <c r="A538">
        <v>537</v>
      </c>
      <c r="B538" t="s">
        <v>2613</v>
      </c>
      <c r="C538" t="s">
        <v>1440</v>
      </c>
      <c r="D538" t="s">
        <v>2606</v>
      </c>
    </row>
    <row r="539" spans="1:4" x14ac:dyDescent="0.3">
      <c r="A539">
        <v>538</v>
      </c>
      <c r="B539" t="s">
        <v>2509</v>
      </c>
      <c r="C539" t="s">
        <v>1450</v>
      </c>
      <c r="D539" t="s">
        <v>2508</v>
      </c>
    </row>
    <row r="540" spans="1:4" x14ac:dyDescent="0.3">
      <c r="A540">
        <v>539</v>
      </c>
      <c r="B540" t="s">
        <v>1528</v>
      </c>
      <c r="C540" t="s">
        <v>1529</v>
      </c>
      <c r="D540" t="s">
        <v>1520</v>
      </c>
    </row>
    <row r="541" spans="1:4" x14ac:dyDescent="0.3">
      <c r="A541">
        <v>540</v>
      </c>
      <c r="B541" t="s">
        <v>2203</v>
      </c>
      <c r="C541" t="s">
        <v>1519</v>
      </c>
      <c r="D541" t="s">
        <v>2196</v>
      </c>
    </row>
    <row r="542" spans="1:4" x14ac:dyDescent="0.3">
      <c r="A542">
        <v>541</v>
      </c>
      <c r="B542" t="s">
        <v>2317</v>
      </c>
      <c r="C542" t="s">
        <v>1349</v>
      </c>
      <c r="D542" t="s">
        <v>2310</v>
      </c>
    </row>
    <row r="543" spans="1:4" x14ac:dyDescent="0.3">
      <c r="A543">
        <v>542</v>
      </c>
      <c r="B543" t="s">
        <v>1530</v>
      </c>
      <c r="C543" t="s">
        <v>1531</v>
      </c>
      <c r="D543" t="s">
        <v>1520</v>
      </c>
    </row>
    <row r="544" spans="1:4" x14ac:dyDescent="0.3">
      <c r="A544">
        <v>543</v>
      </c>
      <c r="B544" t="s">
        <v>1399</v>
      </c>
      <c r="C544" t="s">
        <v>1400</v>
      </c>
      <c r="D544" t="s">
        <v>1397</v>
      </c>
    </row>
    <row r="545" spans="1:4" x14ac:dyDescent="0.3">
      <c r="A545">
        <v>544</v>
      </c>
      <c r="B545" t="s">
        <v>2717</v>
      </c>
      <c r="C545" t="s">
        <v>2479</v>
      </c>
      <c r="D545" t="s">
        <v>2709</v>
      </c>
    </row>
    <row r="546" spans="1:4" x14ac:dyDescent="0.3">
      <c r="A546">
        <v>545</v>
      </c>
      <c r="B546" t="s">
        <v>1589</v>
      </c>
      <c r="C546" t="s">
        <v>1444</v>
      </c>
      <c r="D546" t="s">
        <v>1587</v>
      </c>
    </row>
    <row r="547" spans="1:4" x14ac:dyDescent="0.3">
      <c r="A547">
        <v>546</v>
      </c>
      <c r="B547" t="s">
        <v>2204</v>
      </c>
      <c r="C547" t="s">
        <v>1462</v>
      </c>
      <c r="D547" t="s">
        <v>2196</v>
      </c>
    </row>
    <row r="548" spans="1:4" x14ac:dyDescent="0.3">
      <c r="A548">
        <v>547</v>
      </c>
      <c r="B548" t="s">
        <v>1735</v>
      </c>
      <c r="C548" t="s">
        <v>1736</v>
      </c>
      <c r="D548" t="s">
        <v>1728</v>
      </c>
    </row>
    <row r="549" spans="1:4" x14ac:dyDescent="0.3">
      <c r="A549">
        <v>548</v>
      </c>
      <c r="B549" t="s">
        <v>1373</v>
      </c>
      <c r="C549" t="s">
        <v>1374</v>
      </c>
      <c r="D549" t="s">
        <v>1370</v>
      </c>
    </row>
    <row r="550" spans="1:4" x14ac:dyDescent="0.3">
      <c r="A550">
        <v>549</v>
      </c>
      <c r="B550" t="s">
        <v>1590</v>
      </c>
      <c r="C550" t="s">
        <v>1591</v>
      </c>
      <c r="D550" t="s">
        <v>1587</v>
      </c>
    </row>
    <row r="551" spans="1:4" x14ac:dyDescent="0.3">
      <c r="A551">
        <v>550</v>
      </c>
      <c r="B551" t="s">
        <v>2638</v>
      </c>
      <c r="C551" t="s">
        <v>1978</v>
      </c>
      <c r="D551" t="s">
        <v>2627</v>
      </c>
    </row>
    <row r="552" spans="1:4" x14ac:dyDescent="0.3">
      <c r="A552">
        <v>551</v>
      </c>
      <c r="B552" t="s">
        <v>1473</v>
      </c>
      <c r="C552" t="s">
        <v>1474</v>
      </c>
      <c r="D552" t="s">
        <v>1468</v>
      </c>
    </row>
    <row r="553" spans="1:4" x14ac:dyDescent="0.3">
      <c r="A553">
        <v>552</v>
      </c>
      <c r="B553" t="s">
        <v>2614</v>
      </c>
      <c r="C553" t="s">
        <v>1855</v>
      </c>
      <c r="D553" t="s">
        <v>2606</v>
      </c>
    </row>
    <row r="554" spans="1:4" x14ac:dyDescent="0.3">
      <c r="A554">
        <v>553</v>
      </c>
      <c r="B554" t="s">
        <v>2242</v>
      </c>
      <c r="C554" t="s">
        <v>1476</v>
      </c>
      <c r="D554" t="s">
        <v>2234</v>
      </c>
    </row>
    <row r="555" spans="1:4" x14ac:dyDescent="0.3">
      <c r="A555">
        <v>554</v>
      </c>
      <c r="B555" t="s">
        <v>2180</v>
      </c>
      <c r="C555" t="s">
        <v>1785</v>
      </c>
      <c r="D555" t="s">
        <v>2170</v>
      </c>
    </row>
    <row r="556" spans="1:4" x14ac:dyDescent="0.3">
      <c r="A556">
        <v>555</v>
      </c>
      <c r="B556" t="s">
        <v>2181</v>
      </c>
      <c r="C556" t="s">
        <v>2174</v>
      </c>
      <c r="D556" t="s">
        <v>2170</v>
      </c>
    </row>
    <row r="557" spans="1:4" x14ac:dyDescent="0.3">
      <c r="A557">
        <v>556</v>
      </c>
      <c r="B557" t="s">
        <v>1288</v>
      </c>
      <c r="C557" t="s">
        <v>1289</v>
      </c>
      <c r="D557" t="s">
        <v>1277</v>
      </c>
    </row>
    <row r="558" spans="1:4" x14ac:dyDescent="0.3">
      <c r="A558">
        <v>557</v>
      </c>
      <c r="B558" t="s">
        <v>2306</v>
      </c>
      <c r="C558" t="s">
        <v>2255</v>
      </c>
      <c r="D558" t="s">
        <v>2301</v>
      </c>
    </row>
    <row r="559" spans="1:4" x14ac:dyDescent="0.3">
      <c r="A559">
        <v>558</v>
      </c>
      <c r="B559" t="s">
        <v>2531</v>
      </c>
      <c r="C559" t="s">
        <v>1344</v>
      </c>
      <c r="D559" t="s">
        <v>2525</v>
      </c>
    </row>
    <row r="560" spans="1:4" x14ac:dyDescent="0.3">
      <c r="A560">
        <v>559</v>
      </c>
      <c r="B560" t="s">
        <v>2518</v>
      </c>
      <c r="C560" t="s">
        <v>2269</v>
      </c>
      <c r="D560" t="s">
        <v>2515</v>
      </c>
    </row>
    <row r="561" spans="1:4" x14ac:dyDescent="0.3">
      <c r="A561">
        <v>560</v>
      </c>
      <c r="B561" t="s">
        <v>1881</v>
      </c>
      <c r="C561" t="s">
        <v>1686</v>
      </c>
      <c r="D561" t="s">
        <v>1882</v>
      </c>
    </row>
    <row r="562" spans="1:4" x14ac:dyDescent="0.3">
      <c r="A562">
        <v>561</v>
      </c>
      <c r="B562" t="s">
        <v>2424</v>
      </c>
      <c r="C562" t="s">
        <v>1497</v>
      </c>
      <c r="D562" t="s">
        <v>2416</v>
      </c>
    </row>
    <row r="563" spans="1:4" x14ac:dyDescent="0.3">
      <c r="A563">
        <v>562</v>
      </c>
      <c r="B563" t="s">
        <v>1767</v>
      </c>
      <c r="C563" t="s">
        <v>1768</v>
      </c>
      <c r="D563" t="s">
        <v>1766</v>
      </c>
    </row>
    <row r="564" spans="1:4" x14ac:dyDescent="0.3">
      <c r="A564">
        <v>563</v>
      </c>
      <c r="B564" t="s">
        <v>2461</v>
      </c>
      <c r="C564" t="s">
        <v>2462</v>
      </c>
      <c r="D564" t="s">
        <v>2460</v>
      </c>
    </row>
    <row r="565" spans="1:4" x14ac:dyDescent="0.3">
      <c r="A565">
        <v>564</v>
      </c>
      <c r="B565" t="s">
        <v>2548</v>
      </c>
      <c r="C565" t="s">
        <v>1374</v>
      </c>
      <c r="D565" t="s">
        <v>2546</v>
      </c>
    </row>
    <row r="566" spans="1:4" x14ac:dyDescent="0.3">
      <c r="A566">
        <v>565</v>
      </c>
      <c r="B566" t="s">
        <v>2670</v>
      </c>
      <c r="C566" t="s">
        <v>2093</v>
      </c>
      <c r="D566" t="s">
        <v>2664</v>
      </c>
    </row>
    <row r="567" spans="1:4" x14ac:dyDescent="0.3">
      <c r="A567">
        <v>566</v>
      </c>
      <c r="B567" t="s">
        <v>2671</v>
      </c>
      <c r="C567" t="s">
        <v>1420</v>
      </c>
      <c r="D567" t="s">
        <v>2664</v>
      </c>
    </row>
    <row r="568" spans="1:4" x14ac:dyDescent="0.3">
      <c r="A568">
        <v>567</v>
      </c>
      <c r="B568" t="s">
        <v>2565</v>
      </c>
      <c r="C568" t="s">
        <v>1513</v>
      </c>
      <c r="D568" t="s">
        <v>2560</v>
      </c>
    </row>
    <row r="569" spans="1:4" x14ac:dyDescent="0.3">
      <c r="A569">
        <v>568</v>
      </c>
      <c r="B569" t="s">
        <v>1776</v>
      </c>
      <c r="C569" t="s">
        <v>1777</v>
      </c>
      <c r="D569" t="s">
        <v>1773</v>
      </c>
    </row>
    <row r="570" spans="1:4" x14ac:dyDescent="0.3">
      <c r="A570">
        <v>569</v>
      </c>
      <c r="B570" t="s">
        <v>1436</v>
      </c>
      <c r="C570" t="s">
        <v>1412</v>
      </c>
      <c r="D570" t="s">
        <v>1429</v>
      </c>
    </row>
    <row r="571" spans="1:4" x14ac:dyDescent="0.3">
      <c r="A571">
        <v>570</v>
      </c>
      <c r="B571" t="s">
        <v>2135</v>
      </c>
      <c r="C571" t="s">
        <v>2026</v>
      </c>
      <c r="D571" t="s">
        <v>2125</v>
      </c>
    </row>
    <row r="572" spans="1:4" x14ac:dyDescent="0.3">
      <c r="A572">
        <v>571</v>
      </c>
      <c r="B572" t="s">
        <v>2380</v>
      </c>
      <c r="C572" t="s">
        <v>1803</v>
      </c>
      <c r="D572" t="s">
        <v>2379</v>
      </c>
    </row>
    <row r="573" spans="1:4" x14ac:dyDescent="0.3">
      <c r="A573">
        <v>572</v>
      </c>
      <c r="B573" t="s">
        <v>2492</v>
      </c>
      <c r="C573" t="s">
        <v>1661</v>
      </c>
      <c r="D573" t="s">
        <v>2489</v>
      </c>
    </row>
    <row r="574" spans="1:4" x14ac:dyDescent="0.3">
      <c r="A574">
        <v>573</v>
      </c>
      <c r="B574" t="s">
        <v>1854</v>
      </c>
      <c r="C574" t="s">
        <v>1855</v>
      </c>
      <c r="D574" t="s">
        <v>1845</v>
      </c>
    </row>
    <row r="575" spans="1:4" x14ac:dyDescent="0.3">
      <c r="A575">
        <v>574</v>
      </c>
      <c r="B575" t="s">
        <v>2727</v>
      </c>
      <c r="C575" t="s">
        <v>1803</v>
      </c>
      <c r="D575" t="s">
        <v>2725</v>
      </c>
    </row>
    <row r="576" spans="1:4" x14ac:dyDescent="0.3">
      <c r="A576">
        <v>575</v>
      </c>
      <c r="B576" t="s">
        <v>2777</v>
      </c>
      <c r="C576" t="s">
        <v>1943</v>
      </c>
      <c r="D576" t="s">
        <v>2776</v>
      </c>
    </row>
    <row r="577" spans="1:4" x14ac:dyDescent="0.3">
      <c r="A577">
        <v>576</v>
      </c>
      <c r="B577" t="s">
        <v>1871</v>
      </c>
      <c r="C577" t="s">
        <v>1796</v>
      </c>
      <c r="D577" t="s">
        <v>1870</v>
      </c>
    </row>
    <row r="578" spans="1:4" x14ac:dyDescent="0.3">
      <c r="A578">
        <v>577</v>
      </c>
      <c r="B578" t="s">
        <v>1714</v>
      </c>
      <c r="C578" t="s">
        <v>1715</v>
      </c>
      <c r="D578" t="s">
        <v>1713</v>
      </c>
    </row>
    <row r="579" spans="1:4" x14ac:dyDescent="0.3">
      <c r="A579">
        <v>578</v>
      </c>
      <c r="B579" t="s">
        <v>2441</v>
      </c>
      <c r="C579" t="s">
        <v>1349</v>
      </c>
      <c r="D579" t="s">
        <v>2432</v>
      </c>
    </row>
    <row r="580" spans="1:4" x14ac:dyDescent="0.3">
      <c r="A580">
        <v>579</v>
      </c>
      <c r="B580" t="s">
        <v>1737</v>
      </c>
      <c r="C580" t="s">
        <v>1600</v>
      </c>
      <c r="D580" t="s">
        <v>1728</v>
      </c>
    </row>
    <row r="581" spans="1:4" x14ac:dyDescent="0.3">
      <c r="A581">
        <v>580</v>
      </c>
      <c r="B581" t="s">
        <v>2328</v>
      </c>
      <c r="C581" t="s">
        <v>1877</v>
      </c>
      <c r="D581" t="s">
        <v>2326</v>
      </c>
    </row>
    <row r="582" spans="1:4" x14ac:dyDescent="0.3">
      <c r="A582">
        <v>581</v>
      </c>
      <c r="B582" t="s">
        <v>2616</v>
      </c>
      <c r="C582" t="s">
        <v>1517</v>
      </c>
      <c r="D582" t="s">
        <v>2617</v>
      </c>
    </row>
    <row r="583" spans="1:4" x14ac:dyDescent="0.3">
      <c r="A583">
        <v>582</v>
      </c>
      <c r="B583" t="s">
        <v>1290</v>
      </c>
      <c r="C583" t="s">
        <v>1291</v>
      </c>
      <c r="D583" t="s">
        <v>1277</v>
      </c>
    </row>
    <row r="584" spans="1:4" x14ac:dyDescent="0.3">
      <c r="A584">
        <v>583</v>
      </c>
      <c r="B584" t="s">
        <v>2214</v>
      </c>
      <c r="C584" t="s">
        <v>1295</v>
      </c>
      <c r="D584" t="s">
        <v>2215</v>
      </c>
    </row>
    <row r="585" spans="1:4" x14ac:dyDescent="0.3">
      <c r="A585">
        <v>584</v>
      </c>
      <c r="B585" t="s">
        <v>1679</v>
      </c>
      <c r="C585" t="s">
        <v>1680</v>
      </c>
      <c r="D585" t="s">
        <v>1676</v>
      </c>
    </row>
    <row r="586" spans="1:4" x14ac:dyDescent="0.3">
      <c r="A586">
        <v>585</v>
      </c>
      <c r="B586" t="s">
        <v>2118</v>
      </c>
      <c r="C586" t="s">
        <v>2119</v>
      </c>
      <c r="D586" t="s">
        <v>2110</v>
      </c>
    </row>
    <row r="587" spans="1:4" x14ac:dyDescent="0.3">
      <c r="A587">
        <v>586</v>
      </c>
      <c r="B587" t="s">
        <v>2259</v>
      </c>
      <c r="C587" t="s">
        <v>1591</v>
      </c>
      <c r="D587" t="s">
        <v>2251</v>
      </c>
    </row>
    <row r="588" spans="1:4" x14ac:dyDescent="0.3">
      <c r="A588">
        <v>587</v>
      </c>
      <c r="B588" t="s">
        <v>2652</v>
      </c>
      <c r="C588" t="s">
        <v>2505</v>
      </c>
      <c r="D588" t="s">
        <v>2651</v>
      </c>
    </row>
    <row r="589" spans="1:4" x14ac:dyDescent="0.3">
      <c r="A589">
        <v>588</v>
      </c>
      <c r="B589" t="s">
        <v>1611</v>
      </c>
      <c r="C589" t="s">
        <v>1612</v>
      </c>
      <c r="D589" t="s">
        <v>1609</v>
      </c>
    </row>
    <row r="590" spans="1:4" x14ac:dyDescent="0.3">
      <c r="A590">
        <v>589</v>
      </c>
      <c r="B590" t="s">
        <v>2120</v>
      </c>
      <c r="C590" t="s">
        <v>1328</v>
      </c>
      <c r="D590" t="s">
        <v>2110</v>
      </c>
    </row>
    <row r="591" spans="1:4" x14ac:dyDescent="0.3">
      <c r="A591">
        <v>590</v>
      </c>
      <c r="B591" t="s">
        <v>2211</v>
      </c>
      <c r="C591" t="s">
        <v>2212</v>
      </c>
      <c r="D591" t="s">
        <v>2210</v>
      </c>
    </row>
    <row r="592" spans="1:4" x14ac:dyDescent="0.3">
      <c r="A592">
        <v>591</v>
      </c>
      <c r="B592" t="s">
        <v>2590</v>
      </c>
      <c r="C592" t="s">
        <v>1638</v>
      </c>
      <c r="D592" t="s">
        <v>2589</v>
      </c>
    </row>
    <row r="593" spans="1:4" x14ac:dyDescent="0.3">
      <c r="A593">
        <v>592</v>
      </c>
      <c r="B593" t="s">
        <v>2615</v>
      </c>
      <c r="C593" t="s">
        <v>2140</v>
      </c>
      <c r="D593" t="s">
        <v>2606</v>
      </c>
    </row>
    <row r="594" spans="1:4" x14ac:dyDescent="0.3">
      <c r="A594">
        <v>593</v>
      </c>
      <c r="B594" t="s">
        <v>2570</v>
      </c>
      <c r="C594" t="s">
        <v>1318</v>
      </c>
      <c r="D594" t="s">
        <v>2571</v>
      </c>
    </row>
    <row r="595" spans="1:4" x14ac:dyDescent="0.3">
      <c r="A595">
        <v>594</v>
      </c>
      <c r="B595" t="s">
        <v>2784</v>
      </c>
      <c r="C595" t="s">
        <v>1458</v>
      </c>
      <c r="D595" t="s">
        <v>2782</v>
      </c>
    </row>
    <row r="596" spans="1:4" x14ac:dyDescent="0.3">
      <c r="A596">
        <v>595</v>
      </c>
      <c r="B596" t="s">
        <v>2070</v>
      </c>
      <c r="C596" t="s">
        <v>1293</v>
      </c>
      <c r="D596" t="s">
        <v>2061</v>
      </c>
    </row>
    <row r="597" spans="1:4" x14ac:dyDescent="0.3">
      <c r="A597">
        <v>596</v>
      </c>
      <c r="B597" t="s">
        <v>1759</v>
      </c>
      <c r="C597" t="s">
        <v>1760</v>
      </c>
      <c r="D597" t="s">
        <v>1761</v>
      </c>
    </row>
    <row r="598" spans="1:4" x14ac:dyDescent="0.3">
      <c r="A598">
        <v>597</v>
      </c>
      <c r="B598" t="s">
        <v>2691</v>
      </c>
      <c r="C598" t="s">
        <v>1344</v>
      </c>
      <c r="D598" t="s">
        <v>2687</v>
      </c>
    </row>
    <row r="599" spans="1:4" x14ac:dyDescent="0.3">
      <c r="A599">
        <v>598</v>
      </c>
      <c r="B599" t="s">
        <v>1305</v>
      </c>
      <c r="C599" t="s">
        <v>1306</v>
      </c>
      <c r="D599" t="s">
        <v>1302</v>
      </c>
    </row>
    <row r="600" spans="1:4" x14ac:dyDescent="0.3">
      <c r="A600">
        <v>599</v>
      </c>
      <c r="B600" t="s">
        <v>1532</v>
      </c>
      <c r="C600" t="s">
        <v>1533</v>
      </c>
      <c r="D600" t="s">
        <v>1520</v>
      </c>
    </row>
    <row r="601" spans="1:4" x14ac:dyDescent="0.3">
      <c r="A601">
        <v>600</v>
      </c>
      <c r="B601" t="s">
        <v>1389</v>
      </c>
      <c r="C601" t="s">
        <v>1390</v>
      </c>
      <c r="D601" t="s">
        <v>1388</v>
      </c>
    </row>
    <row r="602" spans="1:4" x14ac:dyDescent="0.3">
      <c r="A602">
        <v>601</v>
      </c>
      <c r="B602" t="s">
        <v>2659</v>
      </c>
      <c r="C602" t="s">
        <v>2212</v>
      </c>
      <c r="D602" t="s">
        <v>2657</v>
      </c>
    </row>
    <row r="603" spans="1:4" x14ac:dyDescent="0.3">
      <c r="A603">
        <v>602</v>
      </c>
      <c r="B603" t="s">
        <v>1457</v>
      </c>
      <c r="C603" t="s">
        <v>1458</v>
      </c>
      <c r="D603" t="s">
        <v>1453</v>
      </c>
    </row>
    <row r="604" spans="1:4" x14ac:dyDescent="0.3">
      <c r="A604">
        <v>603</v>
      </c>
      <c r="B604" t="s">
        <v>1391</v>
      </c>
      <c r="C604" t="s">
        <v>1392</v>
      </c>
      <c r="D604" t="s">
        <v>1388</v>
      </c>
    </row>
    <row r="605" spans="1:4" x14ac:dyDescent="0.3">
      <c r="A605">
        <v>604</v>
      </c>
      <c r="B605" t="s">
        <v>2028</v>
      </c>
      <c r="C605" t="s">
        <v>1291</v>
      </c>
      <c r="D605" t="s">
        <v>2016</v>
      </c>
    </row>
    <row r="606" spans="1:4" x14ac:dyDescent="0.3">
      <c r="A606">
        <v>605</v>
      </c>
      <c r="B606" t="s">
        <v>2463</v>
      </c>
      <c r="C606" t="s">
        <v>1908</v>
      </c>
      <c r="D606" t="s">
        <v>2460</v>
      </c>
    </row>
    <row r="607" spans="1:4" x14ac:dyDescent="0.3">
      <c r="A607">
        <v>606</v>
      </c>
      <c r="B607" t="s">
        <v>2773</v>
      </c>
      <c r="C607" t="s">
        <v>1642</v>
      </c>
      <c r="D607" t="s">
        <v>2772</v>
      </c>
    </row>
    <row r="608" spans="1:4" x14ac:dyDescent="0.3">
      <c r="A608">
        <v>607</v>
      </c>
      <c r="B608" t="s">
        <v>2071</v>
      </c>
      <c r="C608" t="s">
        <v>2072</v>
      </c>
      <c r="D608" t="s">
        <v>2061</v>
      </c>
    </row>
    <row r="609" spans="1:4" x14ac:dyDescent="0.3">
      <c r="A609">
        <v>608</v>
      </c>
      <c r="B609" t="s">
        <v>2339</v>
      </c>
      <c r="C609" t="s">
        <v>1281</v>
      </c>
      <c r="D609" t="s">
        <v>2334</v>
      </c>
    </row>
    <row r="610" spans="1:4" x14ac:dyDescent="0.3">
      <c r="A610">
        <v>609</v>
      </c>
      <c r="B610" t="s">
        <v>2390</v>
      </c>
      <c r="C610" t="s">
        <v>1702</v>
      </c>
      <c r="D610" t="s">
        <v>2384</v>
      </c>
    </row>
    <row r="611" spans="1:4" x14ac:dyDescent="0.3">
      <c r="A611">
        <v>610</v>
      </c>
      <c r="B611" t="s">
        <v>2649</v>
      </c>
      <c r="C611" t="s">
        <v>1342</v>
      </c>
      <c r="D611" t="s">
        <v>2648</v>
      </c>
    </row>
    <row r="612" spans="1:4" x14ac:dyDescent="0.3">
      <c r="A612">
        <v>611</v>
      </c>
      <c r="B612" t="s">
        <v>2639</v>
      </c>
      <c r="C612" t="s">
        <v>2297</v>
      </c>
      <c r="D612" t="s">
        <v>2627</v>
      </c>
    </row>
    <row r="613" spans="1:4" x14ac:dyDescent="0.3">
      <c r="A613">
        <v>612</v>
      </c>
      <c r="B613" t="s">
        <v>1339</v>
      </c>
      <c r="C613" t="s">
        <v>1340</v>
      </c>
      <c r="D613" t="s">
        <v>1338</v>
      </c>
    </row>
    <row r="614" spans="1:4" x14ac:dyDescent="0.3">
      <c r="A614">
        <v>613</v>
      </c>
      <c r="B614" t="s">
        <v>2340</v>
      </c>
      <c r="C614" t="s">
        <v>2063</v>
      </c>
      <c r="D614" t="s">
        <v>2334</v>
      </c>
    </row>
    <row r="615" spans="1:4" x14ac:dyDescent="0.3">
      <c r="A615">
        <v>614</v>
      </c>
      <c r="B615" t="s">
        <v>1647</v>
      </c>
      <c r="C615" t="s">
        <v>1648</v>
      </c>
      <c r="D615" t="s">
        <v>1634</v>
      </c>
    </row>
    <row r="616" spans="1:4" x14ac:dyDescent="0.3">
      <c r="A616">
        <v>615</v>
      </c>
      <c r="B616" t="s">
        <v>1876</v>
      </c>
      <c r="C616" t="s">
        <v>1877</v>
      </c>
      <c r="D616" t="s">
        <v>1875</v>
      </c>
    </row>
    <row r="617" spans="1:4" x14ac:dyDescent="0.3">
      <c r="A617">
        <v>616</v>
      </c>
      <c r="B617" t="s">
        <v>2503</v>
      </c>
      <c r="C617" t="s">
        <v>1785</v>
      </c>
      <c r="D617" t="s">
        <v>2495</v>
      </c>
    </row>
    <row r="618" spans="1:4" x14ac:dyDescent="0.3">
      <c r="A618">
        <v>617</v>
      </c>
      <c r="B618" t="s">
        <v>1534</v>
      </c>
      <c r="C618" t="s">
        <v>1337</v>
      </c>
      <c r="D618" t="s">
        <v>1520</v>
      </c>
    </row>
    <row r="619" spans="1:4" x14ac:dyDescent="0.3">
      <c r="A619">
        <v>618</v>
      </c>
      <c r="B619" t="s">
        <v>1695</v>
      </c>
      <c r="C619" t="s">
        <v>1696</v>
      </c>
      <c r="D619" t="s">
        <v>1690</v>
      </c>
    </row>
    <row r="620" spans="1:4" x14ac:dyDescent="0.3">
      <c r="A620">
        <v>619</v>
      </c>
      <c r="B620" t="s">
        <v>1535</v>
      </c>
      <c r="C620" t="s">
        <v>1481</v>
      </c>
      <c r="D620" t="s">
        <v>1520</v>
      </c>
    </row>
    <row r="621" spans="1:4" x14ac:dyDescent="0.3">
      <c r="A621">
        <v>620</v>
      </c>
      <c r="B621" t="s">
        <v>2700</v>
      </c>
      <c r="C621" t="s">
        <v>1874</v>
      </c>
      <c r="D621" t="s">
        <v>2697</v>
      </c>
    </row>
    <row r="622" spans="1:4" x14ac:dyDescent="0.3">
      <c r="A622">
        <v>621</v>
      </c>
      <c r="B622" t="s">
        <v>2363</v>
      </c>
      <c r="C622" t="s">
        <v>1365</v>
      </c>
      <c r="D622" t="s">
        <v>2356</v>
      </c>
    </row>
    <row r="623" spans="1:4" x14ac:dyDescent="0.3">
      <c r="A623">
        <v>622</v>
      </c>
      <c r="B623" t="s">
        <v>2758</v>
      </c>
      <c r="C623" t="s">
        <v>1853</v>
      </c>
      <c r="D623" t="s">
        <v>2752</v>
      </c>
    </row>
    <row r="624" spans="1:4" x14ac:dyDescent="0.3">
      <c r="A624">
        <v>623</v>
      </c>
      <c r="B624" t="s">
        <v>2167</v>
      </c>
      <c r="C624" t="s">
        <v>1489</v>
      </c>
      <c r="D624" t="s">
        <v>2159</v>
      </c>
    </row>
    <row r="625" spans="1:4" x14ac:dyDescent="0.3">
      <c r="A625">
        <v>624</v>
      </c>
      <c r="B625" t="s">
        <v>2105</v>
      </c>
      <c r="C625" t="s">
        <v>2106</v>
      </c>
      <c r="D625" t="s">
        <v>2102</v>
      </c>
    </row>
    <row r="626" spans="1:4" x14ac:dyDescent="0.3">
      <c r="A626">
        <v>625</v>
      </c>
      <c r="B626" t="s">
        <v>2280</v>
      </c>
      <c r="C626" t="s">
        <v>2281</v>
      </c>
      <c r="D626" t="s">
        <v>2282</v>
      </c>
    </row>
    <row r="627" spans="1:4" x14ac:dyDescent="0.3">
      <c r="A627">
        <v>626</v>
      </c>
      <c r="B627" t="s">
        <v>2549</v>
      </c>
      <c r="C627" t="s">
        <v>1702</v>
      </c>
      <c r="D627" t="s">
        <v>2546</v>
      </c>
    </row>
    <row r="628" spans="1:4" x14ac:dyDescent="0.3">
      <c r="A628">
        <v>627</v>
      </c>
      <c r="B628" t="s">
        <v>1592</v>
      </c>
      <c r="C628" t="s">
        <v>1414</v>
      </c>
      <c r="D628" t="s">
        <v>1587</v>
      </c>
    </row>
    <row r="629" spans="1:4" x14ac:dyDescent="0.3">
      <c r="A629">
        <v>628</v>
      </c>
      <c r="B629" t="s">
        <v>2464</v>
      </c>
      <c r="C629" t="s">
        <v>1383</v>
      </c>
      <c r="D629" t="s">
        <v>2460</v>
      </c>
    </row>
    <row r="630" spans="1:4" x14ac:dyDescent="0.3">
      <c r="A630">
        <v>629</v>
      </c>
      <c r="B630" t="s">
        <v>1536</v>
      </c>
      <c r="C630" t="s">
        <v>1537</v>
      </c>
      <c r="D630" t="s">
        <v>1520</v>
      </c>
    </row>
    <row r="631" spans="1:4" x14ac:dyDescent="0.3">
      <c r="A631">
        <v>630</v>
      </c>
      <c r="B631" t="s">
        <v>2550</v>
      </c>
      <c r="C631" t="s">
        <v>1600</v>
      </c>
      <c r="D631" t="s">
        <v>2546</v>
      </c>
    </row>
    <row r="632" spans="1:4" x14ac:dyDescent="0.3">
      <c r="A632">
        <v>631</v>
      </c>
      <c r="B632" t="s">
        <v>1421</v>
      </c>
      <c r="C632" t="s">
        <v>1422</v>
      </c>
      <c r="D632" t="s">
        <v>1418</v>
      </c>
    </row>
    <row r="633" spans="1:4" x14ac:dyDescent="0.3">
      <c r="A633">
        <v>632</v>
      </c>
      <c r="B633" t="s">
        <v>1804</v>
      </c>
      <c r="C633" t="s">
        <v>1422</v>
      </c>
      <c r="D633" t="s">
        <v>1794</v>
      </c>
    </row>
    <row r="634" spans="1:4" x14ac:dyDescent="0.3">
      <c r="A634">
        <v>633</v>
      </c>
      <c r="B634" t="s">
        <v>2307</v>
      </c>
      <c r="C634" t="s">
        <v>1843</v>
      </c>
      <c r="D634" t="s">
        <v>2301</v>
      </c>
    </row>
    <row r="635" spans="1:4" x14ac:dyDescent="0.3">
      <c r="A635">
        <v>634</v>
      </c>
      <c r="B635" t="s">
        <v>2660</v>
      </c>
      <c r="C635" t="s">
        <v>1950</v>
      </c>
      <c r="D635" t="s">
        <v>2657</v>
      </c>
    </row>
    <row r="636" spans="1:4" x14ac:dyDescent="0.3">
      <c r="A636">
        <v>635</v>
      </c>
      <c r="B636" t="s">
        <v>2425</v>
      </c>
      <c r="C636" t="s">
        <v>1627</v>
      </c>
      <c r="D636" t="s">
        <v>2416</v>
      </c>
    </row>
    <row r="637" spans="1:4" x14ac:dyDescent="0.3">
      <c r="A637">
        <v>636</v>
      </c>
      <c r="B637" t="s">
        <v>2193</v>
      </c>
      <c r="C637" t="s">
        <v>1731</v>
      </c>
      <c r="D637" t="s">
        <v>2188</v>
      </c>
    </row>
    <row r="638" spans="1:4" x14ac:dyDescent="0.3">
      <c r="A638">
        <v>637</v>
      </c>
      <c r="B638" t="s">
        <v>1593</v>
      </c>
      <c r="C638" t="s">
        <v>1281</v>
      </c>
      <c r="D638" t="s">
        <v>1587</v>
      </c>
    </row>
    <row r="639" spans="1:4" x14ac:dyDescent="0.3">
      <c r="A639">
        <v>638</v>
      </c>
      <c r="B639" t="s">
        <v>1762</v>
      </c>
      <c r="C639" t="s">
        <v>1763</v>
      </c>
      <c r="D639" t="s">
        <v>1761</v>
      </c>
    </row>
    <row r="640" spans="1:4" x14ac:dyDescent="0.3">
      <c r="A640">
        <v>639</v>
      </c>
      <c r="B640" t="s">
        <v>1510</v>
      </c>
      <c r="C640" t="s">
        <v>1511</v>
      </c>
      <c r="D640" t="s">
        <v>1502</v>
      </c>
    </row>
    <row r="641" spans="1:4" x14ac:dyDescent="0.3">
      <c r="A641">
        <v>640</v>
      </c>
      <c r="B641" t="s">
        <v>1883</v>
      </c>
      <c r="C641" t="s">
        <v>1287</v>
      </c>
      <c r="D641" t="s">
        <v>1882</v>
      </c>
    </row>
    <row r="642" spans="1:4" x14ac:dyDescent="0.3">
      <c r="A642">
        <v>641</v>
      </c>
      <c r="B642" t="s">
        <v>1892</v>
      </c>
      <c r="C642" t="s">
        <v>1644</v>
      </c>
      <c r="D642" t="s">
        <v>1886</v>
      </c>
    </row>
    <row r="643" spans="1:4" x14ac:dyDescent="0.3">
      <c r="A643">
        <v>642</v>
      </c>
      <c r="B643" t="s">
        <v>1555</v>
      </c>
      <c r="C643" t="s">
        <v>1556</v>
      </c>
      <c r="D643" t="s">
        <v>1554</v>
      </c>
    </row>
    <row r="644" spans="1:4" x14ac:dyDescent="0.3">
      <c r="A644">
        <v>643</v>
      </c>
      <c r="B644" t="s">
        <v>1893</v>
      </c>
      <c r="C644" t="s">
        <v>1796</v>
      </c>
      <c r="D644" t="s">
        <v>1886</v>
      </c>
    </row>
    <row r="645" spans="1:4" x14ac:dyDescent="0.3">
      <c r="A645">
        <v>644</v>
      </c>
      <c r="B645" t="s">
        <v>1384</v>
      </c>
      <c r="C645" t="s">
        <v>1385</v>
      </c>
      <c r="D645" t="s">
        <v>1381</v>
      </c>
    </row>
    <row r="646" spans="1:4" x14ac:dyDescent="0.3">
      <c r="A646">
        <v>645</v>
      </c>
      <c r="B646" t="s">
        <v>2229</v>
      </c>
      <c r="C646" t="s">
        <v>2089</v>
      </c>
      <c r="D646" t="s">
        <v>2219</v>
      </c>
    </row>
    <row r="647" spans="1:4" x14ac:dyDescent="0.3">
      <c r="A647">
        <v>646</v>
      </c>
      <c r="B647" t="s">
        <v>1681</v>
      </c>
      <c r="C647" t="s">
        <v>1682</v>
      </c>
      <c r="D647" t="s">
        <v>1676</v>
      </c>
    </row>
    <row r="648" spans="1:4" x14ac:dyDescent="0.3">
      <c r="A648">
        <v>647</v>
      </c>
      <c r="B648" t="s">
        <v>1805</v>
      </c>
      <c r="C648" t="s">
        <v>1306</v>
      </c>
      <c r="D648" t="s">
        <v>1794</v>
      </c>
    </row>
    <row r="649" spans="1:4" x14ac:dyDescent="0.3">
      <c r="A649">
        <v>648</v>
      </c>
      <c r="B649" t="s">
        <v>1401</v>
      </c>
      <c r="C649" t="s">
        <v>1402</v>
      </c>
      <c r="D649" t="s">
        <v>1397</v>
      </c>
    </row>
    <row r="650" spans="1:4" x14ac:dyDescent="0.3">
      <c r="A650">
        <v>649</v>
      </c>
      <c r="B650" t="s">
        <v>1512</v>
      </c>
      <c r="C650" t="s">
        <v>1513</v>
      </c>
      <c r="D650" t="s">
        <v>1502</v>
      </c>
    </row>
    <row r="651" spans="1:4" x14ac:dyDescent="0.3">
      <c r="A651">
        <v>650</v>
      </c>
      <c r="B651" t="s">
        <v>1437</v>
      </c>
      <c r="C651" t="s">
        <v>1438</v>
      </c>
      <c r="D651" t="s">
        <v>1429</v>
      </c>
    </row>
    <row r="652" spans="1:4" x14ac:dyDescent="0.3">
      <c r="A652">
        <v>651</v>
      </c>
      <c r="B652" t="s">
        <v>2136</v>
      </c>
      <c r="C652" t="s">
        <v>1387</v>
      </c>
      <c r="D652" t="s">
        <v>2125</v>
      </c>
    </row>
    <row r="653" spans="1:4" x14ac:dyDescent="0.3">
      <c r="A653">
        <v>652</v>
      </c>
      <c r="B653" t="s">
        <v>1806</v>
      </c>
      <c r="C653" t="s">
        <v>1666</v>
      </c>
      <c r="D653" t="s">
        <v>1794</v>
      </c>
    </row>
    <row r="654" spans="1:4" x14ac:dyDescent="0.3">
      <c r="A654">
        <v>653</v>
      </c>
      <c r="B654" t="s">
        <v>1791</v>
      </c>
      <c r="C654" t="s">
        <v>1326</v>
      </c>
      <c r="D654" t="s">
        <v>1786</v>
      </c>
    </row>
    <row r="655" spans="1:4" x14ac:dyDescent="0.3">
      <c r="A655">
        <v>654</v>
      </c>
      <c r="B655" t="s">
        <v>2504</v>
      </c>
      <c r="C655" t="s">
        <v>2505</v>
      </c>
      <c r="D655" t="s">
        <v>2495</v>
      </c>
    </row>
    <row r="656" spans="1:4" x14ac:dyDescent="0.3">
      <c r="A656">
        <v>655</v>
      </c>
      <c r="B656" t="s">
        <v>1626</v>
      </c>
      <c r="C656" t="s">
        <v>1627</v>
      </c>
      <c r="D656" t="s">
        <v>1615</v>
      </c>
    </row>
    <row r="657" spans="1:4" x14ac:dyDescent="0.3">
      <c r="A657">
        <v>656</v>
      </c>
      <c r="B657" t="s">
        <v>2788</v>
      </c>
      <c r="C657" t="s">
        <v>1888</v>
      </c>
      <c r="D657" t="s">
        <v>2786</v>
      </c>
    </row>
    <row r="658" spans="1:4" x14ac:dyDescent="0.3">
      <c r="A658">
        <v>657</v>
      </c>
      <c r="B658" t="s">
        <v>2055</v>
      </c>
      <c r="C658" t="s">
        <v>1625</v>
      </c>
      <c r="D658" t="s">
        <v>2050</v>
      </c>
    </row>
    <row r="659" spans="1:4" x14ac:dyDescent="0.3">
      <c r="A659">
        <v>658</v>
      </c>
      <c r="B659" t="s">
        <v>2748</v>
      </c>
      <c r="C659" t="s">
        <v>1511</v>
      </c>
      <c r="D659" t="s">
        <v>2749</v>
      </c>
    </row>
    <row r="660" spans="1:4" x14ac:dyDescent="0.3">
      <c r="A660">
        <v>659</v>
      </c>
      <c r="B660" t="s">
        <v>2073</v>
      </c>
      <c r="C660" t="s">
        <v>2074</v>
      </c>
      <c r="D660" t="s">
        <v>2061</v>
      </c>
    </row>
    <row r="661" spans="1:4" x14ac:dyDescent="0.3">
      <c r="A661">
        <v>660</v>
      </c>
      <c r="B661" t="s">
        <v>2352</v>
      </c>
      <c r="C661" t="s">
        <v>1686</v>
      </c>
      <c r="D661" t="s">
        <v>2345</v>
      </c>
    </row>
    <row r="662" spans="1:4" x14ac:dyDescent="0.3">
      <c r="A662">
        <v>661</v>
      </c>
      <c r="B662" t="s">
        <v>2153</v>
      </c>
      <c r="C662" t="s">
        <v>1323</v>
      </c>
      <c r="D662" t="s">
        <v>2148</v>
      </c>
    </row>
    <row r="663" spans="1:4" x14ac:dyDescent="0.3">
      <c r="A663">
        <v>662</v>
      </c>
      <c r="B663" t="s">
        <v>1990</v>
      </c>
      <c r="C663" t="s">
        <v>1328</v>
      </c>
      <c r="D663" t="s">
        <v>1985</v>
      </c>
    </row>
    <row r="664" spans="1:4" x14ac:dyDescent="0.3">
      <c r="A664">
        <v>663</v>
      </c>
      <c r="B664" t="s">
        <v>2579</v>
      </c>
      <c r="C664" t="s">
        <v>1546</v>
      </c>
      <c r="D664" t="s">
        <v>2577</v>
      </c>
    </row>
    <row r="665" spans="1:4" x14ac:dyDescent="0.3">
      <c r="A665">
        <v>664</v>
      </c>
      <c r="B665" t="s">
        <v>2268</v>
      </c>
      <c r="C665" t="s">
        <v>2269</v>
      </c>
      <c r="D665" t="s">
        <v>2265</v>
      </c>
    </row>
    <row r="666" spans="1:4" x14ac:dyDescent="0.3">
      <c r="A666">
        <v>665</v>
      </c>
      <c r="B666" t="s">
        <v>1459</v>
      </c>
      <c r="C666" t="s">
        <v>1460</v>
      </c>
      <c r="D666" t="s">
        <v>1453</v>
      </c>
    </row>
    <row r="667" spans="1:4" x14ac:dyDescent="0.3">
      <c r="A667">
        <v>666</v>
      </c>
      <c r="B667" t="s">
        <v>1494</v>
      </c>
      <c r="C667" t="s">
        <v>1495</v>
      </c>
      <c r="D667" t="s">
        <v>1486</v>
      </c>
    </row>
    <row r="668" spans="1:4" x14ac:dyDescent="0.3">
      <c r="A668">
        <v>667</v>
      </c>
      <c r="B668" t="s">
        <v>1769</v>
      </c>
      <c r="C668" t="s">
        <v>1770</v>
      </c>
      <c r="D668" t="s">
        <v>1766</v>
      </c>
    </row>
    <row r="669" spans="1:4" x14ac:dyDescent="0.3">
      <c r="A669">
        <v>668</v>
      </c>
      <c r="B669" t="s">
        <v>1496</v>
      </c>
      <c r="C669" t="s">
        <v>1497</v>
      </c>
      <c r="D669" t="s">
        <v>1486</v>
      </c>
    </row>
    <row r="670" spans="1:4" x14ac:dyDescent="0.3">
      <c r="A670">
        <v>669</v>
      </c>
      <c r="B670" t="s">
        <v>1697</v>
      </c>
      <c r="C670" t="s">
        <v>1698</v>
      </c>
      <c r="D670" t="s">
        <v>1690</v>
      </c>
    </row>
    <row r="671" spans="1:4" x14ac:dyDescent="0.3">
      <c r="A671">
        <v>670</v>
      </c>
      <c r="B671" t="s">
        <v>2480</v>
      </c>
      <c r="C671" t="s">
        <v>1515</v>
      </c>
      <c r="D671" t="s">
        <v>2474</v>
      </c>
    </row>
    <row r="672" spans="1:4" x14ac:dyDescent="0.3">
      <c r="A672">
        <v>671</v>
      </c>
      <c r="B672" t="s">
        <v>1771</v>
      </c>
      <c r="C672" t="s">
        <v>1455</v>
      </c>
      <c r="D672" t="s">
        <v>1766</v>
      </c>
    </row>
    <row r="673" spans="1:4" x14ac:dyDescent="0.3">
      <c r="A673">
        <v>672</v>
      </c>
      <c r="B673" t="s">
        <v>2205</v>
      </c>
      <c r="C673" t="s">
        <v>2206</v>
      </c>
      <c r="D673" t="s">
        <v>2196</v>
      </c>
    </row>
    <row r="674" spans="1:4" x14ac:dyDescent="0.3">
      <c r="A674">
        <v>673</v>
      </c>
      <c r="B674" t="s">
        <v>2075</v>
      </c>
      <c r="C674" t="s">
        <v>1539</v>
      </c>
      <c r="D674" t="s">
        <v>2061</v>
      </c>
    </row>
    <row r="675" spans="1:4" x14ac:dyDescent="0.3">
      <c r="A675">
        <v>674</v>
      </c>
      <c r="B675" t="s">
        <v>2465</v>
      </c>
      <c r="C675" t="s">
        <v>1291</v>
      </c>
      <c r="D675" t="s">
        <v>2460</v>
      </c>
    </row>
    <row r="676" spans="1:4" x14ac:dyDescent="0.3">
      <c r="A676">
        <v>675</v>
      </c>
      <c r="B676" t="s">
        <v>2405</v>
      </c>
      <c r="C676" t="s">
        <v>1648</v>
      </c>
      <c r="D676" t="s">
        <v>2403</v>
      </c>
    </row>
    <row r="677" spans="1:4" x14ac:dyDescent="0.3">
      <c r="A677">
        <v>676</v>
      </c>
      <c r="B677" t="s">
        <v>2243</v>
      </c>
      <c r="C677" t="s">
        <v>2244</v>
      </c>
      <c r="D677" t="s">
        <v>2234</v>
      </c>
    </row>
    <row r="678" spans="1:4" x14ac:dyDescent="0.3">
      <c r="A678">
        <v>677</v>
      </c>
      <c r="B678" t="s">
        <v>1423</v>
      </c>
      <c r="C678" t="s">
        <v>1380</v>
      </c>
      <c r="D678" t="s">
        <v>1418</v>
      </c>
    </row>
    <row r="679" spans="1:4" x14ac:dyDescent="0.3">
      <c r="A679">
        <v>678</v>
      </c>
      <c r="B679" t="s">
        <v>1751</v>
      </c>
      <c r="C679" t="s">
        <v>1752</v>
      </c>
      <c r="D679" t="s">
        <v>1746</v>
      </c>
    </row>
    <row r="680" spans="1:4" x14ac:dyDescent="0.3">
      <c r="A680">
        <v>679</v>
      </c>
      <c r="B680" t="s">
        <v>2692</v>
      </c>
      <c r="C680" t="s">
        <v>1702</v>
      </c>
      <c r="D680" t="s">
        <v>2687</v>
      </c>
    </row>
    <row r="681" spans="1:4" x14ac:dyDescent="0.3">
      <c r="A681">
        <v>680</v>
      </c>
      <c r="B681" t="s">
        <v>2426</v>
      </c>
      <c r="C681" t="s">
        <v>1692</v>
      </c>
      <c r="D681" t="s">
        <v>2416</v>
      </c>
    </row>
    <row r="682" spans="1:4" x14ac:dyDescent="0.3">
      <c r="A682">
        <v>681</v>
      </c>
      <c r="B682" t="s">
        <v>1975</v>
      </c>
      <c r="C682" t="s">
        <v>1976</v>
      </c>
      <c r="D682" t="s">
        <v>1965</v>
      </c>
    </row>
    <row r="683" spans="1:4" x14ac:dyDescent="0.3">
      <c r="A683">
        <v>682</v>
      </c>
      <c r="B683" t="s">
        <v>1781</v>
      </c>
      <c r="C683" t="s">
        <v>1406</v>
      </c>
      <c r="D683" t="s">
        <v>1780</v>
      </c>
    </row>
    <row r="684" spans="1:4" x14ac:dyDescent="0.3">
      <c r="A684">
        <v>683</v>
      </c>
      <c r="B684" t="s">
        <v>1475</v>
      </c>
      <c r="C684" t="s">
        <v>1476</v>
      </c>
      <c r="D684" t="s">
        <v>1468</v>
      </c>
    </row>
    <row r="685" spans="1:4" x14ac:dyDescent="0.3">
      <c r="A685">
        <v>684</v>
      </c>
      <c r="B685" t="s">
        <v>2276</v>
      </c>
      <c r="C685" t="s">
        <v>1749</v>
      </c>
      <c r="D685" t="s">
        <v>2275</v>
      </c>
    </row>
    <row r="686" spans="1:4" x14ac:dyDescent="0.3">
      <c r="A686">
        <v>685</v>
      </c>
      <c r="B686" t="s">
        <v>2004</v>
      </c>
      <c r="C686" t="s">
        <v>1568</v>
      </c>
      <c r="D686" t="s">
        <v>2000</v>
      </c>
    </row>
    <row r="687" spans="1:4" x14ac:dyDescent="0.3">
      <c r="A687">
        <v>686</v>
      </c>
      <c r="B687" t="s">
        <v>2270</v>
      </c>
      <c r="C687" t="s">
        <v>1712</v>
      </c>
      <c r="D687" t="s">
        <v>2265</v>
      </c>
    </row>
    <row r="688" spans="1:4" x14ac:dyDescent="0.3">
      <c r="A688">
        <v>687</v>
      </c>
      <c r="B688" t="s">
        <v>1839</v>
      </c>
      <c r="C688" t="s">
        <v>1591</v>
      </c>
      <c r="D688" t="s">
        <v>1834</v>
      </c>
    </row>
    <row r="689" spans="1:4" x14ac:dyDescent="0.3">
      <c r="A689">
        <v>688</v>
      </c>
      <c r="B689" t="s">
        <v>1944</v>
      </c>
      <c r="C689" t="s">
        <v>1945</v>
      </c>
      <c r="D689" t="s">
        <v>1936</v>
      </c>
    </row>
    <row r="690" spans="1:4" x14ac:dyDescent="0.3">
      <c r="A690">
        <v>689</v>
      </c>
      <c r="B690" t="s">
        <v>2329</v>
      </c>
      <c r="C690" t="s">
        <v>1638</v>
      </c>
      <c r="D690" t="s">
        <v>2326</v>
      </c>
    </row>
    <row r="691" spans="1:4" x14ac:dyDescent="0.3">
      <c r="A691">
        <v>690</v>
      </c>
      <c r="B691" t="s">
        <v>1699</v>
      </c>
      <c r="C691" t="s">
        <v>1700</v>
      </c>
      <c r="D691" t="s">
        <v>1690</v>
      </c>
    </row>
    <row r="692" spans="1:4" x14ac:dyDescent="0.3">
      <c r="A692">
        <v>691</v>
      </c>
      <c r="B692" t="s">
        <v>2536</v>
      </c>
      <c r="C692" t="s">
        <v>1524</v>
      </c>
      <c r="D692" t="s">
        <v>2533</v>
      </c>
    </row>
    <row r="693" spans="1:4" x14ac:dyDescent="0.3">
      <c r="A693">
        <v>692</v>
      </c>
      <c r="B693" t="s">
        <v>2291</v>
      </c>
      <c r="C693" t="s">
        <v>1515</v>
      </c>
      <c r="D693" t="s">
        <v>2286</v>
      </c>
    </row>
    <row r="694" spans="1:4" x14ac:dyDescent="0.3">
      <c r="A694">
        <v>693</v>
      </c>
      <c r="B694" t="s">
        <v>2572</v>
      </c>
      <c r="C694" t="s">
        <v>1517</v>
      </c>
      <c r="D694" t="s">
        <v>2571</v>
      </c>
    </row>
    <row r="695" spans="1:4" x14ac:dyDescent="0.3">
      <c r="A695">
        <v>694</v>
      </c>
      <c r="B695" t="s">
        <v>2292</v>
      </c>
      <c r="C695" t="s">
        <v>1353</v>
      </c>
      <c r="D695" t="s">
        <v>2286</v>
      </c>
    </row>
    <row r="696" spans="1:4" x14ac:dyDescent="0.3">
      <c r="A696">
        <v>695</v>
      </c>
      <c r="B696" t="s">
        <v>1832</v>
      </c>
      <c r="C696" t="s">
        <v>1442</v>
      </c>
      <c r="D696" t="s">
        <v>1831</v>
      </c>
    </row>
    <row r="697" spans="1:4" x14ac:dyDescent="0.3">
      <c r="A697">
        <v>696</v>
      </c>
      <c r="B697" t="s">
        <v>1292</v>
      </c>
      <c r="C697" t="s">
        <v>1293</v>
      </c>
      <c r="D697" t="s">
        <v>1277</v>
      </c>
    </row>
    <row r="698" spans="1:4" x14ac:dyDescent="0.3">
      <c r="A698">
        <v>697</v>
      </c>
      <c r="B698" t="s">
        <v>2510</v>
      </c>
      <c r="C698" t="s">
        <v>2174</v>
      </c>
      <c r="D698" t="s">
        <v>2508</v>
      </c>
    </row>
    <row r="699" spans="1:4" x14ac:dyDescent="0.3">
      <c r="A699">
        <v>698</v>
      </c>
      <c r="B699" t="s">
        <v>1571</v>
      </c>
      <c r="C699" t="s">
        <v>1572</v>
      </c>
      <c r="D699" t="s">
        <v>1569</v>
      </c>
    </row>
    <row r="700" spans="1:4" x14ac:dyDescent="0.3">
      <c r="A700">
        <v>699</v>
      </c>
      <c r="B700" t="s">
        <v>2718</v>
      </c>
      <c r="C700" t="s">
        <v>1385</v>
      </c>
      <c r="D700" t="s">
        <v>2709</v>
      </c>
    </row>
    <row r="701" spans="1:4" x14ac:dyDescent="0.3">
      <c r="A701">
        <v>700</v>
      </c>
      <c r="B701" t="s">
        <v>2623</v>
      </c>
      <c r="C701" t="s">
        <v>2624</v>
      </c>
      <c r="D701" t="s">
        <v>2622</v>
      </c>
    </row>
    <row r="702" spans="1:4" x14ac:dyDescent="0.3">
      <c r="A702">
        <v>701</v>
      </c>
      <c r="B702" t="s">
        <v>1375</v>
      </c>
      <c r="C702" t="s">
        <v>1376</v>
      </c>
      <c r="D702" t="s">
        <v>1370</v>
      </c>
    </row>
    <row r="703" spans="1:4" x14ac:dyDescent="0.3">
      <c r="A703">
        <v>702</v>
      </c>
      <c r="B703" t="s">
        <v>1628</v>
      </c>
      <c r="C703" t="s">
        <v>1629</v>
      </c>
      <c r="D703" t="s">
        <v>1615</v>
      </c>
    </row>
    <row r="704" spans="1:4" x14ac:dyDescent="0.3">
      <c r="A704">
        <v>703</v>
      </c>
      <c r="B704" t="s">
        <v>1902</v>
      </c>
      <c r="C704" t="s">
        <v>1903</v>
      </c>
      <c r="D704" t="s">
        <v>1899</v>
      </c>
    </row>
    <row r="705" spans="1:4" x14ac:dyDescent="0.3">
      <c r="A705">
        <v>704</v>
      </c>
      <c r="B705" t="s">
        <v>2213</v>
      </c>
      <c r="C705" t="s">
        <v>1945</v>
      </c>
      <c r="D705" t="s">
        <v>2210</v>
      </c>
    </row>
    <row r="706" spans="1:4" x14ac:dyDescent="0.3">
      <c r="A706">
        <v>705</v>
      </c>
      <c r="B706" t="s">
        <v>1477</v>
      </c>
      <c r="C706" t="s">
        <v>1340</v>
      </c>
      <c r="D706" t="s">
        <v>1468</v>
      </c>
    </row>
    <row r="707" spans="1:4" x14ac:dyDescent="0.3">
      <c r="A707">
        <v>706</v>
      </c>
      <c r="B707" t="s">
        <v>2537</v>
      </c>
      <c r="C707" t="s">
        <v>1470</v>
      </c>
      <c r="D707" t="s">
        <v>2533</v>
      </c>
    </row>
    <row r="708" spans="1:4" x14ac:dyDescent="0.3">
      <c r="A708">
        <v>707</v>
      </c>
      <c r="B708" t="s">
        <v>1310</v>
      </c>
      <c r="C708" t="s">
        <v>1311</v>
      </c>
      <c r="D708" t="s">
        <v>1312</v>
      </c>
    </row>
    <row r="709" spans="1:4" x14ac:dyDescent="0.3">
      <c r="A709">
        <v>708</v>
      </c>
      <c r="B709" t="s">
        <v>2318</v>
      </c>
      <c r="C709" t="s">
        <v>2319</v>
      </c>
      <c r="D709" t="s">
        <v>2310</v>
      </c>
    </row>
    <row r="710" spans="1:4" x14ac:dyDescent="0.3">
      <c r="A710">
        <v>709</v>
      </c>
      <c r="B710" t="s">
        <v>1439</v>
      </c>
      <c r="C710" t="s">
        <v>1440</v>
      </c>
      <c r="D710" t="s">
        <v>1429</v>
      </c>
    </row>
    <row r="711" spans="1:4" x14ac:dyDescent="0.3">
      <c r="A711">
        <v>710</v>
      </c>
      <c r="B711" t="s">
        <v>2573</v>
      </c>
      <c r="C711" t="s">
        <v>2574</v>
      </c>
      <c r="D711" t="s">
        <v>2571</v>
      </c>
    </row>
    <row r="712" spans="1:4" x14ac:dyDescent="0.3">
      <c r="A712">
        <v>711</v>
      </c>
      <c r="B712" t="s">
        <v>1307</v>
      </c>
      <c r="C712" t="s">
        <v>1281</v>
      </c>
      <c r="D712" t="s">
        <v>1302</v>
      </c>
    </row>
    <row r="713" spans="1:4" x14ac:dyDescent="0.3">
      <c r="A713">
        <v>712</v>
      </c>
      <c r="B713" t="s">
        <v>2743</v>
      </c>
      <c r="C713" t="s">
        <v>1708</v>
      </c>
      <c r="D713" t="s">
        <v>2735</v>
      </c>
    </row>
    <row r="714" spans="1:4" x14ac:dyDescent="0.3">
      <c r="A714">
        <v>713</v>
      </c>
      <c r="B714" t="s">
        <v>2701</v>
      </c>
      <c r="C714" t="s">
        <v>1450</v>
      </c>
      <c r="D714" t="s">
        <v>2697</v>
      </c>
    </row>
    <row r="715" spans="1:4" x14ac:dyDescent="0.3">
      <c r="A715">
        <v>714</v>
      </c>
      <c r="B715" t="s">
        <v>1565</v>
      </c>
      <c r="C715" t="s">
        <v>1566</v>
      </c>
      <c r="D715" t="s">
        <v>1564</v>
      </c>
    </row>
    <row r="716" spans="1:4" x14ac:dyDescent="0.3">
      <c r="A716">
        <v>715</v>
      </c>
      <c r="B716" t="s">
        <v>2427</v>
      </c>
      <c r="C716" t="s">
        <v>1963</v>
      </c>
      <c r="D716" t="s">
        <v>2416</v>
      </c>
    </row>
    <row r="717" spans="1:4" x14ac:dyDescent="0.3">
      <c r="A717">
        <v>716</v>
      </c>
      <c r="B717" t="s">
        <v>1294</v>
      </c>
      <c r="C717" t="s">
        <v>1295</v>
      </c>
      <c r="D717" t="s">
        <v>1277</v>
      </c>
    </row>
    <row r="718" spans="1:4" x14ac:dyDescent="0.3">
      <c r="A718">
        <v>717</v>
      </c>
      <c r="B718" t="s">
        <v>2121</v>
      </c>
      <c r="C718" t="s">
        <v>1631</v>
      </c>
      <c r="D718" t="s">
        <v>2110</v>
      </c>
    </row>
    <row r="719" spans="1:4" x14ac:dyDescent="0.3">
      <c r="A719">
        <v>718</v>
      </c>
      <c r="B719" t="s">
        <v>1894</v>
      </c>
      <c r="C719" t="s">
        <v>1572</v>
      </c>
      <c r="D719" t="s">
        <v>1886</v>
      </c>
    </row>
    <row r="720" spans="1:4" x14ac:dyDescent="0.3">
      <c r="A720">
        <v>719</v>
      </c>
      <c r="B720" t="s">
        <v>1701</v>
      </c>
      <c r="C720" t="s">
        <v>1702</v>
      </c>
      <c r="D720" t="s">
        <v>1690</v>
      </c>
    </row>
    <row r="721" spans="1:4" x14ac:dyDescent="0.3">
      <c r="A721">
        <v>720</v>
      </c>
      <c r="B721" t="s">
        <v>2245</v>
      </c>
      <c r="C721" t="s">
        <v>1476</v>
      </c>
      <c r="D721" t="s">
        <v>2234</v>
      </c>
    </row>
    <row r="722" spans="1:4" x14ac:dyDescent="0.3">
      <c r="A722">
        <v>721</v>
      </c>
      <c r="B722" t="s">
        <v>2551</v>
      </c>
      <c r="C722" t="s">
        <v>2552</v>
      </c>
      <c r="D722" t="s">
        <v>2546</v>
      </c>
    </row>
    <row r="723" spans="1:4" x14ac:dyDescent="0.3">
      <c r="A723">
        <v>722</v>
      </c>
      <c r="B723" t="s">
        <v>1753</v>
      </c>
      <c r="C723" t="s">
        <v>1537</v>
      </c>
      <c r="D723" t="s">
        <v>1746</v>
      </c>
    </row>
    <row r="724" spans="1:4" x14ac:dyDescent="0.3">
      <c r="A724">
        <v>723</v>
      </c>
      <c r="B724" t="s">
        <v>1669</v>
      </c>
      <c r="C724" t="s">
        <v>1670</v>
      </c>
      <c r="D724" t="s">
        <v>1653</v>
      </c>
    </row>
    <row r="725" spans="1:4" x14ac:dyDescent="0.3">
      <c r="A725">
        <v>724</v>
      </c>
      <c r="B725" t="s">
        <v>2566</v>
      </c>
      <c r="C725" t="s">
        <v>2262</v>
      </c>
      <c r="D725" t="s">
        <v>2560</v>
      </c>
    </row>
    <row r="726" spans="1:4" x14ac:dyDescent="0.3">
      <c r="A726">
        <v>725</v>
      </c>
      <c r="B726" t="s">
        <v>2620</v>
      </c>
      <c r="C726" t="s">
        <v>2053</v>
      </c>
      <c r="D726" t="s">
        <v>2619</v>
      </c>
    </row>
    <row r="727" spans="1:4" x14ac:dyDescent="0.3">
      <c r="A727">
        <v>726</v>
      </c>
      <c r="B727" t="s">
        <v>2391</v>
      </c>
      <c r="C727" t="s">
        <v>2018</v>
      </c>
      <c r="D727" t="s">
        <v>2384</v>
      </c>
    </row>
    <row r="728" spans="1:4" x14ac:dyDescent="0.3">
      <c r="A728">
        <v>727</v>
      </c>
      <c r="B728" t="s">
        <v>2759</v>
      </c>
      <c r="C728" t="s">
        <v>1640</v>
      </c>
      <c r="D728" t="s">
        <v>2752</v>
      </c>
    </row>
    <row r="729" spans="1:4" x14ac:dyDescent="0.3">
      <c r="A729">
        <v>728</v>
      </c>
      <c r="B729" t="s">
        <v>2392</v>
      </c>
      <c r="C729" t="s">
        <v>1998</v>
      </c>
      <c r="D729" t="s">
        <v>2384</v>
      </c>
    </row>
    <row r="730" spans="1:4" x14ac:dyDescent="0.3">
      <c r="A730">
        <v>729</v>
      </c>
      <c r="B730" t="s">
        <v>2260</v>
      </c>
      <c r="C730" t="s">
        <v>1481</v>
      </c>
      <c r="D730" t="s">
        <v>2251</v>
      </c>
    </row>
    <row r="731" spans="1:4" x14ac:dyDescent="0.3">
      <c r="A731">
        <v>730</v>
      </c>
      <c r="B731" t="s">
        <v>1403</v>
      </c>
      <c r="C731" t="s">
        <v>1404</v>
      </c>
      <c r="D731" t="s">
        <v>1397</v>
      </c>
    </row>
    <row r="732" spans="1:4" x14ac:dyDescent="0.3">
      <c r="A732">
        <v>731</v>
      </c>
      <c r="B732" t="s">
        <v>1738</v>
      </c>
      <c r="C732" t="s">
        <v>1291</v>
      </c>
      <c r="D732" t="s">
        <v>1728</v>
      </c>
    </row>
    <row r="733" spans="1:4" x14ac:dyDescent="0.3">
      <c r="A733">
        <v>732</v>
      </c>
      <c r="B733" t="s">
        <v>1819</v>
      </c>
      <c r="C733" t="s">
        <v>1704</v>
      </c>
      <c r="D733" t="s">
        <v>1812</v>
      </c>
    </row>
    <row r="734" spans="1:4" x14ac:dyDescent="0.3">
      <c r="A734">
        <v>733</v>
      </c>
      <c r="B734" t="s">
        <v>1933</v>
      </c>
      <c r="C734" t="s">
        <v>1474</v>
      </c>
      <c r="D734" t="s">
        <v>1926</v>
      </c>
    </row>
    <row r="735" spans="1:4" x14ac:dyDescent="0.3">
      <c r="A735">
        <v>734</v>
      </c>
      <c r="B735" t="s">
        <v>1904</v>
      </c>
      <c r="C735" t="s">
        <v>1905</v>
      </c>
      <c r="D735" t="s">
        <v>1899</v>
      </c>
    </row>
    <row r="736" spans="1:4" x14ac:dyDescent="0.3">
      <c r="A736">
        <v>735</v>
      </c>
      <c r="B736" t="s">
        <v>1377</v>
      </c>
      <c r="C736" t="s">
        <v>1378</v>
      </c>
      <c r="D736" t="s">
        <v>1370</v>
      </c>
    </row>
    <row r="737" spans="1:4" x14ac:dyDescent="0.3">
      <c r="A737">
        <v>736</v>
      </c>
      <c r="B737" t="s">
        <v>2683</v>
      </c>
      <c r="C737" t="s">
        <v>1390</v>
      </c>
      <c r="D737" t="s">
        <v>2681</v>
      </c>
    </row>
    <row r="738" spans="1:4" x14ac:dyDescent="0.3">
      <c r="A738">
        <v>737</v>
      </c>
      <c r="B738" t="s">
        <v>2194</v>
      </c>
      <c r="C738" t="s">
        <v>1888</v>
      </c>
      <c r="D738" t="s">
        <v>2188</v>
      </c>
    </row>
    <row r="739" spans="1:4" x14ac:dyDescent="0.3">
      <c r="A739">
        <v>738</v>
      </c>
      <c r="B739" t="s">
        <v>2702</v>
      </c>
      <c r="C739" t="s">
        <v>1664</v>
      </c>
      <c r="D739" t="s">
        <v>2697</v>
      </c>
    </row>
    <row r="740" spans="1:4" x14ac:dyDescent="0.3">
      <c r="A740">
        <v>739</v>
      </c>
      <c r="B740" t="s">
        <v>2320</v>
      </c>
      <c r="C740" t="s">
        <v>2321</v>
      </c>
      <c r="D740" t="s">
        <v>2310</v>
      </c>
    </row>
    <row r="741" spans="1:4" x14ac:dyDescent="0.3">
      <c r="A741">
        <v>740</v>
      </c>
      <c r="B741" t="s">
        <v>2271</v>
      </c>
      <c r="C741" t="s">
        <v>1293</v>
      </c>
      <c r="D741" t="s">
        <v>2265</v>
      </c>
    </row>
    <row r="742" spans="1:4" x14ac:dyDescent="0.3">
      <c r="A742">
        <v>741</v>
      </c>
      <c r="B742" t="s">
        <v>2322</v>
      </c>
      <c r="C742" t="s">
        <v>1935</v>
      </c>
      <c r="D742" t="s">
        <v>2310</v>
      </c>
    </row>
    <row r="743" spans="1:4" x14ac:dyDescent="0.3">
      <c r="A743">
        <v>742</v>
      </c>
      <c r="B743" t="s">
        <v>1724</v>
      </c>
      <c r="C743" t="s">
        <v>1725</v>
      </c>
      <c r="D743" t="s">
        <v>1726</v>
      </c>
    </row>
    <row r="744" spans="1:4" x14ac:dyDescent="0.3">
      <c r="A744">
        <v>743</v>
      </c>
      <c r="B744" t="s">
        <v>1720</v>
      </c>
      <c r="C744" t="s">
        <v>1721</v>
      </c>
      <c r="D744" t="s">
        <v>1719</v>
      </c>
    </row>
    <row r="745" spans="1:4" x14ac:dyDescent="0.3">
      <c r="A745">
        <v>744</v>
      </c>
      <c r="B745" t="s">
        <v>1325</v>
      </c>
      <c r="C745" t="s">
        <v>1326</v>
      </c>
      <c r="D745" t="s">
        <v>1324</v>
      </c>
    </row>
    <row r="746" spans="1:4" x14ac:dyDescent="0.3">
      <c r="A746">
        <v>745</v>
      </c>
      <c r="B746" t="s">
        <v>1739</v>
      </c>
      <c r="C746" t="s">
        <v>1591</v>
      </c>
      <c r="D746" t="s">
        <v>1728</v>
      </c>
    </row>
    <row r="747" spans="1:4" x14ac:dyDescent="0.3">
      <c r="A747">
        <v>746</v>
      </c>
      <c r="B747" t="s">
        <v>1514</v>
      </c>
      <c r="C747" t="s">
        <v>1515</v>
      </c>
      <c r="D747" t="s">
        <v>1502</v>
      </c>
    </row>
    <row r="748" spans="1:4" x14ac:dyDescent="0.3">
      <c r="A748">
        <v>747</v>
      </c>
      <c r="B748" t="s">
        <v>2246</v>
      </c>
      <c r="C748" t="s">
        <v>2247</v>
      </c>
      <c r="D748" t="s">
        <v>2234</v>
      </c>
    </row>
    <row r="749" spans="1:4" x14ac:dyDescent="0.3">
      <c r="A749">
        <v>748</v>
      </c>
      <c r="B749" t="s">
        <v>2661</v>
      </c>
      <c r="C749" t="s">
        <v>1450</v>
      </c>
      <c r="D749" t="s">
        <v>2657</v>
      </c>
    </row>
    <row r="750" spans="1:4" x14ac:dyDescent="0.3">
      <c r="A750">
        <v>749</v>
      </c>
      <c r="B750" t="s">
        <v>1946</v>
      </c>
      <c r="C750" t="s">
        <v>1553</v>
      </c>
      <c r="D750" t="s">
        <v>1936</v>
      </c>
    </row>
    <row r="751" spans="1:4" x14ac:dyDescent="0.3">
      <c r="A751">
        <v>750</v>
      </c>
      <c r="B751" t="s">
        <v>1856</v>
      </c>
      <c r="C751" t="s">
        <v>1668</v>
      </c>
      <c r="D751" t="s">
        <v>1845</v>
      </c>
    </row>
    <row r="752" spans="1:4" x14ac:dyDescent="0.3">
      <c r="A752">
        <v>751</v>
      </c>
      <c r="B752" t="s">
        <v>1405</v>
      </c>
      <c r="C752" t="s">
        <v>1406</v>
      </c>
      <c r="D752" t="s">
        <v>1397</v>
      </c>
    </row>
    <row r="753" spans="1:4" x14ac:dyDescent="0.3">
      <c r="A753">
        <v>752</v>
      </c>
      <c r="B753" t="s">
        <v>1683</v>
      </c>
      <c r="C753" t="s">
        <v>1684</v>
      </c>
      <c r="D753" t="s">
        <v>1676</v>
      </c>
    </row>
    <row r="754" spans="1:4" x14ac:dyDescent="0.3">
      <c r="A754">
        <v>753</v>
      </c>
      <c r="B754" t="s">
        <v>1957</v>
      </c>
      <c r="C754" t="s">
        <v>1877</v>
      </c>
      <c r="D754" t="s">
        <v>1952</v>
      </c>
    </row>
    <row r="755" spans="1:4" x14ac:dyDescent="0.3">
      <c r="A755">
        <v>754</v>
      </c>
      <c r="B755" t="s">
        <v>2428</v>
      </c>
      <c r="C755" t="s">
        <v>1431</v>
      </c>
      <c r="D755" t="s">
        <v>2416</v>
      </c>
    </row>
    <row r="756" spans="1:4" x14ac:dyDescent="0.3">
      <c r="A756">
        <v>755</v>
      </c>
      <c r="B756" t="s">
        <v>2728</v>
      </c>
      <c r="C756" t="s">
        <v>1978</v>
      </c>
      <c r="D756" t="s">
        <v>2725</v>
      </c>
    </row>
    <row r="757" spans="1:4" x14ac:dyDescent="0.3">
      <c r="A757">
        <v>756</v>
      </c>
      <c r="B757" t="s">
        <v>2261</v>
      </c>
      <c r="C757" t="s">
        <v>2262</v>
      </c>
      <c r="D757" t="s">
        <v>2251</v>
      </c>
    </row>
    <row r="758" spans="1:4" x14ac:dyDescent="0.3">
      <c r="A758">
        <v>757</v>
      </c>
      <c r="B758" t="s">
        <v>2076</v>
      </c>
      <c r="C758" t="s">
        <v>1504</v>
      </c>
      <c r="D758" t="s">
        <v>2061</v>
      </c>
    </row>
    <row r="759" spans="1:4" x14ac:dyDescent="0.3">
      <c r="A759">
        <v>758</v>
      </c>
      <c r="B759" t="s">
        <v>2009</v>
      </c>
      <c r="C759" t="s">
        <v>1650</v>
      </c>
      <c r="D759" t="s">
        <v>2010</v>
      </c>
    </row>
    <row r="760" spans="1:4" x14ac:dyDescent="0.3">
      <c r="A760">
        <v>759</v>
      </c>
      <c r="B760" t="s">
        <v>2081</v>
      </c>
      <c r="C760" t="s">
        <v>1963</v>
      </c>
      <c r="D760" t="s">
        <v>2078</v>
      </c>
    </row>
    <row r="761" spans="1:4" x14ac:dyDescent="0.3">
      <c r="A761">
        <v>760</v>
      </c>
      <c r="B761" t="s">
        <v>1977</v>
      </c>
      <c r="C761" t="s">
        <v>1978</v>
      </c>
      <c r="D761" t="s">
        <v>1965</v>
      </c>
    </row>
    <row r="762" spans="1:4" x14ac:dyDescent="0.3">
      <c r="A762">
        <v>761</v>
      </c>
      <c r="B762" t="s">
        <v>2154</v>
      </c>
      <c r="C762" t="s">
        <v>2155</v>
      </c>
      <c r="D762" t="s">
        <v>2148</v>
      </c>
    </row>
    <row r="763" spans="1:4" x14ac:dyDescent="0.3">
      <c r="A763">
        <v>762</v>
      </c>
      <c r="B763" t="s">
        <v>2703</v>
      </c>
      <c r="C763" t="s">
        <v>2058</v>
      </c>
      <c r="D763" t="s">
        <v>2697</v>
      </c>
    </row>
    <row r="764" spans="1:4" x14ac:dyDescent="0.3">
      <c r="A764">
        <v>763</v>
      </c>
      <c r="B764" t="s">
        <v>2011</v>
      </c>
      <c r="C764" t="s">
        <v>1725</v>
      </c>
      <c r="D764" t="s">
        <v>2010</v>
      </c>
    </row>
    <row r="765" spans="1:4" x14ac:dyDescent="0.3">
      <c r="A765">
        <v>764</v>
      </c>
      <c r="B765" t="s">
        <v>2035</v>
      </c>
      <c r="C765" t="s">
        <v>2036</v>
      </c>
      <c r="D765" t="s">
        <v>2031</v>
      </c>
    </row>
    <row r="766" spans="1:4" x14ac:dyDescent="0.3">
      <c r="A766">
        <v>765</v>
      </c>
      <c r="B766" t="s">
        <v>1296</v>
      </c>
      <c r="C766" t="s">
        <v>1297</v>
      </c>
      <c r="D766" t="s">
        <v>1277</v>
      </c>
    </row>
    <row r="767" spans="1:4" x14ac:dyDescent="0.3">
      <c r="A767">
        <v>766</v>
      </c>
      <c r="B767" t="s">
        <v>2774</v>
      </c>
      <c r="C767" t="s">
        <v>2133</v>
      </c>
      <c r="D767" t="s">
        <v>2772</v>
      </c>
    </row>
    <row r="768" spans="1:4" x14ac:dyDescent="0.3">
      <c r="A768">
        <v>767</v>
      </c>
      <c r="B768" t="s">
        <v>1393</v>
      </c>
      <c r="C768" t="s">
        <v>1394</v>
      </c>
      <c r="D768" t="s">
        <v>1388</v>
      </c>
    </row>
    <row r="769" spans="1:4" x14ac:dyDescent="0.3">
      <c r="A769">
        <v>768</v>
      </c>
      <c r="B769" t="s">
        <v>1407</v>
      </c>
      <c r="C769" t="s">
        <v>1408</v>
      </c>
      <c r="D769" t="s">
        <v>1397</v>
      </c>
    </row>
    <row r="770" spans="1:4" x14ac:dyDescent="0.3">
      <c r="A770">
        <v>769</v>
      </c>
      <c r="B770" t="s">
        <v>2182</v>
      </c>
      <c r="C770" t="s">
        <v>1301</v>
      </c>
      <c r="D770" t="s">
        <v>2170</v>
      </c>
    </row>
    <row r="771" spans="1:4" x14ac:dyDescent="0.3">
      <c r="A771">
        <v>770</v>
      </c>
      <c r="B771" t="s">
        <v>2145</v>
      </c>
      <c r="C771" t="s">
        <v>1283</v>
      </c>
      <c r="D771" t="s">
        <v>2142</v>
      </c>
    </row>
    <row r="772" spans="1:4" x14ac:dyDescent="0.3">
      <c r="A772">
        <v>771</v>
      </c>
      <c r="B772" t="s">
        <v>2644</v>
      </c>
      <c r="C772" t="s">
        <v>2060</v>
      </c>
      <c r="D772" t="s">
        <v>2642</v>
      </c>
    </row>
    <row r="773" spans="1:4" x14ac:dyDescent="0.3">
      <c r="A773">
        <v>772</v>
      </c>
      <c r="B773" t="s">
        <v>2693</v>
      </c>
      <c r="C773" t="s">
        <v>2514</v>
      </c>
      <c r="D773" t="s">
        <v>2687</v>
      </c>
    </row>
    <row r="774" spans="1:4" x14ac:dyDescent="0.3">
      <c r="A774">
        <v>773</v>
      </c>
      <c r="B774" t="s">
        <v>2056</v>
      </c>
      <c r="C774" t="s">
        <v>1888</v>
      </c>
      <c r="D774" t="s">
        <v>2050</v>
      </c>
    </row>
    <row r="775" spans="1:4" x14ac:dyDescent="0.3">
      <c r="A775">
        <v>774</v>
      </c>
      <c r="B775" t="s">
        <v>1792</v>
      </c>
      <c r="C775" t="s">
        <v>1696</v>
      </c>
      <c r="D775" t="s">
        <v>1786</v>
      </c>
    </row>
    <row r="776" spans="1:4" x14ac:dyDescent="0.3">
      <c r="A776">
        <v>775</v>
      </c>
      <c r="B776" t="s">
        <v>1754</v>
      </c>
      <c r="C776" t="s">
        <v>1642</v>
      </c>
      <c r="D776" t="s">
        <v>1746</v>
      </c>
    </row>
    <row r="777" spans="1:4" x14ac:dyDescent="0.3">
      <c r="A777">
        <v>776</v>
      </c>
      <c r="B777" t="s">
        <v>1991</v>
      </c>
      <c r="C777" t="s">
        <v>1614</v>
      </c>
      <c r="D777" t="s">
        <v>1985</v>
      </c>
    </row>
    <row r="778" spans="1:4" x14ac:dyDescent="0.3">
      <c r="A778">
        <v>777</v>
      </c>
      <c r="B778" t="s">
        <v>2575</v>
      </c>
      <c r="C778" t="s">
        <v>1706</v>
      </c>
      <c r="D778" t="s">
        <v>2571</v>
      </c>
    </row>
    <row r="779" spans="1:4" x14ac:dyDescent="0.3">
      <c r="A779">
        <v>778</v>
      </c>
      <c r="B779" t="s">
        <v>1599</v>
      </c>
      <c r="C779" t="s">
        <v>1600</v>
      </c>
      <c r="D779" t="s">
        <v>1596</v>
      </c>
    </row>
    <row r="780" spans="1:4" x14ac:dyDescent="0.3">
      <c r="A780">
        <v>779</v>
      </c>
      <c r="B780" t="s">
        <v>2443</v>
      </c>
      <c r="C780" t="s">
        <v>1276</v>
      </c>
      <c r="D780" t="s">
        <v>2444</v>
      </c>
    </row>
    <row r="781" spans="1:4" x14ac:dyDescent="0.3">
      <c r="A781">
        <v>780</v>
      </c>
      <c r="B781" t="s">
        <v>2653</v>
      </c>
      <c r="C781" t="s">
        <v>1464</v>
      </c>
      <c r="D781" t="s">
        <v>2651</v>
      </c>
    </row>
    <row r="782" spans="1:4" x14ac:dyDescent="0.3">
      <c r="A782">
        <v>781</v>
      </c>
      <c r="B782" t="s">
        <v>2230</v>
      </c>
      <c r="C782" t="s">
        <v>1417</v>
      </c>
      <c r="D782" t="s">
        <v>2219</v>
      </c>
    </row>
    <row r="783" spans="1:4" x14ac:dyDescent="0.3">
      <c r="A783">
        <v>782</v>
      </c>
      <c r="B783" t="s">
        <v>1356</v>
      </c>
      <c r="C783" t="s">
        <v>1357</v>
      </c>
      <c r="D783" t="s">
        <v>1347</v>
      </c>
    </row>
    <row r="784" spans="1:4" x14ac:dyDescent="0.3">
      <c r="A784">
        <v>783</v>
      </c>
      <c r="B784" t="s">
        <v>2654</v>
      </c>
      <c r="C784" t="s">
        <v>2074</v>
      </c>
      <c r="D784" t="s">
        <v>2655</v>
      </c>
    </row>
    <row r="785" spans="1:4" x14ac:dyDescent="0.3">
      <c r="A785">
        <v>784</v>
      </c>
      <c r="B785" t="s">
        <v>2406</v>
      </c>
      <c r="C785" t="s">
        <v>2060</v>
      </c>
      <c r="D785" t="s">
        <v>2403</v>
      </c>
    </row>
    <row r="786" spans="1:4" x14ac:dyDescent="0.3">
      <c r="A786">
        <v>785</v>
      </c>
      <c r="B786" t="s">
        <v>1958</v>
      </c>
      <c r="C786" t="s">
        <v>1777</v>
      </c>
      <c r="D786" t="s">
        <v>1952</v>
      </c>
    </row>
    <row r="787" spans="1:4" x14ac:dyDescent="0.3">
      <c r="A787">
        <v>786</v>
      </c>
      <c r="B787" t="s">
        <v>1478</v>
      </c>
      <c r="C787" t="s">
        <v>1479</v>
      </c>
      <c r="D787" t="s">
        <v>1468</v>
      </c>
    </row>
    <row r="788" spans="1:4" x14ac:dyDescent="0.3">
      <c r="A788">
        <v>787</v>
      </c>
      <c r="B788" t="s">
        <v>2596</v>
      </c>
      <c r="C788" t="s">
        <v>1291</v>
      </c>
      <c r="D788" t="s">
        <v>2594</v>
      </c>
    </row>
    <row r="789" spans="1:4" x14ac:dyDescent="0.3">
      <c r="A789">
        <v>788</v>
      </c>
      <c r="B789" t="s">
        <v>2407</v>
      </c>
      <c r="C789" t="s">
        <v>2089</v>
      </c>
      <c r="D789" t="s">
        <v>2403</v>
      </c>
    </row>
    <row r="790" spans="1:4" x14ac:dyDescent="0.3">
      <c r="A790">
        <v>789</v>
      </c>
      <c r="B790" t="s">
        <v>2791</v>
      </c>
      <c r="C790" t="s">
        <v>2479</v>
      </c>
      <c r="D790" t="s">
        <v>2790</v>
      </c>
    </row>
    <row r="791" spans="1:4" x14ac:dyDescent="0.3">
      <c r="A791">
        <v>790</v>
      </c>
      <c r="B791" t="s">
        <v>1923</v>
      </c>
      <c r="C791" t="s">
        <v>1349</v>
      </c>
      <c r="D791" t="s">
        <v>1913</v>
      </c>
    </row>
    <row r="792" spans="1:4" x14ac:dyDescent="0.3">
      <c r="A792">
        <v>791</v>
      </c>
      <c r="B792" t="s">
        <v>2793</v>
      </c>
      <c r="C792" t="s">
        <v>1474</v>
      </c>
      <c r="D792" t="s">
        <v>2794</v>
      </c>
    </row>
    <row r="793" spans="1:4" x14ac:dyDescent="0.3">
      <c r="A793">
        <v>792</v>
      </c>
      <c r="B793" t="s">
        <v>2519</v>
      </c>
      <c r="C793" t="s">
        <v>1349</v>
      </c>
      <c r="D793" t="s">
        <v>2515</v>
      </c>
    </row>
    <row r="794" spans="1:4" x14ac:dyDescent="0.3">
      <c r="A794">
        <v>793</v>
      </c>
      <c r="B794" t="s">
        <v>1498</v>
      </c>
      <c r="C794" t="s">
        <v>1499</v>
      </c>
      <c r="D794" t="s">
        <v>1486</v>
      </c>
    </row>
    <row r="795" spans="1:4" x14ac:dyDescent="0.3">
      <c r="A795">
        <v>794</v>
      </c>
      <c r="B795" t="s">
        <v>1480</v>
      </c>
      <c r="C795" t="s">
        <v>1481</v>
      </c>
      <c r="D795" t="s">
        <v>1468</v>
      </c>
    </row>
    <row r="796" spans="1:4" x14ac:dyDescent="0.3">
      <c r="A796">
        <v>795</v>
      </c>
      <c r="B796" t="s">
        <v>2323</v>
      </c>
      <c r="C796" t="s">
        <v>1351</v>
      </c>
      <c r="D796" t="s">
        <v>2310</v>
      </c>
    </row>
    <row r="797" spans="1:4" x14ac:dyDescent="0.3">
      <c r="A797">
        <v>796</v>
      </c>
      <c r="B797" t="s">
        <v>2597</v>
      </c>
      <c r="C797" t="s">
        <v>2129</v>
      </c>
      <c r="D797" t="s">
        <v>2594</v>
      </c>
    </row>
    <row r="798" spans="1:4" x14ac:dyDescent="0.3">
      <c r="A798">
        <v>797</v>
      </c>
      <c r="B798" t="s">
        <v>1334</v>
      </c>
      <c r="C798" t="s">
        <v>1335</v>
      </c>
      <c r="D798" t="s">
        <v>1333</v>
      </c>
    </row>
    <row r="799" spans="1:4" x14ac:dyDescent="0.3">
      <c r="A799">
        <v>798</v>
      </c>
      <c r="B799" t="s">
        <v>2057</v>
      </c>
      <c r="C799" t="s">
        <v>2058</v>
      </c>
      <c r="D799" t="s">
        <v>2050</v>
      </c>
    </row>
    <row r="800" spans="1:4" x14ac:dyDescent="0.3">
      <c r="A800">
        <v>799</v>
      </c>
      <c r="B800" t="s">
        <v>2048</v>
      </c>
      <c r="C800" t="s">
        <v>1954</v>
      </c>
      <c r="D800" t="s">
        <v>2046</v>
      </c>
    </row>
    <row r="801" spans="1:4" x14ac:dyDescent="0.3">
      <c r="A801">
        <v>800</v>
      </c>
      <c r="B801" t="s">
        <v>1857</v>
      </c>
      <c r="C801" t="s">
        <v>1479</v>
      </c>
      <c r="D801" t="s">
        <v>1845</v>
      </c>
    </row>
    <row r="802" spans="1:4" x14ac:dyDescent="0.3">
      <c r="A802">
        <v>801</v>
      </c>
      <c r="B802" t="s">
        <v>2005</v>
      </c>
      <c r="C802" t="s">
        <v>1355</v>
      </c>
      <c r="D802" t="s">
        <v>2000</v>
      </c>
    </row>
    <row r="803" spans="1:4" x14ac:dyDescent="0.3">
      <c r="A803">
        <v>802</v>
      </c>
      <c r="B803" t="s">
        <v>2625</v>
      </c>
      <c r="C803" t="s">
        <v>1281</v>
      </c>
      <c r="D803" t="s">
        <v>2622</v>
      </c>
    </row>
    <row r="804" spans="1:4" x14ac:dyDescent="0.3">
      <c r="A804">
        <v>803</v>
      </c>
      <c r="B804" t="s">
        <v>2567</v>
      </c>
      <c r="C804" t="s">
        <v>1661</v>
      </c>
      <c r="D804" t="s">
        <v>2560</v>
      </c>
    </row>
    <row r="805" spans="1:4" x14ac:dyDescent="0.3">
      <c r="A805">
        <v>804</v>
      </c>
      <c r="B805" t="s">
        <v>2511</v>
      </c>
      <c r="C805" t="s">
        <v>1481</v>
      </c>
      <c r="D805" t="s">
        <v>2508</v>
      </c>
    </row>
    <row r="806" spans="1:4" x14ac:dyDescent="0.3">
      <c r="A806">
        <v>805</v>
      </c>
      <c r="B806" t="s">
        <v>2156</v>
      </c>
      <c r="C806" t="s">
        <v>1790</v>
      </c>
      <c r="D806" t="s">
        <v>2148</v>
      </c>
    </row>
    <row r="807" spans="1:4" x14ac:dyDescent="0.3">
      <c r="A807">
        <v>806</v>
      </c>
      <c r="B807" t="s">
        <v>1649</v>
      </c>
      <c r="C807" t="s">
        <v>1650</v>
      </c>
      <c r="D807" t="s">
        <v>1634</v>
      </c>
    </row>
    <row r="808" spans="1:4" x14ac:dyDescent="0.3">
      <c r="A808">
        <v>807</v>
      </c>
      <c r="B808" t="s">
        <v>2744</v>
      </c>
      <c r="C808" t="s">
        <v>1385</v>
      </c>
      <c r="D808" t="s">
        <v>2735</v>
      </c>
    </row>
    <row r="809" spans="1:4" x14ac:dyDescent="0.3">
      <c r="A809">
        <v>808</v>
      </c>
      <c r="B809" t="s">
        <v>2341</v>
      </c>
      <c r="C809" t="s">
        <v>2342</v>
      </c>
      <c r="D809" t="s">
        <v>2334</v>
      </c>
    </row>
    <row r="810" spans="1:4" x14ac:dyDescent="0.3">
      <c r="A810">
        <v>809</v>
      </c>
      <c r="B810" t="s">
        <v>2183</v>
      </c>
      <c r="C810" t="s">
        <v>1696</v>
      </c>
      <c r="D810" t="s">
        <v>2170</v>
      </c>
    </row>
    <row r="811" spans="1:4" x14ac:dyDescent="0.3">
      <c r="A811">
        <v>810</v>
      </c>
      <c r="B811" t="s">
        <v>1651</v>
      </c>
      <c r="C811" t="s">
        <v>1328</v>
      </c>
      <c r="D811" t="s">
        <v>1634</v>
      </c>
    </row>
    <row r="812" spans="1:4" x14ac:dyDescent="0.3">
      <c r="A812">
        <v>811</v>
      </c>
      <c r="B812" t="s">
        <v>2704</v>
      </c>
      <c r="C812" t="s">
        <v>1558</v>
      </c>
      <c r="D812" t="s">
        <v>2697</v>
      </c>
    </row>
    <row r="813" spans="1:4" x14ac:dyDescent="0.3">
      <c r="A813">
        <v>812</v>
      </c>
      <c r="B813" t="s">
        <v>2768</v>
      </c>
      <c r="C813" t="s">
        <v>2689</v>
      </c>
      <c r="D813" t="s">
        <v>2763</v>
      </c>
    </row>
    <row r="814" spans="1:4" x14ac:dyDescent="0.3">
      <c r="A814">
        <v>813</v>
      </c>
      <c r="B814" t="s">
        <v>2393</v>
      </c>
      <c r="C814" t="s">
        <v>1702</v>
      </c>
      <c r="D814" t="s">
        <v>2384</v>
      </c>
    </row>
    <row r="815" spans="1:4" x14ac:dyDescent="0.3">
      <c r="A815">
        <v>814</v>
      </c>
      <c r="B815" t="s">
        <v>1867</v>
      </c>
      <c r="C815" t="s">
        <v>1408</v>
      </c>
      <c r="D815" t="s">
        <v>1863</v>
      </c>
    </row>
    <row r="816" spans="1:4" x14ac:dyDescent="0.3">
      <c r="A816">
        <v>815</v>
      </c>
      <c r="B816" t="s">
        <v>2044</v>
      </c>
      <c r="C816" t="s">
        <v>1777</v>
      </c>
      <c r="D816" t="s">
        <v>2043</v>
      </c>
    </row>
    <row r="817" spans="1:4" x14ac:dyDescent="0.3">
      <c r="A817">
        <v>816</v>
      </c>
      <c r="B817" t="s">
        <v>1858</v>
      </c>
      <c r="C817" t="s">
        <v>1768</v>
      </c>
      <c r="D817" t="s">
        <v>1845</v>
      </c>
    </row>
    <row r="818" spans="1:4" x14ac:dyDescent="0.3">
      <c r="A818">
        <v>817</v>
      </c>
      <c r="B818" t="s">
        <v>2037</v>
      </c>
      <c r="C818" t="s">
        <v>1945</v>
      </c>
      <c r="D818" t="s">
        <v>2031</v>
      </c>
    </row>
    <row r="819" spans="1:4" x14ac:dyDescent="0.3">
      <c r="A819">
        <v>818</v>
      </c>
      <c r="B819" t="s">
        <v>1601</v>
      </c>
      <c r="C819" t="s">
        <v>1602</v>
      </c>
      <c r="D819" t="s">
        <v>1596</v>
      </c>
    </row>
    <row r="820" spans="1:4" x14ac:dyDescent="0.3">
      <c r="A820">
        <v>819</v>
      </c>
      <c r="B820" t="s">
        <v>2760</v>
      </c>
      <c r="C820" t="s">
        <v>1483</v>
      </c>
      <c r="D820" t="s">
        <v>2752</v>
      </c>
    </row>
    <row r="821" spans="1:4" x14ac:dyDescent="0.3">
      <c r="A821">
        <v>820</v>
      </c>
      <c r="B821" t="s">
        <v>2012</v>
      </c>
      <c r="C821" t="s">
        <v>2013</v>
      </c>
      <c r="D821" t="s">
        <v>2010</v>
      </c>
    </row>
    <row r="822" spans="1:4" x14ac:dyDescent="0.3">
      <c r="A822">
        <v>821</v>
      </c>
      <c r="B822" t="s">
        <v>1906</v>
      </c>
      <c r="C822" t="s">
        <v>1444</v>
      </c>
      <c r="D822" t="s">
        <v>1899</v>
      </c>
    </row>
    <row r="823" spans="1:4" x14ac:dyDescent="0.3">
      <c r="A823">
        <v>822</v>
      </c>
      <c r="B823" t="s">
        <v>1947</v>
      </c>
      <c r="C823" t="s">
        <v>1472</v>
      </c>
      <c r="D823" t="s">
        <v>1936</v>
      </c>
    </row>
    <row r="824" spans="1:4" x14ac:dyDescent="0.3">
      <c r="A824">
        <v>823</v>
      </c>
      <c r="B824" t="s">
        <v>1441</v>
      </c>
      <c r="C824" t="s">
        <v>1442</v>
      </c>
      <c r="D824" t="s">
        <v>1429</v>
      </c>
    </row>
    <row r="825" spans="1:4" x14ac:dyDescent="0.3">
      <c r="A825">
        <v>824</v>
      </c>
      <c r="B825" t="s">
        <v>2248</v>
      </c>
      <c r="C825" t="s">
        <v>2249</v>
      </c>
      <c r="D825" t="s">
        <v>2234</v>
      </c>
    </row>
    <row r="826" spans="1:4" x14ac:dyDescent="0.3">
      <c r="A826">
        <v>825</v>
      </c>
      <c r="B826" t="s">
        <v>2705</v>
      </c>
      <c r="C826" t="s">
        <v>1584</v>
      </c>
      <c r="D826" t="s">
        <v>2697</v>
      </c>
    </row>
    <row r="827" spans="1:4" x14ac:dyDescent="0.3">
      <c r="A827">
        <v>826</v>
      </c>
      <c r="B827" t="s">
        <v>1840</v>
      </c>
      <c r="C827" t="s">
        <v>1841</v>
      </c>
      <c r="D827" t="s">
        <v>1834</v>
      </c>
    </row>
    <row r="828" spans="1:4" x14ac:dyDescent="0.3">
      <c r="A828">
        <v>827</v>
      </c>
      <c r="B828" t="s">
        <v>2466</v>
      </c>
      <c r="C828" t="s">
        <v>1346</v>
      </c>
      <c r="D828" t="s">
        <v>2460</v>
      </c>
    </row>
    <row r="829" spans="1:4" x14ac:dyDescent="0.3">
      <c r="A829">
        <v>828</v>
      </c>
      <c r="B829" t="s">
        <v>2429</v>
      </c>
      <c r="C829" t="s">
        <v>2430</v>
      </c>
      <c r="D829" t="s">
        <v>2416</v>
      </c>
    </row>
    <row r="830" spans="1:4" x14ac:dyDescent="0.3">
      <c r="A830">
        <v>829</v>
      </c>
      <c r="B830" t="s">
        <v>2645</v>
      </c>
      <c r="C830" t="s">
        <v>1702</v>
      </c>
      <c r="D830" t="s">
        <v>2642</v>
      </c>
    </row>
    <row r="831" spans="1:4" x14ac:dyDescent="0.3">
      <c r="A831">
        <v>830</v>
      </c>
      <c r="B831" t="s">
        <v>2272</v>
      </c>
      <c r="C831" t="s">
        <v>1661</v>
      </c>
      <c r="D831" t="s">
        <v>2265</v>
      </c>
    </row>
    <row r="832" spans="1:4" x14ac:dyDescent="0.3">
      <c r="A832">
        <v>831</v>
      </c>
      <c r="B832" t="s">
        <v>1308</v>
      </c>
      <c r="C832" t="s">
        <v>1309</v>
      </c>
      <c r="D832" t="s">
        <v>1302</v>
      </c>
    </row>
    <row r="833" spans="1:4" x14ac:dyDescent="0.3">
      <c r="A833">
        <v>832</v>
      </c>
      <c r="B833" t="s">
        <v>1482</v>
      </c>
      <c r="C833" t="s">
        <v>1483</v>
      </c>
      <c r="D833" t="s">
        <v>1468</v>
      </c>
    </row>
    <row r="834" spans="1:4" x14ac:dyDescent="0.3">
      <c r="A834">
        <v>833</v>
      </c>
      <c r="B834" t="s">
        <v>2506</v>
      </c>
      <c r="C834" t="s">
        <v>1911</v>
      </c>
      <c r="D834" t="s">
        <v>2495</v>
      </c>
    </row>
    <row r="835" spans="1:4" x14ac:dyDescent="0.3">
      <c r="A835">
        <v>834</v>
      </c>
      <c r="B835" t="s">
        <v>1778</v>
      </c>
      <c r="C835" t="s">
        <v>1576</v>
      </c>
      <c r="D835" t="s">
        <v>1773</v>
      </c>
    </row>
    <row r="836" spans="1:4" x14ac:dyDescent="0.3">
      <c r="A836">
        <v>835</v>
      </c>
      <c r="B836" t="s">
        <v>2330</v>
      </c>
      <c r="C836" t="s">
        <v>1332</v>
      </c>
      <c r="D836" t="s">
        <v>2326</v>
      </c>
    </row>
    <row r="837" spans="1:4" x14ac:dyDescent="0.3">
      <c r="A837">
        <v>836</v>
      </c>
      <c r="B837" t="s">
        <v>1603</v>
      </c>
      <c r="C837" t="s">
        <v>1287</v>
      </c>
      <c r="D837" t="s">
        <v>1596</v>
      </c>
    </row>
    <row r="838" spans="1:4" x14ac:dyDescent="0.3">
      <c r="A838">
        <v>837</v>
      </c>
      <c r="B838" t="s">
        <v>2662</v>
      </c>
      <c r="C838" t="s">
        <v>2401</v>
      </c>
      <c r="D838" t="s">
        <v>2657</v>
      </c>
    </row>
    <row r="839" spans="1:4" x14ac:dyDescent="0.3">
      <c r="A839">
        <v>838</v>
      </c>
      <c r="B839" t="s">
        <v>1327</v>
      </c>
      <c r="C839" t="s">
        <v>1328</v>
      </c>
      <c r="D839" t="s">
        <v>1324</v>
      </c>
    </row>
    <row r="840" spans="1:4" x14ac:dyDescent="0.3">
      <c r="A840">
        <v>839</v>
      </c>
      <c r="B840" t="s">
        <v>1538</v>
      </c>
      <c r="C840" t="s">
        <v>1539</v>
      </c>
      <c r="D840" t="s">
        <v>1520</v>
      </c>
    </row>
    <row r="841" spans="1:4" x14ac:dyDescent="0.3">
      <c r="A841">
        <v>840</v>
      </c>
      <c r="B841" t="s">
        <v>1948</v>
      </c>
      <c r="C841" t="s">
        <v>1855</v>
      </c>
      <c r="D841" t="s">
        <v>1936</v>
      </c>
    </row>
    <row r="842" spans="1:4" x14ac:dyDescent="0.3">
      <c r="A842">
        <v>841</v>
      </c>
      <c r="B842" t="s">
        <v>2086</v>
      </c>
      <c r="C842" t="s">
        <v>1666</v>
      </c>
      <c r="D842" t="s">
        <v>2085</v>
      </c>
    </row>
    <row r="843" spans="1:4" x14ac:dyDescent="0.3">
      <c r="A843">
        <v>842</v>
      </c>
      <c r="B843" t="s">
        <v>2544</v>
      </c>
      <c r="C843" t="s">
        <v>2206</v>
      </c>
      <c r="D843" t="s">
        <v>2540</v>
      </c>
    </row>
    <row r="844" spans="1:4" x14ac:dyDescent="0.3">
      <c r="A844">
        <v>843</v>
      </c>
      <c r="B844" t="s">
        <v>1992</v>
      </c>
      <c r="C844" t="s">
        <v>1993</v>
      </c>
      <c r="D844" t="s">
        <v>1985</v>
      </c>
    </row>
    <row r="845" spans="1:4" x14ac:dyDescent="0.3">
      <c r="A845">
        <v>844</v>
      </c>
      <c r="B845" t="s">
        <v>2343</v>
      </c>
      <c r="C845" t="s">
        <v>1330</v>
      </c>
      <c r="D845" t="s">
        <v>2334</v>
      </c>
    </row>
    <row r="846" spans="1:4" x14ac:dyDescent="0.3">
      <c r="A846">
        <v>845</v>
      </c>
      <c r="B846" t="s">
        <v>2676</v>
      </c>
      <c r="C846" t="s">
        <v>1777</v>
      </c>
      <c r="D846" t="s">
        <v>2674</v>
      </c>
    </row>
    <row r="847" spans="1:4" x14ac:dyDescent="0.3">
      <c r="A847">
        <v>846</v>
      </c>
      <c r="B847" t="s">
        <v>2694</v>
      </c>
      <c r="C847" t="s">
        <v>1576</v>
      </c>
      <c r="D847" t="s">
        <v>2687</v>
      </c>
    </row>
    <row r="848" spans="1:4" x14ac:dyDescent="0.3">
      <c r="A848">
        <v>847</v>
      </c>
      <c r="B848" t="s">
        <v>2586</v>
      </c>
      <c r="C848" t="s">
        <v>2401</v>
      </c>
      <c r="D848" t="s">
        <v>2583</v>
      </c>
    </row>
    <row r="849" spans="1:4" x14ac:dyDescent="0.3">
      <c r="A849">
        <v>848</v>
      </c>
      <c r="B849" t="s">
        <v>1578</v>
      </c>
      <c r="C849" t="s">
        <v>1479</v>
      </c>
      <c r="D849" t="s">
        <v>1579</v>
      </c>
    </row>
    <row r="850" spans="1:4" x14ac:dyDescent="0.3">
      <c r="A850">
        <v>849</v>
      </c>
      <c r="B850" t="s">
        <v>1924</v>
      </c>
      <c r="C850" t="s">
        <v>1452</v>
      </c>
      <c r="D850" t="s">
        <v>1913</v>
      </c>
    </row>
    <row r="851" spans="1:4" x14ac:dyDescent="0.3">
      <c r="A851">
        <v>850</v>
      </c>
      <c r="B851" t="s">
        <v>1820</v>
      </c>
      <c r="C851" t="s">
        <v>1763</v>
      </c>
      <c r="D851" t="s">
        <v>1812</v>
      </c>
    </row>
    <row r="852" spans="1:4" x14ac:dyDescent="0.3">
      <c r="A852">
        <v>851</v>
      </c>
      <c r="B852" t="s">
        <v>2353</v>
      </c>
      <c r="C852" t="s">
        <v>2354</v>
      </c>
      <c r="D852" t="s">
        <v>2345</v>
      </c>
    </row>
    <row r="853" spans="1:4" x14ac:dyDescent="0.3">
      <c r="A853">
        <v>852</v>
      </c>
      <c r="B853" t="s">
        <v>2719</v>
      </c>
      <c r="C853" t="s">
        <v>2354</v>
      </c>
      <c r="D853" t="s">
        <v>2709</v>
      </c>
    </row>
    <row r="854" spans="1:4" x14ac:dyDescent="0.3">
      <c r="A854">
        <v>853</v>
      </c>
      <c r="B854" t="s">
        <v>1671</v>
      </c>
      <c r="C854" t="s">
        <v>1672</v>
      </c>
      <c r="D854" t="s">
        <v>1653</v>
      </c>
    </row>
    <row r="855" spans="1:4" x14ac:dyDescent="0.3">
      <c r="A855">
        <v>854</v>
      </c>
      <c r="B855" t="s">
        <v>1484</v>
      </c>
      <c r="C855" t="s">
        <v>1299</v>
      </c>
      <c r="D855" t="s">
        <v>1468</v>
      </c>
    </row>
    <row r="856" spans="1:4" x14ac:dyDescent="0.3">
      <c r="A856">
        <v>855</v>
      </c>
      <c r="B856" t="s">
        <v>2399</v>
      </c>
      <c r="C856" t="s">
        <v>1380</v>
      </c>
      <c r="D856" t="s">
        <v>2396</v>
      </c>
    </row>
    <row r="857" spans="1:4" x14ac:dyDescent="0.3">
      <c r="A857">
        <v>856</v>
      </c>
      <c r="B857" t="s">
        <v>2745</v>
      </c>
      <c r="C857" t="s">
        <v>1650</v>
      </c>
      <c r="D857" t="s">
        <v>2735</v>
      </c>
    </row>
    <row r="858" spans="1:4" x14ac:dyDescent="0.3">
      <c r="A858">
        <v>857</v>
      </c>
      <c r="B858" t="s">
        <v>1872</v>
      </c>
      <c r="C858" t="s">
        <v>1692</v>
      </c>
      <c r="D858" t="s">
        <v>1870</v>
      </c>
    </row>
    <row r="859" spans="1:4" x14ac:dyDescent="0.3">
      <c r="A859">
        <v>858</v>
      </c>
      <c r="B859" t="s">
        <v>2293</v>
      </c>
      <c r="C859" t="s">
        <v>1558</v>
      </c>
      <c r="D859" t="s">
        <v>2286</v>
      </c>
    </row>
    <row r="860" spans="1:4" x14ac:dyDescent="0.3">
      <c r="A860">
        <v>859</v>
      </c>
      <c r="B860" t="s">
        <v>1449</v>
      </c>
      <c r="C860" t="s">
        <v>1450</v>
      </c>
      <c r="D860" t="s">
        <v>1447</v>
      </c>
    </row>
    <row r="861" spans="1:4" x14ac:dyDescent="0.3">
      <c r="A861">
        <v>860</v>
      </c>
      <c r="B861" t="s">
        <v>2364</v>
      </c>
      <c r="C861" t="s">
        <v>2155</v>
      </c>
      <c r="D861" t="s">
        <v>2356</v>
      </c>
    </row>
    <row r="862" spans="1:4" x14ac:dyDescent="0.3">
      <c r="A862">
        <v>861</v>
      </c>
      <c r="B862" t="s">
        <v>1703</v>
      </c>
      <c r="C862" t="s">
        <v>1704</v>
      </c>
      <c r="D862" t="s">
        <v>1690</v>
      </c>
    </row>
    <row r="863" spans="1:4" x14ac:dyDescent="0.3">
      <c r="A863">
        <v>862</v>
      </c>
      <c r="B863" t="s">
        <v>1426</v>
      </c>
      <c r="C863" t="s">
        <v>1301</v>
      </c>
      <c r="D863" t="s">
        <v>1425</v>
      </c>
    </row>
    <row r="864" spans="1:4" x14ac:dyDescent="0.3">
      <c r="A864">
        <v>863</v>
      </c>
      <c r="B864" t="s">
        <v>2646</v>
      </c>
      <c r="C864" t="s">
        <v>2155</v>
      </c>
      <c r="D864" t="s">
        <v>2642</v>
      </c>
    </row>
    <row r="865" spans="1:4" x14ac:dyDescent="0.3">
      <c r="A865">
        <v>864</v>
      </c>
      <c r="B865" t="s">
        <v>2792</v>
      </c>
      <c r="C865" t="s">
        <v>2476</v>
      </c>
      <c r="D865" t="s">
        <v>2790</v>
      </c>
    </row>
    <row r="866" spans="1:4" x14ac:dyDescent="0.3">
      <c r="A866">
        <v>865</v>
      </c>
      <c r="B866" t="s">
        <v>2512</v>
      </c>
      <c r="C866" t="s">
        <v>1481</v>
      </c>
      <c r="D866" t="s">
        <v>2508</v>
      </c>
    </row>
    <row r="867" spans="1:4" x14ac:dyDescent="0.3">
      <c r="A867">
        <v>866</v>
      </c>
      <c r="B867" t="s">
        <v>1583</v>
      </c>
      <c r="C867" t="s">
        <v>1584</v>
      </c>
      <c r="D867" t="s">
        <v>1582</v>
      </c>
    </row>
    <row r="868" spans="1:4" x14ac:dyDescent="0.3">
      <c r="A868">
        <v>867</v>
      </c>
      <c r="B868" t="s">
        <v>2706</v>
      </c>
      <c r="C868" t="s">
        <v>1489</v>
      </c>
      <c r="D868" t="s">
        <v>2697</v>
      </c>
    </row>
    <row r="869" spans="1:4" x14ac:dyDescent="0.3">
      <c r="A869">
        <v>868</v>
      </c>
      <c r="B869" t="s">
        <v>2184</v>
      </c>
      <c r="C869" t="s">
        <v>1661</v>
      </c>
      <c r="D869" t="s">
        <v>2170</v>
      </c>
    </row>
    <row r="870" spans="1:4" x14ac:dyDescent="0.3">
      <c r="A870">
        <v>869</v>
      </c>
      <c r="B870" t="s">
        <v>1740</v>
      </c>
      <c r="C870" t="s">
        <v>1741</v>
      </c>
      <c r="D870" t="s">
        <v>1728</v>
      </c>
    </row>
    <row r="871" spans="1:4" x14ac:dyDescent="0.3">
      <c r="A871">
        <v>870</v>
      </c>
      <c r="B871" t="s">
        <v>1516</v>
      </c>
      <c r="C871" t="s">
        <v>1517</v>
      </c>
      <c r="D871" t="s">
        <v>1502</v>
      </c>
    </row>
    <row r="872" spans="1:4" x14ac:dyDescent="0.3">
      <c r="A872">
        <v>871</v>
      </c>
      <c r="B872" t="s">
        <v>2450</v>
      </c>
      <c r="C872" t="s">
        <v>1558</v>
      </c>
      <c r="D872" t="s">
        <v>2448</v>
      </c>
    </row>
    <row r="873" spans="1:4" x14ac:dyDescent="0.3">
      <c r="A873">
        <v>872</v>
      </c>
      <c r="B873" t="s">
        <v>1959</v>
      </c>
      <c r="C873" t="s">
        <v>1351</v>
      </c>
      <c r="D873" t="s">
        <v>1952</v>
      </c>
    </row>
    <row r="874" spans="1:4" x14ac:dyDescent="0.3">
      <c r="A874">
        <v>873</v>
      </c>
      <c r="B874" t="s">
        <v>1842</v>
      </c>
      <c r="C874" t="s">
        <v>1843</v>
      </c>
      <c r="D874" t="s">
        <v>1834</v>
      </c>
    </row>
    <row r="875" spans="1:4" x14ac:dyDescent="0.3">
      <c r="A875">
        <v>874</v>
      </c>
      <c r="B875" t="s">
        <v>2442</v>
      </c>
      <c r="C875" t="s">
        <v>2269</v>
      </c>
      <c r="D875" t="s">
        <v>2432</v>
      </c>
    </row>
    <row r="876" spans="1:4" x14ac:dyDescent="0.3">
      <c r="A876">
        <v>875</v>
      </c>
      <c r="B876" t="s">
        <v>1685</v>
      </c>
      <c r="C876" t="s">
        <v>1686</v>
      </c>
      <c r="D876" t="s">
        <v>1676</v>
      </c>
    </row>
    <row r="877" spans="1:4" x14ac:dyDescent="0.3">
      <c r="A877">
        <v>876</v>
      </c>
      <c r="B877" t="s">
        <v>1907</v>
      </c>
      <c r="C877" t="s">
        <v>1908</v>
      </c>
      <c r="D877" t="s">
        <v>1899</v>
      </c>
    </row>
    <row r="878" spans="1:4" x14ac:dyDescent="0.3">
      <c r="A878">
        <v>877</v>
      </c>
      <c r="B878" t="s">
        <v>2207</v>
      </c>
      <c r="C878" t="s">
        <v>1328</v>
      </c>
      <c r="D878" t="s">
        <v>2196</v>
      </c>
    </row>
    <row r="879" spans="1:4" x14ac:dyDescent="0.3">
      <c r="A879">
        <v>878</v>
      </c>
      <c r="B879" t="s">
        <v>2729</v>
      </c>
      <c r="C879" t="s">
        <v>1342</v>
      </c>
      <c r="D879" t="s">
        <v>2725</v>
      </c>
    </row>
    <row r="880" spans="1:4" x14ac:dyDescent="0.3">
      <c r="A880">
        <v>879</v>
      </c>
      <c r="B880" t="s">
        <v>2394</v>
      </c>
      <c r="C880" t="s">
        <v>1939</v>
      </c>
      <c r="D880" t="s">
        <v>2384</v>
      </c>
    </row>
    <row r="881" spans="1:4" x14ac:dyDescent="0.3">
      <c r="A881">
        <v>880</v>
      </c>
      <c r="B881" t="s">
        <v>1443</v>
      </c>
      <c r="C881" t="s">
        <v>1444</v>
      </c>
      <c r="D881" t="s">
        <v>1429</v>
      </c>
    </row>
    <row r="882" spans="1:4" x14ac:dyDescent="0.3">
      <c r="A882">
        <v>881</v>
      </c>
      <c r="B882" t="s">
        <v>2283</v>
      </c>
      <c r="C882" t="s">
        <v>2093</v>
      </c>
      <c r="D882" t="s">
        <v>2284</v>
      </c>
    </row>
    <row r="883" spans="1:4" x14ac:dyDescent="0.3">
      <c r="A883">
        <v>882</v>
      </c>
      <c r="B883" t="s">
        <v>1979</v>
      </c>
      <c r="C883" t="s">
        <v>1869</v>
      </c>
      <c r="D883" t="s">
        <v>1965</v>
      </c>
    </row>
    <row r="884" spans="1:4" x14ac:dyDescent="0.3">
      <c r="A884">
        <v>883</v>
      </c>
      <c r="B884" t="s">
        <v>1960</v>
      </c>
      <c r="C884" t="s">
        <v>1961</v>
      </c>
      <c r="D884" t="s">
        <v>1952</v>
      </c>
    </row>
    <row r="885" spans="1:4" x14ac:dyDescent="0.3">
      <c r="A885">
        <v>884</v>
      </c>
      <c r="B885" t="s">
        <v>2107</v>
      </c>
      <c r="C885" t="s">
        <v>1670</v>
      </c>
      <c r="D885" t="s">
        <v>2102</v>
      </c>
    </row>
    <row r="886" spans="1:4" x14ac:dyDescent="0.3">
      <c r="A886">
        <v>885</v>
      </c>
      <c r="B886" t="s">
        <v>1807</v>
      </c>
      <c r="C886" t="s">
        <v>1383</v>
      </c>
      <c r="D886" t="s">
        <v>1794</v>
      </c>
    </row>
    <row r="887" spans="1:4" x14ac:dyDescent="0.3">
      <c r="A887">
        <v>886</v>
      </c>
      <c r="B887" t="s">
        <v>1604</v>
      </c>
      <c r="C887" t="s">
        <v>1476</v>
      </c>
      <c r="D887" t="s">
        <v>1596</v>
      </c>
    </row>
    <row r="888" spans="1:4" x14ac:dyDescent="0.3">
      <c r="A888">
        <v>887</v>
      </c>
      <c r="B888" t="s">
        <v>2082</v>
      </c>
      <c r="C888" t="s">
        <v>1474</v>
      </c>
      <c r="D888" t="s">
        <v>2078</v>
      </c>
    </row>
    <row r="889" spans="1:4" x14ac:dyDescent="0.3">
      <c r="A889">
        <v>888</v>
      </c>
      <c r="B889" t="s">
        <v>2008</v>
      </c>
      <c r="C889" t="s">
        <v>1318</v>
      </c>
      <c r="D889" t="s">
        <v>2007</v>
      </c>
    </row>
    <row r="890" spans="1:4" x14ac:dyDescent="0.3">
      <c r="A890">
        <v>889</v>
      </c>
      <c r="B890" t="s">
        <v>2185</v>
      </c>
      <c r="C890" t="s">
        <v>2165</v>
      </c>
      <c r="D890" t="s">
        <v>2170</v>
      </c>
    </row>
    <row r="891" spans="1:4" x14ac:dyDescent="0.3">
      <c r="A891">
        <v>890</v>
      </c>
      <c r="B891" t="s">
        <v>1540</v>
      </c>
      <c r="C891" t="s">
        <v>1541</v>
      </c>
      <c r="D891" t="s">
        <v>1520</v>
      </c>
    </row>
    <row r="892" spans="1:4" x14ac:dyDescent="0.3">
      <c r="A892">
        <v>891</v>
      </c>
      <c r="B892" t="s">
        <v>2695</v>
      </c>
      <c r="C892" t="s">
        <v>2033</v>
      </c>
      <c r="D892" t="s">
        <v>2687</v>
      </c>
    </row>
    <row r="893" spans="1:4" x14ac:dyDescent="0.3">
      <c r="A893">
        <v>892</v>
      </c>
      <c r="B893" t="s">
        <v>1341</v>
      </c>
      <c r="C893" t="s">
        <v>1342</v>
      </c>
      <c r="D893" t="s">
        <v>1338</v>
      </c>
    </row>
    <row r="894" spans="1:4" x14ac:dyDescent="0.3">
      <c r="A894">
        <v>893</v>
      </c>
      <c r="B894" t="s">
        <v>2294</v>
      </c>
      <c r="C894" t="s">
        <v>2295</v>
      </c>
      <c r="D894" t="s">
        <v>2286</v>
      </c>
    </row>
    <row r="895" spans="1:4" x14ac:dyDescent="0.3">
      <c r="A895">
        <v>894</v>
      </c>
      <c r="B895" t="s">
        <v>1722</v>
      </c>
      <c r="C895" t="s">
        <v>1723</v>
      </c>
      <c r="D895" t="s">
        <v>1719</v>
      </c>
    </row>
    <row r="896" spans="1:4" x14ac:dyDescent="0.3">
      <c r="A896">
        <v>895</v>
      </c>
      <c r="B896" t="s">
        <v>1575</v>
      </c>
      <c r="C896" t="s">
        <v>1576</v>
      </c>
      <c r="D896" t="s">
        <v>1577</v>
      </c>
    </row>
    <row r="897" spans="1:4" x14ac:dyDescent="0.3">
      <c r="A897">
        <v>896</v>
      </c>
      <c r="B897" t="s">
        <v>2146</v>
      </c>
      <c r="C897" t="s">
        <v>1770</v>
      </c>
      <c r="D897" t="s">
        <v>2142</v>
      </c>
    </row>
    <row r="898" spans="1:4" x14ac:dyDescent="0.3">
      <c r="A898">
        <v>897</v>
      </c>
      <c r="B898" t="s">
        <v>1605</v>
      </c>
      <c r="C898" t="s">
        <v>1606</v>
      </c>
      <c r="D898" t="s">
        <v>1596</v>
      </c>
    </row>
    <row r="899" spans="1:4" x14ac:dyDescent="0.3">
      <c r="A899">
        <v>898</v>
      </c>
      <c r="B899" t="s">
        <v>2520</v>
      </c>
      <c r="C899" t="s">
        <v>1702</v>
      </c>
      <c r="D899" t="s">
        <v>2515</v>
      </c>
    </row>
    <row r="900" spans="1:4" x14ac:dyDescent="0.3">
      <c r="A900">
        <v>899</v>
      </c>
      <c r="B900" t="s">
        <v>2087</v>
      </c>
      <c r="C900" t="s">
        <v>1897</v>
      </c>
      <c r="D900" t="s">
        <v>2085</v>
      </c>
    </row>
    <row r="901" spans="1:4" x14ac:dyDescent="0.3">
      <c r="A901">
        <v>900</v>
      </c>
      <c r="B901" t="s">
        <v>1755</v>
      </c>
      <c r="C901" t="s">
        <v>1493</v>
      </c>
      <c r="D901" t="s">
        <v>1746</v>
      </c>
    </row>
    <row r="902" spans="1:4" x14ac:dyDescent="0.3">
      <c r="A902">
        <v>901</v>
      </c>
      <c r="B902" t="s">
        <v>2365</v>
      </c>
      <c r="C902" t="s">
        <v>1617</v>
      </c>
      <c r="D902" t="s">
        <v>2356</v>
      </c>
    </row>
    <row r="903" spans="1:4" x14ac:dyDescent="0.3">
      <c r="A903">
        <v>902</v>
      </c>
      <c r="B903" t="s">
        <v>2308</v>
      </c>
      <c r="C903" t="s">
        <v>1581</v>
      </c>
      <c r="D903" t="s">
        <v>2301</v>
      </c>
    </row>
    <row r="904" spans="1:4" x14ac:dyDescent="0.3">
      <c r="A904">
        <v>903</v>
      </c>
      <c r="B904" t="s">
        <v>1461</v>
      </c>
      <c r="C904" t="s">
        <v>1462</v>
      </c>
      <c r="D904" t="s">
        <v>1453</v>
      </c>
    </row>
    <row r="905" spans="1:4" x14ac:dyDescent="0.3">
      <c r="A905">
        <v>904</v>
      </c>
      <c r="B905" t="s">
        <v>2324</v>
      </c>
      <c r="C905" t="s">
        <v>1392</v>
      </c>
      <c r="D905" t="s">
        <v>2310</v>
      </c>
    </row>
    <row r="906" spans="1:4" x14ac:dyDescent="0.3">
      <c r="A906">
        <v>905</v>
      </c>
      <c r="B906" t="s">
        <v>2208</v>
      </c>
      <c r="C906" t="s">
        <v>1400</v>
      </c>
      <c r="D906" t="s">
        <v>2196</v>
      </c>
    </row>
    <row r="907" spans="1:4" x14ac:dyDescent="0.3">
      <c r="A907">
        <v>906</v>
      </c>
      <c r="B907" t="s">
        <v>1895</v>
      </c>
      <c r="C907" t="s">
        <v>1372</v>
      </c>
      <c r="D907" t="s">
        <v>1886</v>
      </c>
    </row>
    <row r="908" spans="1:4" x14ac:dyDescent="0.3">
      <c r="A908">
        <v>907</v>
      </c>
      <c r="B908" t="s">
        <v>1782</v>
      </c>
      <c r="C908" t="s">
        <v>1309</v>
      </c>
      <c r="D908" t="s">
        <v>1780</v>
      </c>
    </row>
    <row r="909" spans="1:4" x14ac:dyDescent="0.3">
      <c r="A909">
        <v>908</v>
      </c>
      <c r="B909" t="s">
        <v>2600</v>
      </c>
      <c r="C909" t="s">
        <v>1598</v>
      </c>
      <c r="D909" t="s">
        <v>2599</v>
      </c>
    </row>
    <row r="910" spans="1:4" x14ac:dyDescent="0.3">
      <c r="A910">
        <v>909</v>
      </c>
      <c r="B910" t="s">
        <v>1756</v>
      </c>
      <c r="C910" t="s">
        <v>1566</v>
      </c>
      <c r="D910" t="s">
        <v>1746</v>
      </c>
    </row>
    <row r="911" spans="1:4" x14ac:dyDescent="0.3">
      <c r="A911">
        <v>910</v>
      </c>
      <c r="B911" t="s">
        <v>2038</v>
      </c>
      <c r="C911" t="s">
        <v>1483</v>
      </c>
      <c r="D911" t="s">
        <v>2031</v>
      </c>
    </row>
    <row r="912" spans="1:4" x14ac:dyDescent="0.3">
      <c r="A912">
        <v>911</v>
      </c>
      <c r="B912" t="s">
        <v>1896</v>
      </c>
      <c r="C912" t="s">
        <v>1897</v>
      </c>
      <c r="D912" t="s">
        <v>1886</v>
      </c>
    </row>
    <row r="913" spans="1:4" x14ac:dyDescent="0.3">
      <c r="A913">
        <v>912</v>
      </c>
      <c r="B913" t="s">
        <v>1859</v>
      </c>
      <c r="C913" t="s">
        <v>1860</v>
      </c>
      <c r="D913" t="s">
        <v>1845</v>
      </c>
    </row>
    <row r="914" spans="1:4" x14ac:dyDescent="0.3">
      <c r="A914">
        <v>913</v>
      </c>
      <c r="B914" t="s">
        <v>2720</v>
      </c>
      <c r="C914" t="s">
        <v>2713</v>
      </c>
      <c r="D914" t="s">
        <v>2709</v>
      </c>
    </row>
    <row r="915" spans="1:4" x14ac:dyDescent="0.3">
      <c r="A915">
        <v>914</v>
      </c>
      <c r="B915" t="s">
        <v>1909</v>
      </c>
      <c r="C915" t="s">
        <v>1524</v>
      </c>
      <c r="D915" t="s">
        <v>1899</v>
      </c>
    </row>
    <row r="916" spans="1:4" x14ac:dyDescent="0.3">
      <c r="A916">
        <v>915</v>
      </c>
      <c r="B916" t="s">
        <v>2769</v>
      </c>
      <c r="C916" t="s">
        <v>1414</v>
      </c>
      <c r="D916" t="s">
        <v>2763</v>
      </c>
    </row>
    <row r="917" spans="1:4" x14ac:dyDescent="0.3">
      <c r="A917">
        <v>916</v>
      </c>
      <c r="B917" t="s">
        <v>1742</v>
      </c>
      <c r="C917" t="s">
        <v>1638</v>
      </c>
      <c r="D917" t="s">
        <v>1728</v>
      </c>
    </row>
    <row r="918" spans="1:4" x14ac:dyDescent="0.3">
      <c r="A918">
        <v>917</v>
      </c>
      <c r="B918" t="s">
        <v>2100</v>
      </c>
      <c r="C918" t="s">
        <v>1452</v>
      </c>
      <c r="D918" t="s">
        <v>2097</v>
      </c>
    </row>
    <row r="919" spans="1:4" x14ac:dyDescent="0.3">
      <c r="A919">
        <v>918</v>
      </c>
      <c r="B919" t="s">
        <v>2521</v>
      </c>
      <c r="C919" t="s">
        <v>1993</v>
      </c>
      <c r="D919" t="s">
        <v>2515</v>
      </c>
    </row>
    <row r="920" spans="1:4" x14ac:dyDescent="0.3">
      <c r="A920">
        <v>919</v>
      </c>
      <c r="B920" t="s">
        <v>1542</v>
      </c>
      <c r="C920" t="s">
        <v>1543</v>
      </c>
      <c r="D920" t="s">
        <v>1520</v>
      </c>
    </row>
    <row r="921" spans="1:4" x14ac:dyDescent="0.3">
      <c r="A921">
        <v>920</v>
      </c>
      <c r="B921" t="s">
        <v>1548</v>
      </c>
      <c r="C921" t="s">
        <v>1549</v>
      </c>
      <c r="D921" t="s">
        <v>1547</v>
      </c>
    </row>
    <row r="922" spans="1:4" x14ac:dyDescent="0.3">
      <c r="A922">
        <v>921</v>
      </c>
      <c r="B922" t="s">
        <v>2522</v>
      </c>
      <c r="C922" t="s">
        <v>1295</v>
      </c>
      <c r="D922" t="s">
        <v>2515</v>
      </c>
    </row>
    <row r="923" spans="1:4" x14ac:dyDescent="0.3">
      <c r="A923">
        <v>922</v>
      </c>
      <c r="B923" t="s">
        <v>2481</v>
      </c>
      <c r="C923" t="s">
        <v>2482</v>
      </c>
      <c r="D923" t="s">
        <v>2474</v>
      </c>
    </row>
    <row r="924" spans="1:4" x14ac:dyDescent="0.3">
      <c r="A924">
        <v>923</v>
      </c>
      <c r="B924" t="s">
        <v>2039</v>
      </c>
      <c r="C924" t="s">
        <v>1954</v>
      </c>
      <c r="D924" t="s">
        <v>2031</v>
      </c>
    </row>
    <row r="925" spans="1:4" x14ac:dyDescent="0.3">
      <c r="A925">
        <v>924</v>
      </c>
      <c r="B925" t="s">
        <v>2557</v>
      </c>
      <c r="C925" t="s">
        <v>2021</v>
      </c>
      <c r="D925" t="s">
        <v>2554</v>
      </c>
    </row>
    <row r="926" spans="1:4" x14ac:dyDescent="0.3">
      <c r="A926">
        <v>925</v>
      </c>
      <c r="B926" t="s">
        <v>1298</v>
      </c>
      <c r="C926" t="s">
        <v>1299</v>
      </c>
      <c r="D926" t="s">
        <v>1277</v>
      </c>
    </row>
    <row r="927" spans="1:4" x14ac:dyDescent="0.3">
      <c r="A927">
        <v>926</v>
      </c>
      <c r="B927" t="s">
        <v>1783</v>
      </c>
      <c r="C927" t="s">
        <v>1417</v>
      </c>
      <c r="D927" t="s">
        <v>1780</v>
      </c>
    </row>
    <row r="928" spans="1:4" x14ac:dyDescent="0.3">
      <c r="A928">
        <v>927</v>
      </c>
      <c r="B928" t="s">
        <v>2186</v>
      </c>
      <c r="C928" t="s">
        <v>1335</v>
      </c>
      <c r="D928" t="s">
        <v>2170</v>
      </c>
    </row>
    <row r="929" spans="1:4" x14ac:dyDescent="0.3">
      <c r="A929">
        <v>928</v>
      </c>
      <c r="B929" t="s">
        <v>2296</v>
      </c>
      <c r="C929" t="s">
        <v>2297</v>
      </c>
      <c r="D929" t="s">
        <v>2286</v>
      </c>
    </row>
    <row r="930" spans="1:4" x14ac:dyDescent="0.3">
      <c r="A930">
        <v>929</v>
      </c>
      <c r="B930" t="s">
        <v>2672</v>
      </c>
      <c r="C930" t="s">
        <v>1656</v>
      </c>
      <c r="D930" t="s">
        <v>2664</v>
      </c>
    </row>
    <row r="931" spans="1:4" x14ac:dyDescent="0.3">
      <c r="A931">
        <v>930</v>
      </c>
      <c r="B931" t="s">
        <v>2413</v>
      </c>
      <c r="C931" t="s">
        <v>1850</v>
      </c>
      <c r="D931" t="s">
        <v>2409</v>
      </c>
    </row>
    <row r="932" spans="1:4" x14ac:dyDescent="0.3">
      <c r="A932">
        <v>931</v>
      </c>
      <c r="B932" t="s">
        <v>2721</v>
      </c>
      <c r="C932" t="s">
        <v>2096</v>
      </c>
      <c r="D932" t="s">
        <v>2709</v>
      </c>
    </row>
    <row r="933" spans="1:4" x14ac:dyDescent="0.3">
      <c r="A933">
        <v>932</v>
      </c>
      <c r="B933" t="s">
        <v>2088</v>
      </c>
      <c r="C933" t="s">
        <v>2089</v>
      </c>
      <c r="D933" t="s">
        <v>2085</v>
      </c>
    </row>
    <row r="934" spans="1:4" x14ac:dyDescent="0.3">
      <c r="A934">
        <v>933</v>
      </c>
      <c r="B934" t="s">
        <v>1463</v>
      </c>
      <c r="C934" t="s">
        <v>1464</v>
      </c>
      <c r="D934" t="s">
        <v>1453</v>
      </c>
    </row>
    <row r="935" spans="1:4" x14ac:dyDescent="0.3">
      <c r="A935">
        <v>934</v>
      </c>
      <c r="B935" t="s">
        <v>2381</v>
      </c>
      <c r="C935" t="s">
        <v>2374</v>
      </c>
      <c r="D935" t="s">
        <v>2379</v>
      </c>
    </row>
    <row r="936" spans="1:4" x14ac:dyDescent="0.3">
      <c r="A936">
        <v>935</v>
      </c>
      <c r="B936" t="s">
        <v>1343</v>
      </c>
      <c r="C936" t="s">
        <v>1344</v>
      </c>
      <c r="D936" t="s">
        <v>1338</v>
      </c>
    </row>
    <row r="937" spans="1:4" x14ac:dyDescent="0.3">
      <c r="A937">
        <v>936</v>
      </c>
      <c r="B937" t="s">
        <v>2014</v>
      </c>
      <c r="C937" t="s">
        <v>1476</v>
      </c>
      <c r="D937" t="s">
        <v>2010</v>
      </c>
    </row>
    <row r="938" spans="1:4" x14ac:dyDescent="0.3">
      <c r="A938">
        <v>937</v>
      </c>
      <c r="B938" t="s">
        <v>2471</v>
      </c>
      <c r="C938" t="s">
        <v>1367</v>
      </c>
      <c r="D938" t="s">
        <v>2469</v>
      </c>
    </row>
    <row r="939" spans="1:4" x14ac:dyDescent="0.3">
      <c r="A939">
        <v>938</v>
      </c>
      <c r="B939" t="s">
        <v>1366</v>
      </c>
      <c r="C939" t="s">
        <v>1367</v>
      </c>
      <c r="D939" t="s">
        <v>1363</v>
      </c>
    </row>
    <row r="940" spans="1:4" x14ac:dyDescent="0.3">
      <c r="A940">
        <v>939</v>
      </c>
      <c r="B940" t="s">
        <v>1630</v>
      </c>
      <c r="C940" t="s">
        <v>1631</v>
      </c>
      <c r="D940" t="s">
        <v>1615</v>
      </c>
    </row>
    <row r="941" spans="1:4" x14ac:dyDescent="0.3">
      <c r="A941">
        <v>940</v>
      </c>
      <c r="B941" t="s">
        <v>2231</v>
      </c>
      <c r="C941" t="s">
        <v>2093</v>
      </c>
      <c r="D941" t="s">
        <v>2219</v>
      </c>
    </row>
    <row r="942" spans="1:4" x14ac:dyDescent="0.3">
      <c r="A942">
        <v>941</v>
      </c>
      <c r="B942" t="s">
        <v>1980</v>
      </c>
      <c r="C942" t="s">
        <v>1981</v>
      </c>
      <c r="D942" t="s">
        <v>1965</v>
      </c>
    </row>
    <row r="943" spans="1:4" x14ac:dyDescent="0.3">
      <c r="A943">
        <v>942</v>
      </c>
      <c r="B943" t="s">
        <v>2591</v>
      </c>
      <c r="C943" t="s">
        <v>2093</v>
      </c>
      <c r="D943" t="s">
        <v>2589</v>
      </c>
    </row>
    <row r="944" spans="1:4" x14ac:dyDescent="0.3">
      <c r="A944">
        <v>943</v>
      </c>
      <c r="B944" t="s">
        <v>1757</v>
      </c>
      <c r="C944" t="s">
        <v>1332</v>
      </c>
      <c r="D944" t="s">
        <v>1746</v>
      </c>
    </row>
    <row r="945" spans="1:4" x14ac:dyDescent="0.3">
      <c r="A945">
        <v>944</v>
      </c>
      <c r="B945" t="s">
        <v>2331</v>
      </c>
      <c r="C945" t="s">
        <v>1546</v>
      </c>
      <c r="D945" t="s">
        <v>2326</v>
      </c>
    </row>
    <row r="946" spans="1:4" x14ac:dyDescent="0.3">
      <c r="A946">
        <v>945</v>
      </c>
      <c r="B946" t="s">
        <v>2137</v>
      </c>
      <c r="C946" t="s">
        <v>1736</v>
      </c>
      <c r="D946" t="s">
        <v>2125</v>
      </c>
    </row>
    <row r="947" spans="1:4" x14ac:dyDescent="0.3">
      <c r="A947">
        <v>946</v>
      </c>
      <c r="B947" t="s">
        <v>1550</v>
      </c>
      <c r="C947" t="s">
        <v>1551</v>
      </c>
      <c r="D947" t="s">
        <v>1547</v>
      </c>
    </row>
    <row r="948" spans="1:4" x14ac:dyDescent="0.3">
      <c r="A948">
        <v>947</v>
      </c>
      <c r="B948" t="s">
        <v>1962</v>
      </c>
      <c r="C948" t="s">
        <v>1963</v>
      </c>
      <c r="D948" t="s">
        <v>1952</v>
      </c>
    </row>
    <row r="949" spans="1:4" x14ac:dyDescent="0.3">
      <c r="A949">
        <v>948</v>
      </c>
      <c r="B949" t="s">
        <v>2730</v>
      </c>
      <c r="C949" t="s">
        <v>1340</v>
      </c>
      <c r="D949" t="s">
        <v>2725</v>
      </c>
    </row>
    <row r="950" spans="1:4" x14ac:dyDescent="0.3">
      <c r="A950">
        <v>949</v>
      </c>
      <c r="B950" t="s">
        <v>2400</v>
      </c>
      <c r="C950" t="s">
        <v>2401</v>
      </c>
      <c r="D950" t="s">
        <v>2396</v>
      </c>
    </row>
    <row r="951" spans="1:4" x14ac:dyDescent="0.3">
      <c r="A951">
        <v>950</v>
      </c>
      <c r="B951" t="s">
        <v>1743</v>
      </c>
      <c r="C951" t="s">
        <v>1606</v>
      </c>
      <c r="D951" t="s">
        <v>1728</v>
      </c>
    </row>
    <row r="952" spans="1:4" x14ac:dyDescent="0.3">
      <c r="A952">
        <v>951</v>
      </c>
      <c r="B952" t="s">
        <v>1997</v>
      </c>
      <c r="C952" t="s">
        <v>1998</v>
      </c>
      <c r="D952" t="s">
        <v>1996</v>
      </c>
    </row>
    <row r="953" spans="1:4" x14ac:dyDescent="0.3">
      <c r="A953">
        <v>952</v>
      </c>
      <c r="B953" t="s">
        <v>2746</v>
      </c>
      <c r="C953" t="s">
        <v>2747</v>
      </c>
      <c r="D953" t="s">
        <v>2735</v>
      </c>
    </row>
    <row r="954" spans="1:4" x14ac:dyDescent="0.3">
      <c r="A954">
        <v>953</v>
      </c>
      <c r="B954" t="s">
        <v>1705</v>
      </c>
      <c r="C954" t="s">
        <v>1706</v>
      </c>
      <c r="D954" t="s">
        <v>1690</v>
      </c>
    </row>
    <row r="955" spans="1:4" x14ac:dyDescent="0.3">
      <c r="A955">
        <v>954</v>
      </c>
      <c r="B955" t="s">
        <v>2750</v>
      </c>
      <c r="C955" t="s">
        <v>2415</v>
      </c>
      <c r="D955" t="s">
        <v>2749</v>
      </c>
    </row>
    <row r="956" spans="1:4" x14ac:dyDescent="0.3">
      <c r="A956">
        <v>955</v>
      </c>
      <c r="B956" t="s">
        <v>1716</v>
      </c>
      <c r="C956" t="s">
        <v>1717</v>
      </c>
      <c r="D956" t="s">
        <v>1713</v>
      </c>
    </row>
    <row r="957" spans="1:4" x14ac:dyDescent="0.3">
      <c r="A957">
        <v>956</v>
      </c>
      <c r="B957" t="s">
        <v>2523</v>
      </c>
      <c r="C957" t="s">
        <v>1511</v>
      </c>
      <c r="D957" t="s">
        <v>2515</v>
      </c>
    </row>
    <row r="958" spans="1:4" x14ac:dyDescent="0.3">
      <c r="A958">
        <v>957</v>
      </c>
      <c r="B958" t="s">
        <v>2731</v>
      </c>
      <c r="C958" t="s">
        <v>1689</v>
      </c>
      <c r="D958" t="s">
        <v>2725</v>
      </c>
    </row>
    <row r="959" spans="1:4" x14ac:dyDescent="0.3">
      <c r="A959">
        <v>958</v>
      </c>
      <c r="B959" t="s">
        <v>1808</v>
      </c>
      <c r="C959" t="s">
        <v>1541</v>
      </c>
      <c r="D959" t="s">
        <v>1794</v>
      </c>
    </row>
    <row r="960" spans="1:4" x14ac:dyDescent="0.3">
      <c r="A960">
        <v>959</v>
      </c>
      <c r="B960" t="s">
        <v>2168</v>
      </c>
      <c r="C960" t="s">
        <v>1935</v>
      </c>
      <c r="D960" t="s">
        <v>2159</v>
      </c>
    </row>
    <row r="961" spans="1:4" x14ac:dyDescent="0.3">
      <c r="A961">
        <v>960</v>
      </c>
      <c r="B961" t="s">
        <v>2707</v>
      </c>
      <c r="C961" t="s">
        <v>2255</v>
      </c>
      <c r="D961" t="s">
        <v>2697</v>
      </c>
    </row>
    <row r="962" spans="1:4" x14ac:dyDescent="0.3">
      <c r="A962">
        <v>961</v>
      </c>
      <c r="B962" t="s">
        <v>1544</v>
      </c>
      <c r="C962" t="s">
        <v>1511</v>
      </c>
      <c r="D962" t="s">
        <v>1520</v>
      </c>
    </row>
    <row r="963" spans="1:4" x14ac:dyDescent="0.3">
      <c r="A963">
        <v>962</v>
      </c>
      <c r="B963" t="s">
        <v>1994</v>
      </c>
      <c r="C963" t="s">
        <v>1987</v>
      </c>
      <c r="D963" t="s">
        <v>1985</v>
      </c>
    </row>
    <row r="964" spans="1:4" x14ac:dyDescent="0.3">
      <c r="A964">
        <v>963</v>
      </c>
      <c r="B964" t="s">
        <v>2157</v>
      </c>
      <c r="C964" t="s">
        <v>1295</v>
      </c>
      <c r="D964" t="s">
        <v>2148</v>
      </c>
    </row>
    <row r="965" spans="1:4" x14ac:dyDescent="0.3">
      <c r="A965">
        <v>964</v>
      </c>
      <c r="B965" t="s">
        <v>2332</v>
      </c>
      <c r="C965" t="s">
        <v>2247</v>
      </c>
      <c r="D965" t="s">
        <v>2326</v>
      </c>
    </row>
    <row r="966" spans="1:4" x14ac:dyDescent="0.3">
      <c r="A966">
        <v>965</v>
      </c>
      <c r="B966" t="s">
        <v>2138</v>
      </c>
      <c r="C966" t="s">
        <v>1869</v>
      </c>
      <c r="D966" t="s">
        <v>2125</v>
      </c>
    </row>
    <row r="967" spans="1:4" x14ac:dyDescent="0.3">
      <c r="A967">
        <v>966</v>
      </c>
      <c r="B967" t="s">
        <v>1758</v>
      </c>
      <c r="C967" t="s">
        <v>1511</v>
      </c>
      <c r="D967" t="s">
        <v>1746</v>
      </c>
    </row>
    <row r="968" spans="1:4" x14ac:dyDescent="0.3">
      <c r="A968">
        <v>967</v>
      </c>
      <c r="B968" t="s">
        <v>1949</v>
      </c>
      <c r="C968" t="s">
        <v>1950</v>
      </c>
      <c r="D968" t="s">
        <v>1936</v>
      </c>
    </row>
    <row r="969" spans="1:4" x14ac:dyDescent="0.3">
      <c r="A969">
        <v>968</v>
      </c>
      <c r="B969" t="s">
        <v>2273</v>
      </c>
      <c r="C969" t="s">
        <v>2255</v>
      </c>
      <c r="D969" t="s">
        <v>2265</v>
      </c>
    </row>
    <row r="970" spans="1:4" x14ac:dyDescent="0.3">
      <c r="A970">
        <v>969</v>
      </c>
      <c r="B970" t="s">
        <v>2732</v>
      </c>
      <c r="C970" t="s">
        <v>1402</v>
      </c>
      <c r="D970" t="s">
        <v>2725</v>
      </c>
    </row>
    <row r="971" spans="1:4" x14ac:dyDescent="0.3">
      <c r="A971">
        <v>970</v>
      </c>
      <c r="B971" t="s">
        <v>2108</v>
      </c>
      <c r="C971" t="s">
        <v>1533</v>
      </c>
      <c r="D971" t="s">
        <v>2102</v>
      </c>
    </row>
    <row r="972" spans="1:4" x14ac:dyDescent="0.3">
      <c r="A972">
        <v>971</v>
      </c>
      <c r="B972" t="s">
        <v>2122</v>
      </c>
      <c r="C972" t="s">
        <v>1700</v>
      </c>
      <c r="D972" t="s">
        <v>2110</v>
      </c>
    </row>
    <row r="973" spans="1:4" x14ac:dyDescent="0.3">
      <c r="A973">
        <v>972</v>
      </c>
      <c r="B973" t="s">
        <v>1826</v>
      </c>
      <c r="C973" t="s">
        <v>1827</v>
      </c>
      <c r="D973" t="s">
        <v>1824</v>
      </c>
    </row>
    <row r="974" spans="1:4" x14ac:dyDescent="0.3">
      <c r="A974">
        <v>973</v>
      </c>
      <c r="B974" t="s">
        <v>2568</v>
      </c>
      <c r="C974" t="s">
        <v>1295</v>
      </c>
      <c r="D974" t="s">
        <v>2560</v>
      </c>
    </row>
    <row r="975" spans="1:4" x14ac:dyDescent="0.3">
      <c r="A975">
        <v>974</v>
      </c>
      <c r="B975" t="s">
        <v>2733</v>
      </c>
      <c r="C975" t="s">
        <v>2497</v>
      </c>
      <c r="D975" t="s">
        <v>2725</v>
      </c>
    </row>
    <row r="976" spans="1:4" x14ac:dyDescent="0.3">
      <c r="A976">
        <v>975</v>
      </c>
      <c r="B976" t="s">
        <v>2569</v>
      </c>
      <c r="C976" t="s">
        <v>1620</v>
      </c>
      <c r="D976" t="s">
        <v>2560</v>
      </c>
    </row>
    <row r="977" spans="1:4" x14ac:dyDescent="0.3">
      <c r="A977">
        <v>976</v>
      </c>
      <c r="B977" t="s">
        <v>2493</v>
      </c>
      <c r="C977" t="s">
        <v>1495</v>
      </c>
      <c r="D977" t="s">
        <v>2489</v>
      </c>
    </row>
    <row r="978" spans="1:4" x14ac:dyDescent="0.3">
      <c r="A978">
        <v>977</v>
      </c>
      <c r="B978" t="s">
        <v>1409</v>
      </c>
      <c r="C978" t="s">
        <v>1287</v>
      </c>
      <c r="D978" t="s">
        <v>1410</v>
      </c>
    </row>
    <row r="979" spans="1:4" x14ac:dyDescent="0.3">
      <c r="A979">
        <v>978</v>
      </c>
      <c r="B979" t="s">
        <v>2371</v>
      </c>
      <c r="C979" t="s">
        <v>2372</v>
      </c>
      <c r="D979" t="s">
        <v>2370</v>
      </c>
    </row>
    <row r="980" spans="1:4" x14ac:dyDescent="0.3">
      <c r="A980">
        <v>979</v>
      </c>
      <c r="B980" t="s">
        <v>2684</v>
      </c>
      <c r="C980" t="s">
        <v>1493</v>
      </c>
      <c r="D980" t="s">
        <v>2685</v>
      </c>
    </row>
    <row r="981" spans="1:4" x14ac:dyDescent="0.3">
      <c r="A981">
        <v>980</v>
      </c>
      <c r="B981" t="s">
        <v>1465</v>
      </c>
      <c r="C981" t="s">
        <v>1295</v>
      </c>
      <c r="D981" t="s">
        <v>1453</v>
      </c>
    </row>
    <row r="982" spans="1:4" x14ac:dyDescent="0.3">
      <c r="A982">
        <v>981</v>
      </c>
      <c r="B982" t="s">
        <v>2298</v>
      </c>
      <c r="C982" t="s">
        <v>1440</v>
      </c>
      <c r="D982" t="s">
        <v>2286</v>
      </c>
    </row>
    <row r="983" spans="1:4" x14ac:dyDescent="0.3">
      <c r="A983">
        <v>982</v>
      </c>
      <c r="B983" t="s">
        <v>1861</v>
      </c>
      <c r="C983" t="s">
        <v>1682</v>
      </c>
      <c r="D983" t="s">
        <v>1845</v>
      </c>
    </row>
    <row r="984" spans="1:4" x14ac:dyDescent="0.3">
      <c r="A984">
        <v>983</v>
      </c>
      <c r="B984" t="s">
        <v>1411</v>
      </c>
      <c r="C984" t="s">
        <v>1412</v>
      </c>
      <c r="D984" t="s">
        <v>1410</v>
      </c>
    </row>
    <row r="985" spans="1:4" x14ac:dyDescent="0.3">
      <c r="A985">
        <v>984</v>
      </c>
      <c r="B985" t="s">
        <v>1673</v>
      </c>
      <c r="C985" t="s">
        <v>1674</v>
      </c>
      <c r="D985" t="s">
        <v>1653</v>
      </c>
    </row>
    <row r="986" spans="1:4" x14ac:dyDescent="0.3">
      <c r="A986">
        <v>985</v>
      </c>
      <c r="B986" t="s">
        <v>2483</v>
      </c>
      <c r="C986" t="s">
        <v>1640</v>
      </c>
      <c r="D986" t="s">
        <v>2474</v>
      </c>
    </row>
    <row r="987" spans="1:4" x14ac:dyDescent="0.3">
      <c r="A987">
        <v>986</v>
      </c>
      <c r="B987" t="s">
        <v>2299</v>
      </c>
      <c r="C987" t="s">
        <v>1987</v>
      </c>
      <c r="D987" t="s">
        <v>2286</v>
      </c>
    </row>
    <row r="988" spans="1:4" x14ac:dyDescent="0.3">
      <c r="A988">
        <v>987</v>
      </c>
      <c r="B988" t="s">
        <v>1809</v>
      </c>
      <c r="C988" t="s">
        <v>1383</v>
      </c>
      <c r="D988" t="s">
        <v>1794</v>
      </c>
    </row>
    <row r="989" spans="1:4" x14ac:dyDescent="0.3">
      <c r="A989">
        <v>988</v>
      </c>
      <c r="B989" t="s">
        <v>2558</v>
      </c>
      <c r="C989" t="s">
        <v>2129</v>
      </c>
      <c r="D989" t="s">
        <v>2554</v>
      </c>
    </row>
    <row r="990" spans="1:4" x14ac:dyDescent="0.3">
      <c r="A990">
        <v>989</v>
      </c>
      <c r="B990" t="s">
        <v>2722</v>
      </c>
      <c r="C990" t="s">
        <v>1890</v>
      </c>
      <c r="D990" t="s">
        <v>2709</v>
      </c>
    </row>
    <row r="991" spans="1:4" x14ac:dyDescent="0.3">
      <c r="A991">
        <v>990</v>
      </c>
      <c r="B991" t="s">
        <v>1910</v>
      </c>
      <c r="C991" t="s">
        <v>1911</v>
      </c>
      <c r="D991" t="s">
        <v>1899</v>
      </c>
    </row>
    <row r="992" spans="1:4" x14ac:dyDescent="0.3">
      <c r="A992">
        <v>991</v>
      </c>
      <c r="B992" t="s">
        <v>1982</v>
      </c>
      <c r="C992" t="s">
        <v>1983</v>
      </c>
      <c r="D992" t="s">
        <v>1965</v>
      </c>
    </row>
    <row r="993" spans="1:4" x14ac:dyDescent="0.3">
      <c r="A993">
        <v>992</v>
      </c>
      <c r="B993" t="s">
        <v>2467</v>
      </c>
      <c r="C993" t="s">
        <v>1543</v>
      </c>
      <c r="D993" t="s">
        <v>2460</v>
      </c>
    </row>
    <row r="994" spans="1:4" x14ac:dyDescent="0.3">
      <c r="A994">
        <v>993</v>
      </c>
      <c r="B994" t="s">
        <v>1687</v>
      </c>
      <c r="C994" t="s">
        <v>1318</v>
      </c>
      <c r="D994" t="s">
        <v>1676</v>
      </c>
    </row>
    <row r="995" spans="1:4" x14ac:dyDescent="0.3">
      <c r="A995">
        <v>994</v>
      </c>
      <c r="B995" t="s">
        <v>1329</v>
      </c>
      <c r="C995" t="s">
        <v>1330</v>
      </c>
      <c r="D995" t="s">
        <v>1324</v>
      </c>
    </row>
    <row r="996" spans="1:4" x14ac:dyDescent="0.3">
      <c r="A996">
        <v>995</v>
      </c>
      <c r="B996" t="s">
        <v>2139</v>
      </c>
      <c r="C996" t="s">
        <v>2140</v>
      </c>
      <c r="D996" t="s">
        <v>2125</v>
      </c>
    </row>
    <row r="997" spans="1:4" x14ac:dyDescent="0.3">
      <c r="A997">
        <v>996</v>
      </c>
      <c r="B997" t="s">
        <v>2538</v>
      </c>
      <c r="C997" t="s">
        <v>2093</v>
      </c>
      <c r="D997" t="s">
        <v>2533</v>
      </c>
    </row>
    <row r="998" spans="1:4" x14ac:dyDescent="0.3">
      <c r="A998">
        <v>997</v>
      </c>
      <c r="B998" t="s">
        <v>2723</v>
      </c>
      <c r="C998" t="s">
        <v>2438</v>
      </c>
      <c r="D998" t="s">
        <v>2709</v>
      </c>
    </row>
    <row r="999" spans="1:4" x14ac:dyDescent="0.3">
      <c r="A999">
        <v>998</v>
      </c>
      <c r="B999" t="s">
        <v>2382</v>
      </c>
      <c r="C999" t="s">
        <v>1522</v>
      </c>
      <c r="D999" t="s">
        <v>2379</v>
      </c>
    </row>
    <row r="1000" spans="1:4" x14ac:dyDescent="0.3">
      <c r="A1000">
        <v>999</v>
      </c>
      <c r="B1000" t="s">
        <v>2263</v>
      </c>
      <c r="C1000" t="s">
        <v>2067</v>
      </c>
      <c r="D1000" t="s">
        <v>2251</v>
      </c>
    </row>
    <row r="1001" spans="1:4" x14ac:dyDescent="0.3">
      <c r="A1001">
        <v>1000</v>
      </c>
      <c r="B1001" t="s">
        <v>2472</v>
      </c>
      <c r="C1001" t="s">
        <v>1969</v>
      </c>
      <c r="D1001" t="s">
        <v>2469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DBA7E-F97A-43DF-ACB0-7BA0B3C876A8}">
  <dimension ref="A1:E559"/>
  <sheetViews>
    <sheetView workbookViewId="0">
      <selection activeCell="B2" sqref="B2"/>
    </sheetView>
  </sheetViews>
  <sheetFormatPr defaultRowHeight="14.4" x14ac:dyDescent="0.3"/>
  <cols>
    <col min="1" max="1" width="18.33203125" bestFit="1" customWidth="1"/>
    <col min="2" max="2" width="22" bestFit="1" customWidth="1"/>
    <col min="4" max="4" width="18.88671875" bestFit="1" customWidth="1"/>
    <col min="5" max="5" width="12.77734375" bestFit="1" customWidth="1"/>
  </cols>
  <sheetData>
    <row r="1" spans="1:5" x14ac:dyDescent="0.3">
      <c r="A1" t="s">
        <v>4033</v>
      </c>
      <c r="B1" t="s">
        <v>5</v>
      </c>
      <c r="C1" t="s">
        <v>4600</v>
      </c>
      <c r="D1" t="s">
        <v>4606</v>
      </c>
      <c r="E1" t="s">
        <v>4603</v>
      </c>
    </row>
    <row r="2" spans="1:5" x14ac:dyDescent="0.3">
      <c r="A2" t="s">
        <v>4068</v>
      </c>
      <c r="B2" t="str">
        <f>_xlfn.XLOOKUP(A2,'Part A'!$Q:$Q,'Part A'!$F:$F,0,0,1)</f>
        <v>White</v>
      </c>
      <c r="C2" t="str">
        <f>_xlfn.XLOOKUP(A2,'Part A'!$Q:$Q,'Part A'!$E:$E,0,0,1)</f>
        <v>Female</v>
      </c>
      <c r="D2">
        <f>SUMIF('Part A'!$Q:$Q,A2,'Part A'!$G:$G)</f>
        <v>15</v>
      </c>
      <c r="E2">
        <f>COUNTIF('Part A'!$Q:$Q,A2)</f>
        <v>1</v>
      </c>
    </row>
    <row r="3" spans="1:5" x14ac:dyDescent="0.3">
      <c r="A3" t="s">
        <v>4069</v>
      </c>
      <c r="B3" t="str">
        <f>_xlfn.XLOOKUP(A3,'Part A'!$Q:$Q,'Part A'!$F:$F,0,0,1)</f>
        <v>Black or African American</v>
      </c>
      <c r="C3" t="str">
        <f>_xlfn.XLOOKUP(A3,'Part A'!$Q:$Q,'Part A'!$E:$E,0,0,1)</f>
        <v>Female</v>
      </c>
      <c r="D3">
        <f>SUMIF('Part A'!$Q:$Q,A3,'Part A'!$G:$G)</f>
        <v>143</v>
      </c>
      <c r="E3">
        <f>COUNTIF('Part A'!$Q:$Q,A3)</f>
        <v>1</v>
      </c>
    </row>
    <row r="4" spans="1:5" x14ac:dyDescent="0.3">
      <c r="A4" t="s">
        <v>4070</v>
      </c>
      <c r="B4" t="str">
        <f>_xlfn.XLOOKUP(A4,'Part A'!$Q:$Q,'Part A'!$F:$F,0,0,1)</f>
        <v>White</v>
      </c>
      <c r="C4" t="str">
        <f>_xlfn.XLOOKUP(A4,'Part A'!$Q:$Q,'Part A'!$E:$E,0,0,1)</f>
        <v>Male</v>
      </c>
      <c r="D4">
        <f>SUMIF('Part A'!$Q:$Q,A4,'Part A'!$G:$G)</f>
        <v>747</v>
      </c>
      <c r="E4">
        <f>COUNTIF('Part A'!$Q:$Q,A4)</f>
        <v>3</v>
      </c>
    </row>
    <row r="5" spans="1:5" x14ac:dyDescent="0.3">
      <c r="A5" t="s">
        <v>4071</v>
      </c>
      <c r="B5" t="str">
        <f>_xlfn.XLOOKUP(A5,'Part A'!$Q:$Q,'Part A'!$F:$F,0,0,1)</f>
        <v>South American</v>
      </c>
      <c r="C5" t="str">
        <f>_xlfn.XLOOKUP(A5,'Part A'!$Q:$Q,'Part A'!$E:$E,0,0,1)</f>
        <v>Female</v>
      </c>
      <c r="D5">
        <f>SUMIF('Part A'!$Q:$Q,A5,'Part A'!$G:$G)</f>
        <v>410</v>
      </c>
      <c r="E5">
        <f>COUNTIF('Part A'!$Q:$Q,A5)</f>
        <v>1</v>
      </c>
    </row>
    <row r="6" spans="1:5" x14ac:dyDescent="0.3">
      <c r="A6" t="s">
        <v>4072</v>
      </c>
      <c r="B6" t="str">
        <f>_xlfn.XLOOKUP(A6,'Part A'!$Q:$Q,'Part A'!$F:$F,0,0,1)</f>
        <v>Black or African American</v>
      </c>
      <c r="C6" t="str">
        <f>_xlfn.XLOOKUP(A6,'Part A'!$Q:$Q,'Part A'!$E:$E,0,0,1)</f>
        <v>Female</v>
      </c>
      <c r="D6">
        <f>SUMIF('Part A'!$Q:$Q,A6,'Part A'!$G:$G)</f>
        <v>488</v>
      </c>
      <c r="E6">
        <f>COUNTIF('Part A'!$Q:$Q,A6)</f>
        <v>1</v>
      </c>
    </row>
    <row r="7" spans="1:5" x14ac:dyDescent="0.3">
      <c r="A7" t="s">
        <v>4073</v>
      </c>
      <c r="B7" t="str">
        <f>_xlfn.XLOOKUP(A7,'Part A'!$Q:$Q,'Part A'!$F:$F,0,0,1)</f>
        <v>Black or African American</v>
      </c>
      <c r="C7" t="str">
        <f>_xlfn.XLOOKUP(A7,'Part A'!$Q:$Q,'Part A'!$E:$E,0,0,1)</f>
        <v>Female</v>
      </c>
      <c r="D7">
        <f>SUMIF('Part A'!$Q:$Q,A7,'Part A'!$G:$G)</f>
        <v>11</v>
      </c>
      <c r="E7">
        <f>COUNTIF('Part A'!$Q:$Q,A7)</f>
        <v>1</v>
      </c>
    </row>
    <row r="8" spans="1:5" x14ac:dyDescent="0.3">
      <c r="A8" t="s">
        <v>4074</v>
      </c>
      <c r="B8" t="str">
        <f>_xlfn.XLOOKUP(A8,'Part A'!$Q:$Q,'Part A'!$F:$F,0,0,1)</f>
        <v>Black or African American</v>
      </c>
      <c r="C8" t="str">
        <f>_xlfn.XLOOKUP(A8,'Part A'!$Q:$Q,'Part A'!$E:$E,0,0,1)</f>
        <v>Male</v>
      </c>
      <c r="D8">
        <f>SUMIF('Part A'!$Q:$Q,A8,'Part A'!$G:$G)</f>
        <v>266</v>
      </c>
      <c r="E8">
        <f>COUNTIF('Part A'!$Q:$Q,A8)</f>
        <v>1</v>
      </c>
    </row>
    <row r="9" spans="1:5" x14ac:dyDescent="0.3">
      <c r="A9" t="s">
        <v>4075</v>
      </c>
      <c r="B9" t="str">
        <f>_xlfn.XLOOKUP(A9,'Part A'!$Q:$Q,'Part A'!$F:$F,0,0,1)</f>
        <v>Black or African American</v>
      </c>
      <c r="C9" t="str">
        <f>_xlfn.XLOOKUP(A9,'Part A'!$Q:$Q,'Part A'!$E:$E,0,0,1)</f>
        <v>Female</v>
      </c>
      <c r="D9">
        <f>SUMIF('Part A'!$Q:$Q,A9,'Part A'!$G:$G)</f>
        <v>14270</v>
      </c>
      <c r="E9">
        <f>COUNTIF('Part A'!$Q:$Q,A9)</f>
        <v>26</v>
      </c>
    </row>
    <row r="10" spans="1:5" x14ac:dyDescent="0.3">
      <c r="A10" t="s">
        <v>4076</v>
      </c>
      <c r="B10" t="str">
        <f>_xlfn.XLOOKUP(A10,'Part A'!$Q:$Q,'Part A'!$F:$F,0,0,1)</f>
        <v>White</v>
      </c>
      <c r="C10" t="str">
        <f>_xlfn.XLOOKUP(A10,'Part A'!$Q:$Q,'Part A'!$E:$E,0,0,1)</f>
        <v>Male</v>
      </c>
      <c r="D10">
        <f>SUMIF('Part A'!$Q:$Q,A10,'Part A'!$G:$G)</f>
        <v>574</v>
      </c>
      <c r="E10">
        <f>COUNTIF('Part A'!$Q:$Q,A10)</f>
        <v>1</v>
      </c>
    </row>
    <row r="11" spans="1:5" x14ac:dyDescent="0.3">
      <c r="A11" t="s">
        <v>4077</v>
      </c>
      <c r="B11" t="str">
        <f>_xlfn.XLOOKUP(A11,'Part A'!$Q:$Q,'Part A'!$F:$F,0,0,1)</f>
        <v>Asian</v>
      </c>
      <c r="C11" t="str">
        <f>_xlfn.XLOOKUP(A11,'Part A'!$Q:$Q,'Part A'!$E:$E,0,0,1)</f>
        <v>Female</v>
      </c>
      <c r="D11">
        <f>SUMIF('Part A'!$Q:$Q,A11,'Part A'!$G:$G)</f>
        <v>575</v>
      </c>
      <c r="E11">
        <f>COUNTIF('Part A'!$Q:$Q,A11)</f>
        <v>1</v>
      </c>
    </row>
    <row r="12" spans="1:5" x14ac:dyDescent="0.3">
      <c r="A12" t="s">
        <v>4078</v>
      </c>
      <c r="B12" t="str">
        <f>_xlfn.XLOOKUP(A12,'Part A'!$Q:$Q,'Part A'!$F:$F,0,0,1)</f>
        <v>White</v>
      </c>
      <c r="C12" t="str">
        <f>_xlfn.XLOOKUP(A12,'Part A'!$Q:$Q,'Part A'!$E:$E,0,0,1)</f>
        <v>Male</v>
      </c>
      <c r="D12">
        <f>SUMIF('Part A'!$Q:$Q,A12,'Part A'!$G:$G)</f>
        <v>499</v>
      </c>
      <c r="E12">
        <f>COUNTIF('Part A'!$Q:$Q,A12)</f>
        <v>1</v>
      </c>
    </row>
    <row r="13" spans="1:5" x14ac:dyDescent="0.3">
      <c r="A13" t="s">
        <v>4079</v>
      </c>
      <c r="B13" t="str">
        <f>_xlfn.XLOOKUP(A13,'Part A'!$Q:$Q,'Part A'!$F:$F,0,0,1)</f>
        <v>White</v>
      </c>
      <c r="C13" t="str">
        <f>_xlfn.XLOOKUP(A13,'Part A'!$Q:$Q,'Part A'!$E:$E,0,0,1)</f>
        <v>Female</v>
      </c>
      <c r="D13">
        <f>SUMIF('Part A'!$Q:$Q,A13,'Part A'!$G:$G)</f>
        <v>667</v>
      </c>
      <c r="E13">
        <f>COUNTIF('Part A'!$Q:$Q,A13)</f>
        <v>1</v>
      </c>
    </row>
    <row r="14" spans="1:5" x14ac:dyDescent="0.3">
      <c r="A14" t="s">
        <v>4080</v>
      </c>
      <c r="B14" t="str">
        <f>_xlfn.XLOOKUP(A14,'Part A'!$Q:$Q,'Part A'!$F:$F,0,0,1)</f>
        <v>White</v>
      </c>
      <c r="C14" t="str">
        <f>_xlfn.XLOOKUP(A14,'Part A'!$Q:$Q,'Part A'!$E:$E,0,0,1)</f>
        <v>Male</v>
      </c>
      <c r="D14">
        <f>SUMIF('Part A'!$Q:$Q,A14,'Part A'!$G:$G)</f>
        <v>355</v>
      </c>
      <c r="E14">
        <f>COUNTIF('Part A'!$Q:$Q,A14)</f>
        <v>1</v>
      </c>
    </row>
    <row r="15" spans="1:5" x14ac:dyDescent="0.3">
      <c r="A15" t="s">
        <v>4081</v>
      </c>
      <c r="B15" t="str">
        <f>_xlfn.XLOOKUP(A15,'Part A'!$Q:$Q,'Part A'!$F:$F,0,0,1)</f>
        <v>Black or African American</v>
      </c>
      <c r="C15" t="str">
        <f>_xlfn.XLOOKUP(A15,'Part A'!$Q:$Q,'Part A'!$E:$E,0,0,1)</f>
        <v>Male</v>
      </c>
      <c r="D15">
        <f>SUMIF('Part A'!$Q:$Q,A15,'Part A'!$G:$G)</f>
        <v>806</v>
      </c>
      <c r="E15">
        <f>COUNTIF('Part A'!$Q:$Q,A15)</f>
        <v>1</v>
      </c>
    </row>
    <row r="16" spans="1:5" x14ac:dyDescent="0.3">
      <c r="A16" t="s">
        <v>4082</v>
      </c>
      <c r="B16" t="str">
        <f>_xlfn.XLOOKUP(A16,'Part A'!$Q:$Q,'Part A'!$F:$F,0,0,1)</f>
        <v>White</v>
      </c>
      <c r="C16" t="str">
        <f>_xlfn.XLOOKUP(A16,'Part A'!$Q:$Q,'Part A'!$E:$E,0,0,1)</f>
        <v>Female</v>
      </c>
      <c r="D16">
        <f>SUMIF('Part A'!$Q:$Q,A16,'Part A'!$G:$G)</f>
        <v>15</v>
      </c>
      <c r="E16">
        <f>COUNTIF('Part A'!$Q:$Q,A16)</f>
        <v>1</v>
      </c>
    </row>
    <row r="17" spans="1:5" x14ac:dyDescent="0.3">
      <c r="A17" t="s">
        <v>4083</v>
      </c>
      <c r="B17" t="str">
        <f>_xlfn.XLOOKUP(A17,'Part A'!$Q:$Q,'Part A'!$F:$F,0,0,1)</f>
        <v>White</v>
      </c>
      <c r="C17" t="str">
        <f>_xlfn.XLOOKUP(A17,'Part A'!$Q:$Q,'Part A'!$E:$E,0,0,1)</f>
        <v>Female</v>
      </c>
      <c r="D17">
        <f>SUMIF('Part A'!$Q:$Q,A17,'Part A'!$G:$G)</f>
        <v>337</v>
      </c>
      <c r="E17">
        <f>COUNTIF('Part A'!$Q:$Q,A17)</f>
        <v>1</v>
      </c>
    </row>
    <row r="18" spans="1:5" x14ac:dyDescent="0.3">
      <c r="A18" t="s">
        <v>4084</v>
      </c>
      <c r="B18" t="str">
        <f>_xlfn.XLOOKUP(A18,'Part A'!$Q:$Q,'Part A'!$F:$F,0,0,1)</f>
        <v>Mexican</v>
      </c>
      <c r="C18" t="str">
        <f>_xlfn.XLOOKUP(A18,'Part A'!$Q:$Q,'Part A'!$E:$E,0,0,1)</f>
        <v>Female</v>
      </c>
      <c r="D18">
        <f>SUMIF('Part A'!$Q:$Q,A18,'Part A'!$G:$G)</f>
        <v>804</v>
      </c>
      <c r="E18">
        <f>COUNTIF('Part A'!$Q:$Q,A18)</f>
        <v>1</v>
      </c>
    </row>
    <row r="19" spans="1:5" x14ac:dyDescent="0.3">
      <c r="A19" t="s">
        <v>4085</v>
      </c>
      <c r="B19" t="str">
        <f>_xlfn.XLOOKUP(A19,'Part A'!$Q:$Q,'Part A'!$F:$F,0,0,1)</f>
        <v>White</v>
      </c>
      <c r="C19" t="str">
        <f>_xlfn.XLOOKUP(A19,'Part A'!$Q:$Q,'Part A'!$E:$E,0,0,1)</f>
        <v>Male</v>
      </c>
      <c r="D19">
        <f>SUMIF('Part A'!$Q:$Q,A19,'Part A'!$G:$G)</f>
        <v>744</v>
      </c>
      <c r="E19">
        <f>COUNTIF('Part A'!$Q:$Q,A19)</f>
        <v>1</v>
      </c>
    </row>
    <row r="20" spans="1:5" x14ac:dyDescent="0.3">
      <c r="A20" t="s">
        <v>4086</v>
      </c>
      <c r="B20" t="str">
        <f>_xlfn.XLOOKUP(A20,'Part A'!$Q:$Q,'Part A'!$F:$F,0,0,1)</f>
        <v>White</v>
      </c>
      <c r="C20" t="str">
        <f>_xlfn.XLOOKUP(A20,'Part A'!$Q:$Q,'Part A'!$E:$E,0,0,1)</f>
        <v>Male</v>
      </c>
      <c r="D20">
        <f>SUMIF('Part A'!$Q:$Q,A20,'Part A'!$G:$G)</f>
        <v>511</v>
      </c>
      <c r="E20">
        <f>COUNTIF('Part A'!$Q:$Q,A20)</f>
        <v>1</v>
      </c>
    </row>
    <row r="21" spans="1:5" x14ac:dyDescent="0.3">
      <c r="A21" t="s">
        <v>4087</v>
      </c>
      <c r="B21" t="str">
        <f>_xlfn.XLOOKUP(A21,'Part A'!$Q:$Q,'Part A'!$F:$F,0,0,1)</f>
        <v>Black or African American</v>
      </c>
      <c r="C21" t="str">
        <f>_xlfn.XLOOKUP(A21,'Part A'!$Q:$Q,'Part A'!$E:$E,0,0,1)</f>
        <v>Male</v>
      </c>
      <c r="D21">
        <f>SUMIF('Part A'!$Q:$Q,A21,'Part A'!$G:$G)</f>
        <v>241</v>
      </c>
      <c r="E21">
        <f>COUNTIF('Part A'!$Q:$Q,A21)</f>
        <v>1</v>
      </c>
    </row>
    <row r="22" spans="1:5" x14ac:dyDescent="0.3">
      <c r="A22" t="s">
        <v>4088</v>
      </c>
      <c r="B22" t="str">
        <f>_xlfn.XLOOKUP(A22,'Part A'!$Q:$Q,'Part A'!$F:$F,0,0,1)</f>
        <v>Black or African American</v>
      </c>
      <c r="C22" t="str">
        <f>_xlfn.XLOOKUP(A22,'Part A'!$Q:$Q,'Part A'!$E:$E,0,0,1)</f>
        <v>Male</v>
      </c>
      <c r="D22">
        <f>SUMIF('Part A'!$Q:$Q,A22,'Part A'!$G:$G)</f>
        <v>545</v>
      </c>
      <c r="E22">
        <f>COUNTIF('Part A'!$Q:$Q,A22)</f>
        <v>1</v>
      </c>
    </row>
    <row r="23" spans="1:5" x14ac:dyDescent="0.3">
      <c r="A23" t="s">
        <v>4089</v>
      </c>
      <c r="B23" t="str">
        <f>_xlfn.XLOOKUP(A23,'Part A'!$Q:$Q,'Part A'!$F:$F,0,0,1)</f>
        <v>White</v>
      </c>
      <c r="C23" t="str">
        <f>_xlfn.XLOOKUP(A23,'Part A'!$Q:$Q,'Part A'!$E:$E,0,0,1)</f>
        <v>Female</v>
      </c>
      <c r="D23">
        <f>SUMIF('Part A'!$Q:$Q,A23,'Part A'!$G:$G)</f>
        <v>369</v>
      </c>
      <c r="E23">
        <f>COUNTIF('Part A'!$Q:$Q,A23)</f>
        <v>1</v>
      </c>
    </row>
    <row r="24" spans="1:5" x14ac:dyDescent="0.3">
      <c r="A24" t="s">
        <v>4090</v>
      </c>
      <c r="B24" t="str">
        <f>_xlfn.XLOOKUP(A24,'Part A'!$Q:$Q,'Part A'!$F:$F,0,0,1)</f>
        <v>White</v>
      </c>
      <c r="C24" t="str">
        <f>_xlfn.XLOOKUP(A24,'Part A'!$Q:$Q,'Part A'!$E:$E,0,0,1)</f>
        <v>Male</v>
      </c>
      <c r="D24">
        <f>SUMIF('Part A'!$Q:$Q,A24,'Part A'!$G:$G)</f>
        <v>132</v>
      </c>
      <c r="E24">
        <f>COUNTIF('Part A'!$Q:$Q,A24)</f>
        <v>1</v>
      </c>
    </row>
    <row r="25" spans="1:5" x14ac:dyDescent="0.3">
      <c r="A25" t="s">
        <v>4091</v>
      </c>
      <c r="B25" t="str">
        <f>_xlfn.XLOOKUP(A25,'Part A'!$Q:$Q,'Part A'!$F:$F,0,0,1)</f>
        <v>White</v>
      </c>
      <c r="C25" t="str">
        <f>_xlfn.XLOOKUP(A25,'Part A'!$Q:$Q,'Part A'!$E:$E,0,0,1)</f>
        <v>Female</v>
      </c>
      <c r="D25">
        <f>SUMIF('Part A'!$Q:$Q,A25,'Part A'!$G:$G)</f>
        <v>163</v>
      </c>
      <c r="E25">
        <f>COUNTIF('Part A'!$Q:$Q,A25)</f>
        <v>1</v>
      </c>
    </row>
    <row r="26" spans="1:5" x14ac:dyDescent="0.3">
      <c r="A26" t="s">
        <v>4092</v>
      </c>
      <c r="B26" t="str">
        <f>_xlfn.XLOOKUP(A26,'Part A'!$Q:$Q,'Part A'!$F:$F,0,0,1)</f>
        <v>Asian</v>
      </c>
      <c r="C26" t="str">
        <f>_xlfn.XLOOKUP(A26,'Part A'!$Q:$Q,'Part A'!$E:$E,0,0,1)</f>
        <v>Male</v>
      </c>
      <c r="D26">
        <f>SUMIF('Part A'!$Q:$Q,A26,'Part A'!$G:$G)</f>
        <v>389</v>
      </c>
      <c r="E26">
        <f>COUNTIF('Part A'!$Q:$Q,A26)</f>
        <v>1</v>
      </c>
    </row>
    <row r="27" spans="1:5" x14ac:dyDescent="0.3">
      <c r="A27" t="s">
        <v>4093</v>
      </c>
      <c r="B27" t="str">
        <f>_xlfn.XLOOKUP(A27,'Part A'!$Q:$Q,'Part A'!$F:$F,0,0,1)</f>
        <v>White</v>
      </c>
      <c r="C27" t="str">
        <f>_xlfn.XLOOKUP(A27,'Part A'!$Q:$Q,'Part A'!$E:$E,0,0,1)</f>
        <v>Male</v>
      </c>
      <c r="D27">
        <f>SUMIF('Part A'!$Q:$Q,A27,'Part A'!$G:$G)</f>
        <v>774</v>
      </c>
      <c r="E27">
        <f>COUNTIF('Part A'!$Q:$Q,A27)</f>
        <v>1</v>
      </c>
    </row>
    <row r="28" spans="1:5" x14ac:dyDescent="0.3">
      <c r="A28" t="s">
        <v>4094</v>
      </c>
      <c r="B28" t="str">
        <f>_xlfn.XLOOKUP(A28,'Part A'!$Q:$Q,'Part A'!$F:$F,0,0,1)</f>
        <v>White</v>
      </c>
      <c r="C28" t="str">
        <f>_xlfn.XLOOKUP(A28,'Part A'!$Q:$Q,'Part A'!$E:$E,0,0,1)</f>
        <v>Female</v>
      </c>
      <c r="D28">
        <f>SUMIF('Part A'!$Q:$Q,A28,'Part A'!$G:$G)</f>
        <v>729</v>
      </c>
      <c r="E28">
        <f>COUNTIF('Part A'!$Q:$Q,A28)</f>
        <v>1</v>
      </c>
    </row>
    <row r="29" spans="1:5" x14ac:dyDescent="0.3">
      <c r="A29" t="s">
        <v>4095</v>
      </c>
      <c r="B29" t="str">
        <f>_xlfn.XLOOKUP(A29,'Part A'!$Q:$Q,'Part A'!$F:$F,0,0,1)</f>
        <v>White</v>
      </c>
      <c r="C29" t="str">
        <f>_xlfn.XLOOKUP(A29,'Part A'!$Q:$Q,'Part A'!$E:$E,0,0,1)</f>
        <v>Female</v>
      </c>
      <c r="D29">
        <f>SUMIF('Part A'!$Q:$Q,A29,'Part A'!$G:$G)</f>
        <v>614</v>
      </c>
      <c r="E29">
        <f>COUNTIF('Part A'!$Q:$Q,A29)</f>
        <v>1</v>
      </c>
    </row>
    <row r="30" spans="1:5" x14ac:dyDescent="0.3">
      <c r="A30" t="s">
        <v>4096</v>
      </c>
      <c r="B30" t="str">
        <f>_xlfn.XLOOKUP(A30,'Part A'!$Q:$Q,'Part A'!$F:$F,0,0,1)</f>
        <v>Black or African American</v>
      </c>
      <c r="C30" t="str">
        <f>_xlfn.XLOOKUP(A30,'Part A'!$Q:$Q,'Part A'!$E:$E,0,0,1)</f>
        <v>Female</v>
      </c>
      <c r="D30">
        <f>SUMIF('Part A'!$Q:$Q,A30,'Part A'!$G:$G)</f>
        <v>2281</v>
      </c>
      <c r="E30">
        <f>COUNTIF('Part A'!$Q:$Q,A30)</f>
        <v>8</v>
      </c>
    </row>
    <row r="31" spans="1:5" x14ac:dyDescent="0.3">
      <c r="A31" t="s">
        <v>4097</v>
      </c>
      <c r="B31" t="str">
        <f>_xlfn.XLOOKUP(A31,'Part A'!$Q:$Q,'Part A'!$F:$F,0,0,1)</f>
        <v>Mexican</v>
      </c>
      <c r="C31" t="str">
        <f>_xlfn.XLOOKUP(A31,'Part A'!$Q:$Q,'Part A'!$E:$E,0,0,1)</f>
        <v>Female</v>
      </c>
      <c r="D31">
        <f>SUMIF('Part A'!$Q:$Q,A31,'Part A'!$G:$G)</f>
        <v>533</v>
      </c>
      <c r="E31">
        <f>COUNTIF('Part A'!$Q:$Q,A31)</f>
        <v>1</v>
      </c>
    </row>
    <row r="32" spans="1:5" x14ac:dyDescent="0.3">
      <c r="A32" t="s">
        <v>4098</v>
      </c>
      <c r="B32" t="str">
        <f>_xlfn.XLOOKUP(A32,'Part A'!$Q:$Q,'Part A'!$F:$F,0,0,1)</f>
        <v>White</v>
      </c>
      <c r="C32" t="str">
        <f>_xlfn.XLOOKUP(A32,'Part A'!$Q:$Q,'Part A'!$E:$E,0,0,1)</f>
        <v>Female</v>
      </c>
      <c r="D32">
        <f>SUMIF('Part A'!$Q:$Q,A32,'Part A'!$G:$G)</f>
        <v>780</v>
      </c>
      <c r="E32">
        <f>COUNTIF('Part A'!$Q:$Q,A32)</f>
        <v>1</v>
      </c>
    </row>
    <row r="33" spans="1:5" x14ac:dyDescent="0.3">
      <c r="A33" t="s">
        <v>4040</v>
      </c>
      <c r="B33" t="str">
        <f>_xlfn.XLOOKUP(A33,'Part A'!$Q:$Q,'Part A'!$F:$F,0,0,1)</f>
        <v>White</v>
      </c>
      <c r="C33" t="str">
        <f>_xlfn.XLOOKUP(A33,'Part A'!$Q:$Q,'Part A'!$E:$E,0,0,1)</f>
        <v>Male</v>
      </c>
      <c r="D33">
        <f>SUMIF('Part A'!$Q:$Q,A33,'Part A'!$G:$G)</f>
        <v>958</v>
      </c>
      <c r="E33">
        <f>COUNTIF('Part A'!$Q:$Q,A33)</f>
        <v>1</v>
      </c>
    </row>
    <row r="34" spans="1:5" x14ac:dyDescent="0.3">
      <c r="A34" t="s">
        <v>4099</v>
      </c>
      <c r="B34" t="str">
        <f>_xlfn.XLOOKUP(A34,'Part A'!$Q:$Q,'Part A'!$F:$F,0,0,1)</f>
        <v>Black or African American</v>
      </c>
      <c r="C34" t="str">
        <f>_xlfn.XLOOKUP(A34,'Part A'!$Q:$Q,'Part A'!$E:$E,0,0,1)</f>
        <v>Female</v>
      </c>
      <c r="D34">
        <f>SUMIF('Part A'!$Q:$Q,A34,'Part A'!$G:$G)</f>
        <v>3681</v>
      </c>
      <c r="E34">
        <f>COUNTIF('Part A'!$Q:$Q,A34)</f>
        <v>9</v>
      </c>
    </row>
    <row r="35" spans="1:5" x14ac:dyDescent="0.3">
      <c r="A35" t="s">
        <v>4100</v>
      </c>
      <c r="B35" t="str">
        <f>_xlfn.XLOOKUP(A35,'Part A'!$Q:$Q,'Part A'!$F:$F,0,0,1)</f>
        <v>Asian</v>
      </c>
      <c r="C35" t="str">
        <f>_xlfn.XLOOKUP(A35,'Part A'!$Q:$Q,'Part A'!$E:$E,0,0,1)</f>
        <v>Female</v>
      </c>
      <c r="D35">
        <f>SUMIF('Part A'!$Q:$Q,A35,'Part A'!$G:$G)</f>
        <v>995</v>
      </c>
      <c r="E35">
        <f>COUNTIF('Part A'!$Q:$Q,A35)</f>
        <v>3</v>
      </c>
    </row>
    <row r="36" spans="1:5" x14ac:dyDescent="0.3">
      <c r="A36" t="s">
        <v>4101</v>
      </c>
      <c r="B36" t="str">
        <f>_xlfn.XLOOKUP(A36,'Part A'!$Q:$Q,'Part A'!$F:$F,0,0,1)</f>
        <v>White</v>
      </c>
      <c r="C36" t="str">
        <f>_xlfn.XLOOKUP(A36,'Part A'!$Q:$Q,'Part A'!$E:$E,0,0,1)</f>
        <v>Female</v>
      </c>
      <c r="D36">
        <f>SUMIF('Part A'!$Q:$Q,A36,'Part A'!$G:$G)</f>
        <v>957</v>
      </c>
      <c r="E36">
        <f>COUNTIF('Part A'!$Q:$Q,A36)</f>
        <v>1</v>
      </c>
    </row>
    <row r="37" spans="1:5" x14ac:dyDescent="0.3">
      <c r="A37" t="s">
        <v>4102</v>
      </c>
      <c r="B37" t="str">
        <f>_xlfn.XLOOKUP(A37,'Part A'!$Q:$Q,'Part A'!$F:$F,0,0,1)</f>
        <v>White</v>
      </c>
      <c r="C37" t="str">
        <f>_xlfn.XLOOKUP(A37,'Part A'!$Q:$Q,'Part A'!$E:$E,0,0,1)</f>
        <v>Male</v>
      </c>
      <c r="D37">
        <f>SUMIF('Part A'!$Q:$Q,A37,'Part A'!$G:$G)</f>
        <v>989</v>
      </c>
      <c r="E37">
        <f>COUNTIF('Part A'!$Q:$Q,A37)</f>
        <v>1</v>
      </c>
    </row>
    <row r="38" spans="1:5" x14ac:dyDescent="0.3">
      <c r="A38" t="s">
        <v>4103</v>
      </c>
      <c r="B38" t="str">
        <f>_xlfn.XLOOKUP(A38,'Part A'!$Q:$Q,'Part A'!$F:$F,0,0,1)</f>
        <v>Black or African American</v>
      </c>
      <c r="C38" t="str">
        <f>_xlfn.XLOOKUP(A38,'Part A'!$Q:$Q,'Part A'!$E:$E,0,0,1)</f>
        <v>Female</v>
      </c>
      <c r="D38">
        <f>SUMIF('Part A'!$Q:$Q,A38,'Part A'!$G:$G)</f>
        <v>333</v>
      </c>
      <c r="E38">
        <f>COUNTIF('Part A'!$Q:$Q,A38)</f>
        <v>1</v>
      </c>
    </row>
    <row r="39" spans="1:5" x14ac:dyDescent="0.3">
      <c r="A39" t="s">
        <v>4104</v>
      </c>
      <c r="B39" t="str">
        <f>_xlfn.XLOOKUP(A39,'Part A'!$Q:$Q,'Part A'!$F:$F,0,0,1)</f>
        <v>Asian</v>
      </c>
      <c r="C39" t="str">
        <f>_xlfn.XLOOKUP(A39,'Part A'!$Q:$Q,'Part A'!$E:$E,0,0,1)</f>
        <v>Female</v>
      </c>
      <c r="D39">
        <f>SUMIF('Part A'!$Q:$Q,A39,'Part A'!$G:$G)</f>
        <v>555</v>
      </c>
      <c r="E39">
        <f>COUNTIF('Part A'!$Q:$Q,A39)</f>
        <v>1</v>
      </c>
    </row>
    <row r="40" spans="1:5" x14ac:dyDescent="0.3">
      <c r="A40" t="s">
        <v>4105</v>
      </c>
      <c r="B40" t="str">
        <f>_xlfn.XLOOKUP(A40,'Part A'!$Q:$Q,'Part A'!$F:$F,0,0,1)</f>
        <v>White</v>
      </c>
      <c r="C40" t="str">
        <f>_xlfn.XLOOKUP(A40,'Part A'!$Q:$Q,'Part A'!$E:$E,0,0,1)</f>
        <v>Female</v>
      </c>
      <c r="D40">
        <f>SUMIF('Part A'!$Q:$Q,A40,'Part A'!$G:$G)</f>
        <v>188</v>
      </c>
      <c r="E40">
        <f>COUNTIF('Part A'!$Q:$Q,A40)</f>
        <v>1</v>
      </c>
    </row>
    <row r="41" spans="1:5" x14ac:dyDescent="0.3">
      <c r="A41" t="s">
        <v>4106</v>
      </c>
      <c r="B41" t="str">
        <f>_xlfn.XLOOKUP(A41,'Part A'!$Q:$Q,'Part A'!$F:$F,0,0,1)</f>
        <v>Black or African American</v>
      </c>
      <c r="C41" t="str">
        <f>_xlfn.XLOOKUP(A41,'Part A'!$Q:$Q,'Part A'!$E:$E,0,0,1)</f>
        <v>Female</v>
      </c>
      <c r="D41">
        <f>SUMIF('Part A'!$Q:$Q,A41,'Part A'!$G:$G)</f>
        <v>867</v>
      </c>
      <c r="E41">
        <f>COUNTIF('Part A'!$Q:$Q,A41)</f>
        <v>1</v>
      </c>
    </row>
    <row r="42" spans="1:5" x14ac:dyDescent="0.3">
      <c r="A42" t="s">
        <v>4107</v>
      </c>
      <c r="B42" t="str">
        <f>_xlfn.XLOOKUP(A42,'Part A'!$Q:$Q,'Part A'!$F:$F,0,0,1)</f>
        <v>White</v>
      </c>
      <c r="C42" t="str">
        <f>_xlfn.XLOOKUP(A42,'Part A'!$Q:$Q,'Part A'!$E:$E,0,0,1)</f>
        <v>Male</v>
      </c>
      <c r="D42">
        <f>SUMIF('Part A'!$Q:$Q,A42,'Part A'!$G:$G)</f>
        <v>666</v>
      </c>
      <c r="E42">
        <f>COUNTIF('Part A'!$Q:$Q,A42)</f>
        <v>2</v>
      </c>
    </row>
    <row r="43" spans="1:5" x14ac:dyDescent="0.3">
      <c r="A43" t="s">
        <v>4108</v>
      </c>
      <c r="B43" t="str">
        <f>_xlfn.XLOOKUP(A43,'Part A'!$Q:$Q,'Part A'!$F:$F,0,0,1)</f>
        <v>White</v>
      </c>
      <c r="C43" t="str">
        <f>_xlfn.XLOOKUP(A43,'Part A'!$Q:$Q,'Part A'!$E:$E,0,0,1)</f>
        <v>Female</v>
      </c>
      <c r="D43">
        <f>SUMIF('Part A'!$Q:$Q,A43,'Part A'!$G:$G)</f>
        <v>587</v>
      </c>
      <c r="E43">
        <f>COUNTIF('Part A'!$Q:$Q,A43)</f>
        <v>1</v>
      </c>
    </row>
    <row r="44" spans="1:5" x14ac:dyDescent="0.3">
      <c r="A44" t="s">
        <v>4109</v>
      </c>
      <c r="B44" t="str">
        <f>_xlfn.XLOOKUP(A44,'Part A'!$Q:$Q,'Part A'!$F:$F,0,0,1)</f>
        <v>White</v>
      </c>
      <c r="C44" t="str">
        <f>_xlfn.XLOOKUP(A44,'Part A'!$Q:$Q,'Part A'!$E:$E,0,0,1)</f>
        <v>Female</v>
      </c>
      <c r="D44">
        <f>SUMIF('Part A'!$Q:$Q,A44,'Part A'!$G:$G)</f>
        <v>560</v>
      </c>
      <c r="E44">
        <f>COUNTIF('Part A'!$Q:$Q,A44)</f>
        <v>1</v>
      </c>
    </row>
    <row r="45" spans="1:5" x14ac:dyDescent="0.3">
      <c r="A45" t="s">
        <v>4110</v>
      </c>
      <c r="B45" t="str">
        <f>_xlfn.XLOOKUP(A45,'Part A'!$Q:$Q,'Part A'!$F:$F,0,0,1)</f>
        <v>White</v>
      </c>
      <c r="C45" t="str">
        <f>_xlfn.XLOOKUP(A45,'Part A'!$Q:$Q,'Part A'!$E:$E,0,0,1)</f>
        <v>Male</v>
      </c>
      <c r="D45">
        <f>SUMIF('Part A'!$Q:$Q,A45,'Part A'!$G:$G)</f>
        <v>368</v>
      </c>
      <c r="E45">
        <f>COUNTIF('Part A'!$Q:$Q,A45)</f>
        <v>1</v>
      </c>
    </row>
    <row r="46" spans="1:5" x14ac:dyDescent="0.3">
      <c r="A46" t="s">
        <v>4111</v>
      </c>
      <c r="B46" t="str">
        <f>_xlfn.XLOOKUP(A46,'Part A'!$Q:$Q,'Part A'!$F:$F,0,0,1)</f>
        <v>White</v>
      </c>
      <c r="C46" t="str">
        <f>_xlfn.XLOOKUP(A46,'Part A'!$Q:$Q,'Part A'!$E:$E,0,0,1)</f>
        <v>Female</v>
      </c>
      <c r="D46">
        <f>SUMIF('Part A'!$Q:$Q,A46,'Part A'!$G:$G)</f>
        <v>234</v>
      </c>
      <c r="E46">
        <f>COUNTIF('Part A'!$Q:$Q,A46)</f>
        <v>1</v>
      </c>
    </row>
    <row r="47" spans="1:5" x14ac:dyDescent="0.3">
      <c r="A47" t="s">
        <v>4112</v>
      </c>
      <c r="B47" t="str">
        <f>_xlfn.XLOOKUP(A47,'Part A'!$Q:$Q,'Part A'!$F:$F,0,0,1)</f>
        <v>White</v>
      </c>
      <c r="C47" t="str">
        <f>_xlfn.XLOOKUP(A47,'Part A'!$Q:$Q,'Part A'!$E:$E,0,0,1)</f>
        <v>Female</v>
      </c>
      <c r="D47">
        <f>SUMIF('Part A'!$Q:$Q,A47,'Part A'!$G:$G)</f>
        <v>879</v>
      </c>
      <c r="E47">
        <f>COUNTIF('Part A'!$Q:$Q,A47)</f>
        <v>1</v>
      </c>
    </row>
    <row r="48" spans="1:5" x14ac:dyDescent="0.3">
      <c r="A48" t="s">
        <v>4113</v>
      </c>
      <c r="B48" t="str">
        <f>_xlfn.XLOOKUP(A48,'Part A'!$Q:$Q,'Part A'!$F:$F,0,0,1)</f>
        <v>Black or African American</v>
      </c>
      <c r="C48" t="str">
        <f>_xlfn.XLOOKUP(A48,'Part A'!$Q:$Q,'Part A'!$E:$E,0,0,1)</f>
        <v>Male</v>
      </c>
      <c r="D48">
        <f>SUMIF('Part A'!$Q:$Q,A48,'Part A'!$G:$G)</f>
        <v>16474</v>
      </c>
      <c r="E48">
        <f>COUNTIF('Part A'!$Q:$Q,A48)</f>
        <v>33</v>
      </c>
    </row>
    <row r="49" spans="1:5" x14ac:dyDescent="0.3">
      <c r="A49" t="s">
        <v>4114</v>
      </c>
      <c r="B49" t="str">
        <f>_xlfn.XLOOKUP(A49,'Part A'!$Q:$Q,'Part A'!$F:$F,0,0,1)</f>
        <v>Hispanic</v>
      </c>
      <c r="C49" t="str">
        <f>_xlfn.XLOOKUP(A49,'Part A'!$Q:$Q,'Part A'!$E:$E,0,0,1)</f>
        <v>Male</v>
      </c>
      <c r="D49">
        <f>SUMIF('Part A'!$Q:$Q,A49,'Part A'!$G:$G)</f>
        <v>95</v>
      </c>
      <c r="E49">
        <f>COUNTIF('Part A'!$Q:$Q,A49)</f>
        <v>1</v>
      </c>
    </row>
    <row r="50" spans="1:5" x14ac:dyDescent="0.3">
      <c r="A50" t="s">
        <v>4115</v>
      </c>
      <c r="B50" t="str">
        <f>_xlfn.XLOOKUP(A50,'Part A'!$Q:$Q,'Part A'!$F:$F,0,0,1)</f>
        <v>White</v>
      </c>
      <c r="C50" t="str">
        <f>_xlfn.XLOOKUP(A50,'Part A'!$Q:$Q,'Part A'!$E:$E,0,0,1)</f>
        <v>Male</v>
      </c>
      <c r="D50">
        <f>SUMIF('Part A'!$Q:$Q,A50,'Part A'!$G:$G)</f>
        <v>902</v>
      </c>
      <c r="E50">
        <f>COUNTIF('Part A'!$Q:$Q,A50)</f>
        <v>1</v>
      </c>
    </row>
    <row r="51" spans="1:5" x14ac:dyDescent="0.3">
      <c r="A51" t="s">
        <v>4116</v>
      </c>
      <c r="B51" t="str">
        <f>_xlfn.XLOOKUP(A51,'Part A'!$Q:$Q,'Part A'!$F:$F,0,0,1)</f>
        <v>White</v>
      </c>
      <c r="C51" t="str">
        <f>_xlfn.XLOOKUP(A51,'Part A'!$Q:$Q,'Part A'!$E:$E,0,0,1)</f>
        <v>Male</v>
      </c>
      <c r="D51">
        <f>SUMIF('Part A'!$Q:$Q,A51,'Part A'!$G:$G)</f>
        <v>508</v>
      </c>
      <c r="E51">
        <f>COUNTIF('Part A'!$Q:$Q,A51)</f>
        <v>1</v>
      </c>
    </row>
    <row r="52" spans="1:5" x14ac:dyDescent="0.3">
      <c r="A52" t="s">
        <v>4117</v>
      </c>
      <c r="B52" t="str">
        <f>_xlfn.XLOOKUP(A52,'Part A'!$Q:$Q,'Part A'!$F:$F,0,0,1)</f>
        <v>Black or African American</v>
      </c>
      <c r="C52" t="str">
        <f>_xlfn.XLOOKUP(A52,'Part A'!$Q:$Q,'Part A'!$E:$E,0,0,1)</f>
        <v>Female</v>
      </c>
      <c r="D52">
        <f>SUMIF('Part A'!$Q:$Q,A52,'Part A'!$G:$G)</f>
        <v>190</v>
      </c>
      <c r="E52">
        <f>COUNTIF('Part A'!$Q:$Q,A52)</f>
        <v>1</v>
      </c>
    </row>
    <row r="53" spans="1:5" x14ac:dyDescent="0.3">
      <c r="A53" t="s">
        <v>4118</v>
      </c>
      <c r="B53" t="str">
        <f>_xlfn.XLOOKUP(A53,'Part A'!$Q:$Q,'Part A'!$F:$F,0,0,1)</f>
        <v>White</v>
      </c>
      <c r="C53" t="str">
        <f>_xlfn.XLOOKUP(A53,'Part A'!$Q:$Q,'Part A'!$E:$E,0,0,1)</f>
        <v>Male</v>
      </c>
      <c r="D53">
        <f>SUMIF('Part A'!$Q:$Q,A53,'Part A'!$G:$G)</f>
        <v>109</v>
      </c>
      <c r="E53">
        <f>COUNTIF('Part A'!$Q:$Q,A53)</f>
        <v>1</v>
      </c>
    </row>
    <row r="54" spans="1:5" x14ac:dyDescent="0.3">
      <c r="A54" t="s">
        <v>4119</v>
      </c>
      <c r="B54" t="str">
        <f>_xlfn.XLOOKUP(A54,'Part A'!$Q:$Q,'Part A'!$F:$F,0,0,1)</f>
        <v>White</v>
      </c>
      <c r="C54" t="str">
        <f>_xlfn.XLOOKUP(A54,'Part A'!$Q:$Q,'Part A'!$E:$E,0,0,1)</f>
        <v>Male</v>
      </c>
      <c r="D54">
        <f>SUMIF('Part A'!$Q:$Q,A54,'Part A'!$G:$G)</f>
        <v>138</v>
      </c>
      <c r="E54">
        <f>COUNTIF('Part A'!$Q:$Q,A54)</f>
        <v>2</v>
      </c>
    </row>
    <row r="55" spans="1:5" x14ac:dyDescent="0.3">
      <c r="A55" t="s">
        <v>4120</v>
      </c>
      <c r="B55" t="str">
        <f>_xlfn.XLOOKUP(A55,'Part A'!$Q:$Q,'Part A'!$F:$F,0,0,1)</f>
        <v>Black or African American</v>
      </c>
      <c r="C55" t="str">
        <f>_xlfn.XLOOKUP(A55,'Part A'!$Q:$Q,'Part A'!$E:$E,0,0,1)</f>
        <v>Male</v>
      </c>
      <c r="D55">
        <f>SUMIF('Part A'!$Q:$Q,A55,'Part A'!$G:$G)</f>
        <v>1040</v>
      </c>
      <c r="E55">
        <f>COUNTIF('Part A'!$Q:$Q,A55)</f>
        <v>2</v>
      </c>
    </row>
    <row r="56" spans="1:5" x14ac:dyDescent="0.3">
      <c r="A56" t="s">
        <v>4121</v>
      </c>
      <c r="B56" t="str">
        <f>_xlfn.XLOOKUP(A56,'Part A'!$Q:$Q,'Part A'!$F:$F,0,0,1)</f>
        <v>White</v>
      </c>
      <c r="C56" t="str">
        <f>_xlfn.XLOOKUP(A56,'Part A'!$Q:$Q,'Part A'!$E:$E,0,0,1)</f>
        <v>Male</v>
      </c>
      <c r="D56">
        <f>SUMIF('Part A'!$Q:$Q,A56,'Part A'!$G:$G)</f>
        <v>309</v>
      </c>
      <c r="E56">
        <f>COUNTIF('Part A'!$Q:$Q,A56)</f>
        <v>1</v>
      </c>
    </row>
    <row r="57" spans="1:5" x14ac:dyDescent="0.3">
      <c r="A57" t="s">
        <v>4122</v>
      </c>
      <c r="B57" t="str">
        <f>_xlfn.XLOOKUP(A57,'Part A'!$Q:$Q,'Part A'!$F:$F,0,0,1)</f>
        <v>White</v>
      </c>
      <c r="C57" t="str">
        <f>_xlfn.XLOOKUP(A57,'Part A'!$Q:$Q,'Part A'!$E:$E,0,0,1)</f>
        <v>Female</v>
      </c>
      <c r="D57">
        <f>SUMIF('Part A'!$Q:$Q,A57,'Part A'!$G:$G)</f>
        <v>217</v>
      </c>
      <c r="E57">
        <f>COUNTIF('Part A'!$Q:$Q,A57)</f>
        <v>1</v>
      </c>
    </row>
    <row r="58" spans="1:5" x14ac:dyDescent="0.3">
      <c r="A58" t="s">
        <v>4123</v>
      </c>
      <c r="B58" t="str">
        <f>_xlfn.XLOOKUP(A58,'Part A'!$Q:$Q,'Part A'!$F:$F,0,0,1)</f>
        <v>White</v>
      </c>
      <c r="C58" t="str">
        <f>_xlfn.XLOOKUP(A58,'Part A'!$Q:$Q,'Part A'!$E:$E,0,0,1)</f>
        <v>Male</v>
      </c>
      <c r="D58">
        <f>SUMIF('Part A'!$Q:$Q,A58,'Part A'!$G:$G)</f>
        <v>985</v>
      </c>
      <c r="E58">
        <f>COUNTIF('Part A'!$Q:$Q,A58)</f>
        <v>1</v>
      </c>
    </row>
    <row r="59" spans="1:5" x14ac:dyDescent="0.3">
      <c r="A59" t="s">
        <v>4124</v>
      </c>
      <c r="B59" t="str">
        <f>_xlfn.XLOOKUP(A59,'Part A'!$Q:$Q,'Part A'!$F:$F,0,0,1)</f>
        <v>Black or African American</v>
      </c>
      <c r="C59" t="str">
        <f>_xlfn.XLOOKUP(A59,'Part A'!$Q:$Q,'Part A'!$E:$E,0,0,1)</f>
        <v>Female</v>
      </c>
      <c r="D59">
        <f>SUMIF('Part A'!$Q:$Q,A59,'Part A'!$G:$G)</f>
        <v>338</v>
      </c>
      <c r="E59">
        <f>COUNTIF('Part A'!$Q:$Q,A59)</f>
        <v>1</v>
      </c>
    </row>
    <row r="60" spans="1:5" x14ac:dyDescent="0.3">
      <c r="A60" t="s">
        <v>4125</v>
      </c>
      <c r="B60" t="str">
        <f>_xlfn.XLOOKUP(A60,'Part A'!$Q:$Q,'Part A'!$F:$F,0,0,1)</f>
        <v>Asian</v>
      </c>
      <c r="C60" t="str">
        <f>_xlfn.XLOOKUP(A60,'Part A'!$Q:$Q,'Part A'!$E:$E,0,0,1)</f>
        <v>Male</v>
      </c>
      <c r="D60">
        <f>SUMIF('Part A'!$Q:$Q,A60,'Part A'!$G:$G)</f>
        <v>624</v>
      </c>
      <c r="E60">
        <f>COUNTIF('Part A'!$Q:$Q,A60)</f>
        <v>1</v>
      </c>
    </row>
    <row r="61" spans="1:5" x14ac:dyDescent="0.3">
      <c r="A61" t="s">
        <v>4126</v>
      </c>
      <c r="B61" t="str">
        <f>_xlfn.XLOOKUP(A61,'Part A'!$Q:$Q,'Part A'!$F:$F,0,0,1)</f>
        <v>Mexican</v>
      </c>
      <c r="C61" t="str">
        <f>_xlfn.XLOOKUP(A61,'Part A'!$Q:$Q,'Part A'!$E:$E,0,0,1)</f>
        <v>Female</v>
      </c>
      <c r="D61">
        <f>SUMIF('Part A'!$Q:$Q,A61,'Part A'!$G:$G)</f>
        <v>763</v>
      </c>
      <c r="E61">
        <f>COUNTIF('Part A'!$Q:$Q,A61)</f>
        <v>1</v>
      </c>
    </row>
    <row r="62" spans="1:5" x14ac:dyDescent="0.3">
      <c r="A62" t="s">
        <v>4127</v>
      </c>
      <c r="B62" t="str">
        <f>_xlfn.XLOOKUP(A62,'Part A'!$Q:$Q,'Part A'!$F:$F,0,0,1)</f>
        <v>White</v>
      </c>
      <c r="C62" t="str">
        <f>_xlfn.XLOOKUP(A62,'Part A'!$Q:$Q,'Part A'!$E:$E,0,0,1)</f>
        <v>Male</v>
      </c>
      <c r="D62">
        <f>SUMIF('Part A'!$Q:$Q,A62,'Part A'!$G:$G)</f>
        <v>882</v>
      </c>
      <c r="E62">
        <f>COUNTIF('Part A'!$Q:$Q,A62)</f>
        <v>1</v>
      </c>
    </row>
    <row r="63" spans="1:5" x14ac:dyDescent="0.3">
      <c r="A63" t="s">
        <v>4128</v>
      </c>
      <c r="B63" t="str">
        <f>_xlfn.XLOOKUP(A63,'Part A'!$Q:$Q,'Part A'!$F:$F,0,0,1)</f>
        <v>American Indian</v>
      </c>
      <c r="C63" t="str">
        <f>_xlfn.XLOOKUP(A63,'Part A'!$Q:$Q,'Part A'!$E:$E,0,0,1)</f>
        <v>Male</v>
      </c>
      <c r="D63">
        <f>SUMIF('Part A'!$Q:$Q,A63,'Part A'!$G:$G)</f>
        <v>282</v>
      </c>
      <c r="E63">
        <f>COUNTIF('Part A'!$Q:$Q,A63)</f>
        <v>1</v>
      </c>
    </row>
    <row r="64" spans="1:5" x14ac:dyDescent="0.3">
      <c r="A64" t="s">
        <v>4129</v>
      </c>
      <c r="B64" t="str">
        <f>_xlfn.XLOOKUP(A64,'Part A'!$Q:$Q,'Part A'!$F:$F,0,0,1)</f>
        <v>Black or African American</v>
      </c>
      <c r="C64" t="str">
        <f>_xlfn.XLOOKUP(A64,'Part A'!$Q:$Q,'Part A'!$E:$E,0,0,1)</f>
        <v>Male</v>
      </c>
      <c r="D64">
        <f>SUMIF('Part A'!$Q:$Q,A64,'Part A'!$G:$G)</f>
        <v>7359</v>
      </c>
      <c r="E64">
        <f>COUNTIF('Part A'!$Q:$Q,A64)</f>
        <v>14</v>
      </c>
    </row>
    <row r="65" spans="1:5" x14ac:dyDescent="0.3">
      <c r="A65" t="s">
        <v>4130</v>
      </c>
      <c r="B65" t="str">
        <f>_xlfn.XLOOKUP(A65,'Part A'!$Q:$Q,'Part A'!$F:$F,0,0,1)</f>
        <v>White</v>
      </c>
      <c r="C65" t="str">
        <f>_xlfn.XLOOKUP(A65,'Part A'!$Q:$Q,'Part A'!$E:$E,0,0,1)</f>
        <v>Male</v>
      </c>
      <c r="D65">
        <f>SUMIF('Part A'!$Q:$Q,A65,'Part A'!$G:$G)</f>
        <v>1185</v>
      </c>
      <c r="E65">
        <f>COUNTIF('Part A'!$Q:$Q,A65)</f>
        <v>2</v>
      </c>
    </row>
    <row r="66" spans="1:5" x14ac:dyDescent="0.3">
      <c r="A66" t="s">
        <v>4131</v>
      </c>
      <c r="B66" t="str">
        <f>_xlfn.XLOOKUP(A66,'Part A'!$Q:$Q,'Part A'!$F:$F,0,0,1)</f>
        <v>White</v>
      </c>
      <c r="C66" t="str">
        <f>_xlfn.XLOOKUP(A66,'Part A'!$Q:$Q,'Part A'!$E:$E,0,0,1)</f>
        <v>Female</v>
      </c>
      <c r="D66">
        <f>SUMIF('Part A'!$Q:$Q,A66,'Part A'!$G:$G)</f>
        <v>957</v>
      </c>
      <c r="E66">
        <f>COUNTIF('Part A'!$Q:$Q,A66)</f>
        <v>1</v>
      </c>
    </row>
    <row r="67" spans="1:5" x14ac:dyDescent="0.3">
      <c r="A67" t="s">
        <v>4132</v>
      </c>
      <c r="B67" t="str">
        <f>_xlfn.XLOOKUP(A67,'Part A'!$Q:$Q,'Part A'!$F:$F,0,0,1)</f>
        <v>White</v>
      </c>
      <c r="C67" t="str">
        <f>_xlfn.XLOOKUP(A67,'Part A'!$Q:$Q,'Part A'!$E:$E,0,0,1)</f>
        <v>Male</v>
      </c>
      <c r="D67">
        <f>SUMIF('Part A'!$Q:$Q,A67,'Part A'!$G:$G)</f>
        <v>545</v>
      </c>
      <c r="E67">
        <f>COUNTIF('Part A'!$Q:$Q,A67)</f>
        <v>1</v>
      </c>
    </row>
    <row r="68" spans="1:5" x14ac:dyDescent="0.3">
      <c r="A68" t="s">
        <v>4133</v>
      </c>
      <c r="B68" t="str">
        <f>_xlfn.XLOOKUP(A68,'Part A'!$Q:$Q,'Part A'!$F:$F,0,0,1)</f>
        <v>White</v>
      </c>
      <c r="C68" t="str">
        <f>_xlfn.XLOOKUP(A68,'Part A'!$Q:$Q,'Part A'!$E:$E,0,0,1)</f>
        <v>Male</v>
      </c>
      <c r="D68">
        <f>SUMIF('Part A'!$Q:$Q,A68,'Part A'!$G:$G)</f>
        <v>577</v>
      </c>
      <c r="E68">
        <f>COUNTIF('Part A'!$Q:$Q,A68)</f>
        <v>1</v>
      </c>
    </row>
    <row r="69" spans="1:5" x14ac:dyDescent="0.3">
      <c r="A69" t="s">
        <v>4134</v>
      </c>
      <c r="B69" t="str">
        <f>_xlfn.XLOOKUP(A69,'Part A'!$Q:$Q,'Part A'!$F:$F,0,0,1)</f>
        <v>White</v>
      </c>
      <c r="C69" t="str">
        <f>_xlfn.XLOOKUP(A69,'Part A'!$Q:$Q,'Part A'!$E:$E,0,0,1)</f>
        <v>Male</v>
      </c>
      <c r="D69">
        <f>SUMIF('Part A'!$Q:$Q,A69,'Part A'!$G:$G)</f>
        <v>620</v>
      </c>
      <c r="E69">
        <f>COUNTIF('Part A'!$Q:$Q,A69)</f>
        <v>2</v>
      </c>
    </row>
    <row r="70" spans="1:5" x14ac:dyDescent="0.3">
      <c r="A70" t="s">
        <v>4135</v>
      </c>
      <c r="B70" t="str">
        <f>_xlfn.XLOOKUP(A70,'Part A'!$Q:$Q,'Part A'!$F:$F,0,0,1)</f>
        <v>White</v>
      </c>
      <c r="C70" t="str">
        <f>_xlfn.XLOOKUP(A70,'Part A'!$Q:$Q,'Part A'!$E:$E,0,0,1)</f>
        <v>Male</v>
      </c>
      <c r="D70">
        <f>SUMIF('Part A'!$Q:$Q,A70,'Part A'!$G:$G)</f>
        <v>1178</v>
      </c>
      <c r="E70">
        <f>COUNTIF('Part A'!$Q:$Q,A70)</f>
        <v>2</v>
      </c>
    </row>
    <row r="71" spans="1:5" x14ac:dyDescent="0.3">
      <c r="A71" t="s">
        <v>4136</v>
      </c>
      <c r="B71" t="str">
        <f>_xlfn.XLOOKUP(A71,'Part A'!$Q:$Q,'Part A'!$F:$F,0,0,1)</f>
        <v>White</v>
      </c>
      <c r="C71" t="str">
        <f>_xlfn.XLOOKUP(A71,'Part A'!$Q:$Q,'Part A'!$E:$E,0,0,1)</f>
        <v>Female</v>
      </c>
      <c r="D71">
        <f>SUMIF('Part A'!$Q:$Q,A71,'Part A'!$G:$G)</f>
        <v>1322</v>
      </c>
      <c r="E71">
        <f>COUNTIF('Part A'!$Q:$Q,A71)</f>
        <v>2</v>
      </c>
    </row>
    <row r="72" spans="1:5" x14ac:dyDescent="0.3">
      <c r="A72" t="s">
        <v>4137</v>
      </c>
      <c r="B72" t="str">
        <f>_xlfn.XLOOKUP(A72,'Part A'!$Q:$Q,'Part A'!$F:$F,0,0,1)</f>
        <v>White</v>
      </c>
      <c r="C72" t="str">
        <f>_xlfn.XLOOKUP(A72,'Part A'!$Q:$Q,'Part A'!$E:$E,0,0,1)</f>
        <v>Male</v>
      </c>
      <c r="D72">
        <f>SUMIF('Part A'!$Q:$Q,A72,'Part A'!$G:$G)</f>
        <v>497</v>
      </c>
      <c r="E72">
        <f>COUNTIF('Part A'!$Q:$Q,A72)</f>
        <v>1</v>
      </c>
    </row>
    <row r="73" spans="1:5" x14ac:dyDescent="0.3">
      <c r="A73" t="s">
        <v>4041</v>
      </c>
      <c r="B73" t="str">
        <f>_xlfn.XLOOKUP(A73,'Part A'!$Q:$Q,'Part A'!$F:$F,0,0,1)</f>
        <v>White</v>
      </c>
      <c r="C73" t="str">
        <f>_xlfn.XLOOKUP(A73,'Part A'!$Q:$Q,'Part A'!$E:$E,0,0,1)</f>
        <v>Female</v>
      </c>
      <c r="D73">
        <f>SUMIF('Part A'!$Q:$Q,A73,'Part A'!$G:$G)</f>
        <v>350</v>
      </c>
      <c r="E73">
        <f>COUNTIF('Part A'!$Q:$Q,A73)</f>
        <v>1</v>
      </c>
    </row>
    <row r="74" spans="1:5" x14ac:dyDescent="0.3">
      <c r="A74" t="s">
        <v>4138</v>
      </c>
      <c r="B74" t="str">
        <f>_xlfn.XLOOKUP(A74,'Part A'!$Q:$Q,'Part A'!$F:$F,0,0,1)</f>
        <v>White</v>
      </c>
      <c r="C74" t="str">
        <f>_xlfn.XLOOKUP(A74,'Part A'!$Q:$Q,'Part A'!$E:$E,0,0,1)</f>
        <v>Male</v>
      </c>
      <c r="D74">
        <f>SUMIF('Part A'!$Q:$Q,A74,'Part A'!$G:$G)</f>
        <v>1449</v>
      </c>
      <c r="E74">
        <f>COUNTIF('Part A'!$Q:$Q,A74)</f>
        <v>2</v>
      </c>
    </row>
    <row r="75" spans="1:5" x14ac:dyDescent="0.3">
      <c r="A75" t="s">
        <v>4139</v>
      </c>
      <c r="B75" t="str">
        <f>_xlfn.XLOOKUP(A75,'Part A'!$Q:$Q,'Part A'!$F:$F,0,0,1)</f>
        <v>Mexican</v>
      </c>
      <c r="C75" t="str">
        <f>_xlfn.XLOOKUP(A75,'Part A'!$Q:$Q,'Part A'!$E:$E,0,0,1)</f>
        <v>Female</v>
      </c>
      <c r="D75">
        <f>SUMIF('Part A'!$Q:$Q,A75,'Part A'!$G:$G)</f>
        <v>2712</v>
      </c>
      <c r="E75">
        <f>COUNTIF('Part A'!$Q:$Q,A75)</f>
        <v>4</v>
      </c>
    </row>
    <row r="76" spans="1:5" x14ac:dyDescent="0.3">
      <c r="A76" t="s">
        <v>4140</v>
      </c>
      <c r="B76" t="str">
        <f>_xlfn.XLOOKUP(A76,'Part A'!$Q:$Q,'Part A'!$F:$F,0,0,1)</f>
        <v>Mexican</v>
      </c>
      <c r="C76" t="str">
        <f>_xlfn.XLOOKUP(A76,'Part A'!$Q:$Q,'Part A'!$E:$E,0,0,1)</f>
        <v>Male</v>
      </c>
      <c r="D76">
        <f>SUMIF('Part A'!$Q:$Q,A76,'Part A'!$G:$G)</f>
        <v>2564</v>
      </c>
      <c r="E76">
        <f>COUNTIF('Part A'!$Q:$Q,A76)</f>
        <v>4</v>
      </c>
    </row>
    <row r="77" spans="1:5" x14ac:dyDescent="0.3">
      <c r="A77" t="s">
        <v>4141</v>
      </c>
      <c r="B77" t="str">
        <f>_xlfn.XLOOKUP(A77,'Part A'!$Q:$Q,'Part A'!$F:$F,0,0,1)</f>
        <v>White</v>
      </c>
      <c r="C77" t="str">
        <f>_xlfn.XLOOKUP(A77,'Part A'!$Q:$Q,'Part A'!$E:$E,0,0,1)</f>
        <v>Male</v>
      </c>
      <c r="D77">
        <f>SUMIF('Part A'!$Q:$Q,A77,'Part A'!$G:$G)</f>
        <v>761</v>
      </c>
      <c r="E77">
        <f>COUNTIF('Part A'!$Q:$Q,A77)</f>
        <v>1</v>
      </c>
    </row>
    <row r="78" spans="1:5" x14ac:dyDescent="0.3">
      <c r="A78" t="s">
        <v>4142</v>
      </c>
      <c r="B78" t="str">
        <f>_xlfn.XLOOKUP(A78,'Part A'!$Q:$Q,'Part A'!$F:$F,0,0,1)</f>
        <v>Black or African American</v>
      </c>
      <c r="C78" t="str">
        <f>_xlfn.XLOOKUP(A78,'Part A'!$Q:$Q,'Part A'!$E:$E,0,0,1)</f>
        <v>Female</v>
      </c>
      <c r="D78">
        <f>SUMIF('Part A'!$Q:$Q,A78,'Part A'!$G:$G)</f>
        <v>6215</v>
      </c>
      <c r="E78">
        <f>COUNTIF('Part A'!$Q:$Q,A78)</f>
        <v>11</v>
      </c>
    </row>
    <row r="79" spans="1:5" x14ac:dyDescent="0.3">
      <c r="A79" t="s">
        <v>4143</v>
      </c>
      <c r="B79" t="str">
        <f>_xlfn.XLOOKUP(A79,'Part A'!$Q:$Q,'Part A'!$F:$F,0,0,1)</f>
        <v>Asian</v>
      </c>
      <c r="C79" t="str">
        <f>_xlfn.XLOOKUP(A79,'Part A'!$Q:$Q,'Part A'!$E:$E,0,0,1)</f>
        <v>Female</v>
      </c>
      <c r="D79">
        <f>SUMIF('Part A'!$Q:$Q,A79,'Part A'!$G:$G)</f>
        <v>69</v>
      </c>
      <c r="E79">
        <f>COUNTIF('Part A'!$Q:$Q,A79)</f>
        <v>1</v>
      </c>
    </row>
    <row r="80" spans="1:5" x14ac:dyDescent="0.3">
      <c r="A80" t="s">
        <v>4042</v>
      </c>
      <c r="B80" t="str">
        <f>_xlfn.XLOOKUP(A80,'Part A'!$Q:$Q,'Part A'!$F:$F,0,0,1)</f>
        <v>Asian</v>
      </c>
      <c r="C80" t="str">
        <f>_xlfn.XLOOKUP(A80,'Part A'!$Q:$Q,'Part A'!$E:$E,0,0,1)</f>
        <v>Male</v>
      </c>
      <c r="D80">
        <f>SUMIF('Part A'!$Q:$Q,A80,'Part A'!$G:$G)</f>
        <v>913</v>
      </c>
      <c r="E80">
        <f>COUNTIF('Part A'!$Q:$Q,A80)</f>
        <v>1</v>
      </c>
    </row>
    <row r="81" spans="1:5" x14ac:dyDescent="0.3">
      <c r="A81" t="s">
        <v>4144</v>
      </c>
      <c r="B81" t="str">
        <f>_xlfn.XLOOKUP(A81,'Part A'!$Q:$Q,'Part A'!$F:$F,0,0,1)</f>
        <v>White</v>
      </c>
      <c r="C81" t="str">
        <f>_xlfn.XLOOKUP(A81,'Part A'!$Q:$Q,'Part A'!$E:$E,0,0,1)</f>
        <v>Male</v>
      </c>
      <c r="D81">
        <f>SUMIF('Part A'!$Q:$Q,A81,'Part A'!$G:$G)</f>
        <v>368</v>
      </c>
      <c r="E81">
        <f>COUNTIF('Part A'!$Q:$Q,A81)</f>
        <v>1</v>
      </c>
    </row>
    <row r="82" spans="1:5" x14ac:dyDescent="0.3">
      <c r="A82" t="s">
        <v>4145</v>
      </c>
      <c r="B82" t="str">
        <f>_xlfn.XLOOKUP(A82,'Part A'!$Q:$Q,'Part A'!$F:$F,0,0,1)</f>
        <v>White</v>
      </c>
      <c r="C82" t="str">
        <f>_xlfn.XLOOKUP(A82,'Part A'!$Q:$Q,'Part A'!$E:$E,0,0,1)</f>
        <v>Male</v>
      </c>
      <c r="D82">
        <f>SUMIF('Part A'!$Q:$Q,A82,'Part A'!$G:$G)</f>
        <v>519</v>
      </c>
      <c r="E82">
        <f>COUNTIF('Part A'!$Q:$Q,A82)</f>
        <v>1</v>
      </c>
    </row>
    <row r="83" spans="1:5" x14ac:dyDescent="0.3">
      <c r="A83" t="s">
        <v>4146</v>
      </c>
      <c r="B83" t="str">
        <f>_xlfn.XLOOKUP(A83,'Part A'!$Q:$Q,'Part A'!$F:$F,0,0,1)</f>
        <v>White</v>
      </c>
      <c r="C83" t="str">
        <f>_xlfn.XLOOKUP(A83,'Part A'!$Q:$Q,'Part A'!$E:$E,0,0,1)</f>
        <v>Male</v>
      </c>
      <c r="D83">
        <f>SUMIF('Part A'!$Q:$Q,A83,'Part A'!$G:$G)</f>
        <v>401</v>
      </c>
      <c r="E83">
        <f>COUNTIF('Part A'!$Q:$Q,A83)</f>
        <v>1</v>
      </c>
    </row>
    <row r="84" spans="1:5" x14ac:dyDescent="0.3">
      <c r="A84" t="s">
        <v>4147</v>
      </c>
      <c r="B84" t="str">
        <f>_xlfn.XLOOKUP(A84,'Part A'!$Q:$Q,'Part A'!$F:$F,0,0,1)</f>
        <v>Taiwanese</v>
      </c>
      <c r="C84" t="str">
        <f>_xlfn.XLOOKUP(A84,'Part A'!$Q:$Q,'Part A'!$E:$E,0,0,1)</f>
        <v>Male</v>
      </c>
      <c r="D84">
        <f>SUMIF('Part A'!$Q:$Q,A84,'Part A'!$G:$G)</f>
        <v>20</v>
      </c>
      <c r="E84">
        <f>COUNTIF('Part A'!$Q:$Q,A84)</f>
        <v>1</v>
      </c>
    </row>
    <row r="85" spans="1:5" x14ac:dyDescent="0.3">
      <c r="A85" t="s">
        <v>4148</v>
      </c>
      <c r="B85" t="str">
        <f>_xlfn.XLOOKUP(A85,'Part A'!$Q:$Q,'Part A'!$F:$F,0,0,1)</f>
        <v>White</v>
      </c>
      <c r="C85" t="str">
        <f>_xlfn.XLOOKUP(A85,'Part A'!$Q:$Q,'Part A'!$E:$E,0,0,1)</f>
        <v>Female</v>
      </c>
      <c r="D85">
        <f>SUMIF('Part A'!$Q:$Q,A85,'Part A'!$G:$G)</f>
        <v>840</v>
      </c>
      <c r="E85">
        <f>COUNTIF('Part A'!$Q:$Q,A85)</f>
        <v>1</v>
      </c>
    </row>
    <row r="86" spans="1:5" x14ac:dyDescent="0.3">
      <c r="A86" t="s">
        <v>4149</v>
      </c>
      <c r="B86" t="str">
        <f>_xlfn.XLOOKUP(A86,'Part A'!$Q:$Q,'Part A'!$F:$F,0,0,1)</f>
        <v>White</v>
      </c>
      <c r="C86" t="str">
        <f>_xlfn.XLOOKUP(A86,'Part A'!$Q:$Q,'Part A'!$E:$E,0,0,1)</f>
        <v>Female</v>
      </c>
      <c r="D86">
        <f>SUMIF('Part A'!$Q:$Q,A86,'Part A'!$G:$G)</f>
        <v>946</v>
      </c>
      <c r="E86">
        <f>COUNTIF('Part A'!$Q:$Q,A86)</f>
        <v>1</v>
      </c>
    </row>
    <row r="87" spans="1:5" x14ac:dyDescent="0.3">
      <c r="A87" t="s">
        <v>4150</v>
      </c>
      <c r="B87" t="str">
        <f>_xlfn.XLOOKUP(A87,'Part A'!$Q:$Q,'Part A'!$F:$F,0,0,1)</f>
        <v>White</v>
      </c>
      <c r="C87" t="str">
        <f>_xlfn.XLOOKUP(A87,'Part A'!$Q:$Q,'Part A'!$E:$E,0,0,1)</f>
        <v>Female</v>
      </c>
      <c r="D87">
        <f>SUMIF('Part A'!$Q:$Q,A87,'Part A'!$G:$G)</f>
        <v>439</v>
      </c>
      <c r="E87">
        <f>COUNTIF('Part A'!$Q:$Q,A87)</f>
        <v>1</v>
      </c>
    </row>
    <row r="88" spans="1:5" x14ac:dyDescent="0.3">
      <c r="A88" t="s">
        <v>4151</v>
      </c>
      <c r="B88" t="str">
        <f>_xlfn.XLOOKUP(A88,'Part A'!$Q:$Q,'Part A'!$F:$F,0,0,1)</f>
        <v>White</v>
      </c>
      <c r="C88" t="str">
        <f>_xlfn.XLOOKUP(A88,'Part A'!$Q:$Q,'Part A'!$E:$E,0,0,1)</f>
        <v>Male</v>
      </c>
      <c r="D88">
        <f>SUMIF('Part A'!$Q:$Q,A88,'Part A'!$G:$G)</f>
        <v>779</v>
      </c>
      <c r="E88">
        <f>COUNTIF('Part A'!$Q:$Q,A88)</f>
        <v>1</v>
      </c>
    </row>
    <row r="89" spans="1:5" x14ac:dyDescent="0.3">
      <c r="A89" t="s">
        <v>4152</v>
      </c>
      <c r="B89" t="str">
        <f>_xlfn.XLOOKUP(A89,'Part A'!$Q:$Q,'Part A'!$F:$F,0,0,1)</f>
        <v>Black or African American</v>
      </c>
      <c r="C89" t="str">
        <f>_xlfn.XLOOKUP(A89,'Part A'!$Q:$Q,'Part A'!$E:$E,0,0,1)</f>
        <v>Male</v>
      </c>
      <c r="D89">
        <f>SUMIF('Part A'!$Q:$Q,A89,'Part A'!$G:$G)</f>
        <v>438</v>
      </c>
      <c r="E89">
        <f>COUNTIF('Part A'!$Q:$Q,A89)</f>
        <v>1</v>
      </c>
    </row>
    <row r="90" spans="1:5" x14ac:dyDescent="0.3">
      <c r="A90" t="s">
        <v>4153</v>
      </c>
      <c r="B90" t="str">
        <f>_xlfn.XLOOKUP(A90,'Part A'!$Q:$Q,'Part A'!$F:$F,0,0,1)</f>
        <v>Black or African American</v>
      </c>
      <c r="C90" t="str">
        <f>_xlfn.XLOOKUP(A90,'Part A'!$Q:$Q,'Part A'!$E:$E,0,0,1)</f>
        <v>Female</v>
      </c>
      <c r="D90">
        <f>SUMIF('Part A'!$Q:$Q,A90,'Part A'!$G:$G)</f>
        <v>951</v>
      </c>
      <c r="E90">
        <f>COUNTIF('Part A'!$Q:$Q,A90)</f>
        <v>1</v>
      </c>
    </row>
    <row r="91" spans="1:5" x14ac:dyDescent="0.3">
      <c r="A91" t="s">
        <v>4154</v>
      </c>
      <c r="B91" t="str">
        <f>_xlfn.XLOOKUP(A91,'Part A'!$Q:$Q,'Part A'!$F:$F,0,0,1)</f>
        <v>Black or African American</v>
      </c>
      <c r="C91" t="str">
        <f>_xlfn.XLOOKUP(A91,'Part A'!$Q:$Q,'Part A'!$E:$E,0,0,1)</f>
        <v>Female</v>
      </c>
      <c r="D91">
        <f>SUMIF('Part A'!$Q:$Q,A91,'Part A'!$G:$G)</f>
        <v>7124</v>
      </c>
      <c r="E91">
        <f>COUNTIF('Part A'!$Q:$Q,A91)</f>
        <v>17</v>
      </c>
    </row>
    <row r="92" spans="1:5" x14ac:dyDescent="0.3">
      <c r="A92" t="s">
        <v>4155</v>
      </c>
      <c r="B92" t="str">
        <f>_xlfn.XLOOKUP(A92,'Part A'!$Q:$Q,'Part A'!$F:$F,0,0,1)</f>
        <v>Black or African American</v>
      </c>
      <c r="C92" t="str">
        <f>_xlfn.XLOOKUP(A92,'Part A'!$Q:$Q,'Part A'!$E:$E,0,0,1)</f>
        <v>Male</v>
      </c>
      <c r="D92">
        <f>SUMIF('Part A'!$Q:$Q,A92,'Part A'!$G:$G)</f>
        <v>4660</v>
      </c>
      <c r="E92">
        <f>COUNTIF('Part A'!$Q:$Q,A92)</f>
        <v>10</v>
      </c>
    </row>
    <row r="93" spans="1:5" x14ac:dyDescent="0.3">
      <c r="A93" t="s">
        <v>4156</v>
      </c>
      <c r="B93" t="str">
        <f>_xlfn.XLOOKUP(A93,'Part A'!$Q:$Q,'Part A'!$F:$F,0,0,1)</f>
        <v>Black or African American</v>
      </c>
      <c r="C93" t="str">
        <f>_xlfn.XLOOKUP(A93,'Part A'!$Q:$Q,'Part A'!$E:$E,0,0,1)</f>
        <v>Male</v>
      </c>
      <c r="D93">
        <f>SUMIF('Part A'!$Q:$Q,A93,'Part A'!$G:$G)</f>
        <v>239</v>
      </c>
      <c r="E93">
        <f>COUNTIF('Part A'!$Q:$Q,A93)</f>
        <v>1</v>
      </c>
    </row>
    <row r="94" spans="1:5" x14ac:dyDescent="0.3">
      <c r="A94" t="s">
        <v>4157</v>
      </c>
      <c r="B94" t="str">
        <f>_xlfn.XLOOKUP(A94,'Part A'!$Q:$Q,'Part A'!$F:$F,0,0,1)</f>
        <v>Black or African American</v>
      </c>
      <c r="C94" t="str">
        <f>_xlfn.XLOOKUP(A94,'Part A'!$Q:$Q,'Part A'!$E:$E,0,0,1)</f>
        <v>Male</v>
      </c>
      <c r="D94">
        <f>SUMIF('Part A'!$Q:$Q,A94,'Part A'!$G:$G)</f>
        <v>867</v>
      </c>
      <c r="E94">
        <f>COUNTIF('Part A'!$Q:$Q,A94)</f>
        <v>1</v>
      </c>
    </row>
    <row r="95" spans="1:5" x14ac:dyDescent="0.3">
      <c r="A95" t="s">
        <v>4158</v>
      </c>
      <c r="B95" t="str">
        <f>_xlfn.XLOOKUP(A95,'Part A'!$Q:$Q,'Part A'!$F:$F,0,0,1)</f>
        <v>White</v>
      </c>
      <c r="C95" t="str">
        <f>_xlfn.XLOOKUP(A95,'Part A'!$Q:$Q,'Part A'!$E:$E,0,0,1)</f>
        <v>Female</v>
      </c>
      <c r="D95">
        <f>SUMIF('Part A'!$Q:$Q,A95,'Part A'!$G:$G)</f>
        <v>793</v>
      </c>
      <c r="E95">
        <f>COUNTIF('Part A'!$Q:$Q,A95)</f>
        <v>1</v>
      </c>
    </row>
    <row r="96" spans="1:5" x14ac:dyDescent="0.3">
      <c r="A96" t="s">
        <v>4159</v>
      </c>
      <c r="B96" t="str">
        <f>_xlfn.XLOOKUP(A96,'Part A'!$Q:$Q,'Part A'!$F:$F,0,0,1)</f>
        <v>White</v>
      </c>
      <c r="C96" t="str">
        <f>_xlfn.XLOOKUP(A96,'Part A'!$Q:$Q,'Part A'!$E:$E,0,0,1)</f>
        <v>Female</v>
      </c>
      <c r="D96">
        <f>SUMIF('Part A'!$Q:$Q,A96,'Part A'!$G:$G)</f>
        <v>813</v>
      </c>
      <c r="E96">
        <f>COUNTIF('Part A'!$Q:$Q,A96)</f>
        <v>1</v>
      </c>
    </row>
    <row r="97" spans="1:5" x14ac:dyDescent="0.3">
      <c r="A97" t="s">
        <v>4160</v>
      </c>
      <c r="B97" t="str">
        <f>_xlfn.XLOOKUP(A97,'Part A'!$Q:$Q,'Part A'!$F:$F,0,0,1)</f>
        <v>White</v>
      </c>
      <c r="C97" t="str">
        <f>_xlfn.XLOOKUP(A97,'Part A'!$Q:$Q,'Part A'!$E:$E,0,0,1)</f>
        <v>Female</v>
      </c>
      <c r="D97">
        <f>SUMIF('Part A'!$Q:$Q,A97,'Part A'!$G:$G)</f>
        <v>118</v>
      </c>
      <c r="E97">
        <f>COUNTIF('Part A'!$Q:$Q,A97)</f>
        <v>1</v>
      </c>
    </row>
    <row r="98" spans="1:5" x14ac:dyDescent="0.3">
      <c r="A98" t="s">
        <v>4161</v>
      </c>
      <c r="B98" t="str">
        <f>_xlfn.XLOOKUP(A98,'Part A'!$Q:$Q,'Part A'!$F:$F,0,0,1)</f>
        <v>White</v>
      </c>
      <c r="C98" t="str">
        <f>_xlfn.XLOOKUP(A98,'Part A'!$Q:$Q,'Part A'!$E:$E,0,0,1)</f>
        <v>Male</v>
      </c>
      <c r="D98">
        <f>SUMIF('Part A'!$Q:$Q,A98,'Part A'!$G:$G)</f>
        <v>666</v>
      </c>
      <c r="E98">
        <f>COUNTIF('Part A'!$Q:$Q,A98)</f>
        <v>1</v>
      </c>
    </row>
    <row r="99" spans="1:5" x14ac:dyDescent="0.3">
      <c r="A99" t="s">
        <v>4162</v>
      </c>
      <c r="B99" t="str">
        <f>_xlfn.XLOOKUP(A99,'Part A'!$Q:$Q,'Part A'!$F:$F,0,0,1)</f>
        <v>Asian</v>
      </c>
      <c r="C99" t="str">
        <f>_xlfn.XLOOKUP(A99,'Part A'!$Q:$Q,'Part A'!$E:$E,0,0,1)</f>
        <v>Female</v>
      </c>
      <c r="D99">
        <f>SUMIF('Part A'!$Q:$Q,A99,'Part A'!$G:$G)</f>
        <v>611</v>
      </c>
      <c r="E99">
        <f>COUNTIF('Part A'!$Q:$Q,A99)</f>
        <v>1</v>
      </c>
    </row>
    <row r="100" spans="1:5" x14ac:dyDescent="0.3">
      <c r="A100" t="s">
        <v>4163</v>
      </c>
      <c r="B100" t="str">
        <f>_xlfn.XLOOKUP(A100,'Part A'!$Q:$Q,'Part A'!$F:$F,0,0,1)</f>
        <v>White</v>
      </c>
      <c r="C100" t="str">
        <f>_xlfn.XLOOKUP(A100,'Part A'!$Q:$Q,'Part A'!$E:$E,0,0,1)</f>
        <v>Female</v>
      </c>
      <c r="D100">
        <f>SUMIF('Part A'!$Q:$Q,A100,'Part A'!$G:$G)</f>
        <v>204</v>
      </c>
      <c r="E100">
        <f>COUNTIF('Part A'!$Q:$Q,A100)</f>
        <v>1</v>
      </c>
    </row>
    <row r="101" spans="1:5" x14ac:dyDescent="0.3">
      <c r="A101" t="s">
        <v>4164</v>
      </c>
      <c r="B101" t="str">
        <f>_xlfn.XLOOKUP(A101,'Part A'!$Q:$Q,'Part A'!$F:$F,0,0,1)</f>
        <v>Taiwanese</v>
      </c>
      <c r="C101" t="str">
        <f>_xlfn.XLOOKUP(A101,'Part A'!$Q:$Q,'Part A'!$E:$E,0,0,1)</f>
        <v>Female</v>
      </c>
      <c r="D101">
        <f>SUMIF('Part A'!$Q:$Q,A101,'Part A'!$G:$G)</f>
        <v>593</v>
      </c>
      <c r="E101">
        <f>COUNTIF('Part A'!$Q:$Q,A101)</f>
        <v>1</v>
      </c>
    </row>
    <row r="102" spans="1:5" x14ac:dyDescent="0.3">
      <c r="A102" t="s">
        <v>4165</v>
      </c>
      <c r="B102" t="str">
        <f>_xlfn.XLOOKUP(A102,'Part A'!$Q:$Q,'Part A'!$F:$F,0,0,1)</f>
        <v>Mexican</v>
      </c>
      <c r="C102" t="str">
        <f>_xlfn.XLOOKUP(A102,'Part A'!$Q:$Q,'Part A'!$E:$E,0,0,1)</f>
        <v>Female</v>
      </c>
      <c r="D102">
        <f>SUMIF('Part A'!$Q:$Q,A102,'Part A'!$G:$G)</f>
        <v>214</v>
      </c>
      <c r="E102">
        <f>COUNTIF('Part A'!$Q:$Q,A102)</f>
        <v>1</v>
      </c>
    </row>
    <row r="103" spans="1:5" x14ac:dyDescent="0.3">
      <c r="A103" t="s">
        <v>4166</v>
      </c>
      <c r="B103" t="str">
        <f>_xlfn.XLOOKUP(A103,'Part A'!$Q:$Q,'Part A'!$F:$F,0,0,1)</f>
        <v>White</v>
      </c>
      <c r="C103" t="str">
        <f>_xlfn.XLOOKUP(A103,'Part A'!$Q:$Q,'Part A'!$E:$E,0,0,1)</f>
        <v>Female</v>
      </c>
      <c r="D103">
        <f>SUMIF('Part A'!$Q:$Q,A103,'Part A'!$G:$G)</f>
        <v>197</v>
      </c>
      <c r="E103">
        <f>COUNTIF('Part A'!$Q:$Q,A103)</f>
        <v>1</v>
      </c>
    </row>
    <row r="104" spans="1:5" x14ac:dyDescent="0.3">
      <c r="A104" t="s">
        <v>4167</v>
      </c>
      <c r="B104" t="str">
        <f>_xlfn.XLOOKUP(A104,'Part A'!$Q:$Q,'Part A'!$F:$F,0,0,1)</f>
        <v>Thai</v>
      </c>
      <c r="C104" t="str">
        <f>_xlfn.XLOOKUP(A104,'Part A'!$Q:$Q,'Part A'!$E:$E,0,0,1)</f>
        <v>Female</v>
      </c>
      <c r="D104">
        <f>SUMIF('Part A'!$Q:$Q,A104,'Part A'!$G:$G)</f>
        <v>860</v>
      </c>
      <c r="E104">
        <f>COUNTIF('Part A'!$Q:$Q,A104)</f>
        <v>1</v>
      </c>
    </row>
    <row r="105" spans="1:5" x14ac:dyDescent="0.3">
      <c r="A105" t="s">
        <v>4168</v>
      </c>
      <c r="B105" t="str">
        <f>_xlfn.XLOOKUP(A105,'Part A'!$Q:$Q,'Part A'!$F:$F,0,0,1)</f>
        <v>White</v>
      </c>
      <c r="C105" t="str">
        <f>_xlfn.XLOOKUP(A105,'Part A'!$Q:$Q,'Part A'!$E:$E,0,0,1)</f>
        <v>Female</v>
      </c>
      <c r="D105">
        <f>SUMIF('Part A'!$Q:$Q,A105,'Part A'!$G:$G)</f>
        <v>751</v>
      </c>
      <c r="E105">
        <f>COUNTIF('Part A'!$Q:$Q,A105)</f>
        <v>1</v>
      </c>
    </row>
    <row r="106" spans="1:5" x14ac:dyDescent="0.3">
      <c r="A106" t="s">
        <v>4169</v>
      </c>
      <c r="B106" t="str">
        <f>_xlfn.XLOOKUP(A106,'Part A'!$Q:$Q,'Part A'!$F:$F,0,0,1)</f>
        <v>Argentinian</v>
      </c>
      <c r="C106" t="str">
        <f>_xlfn.XLOOKUP(A106,'Part A'!$Q:$Q,'Part A'!$E:$E,0,0,1)</f>
        <v>Male</v>
      </c>
      <c r="D106">
        <f>SUMIF('Part A'!$Q:$Q,A106,'Part A'!$G:$G)</f>
        <v>614</v>
      </c>
      <c r="E106">
        <f>COUNTIF('Part A'!$Q:$Q,A106)</f>
        <v>1</v>
      </c>
    </row>
    <row r="107" spans="1:5" x14ac:dyDescent="0.3">
      <c r="A107" t="s">
        <v>4170</v>
      </c>
      <c r="B107" t="str">
        <f>_xlfn.XLOOKUP(A107,'Part A'!$Q:$Q,'Part A'!$F:$F,0,0,1)</f>
        <v>Black or African American</v>
      </c>
      <c r="C107" t="str">
        <f>_xlfn.XLOOKUP(A107,'Part A'!$Q:$Q,'Part A'!$E:$E,0,0,1)</f>
        <v>Female</v>
      </c>
      <c r="D107">
        <f>SUMIF('Part A'!$Q:$Q,A107,'Part A'!$G:$G)</f>
        <v>839</v>
      </c>
      <c r="E107">
        <f>COUNTIF('Part A'!$Q:$Q,A107)</f>
        <v>1</v>
      </c>
    </row>
    <row r="108" spans="1:5" x14ac:dyDescent="0.3">
      <c r="A108" t="s">
        <v>4171</v>
      </c>
      <c r="B108" t="str">
        <f>_xlfn.XLOOKUP(A108,'Part A'!$Q:$Q,'Part A'!$F:$F,0,0,1)</f>
        <v>White</v>
      </c>
      <c r="C108" t="str">
        <f>_xlfn.XLOOKUP(A108,'Part A'!$Q:$Q,'Part A'!$E:$E,0,0,1)</f>
        <v>Male</v>
      </c>
      <c r="D108">
        <f>SUMIF('Part A'!$Q:$Q,A108,'Part A'!$G:$G)</f>
        <v>886</v>
      </c>
      <c r="E108">
        <f>COUNTIF('Part A'!$Q:$Q,A108)</f>
        <v>1</v>
      </c>
    </row>
    <row r="109" spans="1:5" x14ac:dyDescent="0.3">
      <c r="A109" t="s">
        <v>4172</v>
      </c>
      <c r="B109" t="str">
        <f>_xlfn.XLOOKUP(A109,'Part A'!$Q:$Q,'Part A'!$F:$F,0,0,1)</f>
        <v>White</v>
      </c>
      <c r="C109" t="str">
        <f>_xlfn.XLOOKUP(A109,'Part A'!$Q:$Q,'Part A'!$E:$E,0,0,1)</f>
        <v>Male</v>
      </c>
      <c r="D109">
        <f>SUMIF('Part A'!$Q:$Q,A109,'Part A'!$G:$G)</f>
        <v>137</v>
      </c>
      <c r="E109">
        <f>COUNTIF('Part A'!$Q:$Q,A109)</f>
        <v>1</v>
      </c>
    </row>
    <row r="110" spans="1:5" x14ac:dyDescent="0.3">
      <c r="A110" t="s">
        <v>4173</v>
      </c>
      <c r="B110" t="str">
        <f>_xlfn.XLOOKUP(A110,'Part A'!$Q:$Q,'Part A'!$F:$F,0,0,1)</f>
        <v>Asian</v>
      </c>
      <c r="C110" t="str">
        <f>_xlfn.XLOOKUP(A110,'Part A'!$Q:$Q,'Part A'!$E:$E,0,0,1)</f>
        <v>Female</v>
      </c>
      <c r="D110">
        <f>SUMIF('Part A'!$Q:$Q,A110,'Part A'!$G:$G)</f>
        <v>848</v>
      </c>
      <c r="E110">
        <f>COUNTIF('Part A'!$Q:$Q,A110)</f>
        <v>1</v>
      </c>
    </row>
    <row r="111" spans="1:5" x14ac:dyDescent="0.3">
      <c r="A111" t="s">
        <v>4174</v>
      </c>
      <c r="B111" t="str">
        <f>_xlfn.XLOOKUP(A111,'Part A'!$Q:$Q,'Part A'!$F:$F,0,0,1)</f>
        <v>Costa Rican</v>
      </c>
      <c r="C111" t="str">
        <f>_xlfn.XLOOKUP(A111,'Part A'!$Q:$Q,'Part A'!$E:$E,0,0,1)</f>
        <v>Female</v>
      </c>
      <c r="D111">
        <f>SUMIF('Part A'!$Q:$Q,A111,'Part A'!$G:$G)</f>
        <v>519</v>
      </c>
      <c r="E111">
        <f>COUNTIF('Part A'!$Q:$Q,A111)</f>
        <v>1</v>
      </c>
    </row>
    <row r="112" spans="1:5" x14ac:dyDescent="0.3">
      <c r="A112" t="s">
        <v>4175</v>
      </c>
      <c r="B112" t="str">
        <f>_xlfn.XLOOKUP(A112,'Part A'!$Q:$Q,'Part A'!$F:$F,0,0,1)</f>
        <v>Black or African American</v>
      </c>
      <c r="C112" t="str">
        <f>_xlfn.XLOOKUP(A112,'Part A'!$Q:$Q,'Part A'!$E:$E,0,0,1)</f>
        <v>Male</v>
      </c>
      <c r="D112">
        <f>SUMIF('Part A'!$Q:$Q,A112,'Part A'!$G:$G)</f>
        <v>364</v>
      </c>
      <c r="E112">
        <f>COUNTIF('Part A'!$Q:$Q,A112)</f>
        <v>1</v>
      </c>
    </row>
    <row r="113" spans="1:5" x14ac:dyDescent="0.3">
      <c r="A113" t="s">
        <v>4176</v>
      </c>
      <c r="B113" t="str">
        <f>_xlfn.XLOOKUP(A113,'Part A'!$Q:$Q,'Part A'!$F:$F,0,0,1)</f>
        <v>White</v>
      </c>
      <c r="C113" t="str">
        <f>_xlfn.XLOOKUP(A113,'Part A'!$Q:$Q,'Part A'!$E:$E,0,0,1)</f>
        <v>Male</v>
      </c>
      <c r="D113">
        <f>SUMIF('Part A'!$Q:$Q,A113,'Part A'!$G:$G)</f>
        <v>219</v>
      </c>
      <c r="E113">
        <f>COUNTIF('Part A'!$Q:$Q,A113)</f>
        <v>1</v>
      </c>
    </row>
    <row r="114" spans="1:5" x14ac:dyDescent="0.3">
      <c r="A114" t="s">
        <v>4177</v>
      </c>
      <c r="B114" t="str">
        <f>_xlfn.XLOOKUP(A114,'Part A'!$Q:$Q,'Part A'!$F:$F,0,0,1)</f>
        <v>White</v>
      </c>
      <c r="C114" t="str">
        <f>_xlfn.XLOOKUP(A114,'Part A'!$Q:$Q,'Part A'!$E:$E,0,0,1)</f>
        <v>Male</v>
      </c>
      <c r="D114">
        <f>SUMIF('Part A'!$Q:$Q,A114,'Part A'!$G:$G)</f>
        <v>1900</v>
      </c>
      <c r="E114">
        <f>COUNTIF('Part A'!$Q:$Q,A114)</f>
        <v>4</v>
      </c>
    </row>
    <row r="115" spans="1:5" x14ac:dyDescent="0.3">
      <c r="A115" t="s">
        <v>4178</v>
      </c>
      <c r="B115" t="str">
        <f>_xlfn.XLOOKUP(A115,'Part A'!$Q:$Q,'Part A'!$F:$F,0,0,1)</f>
        <v>Black or African American</v>
      </c>
      <c r="C115" t="str">
        <f>_xlfn.XLOOKUP(A115,'Part A'!$Q:$Q,'Part A'!$E:$E,0,0,1)</f>
        <v>Male</v>
      </c>
      <c r="D115">
        <f>SUMIF('Part A'!$Q:$Q,A115,'Part A'!$G:$G)</f>
        <v>647</v>
      </c>
      <c r="E115">
        <f>COUNTIF('Part A'!$Q:$Q,A115)</f>
        <v>3</v>
      </c>
    </row>
    <row r="116" spans="1:5" x14ac:dyDescent="0.3">
      <c r="A116" t="s">
        <v>4179</v>
      </c>
      <c r="B116" t="str">
        <f>_xlfn.XLOOKUP(A116,'Part A'!$Q:$Q,'Part A'!$F:$F,0,0,1)</f>
        <v>Argentinian</v>
      </c>
      <c r="C116" t="str">
        <f>_xlfn.XLOOKUP(A116,'Part A'!$Q:$Q,'Part A'!$E:$E,0,0,1)</f>
        <v>Female</v>
      </c>
      <c r="D116">
        <f>SUMIF('Part A'!$Q:$Q,A116,'Part A'!$G:$G)</f>
        <v>1338</v>
      </c>
      <c r="E116">
        <f>COUNTIF('Part A'!$Q:$Q,A116)</f>
        <v>3</v>
      </c>
    </row>
    <row r="117" spans="1:5" x14ac:dyDescent="0.3">
      <c r="A117" t="s">
        <v>4180</v>
      </c>
      <c r="B117" t="str">
        <f>_xlfn.XLOOKUP(A117,'Part A'!$Q:$Q,'Part A'!$F:$F,0,0,1)</f>
        <v>Mexican</v>
      </c>
      <c r="C117" t="str">
        <f>_xlfn.XLOOKUP(A117,'Part A'!$Q:$Q,'Part A'!$E:$E,0,0,1)</f>
        <v>Female</v>
      </c>
      <c r="D117">
        <f>SUMIF('Part A'!$Q:$Q,A117,'Part A'!$G:$G)</f>
        <v>5663</v>
      </c>
      <c r="E117">
        <f>COUNTIF('Part A'!$Q:$Q,A117)</f>
        <v>11</v>
      </c>
    </row>
    <row r="118" spans="1:5" x14ac:dyDescent="0.3">
      <c r="A118" t="s">
        <v>4181</v>
      </c>
      <c r="B118" t="str">
        <f>_xlfn.XLOOKUP(A118,'Part A'!$Q:$Q,'Part A'!$F:$F,0,0,1)</f>
        <v>White</v>
      </c>
      <c r="C118" t="str">
        <f>_xlfn.XLOOKUP(A118,'Part A'!$Q:$Q,'Part A'!$E:$E,0,0,1)</f>
        <v>Male</v>
      </c>
      <c r="D118">
        <f>SUMIF('Part A'!$Q:$Q,A118,'Part A'!$G:$G)</f>
        <v>582</v>
      </c>
      <c r="E118">
        <f>COUNTIF('Part A'!$Q:$Q,A118)</f>
        <v>3</v>
      </c>
    </row>
    <row r="119" spans="1:5" x14ac:dyDescent="0.3">
      <c r="A119" t="s">
        <v>4182</v>
      </c>
      <c r="B119" t="str">
        <f>_xlfn.XLOOKUP(A119,'Part A'!$Q:$Q,'Part A'!$F:$F,0,0,1)</f>
        <v>Black or African American</v>
      </c>
      <c r="C119" t="str">
        <f>_xlfn.XLOOKUP(A119,'Part A'!$Q:$Q,'Part A'!$E:$E,0,0,1)</f>
        <v>Female</v>
      </c>
      <c r="D119">
        <f>SUMIF('Part A'!$Q:$Q,A119,'Part A'!$G:$G)</f>
        <v>2487</v>
      </c>
      <c r="E119">
        <f>COUNTIF('Part A'!$Q:$Q,A119)</f>
        <v>3</v>
      </c>
    </row>
    <row r="120" spans="1:5" x14ac:dyDescent="0.3">
      <c r="A120" t="s">
        <v>4183</v>
      </c>
      <c r="B120" t="str">
        <f>_xlfn.XLOOKUP(A120,'Part A'!$Q:$Q,'Part A'!$F:$F,0,0,1)</f>
        <v>White</v>
      </c>
      <c r="C120" t="str">
        <f>_xlfn.XLOOKUP(A120,'Part A'!$Q:$Q,'Part A'!$E:$E,0,0,1)</f>
        <v>Female</v>
      </c>
      <c r="D120">
        <f>SUMIF('Part A'!$Q:$Q,A120,'Part A'!$G:$G)</f>
        <v>2551</v>
      </c>
      <c r="E120">
        <f>COUNTIF('Part A'!$Q:$Q,A120)</f>
        <v>4</v>
      </c>
    </row>
    <row r="121" spans="1:5" x14ac:dyDescent="0.3">
      <c r="A121" t="s">
        <v>4184</v>
      </c>
      <c r="B121" t="str">
        <f>_xlfn.XLOOKUP(A121,'Part A'!$Q:$Q,'Part A'!$F:$F,0,0,1)</f>
        <v>Mexican</v>
      </c>
      <c r="C121" t="str">
        <f>_xlfn.XLOOKUP(A121,'Part A'!$Q:$Q,'Part A'!$E:$E,0,0,1)</f>
        <v>Female</v>
      </c>
      <c r="D121">
        <f>SUMIF('Part A'!$Q:$Q,A121,'Part A'!$G:$G)</f>
        <v>379</v>
      </c>
      <c r="E121">
        <f>COUNTIF('Part A'!$Q:$Q,A121)</f>
        <v>1</v>
      </c>
    </row>
    <row r="122" spans="1:5" x14ac:dyDescent="0.3">
      <c r="A122" t="s">
        <v>4043</v>
      </c>
      <c r="B122" t="str">
        <f>_xlfn.XLOOKUP(A122,'Part A'!$Q:$Q,'Part A'!$F:$F,0,0,1)</f>
        <v>White</v>
      </c>
      <c r="C122" t="str">
        <f>_xlfn.XLOOKUP(A122,'Part A'!$Q:$Q,'Part A'!$E:$E,0,0,1)</f>
        <v>Male</v>
      </c>
      <c r="D122">
        <f>SUMIF('Part A'!$Q:$Q,A122,'Part A'!$G:$G)</f>
        <v>747</v>
      </c>
      <c r="E122">
        <f>COUNTIF('Part A'!$Q:$Q,A122)</f>
        <v>1</v>
      </c>
    </row>
    <row r="123" spans="1:5" x14ac:dyDescent="0.3">
      <c r="A123" t="s">
        <v>4185</v>
      </c>
      <c r="B123" t="str">
        <f>_xlfn.XLOOKUP(A123,'Part A'!$Q:$Q,'Part A'!$F:$F,0,0,1)</f>
        <v>Asian</v>
      </c>
      <c r="C123" t="str">
        <f>_xlfn.XLOOKUP(A123,'Part A'!$Q:$Q,'Part A'!$E:$E,0,0,1)</f>
        <v>Female</v>
      </c>
      <c r="D123">
        <f>SUMIF('Part A'!$Q:$Q,A123,'Part A'!$G:$G)</f>
        <v>453</v>
      </c>
      <c r="E123">
        <f>COUNTIF('Part A'!$Q:$Q,A123)</f>
        <v>1</v>
      </c>
    </row>
    <row r="124" spans="1:5" x14ac:dyDescent="0.3">
      <c r="A124" t="s">
        <v>4186</v>
      </c>
      <c r="B124" t="str">
        <f>_xlfn.XLOOKUP(A124,'Part A'!$Q:$Q,'Part A'!$F:$F,0,0,1)</f>
        <v>Asian</v>
      </c>
      <c r="C124" t="str">
        <f>_xlfn.XLOOKUP(A124,'Part A'!$Q:$Q,'Part A'!$E:$E,0,0,1)</f>
        <v>Male</v>
      </c>
      <c r="D124">
        <f>SUMIF('Part A'!$Q:$Q,A124,'Part A'!$G:$G)</f>
        <v>237</v>
      </c>
      <c r="E124">
        <f>COUNTIF('Part A'!$Q:$Q,A124)</f>
        <v>1</v>
      </c>
    </row>
    <row r="125" spans="1:5" x14ac:dyDescent="0.3">
      <c r="A125" t="s">
        <v>4044</v>
      </c>
      <c r="B125" t="str">
        <f>_xlfn.XLOOKUP(A125,'Part A'!$Q:$Q,'Part A'!$F:$F,0,0,1)</f>
        <v>Mexican</v>
      </c>
      <c r="C125" t="str">
        <f>_xlfn.XLOOKUP(A125,'Part A'!$Q:$Q,'Part A'!$E:$E,0,0,1)</f>
        <v>Male</v>
      </c>
      <c r="D125">
        <f>SUMIF('Part A'!$Q:$Q,A125,'Part A'!$G:$G)</f>
        <v>357</v>
      </c>
      <c r="E125">
        <f>COUNTIF('Part A'!$Q:$Q,A125)</f>
        <v>1</v>
      </c>
    </row>
    <row r="126" spans="1:5" x14ac:dyDescent="0.3">
      <c r="A126" t="s">
        <v>4187</v>
      </c>
      <c r="B126" t="str">
        <f>_xlfn.XLOOKUP(A126,'Part A'!$Q:$Q,'Part A'!$F:$F,0,0,1)</f>
        <v>Black or African American</v>
      </c>
      <c r="C126" t="str">
        <f>_xlfn.XLOOKUP(A126,'Part A'!$Q:$Q,'Part A'!$E:$E,0,0,1)</f>
        <v>Male</v>
      </c>
      <c r="D126">
        <f>SUMIF('Part A'!$Q:$Q,A126,'Part A'!$G:$G)</f>
        <v>498</v>
      </c>
      <c r="E126">
        <f>COUNTIF('Part A'!$Q:$Q,A126)</f>
        <v>1</v>
      </c>
    </row>
    <row r="127" spans="1:5" x14ac:dyDescent="0.3">
      <c r="A127" t="s">
        <v>4188</v>
      </c>
      <c r="B127" t="str">
        <f>_xlfn.XLOOKUP(A127,'Part A'!$Q:$Q,'Part A'!$F:$F,0,0,1)</f>
        <v>Asian</v>
      </c>
      <c r="C127" t="str">
        <f>_xlfn.XLOOKUP(A127,'Part A'!$Q:$Q,'Part A'!$E:$E,0,0,1)</f>
        <v>Female</v>
      </c>
      <c r="D127">
        <f>SUMIF('Part A'!$Q:$Q,A127,'Part A'!$G:$G)</f>
        <v>396</v>
      </c>
      <c r="E127">
        <f>COUNTIF('Part A'!$Q:$Q,A127)</f>
        <v>1</v>
      </c>
    </row>
    <row r="128" spans="1:5" x14ac:dyDescent="0.3">
      <c r="A128" t="s">
        <v>4189</v>
      </c>
      <c r="B128" t="str">
        <f>_xlfn.XLOOKUP(A128,'Part A'!$Q:$Q,'Part A'!$F:$F,0,0,1)</f>
        <v>White</v>
      </c>
      <c r="C128" t="str">
        <f>_xlfn.XLOOKUP(A128,'Part A'!$Q:$Q,'Part A'!$E:$E,0,0,1)</f>
        <v>Female</v>
      </c>
      <c r="D128">
        <f>SUMIF('Part A'!$Q:$Q,A128,'Part A'!$G:$G)</f>
        <v>639</v>
      </c>
      <c r="E128">
        <f>COUNTIF('Part A'!$Q:$Q,A128)</f>
        <v>1</v>
      </c>
    </row>
    <row r="129" spans="1:5" x14ac:dyDescent="0.3">
      <c r="A129" t="s">
        <v>4190</v>
      </c>
      <c r="B129" t="str">
        <f>_xlfn.XLOOKUP(A129,'Part A'!$Q:$Q,'Part A'!$F:$F,0,0,1)</f>
        <v>White</v>
      </c>
      <c r="C129" t="str">
        <f>_xlfn.XLOOKUP(A129,'Part A'!$Q:$Q,'Part A'!$E:$E,0,0,1)</f>
        <v>Female</v>
      </c>
      <c r="D129">
        <f>SUMIF('Part A'!$Q:$Q,A129,'Part A'!$G:$G)</f>
        <v>700</v>
      </c>
      <c r="E129">
        <f>COUNTIF('Part A'!$Q:$Q,A129)</f>
        <v>1</v>
      </c>
    </row>
    <row r="130" spans="1:5" x14ac:dyDescent="0.3">
      <c r="A130" t="s">
        <v>4191</v>
      </c>
      <c r="B130" t="str">
        <f>_xlfn.XLOOKUP(A130,'Part A'!$Q:$Q,'Part A'!$F:$F,0,0,1)</f>
        <v>Asian</v>
      </c>
      <c r="C130" t="str">
        <f>_xlfn.XLOOKUP(A130,'Part A'!$Q:$Q,'Part A'!$E:$E,0,0,1)</f>
        <v>Female</v>
      </c>
      <c r="D130">
        <f>SUMIF('Part A'!$Q:$Q,A130,'Part A'!$G:$G)</f>
        <v>379</v>
      </c>
      <c r="E130">
        <f>COUNTIF('Part A'!$Q:$Q,A130)</f>
        <v>1</v>
      </c>
    </row>
    <row r="131" spans="1:5" x14ac:dyDescent="0.3">
      <c r="A131" t="s">
        <v>4192</v>
      </c>
      <c r="B131" t="str">
        <f>_xlfn.XLOOKUP(A131,'Part A'!$Q:$Q,'Part A'!$F:$F,0,0,1)</f>
        <v>Mexican</v>
      </c>
      <c r="C131" t="str">
        <f>_xlfn.XLOOKUP(A131,'Part A'!$Q:$Q,'Part A'!$E:$E,0,0,1)</f>
        <v>Male</v>
      </c>
      <c r="D131">
        <f>SUMIF('Part A'!$Q:$Q,A131,'Part A'!$G:$G)</f>
        <v>1000</v>
      </c>
      <c r="E131">
        <f>COUNTIF('Part A'!$Q:$Q,A131)</f>
        <v>1</v>
      </c>
    </row>
    <row r="132" spans="1:5" x14ac:dyDescent="0.3">
      <c r="A132" t="s">
        <v>4193</v>
      </c>
      <c r="B132" t="str">
        <f>_xlfn.XLOOKUP(A132,'Part A'!$Q:$Q,'Part A'!$F:$F,0,0,1)</f>
        <v>Asian</v>
      </c>
      <c r="C132" t="str">
        <f>_xlfn.XLOOKUP(A132,'Part A'!$Q:$Q,'Part A'!$E:$E,0,0,1)</f>
        <v>Male</v>
      </c>
      <c r="D132">
        <f>SUMIF('Part A'!$Q:$Q,A132,'Part A'!$G:$G)</f>
        <v>842</v>
      </c>
      <c r="E132">
        <f>COUNTIF('Part A'!$Q:$Q,A132)</f>
        <v>1</v>
      </c>
    </row>
    <row r="133" spans="1:5" x14ac:dyDescent="0.3">
      <c r="A133" t="s">
        <v>4194</v>
      </c>
      <c r="B133" t="str">
        <f>_xlfn.XLOOKUP(A133,'Part A'!$Q:$Q,'Part A'!$F:$F,0,0,1)</f>
        <v>White</v>
      </c>
      <c r="C133" t="str">
        <f>_xlfn.XLOOKUP(A133,'Part A'!$Q:$Q,'Part A'!$E:$E,0,0,1)</f>
        <v>Female</v>
      </c>
      <c r="D133">
        <f>SUMIF('Part A'!$Q:$Q,A133,'Part A'!$G:$G)</f>
        <v>2215</v>
      </c>
      <c r="E133">
        <f>COUNTIF('Part A'!$Q:$Q,A133)</f>
        <v>3</v>
      </c>
    </row>
    <row r="134" spans="1:5" x14ac:dyDescent="0.3">
      <c r="A134" t="s">
        <v>4195</v>
      </c>
      <c r="B134" t="str">
        <f>_xlfn.XLOOKUP(A134,'Part A'!$Q:$Q,'Part A'!$F:$F,0,0,1)</f>
        <v>White</v>
      </c>
      <c r="C134" t="str">
        <f>_xlfn.XLOOKUP(A134,'Part A'!$Q:$Q,'Part A'!$E:$E,0,0,1)</f>
        <v>Male</v>
      </c>
      <c r="D134">
        <f>SUMIF('Part A'!$Q:$Q,A134,'Part A'!$G:$G)</f>
        <v>2688</v>
      </c>
      <c r="E134">
        <f>COUNTIF('Part A'!$Q:$Q,A134)</f>
        <v>4</v>
      </c>
    </row>
    <row r="135" spans="1:5" x14ac:dyDescent="0.3">
      <c r="A135" t="s">
        <v>4196</v>
      </c>
      <c r="B135" t="str">
        <f>_xlfn.XLOOKUP(A135,'Part A'!$Q:$Q,'Part A'!$F:$F,0,0,1)</f>
        <v>White</v>
      </c>
      <c r="C135" t="str">
        <f>_xlfn.XLOOKUP(A135,'Part A'!$Q:$Q,'Part A'!$E:$E,0,0,1)</f>
        <v>Male</v>
      </c>
      <c r="D135">
        <f>SUMIF('Part A'!$Q:$Q,A135,'Part A'!$G:$G)</f>
        <v>1136</v>
      </c>
      <c r="E135">
        <f>COUNTIF('Part A'!$Q:$Q,A135)</f>
        <v>2</v>
      </c>
    </row>
    <row r="136" spans="1:5" x14ac:dyDescent="0.3">
      <c r="A136" t="s">
        <v>4197</v>
      </c>
      <c r="B136" t="str">
        <f>_xlfn.XLOOKUP(A136,'Part A'!$Q:$Q,'Part A'!$F:$F,0,0,1)</f>
        <v>White</v>
      </c>
      <c r="C136" t="str">
        <f>_xlfn.XLOOKUP(A136,'Part A'!$Q:$Q,'Part A'!$E:$E,0,0,1)</f>
        <v>Male</v>
      </c>
      <c r="D136">
        <f>SUMIF('Part A'!$Q:$Q,A136,'Part A'!$G:$G)</f>
        <v>792</v>
      </c>
      <c r="E136">
        <f>COUNTIF('Part A'!$Q:$Q,A136)</f>
        <v>2</v>
      </c>
    </row>
    <row r="137" spans="1:5" x14ac:dyDescent="0.3">
      <c r="A137" t="s">
        <v>4198</v>
      </c>
      <c r="B137" t="str">
        <f>_xlfn.XLOOKUP(A137,'Part A'!$Q:$Q,'Part A'!$F:$F,0,0,1)</f>
        <v>White</v>
      </c>
      <c r="C137" t="str">
        <f>_xlfn.XLOOKUP(A137,'Part A'!$Q:$Q,'Part A'!$E:$E,0,0,1)</f>
        <v>Female</v>
      </c>
      <c r="D137">
        <f>SUMIF('Part A'!$Q:$Q,A137,'Part A'!$G:$G)</f>
        <v>1370</v>
      </c>
      <c r="E137">
        <f>COUNTIF('Part A'!$Q:$Q,A137)</f>
        <v>2</v>
      </c>
    </row>
    <row r="138" spans="1:5" x14ac:dyDescent="0.3">
      <c r="A138" t="s">
        <v>4199</v>
      </c>
      <c r="B138" t="str">
        <f>_xlfn.XLOOKUP(A138,'Part A'!$Q:$Q,'Part A'!$F:$F,0,0,1)</f>
        <v>White</v>
      </c>
      <c r="C138" t="str">
        <f>_xlfn.XLOOKUP(A138,'Part A'!$Q:$Q,'Part A'!$E:$E,0,0,1)</f>
        <v>Female</v>
      </c>
      <c r="D138">
        <f>SUMIF('Part A'!$Q:$Q,A138,'Part A'!$G:$G)</f>
        <v>157</v>
      </c>
      <c r="E138">
        <f>COUNTIF('Part A'!$Q:$Q,A138)</f>
        <v>1</v>
      </c>
    </row>
    <row r="139" spans="1:5" x14ac:dyDescent="0.3">
      <c r="A139" t="s">
        <v>4200</v>
      </c>
      <c r="B139" t="str">
        <f>_xlfn.XLOOKUP(A139,'Part A'!$Q:$Q,'Part A'!$F:$F,0,0,1)</f>
        <v>White</v>
      </c>
      <c r="C139" t="str">
        <f>_xlfn.XLOOKUP(A139,'Part A'!$Q:$Q,'Part A'!$E:$E,0,0,1)</f>
        <v>Male</v>
      </c>
      <c r="D139">
        <f>SUMIF('Part A'!$Q:$Q,A139,'Part A'!$G:$G)</f>
        <v>887</v>
      </c>
      <c r="E139">
        <f>COUNTIF('Part A'!$Q:$Q,A139)</f>
        <v>3</v>
      </c>
    </row>
    <row r="140" spans="1:5" x14ac:dyDescent="0.3">
      <c r="A140" t="s">
        <v>4201</v>
      </c>
      <c r="B140" t="str">
        <f>_xlfn.XLOOKUP(A140,'Part A'!$Q:$Q,'Part A'!$F:$F,0,0,1)</f>
        <v>Asian</v>
      </c>
      <c r="C140" t="str">
        <f>_xlfn.XLOOKUP(A140,'Part A'!$Q:$Q,'Part A'!$E:$E,0,0,1)</f>
        <v>Female</v>
      </c>
      <c r="D140">
        <f>SUMIF('Part A'!$Q:$Q,A140,'Part A'!$G:$G)</f>
        <v>316</v>
      </c>
      <c r="E140">
        <f>COUNTIF('Part A'!$Q:$Q,A140)</f>
        <v>1</v>
      </c>
    </row>
    <row r="141" spans="1:5" x14ac:dyDescent="0.3">
      <c r="A141" t="s">
        <v>4202</v>
      </c>
      <c r="B141" t="str">
        <f>_xlfn.XLOOKUP(A141,'Part A'!$Q:$Q,'Part A'!$F:$F,0,0,1)</f>
        <v>White</v>
      </c>
      <c r="C141" t="str">
        <f>_xlfn.XLOOKUP(A141,'Part A'!$Q:$Q,'Part A'!$E:$E,0,0,1)</f>
        <v>Male</v>
      </c>
      <c r="D141">
        <f>SUMIF('Part A'!$Q:$Q,A141,'Part A'!$G:$G)</f>
        <v>1742</v>
      </c>
      <c r="E141">
        <f>COUNTIF('Part A'!$Q:$Q,A141)</f>
        <v>3</v>
      </c>
    </row>
    <row r="142" spans="1:5" x14ac:dyDescent="0.3">
      <c r="A142" t="s">
        <v>4045</v>
      </c>
      <c r="B142" t="str">
        <f>_xlfn.XLOOKUP(A142,'Part A'!$Q:$Q,'Part A'!$F:$F,0,0,1)</f>
        <v>Black or African American</v>
      </c>
      <c r="C142" t="str">
        <f>_xlfn.XLOOKUP(A142,'Part A'!$Q:$Q,'Part A'!$E:$E,0,0,1)</f>
        <v>Male</v>
      </c>
      <c r="D142">
        <f>SUMIF('Part A'!$Q:$Q,A142,'Part A'!$G:$G)</f>
        <v>5674</v>
      </c>
      <c r="E142">
        <f>COUNTIF('Part A'!$Q:$Q,A142)</f>
        <v>15</v>
      </c>
    </row>
    <row r="143" spans="1:5" x14ac:dyDescent="0.3">
      <c r="A143" t="s">
        <v>4203</v>
      </c>
      <c r="B143" t="str">
        <f>_xlfn.XLOOKUP(A143,'Part A'!$Q:$Q,'Part A'!$F:$F,0,0,1)</f>
        <v>White</v>
      </c>
      <c r="C143" t="str">
        <f>_xlfn.XLOOKUP(A143,'Part A'!$Q:$Q,'Part A'!$E:$E,0,0,1)</f>
        <v>Female</v>
      </c>
      <c r="D143">
        <f>SUMIF('Part A'!$Q:$Q,A143,'Part A'!$G:$G)</f>
        <v>2108</v>
      </c>
      <c r="E143">
        <f>COUNTIF('Part A'!$Q:$Q,A143)</f>
        <v>4</v>
      </c>
    </row>
    <row r="144" spans="1:5" x14ac:dyDescent="0.3">
      <c r="A144" t="s">
        <v>4046</v>
      </c>
      <c r="B144" t="str">
        <f>_xlfn.XLOOKUP(A144,'Part A'!$Q:$Q,'Part A'!$F:$F,0,0,1)</f>
        <v>White</v>
      </c>
      <c r="C144" t="str">
        <f>_xlfn.XLOOKUP(A144,'Part A'!$Q:$Q,'Part A'!$E:$E,0,0,1)</f>
        <v>Female</v>
      </c>
      <c r="D144">
        <f>SUMIF('Part A'!$Q:$Q,A144,'Part A'!$G:$G)</f>
        <v>6351</v>
      </c>
      <c r="E144">
        <f>COUNTIF('Part A'!$Q:$Q,A144)</f>
        <v>14</v>
      </c>
    </row>
    <row r="145" spans="1:5" x14ac:dyDescent="0.3">
      <c r="A145" t="s">
        <v>4047</v>
      </c>
      <c r="B145" t="str">
        <f>_xlfn.XLOOKUP(A145,'Part A'!$Q:$Q,'Part A'!$F:$F,0,0,1)</f>
        <v>Japanese</v>
      </c>
      <c r="C145" t="str">
        <f>_xlfn.XLOOKUP(A145,'Part A'!$Q:$Q,'Part A'!$E:$E,0,0,1)</f>
        <v>Female</v>
      </c>
      <c r="D145">
        <f>SUMIF('Part A'!$Q:$Q,A145,'Part A'!$G:$G)</f>
        <v>3263</v>
      </c>
      <c r="E145">
        <f>COUNTIF('Part A'!$Q:$Q,A145)</f>
        <v>7</v>
      </c>
    </row>
    <row r="146" spans="1:5" x14ac:dyDescent="0.3">
      <c r="A146" t="s">
        <v>4204</v>
      </c>
      <c r="B146" t="str">
        <f>_xlfn.XLOOKUP(A146,'Part A'!$Q:$Q,'Part A'!$F:$F,0,0,1)</f>
        <v>Black or African American</v>
      </c>
      <c r="C146" t="str">
        <f>_xlfn.XLOOKUP(A146,'Part A'!$Q:$Q,'Part A'!$E:$E,0,0,1)</f>
        <v>Female</v>
      </c>
      <c r="D146">
        <f>SUMIF('Part A'!$Q:$Q,A146,'Part A'!$G:$G)</f>
        <v>1981</v>
      </c>
      <c r="E146">
        <f>COUNTIF('Part A'!$Q:$Q,A146)</f>
        <v>4</v>
      </c>
    </row>
    <row r="147" spans="1:5" x14ac:dyDescent="0.3">
      <c r="A147" t="s">
        <v>4205</v>
      </c>
      <c r="B147" t="str">
        <f>_xlfn.XLOOKUP(A147,'Part A'!$Q:$Q,'Part A'!$F:$F,0,0,1)</f>
        <v>White</v>
      </c>
      <c r="C147" t="str">
        <f>_xlfn.XLOOKUP(A147,'Part A'!$Q:$Q,'Part A'!$E:$E,0,0,1)</f>
        <v>Male</v>
      </c>
      <c r="D147">
        <f>SUMIF('Part A'!$Q:$Q,A147,'Part A'!$G:$G)</f>
        <v>1646</v>
      </c>
      <c r="E147">
        <f>COUNTIF('Part A'!$Q:$Q,A147)</f>
        <v>3</v>
      </c>
    </row>
    <row r="148" spans="1:5" x14ac:dyDescent="0.3">
      <c r="A148" t="s">
        <v>4206</v>
      </c>
      <c r="B148" t="str">
        <f>_xlfn.XLOOKUP(A148,'Part A'!$Q:$Q,'Part A'!$F:$F,0,0,1)</f>
        <v>Black or African American</v>
      </c>
      <c r="C148" t="str">
        <f>_xlfn.XLOOKUP(A148,'Part A'!$Q:$Q,'Part A'!$E:$E,0,0,1)</f>
        <v>Female</v>
      </c>
      <c r="D148">
        <f>SUMIF('Part A'!$Q:$Q,A148,'Part A'!$G:$G)</f>
        <v>9995</v>
      </c>
      <c r="E148">
        <f>COUNTIF('Part A'!$Q:$Q,A148)</f>
        <v>19</v>
      </c>
    </row>
    <row r="149" spans="1:5" x14ac:dyDescent="0.3">
      <c r="A149" t="s">
        <v>4207</v>
      </c>
      <c r="B149" t="str">
        <f>_xlfn.XLOOKUP(A149,'Part A'!$Q:$Q,'Part A'!$F:$F,0,0,1)</f>
        <v>Mexican</v>
      </c>
      <c r="C149" t="str">
        <f>_xlfn.XLOOKUP(A149,'Part A'!$Q:$Q,'Part A'!$E:$E,0,0,1)</f>
        <v>Male</v>
      </c>
      <c r="D149">
        <f>SUMIF('Part A'!$Q:$Q,A149,'Part A'!$G:$G)</f>
        <v>5323</v>
      </c>
      <c r="E149">
        <f>COUNTIF('Part A'!$Q:$Q,A149)</f>
        <v>13</v>
      </c>
    </row>
    <row r="150" spans="1:5" x14ac:dyDescent="0.3">
      <c r="A150" t="s">
        <v>4208</v>
      </c>
      <c r="B150" t="str">
        <f>_xlfn.XLOOKUP(A150,'Part A'!$Q:$Q,'Part A'!$F:$F,0,0,1)</f>
        <v>White</v>
      </c>
      <c r="C150" t="str">
        <f>_xlfn.XLOOKUP(A150,'Part A'!$Q:$Q,'Part A'!$E:$E,0,0,1)</f>
        <v>Male</v>
      </c>
      <c r="D150">
        <f>SUMIF('Part A'!$Q:$Q,A150,'Part A'!$G:$G)</f>
        <v>547</v>
      </c>
      <c r="E150">
        <f>COUNTIF('Part A'!$Q:$Q,A150)</f>
        <v>1</v>
      </c>
    </row>
    <row r="151" spans="1:5" x14ac:dyDescent="0.3">
      <c r="A151" t="s">
        <v>4209</v>
      </c>
      <c r="B151" t="str">
        <f>_xlfn.XLOOKUP(A151,'Part A'!$Q:$Q,'Part A'!$F:$F,0,0,1)</f>
        <v>White</v>
      </c>
      <c r="C151" t="str">
        <f>_xlfn.XLOOKUP(A151,'Part A'!$Q:$Q,'Part A'!$E:$E,0,0,1)</f>
        <v>Female</v>
      </c>
      <c r="D151">
        <f>SUMIF('Part A'!$Q:$Q,A151,'Part A'!$G:$G)</f>
        <v>236</v>
      </c>
      <c r="E151">
        <f>COUNTIF('Part A'!$Q:$Q,A151)</f>
        <v>1</v>
      </c>
    </row>
    <row r="152" spans="1:5" x14ac:dyDescent="0.3">
      <c r="A152" t="s">
        <v>4210</v>
      </c>
      <c r="B152" t="str">
        <f>_xlfn.XLOOKUP(A152,'Part A'!$Q:$Q,'Part A'!$F:$F,0,0,1)</f>
        <v>Asian</v>
      </c>
      <c r="C152" t="str">
        <f>_xlfn.XLOOKUP(A152,'Part A'!$Q:$Q,'Part A'!$E:$E,0,0,1)</f>
        <v>Female</v>
      </c>
      <c r="D152">
        <f>SUMIF('Part A'!$Q:$Q,A152,'Part A'!$G:$G)</f>
        <v>679</v>
      </c>
      <c r="E152">
        <f>COUNTIF('Part A'!$Q:$Q,A152)</f>
        <v>1</v>
      </c>
    </row>
    <row r="153" spans="1:5" x14ac:dyDescent="0.3">
      <c r="A153" t="s">
        <v>4211</v>
      </c>
      <c r="B153" t="str">
        <f>_xlfn.XLOOKUP(A153,'Part A'!$Q:$Q,'Part A'!$F:$F,0,0,1)</f>
        <v>Thai</v>
      </c>
      <c r="C153" t="str">
        <f>_xlfn.XLOOKUP(A153,'Part A'!$Q:$Q,'Part A'!$E:$E,0,0,1)</f>
        <v>Female</v>
      </c>
      <c r="D153">
        <f>SUMIF('Part A'!$Q:$Q,A153,'Part A'!$G:$G)</f>
        <v>773</v>
      </c>
      <c r="E153">
        <f>COUNTIF('Part A'!$Q:$Q,A153)</f>
        <v>1</v>
      </c>
    </row>
    <row r="154" spans="1:5" x14ac:dyDescent="0.3">
      <c r="A154" t="s">
        <v>4212</v>
      </c>
      <c r="B154" t="str">
        <f>_xlfn.XLOOKUP(A154,'Part A'!$Q:$Q,'Part A'!$F:$F,0,0,1)</f>
        <v>White</v>
      </c>
      <c r="C154" t="str">
        <f>_xlfn.XLOOKUP(A154,'Part A'!$Q:$Q,'Part A'!$E:$E,0,0,1)</f>
        <v>Female</v>
      </c>
      <c r="D154">
        <f>SUMIF('Part A'!$Q:$Q,A154,'Part A'!$G:$G)</f>
        <v>267</v>
      </c>
      <c r="E154">
        <f>COUNTIF('Part A'!$Q:$Q,A154)</f>
        <v>1</v>
      </c>
    </row>
    <row r="155" spans="1:5" x14ac:dyDescent="0.3">
      <c r="A155" t="s">
        <v>4213</v>
      </c>
      <c r="B155" t="str">
        <f>_xlfn.XLOOKUP(A155,'Part A'!$Q:$Q,'Part A'!$F:$F,0,0,1)</f>
        <v>Black or African American</v>
      </c>
      <c r="C155" t="str">
        <f>_xlfn.XLOOKUP(A155,'Part A'!$Q:$Q,'Part A'!$E:$E,0,0,1)</f>
        <v>Female</v>
      </c>
      <c r="D155">
        <f>SUMIF('Part A'!$Q:$Q,A155,'Part A'!$G:$G)</f>
        <v>906</v>
      </c>
      <c r="E155">
        <f>COUNTIF('Part A'!$Q:$Q,A155)</f>
        <v>1</v>
      </c>
    </row>
    <row r="156" spans="1:5" x14ac:dyDescent="0.3">
      <c r="A156" t="s">
        <v>4214</v>
      </c>
      <c r="B156" t="str">
        <f>_xlfn.XLOOKUP(A156,'Part A'!$Q:$Q,'Part A'!$F:$F,0,0,1)</f>
        <v>White</v>
      </c>
      <c r="C156" t="str">
        <f>_xlfn.XLOOKUP(A156,'Part A'!$Q:$Q,'Part A'!$E:$E,0,0,1)</f>
        <v>Male</v>
      </c>
      <c r="D156">
        <f>SUMIF('Part A'!$Q:$Q,A156,'Part A'!$G:$G)</f>
        <v>874</v>
      </c>
      <c r="E156">
        <f>COUNTIF('Part A'!$Q:$Q,A156)</f>
        <v>1</v>
      </c>
    </row>
    <row r="157" spans="1:5" x14ac:dyDescent="0.3">
      <c r="A157" t="s">
        <v>4215</v>
      </c>
      <c r="B157" t="str">
        <f>_xlfn.XLOOKUP(A157,'Part A'!$Q:$Q,'Part A'!$F:$F,0,0,1)</f>
        <v>White</v>
      </c>
      <c r="C157" t="str">
        <f>_xlfn.XLOOKUP(A157,'Part A'!$Q:$Q,'Part A'!$E:$E,0,0,1)</f>
        <v>Female</v>
      </c>
      <c r="D157">
        <f>SUMIF('Part A'!$Q:$Q,A157,'Part A'!$G:$G)</f>
        <v>539</v>
      </c>
      <c r="E157">
        <f>COUNTIF('Part A'!$Q:$Q,A157)</f>
        <v>1</v>
      </c>
    </row>
    <row r="158" spans="1:5" x14ac:dyDescent="0.3">
      <c r="A158" t="s">
        <v>4216</v>
      </c>
      <c r="B158" t="str">
        <f>_xlfn.XLOOKUP(A158,'Part A'!$Q:$Q,'Part A'!$F:$F,0,0,1)</f>
        <v>Mexican</v>
      </c>
      <c r="C158" t="str">
        <f>_xlfn.XLOOKUP(A158,'Part A'!$Q:$Q,'Part A'!$E:$E,0,0,1)</f>
        <v>Male</v>
      </c>
      <c r="D158">
        <f>SUMIF('Part A'!$Q:$Q,A158,'Part A'!$G:$G)</f>
        <v>4920</v>
      </c>
      <c r="E158">
        <f>COUNTIF('Part A'!$Q:$Q,A158)</f>
        <v>11</v>
      </c>
    </row>
    <row r="159" spans="1:5" x14ac:dyDescent="0.3">
      <c r="A159" t="s">
        <v>4217</v>
      </c>
      <c r="B159" t="str">
        <f>_xlfn.XLOOKUP(A159,'Part A'!$Q:$Q,'Part A'!$F:$F,0,0,1)</f>
        <v>White</v>
      </c>
      <c r="C159" t="str">
        <f>_xlfn.XLOOKUP(A159,'Part A'!$Q:$Q,'Part A'!$E:$E,0,0,1)</f>
        <v>Female</v>
      </c>
      <c r="D159">
        <f>SUMIF('Part A'!$Q:$Q,A159,'Part A'!$G:$G)</f>
        <v>2440</v>
      </c>
      <c r="E159">
        <f>COUNTIF('Part A'!$Q:$Q,A159)</f>
        <v>6</v>
      </c>
    </row>
    <row r="160" spans="1:5" x14ac:dyDescent="0.3">
      <c r="A160" t="s">
        <v>4218</v>
      </c>
      <c r="B160" t="str">
        <f>_xlfn.XLOOKUP(A160,'Part A'!$Q:$Q,'Part A'!$F:$F,0,0,1)</f>
        <v>White</v>
      </c>
      <c r="C160" t="str">
        <f>_xlfn.XLOOKUP(A160,'Part A'!$Q:$Q,'Part A'!$E:$E,0,0,1)</f>
        <v>Male</v>
      </c>
      <c r="D160">
        <f>SUMIF('Part A'!$Q:$Q,A160,'Part A'!$G:$G)</f>
        <v>1927</v>
      </c>
      <c r="E160">
        <f>COUNTIF('Part A'!$Q:$Q,A160)</f>
        <v>5</v>
      </c>
    </row>
    <row r="161" spans="1:5" x14ac:dyDescent="0.3">
      <c r="A161" t="s">
        <v>4219</v>
      </c>
      <c r="B161" t="str">
        <f>_xlfn.XLOOKUP(A161,'Part A'!$Q:$Q,'Part A'!$F:$F,0,0,1)</f>
        <v>White</v>
      </c>
      <c r="C161" t="str">
        <f>_xlfn.XLOOKUP(A161,'Part A'!$Q:$Q,'Part A'!$E:$E,0,0,1)</f>
        <v>Male</v>
      </c>
      <c r="D161">
        <f>SUMIF('Part A'!$Q:$Q,A161,'Part A'!$G:$G)</f>
        <v>78731</v>
      </c>
      <c r="E161">
        <f>COUNTIF('Part A'!$Q:$Q,A161)</f>
        <v>150</v>
      </c>
    </row>
    <row r="162" spans="1:5" x14ac:dyDescent="0.3">
      <c r="A162" t="s">
        <v>4220</v>
      </c>
      <c r="B162" t="str">
        <f>_xlfn.XLOOKUP(A162,'Part A'!$Q:$Q,'Part A'!$F:$F,0,0,1)</f>
        <v>Asian</v>
      </c>
      <c r="C162" t="str">
        <f>_xlfn.XLOOKUP(A162,'Part A'!$Q:$Q,'Part A'!$E:$E,0,0,1)</f>
        <v>Male</v>
      </c>
      <c r="D162">
        <f>SUMIF('Part A'!$Q:$Q,A162,'Part A'!$G:$G)</f>
        <v>1832</v>
      </c>
      <c r="E162">
        <f>COUNTIF('Part A'!$Q:$Q,A162)</f>
        <v>3</v>
      </c>
    </row>
    <row r="163" spans="1:5" x14ac:dyDescent="0.3">
      <c r="A163" t="s">
        <v>4048</v>
      </c>
      <c r="B163" t="str">
        <f>_xlfn.XLOOKUP(A163,'Part A'!$Q:$Q,'Part A'!$F:$F,0,0,1)</f>
        <v>Asian</v>
      </c>
      <c r="C163" t="str">
        <f>_xlfn.XLOOKUP(A163,'Part A'!$Q:$Q,'Part A'!$E:$E,0,0,1)</f>
        <v>Female</v>
      </c>
      <c r="D163">
        <f>SUMIF('Part A'!$Q:$Q,A163,'Part A'!$G:$G)</f>
        <v>3368</v>
      </c>
      <c r="E163">
        <f>COUNTIF('Part A'!$Q:$Q,A163)</f>
        <v>5</v>
      </c>
    </row>
    <row r="164" spans="1:5" x14ac:dyDescent="0.3">
      <c r="A164" t="s">
        <v>4221</v>
      </c>
      <c r="B164" t="str">
        <f>_xlfn.XLOOKUP(A164,'Part A'!$Q:$Q,'Part A'!$F:$F,0,0,1)</f>
        <v>White</v>
      </c>
      <c r="C164" t="str">
        <f>_xlfn.XLOOKUP(A164,'Part A'!$Q:$Q,'Part A'!$E:$E,0,0,1)</f>
        <v>Male</v>
      </c>
      <c r="D164">
        <f>SUMIF('Part A'!$Q:$Q,A164,'Part A'!$G:$G)</f>
        <v>1671</v>
      </c>
      <c r="E164">
        <f>COUNTIF('Part A'!$Q:$Q,A164)</f>
        <v>3</v>
      </c>
    </row>
    <row r="165" spans="1:5" x14ac:dyDescent="0.3">
      <c r="A165" t="s">
        <v>4222</v>
      </c>
      <c r="B165" t="str">
        <f>_xlfn.XLOOKUP(A165,'Part A'!$Q:$Q,'Part A'!$F:$F,0,0,1)</f>
        <v>Mexican</v>
      </c>
      <c r="C165" t="str">
        <f>_xlfn.XLOOKUP(A165,'Part A'!$Q:$Q,'Part A'!$E:$E,0,0,1)</f>
        <v>Male</v>
      </c>
      <c r="D165">
        <f>SUMIF('Part A'!$Q:$Q,A165,'Part A'!$G:$G)</f>
        <v>11365</v>
      </c>
      <c r="E165">
        <f>COUNTIF('Part A'!$Q:$Q,A165)</f>
        <v>23</v>
      </c>
    </row>
    <row r="166" spans="1:5" x14ac:dyDescent="0.3">
      <c r="A166" t="s">
        <v>4223</v>
      </c>
      <c r="B166" t="str">
        <f>_xlfn.XLOOKUP(A166,'Part A'!$Q:$Q,'Part A'!$F:$F,0,0,1)</f>
        <v>White</v>
      </c>
      <c r="C166" t="str">
        <f>_xlfn.XLOOKUP(A166,'Part A'!$Q:$Q,'Part A'!$E:$E,0,0,1)</f>
        <v>Female</v>
      </c>
      <c r="D166">
        <f>SUMIF('Part A'!$Q:$Q,A166,'Part A'!$G:$G)</f>
        <v>953</v>
      </c>
      <c r="E166">
        <f>COUNTIF('Part A'!$Q:$Q,A166)</f>
        <v>1</v>
      </c>
    </row>
    <row r="167" spans="1:5" x14ac:dyDescent="0.3">
      <c r="A167" t="s">
        <v>4224</v>
      </c>
      <c r="B167" t="str">
        <f>_xlfn.XLOOKUP(A167,'Part A'!$Q:$Q,'Part A'!$F:$F,0,0,1)</f>
        <v>White</v>
      </c>
      <c r="C167" t="str">
        <f>_xlfn.XLOOKUP(A167,'Part A'!$Q:$Q,'Part A'!$E:$E,0,0,1)</f>
        <v>Female</v>
      </c>
      <c r="D167">
        <f>SUMIF('Part A'!$Q:$Q,A167,'Part A'!$G:$G)</f>
        <v>3940</v>
      </c>
      <c r="E167">
        <f>COUNTIF('Part A'!$Q:$Q,A167)</f>
        <v>9</v>
      </c>
    </row>
    <row r="168" spans="1:5" x14ac:dyDescent="0.3">
      <c r="A168" t="s">
        <v>4225</v>
      </c>
      <c r="B168" t="str">
        <f>_xlfn.XLOOKUP(A168,'Part A'!$Q:$Q,'Part A'!$F:$F,0,0,1)</f>
        <v>Asian</v>
      </c>
      <c r="C168" t="str">
        <f>_xlfn.XLOOKUP(A168,'Part A'!$Q:$Q,'Part A'!$E:$E,0,0,1)</f>
        <v>Male</v>
      </c>
      <c r="D168">
        <f>SUMIF('Part A'!$Q:$Q,A168,'Part A'!$G:$G)</f>
        <v>913</v>
      </c>
      <c r="E168">
        <f>COUNTIF('Part A'!$Q:$Q,A168)</f>
        <v>1</v>
      </c>
    </row>
    <row r="169" spans="1:5" x14ac:dyDescent="0.3">
      <c r="A169" t="s">
        <v>4226</v>
      </c>
      <c r="B169" t="str">
        <f>_xlfn.XLOOKUP(A169,'Part A'!$Q:$Q,'Part A'!$F:$F,0,0,1)</f>
        <v>White</v>
      </c>
      <c r="C169" t="str">
        <f>_xlfn.XLOOKUP(A169,'Part A'!$Q:$Q,'Part A'!$E:$E,0,0,1)</f>
        <v>Female</v>
      </c>
      <c r="D169">
        <f>SUMIF('Part A'!$Q:$Q,A169,'Part A'!$G:$G)</f>
        <v>121</v>
      </c>
      <c r="E169">
        <f>COUNTIF('Part A'!$Q:$Q,A169)</f>
        <v>1</v>
      </c>
    </row>
    <row r="170" spans="1:5" x14ac:dyDescent="0.3">
      <c r="A170" t="s">
        <v>4227</v>
      </c>
      <c r="B170" t="str">
        <f>_xlfn.XLOOKUP(A170,'Part A'!$Q:$Q,'Part A'!$F:$F,0,0,1)</f>
        <v>Asian</v>
      </c>
      <c r="C170" t="str">
        <f>_xlfn.XLOOKUP(A170,'Part A'!$Q:$Q,'Part A'!$E:$E,0,0,1)</f>
        <v>Female</v>
      </c>
      <c r="D170">
        <f>SUMIF('Part A'!$Q:$Q,A170,'Part A'!$G:$G)</f>
        <v>4421</v>
      </c>
      <c r="E170">
        <f>COUNTIF('Part A'!$Q:$Q,A170)</f>
        <v>9</v>
      </c>
    </row>
    <row r="171" spans="1:5" x14ac:dyDescent="0.3">
      <c r="A171" t="s">
        <v>4228</v>
      </c>
      <c r="B171" t="str">
        <f>_xlfn.XLOOKUP(A171,'Part A'!$Q:$Q,'Part A'!$F:$F,0,0,1)</f>
        <v>White</v>
      </c>
      <c r="C171" t="str">
        <f>_xlfn.XLOOKUP(A171,'Part A'!$Q:$Q,'Part A'!$E:$E,0,0,1)</f>
        <v>Female</v>
      </c>
      <c r="D171">
        <f>SUMIF('Part A'!$Q:$Q,A171,'Part A'!$G:$G)</f>
        <v>330</v>
      </c>
      <c r="E171">
        <f>COUNTIF('Part A'!$Q:$Q,A171)</f>
        <v>1</v>
      </c>
    </row>
    <row r="172" spans="1:5" x14ac:dyDescent="0.3">
      <c r="A172" t="s">
        <v>4229</v>
      </c>
      <c r="B172" t="str">
        <f>_xlfn.XLOOKUP(A172,'Part A'!$Q:$Q,'Part A'!$F:$F,0,0,1)</f>
        <v>White</v>
      </c>
      <c r="C172" t="str">
        <f>_xlfn.XLOOKUP(A172,'Part A'!$Q:$Q,'Part A'!$E:$E,0,0,1)</f>
        <v>Female</v>
      </c>
      <c r="D172">
        <f>SUMIF('Part A'!$Q:$Q,A172,'Part A'!$G:$G)</f>
        <v>796</v>
      </c>
      <c r="E172">
        <f>COUNTIF('Part A'!$Q:$Q,A172)</f>
        <v>1</v>
      </c>
    </row>
    <row r="173" spans="1:5" x14ac:dyDescent="0.3">
      <c r="A173" t="s">
        <v>4230</v>
      </c>
      <c r="B173" t="str">
        <f>_xlfn.XLOOKUP(A173,'Part A'!$Q:$Q,'Part A'!$F:$F,0,0,1)</f>
        <v>Mexican</v>
      </c>
      <c r="C173" t="str">
        <f>_xlfn.XLOOKUP(A173,'Part A'!$Q:$Q,'Part A'!$E:$E,0,0,1)</f>
        <v>Female</v>
      </c>
      <c r="D173">
        <f>SUMIF('Part A'!$Q:$Q,A173,'Part A'!$G:$G)</f>
        <v>771</v>
      </c>
      <c r="E173">
        <f>COUNTIF('Part A'!$Q:$Q,A173)</f>
        <v>1</v>
      </c>
    </row>
    <row r="174" spans="1:5" x14ac:dyDescent="0.3">
      <c r="A174" t="s">
        <v>4231</v>
      </c>
      <c r="B174" t="str">
        <f>_xlfn.XLOOKUP(A174,'Part A'!$Q:$Q,'Part A'!$F:$F,0,0,1)</f>
        <v>Asian</v>
      </c>
      <c r="C174" t="str">
        <f>_xlfn.XLOOKUP(A174,'Part A'!$Q:$Q,'Part A'!$E:$E,0,0,1)</f>
        <v>Female</v>
      </c>
      <c r="D174">
        <f>SUMIF('Part A'!$Q:$Q,A174,'Part A'!$G:$G)</f>
        <v>928</v>
      </c>
      <c r="E174">
        <f>COUNTIF('Part A'!$Q:$Q,A174)</f>
        <v>1</v>
      </c>
    </row>
    <row r="175" spans="1:5" x14ac:dyDescent="0.3">
      <c r="A175" t="s">
        <v>4049</v>
      </c>
      <c r="B175" t="str">
        <f>_xlfn.XLOOKUP(A175,'Part A'!$Q:$Q,'Part A'!$F:$F,0,0,1)</f>
        <v>White</v>
      </c>
      <c r="C175" t="str">
        <f>_xlfn.XLOOKUP(A175,'Part A'!$Q:$Q,'Part A'!$E:$E,0,0,1)</f>
        <v>Male</v>
      </c>
      <c r="D175">
        <f>SUMIF('Part A'!$Q:$Q,A175,'Part A'!$G:$G)</f>
        <v>113</v>
      </c>
      <c r="E175">
        <f>COUNTIF('Part A'!$Q:$Q,A175)</f>
        <v>1</v>
      </c>
    </row>
    <row r="176" spans="1:5" x14ac:dyDescent="0.3">
      <c r="A176" t="s">
        <v>4232</v>
      </c>
      <c r="B176" t="str">
        <f>_xlfn.XLOOKUP(A176,'Part A'!$Q:$Q,'Part A'!$F:$F,0,0,1)</f>
        <v>Asian</v>
      </c>
      <c r="C176" t="str">
        <f>_xlfn.XLOOKUP(A176,'Part A'!$Q:$Q,'Part A'!$E:$E,0,0,1)</f>
        <v>Male</v>
      </c>
      <c r="D176">
        <f>SUMIF('Part A'!$Q:$Q,A176,'Part A'!$G:$G)</f>
        <v>665</v>
      </c>
      <c r="E176">
        <f>COUNTIF('Part A'!$Q:$Q,A176)</f>
        <v>1</v>
      </c>
    </row>
    <row r="177" spans="1:5" x14ac:dyDescent="0.3">
      <c r="A177" t="s">
        <v>4233</v>
      </c>
      <c r="B177" t="str">
        <f>_xlfn.XLOOKUP(A177,'Part A'!$Q:$Q,'Part A'!$F:$F,0,0,1)</f>
        <v>White</v>
      </c>
      <c r="C177" t="str">
        <f>_xlfn.XLOOKUP(A177,'Part A'!$Q:$Q,'Part A'!$E:$E,0,0,1)</f>
        <v>Male</v>
      </c>
      <c r="D177">
        <f>SUMIF('Part A'!$Q:$Q,A177,'Part A'!$G:$G)</f>
        <v>822</v>
      </c>
      <c r="E177">
        <f>COUNTIF('Part A'!$Q:$Q,A177)</f>
        <v>1</v>
      </c>
    </row>
    <row r="178" spans="1:5" x14ac:dyDescent="0.3">
      <c r="A178" t="s">
        <v>4234</v>
      </c>
      <c r="B178" t="str">
        <f>_xlfn.XLOOKUP(A178,'Part A'!$Q:$Q,'Part A'!$F:$F,0,0,1)</f>
        <v>White</v>
      </c>
      <c r="C178" t="str">
        <f>_xlfn.XLOOKUP(A178,'Part A'!$Q:$Q,'Part A'!$E:$E,0,0,1)</f>
        <v>Male</v>
      </c>
      <c r="D178">
        <f>SUMIF('Part A'!$Q:$Q,A178,'Part A'!$G:$G)</f>
        <v>733</v>
      </c>
      <c r="E178">
        <f>COUNTIF('Part A'!$Q:$Q,A178)</f>
        <v>1</v>
      </c>
    </row>
    <row r="179" spans="1:5" x14ac:dyDescent="0.3">
      <c r="A179" t="s">
        <v>4050</v>
      </c>
      <c r="B179" t="str">
        <f>_xlfn.XLOOKUP(A179,'Part A'!$Q:$Q,'Part A'!$F:$F,0,0,1)</f>
        <v>White</v>
      </c>
      <c r="C179" t="str">
        <f>_xlfn.XLOOKUP(A179,'Part A'!$Q:$Q,'Part A'!$E:$E,0,0,1)</f>
        <v>Female</v>
      </c>
      <c r="D179">
        <f>SUMIF('Part A'!$Q:$Q,A179,'Part A'!$G:$G)</f>
        <v>731</v>
      </c>
      <c r="E179">
        <f>COUNTIF('Part A'!$Q:$Q,A179)</f>
        <v>1</v>
      </c>
    </row>
    <row r="180" spans="1:5" x14ac:dyDescent="0.3">
      <c r="A180" t="s">
        <v>4235</v>
      </c>
      <c r="B180" t="str">
        <f>_xlfn.XLOOKUP(A180,'Part A'!$Q:$Q,'Part A'!$F:$F,0,0,1)</f>
        <v>Asian</v>
      </c>
      <c r="C180" t="str">
        <f>_xlfn.XLOOKUP(A180,'Part A'!$Q:$Q,'Part A'!$E:$E,0,0,1)</f>
        <v>Male</v>
      </c>
      <c r="D180">
        <f>SUMIF('Part A'!$Q:$Q,A180,'Part A'!$G:$G)</f>
        <v>6654</v>
      </c>
      <c r="E180">
        <f>COUNTIF('Part A'!$Q:$Q,A180)</f>
        <v>13</v>
      </c>
    </row>
    <row r="181" spans="1:5" x14ac:dyDescent="0.3">
      <c r="A181" t="s">
        <v>4236</v>
      </c>
      <c r="B181" t="str">
        <f>_xlfn.XLOOKUP(A181,'Part A'!$Q:$Q,'Part A'!$F:$F,0,0,1)</f>
        <v>White</v>
      </c>
      <c r="C181" t="str">
        <f>_xlfn.XLOOKUP(A181,'Part A'!$Q:$Q,'Part A'!$E:$E,0,0,1)</f>
        <v>Female</v>
      </c>
      <c r="D181">
        <f>SUMIF('Part A'!$Q:$Q,A181,'Part A'!$G:$G)</f>
        <v>488</v>
      </c>
      <c r="E181">
        <f>COUNTIF('Part A'!$Q:$Q,A181)</f>
        <v>1</v>
      </c>
    </row>
    <row r="182" spans="1:5" x14ac:dyDescent="0.3">
      <c r="A182" t="s">
        <v>4237</v>
      </c>
      <c r="B182" t="str">
        <f>_xlfn.XLOOKUP(A182,'Part A'!$Q:$Q,'Part A'!$F:$F,0,0,1)</f>
        <v>Asian</v>
      </c>
      <c r="C182" t="str">
        <f>_xlfn.XLOOKUP(A182,'Part A'!$Q:$Q,'Part A'!$E:$E,0,0,1)</f>
        <v>Female</v>
      </c>
      <c r="D182">
        <f>SUMIF('Part A'!$Q:$Q,A182,'Part A'!$G:$G)</f>
        <v>217</v>
      </c>
      <c r="E182">
        <f>COUNTIF('Part A'!$Q:$Q,A182)</f>
        <v>1</v>
      </c>
    </row>
    <row r="183" spans="1:5" x14ac:dyDescent="0.3">
      <c r="A183" t="s">
        <v>4238</v>
      </c>
      <c r="B183" t="str">
        <f>_xlfn.XLOOKUP(A183,'Part A'!$Q:$Q,'Part A'!$F:$F,0,0,1)</f>
        <v>White</v>
      </c>
      <c r="C183" t="str">
        <f>_xlfn.XLOOKUP(A183,'Part A'!$Q:$Q,'Part A'!$E:$E,0,0,1)</f>
        <v>Male</v>
      </c>
      <c r="D183">
        <f>SUMIF('Part A'!$Q:$Q,A183,'Part A'!$G:$G)</f>
        <v>681</v>
      </c>
      <c r="E183">
        <f>COUNTIF('Part A'!$Q:$Q,A183)</f>
        <v>1</v>
      </c>
    </row>
    <row r="184" spans="1:5" x14ac:dyDescent="0.3">
      <c r="A184" t="s">
        <v>4239</v>
      </c>
      <c r="B184" t="str">
        <f>_xlfn.XLOOKUP(A184,'Part A'!$Q:$Q,'Part A'!$F:$F,0,0,1)</f>
        <v>White</v>
      </c>
      <c r="C184" t="str">
        <f>_xlfn.XLOOKUP(A184,'Part A'!$Q:$Q,'Part A'!$E:$E,0,0,1)</f>
        <v>Male</v>
      </c>
      <c r="D184">
        <f>SUMIF('Part A'!$Q:$Q,A184,'Part A'!$G:$G)</f>
        <v>279</v>
      </c>
      <c r="E184">
        <f>COUNTIF('Part A'!$Q:$Q,A184)</f>
        <v>1</v>
      </c>
    </row>
    <row r="185" spans="1:5" x14ac:dyDescent="0.3">
      <c r="A185" t="s">
        <v>4240</v>
      </c>
      <c r="B185" t="str">
        <f>_xlfn.XLOOKUP(A185,'Part A'!$Q:$Q,'Part A'!$F:$F,0,0,1)</f>
        <v>Black or African American</v>
      </c>
      <c r="C185" t="str">
        <f>_xlfn.XLOOKUP(A185,'Part A'!$Q:$Q,'Part A'!$E:$E,0,0,1)</f>
        <v>Female</v>
      </c>
      <c r="D185">
        <f>SUMIF('Part A'!$Q:$Q,A185,'Part A'!$G:$G)</f>
        <v>173</v>
      </c>
      <c r="E185">
        <f>COUNTIF('Part A'!$Q:$Q,A185)</f>
        <v>1</v>
      </c>
    </row>
    <row r="186" spans="1:5" x14ac:dyDescent="0.3">
      <c r="A186" t="s">
        <v>4241</v>
      </c>
      <c r="B186" t="str">
        <f>_xlfn.XLOOKUP(A186,'Part A'!$Q:$Q,'Part A'!$F:$F,0,0,1)</f>
        <v>Black or African American</v>
      </c>
      <c r="C186" t="str">
        <f>_xlfn.XLOOKUP(A186,'Part A'!$Q:$Q,'Part A'!$E:$E,0,0,1)</f>
        <v>Female</v>
      </c>
      <c r="D186">
        <f>SUMIF('Part A'!$Q:$Q,A186,'Part A'!$G:$G)</f>
        <v>220</v>
      </c>
      <c r="E186">
        <f>COUNTIF('Part A'!$Q:$Q,A186)</f>
        <v>1</v>
      </c>
    </row>
    <row r="187" spans="1:5" x14ac:dyDescent="0.3">
      <c r="A187" t="s">
        <v>4242</v>
      </c>
      <c r="B187" t="str">
        <f>_xlfn.XLOOKUP(A187,'Part A'!$Q:$Q,'Part A'!$F:$F,0,0,1)</f>
        <v>White</v>
      </c>
      <c r="C187" t="str">
        <f>_xlfn.XLOOKUP(A187,'Part A'!$Q:$Q,'Part A'!$E:$E,0,0,1)</f>
        <v>Male</v>
      </c>
      <c r="D187">
        <f>SUMIF('Part A'!$Q:$Q,A187,'Part A'!$G:$G)</f>
        <v>625</v>
      </c>
      <c r="E187">
        <f>COUNTIF('Part A'!$Q:$Q,A187)</f>
        <v>1</v>
      </c>
    </row>
    <row r="188" spans="1:5" x14ac:dyDescent="0.3">
      <c r="A188" t="s">
        <v>4243</v>
      </c>
      <c r="B188" t="str">
        <f>_xlfn.XLOOKUP(A188,'Part A'!$Q:$Q,'Part A'!$F:$F,0,0,1)</f>
        <v>White</v>
      </c>
      <c r="C188" t="str">
        <f>_xlfn.XLOOKUP(A188,'Part A'!$Q:$Q,'Part A'!$E:$E,0,0,1)</f>
        <v>Male</v>
      </c>
      <c r="D188">
        <f>SUMIF('Part A'!$Q:$Q,A188,'Part A'!$G:$G)</f>
        <v>400</v>
      </c>
      <c r="E188">
        <f>COUNTIF('Part A'!$Q:$Q,A188)</f>
        <v>1</v>
      </c>
    </row>
    <row r="189" spans="1:5" x14ac:dyDescent="0.3">
      <c r="A189" t="s">
        <v>4244</v>
      </c>
      <c r="B189" t="str">
        <f>_xlfn.XLOOKUP(A189,'Part A'!$Q:$Q,'Part A'!$F:$F,0,0,1)</f>
        <v>White</v>
      </c>
      <c r="C189" t="str">
        <f>_xlfn.XLOOKUP(A189,'Part A'!$Q:$Q,'Part A'!$E:$E,0,0,1)</f>
        <v>Female</v>
      </c>
      <c r="D189">
        <f>SUMIF('Part A'!$Q:$Q,A189,'Part A'!$G:$G)</f>
        <v>899</v>
      </c>
      <c r="E189">
        <f>COUNTIF('Part A'!$Q:$Q,A189)</f>
        <v>2</v>
      </c>
    </row>
    <row r="190" spans="1:5" x14ac:dyDescent="0.3">
      <c r="A190" t="s">
        <v>4245</v>
      </c>
      <c r="B190" t="str">
        <f>_xlfn.XLOOKUP(A190,'Part A'!$Q:$Q,'Part A'!$F:$F,0,0,1)</f>
        <v>White</v>
      </c>
      <c r="C190" t="str">
        <f>_xlfn.XLOOKUP(A190,'Part A'!$Q:$Q,'Part A'!$E:$E,0,0,1)</f>
        <v>Female</v>
      </c>
      <c r="D190">
        <f>SUMIF('Part A'!$Q:$Q,A190,'Part A'!$G:$G)</f>
        <v>1064</v>
      </c>
      <c r="E190">
        <f>COUNTIF('Part A'!$Q:$Q,A190)</f>
        <v>2</v>
      </c>
    </row>
    <row r="191" spans="1:5" x14ac:dyDescent="0.3">
      <c r="A191" t="s">
        <v>4051</v>
      </c>
      <c r="B191" t="str">
        <f>_xlfn.XLOOKUP(A191,'Part A'!$Q:$Q,'Part A'!$F:$F,0,0,1)</f>
        <v>Black or African American</v>
      </c>
      <c r="C191" t="str">
        <f>_xlfn.XLOOKUP(A191,'Part A'!$Q:$Q,'Part A'!$E:$E,0,0,1)</f>
        <v>Female</v>
      </c>
      <c r="D191">
        <f>SUMIF('Part A'!$Q:$Q,A191,'Part A'!$G:$G)</f>
        <v>686</v>
      </c>
      <c r="E191">
        <f>COUNTIF('Part A'!$Q:$Q,A191)</f>
        <v>1</v>
      </c>
    </row>
    <row r="192" spans="1:5" x14ac:dyDescent="0.3">
      <c r="A192" t="s">
        <v>4246</v>
      </c>
      <c r="B192" t="str">
        <f>_xlfn.XLOOKUP(A192,'Part A'!$Q:$Q,'Part A'!$F:$F,0,0,1)</f>
        <v>Mexican</v>
      </c>
      <c r="C192" t="str">
        <f>_xlfn.XLOOKUP(A192,'Part A'!$Q:$Q,'Part A'!$E:$E,0,0,1)</f>
        <v>Female</v>
      </c>
      <c r="D192">
        <f>SUMIF('Part A'!$Q:$Q,A192,'Part A'!$G:$G)</f>
        <v>1379</v>
      </c>
      <c r="E192">
        <f>COUNTIF('Part A'!$Q:$Q,A192)</f>
        <v>2</v>
      </c>
    </row>
    <row r="193" spans="1:5" x14ac:dyDescent="0.3">
      <c r="A193" t="s">
        <v>4247</v>
      </c>
      <c r="B193" t="str">
        <f>_xlfn.XLOOKUP(A193,'Part A'!$Q:$Q,'Part A'!$F:$F,0,0,1)</f>
        <v>White</v>
      </c>
      <c r="C193" t="str">
        <f>_xlfn.XLOOKUP(A193,'Part A'!$Q:$Q,'Part A'!$E:$E,0,0,1)</f>
        <v>Male</v>
      </c>
      <c r="D193">
        <f>SUMIF('Part A'!$Q:$Q,A193,'Part A'!$G:$G)</f>
        <v>1021</v>
      </c>
      <c r="E193">
        <f>COUNTIF('Part A'!$Q:$Q,A193)</f>
        <v>2</v>
      </c>
    </row>
    <row r="194" spans="1:5" x14ac:dyDescent="0.3">
      <c r="A194" t="s">
        <v>4248</v>
      </c>
      <c r="B194" t="str">
        <f>_xlfn.XLOOKUP(A194,'Part A'!$Q:$Q,'Part A'!$F:$F,0,0,1)</f>
        <v>Black or African American</v>
      </c>
      <c r="C194" t="str">
        <f>_xlfn.XLOOKUP(A194,'Part A'!$Q:$Q,'Part A'!$E:$E,0,0,1)</f>
        <v>Male</v>
      </c>
      <c r="D194">
        <f>SUMIF('Part A'!$Q:$Q,A194,'Part A'!$G:$G)</f>
        <v>280</v>
      </c>
      <c r="E194">
        <f>COUNTIF('Part A'!$Q:$Q,A194)</f>
        <v>1</v>
      </c>
    </row>
    <row r="195" spans="1:5" x14ac:dyDescent="0.3">
      <c r="A195" t="s">
        <v>4249</v>
      </c>
      <c r="B195" t="str">
        <f>_xlfn.XLOOKUP(A195,'Part A'!$Q:$Q,'Part A'!$F:$F,0,0,1)</f>
        <v>White</v>
      </c>
      <c r="C195" t="str">
        <f>_xlfn.XLOOKUP(A195,'Part A'!$Q:$Q,'Part A'!$E:$E,0,0,1)</f>
        <v>Female</v>
      </c>
      <c r="D195">
        <f>SUMIF('Part A'!$Q:$Q,A195,'Part A'!$G:$G)</f>
        <v>1127</v>
      </c>
      <c r="E195">
        <f>COUNTIF('Part A'!$Q:$Q,A195)</f>
        <v>2</v>
      </c>
    </row>
    <row r="196" spans="1:5" x14ac:dyDescent="0.3">
      <c r="A196" t="s">
        <v>4250</v>
      </c>
      <c r="B196" t="str">
        <f>_xlfn.XLOOKUP(A196,'Part A'!$Q:$Q,'Part A'!$F:$F,0,0,1)</f>
        <v>Asian</v>
      </c>
      <c r="C196" t="str">
        <f>_xlfn.XLOOKUP(A196,'Part A'!$Q:$Q,'Part A'!$E:$E,0,0,1)</f>
        <v>Male</v>
      </c>
      <c r="D196">
        <f>SUMIF('Part A'!$Q:$Q,A196,'Part A'!$G:$G)</f>
        <v>943</v>
      </c>
      <c r="E196">
        <f>COUNTIF('Part A'!$Q:$Q,A196)</f>
        <v>1</v>
      </c>
    </row>
    <row r="197" spans="1:5" x14ac:dyDescent="0.3">
      <c r="A197" t="s">
        <v>4251</v>
      </c>
      <c r="B197" t="str">
        <f>_xlfn.XLOOKUP(A197,'Part A'!$Q:$Q,'Part A'!$F:$F,0,0,1)</f>
        <v>South American</v>
      </c>
      <c r="C197" t="str">
        <f>_xlfn.XLOOKUP(A197,'Part A'!$Q:$Q,'Part A'!$E:$E,0,0,1)</f>
        <v>Female</v>
      </c>
      <c r="D197">
        <f>SUMIF('Part A'!$Q:$Q,A197,'Part A'!$G:$G)</f>
        <v>614</v>
      </c>
      <c r="E197">
        <f>COUNTIF('Part A'!$Q:$Q,A197)</f>
        <v>1</v>
      </c>
    </row>
    <row r="198" spans="1:5" x14ac:dyDescent="0.3">
      <c r="A198" t="s">
        <v>4252</v>
      </c>
      <c r="B198" t="str">
        <f>_xlfn.XLOOKUP(A198,'Part A'!$Q:$Q,'Part A'!$F:$F,0,0,1)</f>
        <v>White</v>
      </c>
      <c r="C198" t="str">
        <f>_xlfn.XLOOKUP(A198,'Part A'!$Q:$Q,'Part A'!$E:$E,0,0,1)</f>
        <v>Male</v>
      </c>
      <c r="D198">
        <f>SUMIF('Part A'!$Q:$Q,A198,'Part A'!$G:$G)</f>
        <v>703</v>
      </c>
      <c r="E198">
        <f>COUNTIF('Part A'!$Q:$Q,A198)</f>
        <v>1</v>
      </c>
    </row>
    <row r="199" spans="1:5" x14ac:dyDescent="0.3">
      <c r="A199" t="s">
        <v>4253</v>
      </c>
      <c r="B199" t="str">
        <f>_xlfn.XLOOKUP(A199,'Part A'!$Q:$Q,'Part A'!$F:$F,0,0,1)</f>
        <v>White</v>
      </c>
      <c r="C199" t="str">
        <f>_xlfn.XLOOKUP(A199,'Part A'!$Q:$Q,'Part A'!$E:$E,0,0,1)</f>
        <v>Male</v>
      </c>
      <c r="D199">
        <f>SUMIF('Part A'!$Q:$Q,A199,'Part A'!$G:$G)</f>
        <v>80</v>
      </c>
      <c r="E199">
        <f>COUNTIF('Part A'!$Q:$Q,A199)</f>
        <v>1</v>
      </c>
    </row>
    <row r="200" spans="1:5" x14ac:dyDescent="0.3">
      <c r="A200" t="s">
        <v>4254</v>
      </c>
      <c r="B200" t="str">
        <f>_xlfn.XLOOKUP(A200,'Part A'!$Q:$Q,'Part A'!$F:$F,0,0,1)</f>
        <v>White</v>
      </c>
      <c r="C200" t="str">
        <f>_xlfn.XLOOKUP(A200,'Part A'!$Q:$Q,'Part A'!$E:$E,0,0,1)</f>
        <v>Female</v>
      </c>
      <c r="D200">
        <f>SUMIF('Part A'!$Q:$Q,A200,'Part A'!$G:$G)</f>
        <v>260</v>
      </c>
      <c r="E200">
        <f>COUNTIF('Part A'!$Q:$Q,A200)</f>
        <v>1</v>
      </c>
    </row>
    <row r="201" spans="1:5" x14ac:dyDescent="0.3">
      <c r="A201" t="s">
        <v>4255</v>
      </c>
      <c r="B201" t="str">
        <f>_xlfn.XLOOKUP(A201,'Part A'!$Q:$Q,'Part A'!$F:$F,0,0,1)</f>
        <v>White</v>
      </c>
      <c r="C201" t="str">
        <f>_xlfn.XLOOKUP(A201,'Part A'!$Q:$Q,'Part A'!$E:$E,0,0,1)</f>
        <v>Male</v>
      </c>
      <c r="D201">
        <f>SUMIF('Part A'!$Q:$Q,A201,'Part A'!$G:$G)</f>
        <v>650</v>
      </c>
      <c r="E201">
        <f>COUNTIF('Part A'!$Q:$Q,A201)</f>
        <v>1</v>
      </c>
    </row>
    <row r="202" spans="1:5" x14ac:dyDescent="0.3">
      <c r="A202" t="s">
        <v>4256</v>
      </c>
      <c r="B202" t="str">
        <f>_xlfn.XLOOKUP(A202,'Part A'!$Q:$Q,'Part A'!$F:$F,0,0,1)</f>
        <v>Mexican</v>
      </c>
      <c r="C202" t="str">
        <f>_xlfn.XLOOKUP(A202,'Part A'!$Q:$Q,'Part A'!$E:$E,0,0,1)</f>
        <v>Male</v>
      </c>
      <c r="D202">
        <f>SUMIF('Part A'!$Q:$Q,A202,'Part A'!$G:$G)</f>
        <v>799</v>
      </c>
      <c r="E202">
        <f>COUNTIF('Part A'!$Q:$Q,A202)</f>
        <v>1</v>
      </c>
    </row>
    <row r="203" spans="1:5" x14ac:dyDescent="0.3">
      <c r="A203" t="s">
        <v>4257</v>
      </c>
      <c r="B203" t="str">
        <f>_xlfn.XLOOKUP(A203,'Part A'!$Q:$Q,'Part A'!$F:$F,0,0,1)</f>
        <v>White</v>
      </c>
      <c r="C203" t="str">
        <f>_xlfn.XLOOKUP(A203,'Part A'!$Q:$Q,'Part A'!$E:$E,0,0,1)</f>
        <v>Male</v>
      </c>
      <c r="D203">
        <f>SUMIF('Part A'!$Q:$Q,A203,'Part A'!$G:$G)</f>
        <v>749</v>
      </c>
      <c r="E203">
        <f>COUNTIF('Part A'!$Q:$Q,A203)</f>
        <v>1</v>
      </c>
    </row>
    <row r="204" spans="1:5" x14ac:dyDescent="0.3">
      <c r="A204" t="s">
        <v>4258</v>
      </c>
      <c r="B204" t="str">
        <f>_xlfn.XLOOKUP(A204,'Part A'!$Q:$Q,'Part A'!$F:$F,0,0,1)</f>
        <v>Asian</v>
      </c>
      <c r="C204" t="str">
        <f>_xlfn.XLOOKUP(A204,'Part A'!$Q:$Q,'Part A'!$E:$E,0,0,1)</f>
        <v>Female</v>
      </c>
      <c r="D204">
        <f>SUMIF('Part A'!$Q:$Q,A204,'Part A'!$G:$G)</f>
        <v>590</v>
      </c>
      <c r="E204">
        <f>COUNTIF('Part A'!$Q:$Q,A204)</f>
        <v>1</v>
      </c>
    </row>
    <row r="205" spans="1:5" x14ac:dyDescent="0.3">
      <c r="A205" t="s">
        <v>4259</v>
      </c>
      <c r="B205" t="str">
        <f>_xlfn.XLOOKUP(A205,'Part A'!$Q:$Q,'Part A'!$F:$F,0,0,1)</f>
        <v>Asian</v>
      </c>
      <c r="C205" t="str">
        <f>_xlfn.XLOOKUP(A205,'Part A'!$Q:$Q,'Part A'!$E:$E,0,0,1)</f>
        <v>Male</v>
      </c>
      <c r="D205">
        <f>SUMIF('Part A'!$Q:$Q,A205,'Part A'!$G:$G)</f>
        <v>7838</v>
      </c>
      <c r="E205">
        <f>COUNTIF('Part A'!$Q:$Q,A205)</f>
        <v>14</v>
      </c>
    </row>
    <row r="206" spans="1:5" x14ac:dyDescent="0.3">
      <c r="A206" t="s">
        <v>4260</v>
      </c>
      <c r="B206" t="str">
        <f>_xlfn.XLOOKUP(A206,'Part A'!$Q:$Q,'Part A'!$F:$F,0,0,1)</f>
        <v>White</v>
      </c>
      <c r="C206" t="str">
        <f>_xlfn.XLOOKUP(A206,'Part A'!$Q:$Q,'Part A'!$E:$E,0,0,1)</f>
        <v>Female</v>
      </c>
      <c r="D206">
        <f>SUMIF('Part A'!$Q:$Q,A206,'Part A'!$G:$G)</f>
        <v>755</v>
      </c>
      <c r="E206">
        <f>COUNTIF('Part A'!$Q:$Q,A206)</f>
        <v>1</v>
      </c>
    </row>
    <row r="207" spans="1:5" x14ac:dyDescent="0.3">
      <c r="A207" t="s">
        <v>4261</v>
      </c>
      <c r="B207" t="str">
        <f>_xlfn.XLOOKUP(A207,'Part A'!$Q:$Q,'Part A'!$F:$F,0,0,1)</f>
        <v>White</v>
      </c>
      <c r="C207" t="str">
        <f>_xlfn.XLOOKUP(A207,'Part A'!$Q:$Q,'Part A'!$E:$E,0,0,1)</f>
        <v>Male</v>
      </c>
      <c r="D207">
        <f>SUMIF('Part A'!$Q:$Q,A207,'Part A'!$G:$G)</f>
        <v>492</v>
      </c>
      <c r="E207">
        <f>COUNTIF('Part A'!$Q:$Q,A207)</f>
        <v>1</v>
      </c>
    </row>
    <row r="208" spans="1:5" x14ac:dyDescent="0.3">
      <c r="A208" t="s">
        <v>4262</v>
      </c>
      <c r="B208" t="str">
        <f>_xlfn.XLOOKUP(A208,'Part A'!$Q:$Q,'Part A'!$F:$F,0,0,1)</f>
        <v>Mexican</v>
      </c>
      <c r="C208" t="str">
        <f>_xlfn.XLOOKUP(A208,'Part A'!$Q:$Q,'Part A'!$E:$E,0,0,1)</f>
        <v>Male</v>
      </c>
      <c r="D208">
        <f>SUMIF('Part A'!$Q:$Q,A208,'Part A'!$G:$G)</f>
        <v>6491</v>
      </c>
      <c r="E208">
        <f>COUNTIF('Part A'!$Q:$Q,A208)</f>
        <v>11</v>
      </c>
    </row>
    <row r="209" spans="1:5" x14ac:dyDescent="0.3">
      <c r="A209" t="s">
        <v>4263</v>
      </c>
      <c r="B209" t="str">
        <f>_xlfn.XLOOKUP(A209,'Part A'!$Q:$Q,'Part A'!$F:$F,0,0,1)</f>
        <v>White</v>
      </c>
      <c r="C209" t="str">
        <f>_xlfn.XLOOKUP(A209,'Part A'!$Q:$Q,'Part A'!$E:$E,0,0,1)</f>
        <v>Female</v>
      </c>
      <c r="D209">
        <f>SUMIF('Part A'!$Q:$Q,A209,'Part A'!$G:$G)</f>
        <v>782</v>
      </c>
      <c r="E209">
        <f>COUNTIF('Part A'!$Q:$Q,A209)</f>
        <v>1</v>
      </c>
    </row>
    <row r="210" spans="1:5" x14ac:dyDescent="0.3">
      <c r="A210" t="s">
        <v>4264</v>
      </c>
      <c r="B210" t="str">
        <f>_xlfn.XLOOKUP(A210,'Part A'!$Q:$Q,'Part A'!$F:$F,0,0,1)</f>
        <v>Asian</v>
      </c>
      <c r="C210" t="str">
        <f>_xlfn.XLOOKUP(A210,'Part A'!$Q:$Q,'Part A'!$E:$E,0,0,1)</f>
        <v>Female</v>
      </c>
      <c r="D210">
        <f>SUMIF('Part A'!$Q:$Q,A210,'Part A'!$G:$G)</f>
        <v>334</v>
      </c>
      <c r="E210">
        <f>COUNTIF('Part A'!$Q:$Q,A210)</f>
        <v>1</v>
      </c>
    </row>
    <row r="211" spans="1:5" x14ac:dyDescent="0.3">
      <c r="A211" t="s">
        <v>4265</v>
      </c>
      <c r="B211" t="str">
        <f>_xlfn.XLOOKUP(A211,'Part A'!$Q:$Q,'Part A'!$F:$F,0,0,1)</f>
        <v>Hispanic</v>
      </c>
      <c r="C211" t="str">
        <f>_xlfn.XLOOKUP(A211,'Part A'!$Q:$Q,'Part A'!$E:$E,0,0,1)</f>
        <v>Female</v>
      </c>
      <c r="D211">
        <f>SUMIF('Part A'!$Q:$Q,A211,'Part A'!$G:$G)</f>
        <v>8503</v>
      </c>
      <c r="E211">
        <f>COUNTIF('Part A'!$Q:$Q,A211)</f>
        <v>17</v>
      </c>
    </row>
    <row r="212" spans="1:5" x14ac:dyDescent="0.3">
      <c r="A212" t="s">
        <v>4266</v>
      </c>
      <c r="B212" t="str">
        <f>_xlfn.XLOOKUP(A212,'Part A'!$Q:$Q,'Part A'!$F:$F,0,0,1)</f>
        <v>Black or African American</v>
      </c>
      <c r="C212" t="str">
        <f>_xlfn.XLOOKUP(A212,'Part A'!$Q:$Q,'Part A'!$E:$E,0,0,1)</f>
        <v>Female</v>
      </c>
      <c r="D212">
        <f>SUMIF('Part A'!$Q:$Q,A212,'Part A'!$G:$G)</f>
        <v>511</v>
      </c>
      <c r="E212">
        <f>COUNTIF('Part A'!$Q:$Q,A212)</f>
        <v>1</v>
      </c>
    </row>
    <row r="213" spans="1:5" x14ac:dyDescent="0.3">
      <c r="A213" t="s">
        <v>4267</v>
      </c>
      <c r="B213" t="str">
        <f>_xlfn.XLOOKUP(A213,'Part A'!$Q:$Q,'Part A'!$F:$F,0,0,1)</f>
        <v>Black or African American</v>
      </c>
      <c r="C213" t="str">
        <f>_xlfn.XLOOKUP(A213,'Part A'!$Q:$Q,'Part A'!$E:$E,0,0,1)</f>
        <v>Male</v>
      </c>
      <c r="D213">
        <f>SUMIF('Part A'!$Q:$Q,A213,'Part A'!$G:$G)</f>
        <v>114</v>
      </c>
      <c r="E213">
        <f>COUNTIF('Part A'!$Q:$Q,A213)</f>
        <v>1</v>
      </c>
    </row>
    <row r="214" spans="1:5" x14ac:dyDescent="0.3">
      <c r="A214" t="s">
        <v>4268</v>
      </c>
      <c r="B214" t="str">
        <f>_xlfn.XLOOKUP(A214,'Part A'!$Q:$Q,'Part A'!$F:$F,0,0,1)</f>
        <v>White</v>
      </c>
      <c r="C214" t="str">
        <f>_xlfn.XLOOKUP(A214,'Part A'!$Q:$Q,'Part A'!$E:$E,0,0,1)</f>
        <v>Male</v>
      </c>
      <c r="D214">
        <f>SUMIF('Part A'!$Q:$Q,A214,'Part A'!$G:$G)</f>
        <v>905</v>
      </c>
      <c r="E214">
        <f>COUNTIF('Part A'!$Q:$Q,A214)</f>
        <v>1</v>
      </c>
    </row>
    <row r="215" spans="1:5" x14ac:dyDescent="0.3">
      <c r="A215" t="s">
        <v>4269</v>
      </c>
      <c r="B215" t="str">
        <f>_xlfn.XLOOKUP(A215,'Part A'!$Q:$Q,'Part A'!$F:$F,0,0,1)</f>
        <v>White</v>
      </c>
      <c r="C215" t="str">
        <f>_xlfn.XLOOKUP(A215,'Part A'!$Q:$Q,'Part A'!$E:$E,0,0,1)</f>
        <v>Male</v>
      </c>
      <c r="D215">
        <f>SUMIF('Part A'!$Q:$Q,A215,'Part A'!$G:$G)</f>
        <v>1681</v>
      </c>
      <c r="E215">
        <f>COUNTIF('Part A'!$Q:$Q,A215)</f>
        <v>2</v>
      </c>
    </row>
    <row r="216" spans="1:5" x14ac:dyDescent="0.3">
      <c r="A216" t="s">
        <v>4270</v>
      </c>
      <c r="B216" t="str">
        <f>_xlfn.XLOOKUP(A216,'Part A'!$Q:$Q,'Part A'!$F:$F,0,0,1)</f>
        <v>Black or African American</v>
      </c>
      <c r="C216" t="str">
        <f>_xlfn.XLOOKUP(A216,'Part A'!$Q:$Q,'Part A'!$E:$E,0,0,1)</f>
        <v>Female</v>
      </c>
      <c r="D216">
        <f>SUMIF('Part A'!$Q:$Q,A216,'Part A'!$G:$G)</f>
        <v>1650</v>
      </c>
      <c r="E216">
        <f>COUNTIF('Part A'!$Q:$Q,A216)</f>
        <v>4</v>
      </c>
    </row>
    <row r="217" spans="1:5" x14ac:dyDescent="0.3">
      <c r="A217" t="s">
        <v>4271</v>
      </c>
      <c r="B217" t="str">
        <f>_xlfn.XLOOKUP(A217,'Part A'!$Q:$Q,'Part A'!$F:$F,0,0,1)</f>
        <v>White</v>
      </c>
      <c r="C217" t="str">
        <f>_xlfn.XLOOKUP(A217,'Part A'!$Q:$Q,'Part A'!$E:$E,0,0,1)</f>
        <v>Male</v>
      </c>
      <c r="D217">
        <f>SUMIF('Part A'!$Q:$Q,A217,'Part A'!$G:$G)</f>
        <v>1232</v>
      </c>
      <c r="E217">
        <f>COUNTIF('Part A'!$Q:$Q,A217)</f>
        <v>2</v>
      </c>
    </row>
    <row r="218" spans="1:5" x14ac:dyDescent="0.3">
      <c r="A218" t="s">
        <v>4272</v>
      </c>
      <c r="B218" t="str">
        <f>_xlfn.XLOOKUP(A218,'Part A'!$Q:$Q,'Part A'!$F:$F,0,0,1)</f>
        <v>Black or African American</v>
      </c>
      <c r="C218" t="str">
        <f>_xlfn.XLOOKUP(A218,'Part A'!$Q:$Q,'Part A'!$E:$E,0,0,1)</f>
        <v>Male</v>
      </c>
      <c r="D218">
        <f>SUMIF('Part A'!$Q:$Q,A218,'Part A'!$G:$G)</f>
        <v>2197</v>
      </c>
      <c r="E218">
        <f>COUNTIF('Part A'!$Q:$Q,A218)</f>
        <v>4</v>
      </c>
    </row>
    <row r="219" spans="1:5" x14ac:dyDescent="0.3">
      <c r="A219" t="s">
        <v>4273</v>
      </c>
      <c r="B219" t="str">
        <f>_xlfn.XLOOKUP(A219,'Part A'!$Q:$Q,'Part A'!$F:$F,0,0,1)</f>
        <v>Mexican</v>
      </c>
      <c r="C219" t="str">
        <f>_xlfn.XLOOKUP(A219,'Part A'!$Q:$Q,'Part A'!$E:$E,0,0,1)</f>
        <v>Male</v>
      </c>
      <c r="D219">
        <f>SUMIF('Part A'!$Q:$Q,A219,'Part A'!$G:$G)</f>
        <v>471</v>
      </c>
      <c r="E219">
        <f>COUNTIF('Part A'!$Q:$Q,A219)</f>
        <v>2</v>
      </c>
    </row>
    <row r="220" spans="1:5" x14ac:dyDescent="0.3">
      <c r="A220" t="s">
        <v>4274</v>
      </c>
      <c r="B220" t="str">
        <f>_xlfn.XLOOKUP(A220,'Part A'!$Q:$Q,'Part A'!$F:$F,0,0,1)</f>
        <v>White</v>
      </c>
      <c r="C220" t="str">
        <f>_xlfn.XLOOKUP(A220,'Part A'!$Q:$Q,'Part A'!$E:$E,0,0,1)</f>
        <v>Female</v>
      </c>
      <c r="D220">
        <f>SUMIF('Part A'!$Q:$Q,A220,'Part A'!$G:$G)</f>
        <v>467</v>
      </c>
      <c r="E220">
        <f>COUNTIF('Part A'!$Q:$Q,A220)</f>
        <v>1</v>
      </c>
    </row>
    <row r="221" spans="1:5" x14ac:dyDescent="0.3">
      <c r="A221" t="s">
        <v>4275</v>
      </c>
      <c r="B221" t="str">
        <f>_xlfn.XLOOKUP(A221,'Part A'!$Q:$Q,'Part A'!$F:$F,0,0,1)</f>
        <v>White</v>
      </c>
      <c r="C221" t="str">
        <f>_xlfn.XLOOKUP(A221,'Part A'!$Q:$Q,'Part A'!$E:$E,0,0,1)</f>
        <v>Male</v>
      </c>
      <c r="D221">
        <f>SUMIF('Part A'!$Q:$Q,A221,'Part A'!$G:$G)</f>
        <v>110</v>
      </c>
      <c r="E221">
        <f>COUNTIF('Part A'!$Q:$Q,A221)</f>
        <v>1</v>
      </c>
    </row>
    <row r="222" spans="1:5" x14ac:dyDescent="0.3">
      <c r="A222" t="s">
        <v>4276</v>
      </c>
      <c r="B222" t="str">
        <f>_xlfn.XLOOKUP(A222,'Part A'!$Q:$Q,'Part A'!$F:$F,0,0,1)</f>
        <v>White</v>
      </c>
      <c r="C222" t="str">
        <f>_xlfn.XLOOKUP(A222,'Part A'!$Q:$Q,'Part A'!$E:$E,0,0,1)</f>
        <v>Female</v>
      </c>
      <c r="D222">
        <f>SUMIF('Part A'!$Q:$Q,A222,'Part A'!$G:$G)</f>
        <v>892</v>
      </c>
      <c r="E222">
        <f>COUNTIF('Part A'!$Q:$Q,A222)</f>
        <v>1</v>
      </c>
    </row>
    <row r="223" spans="1:5" x14ac:dyDescent="0.3">
      <c r="A223" t="s">
        <v>4277</v>
      </c>
      <c r="B223" t="str">
        <f>_xlfn.XLOOKUP(A223,'Part A'!$Q:$Q,'Part A'!$F:$F,0,0,1)</f>
        <v>White</v>
      </c>
      <c r="C223" t="str">
        <f>_xlfn.XLOOKUP(A223,'Part A'!$Q:$Q,'Part A'!$E:$E,0,0,1)</f>
        <v>Male</v>
      </c>
      <c r="D223">
        <f>SUMIF('Part A'!$Q:$Q,A223,'Part A'!$G:$G)</f>
        <v>321</v>
      </c>
      <c r="E223">
        <f>COUNTIF('Part A'!$Q:$Q,A223)</f>
        <v>1</v>
      </c>
    </row>
    <row r="224" spans="1:5" x14ac:dyDescent="0.3">
      <c r="A224" t="s">
        <v>4278</v>
      </c>
      <c r="B224" t="str">
        <f>_xlfn.XLOOKUP(A224,'Part A'!$Q:$Q,'Part A'!$F:$F,0,0,1)</f>
        <v>Asian</v>
      </c>
      <c r="C224" t="str">
        <f>_xlfn.XLOOKUP(A224,'Part A'!$Q:$Q,'Part A'!$E:$E,0,0,1)</f>
        <v>Male</v>
      </c>
      <c r="D224">
        <f>SUMIF('Part A'!$Q:$Q,A224,'Part A'!$G:$G)</f>
        <v>689</v>
      </c>
      <c r="E224">
        <f>COUNTIF('Part A'!$Q:$Q,A224)</f>
        <v>1</v>
      </c>
    </row>
    <row r="225" spans="1:5" x14ac:dyDescent="0.3">
      <c r="A225" t="s">
        <v>4279</v>
      </c>
      <c r="B225" t="str">
        <f>_xlfn.XLOOKUP(A225,'Part A'!$Q:$Q,'Part A'!$F:$F,0,0,1)</f>
        <v>Black or African American</v>
      </c>
      <c r="C225" t="str">
        <f>_xlfn.XLOOKUP(A225,'Part A'!$Q:$Q,'Part A'!$E:$E,0,0,1)</f>
        <v>Female</v>
      </c>
      <c r="D225">
        <f>SUMIF('Part A'!$Q:$Q,A225,'Part A'!$G:$G)</f>
        <v>152</v>
      </c>
      <c r="E225">
        <f>COUNTIF('Part A'!$Q:$Q,A225)</f>
        <v>1</v>
      </c>
    </row>
    <row r="226" spans="1:5" x14ac:dyDescent="0.3">
      <c r="A226" t="s">
        <v>4280</v>
      </c>
      <c r="B226" t="str">
        <f>_xlfn.XLOOKUP(A226,'Part A'!$Q:$Q,'Part A'!$F:$F,0,0,1)</f>
        <v>White</v>
      </c>
      <c r="C226" t="str">
        <f>_xlfn.XLOOKUP(A226,'Part A'!$Q:$Q,'Part A'!$E:$E,0,0,1)</f>
        <v>Female</v>
      </c>
      <c r="D226">
        <f>SUMIF('Part A'!$Q:$Q,A226,'Part A'!$G:$G)</f>
        <v>875</v>
      </c>
      <c r="E226">
        <f>COUNTIF('Part A'!$Q:$Q,A226)</f>
        <v>1</v>
      </c>
    </row>
    <row r="227" spans="1:5" x14ac:dyDescent="0.3">
      <c r="A227" t="s">
        <v>4281</v>
      </c>
      <c r="B227" t="str">
        <f>_xlfn.XLOOKUP(A227,'Part A'!$Q:$Q,'Part A'!$F:$F,0,0,1)</f>
        <v>Asian</v>
      </c>
      <c r="C227" t="str">
        <f>_xlfn.XLOOKUP(A227,'Part A'!$Q:$Q,'Part A'!$E:$E,0,0,1)</f>
        <v>Male</v>
      </c>
      <c r="D227">
        <f>SUMIF('Part A'!$Q:$Q,A227,'Part A'!$G:$G)</f>
        <v>425</v>
      </c>
      <c r="E227">
        <f>COUNTIF('Part A'!$Q:$Q,A227)</f>
        <v>1</v>
      </c>
    </row>
    <row r="228" spans="1:5" x14ac:dyDescent="0.3">
      <c r="A228" t="s">
        <v>4282</v>
      </c>
      <c r="B228" t="str">
        <f>_xlfn.XLOOKUP(A228,'Part A'!$Q:$Q,'Part A'!$F:$F,0,0,1)</f>
        <v>Mexican</v>
      </c>
      <c r="C228" t="str">
        <f>_xlfn.XLOOKUP(A228,'Part A'!$Q:$Q,'Part A'!$E:$E,0,0,1)</f>
        <v>Male</v>
      </c>
      <c r="D228">
        <f>SUMIF('Part A'!$Q:$Q,A228,'Part A'!$G:$G)</f>
        <v>616</v>
      </c>
      <c r="E228">
        <f>COUNTIF('Part A'!$Q:$Q,A228)</f>
        <v>2</v>
      </c>
    </row>
    <row r="229" spans="1:5" x14ac:dyDescent="0.3">
      <c r="A229" t="s">
        <v>4283</v>
      </c>
      <c r="B229" t="str">
        <f>_xlfn.XLOOKUP(A229,'Part A'!$Q:$Q,'Part A'!$F:$F,0,0,1)</f>
        <v>White</v>
      </c>
      <c r="C229" t="str">
        <f>_xlfn.XLOOKUP(A229,'Part A'!$Q:$Q,'Part A'!$E:$E,0,0,1)</f>
        <v>Male</v>
      </c>
      <c r="D229">
        <f>SUMIF('Part A'!$Q:$Q,A229,'Part A'!$G:$G)</f>
        <v>1205</v>
      </c>
      <c r="E229">
        <f>COUNTIF('Part A'!$Q:$Q,A229)</f>
        <v>2</v>
      </c>
    </row>
    <row r="230" spans="1:5" x14ac:dyDescent="0.3">
      <c r="A230" t="s">
        <v>4284</v>
      </c>
      <c r="B230" t="str">
        <f>_xlfn.XLOOKUP(A230,'Part A'!$Q:$Q,'Part A'!$F:$F,0,0,1)</f>
        <v>White</v>
      </c>
      <c r="C230" t="str">
        <f>_xlfn.XLOOKUP(A230,'Part A'!$Q:$Q,'Part A'!$E:$E,0,0,1)</f>
        <v>Male</v>
      </c>
      <c r="D230">
        <f>SUMIF('Part A'!$Q:$Q,A230,'Part A'!$G:$G)</f>
        <v>723</v>
      </c>
      <c r="E230">
        <f>COUNTIF('Part A'!$Q:$Q,A230)</f>
        <v>1</v>
      </c>
    </row>
    <row r="231" spans="1:5" x14ac:dyDescent="0.3">
      <c r="A231" t="s">
        <v>4052</v>
      </c>
      <c r="B231" t="str">
        <f>_xlfn.XLOOKUP(A231,'Part A'!$Q:$Q,'Part A'!$F:$F,0,0,1)</f>
        <v>White</v>
      </c>
      <c r="C231" t="str">
        <f>_xlfn.XLOOKUP(A231,'Part A'!$Q:$Q,'Part A'!$E:$E,0,0,1)</f>
        <v>Male</v>
      </c>
      <c r="D231">
        <f>SUMIF('Part A'!$Q:$Q,A231,'Part A'!$G:$G)</f>
        <v>956</v>
      </c>
      <c r="E231">
        <f>COUNTIF('Part A'!$Q:$Q,A231)</f>
        <v>2</v>
      </c>
    </row>
    <row r="232" spans="1:5" x14ac:dyDescent="0.3">
      <c r="A232" t="s">
        <v>4285</v>
      </c>
      <c r="B232" t="str">
        <f>_xlfn.XLOOKUP(A232,'Part A'!$Q:$Q,'Part A'!$F:$F,0,0,1)</f>
        <v>South American</v>
      </c>
      <c r="C232" t="str">
        <f>_xlfn.XLOOKUP(A232,'Part A'!$Q:$Q,'Part A'!$E:$E,0,0,1)</f>
        <v>Female</v>
      </c>
      <c r="D232">
        <f>SUMIF('Part A'!$Q:$Q,A232,'Part A'!$G:$G)</f>
        <v>1520</v>
      </c>
      <c r="E232">
        <f>COUNTIF('Part A'!$Q:$Q,A232)</f>
        <v>2</v>
      </c>
    </row>
    <row r="233" spans="1:5" x14ac:dyDescent="0.3">
      <c r="A233" t="s">
        <v>4286</v>
      </c>
      <c r="B233" t="str">
        <f>_xlfn.XLOOKUP(A233,'Part A'!$Q:$Q,'Part A'!$F:$F,0,0,1)</f>
        <v>White</v>
      </c>
      <c r="C233" t="str">
        <f>_xlfn.XLOOKUP(A233,'Part A'!$Q:$Q,'Part A'!$E:$E,0,0,1)</f>
        <v>Female</v>
      </c>
      <c r="D233">
        <f>SUMIF('Part A'!$Q:$Q,A233,'Part A'!$G:$G)</f>
        <v>1128</v>
      </c>
      <c r="E233">
        <f>COUNTIF('Part A'!$Q:$Q,A233)</f>
        <v>2</v>
      </c>
    </row>
    <row r="234" spans="1:5" x14ac:dyDescent="0.3">
      <c r="A234" t="s">
        <v>4287</v>
      </c>
      <c r="B234" t="str">
        <f>_xlfn.XLOOKUP(A234,'Part A'!$Q:$Q,'Part A'!$F:$F,0,0,1)</f>
        <v>Asian</v>
      </c>
      <c r="C234" t="str">
        <f>_xlfn.XLOOKUP(A234,'Part A'!$Q:$Q,'Part A'!$E:$E,0,0,1)</f>
        <v>Male</v>
      </c>
      <c r="D234">
        <f>SUMIF('Part A'!$Q:$Q,A234,'Part A'!$G:$G)</f>
        <v>7182</v>
      </c>
      <c r="E234">
        <f>COUNTIF('Part A'!$Q:$Q,A234)</f>
        <v>13</v>
      </c>
    </row>
    <row r="235" spans="1:5" x14ac:dyDescent="0.3">
      <c r="A235" t="s">
        <v>4288</v>
      </c>
      <c r="B235" t="str">
        <f>_xlfn.XLOOKUP(A235,'Part A'!$Q:$Q,'Part A'!$F:$F,0,0,1)</f>
        <v>Asian</v>
      </c>
      <c r="C235" t="str">
        <f>_xlfn.XLOOKUP(A235,'Part A'!$Q:$Q,'Part A'!$E:$E,0,0,1)</f>
        <v>Male</v>
      </c>
      <c r="D235">
        <f>SUMIF('Part A'!$Q:$Q,A235,'Part A'!$G:$G)</f>
        <v>903</v>
      </c>
      <c r="E235">
        <f>COUNTIF('Part A'!$Q:$Q,A235)</f>
        <v>2</v>
      </c>
    </row>
    <row r="236" spans="1:5" x14ac:dyDescent="0.3">
      <c r="A236" t="s">
        <v>4289</v>
      </c>
      <c r="B236" t="str">
        <f>_xlfn.XLOOKUP(A236,'Part A'!$Q:$Q,'Part A'!$F:$F,0,0,1)</f>
        <v>White</v>
      </c>
      <c r="C236" t="str">
        <f>_xlfn.XLOOKUP(A236,'Part A'!$Q:$Q,'Part A'!$E:$E,0,0,1)</f>
        <v>Male</v>
      </c>
      <c r="D236">
        <f>SUMIF('Part A'!$Q:$Q,A236,'Part A'!$G:$G)</f>
        <v>1724</v>
      </c>
      <c r="E236">
        <f>COUNTIF('Part A'!$Q:$Q,A236)</f>
        <v>2</v>
      </c>
    </row>
    <row r="237" spans="1:5" x14ac:dyDescent="0.3">
      <c r="A237" t="s">
        <v>4290</v>
      </c>
      <c r="B237" t="str">
        <f>_xlfn.XLOOKUP(A237,'Part A'!$Q:$Q,'Part A'!$F:$F,0,0,1)</f>
        <v>White</v>
      </c>
      <c r="C237" t="str">
        <f>_xlfn.XLOOKUP(A237,'Part A'!$Q:$Q,'Part A'!$E:$E,0,0,1)</f>
        <v>Female</v>
      </c>
      <c r="D237">
        <f>SUMIF('Part A'!$Q:$Q,A237,'Part A'!$G:$G)</f>
        <v>138</v>
      </c>
      <c r="E237">
        <f>COUNTIF('Part A'!$Q:$Q,A237)</f>
        <v>1</v>
      </c>
    </row>
    <row r="238" spans="1:5" x14ac:dyDescent="0.3">
      <c r="A238" t="s">
        <v>4291</v>
      </c>
      <c r="B238" t="str">
        <f>_xlfn.XLOOKUP(A238,'Part A'!$Q:$Q,'Part A'!$F:$F,0,0,1)</f>
        <v>White</v>
      </c>
      <c r="C238" t="str">
        <f>_xlfn.XLOOKUP(A238,'Part A'!$Q:$Q,'Part A'!$E:$E,0,0,1)</f>
        <v>Male</v>
      </c>
      <c r="D238">
        <f>SUMIF('Part A'!$Q:$Q,A238,'Part A'!$G:$G)</f>
        <v>636</v>
      </c>
      <c r="E238">
        <f>COUNTIF('Part A'!$Q:$Q,A238)</f>
        <v>1</v>
      </c>
    </row>
    <row r="239" spans="1:5" x14ac:dyDescent="0.3">
      <c r="A239" t="s">
        <v>4053</v>
      </c>
      <c r="B239" t="str">
        <f>_xlfn.XLOOKUP(A239,'Part A'!$Q:$Q,'Part A'!$F:$F,0,0,1)</f>
        <v>Asian</v>
      </c>
      <c r="C239" t="str">
        <f>_xlfn.XLOOKUP(A239,'Part A'!$Q:$Q,'Part A'!$E:$E,0,0,1)</f>
        <v>Male</v>
      </c>
      <c r="D239">
        <f>SUMIF('Part A'!$Q:$Q,A239,'Part A'!$G:$G)</f>
        <v>748</v>
      </c>
      <c r="E239">
        <f>COUNTIF('Part A'!$Q:$Q,A239)</f>
        <v>1</v>
      </c>
    </row>
    <row r="240" spans="1:5" x14ac:dyDescent="0.3">
      <c r="A240" t="s">
        <v>4292</v>
      </c>
      <c r="B240" t="str">
        <f>_xlfn.XLOOKUP(A240,'Part A'!$Q:$Q,'Part A'!$F:$F,0,0,1)</f>
        <v>Black or African American</v>
      </c>
      <c r="C240" t="str">
        <f>_xlfn.XLOOKUP(A240,'Part A'!$Q:$Q,'Part A'!$E:$E,0,0,1)</f>
        <v>Male</v>
      </c>
      <c r="D240">
        <f>SUMIF('Part A'!$Q:$Q,A240,'Part A'!$G:$G)</f>
        <v>872</v>
      </c>
      <c r="E240">
        <f>COUNTIF('Part A'!$Q:$Q,A240)</f>
        <v>2</v>
      </c>
    </row>
    <row r="241" spans="1:5" x14ac:dyDescent="0.3">
      <c r="A241" t="s">
        <v>4293</v>
      </c>
      <c r="B241" t="str">
        <f>_xlfn.XLOOKUP(A241,'Part A'!$Q:$Q,'Part A'!$F:$F,0,0,1)</f>
        <v>Asian</v>
      </c>
      <c r="C241" t="str">
        <f>_xlfn.XLOOKUP(A241,'Part A'!$Q:$Q,'Part A'!$E:$E,0,0,1)</f>
        <v>Female</v>
      </c>
      <c r="D241">
        <f>SUMIF('Part A'!$Q:$Q,A241,'Part A'!$G:$G)</f>
        <v>891</v>
      </c>
      <c r="E241">
        <f>COUNTIF('Part A'!$Q:$Q,A241)</f>
        <v>1</v>
      </c>
    </row>
    <row r="242" spans="1:5" x14ac:dyDescent="0.3">
      <c r="A242" t="s">
        <v>4294</v>
      </c>
      <c r="B242" t="str">
        <f>_xlfn.XLOOKUP(A242,'Part A'!$Q:$Q,'Part A'!$F:$F,0,0,1)</f>
        <v>Black or African American</v>
      </c>
      <c r="C242" t="str">
        <f>_xlfn.XLOOKUP(A242,'Part A'!$Q:$Q,'Part A'!$E:$E,0,0,1)</f>
        <v>Female</v>
      </c>
      <c r="D242">
        <f>SUMIF('Part A'!$Q:$Q,A242,'Part A'!$G:$G)</f>
        <v>492</v>
      </c>
      <c r="E242">
        <f>COUNTIF('Part A'!$Q:$Q,A242)</f>
        <v>2</v>
      </c>
    </row>
    <row r="243" spans="1:5" x14ac:dyDescent="0.3">
      <c r="A243" t="s">
        <v>4295</v>
      </c>
      <c r="B243" t="str">
        <f>_xlfn.XLOOKUP(A243,'Part A'!$Q:$Q,'Part A'!$F:$F,0,0,1)</f>
        <v>White</v>
      </c>
      <c r="C243" t="str">
        <f>_xlfn.XLOOKUP(A243,'Part A'!$Q:$Q,'Part A'!$E:$E,0,0,1)</f>
        <v>Male</v>
      </c>
      <c r="D243">
        <f>SUMIF('Part A'!$Q:$Q,A243,'Part A'!$G:$G)</f>
        <v>296</v>
      </c>
      <c r="E243">
        <f>COUNTIF('Part A'!$Q:$Q,A243)</f>
        <v>1</v>
      </c>
    </row>
    <row r="244" spans="1:5" x14ac:dyDescent="0.3">
      <c r="A244" t="s">
        <v>4296</v>
      </c>
      <c r="B244" t="str">
        <f>_xlfn.XLOOKUP(A244,'Part A'!$Q:$Q,'Part A'!$F:$F,0,0,1)</f>
        <v>White</v>
      </c>
      <c r="C244" t="str">
        <f>_xlfn.XLOOKUP(A244,'Part A'!$Q:$Q,'Part A'!$E:$E,0,0,1)</f>
        <v>Male</v>
      </c>
      <c r="D244">
        <f>SUMIF('Part A'!$Q:$Q,A244,'Part A'!$G:$G)</f>
        <v>592</v>
      </c>
      <c r="E244">
        <f>COUNTIF('Part A'!$Q:$Q,A244)</f>
        <v>1</v>
      </c>
    </row>
    <row r="245" spans="1:5" x14ac:dyDescent="0.3">
      <c r="A245" t="s">
        <v>4297</v>
      </c>
      <c r="B245" t="str">
        <f>_xlfn.XLOOKUP(A245,'Part A'!$Q:$Q,'Part A'!$F:$F,0,0,1)</f>
        <v>White</v>
      </c>
      <c r="C245" t="str">
        <f>_xlfn.XLOOKUP(A245,'Part A'!$Q:$Q,'Part A'!$E:$E,0,0,1)</f>
        <v>Female</v>
      </c>
      <c r="D245">
        <f>SUMIF('Part A'!$Q:$Q,A245,'Part A'!$G:$G)</f>
        <v>1465</v>
      </c>
      <c r="E245">
        <f>COUNTIF('Part A'!$Q:$Q,A245)</f>
        <v>2</v>
      </c>
    </row>
    <row r="246" spans="1:5" x14ac:dyDescent="0.3">
      <c r="A246" t="s">
        <v>4298</v>
      </c>
      <c r="B246" t="str">
        <f>_xlfn.XLOOKUP(A246,'Part A'!$Q:$Q,'Part A'!$F:$F,0,0,1)</f>
        <v>White</v>
      </c>
      <c r="C246" t="str">
        <f>_xlfn.XLOOKUP(A246,'Part A'!$Q:$Q,'Part A'!$E:$E,0,0,1)</f>
        <v>Female</v>
      </c>
      <c r="D246">
        <f>SUMIF('Part A'!$Q:$Q,A246,'Part A'!$G:$G)</f>
        <v>1261</v>
      </c>
      <c r="E246">
        <f>COUNTIF('Part A'!$Q:$Q,A246)</f>
        <v>2</v>
      </c>
    </row>
    <row r="247" spans="1:5" x14ac:dyDescent="0.3">
      <c r="A247" t="s">
        <v>4299</v>
      </c>
      <c r="B247" t="str">
        <f>_xlfn.XLOOKUP(A247,'Part A'!$Q:$Q,'Part A'!$F:$F,0,0,1)</f>
        <v>White</v>
      </c>
      <c r="C247" t="str">
        <f>_xlfn.XLOOKUP(A247,'Part A'!$Q:$Q,'Part A'!$E:$E,0,0,1)</f>
        <v>Male</v>
      </c>
      <c r="D247">
        <f>SUMIF('Part A'!$Q:$Q,A247,'Part A'!$G:$G)</f>
        <v>1010</v>
      </c>
      <c r="E247">
        <f>COUNTIF('Part A'!$Q:$Q,A247)</f>
        <v>2</v>
      </c>
    </row>
    <row r="248" spans="1:5" x14ac:dyDescent="0.3">
      <c r="A248" t="s">
        <v>4054</v>
      </c>
      <c r="B248" t="str">
        <f>_xlfn.XLOOKUP(A248,'Part A'!$Q:$Q,'Part A'!$F:$F,0,0,1)</f>
        <v>Black or African American</v>
      </c>
      <c r="C248" t="str">
        <f>_xlfn.XLOOKUP(A248,'Part A'!$Q:$Q,'Part A'!$E:$E,0,0,1)</f>
        <v>Female</v>
      </c>
      <c r="D248">
        <f>SUMIF('Part A'!$Q:$Q,A248,'Part A'!$G:$G)</f>
        <v>623</v>
      </c>
      <c r="E248">
        <f>COUNTIF('Part A'!$Q:$Q,A248)</f>
        <v>1</v>
      </c>
    </row>
    <row r="249" spans="1:5" x14ac:dyDescent="0.3">
      <c r="A249" t="s">
        <v>4300</v>
      </c>
      <c r="B249" t="str">
        <f>_xlfn.XLOOKUP(A249,'Part A'!$Q:$Q,'Part A'!$F:$F,0,0,1)</f>
        <v>Asian</v>
      </c>
      <c r="C249" t="str">
        <f>_xlfn.XLOOKUP(A249,'Part A'!$Q:$Q,'Part A'!$E:$E,0,0,1)</f>
        <v>Female</v>
      </c>
      <c r="D249">
        <f>SUMIF('Part A'!$Q:$Q,A249,'Part A'!$G:$G)</f>
        <v>1254</v>
      </c>
      <c r="E249">
        <f>COUNTIF('Part A'!$Q:$Q,A249)</f>
        <v>2</v>
      </c>
    </row>
    <row r="250" spans="1:5" x14ac:dyDescent="0.3">
      <c r="A250" t="s">
        <v>4301</v>
      </c>
      <c r="B250" t="str">
        <f>_xlfn.XLOOKUP(A250,'Part A'!$Q:$Q,'Part A'!$F:$F,0,0,1)</f>
        <v>White</v>
      </c>
      <c r="C250" t="str">
        <f>_xlfn.XLOOKUP(A250,'Part A'!$Q:$Q,'Part A'!$E:$E,0,0,1)</f>
        <v>Female</v>
      </c>
      <c r="D250">
        <f>SUMIF('Part A'!$Q:$Q,A250,'Part A'!$G:$G)</f>
        <v>622</v>
      </c>
      <c r="E250">
        <f>COUNTIF('Part A'!$Q:$Q,A250)</f>
        <v>1</v>
      </c>
    </row>
    <row r="251" spans="1:5" x14ac:dyDescent="0.3">
      <c r="A251" t="s">
        <v>4302</v>
      </c>
      <c r="B251" t="str">
        <f>_xlfn.XLOOKUP(A251,'Part A'!$Q:$Q,'Part A'!$F:$F,0,0,1)</f>
        <v>Black or African American</v>
      </c>
      <c r="C251" t="str">
        <f>_xlfn.XLOOKUP(A251,'Part A'!$Q:$Q,'Part A'!$E:$E,0,0,1)</f>
        <v>Female</v>
      </c>
      <c r="D251">
        <f>SUMIF('Part A'!$Q:$Q,A251,'Part A'!$G:$G)</f>
        <v>837</v>
      </c>
      <c r="E251">
        <f>COUNTIF('Part A'!$Q:$Q,A251)</f>
        <v>1</v>
      </c>
    </row>
    <row r="252" spans="1:5" x14ac:dyDescent="0.3">
      <c r="A252" t="s">
        <v>4303</v>
      </c>
      <c r="B252" t="str">
        <f>_xlfn.XLOOKUP(A252,'Part A'!$Q:$Q,'Part A'!$F:$F,0,0,1)</f>
        <v>White</v>
      </c>
      <c r="C252" t="str">
        <f>_xlfn.XLOOKUP(A252,'Part A'!$Q:$Q,'Part A'!$E:$E,0,0,1)</f>
        <v>Female</v>
      </c>
      <c r="D252">
        <f>SUMIF('Part A'!$Q:$Q,A252,'Part A'!$G:$G)</f>
        <v>73</v>
      </c>
      <c r="E252">
        <f>COUNTIF('Part A'!$Q:$Q,A252)</f>
        <v>1</v>
      </c>
    </row>
    <row r="253" spans="1:5" x14ac:dyDescent="0.3">
      <c r="A253" t="s">
        <v>4304</v>
      </c>
      <c r="B253" t="str">
        <f>_xlfn.XLOOKUP(A253,'Part A'!$Q:$Q,'Part A'!$F:$F,0,0,1)</f>
        <v>White</v>
      </c>
      <c r="C253" t="str">
        <f>_xlfn.XLOOKUP(A253,'Part A'!$Q:$Q,'Part A'!$E:$E,0,0,1)</f>
        <v>Male</v>
      </c>
      <c r="D253">
        <f>SUMIF('Part A'!$Q:$Q,A253,'Part A'!$G:$G)</f>
        <v>785</v>
      </c>
      <c r="E253">
        <f>COUNTIF('Part A'!$Q:$Q,A253)</f>
        <v>1</v>
      </c>
    </row>
    <row r="254" spans="1:5" x14ac:dyDescent="0.3">
      <c r="A254" t="s">
        <v>4305</v>
      </c>
      <c r="B254" t="str">
        <f>_xlfn.XLOOKUP(A254,'Part A'!$Q:$Q,'Part A'!$F:$F,0,0,1)</f>
        <v>White</v>
      </c>
      <c r="C254" t="str">
        <f>_xlfn.XLOOKUP(A254,'Part A'!$Q:$Q,'Part A'!$E:$E,0,0,1)</f>
        <v>Female</v>
      </c>
      <c r="D254">
        <f>SUMIF('Part A'!$Q:$Q,A254,'Part A'!$G:$G)</f>
        <v>593</v>
      </c>
      <c r="E254">
        <f>COUNTIF('Part A'!$Q:$Q,A254)</f>
        <v>1</v>
      </c>
    </row>
    <row r="255" spans="1:5" x14ac:dyDescent="0.3">
      <c r="A255" t="s">
        <v>4306</v>
      </c>
      <c r="B255" t="str">
        <f>_xlfn.XLOOKUP(A255,'Part A'!$Q:$Q,'Part A'!$F:$F,0,0,1)</f>
        <v>White</v>
      </c>
      <c r="C255" t="str">
        <f>_xlfn.XLOOKUP(A255,'Part A'!$Q:$Q,'Part A'!$E:$E,0,0,1)</f>
        <v>Female</v>
      </c>
      <c r="D255">
        <f>SUMIF('Part A'!$Q:$Q,A255,'Part A'!$G:$G)</f>
        <v>3604</v>
      </c>
      <c r="E255">
        <f>COUNTIF('Part A'!$Q:$Q,A255)</f>
        <v>6</v>
      </c>
    </row>
    <row r="256" spans="1:5" x14ac:dyDescent="0.3">
      <c r="A256" t="s">
        <v>4307</v>
      </c>
      <c r="B256" t="str">
        <f>_xlfn.XLOOKUP(A256,'Part A'!$Q:$Q,'Part A'!$F:$F,0,0,1)</f>
        <v>White</v>
      </c>
      <c r="C256" t="str">
        <f>_xlfn.XLOOKUP(A256,'Part A'!$Q:$Q,'Part A'!$E:$E,0,0,1)</f>
        <v>Female</v>
      </c>
      <c r="D256">
        <f>SUMIF('Part A'!$Q:$Q,A256,'Part A'!$G:$G)</f>
        <v>3487</v>
      </c>
      <c r="E256">
        <f>COUNTIF('Part A'!$Q:$Q,A256)</f>
        <v>5</v>
      </c>
    </row>
    <row r="257" spans="1:5" x14ac:dyDescent="0.3">
      <c r="A257" t="s">
        <v>4308</v>
      </c>
      <c r="B257" t="str">
        <f>_xlfn.XLOOKUP(A257,'Part A'!$Q:$Q,'Part A'!$F:$F,0,0,1)</f>
        <v>Black or African American</v>
      </c>
      <c r="C257" t="str">
        <f>_xlfn.XLOOKUP(A257,'Part A'!$Q:$Q,'Part A'!$E:$E,0,0,1)</f>
        <v>Male</v>
      </c>
      <c r="D257">
        <f>SUMIF('Part A'!$Q:$Q,A257,'Part A'!$G:$G)</f>
        <v>5825</v>
      </c>
      <c r="E257">
        <f>COUNTIF('Part A'!$Q:$Q,A257)</f>
        <v>17</v>
      </c>
    </row>
    <row r="258" spans="1:5" x14ac:dyDescent="0.3">
      <c r="A258" t="s">
        <v>4309</v>
      </c>
      <c r="B258" t="str">
        <f>_xlfn.XLOOKUP(A258,'Part A'!$Q:$Q,'Part A'!$F:$F,0,0,1)</f>
        <v>Mexican</v>
      </c>
      <c r="C258" t="str">
        <f>_xlfn.XLOOKUP(A258,'Part A'!$Q:$Q,'Part A'!$E:$E,0,0,1)</f>
        <v>Female</v>
      </c>
      <c r="D258">
        <f>SUMIF('Part A'!$Q:$Q,A258,'Part A'!$G:$G)</f>
        <v>2084</v>
      </c>
      <c r="E258">
        <f>COUNTIF('Part A'!$Q:$Q,A258)</f>
        <v>3</v>
      </c>
    </row>
    <row r="259" spans="1:5" x14ac:dyDescent="0.3">
      <c r="A259" t="s">
        <v>4310</v>
      </c>
      <c r="B259" t="str">
        <f>_xlfn.XLOOKUP(A259,'Part A'!$Q:$Q,'Part A'!$F:$F,0,0,1)</f>
        <v>White</v>
      </c>
      <c r="C259" t="str">
        <f>_xlfn.XLOOKUP(A259,'Part A'!$Q:$Q,'Part A'!$E:$E,0,0,1)</f>
        <v>Male</v>
      </c>
      <c r="D259">
        <f>SUMIF('Part A'!$Q:$Q,A259,'Part A'!$G:$G)</f>
        <v>2757</v>
      </c>
      <c r="E259">
        <f>COUNTIF('Part A'!$Q:$Q,A259)</f>
        <v>6</v>
      </c>
    </row>
    <row r="260" spans="1:5" x14ac:dyDescent="0.3">
      <c r="A260" t="s">
        <v>4311</v>
      </c>
      <c r="B260" t="str">
        <f>_xlfn.XLOOKUP(A260,'Part A'!$Q:$Q,'Part A'!$F:$F,0,0,1)</f>
        <v>White</v>
      </c>
      <c r="C260" t="str">
        <f>_xlfn.XLOOKUP(A260,'Part A'!$Q:$Q,'Part A'!$E:$E,0,0,1)</f>
        <v>Female</v>
      </c>
      <c r="D260">
        <f>SUMIF('Part A'!$Q:$Q,A260,'Part A'!$G:$G)</f>
        <v>838</v>
      </c>
      <c r="E260">
        <f>COUNTIF('Part A'!$Q:$Q,A260)</f>
        <v>1</v>
      </c>
    </row>
    <row r="261" spans="1:5" x14ac:dyDescent="0.3">
      <c r="A261" t="s">
        <v>4312</v>
      </c>
      <c r="B261" t="str">
        <f>_xlfn.XLOOKUP(A261,'Part A'!$Q:$Q,'Part A'!$F:$F,0,0,1)</f>
        <v>White</v>
      </c>
      <c r="C261" t="str">
        <f>_xlfn.XLOOKUP(A261,'Part A'!$Q:$Q,'Part A'!$E:$E,0,0,1)</f>
        <v>Male</v>
      </c>
      <c r="D261">
        <f>SUMIF('Part A'!$Q:$Q,A261,'Part A'!$G:$G)</f>
        <v>549</v>
      </c>
      <c r="E261">
        <f>COUNTIF('Part A'!$Q:$Q,A261)</f>
        <v>1</v>
      </c>
    </row>
    <row r="262" spans="1:5" x14ac:dyDescent="0.3">
      <c r="A262" t="s">
        <v>4313</v>
      </c>
      <c r="B262" t="str">
        <f>_xlfn.XLOOKUP(A262,'Part A'!$Q:$Q,'Part A'!$F:$F,0,0,1)</f>
        <v>Mexican</v>
      </c>
      <c r="C262" t="str">
        <f>_xlfn.XLOOKUP(A262,'Part A'!$Q:$Q,'Part A'!$E:$E,0,0,1)</f>
        <v>Male</v>
      </c>
      <c r="D262">
        <f>SUMIF('Part A'!$Q:$Q,A262,'Part A'!$G:$G)</f>
        <v>698</v>
      </c>
      <c r="E262">
        <f>COUNTIF('Part A'!$Q:$Q,A262)</f>
        <v>1</v>
      </c>
    </row>
    <row r="263" spans="1:5" x14ac:dyDescent="0.3">
      <c r="A263" t="s">
        <v>4314</v>
      </c>
      <c r="B263" t="str">
        <f>_xlfn.XLOOKUP(A263,'Part A'!$Q:$Q,'Part A'!$F:$F,0,0,1)</f>
        <v>White</v>
      </c>
      <c r="C263" t="str">
        <f>_xlfn.XLOOKUP(A263,'Part A'!$Q:$Q,'Part A'!$E:$E,0,0,1)</f>
        <v>Male</v>
      </c>
      <c r="D263">
        <f>SUMIF('Part A'!$Q:$Q,A263,'Part A'!$G:$G)</f>
        <v>327</v>
      </c>
      <c r="E263">
        <f>COUNTIF('Part A'!$Q:$Q,A263)</f>
        <v>1</v>
      </c>
    </row>
    <row r="264" spans="1:5" x14ac:dyDescent="0.3">
      <c r="A264" t="s">
        <v>4315</v>
      </c>
      <c r="B264" t="str">
        <f>_xlfn.XLOOKUP(A264,'Part A'!$Q:$Q,'Part A'!$F:$F,0,0,1)</f>
        <v>White</v>
      </c>
      <c r="C264" t="str">
        <f>_xlfn.XLOOKUP(A264,'Part A'!$Q:$Q,'Part A'!$E:$E,0,0,1)</f>
        <v>Female</v>
      </c>
      <c r="D264">
        <f>SUMIF('Part A'!$Q:$Q,A264,'Part A'!$G:$G)</f>
        <v>669</v>
      </c>
      <c r="E264">
        <f>COUNTIF('Part A'!$Q:$Q,A264)</f>
        <v>1</v>
      </c>
    </row>
    <row r="265" spans="1:5" x14ac:dyDescent="0.3">
      <c r="A265" t="s">
        <v>4316</v>
      </c>
      <c r="B265" t="str">
        <f>_xlfn.XLOOKUP(A265,'Part A'!$Q:$Q,'Part A'!$F:$F,0,0,1)</f>
        <v>Black or African American</v>
      </c>
      <c r="C265" t="str">
        <f>_xlfn.XLOOKUP(A265,'Part A'!$Q:$Q,'Part A'!$E:$E,0,0,1)</f>
        <v>Female</v>
      </c>
      <c r="D265">
        <f>SUMIF('Part A'!$Q:$Q,A265,'Part A'!$G:$G)</f>
        <v>596</v>
      </c>
      <c r="E265">
        <f>COUNTIF('Part A'!$Q:$Q,A265)</f>
        <v>1</v>
      </c>
    </row>
    <row r="266" spans="1:5" x14ac:dyDescent="0.3">
      <c r="A266" t="s">
        <v>4317</v>
      </c>
      <c r="B266" t="str">
        <f>_xlfn.XLOOKUP(A266,'Part A'!$Q:$Q,'Part A'!$F:$F,0,0,1)</f>
        <v>White</v>
      </c>
      <c r="C266" t="str">
        <f>_xlfn.XLOOKUP(A266,'Part A'!$Q:$Q,'Part A'!$E:$E,0,0,1)</f>
        <v>Female</v>
      </c>
      <c r="D266">
        <f>SUMIF('Part A'!$Q:$Q,A266,'Part A'!$G:$G)</f>
        <v>493</v>
      </c>
      <c r="E266">
        <f>COUNTIF('Part A'!$Q:$Q,A266)</f>
        <v>1</v>
      </c>
    </row>
    <row r="267" spans="1:5" x14ac:dyDescent="0.3">
      <c r="A267" t="s">
        <v>4318</v>
      </c>
      <c r="B267" t="str">
        <f>_xlfn.XLOOKUP(A267,'Part A'!$Q:$Q,'Part A'!$F:$F,0,0,1)</f>
        <v>Black or African American</v>
      </c>
      <c r="C267" t="str">
        <f>_xlfn.XLOOKUP(A267,'Part A'!$Q:$Q,'Part A'!$E:$E,0,0,1)</f>
        <v>Male</v>
      </c>
      <c r="D267">
        <f>SUMIF('Part A'!$Q:$Q,A267,'Part A'!$G:$G)</f>
        <v>426</v>
      </c>
      <c r="E267">
        <f>COUNTIF('Part A'!$Q:$Q,A267)</f>
        <v>1</v>
      </c>
    </row>
    <row r="268" spans="1:5" x14ac:dyDescent="0.3">
      <c r="A268" t="s">
        <v>4319</v>
      </c>
      <c r="B268" t="str">
        <f>_xlfn.XLOOKUP(A268,'Part A'!$Q:$Q,'Part A'!$F:$F,0,0,1)</f>
        <v>White</v>
      </c>
      <c r="C268" t="str">
        <f>_xlfn.XLOOKUP(A268,'Part A'!$Q:$Q,'Part A'!$E:$E,0,0,1)</f>
        <v>Male</v>
      </c>
      <c r="D268">
        <f>SUMIF('Part A'!$Q:$Q,A268,'Part A'!$G:$G)</f>
        <v>975</v>
      </c>
      <c r="E268">
        <f>COUNTIF('Part A'!$Q:$Q,A268)</f>
        <v>1</v>
      </c>
    </row>
    <row r="269" spans="1:5" x14ac:dyDescent="0.3">
      <c r="A269" t="s">
        <v>4320</v>
      </c>
      <c r="B269" t="str">
        <f>_xlfn.XLOOKUP(A269,'Part A'!$Q:$Q,'Part A'!$F:$F,0,0,1)</f>
        <v>White</v>
      </c>
      <c r="C269" t="str">
        <f>_xlfn.XLOOKUP(A269,'Part A'!$Q:$Q,'Part A'!$E:$E,0,0,1)</f>
        <v>Female</v>
      </c>
      <c r="D269">
        <f>SUMIF('Part A'!$Q:$Q,A269,'Part A'!$G:$G)</f>
        <v>883</v>
      </c>
      <c r="E269">
        <f>COUNTIF('Part A'!$Q:$Q,A269)</f>
        <v>1</v>
      </c>
    </row>
    <row r="270" spans="1:5" x14ac:dyDescent="0.3">
      <c r="A270" t="s">
        <v>4321</v>
      </c>
      <c r="B270" t="str">
        <f>_xlfn.XLOOKUP(A270,'Part A'!$Q:$Q,'Part A'!$F:$F,0,0,1)</f>
        <v>White</v>
      </c>
      <c r="C270" t="str">
        <f>_xlfn.XLOOKUP(A270,'Part A'!$Q:$Q,'Part A'!$E:$E,0,0,1)</f>
        <v>Female</v>
      </c>
      <c r="D270">
        <f>SUMIF('Part A'!$Q:$Q,A270,'Part A'!$G:$G)</f>
        <v>289</v>
      </c>
      <c r="E270">
        <f>COUNTIF('Part A'!$Q:$Q,A270)</f>
        <v>1</v>
      </c>
    </row>
    <row r="271" spans="1:5" x14ac:dyDescent="0.3">
      <c r="A271" t="s">
        <v>4322</v>
      </c>
      <c r="B271" t="str">
        <f>_xlfn.XLOOKUP(A271,'Part A'!$Q:$Q,'Part A'!$F:$F,0,0,1)</f>
        <v>White</v>
      </c>
      <c r="C271" t="str">
        <f>_xlfn.XLOOKUP(A271,'Part A'!$Q:$Q,'Part A'!$E:$E,0,0,1)</f>
        <v>Male</v>
      </c>
      <c r="D271">
        <f>SUMIF('Part A'!$Q:$Q,A271,'Part A'!$G:$G)</f>
        <v>464</v>
      </c>
      <c r="E271">
        <f>COUNTIF('Part A'!$Q:$Q,A271)</f>
        <v>1</v>
      </c>
    </row>
    <row r="272" spans="1:5" x14ac:dyDescent="0.3">
      <c r="A272" t="s">
        <v>4323</v>
      </c>
      <c r="B272" t="str">
        <f>_xlfn.XLOOKUP(A272,'Part A'!$Q:$Q,'Part A'!$F:$F,0,0,1)</f>
        <v>Black or African American</v>
      </c>
      <c r="C272" t="str">
        <f>_xlfn.XLOOKUP(A272,'Part A'!$Q:$Q,'Part A'!$E:$E,0,0,1)</f>
        <v>Male</v>
      </c>
      <c r="D272">
        <f>SUMIF('Part A'!$Q:$Q,A272,'Part A'!$G:$G)</f>
        <v>583</v>
      </c>
      <c r="E272">
        <f>COUNTIF('Part A'!$Q:$Q,A272)</f>
        <v>1</v>
      </c>
    </row>
    <row r="273" spans="1:5" x14ac:dyDescent="0.3">
      <c r="A273" t="s">
        <v>4324</v>
      </c>
      <c r="B273" t="str">
        <f>_xlfn.XLOOKUP(A273,'Part A'!$Q:$Q,'Part A'!$F:$F,0,0,1)</f>
        <v>White</v>
      </c>
      <c r="C273" t="str">
        <f>_xlfn.XLOOKUP(A273,'Part A'!$Q:$Q,'Part A'!$E:$E,0,0,1)</f>
        <v>Female</v>
      </c>
      <c r="D273">
        <f>SUMIF('Part A'!$Q:$Q,A273,'Part A'!$G:$G)</f>
        <v>245</v>
      </c>
      <c r="E273">
        <f>COUNTIF('Part A'!$Q:$Q,A273)</f>
        <v>1</v>
      </c>
    </row>
    <row r="274" spans="1:5" x14ac:dyDescent="0.3">
      <c r="A274" t="s">
        <v>4325</v>
      </c>
      <c r="B274" t="str">
        <f>_xlfn.XLOOKUP(A274,'Part A'!$Q:$Q,'Part A'!$F:$F,0,0,1)</f>
        <v>Black or African American</v>
      </c>
      <c r="C274" t="str">
        <f>_xlfn.XLOOKUP(A274,'Part A'!$Q:$Q,'Part A'!$E:$E,0,0,1)</f>
        <v>Female</v>
      </c>
      <c r="D274">
        <f>SUMIF('Part A'!$Q:$Q,A274,'Part A'!$G:$G)</f>
        <v>327</v>
      </c>
      <c r="E274">
        <f>COUNTIF('Part A'!$Q:$Q,A274)</f>
        <v>1</v>
      </c>
    </row>
    <row r="275" spans="1:5" x14ac:dyDescent="0.3">
      <c r="A275" t="s">
        <v>4326</v>
      </c>
      <c r="B275" t="str">
        <f>_xlfn.XLOOKUP(A275,'Part A'!$Q:$Q,'Part A'!$F:$F,0,0,1)</f>
        <v>Asian</v>
      </c>
      <c r="C275" t="str">
        <f>_xlfn.XLOOKUP(A275,'Part A'!$Q:$Q,'Part A'!$E:$E,0,0,1)</f>
        <v>Female</v>
      </c>
      <c r="D275">
        <f>SUMIF('Part A'!$Q:$Q,A275,'Part A'!$G:$G)</f>
        <v>331</v>
      </c>
      <c r="E275">
        <f>COUNTIF('Part A'!$Q:$Q,A275)</f>
        <v>1</v>
      </c>
    </row>
    <row r="276" spans="1:5" x14ac:dyDescent="0.3">
      <c r="A276" t="s">
        <v>4327</v>
      </c>
      <c r="B276" t="str">
        <f>_xlfn.XLOOKUP(A276,'Part A'!$Q:$Q,'Part A'!$F:$F,0,0,1)</f>
        <v>South American</v>
      </c>
      <c r="C276" t="str">
        <f>_xlfn.XLOOKUP(A276,'Part A'!$Q:$Q,'Part A'!$E:$E,0,0,1)</f>
        <v>Male</v>
      </c>
      <c r="D276">
        <f>SUMIF('Part A'!$Q:$Q,A276,'Part A'!$G:$G)</f>
        <v>197</v>
      </c>
      <c r="E276">
        <f>COUNTIF('Part A'!$Q:$Q,A276)</f>
        <v>1</v>
      </c>
    </row>
    <row r="277" spans="1:5" x14ac:dyDescent="0.3">
      <c r="A277" t="s">
        <v>4328</v>
      </c>
      <c r="B277" t="str">
        <f>_xlfn.XLOOKUP(A277,'Part A'!$Q:$Q,'Part A'!$F:$F,0,0,1)</f>
        <v>Costa Rican</v>
      </c>
      <c r="C277" t="str">
        <f>_xlfn.XLOOKUP(A277,'Part A'!$Q:$Q,'Part A'!$E:$E,0,0,1)</f>
        <v>Female</v>
      </c>
      <c r="D277">
        <f>SUMIF('Part A'!$Q:$Q,A277,'Part A'!$G:$G)</f>
        <v>888</v>
      </c>
      <c r="E277">
        <f>COUNTIF('Part A'!$Q:$Q,A277)</f>
        <v>1</v>
      </c>
    </row>
    <row r="278" spans="1:5" x14ac:dyDescent="0.3">
      <c r="A278" t="s">
        <v>4329</v>
      </c>
      <c r="B278" t="str">
        <f>_xlfn.XLOOKUP(A278,'Part A'!$Q:$Q,'Part A'!$F:$F,0,0,1)</f>
        <v>American Indian</v>
      </c>
      <c r="C278" t="str">
        <f>_xlfn.XLOOKUP(A278,'Part A'!$Q:$Q,'Part A'!$E:$E,0,0,1)</f>
        <v>Male</v>
      </c>
      <c r="D278">
        <f>SUMIF('Part A'!$Q:$Q,A278,'Part A'!$G:$G)</f>
        <v>3549</v>
      </c>
      <c r="E278">
        <f>COUNTIF('Part A'!$Q:$Q,A278)</f>
        <v>7</v>
      </c>
    </row>
    <row r="279" spans="1:5" x14ac:dyDescent="0.3">
      <c r="A279" t="s">
        <v>4330</v>
      </c>
      <c r="B279" t="str">
        <f>_xlfn.XLOOKUP(A279,'Part A'!$Q:$Q,'Part A'!$F:$F,0,0,1)</f>
        <v>White</v>
      </c>
      <c r="C279" t="str">
        <f>_xlfn.XLOOKUP(A279,'Part A'!$Q:$Q,'Part A'!$E:$E,0,0,1)</f>
        <v>Male</v>
      </c>
      <c r="D279">
        <f>SUMIF('Part A'!$Q:$Q,A279,'Part A'!$G:$G)</f>
        <v>832</v>
      </c>
      <c r="E279">
        <f>COUNTIF('Part A'!$Q:$Q,A279)</f>
        <v>1</v>
      </c>
    </row>
    <row r="280" spans="1:5" x14ac:dyDescent="0.3">
      <c r="A280" t="s">
        <v>4331</v>
      </c>
      <c r="B280" t="str">
        <f>_xlfn.XLOOKUP(A280,'Part A'!$Q:$Q,'Part A'!$F:$F,0,0,1)</f>
        <v>Mexican</v>
      </c>
      <c r="C280" t="str">
        <f>_xlfn.XLOOKUP(A280,'Part A'!$Q:$Q,'Part A'!$E:$E,0,0,1)</f>
        <v>Male</v>
      </c>
      <c r="D280">
        <f>SUMIF('Part A'!$Q:$Q,A280,'Part A'!$G:$G)</f>
        <v>1963</v>
      </c>
      <c r="E280">
        <f>COUNTIF('Part A'!$Q:$Q,A280)</f>
        <v>4</v>
      </c>
    </row>
    <row r="281" spans="1:5" x14ac:dyDescent="0.3">
      <c r="A281" t="s">
        <v>4332</v>
      </c>
      <c r="B281" t="str">
        <f>_xlfn.XLOOKUP(A281,'Part A'!$Q:$Q,'Part A'!$F:$F,0,0,1)</f>
        <v>Asian</v>
      </c>
      <c r="C281" t="str">
        <f>_xlfn.XLOOKUP(A281,'Part A'!$Q:$Q,'Part A'!$E:$E,0,0,1)</f>
        <v>Male</v>
      </c>
      <c r="D281">
        <f>SUMIF('Part A'!$Q:$Q,A281,'Part A'!$G:$G)</f>
        <v>1155</v>
      </c>
      <c r="E281">
        <f>COUNTIF('Part A'!$Q:$Q,A281)</f>
        <v>2</v>
      </c>
    </row>
    <row r="282" spans="1:5" x14ac:dyDescent="0.3">
      <c r="A282" t="s">
        <v>4333</v>
      </c>
      <c r="B282" t="str">
        <f>_xlfn.XLOOKUP(A282,'Part A'!$Q:$Q,'Part A'!$F:$F,0,0,1)</f>
        <v>White</v>
      </c>
      <c r="C282" t="str">
        <f>_xlfn.XLOOKUP(A282,'Part A'!$Q:$Q,'Part A'!$E:$E,0,0,1)</f>
        <v>Female</v>
      </c>
      <c r="D282">
        <f>SUMIF('Part A'!$Q:$Q,A282,'Part A'!$G:$G)</f>
        <v>1344</v>
      </c>
      <c r="E282">
        <f>COUNTIF('Part A'!$Q:$Q,A282)</f>
        <v>3</v>
      </c>
    </row>
    <row r="283" spans="1:5" x14ac:dyDescent="0.3">
      <c r="A283" t="s">
        <v>4334</v>
      </c>
      <c r="B283" t="str">
        <f>_xlfn.XLOOKUP(A283,'Part A'!$Q:$Q,'Part A'!$F:$F,0,0,1)</f>
        <v>Mexican</v>
      </c>
      <c r="C283" t="str">
        <f>_xlfn.XLOOKUP(A283,'Part A'!$Q:$Q,'Part A'!$E:$E,0,0,1)</f>
        <v>Female</v>
      </c>
      <c r="D283">
        <f>SUMIF('Part A'!$Q:$Q,A283,'Part A'!$G:$G)</f>
        <v>847</v>
      </c>
      <c r="E283">
        <f>COUNTIF('Part A'!$Q:$Q,A283)</f>
        <v>2</v>
      </c>
    </row>
    <row r="284" spans="1:5" x14ac:dyDescent="0.3">
      <c r="A284" t="s">
        <v>4335</v>
      </c>
      <c r="B284" t="str">
        <f>_xlfn.XLOOKUP(A284,'Part A'!$Q:$Q,'Part A'!$F:$F,0,0,1)</f>
        <v>Asian</v>
      </c>
      <c r="C284" t="str">
        <f>_xlfn.XLOOKUP(A284,'Part A'!$Q:$Q,'Part A'!$E:$E,0,0,1)</f>
        <v>Male</v>
      </c>
      <c r="D284">
        <f>SUMIF('Part A'!$Q:$Q,A284,'Part A'!$G:$G)</f>
        <v>1448</v>
      </c>
      <c r="E284">
        <f>COUNTIF('Part A'!$Q:$Q,A284)</f>
        <v>3</v>
      </c>
    </row>
    <row r="285" spans="1:5" x14ac:dyDescent="0.3">
      <c r="A285" t="s">
        <v>4336</v>
      </c>
      <c r="B285" t="str">
        <f>_xlfn.XLOOKUP(A285,'Part A'!$Q:$Q,'Part A'!$F:$F,0,0,1)</f>
        <v>Black or African American</v>
      </c>
      <c r="C285" t="str">
        <f>_xlfn.XLOOKUP(A285,'Part A'!$Q:$Q,'Part A'!$E:$E,0,0,1)</f>
        <v>Female</v>
      </c>
      <c r="D285">
        <f>SUMIF('Part A'!$Q:$Q,A285,'Part A'!$G:$G)</f>
        <v>2860</v>
      </c>
      <c r="E285">
        <f>COUNTIF('Part A'!$Q:$Q,A285)</f>
        <v>4</v>
      </c>
    </row>
    <row r="286" spans="1:5" x14ac:dyDescent="0.3">
      <c r="A286" t="s">
        <v>4337</v>
      </c>
      <c r="B286" t="str">
        <f>_xlfn.XLOOKUP(A286,'Part A'!$Q:$Q,'Part A'!$F:$F,0,0,1)</f>
        <v>Thai</v>
      </c>
      <c r="C286" t="str">
        <f>_xlfn.XLOOKUP(A286,'Part A'!$Q:$Q,'Part A'!$E:$E,0,0,1)</f>
        <v>Male</v>
      </c>
      <c r="D286">
        <f>SUMIF('Part A'!$Q:$Q,A286,'Part A'!$G:$G)</f>
        <v>1733</v>
      </c>
      <c r="E286">
        <f>COUNTIF('Part A'!$Q:$Q,A286)</f>
        <v>3</v>
      </c>
    </row>
    <row r="287" spans="1:5" x14ac:dyDescent="0.3">
      <c r="A287" t="s">
        <v>4338</v>
      </c>
      <c r="B287" t="str">
        <f>_xlfn.XLOOKUP(A287,'Part A'!$Q:$Q,'Part A'!$F:$F,0,0,1)</f>
        <v>Black or African American</v>
      </c>
      <c r="C287" t="str">
        <f>_xlfn.XLOOKUP(A287,'Part A'!$Q:$Q,'Part A'!$E:$E,0,0,1)</f>
        <v>Female</v>
      </c>
      <c r="D287">
        <f>SUMIF('Part A'!$Q:$Q,A287,'Part A'!$G:$G)</f>
        <v>720</v>
      </c>
      <c r="E287">
        <f>COUNTIF('Part A'!$Q:$Q,A287)</f>
        <v>2</v>
      </c>
    </row>
    <row r="288" spans="1:5" x14ac:dyDescent="0.3">
      <c r="A288" t="s">
        <v>4339</v>
      </c>
      <c r="B288" t="str">
        <f>_xlfn.XLOOKUP(A288,'Part A'!$Q:$Q,'Part A'!$F:$F,0,0,1)</f>
        <v>Black or African American</v>
      </c>
      <c r="C288" t="str">
        <f>_xlfn.XLOOKUP(A288,'Part A'!$Q:$Q,'Part A'!$E:$E,0,0,1)</f>
        <v>Male</v>
      </c>
      <c r="D288">
        <f>SUMIF('Part A'!$Q:$Q,A288,'Part A'!$G:$G)</f>
        <v>1562</v>
      </c>
      <c r="E288">
        <f>COUNTIF('Part A'!$Q:$Q,A288)</f>
        <v>2</v>
      </c>
    </row>
    <row r="289" spans="1:5" x14ac:dyDescent="0.3">
      <c r="A289" t="s">
        <v>4340</v>
      </c>
      <c r="B289" t="str">
        <f>_xlfn.XLOOKUP(A289,'Part A'!$Q:$Q,'Part A'!$F:$F,0,0,1)</f>
        <v>Black or African American</v>
      </c>
      <c r="C289" t="str">
        <f>_xlfn.XLOOKUP(A289,'Part A'!$Q:$Q,'Part A'!$E:$E,0,0,1)</f>
        <v>Male</v>
      </c>
      <c r="D289">
        <f>SUMIF('Part A'!$Q:$Q,A289,'Part A'!$G:$G)</f>
        <v>8323</v>
      </c>
      <c r="E289">
        <f>COUNTIF('Part A'!$Q:$Q,A289)</f>
        <v>18</v>
      </c>
    </row>
    <row r="290" spans="1:5" x14ac:dyDescent="0.3">
      <c r="A290" t="s">
        <v>4341</v>
      </c>
      <c r="B290" t="str">
        <f>_xlfn.XLOOKUP(A290,'Part A'!$Q:$Q,'Part A'!$F:$F,0,0,1)</f>
        <v>White</v>
      </c>
      <c r="C290" t="str">
        <f>_xlfn.XLOOKUP(A290,'Part A'!$Q:$Q,'Part A'!$E:$E,0,0,1)</f>
        <v>Male</v>
      </c>
      <c r="D290">
        <f>SUMIF('Part A'!$Q:$Q,A290,'Part A'!$G:$G)</f>
        <v>698</v>
      </c>
      <c r="E290">
        <f>COUNTIF('Part A'!$Q:$Q,A290)</f>
        <v>1</v>
      </c>
    </row>
    <row r="291" spans="1:5" x14ac:dyDescent="0.3">
      <c r="A291" t="s">
        <v>4342</v>
      </c>
      <c r="B291" t="str">
        <f>_xlfn.XLOOKUP(A291,'Part A'!$Q:$Q,'Part A'!$F:$F,0,0,1)</f>
        <v>White</v>
      </c>
      <c r="C291" t="str">
        <f>_xlfn.XLOOKUP(A291,'Part A'!$Q:$Q,'Part A'!$E:$E,0,0,1)</f>
        <v>Male</v>
      </c>
      <c r="D291">
        <f>SUMIF('Part A'!$Q:$Q,A291,'Part A'!$G:$G)</f>
        <v>645</v>
      </c>
      <c r="E291">
        <f>COUNTIF('Part A'!$Q:$Q,A291)</f>
        <v>1</v>
      </c>
    </row>
    <row r="292" spans="1:5" x14ac:dyDescent="0.3">
      <c r="A292" t="s">
        <v>4343</v>
      </c>
      <c r="B292" t="str">
        <f>_xlfn.XLOOKUP(A292,'Part A'!$Q:$Q,'Part A'!$F:$F,0,0,1)</f>
        <v>Black or African American</v>
      </c>
      <c r="C292" t="str">
        <f>_xlfn.XLOOKUP(A292,'Part A'!$Q:$Q,'Part A'!$E:$E,0,0,1)</f>
        <v>Male</v>
      </c>
      <c r="D292">
        <f>SUMIF('Part A'!$Q:$Q,A292,'Part A'!$G:$G)</f>
        <v>839</v>
      </c>
      <c r="E292">
        <f>COUNTIF('Part A'!$Q:$Q,A292)</f>
        <v>1</v>
      </c>
    </row>
    <row r="293" spans="1:5" x14ac:dyDescent="0.3">
      <c r="A293" t="s">
        <v>4055</v>
      </c>
      <c r="B293" t="str">
        <f>_xlfn.XLOOKUP(A293,'Part A'!$Q:$Q,'Part A'!$F:$F,0,0,1)</f>
        <v>White</v>
      </c>
      <c r="C293" t="str">
        <f>_xlfn.XLOOKUP(A293,'Part A'!$Q:$Q,'Part A'!$E:$E,0,0,1)</f>
        <v>Male</v>
      </c>
      <c r="D293">
        <f>SUMIF('Part A'!$Q:$Q,A293,'Part A'!$G:$G)</f>
        <v>924</v>
      </c>
      <c r="E293">
        <f>COUNTIF('Part A'!$Q:$Q,A293)</f>
        <v>1</v>
      </c>
    </row>
    <row r="294" spans="1:5" x14ac:dyDescent="0.3">
      <c r="A294" t="s">
        <v>4344</v>
      </c>
      <c r="B294" t="str">
        <f>_xlfn.XLOOKUP(A294,'Part A'!$Q:$Q,'Part A'!$F:$F,0,0,1)</f>
        <v>Black or African American</v>
      </c>
      <c r="C294" t="str">
        <f>_xlfn.XLOOKUP(A294,'Part A'!$Q:$Q,'Part A'!$E:$E,0,0,1)</f>
        <v>Female</v>
      </c>
      <c r="D294">
        <f>SUMIF('Part A'!$Q:$Q,A294,'Part A'!$G:$G)</f>
        <v>12</v>
      </c>
      <c r="E294">
        <f>COUNTIF('Part A'!$Q:$Q,A294)</f>
        <v>1</v>
      </c>
    </row>
    <row r="295" spans="1:5" x14ac:dyDescent="0.3">
      <c r="A295" t="s">
        <v>4345</v>
      </c>
      <c r="B295" t="str">
        <f>_xlfn.XLOOKUP(A295,'Part A'!$Q:$Q,'Part A'!$F:$F,0,0,1)</f>
        <v>White</v>
      </c>
      <c r="C295" t="str">
        <f>_xlfn.XLOOKUP(A295,'Part A'!$Q:$Q,'Part A'!$E:$E,0,0,1)</f>
        <v>Male</v>
      </c>
      <c r="D295">
        <f>SUMIF('Part A'!$Q:$Q,A295,'Part A'!$G:$G)</f>
        <v>484</v>
      </c>
      <c r="E295">
        <f>COUNTIF('Part A'!$Q:$Q,A295)</f>
        <v>1</v>
      </c>
    </row>
    <row r="296" spans="1:5" x14ac:dyDescent="0.3">
      <c r="A296" t="s">
        <v>4346</v>
      </c>
      <c r="B296" t="str">
        <f>_xlfn.XLOOKUP(A296,'Part A'!$Q:$Q,'Part A'!$F:$F,0,0,1)</f>
        <v>White</v>
      </c>
      <c r="C296" t="str">
        <f>_xlfn.XLOOKUP(A296,'Part A'!$Q:$Q,'Part A'!$E:$E,0,0,1)</f>
        <v>Male</v>
      </c>
      <c r="D296">
        <f>SUMIF('Part A'!$Q:$Q,A296,'Part A'!$G:$G)</f>
        <v>622</v>
      </c>
      <c r="E296">
        <f>COUNTIF('Part A'!$Q:$Q,A296)</f>
        <v>1</v>
      </c>
    </row>
    <row r="297" spans="1:5" x14ac:dyDescent="0.3">
      <c r="A297" t="s">
        <v>4347</v>
      </c>
      <c r="B297" t="str">
        <f>_xlfn.XLOOKUP(A297,'Part A'!$Q:$Q,'Part A'!$F:$F,0,0,1)</f>
        <v>Thai</v>
      </c>
      <c r="C297" t="str">
        <f>_xlfn.XLOOKUP(A297,'Part A'!$Q:$Q,'Part A'!$E:$E,0,0,1)</f>
        <v>Male</v>
      </c>
      <c r="D297">
        <f>SUMIF('Part A'!$Q:$Q,A297,'Part A'!$G:$G)</f>
        <v>425</v>
      </c>
      <c r="E297">
        <f>COUNTIF('Part A'!$Q:$Q,A297)</f>
        <v>1</v>
      </c>
    </row>
    <row r="298" spans="1:5" x14ac:dyDescent="0.3">
      <c r="A298" t="s">
        <v>4348</v>
      </c>
      <c r="B298" t="str">
        <f>_xlfn.XLOOKUP(A298,'Part A'!$Q:$Q,'Part A'!$F:$F,0,0,1)</f>
        <v>White</v>
      </c>
      <c r="C298" t="str">
        <f>_xlfn.XLOOKUP(A298,'Part A'!$Q:$Q,'Part A'!$E:$E,0,0,1)</f>
        <v>Female</v>
      </c>
      <c r="D298">
        <f>SUMIF('Part A'!$Q:$Q,A298,'Part A'!$G:$G)</f>
        <v>235</v>
      </c>
      <c r="E298">
        <f>COUNTIF('Part A'!$Q:$Q,A298)</f>
        <v>1</v>
      </c>
    </row>
    <row r="299" spans="1:5" x14ac:dyDescent="0.3">
      <c r="A299" t="s">
        <v>4349</v>
      </c>
      <c r="B299" t="str">
        <f>_xlfn.XLOOKUP(A299,'Part A'!$Q:$Q,'Part A'!$F:$F,0,0,1)</f>
        <v>White</v>
      </c>
      <c r="C299" t="str">
        <f>_xlfn.XLOOKUP(A299,'Part A'!$Q:$Q,'Part A'!$E:$E,0,0,1)</f>
        <v>Male</v>
      </c>
      <c r="D299">
        <f>SUMIF('Part A'!$Q:$Q,A299,'Part A'!$G:$G)</f>
        <v>940</v>
      </c>
      <c r="E299">
        <f>COUNTIF('Part A'!$Q:$Q,A299)</f>
        <v>1</v>
      </c>
    </row>
    <row r="300" spans="1:5" x14ac:dyDescent="0.3">
      <c r="A300" t="s">
        <v>4350</v>
      </c>
      <c r="B300" t="str">
        <f>_xlfn.XLOOKUP(A300,'Part A'!$Q:$Q,'Part A'!$F:$F,0,0,1)</f>
        <v>Black or African American</v>
      </c>
      <c r="C300" t="str">
        <f>_xlfn.XLOOKUP(A300,'Part A'!$Q:$Q,'Part A'!$E:$E,0,0,1)</f>
        <v>Male</v>
      </c>
      <c r="D300">
        <f>SUMIF('Part A'!$Q:$Q,A300,'Part A'!$G:$G)</f>
        <v>81</v>
      </c>
      <c r="E300">
        <f>COUNTIF('Part A'!$Q:$Q,A300)</f>
        <v>1</v>
      </c>
    </row>
    <row r="301" spans="1:5" x14ac:dyDescent="0.3">
      <c r="A301" t="s">
        <v>4351</v>
      </c>
      <c r="B301" t="str">
        <f>_xlfn.XLOOKUP(A301,'Part A'!$Q:$Q,'Part A'!$F:$F,0,0,1)</f>
        <v>White</v>
      </c>
      <c r="C301" t="str">
        <f>_xlfn.XLOOKUP(A301,'Part A'!$Q:$Q,'Part A'!$E:$E,0,0,1)</f>
        <v>Female</v>
      </c>
      <c r="D301">
        <f>SUMIF('Part A'!$Q:$Q,A301,'Part A'!$G:$G)</f>
        <v>700</v>
      </c>
      <c r="E301">
        <f>COUNTIF('Part A'!$Q:$Q,A301)</f>
        <v>1</v>
      </c>
    </row>
    <row r="302" spans="1:5" x14ac:dyDescent="0.3">
      <c r="A302" t="s">
        <v>4056</v>
      </c>
      <c r="B302" t="str">
        <f>_xlfn.XLOOKUP(A302,'Part A'!$Q:$Q,'Part A'!$F:$F,0,0,1)</f>
        <v>White</v>
      </c>
      <c r="C302" t="str">
        <f>_xlfn.XLOOKUP(A302,'Part A'!$Q:$Q,'Part A'!$E:$E,0,0,1)</f>
        <v>Male</v>
      </c>
      <c r="D302">
        <f>SUMIF('Part A'!$Q:$Q,A302,'Part A'!$G:$G)</f>
        <v>749</v>
      </c>
      <c r="E302">
        <f>COUNTIF('Part A'!$Q:$Q,A302)</f>
        <v>2</v>
      </c>
    </row>
    <row r="303" spans="1:5" x14ac:dyDescent="0.3">
      <c r="A303" t="s">
        <v>4352</v>
      </c>
      <c r="B303" t="str">
        <f>_xlfn.XLOOKUP(A303,'Part A'!$Q:$Q,'Part A'!$F:$F,0,0,1)</f>
        <v>White</v>
      </c>
      <c r="C303" t="str">
        <f>_xlfn.XLOOKUP(A303,'Part A'!$Q:$Q,'Part A'!$E:$E,0,0,1)</f>
        <v>Male</v>
      </c>
      <c r="D303">
        <f>SUMIF('Part A'!$Q:$Q,A303,'Part A'!$G:$G)</f>
        <v>1243</v>
      </c>
      <c r="E303">
        <f>COUNTIF('Part A'!$Q:$Q,A303)</f>
        <v>2</v>
      </c>
    </row>
    <row r="304" spans="1:5" x14ac:dyDescent="0.3">
      <c r="A304" t="s">
        <v>4353</v>
      </c>
      <c r="B304" t="str">
        <f>_xlfn.XLOOKUP(A304,'Part A'!$Q:$Q,'Part A'!$F:$F,0,0,1)</f>
        <v>White</v>
      </c>
      <c r="C304" t="str">
        <f>_xlfn.XLOOKUP(A304,'Part A'!$Q:$Q,'Part A'!$E:$E,0,0,1)</f>
        <v>Male</v>
      </c>
      <c r="D304">
        <f>SUMIF('Part A'!$Q:$Q,A304,'Part A'!$G:$G)</f>
        <v>1066</v>
      </c>
      <c r="E304">
        <f>COUNTIF('Part A'!$Q:$Q,A304)</f>
        <v>2</v>
      </c>
    </row>
    <row r="305" spans="1:5" x14ac:dyDescent="0.3">
      <c r="A305" t="s">
        <v>4354</v>
      </c>
      <c r="B305" t="str">
        <f>_xlfn.XLOOKUP(A305,'Part A'!$Q:$Q,'Part A'!$F:$F,0,0,1)</f>
        <v>Asian</v>
      </c>
      <c r="C305" t="str">
        <f>_xlfn.XLOOKUP(A305,'Part A'!$Q:$Q,'Part A'!$E:$E,0,0,1)</f>
        <v>Female</v>
      </c>
      <c r="D305">
        <f>SUMIF('Part A'!$Q:$Q,A305,'Part A'!$G:$G)</f>
        <v>1013</v>
      </c>
      <c r="E305">
        <f>COUNTIF('Part A'!$Q:$Q,A305)</f>
        <v>2</v>
      </c>
    </row>
    <row r="306" spans="1:5" x14ac:dyDescent="0.3">
      <c r="A306" t="s">
        <v>4355</v>
      </c>
      <c r="B306" t="str">
        <f>_xlfn.XLOOKUP(A306,'Part A'!$Q:$Q,'Part A'!$F:$F,0,0,1)</f>
        <v>White</v>
      </c>
      <c r="C306" t="str">
        <f>_xlfn.XLOOKUP(A306,'Part A'!$Q:$Q,'Part A'!$E:$E,0,0,1)</f>
        <v>Female</v>
      </c>
      <c r="D306">
        <f>SUMIF('Part A'!$Q:$Q,A306,'Part A'!$G:$G)</f>
        <v>340</v>
      </c>
      <c r="E306">
        <f>COUNTIF('Part A'!$Q:$Q,A306)</f>
        <v>2</v>
      </c>
    </row>
    <row r="307" spans="1:5" x14ac:dyDescent="0.3">
      <c r="A307" t="s">
        <v>4356</v>
      </c>
      <c r="B307" t="str">
        <f>_xlfn.XLOOKUP(A307,'Part A'!$Q:$Q,'Part A'!$F:$F,0,0,1)</f>
        <v>White</v>
      </c>
      <c r="C307" t="str">
        <f>_xlfn.XLOOKUP(A307,'Part A'!$Q:$Q,'Part A'!$E:$E,0,0,1)</f>
        <v>Female</v>
      </c>
      <c r="D307">
        <f>SUMIF('Part A'!$Q:$Q,A307,'Part A'!$G:$G)</f>
        <v>896</v>
      </c>
      <c r="E307">
        <f>COUNTIF('Part A'!$Q:$Q,A307)</f>
        <v>2</v>
      </c>
    </row>
    <row r="308" spans="1:5" x14ac:dyDescent="0.3">
      <c r="A308" t="s">
        <v>4357</v>
      </c>
      <c r="B308" t="str">
        <f>_xlfn.XLOOKUP(A308,'Part A'!$Q:$Q,'Part A'!$F:$F,0,0,1)</f>
        <v>White</v>
      </c>
      <c r="C308" t="str">
        <f>_xlfn.XLOOKUP(A308,'Part A'!$Q:$Q,'Part A'!$E:$E,0,0,1)</f>
        <v>Female</v>
      </c>
      <c r="D308">
        <f>SUMIF('Part A'!$Q:$Q,A308,'Part A'!$G:$G)</f>
        <v>930</v>
      </c>
      <c r="E308">
        <f>COUNTIF('Part A'!$Q:$Q,A308)</f>
        <v>2</v>
      </c>
    </row>
    <row r="309" spans="1:5" x14ac:dyDescent="0.3">
      <c r="A309" t="s">
        <v>4358</v>
      </c>
      <c r="B309" t="str">
        <f>_xlfn.XLOOKUP(A309,'Part A'!$Q:$Q,'Part A'!$F:$F,0,0,1)</f>
        <v>White</v>
      </c>
      <c r="C309" t="str">
        <f>_xlfn.XLOOKUP(A309,'Part A'!$Q:$Q,'Part A'!$E:$E,0,0,1)</f>
        <v>Female</v>
      </c>
      <c r="D309">
        <f>SUMIF('Part A'!$Q:$Q,A309,'Part A'!$G:$G)</f>
        <v>114</v>
      </c>
      <c r="E309">
        <f>COUNTIF('Part A'!$Q:$Q,A309)</f>
        <v>1</v>
      </c>
    </row>
    <row r="310" spans="1:5" x14ac:dyDescent="0.3">
      <c r="A310" t="s">
        <v>4359</v>
      </c>
      <c r="B310" t="str">
        <f>_xlfn.XLOOKUP(A310,'Part A'!$Q:$Q,'Part A'!$F:$F,0,0,1)</f>
        <v>White</v>
      </c>
      <c r="C310" t="str">
        <f>_xlfn.XLOOKUP(A310,'Part A'!$Q:$Q,'Part A'!$E:$E,0,0,1)</f>
        <v>Female</v>
      </c>
      <c r="D310">
        <f>SUMIF('Part A'!$Q:$Q,A310,'Part A'!$G:$G)</f>
        <v>1051</v>
      </c>
      <c r="E310">
        <f>COUNTIF('Part A'!$Q:$Q,A310)</f>
        <v>2</v>
      </c>
    </row>
    <row r="311" spans="1:5" x14ac:dyDescent="0.3">
      <c r="A311" t="s">
        <v>4360</v>
      </c>
      <c r="B311" t="str">
        <f>_xlfn.XLOOKUP(A311,'Part A'!$Q:$Q,'Part A'!$F:$F,0,0,1)</f>
        <v>Black or African American</v>
      </c>
      <c r="C311" t="str">
        <f>_xlfn.XLOOKUP(A311,'Part A'!$Q:$Q,'Part A'!$E:$E,0,0,1)</f>
        <v>Female</v>
      </c>
      <c r="D311">
        <f>SUMIF('Part A'!$Q:$Q,A311,'Part A'!$G:$G)</f>
        <v>727</v>
      </c>
      <c r="E311">
        <f>COUNTIF('Part A'!$Q:$Q,A311)</f>
        <v>1</v>
      </c>
    </row>
    <row r="312" spans="1:5" x14ac:dyDescent="0.3">
      <c r="A312" t="s">
        <v>4361</v>
      </c>
      <c r="B312" t="str">
        <f>_xlfn.XLOOKUP(A312,'Part A'!$Q:$Q,'Part A'!$F:$F,0,0,1)</f>
        <v>White</v>
      </c>
      <c r="C312" t="str">
        <f>_xlfn.XLOOKUP(A312,'Part A'!$Q:$Q,'Part A'!$E:$E,0,0,1)</f>
        <v>Female</v>
      </c>
      <c r="D312">
        <f>SUMIF('Part A'!$Q:$Q,A312,'Part A'!$G:$G)</f>
        <v>367</v>
      </c>
      <c r="E312">
        <f>COUNTIF('Part A'!$Q:$Q,A312)</f>
        <v>2</v>
      </c>
    </row>
    <row r="313" spans="1:5" x14ac:dyDescent="0.3">
      <c r="A313" t="s">
        <v>4362</v>
      </c>
      <c r="B313" t="str">
        <f>_xlfn.XLOOKUP(A313,'Part A'!$Q:$Q,'Part A'!$F:$F,0,0,1)</f>
        <v>White</v>
      </c>
      <c r="C313" t="str">
        <f>_xlfn.XLOOKUP(A313,'Part A'!$Q:$Q,'Part A'!$E:$E,0,0,1)</f>
        <v>Female</v>
      </c>
      <c r="D313">
        <f>SUMIF('Part A'!$Q:$Q,A313,'Part A'!$G:$G)</f>
        <v>269</v>
      </c>
      <c r="E313">
        <f>COUNTIF('Part A'!$Q:$Q,A313)</f>
        <v>1</v>
      </c>
    </row>
    <row r="314" spans="1:5" x14ac:dyDescent="0.3">
      <c r="A314" t="s">
        <v>4363</v>
      </c>
      <c r="B314" t="str">
        <f>_xlfn.XLOOKUP(A314,'Part A'!$Q:$Q,'Part A'!$F:$F,0,0,1)</f>
        <v>Black or African American</v>
      </c>
      <c r="C314" t="str">
        <f>_xlfn.XLOOKUP(A314,'Part A'!$Q:$Q,'Part A'!$E:$E,0,0,1)</f>
        <v>Male</v>
      </c>
      <c r="D314">
        <f>SUMIF('Part A'!$Q:$Q,A314,'Part A'!$G:$G)</f>
        <v>111</v>
      </c>
      <c r="E314">
        <f>COUNTIF('Part A'!$Q:$Q,A314)</f>
        <v>1</v>
      </c>
    </row>
    <row r="315" spans="1:5" x14ac:dyDescent="0.3">
      <c r="A315" t="s">
        <v>4364</v>
      </c>
      <c r="B315" t="str">
        <f>_xlfn.XLOOKUP(A315,'Part A'!$Q:$Q,'Part A'!$F:$F,0,0,1)</f>
        <v>White</v>
      </c>
      <c r="C315" t="str">
        <f>_xlfn.XLOOKUP(A315,'Part A'!$Q:$Q,'Part A'!$E:$E,0,0,1)</f>
        <v>Male</v>
      </c>
      <c r="D315">
        <f>SUMIF('Part A'!$Q:$Q,A315,'Part A'!$G:$G)</f>
        <v>262</v>
      </c>
      <c r="E315">
        <f>COUNTIF('Part A'!$Q:$Q,A315)</f>
        <v>1</v>
      </c>
    </row>
    <row r="316" spans="1:5" x14ac:dyDescent="0.3">
      <c r="A316" t="s">
        <v>4365</v>
      </c>
      <c r="B316" t="str">
        <f>_xlfn.XLOOKUP(A316,'Part A'!$Q:$Q,'Part A'!$F:$F,0,0,1)</f>
        <v>Asian</v>
      </c>
      <c r="C316" t="str">
        <f>_xlfn.XLOOKUP(A316,'Part A'!$Q:$Q,'Part A'!$E:$E,0,0,1)</f>
        <v>Male</v>
      </c>
      <c r="D316">
        <f>SUMIF('Part A'!$Q:$Q,A316,'Part A'!$G:$G)</f>
        <v>580</v>
      </c>
      <c r="E316">
        <f>COUNTIF('Part A'!$Q:$Q,A316)</f>
        <v>1</v>
      </c>
    </row>
    <row r="317" spans="1:5" x14ac:dyDescent="0.3">
      <c r="A317" t="s">
        <v>4366</v>
      </c>
      <c r="B317" t="str">
        <f>_xlfn.XLOOKUP(A317,'Part A'!$Q:$Q,'Part A'!$F:$F,0,0,1)</f>
        <v>White</v>
      </c>
      <c r="C317" t="str">
        <f>_xlfn.XLOOKUP(A317,'Part A'!$Q:$Q,'Part A'!$E:$E,0,0,1)</f>
        <v>Male</v>
      </c>
      <c r="D317">
        <f>SUMIF('Part A'!$Q:$Q,A317,'Part A'!$G:$G)</f>
        <v>282</v>
      </c>
      <c r="E317">
        <f>COUNTIF('Part A'!$Q:$Q,A317)</f>
        <v>1</v>
      </c>
    </row>
    <row r="318" spans="1:5" x14ac:dyDescent="0.3">
      <c r="A318" t="s">
        <v>4367</v>
      </c>
      <c r="B318" t="str">
        <f>_xlfn.XLOOKUP(A318,'Part A'!$Q:$Q,'Part A'!$F:$F,0,0,1)</f>
        <v>Black or African American</v>
      </c>
      <c r="C318" t="str">
        <f>_xlfn.XLOOKUP(A318,'Part A'!$Q:$Q,'Part A'!$E:$E,0,0,1)</f>
        <v>Female</v>
      </c>
      <c r="D318">
        <f>SUMIF('Part A'!$Q:$Q,A318,'Part A'!$G:$G)</f>
        <v>977</v>
      </c>
      <c r="E318">
        <f>COUNTIF('Part A'!$Q:$Q,A318)</f>
        <v>1</v>
      </c>
    </row>
    <row r="319" spans="1:5" x14ac:dyDescent="0.3">
      <c r="A319" t="s">
        <v>4368</v>
      </c>
      <c r="B319" t="str">
        <f>_xlfn.XLOOKUP(A319,'Part A'!$Q:$Q,'Part A'!$F:$F,0,0,1)</f>
        <v>White</v>
      </c>
      <c r="C319" t="str">
        <f>_xlfn.XLOOKUP(A319,'Part A'!$Q:$Q,'Part A'!$E:$E,0,0,1)</f>
        <v>Female</v>
      </c>
      <c r="D319">
        <f>SUMIF('Part A'!$Q:$Q,A319,'Part A'!$G:$G)</f>
        <v>513</v>
      </c>
      <c r="E319">
        <f>COUNTIF('Part A'!$Q:$Q,A319)</f>
        <v>1</v>
      </c>
    </row>
    <row r="320" spans="1:5" x14ac:dyDescent="0.3">
      <c r="A320" t="s">
        <v>4369</v>
      </c>
      <c r="B320" t="str">
        <f>_xlfn.XLOOKUP(A320,'Part A'!$Q:$Q,'Part A'!$F:$F,0,0,1)</f>
        <v>Black or African American</v>
      </c>
      <c r="C320" t="str">
        <f>_xlfn.XLOOKUP(A320,'Part A'!$Q:$Q,'Part A'!$E:$E,0,0,1)</f>
        <v>Male</v>
      </c>
      <c r="D320">
        <f>SUMIF('Part A'!$Q:$Q,A320,'Part A'!$G:$G)</f>
        <v>6489</v>
      </c>
      <c r="E320">
        <f>COUNTIF('Part A'!$Q:$Q,A320)</f>
        <v>12</v>
      </c>
    </row>
    <row r="321" spans="1:5" x14ac:dyDescent="0.3">
      <c r="A321" t="s">
        <v>4370</v>
      </c>
      <c r="B321" t="str">
        <f>_xlfn.XLOOKUP(A321,'Part A'!$Q:$Q,'Part A'!$F:$F,0,0,1)</f>
        <v>Black or African American</v>
      </c>
      <c r="C321" t="str">
        <f>_xlfn.XLOOKUP(A321,'Part A'!$Q:$Q,'Part A'!$E:$E,0,0,1)</f>
        <v>Male</v>
      </c>
      <c r="D321">
        <f>SUMIF('Part A'!$Q:$Q,A321,'Part A'!$G:$G)</f>
        <v>812</v>
      </c>
      <c r="E321">
        <f>COUNTIF('Part A'!$Q:$Q,A321)</f>
        <v>1</v>
      </c>
    </row>
    <row r="322" spans="1:5" x14ac:dyDescent="0.3">
      <c r="A322" t="s">
        <v>4371</v>
      </c>
      <c r="B322" t="str">
        <f>_xlfn.XLOOKUP(A322,'Part A'!$Q:$Q,'Part A'!$F:$F,0,0,1)</f>
        <v>White</v>
      </c>
      <c r="C322" t="str">
        <f>_xlfn.XLOOKUP(A322,'Part A'!$Q:$Q,'Part A'!$E:$E,0,0,1)</f>
        <v>Female</v>
      </c>
      <c r="D322">
        <f>SUMIF('Part A'!$Q:$Q,A322,'Part A'!$G:$G)</f>
        <v>884</v>
      </c>
      <c r="E322">
        <f>COUNTIF('Part A'!$Q:$Q,A322)</f>
        <v>1</v>
      </c>
    </row>
    <row r="323" spans="1:5" x14ac:dyDescent="0.3">
      <c r="A323" t="s">
        <v>4372</v>
      </c>
      <c r="B323" t="str">
        <f>_xlfn.XLOOKUP(A323,'Part A'!$Q:$Q,'Part A'!$F:$F,0,0,1)</f>
        <v>White</v>
      </c>
      <c r="C323" t="str">
        <f>_xlfn.XLOOKUP(A323,'Part A'!$Q:$Q,'Part A'!$E:$E,0,0,1)</f>
        <v>Male</v>
      </c>
      <c r="D323">
        <f>SUMIF('Part A'!$Q:$Q,A323,'Part A'!$G:$G)</f>
        <v>326</v>
      </c>
      <c r="E323">
        <f>COUNTIF('Part A'!$Q:$Q,A323)</f>
        <v>1</v>
      </c>
    </row>
    <row r="324" spans="1:5" x14ac:dyDescent="0.3">
      <c r="A324" t="s">
        <v>4373</v>
      </c>
      <c r="B324" t="str">
        <f>_xlfn.XLOOKUP(A324,'Part A'!$Q:$Q,'Part A'!$F:$F,0,0,1)</f>
        <v>White</v>
      </c>
      <c r="C324" t="str">
        <f>_xlfn.XLOOKUP(A324,'Part A'!$Q:$Q,'Part A'!$E:$E,0,0,1)</f>
        <v>Female</v>
      </c>
      <c r="D324">
        <f>SUMIF('Part A'!$Q:$Q,A324,'Part A'!$G:$G)</f>
        <v>961</v>
      </c>
      <c r="E324">
        <f>COUNTIF('Part A'!$Q:$Q,A324)</f>
        <v>1</v>
      </c>
    </row>
    <row r="325" spans="1:5" x14ac:dyDescent="0.3">
      <c r="A325" t="s">
        <v>4374</v>
      </c>
      <c r="B325" t="str">
        <f>_xlfn.XLOOKUP(A325,'Part A'!$Q:$Q,'Part A'!$F:$F,0,0,1)</f>
        <v>White</v>
      </c>
      <c r="C325" t="str">
        <f>_xlfn.XLOOKUP(A325,'Part A'!$Q:$Q,'Part A'!$E:$E,0,0,1)</f>
        <v>Male</v>
      </c>
      <c r="D325">
        <f>SUMIF('Part A'!$Q:$Q,A325,'Part A'!$G:$G)</f>
        <v>425</v>
      </c>
      <c r="E325">
        <f>COUNTIF('Part A'!$Q:$Q,A325)</f>
        <v>1</v>
      </c>
    </row>
    <row r="326" spans="1:5" x14ac:dyDescent="0.3">
      <c r="A326" t="s">
        <v>4375</v>
      </c>
      <c r="B326" t="str">
        <f>_xlfn.XLOOKUP(A326,'Part A'!$Q:$Q,'Part A'!$F:$F,0,0,1)</f>
        <v>Black or African American</v>
      </c>
      <c r="C326" t="str">
        <f>_xlfn.XLOOKUP(A326,'Part A'!$Q:$Q,'Part A'!$E:$E,0,0,1)</f>
        <v>Female</v>
      </c>
      <c r="D326">
        <f>SUMIF('Part A'!$Q:$Q,A326,'Part A'!$G:$G)</f>
        <v>354</v>
      </c>
      <c r="E326">
        <f>COUNTIF('Part A'!$Q:$Q,A326)</f>
        <v>1</v>
      </c>
    </row>
    <row r="327" spans="1:5" x14ac:dyDescent="0.3">
      <c r="A327" t="s">
        <v>4376</v>
      </c>
      <c r="B327" t="str">
        <f>_xlfn.XLOOKUP(A327,'Part A'!$Q:$Q,'Part A'!$F:$F,0,0,1)</f>
        <v>Black or African American</v>
      </c>
      <c r="C327" t="str">
        <f>_xlfn.XLOOKUP(A327,'Part A'!$Q:$Q,'Part A'!$E:$E,0,0,1)</f>
        <v>Male</v>
      </c>
      <c r="D327">
        <f>SUMIF('Part A'!$Q:$Q,A327,'Part A'!$G:$G)</f>
        <v>64</v>
      </c>
      <c r="E327">
        <f>COUNTIF('Part A'!$Q:$Q,A327)</f>
        <v>1</v>
      </c>
    </row>
    <row r="328" spans="1:5" x14ac:dyDescent="0.3">
      <c r="A328" t="s">
        <v>4377</v>
      </c>
      <c r="B328" t="str">
        <f>_xlfn.XLOOKUP(A328,'Part A'!$Q:$Q,'Part A'!$F:$F,0,0,1)</f>
        <v>Black or African American</v>
      </c>
      <c r="C328" t="str">
        <f>_xlfn.XLOOKUP(A328,'Part A'!$Q:$Q,'Part A'!$E:$E,0,0,1)</f>
        <v>Male</v>
      </c>
      <c r="D328">
        <f>SUMIF('Part A'!$Q:$Q,A328,'Part A'!$G:$G)</f>
        <v>678</v>
      </c>
      <c r="E328">
        <f>COUNTIF('Part A'!$Q:$Q,A328)</f>
        <v>1</v>
      </c>
    </row>
    <row r="329" spans="1:5" x14ac:dyDescent="0.3">
      <c r="A329" t="s">
        <v>4378</v>
      </c>
      <c r="B329" t="str">
        <f>_xlfn.XLOOKUP(A329,'Part A'!$Q:$Q,'Part A'!$F:$F,0,0,1)</f>
        <v>White</v>
      </c>
      <c r="C329" t="str">
        <f>_xlfn.XLOOKUP(A329,'Part A'!$Q:$Q,'Part A'!$E:$E,0,0,1)</f>
        <v>Male</v>
      </c>
      <c r="D329">
        <f>SUMIF('Part A'!$Q:$Q,A329,'Part A'!$G:$G)</f>
        <v>688</v>
      </c>
      <c r="E329">
        <f>COUNTIF('Part A'!$Q:$Q,A329)</f>
        <v>1</v>
      </c>
    </row>
    <row r="330" spans="1:5" x14ac:dyDescent="0.3">
      <c r="A330" t="s">
        <v>4379</v>
      </c>
      <c r="B330" t="str">
        <f>_xlfn.XLOOKUP(A330,'Part A'!$Q:$Q,'Part A'!$F:$F,0,0,1)</f>
        <v>Black or African American</v>
      </c>
      <c r="C330" t="str">
        <f>_xlfn.XLOOKUP(A330,'Part A'!$Q:$Q,'Part A'!$E:$E,0,0,1)</f>
        <v>Female</v>
      </c>
      <c r="D330">
        <f>SUMIF('Part A'!$Q:$Q,A330,'Part A'!$G:$G)</f>
        <v>583</v>
      </c>
      <c r="E330">
        <f>COUNTIF('Part A'!$Q:$Q,A330)</f>
        <v>1</v>
      </c>
    </row>
    <row r="331" spans="1:5" x14ac:dyDescent="0.3">
      <c r="A331" t="s">
        <v>4380</v>
      </c>
      <c r="B331" t="str">
        <f>_xlfn.XLOOKUP(A331,'Part A'!$Q:$Q,'Part A'!$F:$F,0,0,1)</f>
        <v>Asian</v>
      </c>
      <c r="C331" t="str">
        <f>_xlfn.XLOOKUP(A331,'Part A'!$Q:$Q,'Part A'!$E:$E,0,0,1)</f>
        <v>Female</v>
      </c>
      <c r="D331">
        <f>SUMIF('Part A'!$Q:$Q,A331,'Part A'!$G:$G)</f>
        <v>613</v>
      </c>
      <c r="E331">
        <f>COUNTIF('Part A'!$Q:$Q,A331)</f>
        <v>1</v>
      </c>
    </row>
    <row r="332" spans="1:5" x14ac:dyDescent="0.3">
      <c r="A332" t="s">
        <v>4381</v>
      </c>
      <c r="B332" t="str">
        <f>_xlfn.XLOOKUP(A332,'Part A'!$Q:$Q,'Part A'!$F:$F,0,0,1)</f>
        <v>Asian</v>
      </c>
      <c r="C332" t="str">
        <f>_xlfn.XLOOKUP(A332,'Part A'!$Q:$Q,'Part A'!$E:$E,0,0,1)</f>
        <v>Male</v>
      </c>
      <c r="D332">
        <f>SUMIF('Part A'!$Q:$Q,A332,'Part A'!$G:$G)</f>
        <v>693</v>
      </c>
      <c r="E332">
        <f>COUNTIF('Part A'!$Q:$Q,A332)</f>
        <v>1</v>
      </c>
    </row>
    <row r="333" spans="1:5" x14ac:dyDescent="0.3">
      <c r="A333" t="s">
        <v>4382</v>
      </c>
      <c r="B333" t="str">
        <f>_xlfn.XLOOKUP(A333,'Part A'!$Q:$Q,'Part A'!$F:$F,0,0,1)</f>
        <v>Black or African American</v>
      </c>
      <c r="C333" t="str">
        <f>_xlfn.XLOOKUP(A333,'Part A'!$Q:$Q,'Part A'!$E:$E,0,0,1)</f>
        <v>Male</v>
      </c>
      <c r="D333">
        <f>SUMIF('Part A'!$Q:$Q,A333,'Part A'!$G:$G)</f>
        <v>897</v>
      </c>
      <c r="E333">
        <f>COUNTIF('Part A'!$Q:$Q,A333)</f>
        <v>1</v>
      </c>
    </row>
    <row r="334" spans="1:5" x14ac:dyDescent="0.3">
      <c r="A334" t="s">
        <v>4383</v>
      </c>
      <c r="B334" t="str">
        <f>_xlfn.XLOOKUP(A334,'Part A'!$Q:$Q,'Part A'!$F:$F,0,0,1)</f>
        <v>White</v>
      </c>
      <c r="C334" t="str">
        <f>_xlfn.XLOOKUP(A334,'Part A'!$Q:$Q,'Part A'!$E:$E,0,0,1)</f>
        <v>Male</v>
      </c>
      <c r="D334">
        <f>SUMIF('Part A'!$Q:$Q,A334,'Part A'!$G:$G)</f>
        <v>763</v>
      </c>
      <c r="E334">
        <f>COUNTIF('Part A'!$Q:$Q,A334)</f>
        <v>1</v>
      </c>
    </row>
    <row r="335" spans="1:5" x14ac:dyDescent="0.3">
      <c r="A335" t="s">
        <v>4384</v>
      </c>
      <c r="B335" t="str">
        <f>_xlfn.XLOOKUP(A335,'Part A'!$Q:$Q,'Part A'!$F:$F,0,0,1)</f>
        <v>Black or African American</v>
      </c>
      <c r="C335" t="str">
        <f>_xlfn.XLOOKUP(A335,'Part A'!$Q:$Q,'Part A'!$E:$E,0,0,1)</f>
        <v>Male</v>
      </c>
      <c r="D335">
        <f>SUMIF('Part A'!$Q:$Q,A335,'Part A'!$G:$G)</f>
        <v>822</v>
      </c>
      <c r="E335">
        <f>COUNTIF('Part A'!$Q:$Q,A335)</f>
        <v>1</v>
      </c>
    </row>
    <row r="336" spans="1:5" x14ac:dyDescent="0.3">
      <c r="A336" t="s">
        <v>4385</v>
      </c>
      <c r="B336" t="str">
        <f>_xlfn.XLOOKUP(A336,'Part A'!$Q:$Q,'Part A'!$F:$F,0,0,1)</f>
        <v>Mexican</v>
      </c>
      <c r="C336" t="str">
        <f>_xlfn.XLOOKUP(A336,'Part A'!$Q:$Q,'Part A'!$E:$E,0,0,1)</f>
        <v>Female</v>
      </c>
      <c r="D336">
        <f>SUMIF('Part A'!$Q:$Q,A336,'Part A'!$G:$G)</f>
        <v>6662</v>
      </c>
      <c r="E336">
        <f>COUNTIF('Part A'!$Q:$Q,A336)</f>
        <v>13</v>
      </c>
    </row>
    <row r="337" spans="1:5" x14ac:dyDescent="0.3">
      <c r="A337" t="s">
        <v>4386</v>
      </c>
      <c r="B337" t="str">
        <f>_xlfn.XLOOKUP(A337,'Part A'!$Q:$Q,'Part A'!$F:$F,0,0,1)</f>
        <v>Asian</v>
      </c>
      <c r="C337" t="str">
        <f>_xlfn.XLOOKUP(A337,'Part A'!$Q:$Q,'Part A'!$E:$E,0,0,1)</f>
        <v>Female</v>
      </c>
      <c r="D337">
        <f>SUMIF('Part A'!$Q:$Q,A337,'Part A'!$G:$G)</f>
        <v>284</v>
      </c>
      <c r="E337">
        <f>COUNTIF('Part A'!$Q:$Q,A337)</f>
        <v>1</v>
      </c>
    </row>
    <row r="338" spans="1:5" x14ac:dyDescent="0.3">
      <c r="A338" t="s">
        <v>4387</v>
      </c>
      <c r="B338" t="str">
        <f>_xlfn.XLOOKUP(A338,'Part A'!$Q:$Q,'Part A'!$F:$F,0,0,1)</f>
        <v>Asian</v>
      </c>
      <c r="C338" t="str">
        <f>_xlfn.XLOOKUP(A338,'Part A'!$Q:$Q,'Part A'!$E:$E,0,0,1)</f>
        <v>Male</v>
      </c>
      <c r="D338">
        <f>SUMIF('Part A'!$Q:$Q,A338,'Part A'!$G:$G)</f>
        <v>69</v>
      </c>
      <c r="E338">
        <f>COUNTIF('Part A'!$Q:$Q,A338)</f>
        <v>1</v>
      </c>
    </row>
    <row r="339" spans="1:5" x14ac:dyDescent="0.3">
      <c r="A339" t="s">
        <v>4388</v>
      </c>
      <c r="B339" t="str">
        <f>_xlfn.XLOOKUP(A339,'Part A'!$Q:$Q,'Part A'!$F:$F,0,0,1)</f>
        <v>Asian</v>
      </c>
      <c r="C339" t="str">
        <f>_xlfn.XLOOKUP(A339,'Part A'!$Q:$Q,'Part A'!$E:$E,0,0,1)</f>
        <v>Male</v>
      </c>
      <c r="D339">
        <f>SUMIF('Part A'!$Q:$Q,A339,'Part A'!$G:$G)</f>
        <v>860</v>
      </c>
      <c r="E339">
        <f>COUNTIF('Part A'!$Q:$Q,A339)</f>
        <v>1</v>
      </c>
    </row>
    <row r="340" spans="1:5" x14ac:dyDescent="0.3">
      <c r="A340" t="s">
        <v>4389</v>
      </c>
      <c r="B340" t="str">
        <f>_xlfn.XLOOKUP(A340,'Part A'!$Q:$Q,'Part A'!$F:$F,0,0,1)</f>
        <v>White</v>
      </c>
      <c r="C340" t="str">
        <f>_xlfn.XLOOKUP(A340,'Part A'!$Q:$Q,'Part A'!$E:$E,0,0,1)</f>
        <v>Male</v>
      </c>
      <c r="D340">
        <f>SUMIF('Part A'!$Q:$Q,A340,'Part A'!$G:$G)</f>
        <v>621</v>
      </c>
      <c r="E340">
        <f>COUNTIF('Part A'!$Q:$Q,A340)</f>
        <v>1</v>
      </c>
    </row>
    <row r="341" spans="1:5" x14ac:dyDescent="0.3">
      <c r="A341" t="s">
        <v>4390</v>
      </c>
      <c r="B341" t="str">
        <f>_xlfn.XLOOKUP(A341,'Part A'!$Q:$Q,'Part A'!$F:$F,0,0,1)</f>
        <v>Black or African American</v>
      </c>
      <c r="C341" t="str">
        <f>_xlfn.XLOOKUP(A341,'Part A'!$Q:$Q,'Part A'!$E:$E,0,0,1)</f>
        <v>Male</v>
      </c>
      <c r="D341">
        <f>SUMIF('Part A'!$Q:$Q,A341,'Part A'!$G:$G)</f>
        <v>425</v>
      </c>
      <c r="E341">
        <f>COUNTIF('Part A'!$Q:$Q,A341)</f>
        <v>1</v>
      </c>
    </row>
    <row r="342" spans="1:5" x14ac:dyDescent="0.3">
      <c r="A342" t="s">
        <v>4391</v>
      </c>
      <c r="B342" t="str">
        <f>_xlfn.XLOOKUP(A342,'Part A'!$Q:$Q,'Part A'!$F:$F,0,0,1)</f>
        <v>Black or African American</v>
      </c>
      <c r="C342" t="str">
        <f>_xlfn.XLOOKUP(A342,'Part A'!$Q:$Q,'Part A'!$E:$E,0,0,1)</f>
        <v>Female</v>
      </c>
      <c r="D342">
        <f>SUMIF('Part A'!$Q:$Q,A342,'Part A'!$G:$G)</f>
        <v>3858</v>
      </c>
      <c r="E342">
        <f>COUNTIF('Part A'!$Q:$Q,A342)</f>
        <v>8</v>
      </c>
    </row>
    <row r="343" spans="1:5" x14ac:dyDescent="0.3">
      <c r="A343" t="s">
        <v>4392</v>
      </c>
      <c r="B343" t="str">
        <f>_xlfn.XLOOKUP(A343,'Part A'!$Q:$Q,'Part A'!$F:$F,0,0,1)</f>
        <v>Asian</v>
      </c>
      <c r="C343" t="str">
        <f>_xlfn.XLOOKUP(A343,'Part A'!$Q:$Q,'Part A'!$E:$E,0,0,1)</f>
        <v>Male</v>
      </c>
      <c r="D343">
        <f>SUMIF('Part A'!$Q:$Q,A343,'Part A'!$G:$G)</f>
        <v>496</v>
      </c>
      <c r="E343">
        <f>COUNTIF('Part A'!$Q:$Q,A343)</f>
        <v>1</v>
      </c>
    </row>
    <row r="344" spans="1:5" x14ac:dyDescent="0.3">
      <c r="A344" t="s">
        <v>4393</v>
      </c>
      <c r="B344" t="str">
        <f>_xlfn.XLOOKUP(A344,'Part A'!$Q:$Q,'Part A'!$F:$F,0,0,1)</f>
        <v>White</v>
      </c>
      <c r="C344" t="str">
        <f>_xlfn.XLOOKUP(A344,'Part A'!$Q:$Q,'Part A'!$E:$E,0,0,1)</f>
        <v>Male</v>
      </c>
      <c r="D344">
        <f>SUMIF('Part A'!$Q:$Q,A344,'Part A'!$G:$G)</f>
        <v>119</v>
      </c>
      <c r="E344">
        <f>COUNTIF('Part A'!$Q:$Q,A344)</f>
        <v>1</v>
      </c>
    </row>
    <row r="345" spans="1:5" x14ac:dyDescent="0.3">
      <c r="A345" t="s">
        <v>4394</v>
      </c>
      <c r="B345" t="str">
        <f>_xlfn.XLOOKUP(A345,'Part A'!$Q:$Q,'Part A'!$F:$F,0,0,1)</f>
        <v>White</v>
      </c>
      <c r="C345" t="str">
        <f>_xlfn.XLOOKUP(A345,'Part A'!$Q:$Q,'Part A'!$E:$E,0,0,1)</f>
        <v>Male</v>
      </c>
      <c r="D345">
        <f>SUMIF('Part A'!$Q:$Q,A345,'Part A'!$G:$G)</f>
        <v>199</v>
      </c>
      <c r="E345">
        <f>COUNTIF('Part A'!$Q:$Q,A345)</f>
        <v>1</v>
      </c>
    </row>
    <row r="346" spans="1:5" x14ac:dyDescent="0.3">
      <c r="A346" t="s">
        <v>4395</v>
      </c>
      <c r="B346" t="str">
        <f>_xlfn.XLOOKUP(A346,'Part A'!$Q:$Q,'Part A'!$F:$F,0,0,1)</f>
        <v>White</v>
      </c>
      <c r="C346" t="str">
        <f>_xlfn.XLOOKUP(A346,'Part A'!$Q:$Q,'Part A'!$E:$E,0,0,1)</f>
        <v>Female</v>
      </c>
      <c r="D346">
        <f>SUMIF('Part A'!$Q:$Q,A346,'Part A'!$G:$G)</f>
        <v>908</v>
      </c>
      <c r="E346">
        <f>COUNTIF('Part A'!$Q:$Q,A346)</f>
        <v>1</v>
      </c>
    </row>
    <row r="347" spans="1:5" x14ac:dyDescent="0.3">
      <c r="A347" t="s">
        <v>4396</v>
      </c>
      <c r="B347" t="str">
        <f>_xlfn.XLOOKUP(A347,'Part A'!$Q:$Q,'Part A'!$F:$F,0,0,1)</f>
        <v>White</v>
      </c>
      <c r="C347" t="str">
        <f>_xlfn.XLOOKUP(A347,'Part A'!$Q:$Q,'Part A'!$E:$E,0,0,1)</f>
        <v>Female</v>
      </c>
      <c r="D347">
        <f>SUMIF('Part A'!$Q:$Q,A347,'Part A'!$G:$G)</f>
        <v>55</v>
      </c>
      <c r="E347">
        <f>COUNTIF('Part A'!$Q:$Q,A347)</f>
        <v>1</v>
      </c>
    </row>
    <row r="348" spans="1:5" x14ac:dyDescent="0.3">
      <c r="A348" t="s">
        <v>4397</v>
      </c>
      <c r="B348" t="str">
        <f>_xlfn.XLOOKUP(A348,'Part A'!$Q:$Q,'Part A'!$F:$F,0,0,1)</f>
        <v>Black or African American</v>
      </c>
      <c r="C348" t="str">
        <f>_xlfn.XLOOKUP(A348,'Part A'!$Q:$Q,'Part A'!$E:$E,0,0,1)</f>
        <v>Male</v>
      </c>
      <c r="D348">
        <f>SUMIF('Part A'!$Q:$Q,A348,'Part A'!$G:$G)</f>
        <v>24</v>
      </c>
      <c r="E348">
        <f>COUNTIF('Part A'!$Q:$Q,A348)</f>
        <v>1</v>
      </c>
    </row>
    <row r="349" spans="1:5" x14ac:dyDescent="0.3">
      <c r="A349" t="s">
        <v>4398</v>
      </c>
      <c r="B349" t="str">
        <f>_xlfn.XLOOKUP(A349,'Part A'!$Q:$Q,'Part A'!$F:$F,0,0,1)</f>
        <v>White</v>
      </c>
      <c r="C349" t="str">
        <f>_xlfn.XLOOKUP(A349,'Part A'!$Q:$Q,'Part A'!$E:$E,0,0,1)</f>
        <v>Female</v>
      </c>
      <c r="D349">
        <f>SUMIF('Part A'!$Q:$Q,A349,'Part A'!$G:$G)</f>
        <v>131</v>
      </c>
      <c r="E349">
        <f>COUNTIF('Part A'!$Q:$Q,A349)</f>
        <v>1</v>
      </c>
    </row>
    <row r="350" spans="1:5" x14ac:dyDescent="0.3">
      <c r="A350" t="s">
        <v>4399</v>
      </c>
      <c r="B350" t="str">
        <f>_xlfn.XLOOKUP(A350,'Part A'!$Q:$Q,'Part A'!$F:$F,0,0,1)</f>
        <v>Asian</v>
      </c>
      <c r="C350" t="str">
        <f>_xlfn.XLOOKUP(A350,'Part A'!$Q:$Q,'Part A'!$E:$E,0,0,1)</f>
        <v>Male</v>
      </c>
      <c r="D350">
        <f>SUMIF('Part A'!$Q:$Q,A350,'Part A'!$G:$G)</f>
        <v>969</v>
      </c>
      <c r="E350">
        <f>COUNTIF('Part A'!$Q:$Q,A350)</f>
        <v>1</v>
      </c>
    </row>
    <row r="351" spans="1:5" x14ac:dyDescent="0.3">
      <c r="A351" t="s">
        <v>4400</v>
      </c>
      <c r="B351" t="str">
        <f>_xlfn.XLOOKUP(A351,'Part A'!$Q:$Q,'Part A'!$F:$F,0,0,1)</f>
        <v>Black or African American</v>
      </c>
      <c r="C351" t="str">
        <f>_xlfn.XLOOKUP(A351,'Part A'!$Q:$Q,'Part A'!$E:$E,0,0,1)</f>
        <v>Male</v>
      </c>
      <c r="D351">
        <f>SUMIF('Part A'!$Q:$Q,A351,'Part A'!$G:$G)</f>
        <v>595</v>
      </c>
      <c r="E351">
        <f>COUNTIF('Part A'!$Q:$Q,A351)</f>
        <v>1</v>
      </c>
    </row>
    <row r="352" spans="1:5" x14ac:dyDescent="0.3">
      <c r="A352" t="s">
        <v>4401</v>
      </c>
      <c r="B352" t="str">
        <f>_xlfn.XLOOKUP(A352,'Part A'!$Q:$Q,'Part A'!$F:$F,0,0,1)</f>
        <v>Black or African American</v>
      </c>
      <c r="C352" t="str">
        <f>_xlfn.XLOOKUP(A352,'Part A'!$Q:$Q,'Part A'!$E:$E,0,0,1)</f>
        <v>Male</v>
      </c>
      <c r="D352">
        <f>SUMIF('Part A'!$Q:$Q,A352,'Part A'!$G:$G)</f>
        <v>482</v>
      </c>
      <c r="E352">
        <f>COUNTIF('Part A'!$Q:$Q,A352)</f>
        <v>1</v>
      </c>
    </row>
    <row r="353" spans="1:5" x14ac:dyDescent="0.3">
      <c r="A353" t="s">
        <v>4402</v>
      </c>
      <c r="B353" t="str">
        <f>_xlfn.XLOOKUP(A353,'Part A'!$Q:$Q,'Part A'!$F:$F,0,0,1)</f>
        <v>Black or African American</v>
      </c>
      <c r="C353" t="str">
        <f>_xlfn.XLOOKUP(A353,'Part A'!$Q:$Q,'Part A'!$E:$E,0,0,1)</f>
        <v>Female</v>
      </c>
      <c r="D353">
        <f>SUMIF('Part A'!$Q:$Q,A353,'Part A'!$G:$G)</f>
        <v>295</v>
      </c>
      <c r="E353">
        <f>COUNTIF('Part A'!$Q:$Q,A353)</f>
        <v>1</v>
      </c>
    </row>
    <row r="354" spans="1:5" x14ac:dyDescent="0.3">
      <c r="A354" t="s">
        <v>4057</v>
      </c>
      <c r="B354" t="str">
        <f>_xlfn.XLOOKUP(A354,'Part A'!$Q:$Q,'Part A'!$F:$F,0,0,1)</f>
        <v>Asian</v>
      </c>
      <c r="C354" t="str">
        <f>_xlfn.XLOOKUP(A354,'Part A'!$Q:$Q,'Part A'!$E:$E,0,0,1)</f>
        <v>Male</v>
      </c>
      <c r="D354">
        <f>SUMIF('Part A'!$Q:$Q,A354,'Part A'!$G:$G)</f>
        <v>387</v>
      </c>
      <c r="E354">
        <f>COUNTIF('Part A'!$Q:$Q,A354)</f>
        <v>1</v>
      </c>
    </row>
    <row r="355" spans="1:5" x14ac:dyDescent="0.3">
      <c r="A355" t="s">
        <v>4403</v>
      </c>
      <c r="B355" t="str">
        <f>_xlfn.XLOOKUP(A355,'Part A'!$Q:$Q,'Part A'!$F:$F,0,0,1)</f>
        <v>White</v>
      </c>
      <c r="C355" t="str">
        <f>_xlfn.XLOOKUP(A355,'Part A'!$Q:$Q,'Part A'!$E:$E,0,0,1)</f>
        <v>Male</v>
      </c>
      <c r="D355">
        <f>SUMIF('Part A'!$Q:$Q,A355,'Part A'!$G:$G)</f>
        <v>709</v>
      </c>
      <c r="E355">
        <f>COUNTIF('Part A'!$Q:$Q,A355)</f>
        <v>1</v>
      </c>
    </row>
    <row r="356" spans="1:5" x14ac:dyDescent="0.3">
      <c r="A356" t="s">
        <v>4404</v>
      </c>
      <c r="B356" t="str">
        <f>_xlfn.XLOOKUP(A356,'Part A'!$Q:$Q,'Part A'!$F:$F,0,0,1)</f>
        <v>White</v>
      </c>
      <c r="C356" t="str">
        <f>_xlfn.XLOOKUP(A356,'Part A'!$Q:$Q,'Part A'!$E:$E,0,0,1)</f>
        <v>Female</v>
      </c>
      <c r="D356">
        <f>SUMIF('Part A'!$Q:$Q,A356,'Part A'!$G:$G)</f>
        <v>746</v>
      </c>
      <c r="E356">
        <f>COUNTIF('Part A'!$Q:$Q,A356)</f>
        <v>1</v>
      </c>
    </row>
    <row r="357" spans="1:5" x14ac:dyDescent="0.3">
      <c r="A357" t="s">
        <v>4405</v>
      </c>
      <c r="B357" t="str">
        <f>_xlfn.XLOOKUP(A357,'Part A'!$Q:$Q,'Part A'!$F:$F,0,0,1)</f>
        <v>White</v>
      </c>
      <c r="C357" t="str">
        <f>_xlfn.XLOOKUP(A357,'Part A'!$Q:$Q,'Part A'!$E:$E,0,0,1)</f>
        <v>Male</v>
      </c>
      <c r="D357">
        <f>SUMIF('Part A'!$Q:$Q,A357,'Part A'!$G:$G)</f>
        <v>608</v>
      </c>
      <c r="E357">
        <f>COUNTIF('Part A'!$Q:$Q,A357)</f>
        <v>1</v>
      </c>
    </row>
    <row r="358" spans="1:5" x14ac:dyDescent="0.3">
      <c r="A358" t="s">
        <v>4406</v>
      </c>
      <c r="B358" t="str">
        <f>_xlfn.XLOOKUP(A358,'Part A'!$Q:$Q,'Part A'!$F:$F,0,0,1)</f>
        <v>White</v>
      </c>
      <c r="C358" t="str">
        <f>_xlfn.XLOOKUP(A358,'Part A'!$Q:$Q,'Part A'!$E:$E,0,0,1)</f>
        <v>Male</v>
      </c>
      <c r="D358">
        <f>SUMIF('Part A'!$Q:$Q,A358,'Part A'!$G:$G)</f>
        <v>411</v>
      </c>
      <c r="E358">
        <f>COUNTIF('Part A'!$Q:$Q,A358)</f>
        <v>1</v>
      </c>
    </row>
    <row r="359" spans="1:5" x14ac:dyDescent="0.3">
      <c r="A359" t="s">
        <v>4407</v>
      </c>
      <c r="B359" t="str">
        <f>_xlfn.XLOOKUP(A359,'Part A'!$Q:$Q,'Part A'!$F:$F,0,0,1)</f>
        <v>White</v>
      </c>
      <c r="C359" t="str">
        <f>_xlfn.XLOOKUP(A359,'Part A'!$Q:$Q,'Part A'!$E:$E,0,0,1)</f>
        <v>Male</v>
      </c>
      <c r="D359">
        <f>SUMIF('Part A'!$Q:$Q,A359,'Part A'!$G:$G)</f>
        <v>511</v>
      </c>
      <c r="E359">
        <f>COUNTIF('Part A'!$Q:$Q,A359)</f>
        <v>1</v>
      </c>
    </row>
    <row r="360" spans="1:5" x14ac:dyDescent="0.3">
      <c r="A360" t="s">
        <v>4408</v>
      </c>
      <c r="B360" t="str">
        <f>_xlfn.XLOOKUP(A360,'Part A'!$Q:$Q,'Part A'!$F:$F,0,0,1)</f>
        <v>Asian</v>
      </c>
      <c r="C360" t="str">
        <f>_xlfn.XLOOKUP(A360,'Part A'!$Q:$Q,'Part A'!$E:$E,0,0,1)</f>
        <v>Female</v>
      </c>
      <c r="D360">
        <f>SUMIF('Part A'!$Q:$Q,A360,'Part A'!$G:$G)</f>
        <v>159</v>
      </c>
      <c r="E360">
        <f>COUNTIF('Part A'!$Q:$Q,A360)</f>
        <v>1</v>
      </c>
    </row>
    <row r="361" spans="1:5" x14ac:dyDescent="0.3">
      <c r="A361" t="s">
        <v>4409</v>
      </c>
      <c r="B361" t="str">
        <f>_xlfn.XLOOKUP(A361,'Part A'!$Q:$Q,'Part A'!$F:$F,0,0,1)</f>
        <v>Eskimo</v>
      </c>
      <c r="C361" t="str">
        <f>_xlfn.XLOOKUP(A361,'Part A'!$Q:$Q,'Part A'!$E:$E,0,0,1)</f>
        <v>Female</v>
      </c>
      <c r="D361">
        <f>SUMIF('Part A'!$Q:$Q,A361,'Part A'!$G:$G)</f>
        <v>4686</v>
      </c>
      <c r="E361">
        <f>COUNTIF('Part A'!$Q:$Q,A361)</f>
        <v>11</v>
      </c>
    </row>
    <row r="362" spans="1:5" x14ac:dyDescent="0.3">
      <c r="A362" t="s">
        <v>4410</v>
      </c>
      <c r="B362" t="str">
        <f>_xlfn.XLOOKUP(A362,'Part A'!$Q:$Q,'Part A'!$F:$F,0,0,1)</f>
        <v>Asian</v>
      </c>
      <c r="C362" t="str">
        <f>_xlfn.XLOOKUP(A362,'Part A'!$Q:$Q,'Part A'!$E:$E,0,0,1)</f>
        <v>Male</v>
      </c>
      <c r="D362">
        <f>SUMIF('Part A'!$Q:$Q,A362,'Part A'!$G:$G)</f>
        <v>850</v>
      </c>
      <c r="E362">
        <f>COUNTIF('Part A'!$Q:$Q,A362)</f>
        <v>1</v>
      </c>
    </row>
    <row r="363" spans="1:5" x14ac:dyDescent="0.3">
      <c r="A363" t="s">
        <v>4411</v>
      </c>
      <c r="B363" t="str">
        <f>_xlfn.XLOOKUP(A363,'Part A'!$Q:$Q,'Part A'!$F:$F,0,0,1)</f>
        <v>White</v>
      </c>
      <c r="C363" t="str">
        <f>_xlfn.XLOOKUP(A363,'Part A'!$Q:$Q,'Part A'!$E:$E,0,0,1)</f>
        <v>Female</v>
      </c>
      <c r="D363">
        <f>SUMIF('Part A'!$Q:$Q,A363,'Part A'!$G:$G)</f>
        <v>666</v>
      </c>
      <c r="E363">
        <f>COUNTIF('Part A'!$Q:$Q,A363)</f>
        <v>1</v>
      </c>
    </row>
    <row r="364" spans="1:5" x14ac:dyDescent="0.3">
      <c r="A364" t="s">
        <v>4412</v>
      </c>
      <c r="B364" t="str">
        <f>_xlfn.XLOOKUP(A364,'Part A'!$Q:$Q,'Part A'!$F:$F,0,0,1)</f>
        <v>Black or African American</v>
      </c>
      <c r="C364" t="str">
        <f>_xlfn.XLOOKUP(A364,'Part A'!$Q:$Q,'Part A'!$E:$E,0,0,1)</f>
        <v>Female</v>
      </c>
      <c r="D364">
        <f>SUMIF('Part A'!$Q:$Q,A364,'Part A'!$G:$G)</f>
        <v>286</v>
      </c>
      <c r="E364">
        <f>COUNTIF('Part A'!$Q:$Q,A364)</f>
        <v>1</v>
      </c>
    </row>
    <row r="365" spans="1:5" x14ac:dyDescent="0.3">
      <c r="A365" t="s">
        <v>4413</v>
      </c>
      <c r="B365" t="str">
        <f>_xlfn.XLOOKUP(A365,'Part A'!$Q:$Q,'Part A'!$F:$F,0,0,1)</f>
        <v>Black or African American</v>
      </c>
      <c r="C365" t="str">
        <f>_xlfn.XLOOKUP(A365,'Part A'!$Q:$Q,'Part A'!$E:$E,0,0,1)</f>
        <v>Female</v>
      </c>
      <c r="D365">
        <f>SUMIF('Part A'!$Q:$Q,A365,'Part A'!$G:$G)</f>
        <v>656</v>
      </c>
      <c r="E365">
        <f>COUNTIF('Part A'!$Q:$Q,A365)</f>
        <v>1</v>
      </c>
    </row>
    <row r="366" spans="1:5" x14ac:dyDescent="0.3">
      <c r="A366" t="s">
        <v>4414</v>
      </c>
      <c r="B366" t="str">
        <f>_xlfn.XLOOKUP(A366,'Part A'!$Q:$Q,'Part A'!$F:$F,0,0,1)</f>
        <v>White</v>
      </c>
      <c r="C366" t="str">
        <f>_xlfn.XLOOKUP(A366,'Part A'!$Q:$Q,'Part A'!$E:$E,0,0,1)</f>
        <v>Female</v>
      </c>
      <c r="D366">
        <f>SUMIF('Part A'!$Q:$Q,A366,'Part A'!$G:$G)</f>
        <v>659</v>
      </c>
      <c r="E366">
        <f>COUNTIF('Part A'!$Q:$Q,A366)</f>
        <v>1</v>
      </c>
    </row>
    <row r="367" spans="1:5" x14ac:dyDescent="0.3">
      <c r="A367" t="s">
        <v>4415</v>
      </c>
      <c r="B367" t="str">
        <f>_xlfn.XLOOKUP(A367,'Part A'!$Q:$Q,'Part A'!$F:$F,0,0,1)</f>
        <v>White</v>
      </c>
      <c r="C367" t="str">
        <f>_xlfn.XLOOKUP(A367,'Part A'!$Q:$Q,'Part A'!$E:$E,0,0,1)</f>
        <v>Male</v>
      </c>
      <c r="D367">
        <f>SUMIF('Part A'!$Q:$Q,A367,'Part A'!$G:$G)</f>
        <v>754</v>
      </c>
      <c r="E367">
        <f>COUNTIF('Part A'!$Q:$Q,A367)</f>
        <v>1</v>
      </c>
    </row>
    <row r="368" spans="1:5" x14ac:dyDescent="0.3">
      <c r="A368" t="s">
        <v>4416</v>
      </c>
      <c r="B368" t="str">
        <f>_xlfn.XLOOKUP(A368,'Part A'!$Q:$Q,'Part A'!$F:$F,0,0,1)</f>
        <v>Asian</v>
      </c>
      <c r="C368" t="str">
        <f>_xlfn.XLOOKUP(A368,'Part A'!$Q:$Q,'Part A'!$E:$E,0,0,1)</f>
        <v>Female</v>
      </c>
      <c r="D368">
        <f>SUMIF('Part A'!$Q:$Q,A368,'Part A'!$G:$G)</f>
        <v>651</v>
      </c>
      <c r="E368">
        <f>COUNTIF('Part A'!$Q:$Q,A368)</f>
        <v>1</v>
      </c>
    </row>
    <row r="369" spans="1:5" x14ac:dyDescent="0.3">
      <c r="A369" t="s">
        <v>4417</v>
      </c>
      <c r="B369" t="str">
        <f>_xlfn.XLOOKUP(A369,'Part A'!$Q:$Q,'Part A'!$F:$F,0,0,1)</f>
        <v>White</v>
      </c>
      <c r="C369" t="str">
        <f>_xlfn.XLOOKUP(A369,'Part A'!$Q:$Q,'Part A'!$E:$E,0,0,1)</f>
        <v>Male</v>
      </c>
      <c r="D369">
        <f>SUMIF('Part A'!$Q:$Q,A369,'Part A'!$G:$G)</f>
        <v>88</v>
      </c>
      <c r="E369">
        <f>COUNTIF('Part A'!$Q:$Q,A369)</f>
        <v>1</v>
      </c>
    </row>
    <row r="370" spans="1:5" x14ac:dyDescent="0.3">
      <c r="A370" t="s">
        <v>4418</v>
      </c>
      <c r="B370" t="str">
        <f>_xlfn.XLOOKUP(A370,'Part A'!$Q:$Q,'Part A'!$F:$F,0,0,1)</f>
        <v>White</v>
      </c>
      <c r="C370" t="str">
        <f>_xlfn.XLOOKUP(A370,'Part A'!$Q:$Q,'Part A'!$E:$E,0,0,1)</f>
        <v>Male</v>
      </c>
      <c r="D370">
        <f>SUMIF('Part A'!$Q:$Q,A370,'Part A'!$G:$G)</f>
        <v>531</v>
      </c>
      <c r="E370">
        <f>COUNTIF('Part A'!$Q:$Q,A370)</f>
        <v>1</v>
      </c>
    </row>
    <row r="371" spans="1:5" x14ac:dyDescent="0.3">
      <c r="A371" t="s">
        <v>4419</v>
      </c>
      <c r="B371" t="str">
        <f>_xlfn.XLOOKUP(A371,'Part A'!$Q:$Q,'Part A'!$F:$F,0,0,1)</f>
        <v>White</v>
      </c>
      <c r="C371" t="str">
        <f>_xlfn.XLOOKUP(A371,'Part A'!$Q:$Q,'Part A'!$E:$E,0,0,1)</f>
        <v>Female</v>
      </c>
      <c r="D371">
        <f>SUMIF('Part A'!$Q:$Q,A371,'Part A'!$G:$G)</f>
        <v>546</v>
      </c>
      <c r="E371">
        <f>COUNTIF('Part A'!$Q:$Q,A371)</f>
        <v>1</v>
      </c>
    </row>
    <row r="372" spans="1:5" x14ac:dyDescent="0.3">
      <c r="A372" t="s">
        <v>4420</v>
      </c>
      <c r="B372" t="str">
        <f>_xlfn.XLOOKUP(A372,'Part A'!$Q:$Q,'Part A'!$F:$F,0,0,1)</f>
        <v>White</v>
      </c>
      <c r="C372" t="str">
        <f>_xlfn.XLOOKUP(A372,'Part A'!$Q:$Q,'Part A'!$E:$E,0,0,1)</f>
        <v>Male</v>
      </c>
      <c r="D372">
        <f>SUMIF('Part A'!$Q:$Q,A372,'Part A'!$G:$G)</f>
        <v>530</v>
      </c>
      <c r="E372">
        <f>COUNTIF('Part A'!$Q:$Q,A372)</f>
        <v>1</v>
      </c>
    </row>
    <row r="373" spans="1:5" x14ac:dyDescent="0.3">
      <c r="A373" t="s">
        <v>4421</v>
      </c>
      <c r="B373" t="str">
        <f>_xlfn.XLOOKUP(A373,'Part A'!$Q:$Q,'Part A'!$F:$F,0,0,1)</f>
        <v>Asian</v>
      </c>
      <c r="C373" t="str">
        <f>_xlfn.XLOOKUP(A373,'Part A'!$Q:$Q,'Part A'!$E:$E,0,0,1)</f>
        <v>Female</v>
      </c>
      <c r="D373">
        <f>SUMIF('Part A'!$Q:$Q,A373,'Part A'!$G:$G)</f>
        <v>338</v>
      </c>
      <c r="E373">
        <f>COUNTIF('Part A'!$Q:$Q,A373)</f>
        <v>1</v>
      </c>
    </row>
    <row r="374" spans="1:5" x14ac:dyDescent="0.3">
      <c r="A374" t="s">
        <v>4422</v>
      </c>
      <c r="B374" t="str">
        <f>_xlfn.XLOOKUP(A374,'Part A'!$Q:$Q,'Part A'!$F:$F,0,0,1)</f>
        <v>Asian</v>
      </c>
      <c r="C374" t="str">
        <f>_xlfn.XLOOKUP(A374,'Part A'!$Q:$Q,'Part A'!$E:$E,0,0,1)</f>
        <v>Female</v>
      </c>
      <c r="D374">
        <f>SUMIF('Part A'!$Q:$Q,A374,'Part A'!$G:$G)</f>
        <v>33</v>
      </c>
      <c r="E374">
        <f>COUNTIF('Part A'!$Q:$Q,A374)</f>
        <v>1</v>
      </c>
    </row>
    <row r="375" spans="1:5" x14ac:dyDescent="0.3">
      <c r="A375" t="s">
        <v>4423</v>
      </c>
      <c r="B375" t="str">
        <f>_xlfn.XLOOKUP(A375,'Part A'!$Q:$Q,'Part A'!$F:$F,0,0,1)</f>
        <v>White</v>
      </c>
      <c r="C375" t="str">
        <f>_xlfn.XLOOKUP(A375,'Part A'!$Q:$Q,'Part A'!$E:$E,0,0,1)</f>
        <v>Female</v>
      </c>
      <c r="D375">
        <f>SUMIF('Part A'!$Q:$Q,A375,'Part A'!$G:$G)</f>
        <v>271</v>
      </c>
      <c r="E375">
        <f>COUNTIF('Part A'!$Q:$Q,A375)</f>
        <v>1</v>
      </c>
    </row>
    <row r="376" spans="1:5" x14ac:dyDescent="0.3">
      <c r="A376" t="s">
        <v>4424</v>
      </c>
      <c r="B376" t="str">
        <f>_xlfn.XLOOKUP(A376,'Part A'!$Q:$Q,'Part A'!$F:$F,0,0,1)</f>
        <v>White</v>
      </c>
      <c r="C376" t="str">
        <f>_xlfn.XLOOKUP(A376,'Part A'!$Q:$Q,'Part A'!$E:$E,0,0,1)</f>
        <v>Male</v>
      </c>
      <c r="D376">
        <f>SUMIF('Part A'!$Q:$Q,A376,'Part A'!$G:$G)</f>
        <v>437</v>
      </c>
      <c r="E376">
        <f>COUNTIF('Part A'!$Q:$Q,A376)</f>
        <v>1</v>
      </c>
    </row>
    <row r="377" spans="1:5" x14ac:dyDescent="0.3">
      <c r="A377" t="s">
        <v>4425</v>
      </c>
      <c r="B377" t="str">
        <f>_xlfn.XLOOKUP(A377,'Part A'!$Q:$Q,'Part A'!$F:$F,0,0,1)</f>
        <v>White</v>
      </c>
      <c r="C377" t="str">
        <f>_xlfn.XLOOKUP(A377,'Part A'!$Q:$Q,'Part A'!$E:$E,0,0,1)</f>
        <v>Male</v>
      </c>
      <c r="D377">
        <f>SUMIF('Part A'!$Q:$Q,A377,'Part A'!$G:$G)</f>
        <v>400</v>
      </c>
      <c r="E377">
        <f>COUNTIF('Part A'!$Q:$Q,A377)</f>
        <v>1</v>
      </c>
    </row>
    <row r="378" spans="1:5" x14ac:dyDescent="0.3">
      <c r="A378" t="s">
        <v>4426</v>
      </c>
      <c r="B378" t="str">
        <f>_xlfn.XLOOKUP(A378,'Part A'!$Q:$Q,'Part A'!$F:$F,0,0,1)</f>
        <v>Asian</v>
      </c>
      <c r="C378" t="str">
        <f>_xlfn.XLOOKUP(A378,'Part A'!$Q:$Q,'Part A'!$E:$E,0,0,1)</f>
        <v>Male</v>
      </c>
      <c r="D378">
        <f>SUMIF('Part A'!$Q:$Q,A378,'Part A'!$G:$G)</f>
        <v>215</v>
      </c>
      <c r="E378">
        <f>COUNTIF('Part A'!$Q:$Q,A378)</f>
        <v>1</v>
      </c>
    </row>
    <row r="379" spans="1:5" x14ac:dyDescent="0.3">
      <c r="A379" t="s">
        <v>4427</v>
      </c>
      <c r="B379" t="str">
        <f>_xlfn.XLOOKUP(A379,'Part A'!$Q:$Q,'Part A'!$F:$F,0,0,1)</f>
        <v>White</v>
      </c>
      <c r="C379" t="str">
        <f>_xlfn.XLOOKUP(A379,'Part A'!$Q:$Q,'Part A'!$E:$E,0,0,1)</f>
        <v>Male</v>
      </c>
      <c r="D379">
        <f>SUMIF('Part A'!$Q:$Q,A379,'Part A'!$G:$G)</f>
        <v>638</v>
      </c>
      <c r="E379">
        <f>COUNTIF('Part A'!$Q:$Q,A379)</f>
        <v>1</v>
      </c>
    </row>
    <row r="380" spans="1:5" x14ac:dyDescent="0.3">
      <c r="A380" t="s">
        <v>4428</v>
      </c>
      <c r="B380" t="str">
        <f>_xlfn.XLOOKUP(A380,'Part A'!$Q:$Q,'Part A'!$F:$F,0,0,1)</f>
        <v>White</v>
      </c>
      <c r="C380" t="str">
        <f>_xlfn.XLOOKUP(A380,'Part A'!$Q:$Q,'Part A'!$E:$E,0,0,1)</f>
        <v>Male</v>
      </c>
      <c r="D380">
        <f>SUMIF('Part A'!$Q:$Q,A380,'Part A'!$G:$G)</f>
        <v>939</v>
      </c>
      <c r="E380">
        <f>COUNTIF('Part A'!$Q:$Q,A380)</f>
        <v>1</v>
      </c>
    </row>
    <row r="381" spans="1:5" x14ac:dyDescent="0.3">
      <c r="A381" t="s">
        <v>4429</v>
      </c>
      <c r="B381" t="str">
        <f>_xlfn.XLOOKUP(A381,'Part A'!$Q:$Q,'Part A'!$F:$F,0,0,1)</f>
        <v>Asian</v>
      </c>
      <c r="C381" t="str">
        <f>_xlfn.XLOOKUP(A381,'Part A'!$Q:$Q,'Part A'!$E:$E,0,0,1)</f>
        <v>Female</v>
      </c>
      <c r="D381">
        <f>SUMIF('Part A'!$Q:$Q,A381,'Part A'!$G:$G)</f>
        <v>86</v>
      </c>
      <c r="E381">
        <f>COUNTIF('Part A'!$Q:$Q,A381)</f>
        <v>1</v>
      </c>
    </row>
    <row r="382" spans="1:5" x14ac:dyDescent="0.3">
      <c r="A382" t="s">
        <v>4430</v>
      </c>
      <c r="B382" t="str">
        <f>_xlfn.XLOOKUP(A382,'Part A'!$Q:$Q,'Part A'!$F:$F,0,0,1)</f>
        <v>Black or African American</v>
      </c>
      <c r="C382" t="str">
        <f>_xlfn.XLOOKUP(A382,'Part A'!$Q:$Q,'Part A'!$E:$E,0,0,1)</f>
        <v>Female</v>
      </c>
      <c r="D382">
        <f>SUMIF('Part A'!$Q:$Q,A382,'Part A'!$G:$G)</f>
        <v>935</v>
      </c>
      <c r="E382">
        <f>COUNTIF('Part A'!$Q:$Q,A382)</f>
        <v>1</v>
      </c>
    </row>
    <row r="383" spans="1:5" x14ac:dyDescent="0.3">
      <c r="A383" t="s">
        <v>4431</v>
      </c>
      <c r="B383" t="str">
        <f>_xlfn.XLOOKUP(A383,'Part A'!$Q:$Q,'Part A'!$F:$F,0,0,1)</f>
        <v>Black or African American</v>
      </c>
      <c r="C383" t="str">
        <f>_xlfn.XLOOKUP(A383,'Part A'!$Q:$Q,'Part A'!$E:$E,0,0,1)</f>
        <v>Female</v>
      </c>
      <c r="D383">
        <f>SUMIF('Part A'!$Q:$Q,A383,'Part A'!$G:$G)</f>
        <v>319</v>
      </c>
      <c r="E383">
        <f>COUNTIF('Part A'!$Q:$Q,A383)</f>
        <v>1</v>
      </c>
    </row>
    <row r="384" spans="1:5" x14ac:dyDescent="0.3">
      <c r="A384" t="s">
        <v>4432</v>
      </c>
      <c r="B384" t="str">
        <f>_xlfn.XLOOKUP(A384,'Part A'!$Q:$Q,'Part A'!$F:$F,0,0,1)</f>
        <v>Asian</v>
      </c>
      <c r="C384" t="str">
        <f>_xlfn.XLOOKUP(A384,'Part A'!$Q:$Q,'Part A'!$E:$E,0,0,1)</f>
        <v>Male</v>
      </c>
      <c r="D384">
        <f>SUMIF('Part A'!$Q:$Q,A384,'Part A'!$G:$G)</f>
        <v>410</v>
      </c>
      <c r="E384">
        <f>COUNTIF('Part A'!$Q:$Q,A384)</f>
        <v>1</v>
      </c>
    </row>
    <row r="385" spans="1:5" x14ac:dyDescent="0.3">
      <c r="A385" t="s">
        <v>4433</v>
      </c>
      <c r="B385" t="str">
        <f>_xlfn.XLOOKUP(A385,'Part A'!$Q:$Q,'Part A'!$F:$F,0,0,1)</f>
        <v>Asian</v>
      </c>
      <c r="C385" t="str">
        <f>_xlfn.XLOOKUP(A385,'Part A'!$Q:$Q,'Part A'!$E:$E,0,0,1)</f>
        <v>Male</v>
      </c>
      <c r="D385">
        <f>SUMIF('Part A'!$Q:$Q,A385,'Part A'!$G:$G)</f>
        <v>232</v>
      </c>
      <c r="E385">
        <f>COUNTIF('Part A'!$Q:$Q,A385)</f>
        <v>1</v>
      </c>
    </row>
    <row r="386" spans="1:5" x14ac:dyDescent="0.3">
      <c r="A386" t="s">
        <v>4434</v>
      </c>
      <c r="B386" t="str">
        <f>_xlfn.XLOOKUP(A386,'Part A'!$Q:$Q,'Part A'!$F:$F,0,0,1)</f>
        <v>Black or African American</v>
      </c>
      <c r="C386" t="str">
        <f>_xlfn.XLOOKUP(A386,'Part A'!$Q:$Q,'Part A'!$E:$E,0,0,1)</f>
        <v>Male</v>
      </c>
      <c r="D386">
        <f>SUMIF('Part A'!$Q:$Q,A386,'Part A'!$G:$G)</f>
        <v>599</v>
      </c>
      <c r="E386">
        <f>COUNTIF('Part A'!$Q:$Q,A386)</f>
        <v>1</v>
      </c>
    </row>
    <row r="387" spans="1:5" x14ac:dyDescent="0.3">
      <c r="A387" t="s">
        <v>4435</v>
      </c>
      <c r="B387" t="str">
        <f>_xlfn.XLOOKUP(A387,'Part A'!$Q:$Q,'Part A'!$F:$F,0,0,1)</f>
        <v>White</v>
      </c>
      <c r="C387" t="str">
        <f>_xlfn.XLOOKUP(A387,'Part A'!$Q:$Q,'Part A'!$E:$E,0,0,1)</f>
        <v>Male</v>
      </c>
      <c r="D387">
        <f>SUMIF('Part A'!$Q:$Q,A387,'Part A'!$G:$G)</f>
        <v>232</v>
      </c>
      <c r="E387">
        <f>COUNTIF('Part A'!$Q:$Q,A387)</f>
        <v>1</v>
      </c>
    </row>
    <row r="388" spans="1:5" x14ac:dyDescent="0.3">
      <c r="A388" t="s">
        <v>4436</v>
      </c>
      <c r="B388" t="str">
        <f>_xlfn.XLOOKUP(A388,'Part A'!$Q:$Q,'Part A'!$F:$F,0,0,1)</f>
        <v>White</v>
      </c>
      <c r="C388" t="str">
        <f>_xlfn.XLOOKUP(A388,'Part A'!$Q:$Q,'Part A'!$E:$E,0,0,1)</f>
        <v>Female</v>
      </c>
      <c r="D388">
        <f>SUMIF('Part A'!$Q:$Q,A388,'Part A'!$G:$G)</f>
        <v>76</v>
      </c>
      <c r="E388">
        <f>COUNTIF('Part A'!$Q:$Q,A388)</f>
        <v>1</v>
      </c>
    </row>
    <row r="389" spans="1:5" x14ac:dyDescent="0.3">
      <c r="A389" t="s">
        <v>4437</v>
      </c>
      <c r="B389" t="str">
        <f>_xlfn.XLOOKUP(A389,'Part A'!$Q:$Q,'Part A'!$F:$F,0,0,1)</f>
        <v>Black or African American</v>
      </c>
      <c r="C389" t="str">
        <f>_xlfn.XLOOKUP(A389,'Part A'!$Q:$Q,'Part A'!$E:$E,0,0,1)</f>
        <v>Female</v>
      </c>
      <c r="D389">
        <f>SUMIF('Part A'!$Q:$Q,A389,'Part A'!$G:$G)</f>
        <v>3345</v>
      </c>
      <c r="E389">
        <f>COUNTIF('Part A'!$Q:$Q,A389)</f>
        <v>9</v>
      </c>
    </row>
    <row r="390" spans="1:5" x14ac:dyDescent="0.3">
      <c r="A390" t="s">
        <v>4438</v>
      </c>
      <c r="B390" t="str">
        <f>_xlfn.XLOOKUP(A390,'Part A'!$Q:$Q,'Part A'!$F:$F,0,0,1)</f>
        <v>Taiwanese</v>
      </c>
      <c r="C390" t="str">
        <f>_xlfn.XLOOKUP(A390,'Part A'!$Q:$Q,'Part A'!$E:$E,0,0,1)</f>
        <v>Male</v>
      </c>
      <c r="D390">
        <f>SUMIF('Part A'!$Q:$Q,A390,'Part A'!$G:$G)</f>
        <v>2554</v>
      </c>
      <c r="E390">
        <f>COUNTIF('Part A'!$Q:$Q,A390)</f>
        <v>6</v>
      </c>
    </row>
    <row r="391" spans="1:5" x14ac:dyDescent="0.3">
      <c r="A391" t="s">
        <v>4439</v>
      </c>
      <c r="B391" t="str">
        <f>_xlfn.XLOOKUP(A391,'Part A'!$Q:$Q,'Part A'!$F:$F,0,0,1)</f>
        <v>Asian</v>
      </c>
      <c r="C391" t="str">
        <f>_xlfn.XLOOKUP(A391,'Part A'!$Q:$Q,'Part A'!$E:$E,0,0,1)</f>
        <v>Male</v>
      </c>
      <c r="D391">
        <f>SUMIF('Part A'!$Q:$Q,A391,'Part A'!$G:$G)</f>
        <v>964</v>
      </c>
      <c r="E391">
        <f>COUNTIF('Part A'!$Q:$Q,A391)</f>
        <v>1</v>
      </c>
    </row>
    <row r="392" spans="1:5" x14ac:dyDescent="0.3">
      <c r="A392" t="s">
        <v>4058</v>
      </c>
      <c r="B392" t="str">
        <f>_xlfn.XLOOKUP(A392,'Part A'!$Q:$Q,'Part A'!$F:$F,0,0,1)</f>
        <v>Black or African American</v>
      </c>
      <c r="C392" t="str">
        <f>_xlfn.XLOOKUP(A392,'Part A'!$Q:$Q,'Part A'!$E:$E,0,0,1)</f>
        <v>Female</v>
      </c>
      <c r="D392">
        <f>SUMIF('Part A'!$Q:$Q,A392,'Part A'!$G:$G)</f>
        <v>818</v>
      </c>
      <c r="E392">
        <f>COUNTIF('Part A'!$Q:$Q,A392)</f>
        <v>1</v>
      </c>
    </row>
    <row r="393" spans="1:5" x14ac:dyDescent="0.3">
      <c r="A393" t="s">
        <v>4440</v>
      </c>
      <c r="B393" t="str">
        <f>_xlfn.XLOOKUP(A393,'Part A'!$Q:$Q,'Part A'!$F:$F,0,0,1)</f>
        <v>Black or African American</v>
      </c>
      <c r="C393" t="str">
        <f>_xlfn.XLOOKUP(A393,'Part A'!$Q:$Q,'Part A'!$E:$E,0,0,1)</f>
        <v>Male</v>
      </c>
      <c r="D393">
        <f>SUMIF('Part A'!$Q:$Q,A393,'Part A'!$G:$G)</f>
        <v>973</v>
      </c>
      <c r="E393">
        <f>COUNTIF('Part A'!$Q:$Q,A393)</f>
        <v>1</v>
      </c>
    </row>
    <row r="394" spans="1:5" x14ac:dyDescent="0.3">
      <c r="A394" t="s">
        <v>4441</v>
      </c>
      <c r="B394" t="str">
        <f>_xlfn.XLOOKUP(A394,'Part A'!$Q:$Q,'Part A'!$F:$F,0,0,1)</f>
        <v>White</v>
      </c>
      <c r="C394" t="str">
        <f>_xlfn.XLOOKUP(A394,'Part A'!$Q:$Q,'Part A'!$E:$E,0,0,1)</f>
        <v>Male</v>
      </c>
      <c r="D394">
        <f>SUMIF('Part A'!$Q:$Q,A394,'Part A'!$G:$G)</f>
        <v>331</v>
      </c>
      <c r="E394">
        <f>COUNTIF('Part A'!$Q:$Q,A394)</f>
        <v>1</v>
      </c>
    </row>
    <row r="395" spans="1:5" x14ac:dyDescent="0.3">
      <c r="A395" t="s">
        <v>4442</v>
      </c>
      <c r="B395" t="str">
        <f>_xlfn.XLOOKUP(A395,'Part A'!$Q:$Q,'Part A'!$F:$F,0,0,1)</f>
        <v>Black or African American</v>
      </c>
      <c r="C395" t="str">
        <f>_xlfn.XLOOKUP(A395,'Part A'!$Q:$Q,'Part A'!$E:$E,0,0,1)</f>
        <v>Female</v>
      </c>
      <c r="D395">
        <f>SUMIF('Part A'!$Q:$Q,A395,'Part A'!$G:$G)</f>
        <v>392</v>
      </c>
      <c r="E395">
        <f>COUNTIF('Part A'!$Q:$Q,A395)</f>
        <v>1</v>
      </c>
    </row>
    <row r="396" spans="1:5" x14ac:dyDescent="0.3">
      <c r="A396" t="s">
        <v>4443</v>
      </c>
      <c r="B396" t="str">
        <f>_xlfn.XLOOKUP(A396,'Part A'!$Q:$Q,'Part A'!$F:$F,0,0,1)</f>
        <v>Black or African American</v>
      </c>
      <c r="C396" t="str">
        <f>_xlfn.XLOOKUP(A396,'Part A'!$Q:$Q,'Part A'!$E:$E,0,0,1)</f>
        <v>Female</v>
      </c>
      <c r="D396">
        <f>SUMIF('Part A'!$Q:$Q,A396,'Part A'!$G:$G)</f>
        <v>3660</v>
      </c>
      <c r="E396">
        <f>COUNTIF('Part A'!$Q:$Q,A396)</f>
        <v>7</v>
      </c>
    </row>
    <row r="397" spans="1:5" x14ac:dyDescent="0.3">
      <c r="A397" t="s">
        <v>4444</v>
      </c>
      <c r="B397" t="str">
        <f>_xlfn.XLOOKUP(A397,'Part A'!$Q:$Q,'Part A'!$F:$F,0,0,1)</f>
        <v>White</v>
      </c>
      <c r="C397" t="str">
        <f>_xlfn.XLOOKUP(A397,'Part A'!$Q:$Q,'Part A'!$E:$E,0,0,1)</f>
        <v>Male</v>
      </c>
      <c r="D397">
        <f>SUMIF('Part A'!$Q:$Q,A397,'Part A'!$G:$G)</f>
        <v>910</v>
      </c>
      <c r="E397">
        <f>COUNTIF('Part A'!$Q:$Q,A397)</f>
        <v>1</v>
      </c>
    </row>
    <row r="398" spans="1:5" x14ac:dyDescent="0.3">
      <c r="A398" t="s">
        <v>4445</v>
      </c>
      <c r="B398" t="str">
        <f>_xlfn.XLOOKUP(A398,'Part A'!$Q:$Q,'Part A'!$F:$F,0,0,1)</f>
        <v>Black or African American</v>
      </c>
      <c r="C398" t="str">
        <f>_xlfn.XLOOKUP(A398,'Part A'!$Q:$Q,'Part A'!$E:$E,0,0,1)</f>
        <v>Male</v>
      </c>
      <c r="D398">
        <f>SUMIF('Part A'!$Q:$Q,A398,'Part A'!$G:$G)</f>
        <v>101</v>
      </c>
      <c r="E398">
        <f>COUNTIF('Part A'!$Q:$Q,A398)</f>
        <v>1</v>
      </c>
    </row>
    <row r="399" spans="1:5" x14ac:dyDescent="0.3">
      <c r="A399" t="s">
        <v>4446</v>
      </c>
      <c r="B399" t="str">
        <f>_xlfn.XLOOKUP(A399,'Part A'!$Q:$Q,'Part A'!$F:$F,0,0,1)</f>
        <v>Asian</v>
      </c>
      <c r="C399" t="str">
        <f>_xlfn.XLOOKUP(A399,'Part A'!$Q:$Q,'Part A'!$E:$E,0,0,1)</f>
        <v>Male</v>
      </c>
      <c r="D399">
        <f>SUMIF('Part A'!$Q:$Q,A399,'Part A'!$G:$G)</f>
        <v>473</v>
      </c>
      <c r="E399">
        <f>COUNTIF('Part A'!$Q:$Q,A399)</f>
        <v>1</v>
      </c>
    </row>
    <row r="400" spans="1:5" x14ac:dyDescent="0.3">
      <c r="A400" t="s">
        <v>4447</v>
      </c>
      <c r="B400" t="str">
        <f>_xlfn.XLOOKUP(A400,'Part A'!$Q:$Q,'Part A'!$F:$F,0,0,1)</f>
        <v>White</v>
      </c>
      <c r="C400" t="str">
        <f>_xlfn.XLOOKUP(A400,'Part A'!$Q:$Q,'Part A'!$E:$E,0,0,1)</f>
        <v>Male</v>
      </c>
      <c r="D400">
        <f>SUMIF('Part A'!$Q:$Q,A400,'Part A'!$G:$G)</f>
        <v>160</v>
      </c>
      <c r="E400">
        <f>COUNTIF('Part A'!$Q:$Q,A400)</f>
        <v>1</v>
      </c>
    </row>
    <row r="401" spans="1:5" x14ac:dyDescent="0.3">
      <c r="A401" t="s">
        <v>4448</v>
      </c>
      <c r="B401" t="str">
        <f>_xlfn.XLOOKUP(A401,'Part A'!$Q:$Q,'Part A'!$F:$F,0,0,1)</f>
        <v>Asian</v>
      </c>
      <c r="C401" t="str">
        <f>_xlfn.XLOOKUP(A401,'Part A'!$Q:$Q,'Part A'!$E:$E,0,0,1)</f>
        <v>Female</v>
      </c>
      <c r="D401">
        <f>SUMIF('Part A'!$Q:$Q,A401,'Part A'!$G:$G)</f>
        <v>721</v>
      </c>
      <c r="E401">
        <f>COUNTIF('Part A'!$Q:$Q,A401)</f>
        <v>1</v>
      </c>
    </row>
    <row r="402" spans="1:5" x14ac:dyDescent="0.3">
      <c r="A402" t="s">
        <v>4449</v>
      </c>
      <c r="B402" t="str">
        <f>_xlfn.XLOOKUP(A402,'Part A'!$Q:$Q,'Part A'!$F:$F,0,0,1)</f>
        <v>Asian</v>
      </c>
      <c r="C402" t="str">
        <f>_xlfn.XLOOKUP(A402,'Part A'!$Q:$Q,'Part A'!$E:$E,0,0,1)</f>
        <v>Female</v>
      </c>
      <c r="D402">
        <f>SUMIF('Part A'!$Q:$Q,A402,'Part A'!$G:$G)</f>
        <v>808</v>
      </c>
      <c r="E402">
        <f>COUNTIF('Part A'!$Q:$Q,A402)</f>
        <v>2</v>
      </c>
    </row>
    <row r="403" spans="1:5" x14ac:dyDescent="0.3">
      <c r="A403" t="s">
        <v>4450</v>
      </c>
      <c r="B403" t="str">
        <f>_xlfn.XLOOKUP(A403,'Part A'!$Q:$Q,'Part A'!$F:$F,0,0,1)</f>
        <v>Black or African American</v>
      </c>
      <c r="C403" t="str">
        <f>_xlfn.XLOOKUP(A403,'Part A'!$Q:$Q,'Part A'!$E:$E,0,0,1)</f>
        <v>Female</v>
      </c>
      <c r="D403">
        <f>SUMIF('Part A'!$Q:$Q,A403,'Part A'!$G:$G)</f>
        <v>37</v>
      </c>
      <c r="E403">
        <f>COUNTIF('Part A'!$Q:$Q,A403)</f>
        <v>1</v>
      </c>
    </row>
    <row r="404" spans="1:5" x14ac:dyDescent="0.3">
      <c r="A404" t="s">
        <v>4451</v>
      </c>
      <c r="B404" t="str">
        <f>_xlfn.XLOOKUP(A404,'Part A'!$Q:$Q,'Part A'!$F:$F,0,0,1)</f>
        <v>White</v>
      </c>
      <c r="C404" t="str">
        <f>_xlfn.XLOOKUP(A404,'Part A'!$Q:$Q,'Part A'!$E:$E,0,0,1)</f>
        <v>Female</v>
      </c>
      <c r="D404">
        <f>SUMIF('Part A'!$Q:$Q,A404,'Part A'!$G:$G)</f>
        <v>366</v>
      </c>
      <c r="E404">
        <f>COUNTIF('Part A'!$Q:$Q,A404)</f>
        <v>1</v>
      </c>
    </row>
    <row r="405" spans="1:5" x14ac:dyDescent="0.3">
      <c r="A405" t="s">
        <v>4059</v>
      </c>
      <c r="B405" t="str">
        <f>_xlfn.XLOOKUP(A405,'Part A'!$Q:$Q,'Part A'!$F:$F,0,0,1)</f>
        <v>Asian</v>
      </c>
      <c r="C405" t="str">
        <f>_xlfn.XLOOKUP(A405,'Part A'!$Q:$Q,'Part A'!$E:$E,0,0,1)</f>
        <v>Female</v>
      </c>
      <c r="D405">
        <f>SUMIF('Part A'!$Q:$Q,A405,'Part A'!$G:$G)</f>
        <v>385</v>
      </c>
      <c r="E405">
        <f>COUNTIF('Part A'!$Q:$Q,A405)</f>
        <v>1</v>
      </c>
    </row>
    <row r="406" spans="1:5" x14ac:dyDescent="0.3">
      <c r="A406" t="s">
        <v>4452</v>
      </c>
      <c r="B406" t="str">
        <f>_xlfn.XLOOKUP(A406,'Part A'!$Q:$Q,'Part A'!$F:$F,0,0,1)</f>
        <v>Black or African American</v>
      </c>
      <c r="C406" t="str">
        <f>_xlfn.XLOOKUP(A406,'Part A'!$Q:$Q,'Part A'!$E:$E,0,0,1)</f>
        <v>Female</v>
      </c>
      <c r="D406">
        <f>SUMIF('Part A'!$Q:$Q,A406,'Part A'!$G:$G)</f>
        <v>318</v>
      </c>
      <c r="E406">
        <f>COUNTIF('Part A'!$Q:$Q,A406)</f>
        <v>1</v>
      </c>
    </row>
    <row r="407" spans="1:5" x14ac:dyDescent="0.3">
      <c r="A407" t="s">
        <v>4453</v>
      </c>
      <c r="B407" t="str">
        <f>_xlfn.XLOOKUP(A407,'Part A'!$Q:$Q,'Part A'!$F:$F,0,0,1)</f>
        <v>White</v>
      </c>
      <c r="C407" t="str">
        <f>_xlfn.XLOOKUP(A407,'Part A'!$Q:$Q,'Part A'!$E:$E,0,0,1)</f>
        <v>Female</v>
      </c>
      <c r="D407">
        <f>SUMIF('Part A'!$Q:$Q,A407,'Part A'!$G:$G)</f>
        <v>612</v>
      </c>
      <c r="E407">
        <f>COUNTIF('Part A'!$Q:$Q,A407)</f>
        <v>1</v>
      </c>
    </row>
    <row r="408" spans="1:5" x14ac:dyDescent="0.3">
      <c r="A408" t="s">
        <v>4454</v>
      </c>
      <c r="B408" t="str">
        <f>_xlfn.XLOOKUP(A408,'Part A'!$Q:$Q,'Part A'!$F:$F,0,0,1)</f>
        <v>Black or African American</v>
      </c>
      <c r="C408" t="str">
        <f>_xlfn.XLOOKUP(A408,'Part A'!$Q:$Q,'Part A'!$E:$E,0,0,1)</f>
        <v>Female</v>
      </c>
      <c r="D408">
        <f>SUMIF('Part A'!$Q:$Q,A408,'Part A'!$G:$G)</f>
        <v>218</v>
      </c>
      <c r="E408">
        <f>COUNTIF('Part A'!$Q:$Q,A408)</f>
        <v>1</v>
      </c>
    </row>
    <row r="409" spans="1:5" x14ac:dyDescent="0.3">
      <c r="A409" t="s">
        <v>4455</v>
      </c>
      <c r="B409" t="str">
        <f>_xlfn.XLOOKUP(A409,'Part A'!$Q:$Q,'Part A'!$F:$F,0,0,1)</f>
        <v>White</v>
      </c>
      <c r="C409" t="str">
        <f>_xlfn.XLOOKUP(A409,'Part A'!$Q:$Q,'Part A'!$E:$E,0,0,1)</f>
        <v>Male</v>
      </c>
      <c r="D409">
        <f>SUMIF('Part A'!$Q:$Q,A409,'Part A'!$G:$G)</f>
        <v>101</v>
      </c>
      <c r="E409">
        <f>COUNTIF('Part A'!$Q:$Q,A409)</f>
        <v>1</v>
      </c>
    </row>
    <row r="410" spans="1:5" x14ac:dyDescent="0.3">
      <c r="A410" t="s">
        <v>4456</v>
      </c>
      <c r="B410" t="str">
        <f>_xlfn.XLOOKUP(A410,'Part A'!$Q:$Q,'Part A'!$F:$F,0,0,1)</f>
        <v>White</v>
      </c>
      <c r="C410" t="str">
        <f>_xlfn.XLOOKUP(A410,'Part A'!$Q:$Q,'Part A'!$E:$E,0,0,1)</f>
        <v>Female</v>
      </c>
      <c r="D410">
        <f>SUMIF('Part A'!$Q:$Q,A410,'Part A'!$G:$G)</f>
        <v>395</v>
      </c>
      <c r="E410">
        <f>COUNTIF('Part A'!$Q:$Q,A410)</f>
        <v>1</v>
      </c>
    </row>
    <row r="411" spans="1:5" x14ac:dyDescent="0.3">
      <c r="A411" t="s">
        <v>4457</v>
      </c>
      <c r="B411" t="str">
        <f>_xlfn.XLOOKUP(A411,'Part A'!$Q:$Q,'Part A'!$F:$F,0,0,1)</f>
        <v>White</v>
      </c>
      <c r="C411" t="str">
        <f>_xlfn.XLOOKUP(A411,'Part A'!$Q:$Q,'Part A'!$E:$E,0,0,1)</f>
        <v>Male</v>
      </c>
      <c r="D411">
        <f>SUMIF('Part A'!$Q:$Q,A411,'Part A'!$G:$G)</f>
        <v>396</v>
      </c>
      <c r="E411">
        <f>COUNTIF('Part A'!$Q:$Q,A411)</f>
        <v>1</v>
      </c>
    </row>
    <row r="412" spans="1:5" x14ac:dyDescent="0.3">
      <c r="A412" t="s">
        <v>4458</v>
      </c>
      <c r="B412" t="str">
        <f>_xlfn.XLOOKUP(A412,'Part A'!$Q:$Q,'Part A'!$F:$F,0,0,1)</f>
        <v>White</v>
      </c>
      <c r="C412" t="str">
        <f>_xlfn.XLOOKUP(A412,'Part A'!$Q:$Q,'Part A'!$E:$E,0,0,1)</f>
        <v>Male</v>
      </c>
      <c r="D412">
        <f>SUMIF('Part A'!$Q:$Q,A412,'Part A'!$G:$G)</f>
        <v>943</v>
      </c>
      <c r="E412">
        <f>COUNTIF('Part A'!$Q:$Q,A412)</f>
        <v>1</v>
      </c>
    </row>
    <row r="413" spans="1:5" x14ac:dyDescent="0.3">
      <c r="A413" t="s">
        <v>4459</v>
      </c>
      <c r="B413" t="str">
        <f>_xlfn.XLOOKUP(A413,'Part A'!$Q:$Q,'Part A'!$F:$F,0,0,1)</f>
        <v>Black or African American</v>
      </c>
      <c r="C413" t="str">
        <f>_xlfn.XLOOKUP(A413,'Part A'!$Q:$Q,'Part A'!$E:$E,0,0,1)</f>
        <v>Female</v>
      </c>
      <c r="D413">
        <f>SUMIF('Part A'!$Q:$Q,A413,'Part A'!$G:$G)</f>
        <v>868</v>
      </c>
      <c r="E413">
        <f>COUNTIF('Part A'!$Q:$Q,A413)</f>
        <v>1</v>
      </c>
    </row>
    <row r="414" spans="1:5" x14ac:dyDescent="0.3">
      <c r="A414" t="s">
        <v>4460</v>
      </c>
      <c r="B414" t="str">
        <f>_xlfn.XLOOKUP(A414,'Part A'!$Q:$Q,'Part A'!$F:$F,0,0,1)</f>
        <v>Mexican</v>
      </c>
      <c r="C414" t="str">
        <f>_xlfn.XLOOKUP(A414,'Part A'!$Q:$Q,'Part A'!$E:$E,0,0,1)</f>
        <v>Male</v>
      </c>
      <c r="D414">
        <f>SUMIF('Part A'!$Q:$Q,A414,'Part A'!$G:$G)</f>
        <v>130</v>
      </c>
      <c r="E414">
        <f>COUNTIF('Part A'!$Q:$Q,A414)</f>
        <v>1</v>
      </c>
    </row>
    <row r="415" spans="1:5" x14ac:dyDescent="0.3">
      <c r="A415" t="s">
        <v>4461</v>
      </c>
      <c r="B415" t="str">
        <f>_xlfn.XLOOKUP(A415,'Part A'!$Q:$Q,'Part A'!$F:$F,0,0,1)</f>
        <v>Mexican</v>
      </c>
      <c r="C415" t="str">
        <f>_xlfn.XLOOKUP(A415,'Part A'!$Q:$Q,'Part A'!$E:$E,0,0,1)</f>
        <v>Female</v>
      </c>
      <c r="D415">
        <f>SUMIF('Part A'!$Q:$Q,A415,'Part A'!$G:$G)</f>
        <v>640</v>
      </c>
      <c r="E415">
        <f>COUNTIF('Part A'!$Q:$Q,A415)</f>
        <v>1</v>
      </c>
    </row>
    <row r="416" spans="1:5" x14ac:dyDescent="0.3">
      <c r="A416" t="s">
        <v>4462</v>
      </c>
      <c r="B416" t="str">
        <f>_xlfn.XLOOKUP(A416,'Part A'!$Q:$Q,'Part A'!$F:$F,0,0,1)</f>
        <v>Mexican</v>
      </c>
      <c r="C416" t="str">
        <f>_xlfn.XLOOKUP(A416,'Part A'!$Q:$Q,'Part A'!$E:$E,0,0,1)</f>
        <v>Female</v>
      </c>
      <c r="D416">
        <f>SUMIF('Part A'!$Q:$Q,A416,'Part A'!$G:$G)</f>
        <v>231</v>
      </c>
      <c r="E416">
        <f>COUNTIF('Part A'!$Q:$Q,A416)</f>
        <v>1</v>
      </c>
    </row>
    <row r="417" spans="1:5" x14ac:dyDescent="0.3">
      <c r="A417" t="s">
        <v>4463</v>
      </c>
      <c r="B417" t="str">
        <f>_xlfn.XLOOKUP(A417,'Part A'!$Q:$Q,'Part A'!$F:$F,0,0,1)</f>
        <v>White</v>
      </c>
      <c r="C417" t="str">
        <f>_xlfn.XLOOKUP(A417,'Part A'!$Q:$Q,'Part A'!$E:$E,0,0,1)</f>
        <v>Female</v>
      </c>
      <c r="D417">
        <f>SUMIF('Part A'!$Q:$Q,A417,'Part A'!$G:$G)</f>
        <v>480</v>
      </c>
      <c r="E417">
        <f>COUNTIF('Part A'!$Q:$Q,A417)</f>
        <v>1</v>
      </c>
    </row>
    <row r="418" spans="1:5" x14ac:dyDescent="0.3">
      <c r="A418" t="s">
        <v>4464</v>
      </c>
      <c r="B418" t="str">
        <f>_xlfn.XLOOKUP(A418,'Part A'!$Q:$Q,'Part A'!$F:$F,0,0,1)</f>
        <v>White</v>
      </c>
      <c r="C418" t="str">
        <f>_xlfn.XLOOKUP(A418,'Part A'!$Q:$Q,'Part A'!$E:$E,0,0,1)</f>
        <v>Male</v>
      </c>
      <c r="D418">
        <f>SUMIF('Part A'!$Q:$Q,A418,'Part A'!$G:$G)</f>
        <v>537</v>
      </c>
      <c r="E418">
        <f>COUNTIF('Part A'!$Q:$Q,A418)</f>
        <v>1</v>
      </c>
    </row>
    <row r="419" spans="1:5" x14ac:dyDescent="0.3">
      <c r="A419" t="s">
        <v>4465</v>
      </c>
      <c r="B419" t="str">
        <f>_xlfn.XLOOKUP(A419,'Part A'!$Q:$Q,'Part A'!$F:$F,0,0,1)</f>
        <v>White</v>
      </c>
      <c r="C419" t="str">
        <f>_xlfn.XLOOKUP(A419,'Part A'!$Q:$Q,'Part A'!$E:$E,0,0,1)</f>
        <v>Female</v>
      </c>
      <c r="D419">
        <f>SUMIF('Part A'!$Q:$Q,A419,'Part A'!$G:$G)</f>
        <v>614</v>
      </c>
      <c r="E419">
        <f>COUNTIF('Part A'!$Q:$Q,A419)</f>
        <v>1</v>
      </c>
    </row>
    <row r="420" spans="1:5" x14ac:dyDescent="0.3">
      <c r="A420" t="s">
        <v>4466</v>
      </c>
      <c r="B420" t="str">
        <f>_xlfn.XLOOKUP(A420,'Part A'!$Q:$Q,'Part A'!$F:$F,0,0,1)</f>
        <v>White</v>
      </c>
      <c r="C420" t="str">
        <f>_xlfn.XLOOKUP(A420,'Part A'!$Q:$Q,'Part A'!$E:$E,0,0,1)</f>
        <v>Female</v>
      </c>
      <c r="D420">
        <f>SUMIF('Part A'!$Q:$Q,A420,'Part A'!$G:$G)</f>
        <v>218</v>
      </c>
      <c r="E420">
        <f>COUNTIF('Part A'!$Q:$Q,A420)</f>
        <v>1</v>
      </c>
    </row>
    <row r="421" spans="1:5" x14ac:dyDescent="0.3">
      <c r="A421" t="s">
        <v>4467</v>
      </c>
      <c r="B421" t="str">
        <f>_xlfn.XLOOKUP(A421,'Part A'!$Q:$Q,'Part A'!$F:$F,0,0,1)</f>
        <v>White</v>
      </c>
      <c r="C421" t="str">
        <f>_xlfn.XLOOKUP(A421,'Part A'!$Q:$Q,'Part A'!$E:$E,0,0,1)</f>
        <v>Male</v>
      </c>
      <c r="D421">
        <f>SUMIF('Part A'!$Q:$Q,A421,'Part A'!$G:$G)</f>
        <v>364</v>
      </c>
      <c r="E421">
        <f>COUNTIF('Part A'!$Q:$Q,A421)</f>
        <v>1</v>
      </c>
    </row>
    <row r="422" spans="1:5" x14ac:dyDescent="0.3">
      <c r="A422" t="s">
        <v>4468</v>
      </c>
      <c r="B422" t="str">
        <f>_xlfn.XLOOKUP(A422,'Part A'!$Q:$Q,'Part A'!$F:$F,0,0,1)</f>
        <v>White</v>
      </c>
      <c r="C422" t="str">
        <f>_xlfn.XLOOKUP(A422,'Part A'!$Q:$Q,'Part A'!$E:$E,0,0,1)</f>
        <v>Female</v>
      </c>
      <c r="D422">
        <f>SUMIF('Part A'!$Q:$Q,A422,'Part A'!$G:$G)</f>
        <v>756</v>
      </c>
      <c r="E422">
        <f>COUNTIF('Part A'!$Q:$Q,A422)</f>
        <v>1</v>
      </c>
    </row>
    <row r="423" spans="1:5" x14ac:dyDescent="0.3">
      <c r="A423" t="s">
        <v>4469</v>
      </c>
      <c r="B423" t="str">
        <f>_xlfn.XLOOKUP(A423,'Part A'!$Q:$Q,'Part A'!$F:$F,0,0,1)</f>
        <v>White</v>
      </c>
      <c r="C423" t="str">
        <f>_xlfn.XLOOKUP(A423,'Part A'!$Q:$Q,'Part A'!$E:$E,0,0,1)</f>
        <v>Male</v>
      </c>
      <c r="D423">
        <f>SUMIF('Part A'!$Q:$Q,A423,'Part A'!$G:$G)</f>
        <v>342</v>
      </c>
      <c r="E423">
        <f>COUNTIF('Part A'!$Q:$Q,A423)</f>
        <v>1</v>
      </c>
    </row>
    <row r="424" spans="1:5" x14ac:dyDescent="0.3">
      <c r="A424" t="s">
        <v>4470</v>
      </c>
      <c r="B424" t="str">
        <f>_xlfn.XLOOKUP(A424,'Part A'!$Q:$Q,'Part A'!$F:$F,0,0,1)</f>
        <v>Asian</v>
      </c>
      <c r="C424" t="str">
        <f>_xlfn.XLOOKUP(A424,'Part A'!$Q:$Q,'Part A'!$E:$E,0,0,1)</f>
        <v>Female</v>
      </c>
      <c r="D424">
        <f>SUMIF('Part A'!$Q:$Q,A424,'Part A'!$G:$G)</f>
        <v>520</v>
      </c>
      <c r="E424">
        <f>COUNTIF('Part A'!$Q:$Q,A424)</f>
        <v>1</v>
      </c>
    </row>
    <row r="425" spans="1:5" x14ac:dyDescent="0.3">
      <c r="A425" t="s">
        <v>4471</v>
      </c>
      <c r="B425" t="str">
        <f>_xlfn.XLOOKUP(A425,'Part A'!$Q:$Q,'Part A'!$F:$F,0,0,1)</f>
        <v>White</v>
      </c>
      <c r="C425" t="str">
        <f>_xlfn.XLOOKUP(A425,'Part A'!$Q:$Q,'Part A'!$E:$E,0,0,1)</f>
        <v>Female</v>
      </c>
      <c r="D425">
        <f>SUMIF('Part A'!$Q:$Q,A425,'Part A'!$G:$G)</f>
        <v>836</v>
      </c>
      <c r="E425">
        <f>COUNTIF('Part A'!$Q:$Q,A425)</f>
        <v>1</v>
      </c>
    </row>
    <row r="426" spans="1:5" x14ac:dyDescent="0.3">
      <c r="A426" t="s">
        <v>4472</v>
      </c>
      <c r="B426" t="str">
        <f>_xlfn.XLOOKUP(A426,'Part A'!$Q:$Q,'Part A'!$F:$F,0,0,1)</f>
        <v>Asian</v>
      </c>
      <c r="C426" t="str">
        <f>_xlfn.XLOOKUP(A426,'Part A'!$Q:$Q,'Part A'!$E:$E,0,0,1)</f>
        <v>Female</v>
      </c>
      <c r="D426">
        <f>SUMIF('Part A'!$Q:$Q,A426,'Part A'!$G:$G)</f>
        <v>10188</v>
      </c>
      <c r="E426">
        <f>COUNTIF('Part A'!$Q:$Q,A426)</f>
        <v>21</v>
      </c>
    </row>
    <row r="427" spans="1:5" x14ac:dyDescent="0.3">
      <c r="A427" t="s">
        <v>4473</v>
      </c>
      <c r="B427" t="str">
        <f>_xlfn.XLOOKUP(A427,'Part A'!$Q:$Q,'Part A'!$F:$F,0,0,1)</f>
        <v>White</v>
      </c>
      <c r="C427" t="str">
        <f>_xlfn.XLOOKUP(A427,'Part A'!$Q:$Q,'Part A'!$E:$E,0,0,1)</f>
        <v>Female</v>
      </c>
      <c r="D427">
        <f>SUMIF('Part A'!$Q:$Q,A427,'Part A'!$G:$G)</f>
        <v>469</v>
      </c>
      <c r="E427">
        <f>COUNTIF('Part A'!$Q:$Q,A427)</f>
        <v>1</v>
      </c>
    </row>
    <row r="428" spans="1:5" x14ac:dyDescent="0.3">
      <c r="A428" t="s">
        <v>4474</v>
      </c>
      <c r="B428" t="str">
        <f>_xlfn.XLOOKUP(A428,'Part A'!$Q:$Q,'Part A'!$F:$F,0,0,1)</f>
        <v>Black or African American</v>
      </c>
      <c r="C428" t="str">
        <f>_xlfn.XLOOKUP(A428,'Part A'!$Q:$Q,'Part A'!$E:$E,0,0,1)</f>
        <v>Female</v>
      </c>
      <c r="D428">
        <f>SUMIF('Part A'!$Q:$Q,A428,'Part A'!$G:$G)</f>
        <v>221</v>
      </c>
      <c r="E428">
        <f>COUNTIF('Part A'!$Q:$Q,A428)</f>
        <v>1</v>
      </c>
    </row>
    <row r="429" spans="1:5" x14ac:dyDescent="0.3">
      <c r="A429" t="s">
        <v>4475</v>
      </c>
      <c r="B429" t="str">
        <f>_xlfn.XLOOKUP(A429,'Part A'!$Q:$Q,'Part A'!$F:$F,0,0,1)</f>
        <v>White</v>
      </c>
      <c r="C429" t="str">
        <f>_xlfn.XLOOKUP(A429,'Part A'!$Q:$Q,'Part A'!$E:$E,0,0,1)</f>
        <v>Female</v>
      </c>
      <c r="D429">
        <f>SUMIF('Part A'!$Q:$Q,A429,'Part A'!$G:$G)</f>
        <v>96</v>
      </c>
      <c r="E429">
        <f>COUNTIF('Part A'!$Q:$Q,A429)</f>
        <v>1</v>
      </c>
    </row>
    <row r="430" spans="1:5" x14ac:dyDescent="0.3">
      <c r="A430" t="s">
        <v>4476</v>
      </c>
      <c r="B430" t="str">
        <f>_xlfn.XLOOKUP(A430,'Part A'!$Q:$Q,'Part A'!$F:$F,0,0,1)</f>
        <v>White</v>
      </c>
      <c r="C430" t="str">
        <f>_xlfn.XLOOKUP(A430,'Part A'!$Q:$Q,'Part A'!$E:$E,0,0,1)</f>
        <v>Female</v>
      </c>
      <c r="D430">
        <f>SUMIF('Part A'!$Q:$Q,A430,'Part A'!$G:$G)</f>
        <v>694</v>
      </c>
      <c r="E430">
        <f>COUNTIF('Part A'!$Q:$Q,A430)</f>
        <v>1</v>
      </c>
    </row>
    <row r="431" spans="1:5" x14ac:dyDescent="0.3">
      <c r="A431" t="s">
        <v>4477</v>
      </c>
      <c r="B431" t="str">
        <f>_xlfn.XLOOKUP(A431,'Part A'!$Q:$Q,'Part A'!$F:$F,0,0,1)</f>
        <v>Black or African American</v>
      </c>
      <c r="C431" t="str">
        <f>_xlfn.XLOOKUP(A431,'Part A'!$Q:$Q,'Part A'!$E:$E,0,0,1)</f>
        <v>Male</v>
      </c>
      <c r="D431">
        <f>SUMIF('Part A'!$Q:$Q,A431,'Part A'!$G:$G)</f>
        <v>299</v>
      </c>
      <c r="E431">
        <f>COUNTIF('Part A'!$Q:$Q,A431)</f>
        <v>1</v>
      </c>
    </row>
    <row r="432" spans="1:5" x14ac:dyDescent="0.3">
      <c r="A432" t="s">
        <v>4478</v>
      </c>
      <c r="B432" t="str">
        <f>_xlfn.XLOOKUP(A432,'Part A'!$Q:$Q,'Part A'!$F:$F,0,0,1)</f>
        <v>White</v>
      </c>
      <c r="C432" t="str">
        <f>_xlfn.XLOOKUP(A432,'Part A'!$Q:$Q,'Part A'!$E:$E,0,0,1)</f>
        <v>Male</v>
      </c>
      <c r="D432">
        <f>SUMIF('Part A'!$Q:$Q,A432,'Part A'!$G:$G)</f>
        <v>864</v>
      </c>
      <c r="E432">
        <f>COUNTIF('Part A'!$Q:$Q,A432)</f>
        <v>1</v>
      </c>
    </row>
    <row r="433" spans="1:5" x14ac:dyDescent="0.3">
      <c r="A433" t="s">
        <v>4479</v>
      </c>
      <c r="B433" t="str">
        <f>_xlfn.XLOOKUP(A433,'Part A'!$Q:$Q,'Part A'!$F:$F,0,0,1)</f>
        <v>White</v>
      </c>
      <c r="C433" t="str">
        <f>_xlfn.XLOOKUP(A433,'Part A'!$Q:$Q,'Part A'!$E:$E,0,0,1)</f>
        <v>Male</v>
      </c>
      <c r="D433">
        <f>SUMIF('Part A'!$Q:$Q,A433,'Part A'!$G:$G)</f>
        <v>665</v>
      </c>
      <c r="E433">
        <f>COUNTIF('Part A'!$Q:$Q,A433)</f>
        <v>1</v>
      </c>
    </row>
    <row r="434" spans="1:5" x14ac:dyDescent="0.3">
      <c r="A434" t="s">
        <v>4480</v>
      </c>
      <c r="B434" t="str">
        <f>_xlfn.XLOOKUP(A434,'Part A'!$Q:$Q,'Part A'!$F:$F,0,0,1)</f>
        <v>White</v>
      </c>
      <c r="C434" t="str">
        <f>_xlfn.XLOOKUP(A434,'Part A'!$Q:$Q,'Part A'!$E:$E,0,0,1)</f>
        <v>Male</v>
      </c>
      <c r="D434">
        <f>SUMIF('Part A'!$Q:$Q,A434,'Part A'!$G:$G)</f>
        <v>860</v>
      </c>
      <c r="E434">
        <f>COUNTIF('Part A'!$Q:$Q,A434)</f>
        <v>1</v>
      </c>
    </row>
    <row r="435" spans="1:5" x14ac:dyDescent="0.3">
      <c r="A435" t="s">
        <v>4481</v>
      </c>
      <c r="B435" t="str">
        <f>_xlfn.XLOOKUP(A435,'Part A'!$Q:$Q,'Part A'!$F:$F,0,0,1)</f>
        <v>Eskimo</v>
      </c>
      <c r="C435" t="str">
        <f>_xlfn.XLOOKUP(A435,'Part A'!$Q:$Q,'Part A'!$E:$E,0,0,1)</f>
        <v>Female</v>
      </c>
      <c r="D435">
        <f>SUMIF('Part A'!$Q:$Q,A435,'Part A'!$G:$G)</f>
        <v>928</v>
      </c>
      <c r="E435">
        <f>COUNTIF('Part A'!$Q:$Q,A435)</f>
        <v>1</v>
      </c>
    </row>
    <row r="436" spans="1:5" x14ac:dyDescent="0.3">
      <c r="A436" t="s">
        <v>4482</v>
      </c>
      <c r="B436" t="str">
        <f>_xlfn.XLOOKUP(A436,'Part A'!$Q:$Q,'Part A'!$F:$F,0,0,1)</f>
        <v>White</v>
      </c>
      <c r="C436" t="str">
        <f>_xlfn.XLOOKUP(A436,'Part A'!$Q:$Q,'Part A'!$E:$E,0,0,1)</f>
        <v>Female</v>
      </c>
      <c r="D436">
        <f>SUMIF('Part A'!$Q:$Q,A436,'Part A'!$G:$G)</f>
        <v>987</v>
      </c>
      <c r="E436">
        <f>COUNTIF('Part A'!$Q:$Q,A436)</f>
        <v>1</v>
      </c>
    </row>
    <row r="437" spans="1:5" x14ac:dyDescent="0.3">
      <c r="A437" t="s">
        <v>4483</v>
      </c>
      <c r="B437" t="str">
        <f>_xlfn.XLOOKUP(A437,'Part A'!$Q:$Q,'Part A'!$F:$F,0,0,1)</f>
        <v>White</v>
      </c>
      <c r="C437" t="str">
        <f>_xlfn.XLOOKUP(A437,'Part A'!$Q:$Q,'Part A'!$E:$E,0,0,1)</f>
        <v>Female</v>
      </c>
      <c r="D437">
        <f>SUMIF('Part A'!$Q:$Q,A437,'Part A'!$G:$G)</f>
        <v>486</v>
      </c>
      <c r="E437">
        <f>COUNTIF('Part A'!$Q:$Q,A437)</f>
        <v>1</v>
      </c>
    </row>
    <row r="438" spans="1:5" x14ac:dyDescent="0.3">
      <c r="A438" t="s">
        <v>4484</v>
      </c>
      <c r="B438" t="str">
        <f>_xlfn.XLOOKUP(A438,'Part A'!$Q:$Q,'Part A'!$F:$F,0,0,1)</f>
        <v>White</v>
      </c>
      <c r="C438" t="str">
        <f>_xlfn.XLOOKUP(A438,'Part A'!$Q:$Q,'Part A'!$E:$E,0,0,1)</f>
        <v>Female</v>
      </c>
      <c r="D438">
        <f>SUMIF('Part A'!$Q:$Q,A438,'Part A'!$G:$G)</f>
        <v>427</v>
      </c>
      <c r="E438">
        <f>COUNTIF('Part A'!$Q:$Q,A438)</f>
        <v>1</v>
      </c>
    </row>
    <row r="439" spans="1:5" x14ac:dyDescent="0.3">
      <c r="A439" t="s">
        <v>4485</v>
      </c>
      <c r="B439" t="str">
        <f>_xlfn.XLOOKUP(A439,'Part A'!$Q:$Q,'Part A'!$F:$F,0,0,1)</f>
        <v>White</v>
      </c>
      <c r="C439" t="str">
        <f>_xlfn.XLOOKUP(A439,'Part A'!$Q:$Q,'Part A'!$E:$E,0,0,1)</f>
        <v>Female</v>
      </c>
      <c r="D439">
        <f>SUMIF('Part A'!$Q:$Q,A439,'Part A'!$G:$G)</f>
        <v>945</v>
      </c>
      <c r="E439">
        <f>COUNTIF('Part A'!$Q:$Q,A439)</f>
        <v>1</v>
      </c>
    </row>
    <row r="440" spans="1:5" x14ac:dyDescent="0.3">
      <c r="A440" t="s">
        <v>4486</v>
      </c>
      <c r="B440" t="str">
        <f>_xlfn.XLOOKUP(A440,'Part A'!$Q:$Q,'Part A'!$F:$F,0,0,1)</f>
        <v>Asian</v>
      </c>
      <c r="C440" t="str">
        <f>_xlfn.XLOOKUP(A440,'Part A'!$Q:$Q,'Part A'!$E:$E,0,0,1)</f>
        <v>Female</v>
      </c>
      <c r="D440">
        <f>SUMIF('Part A'!$Q:$Q,A440,'Part A'!$G:$G)</f>
        <v>882</v>
      </c>
      <c r="E440">
        <f>COUNTIF('Part A'!$Q:$Q,A440)</f>
        <v>1</v>
      </c>
    </row>
    <row r="441" spans="1:5" x14ac:dyDescent="0.3">
      <c r="A441" t="s">
        <v>4487</v>
      </c>
      <c r="B441" t="str">
        <f>_xlfn.XLOOKUP(A441,'Part A'!$Q:$Q,'Part A'!$F:$F,0,0,1)</f>
        <v>White</v>
      </c>
      <c r="C441" t="str">
        <f>_xlfn.XLOOKUP(A441,'Part A'!$Q:$Q,'Part A'!$E:$E,0,0,1)</f>
        <v>Female</v>
      </c>
      <c r="D441">
        <f>SUMIF('Part A'!$Q:$Q,A441,'Part A'!$G:$G)</f>
        <v>813</v>
      </c>
      <c r="E441">
        <f>COUNTIF('Part A'!$Q:$Q,A441)</f>
        <v>1</v>
      </c>
    </row>
    <row r="442" spans="1:5" x14ac:dyDescent="0.3">
      <c r="A442" t="s">
        <v>4488</v>
      </c>
      <c r="B442" t="str">
        <f>_xlfn.XLOOKUP(A442,'Part A'!$Q:$Q,'Part A'!$F:$F,0,0,1)</f>
        <v>Black or African American</v>
      </c>
      <c r="C442" t="str">
        <f>_xlfn.XLOOKUP(A442,'Part A'!$Q:$Q,'Part A'!$E:$E,0,0,1)</f>
        <v>Male</v>
      </c>
      <c r="D442">
        <f>SUMIF('Part A'!$Q:$Q,A442,'Part A'!$G:$G)</f>
        <v>775</v>
      </c>
      <c r="E442">
        <f>COUNTIF('Part A'!$Q:$Q,A442)</f>
        <v>1</v>
      </c>
    </row>
    <row r="443" spans="1:5" x14ac:dyDescent="0.3">
      <c r="A443" t="s">
        <v>4489</v>
      </c>
      <c r="B443" t="str">
        <f>_xlfn.XLOOKUP(A443,'Part A'!$Q:$Q,'Part A'!$F:$F,0,0,1)</f>
        <v>Mexican</v>
      </c>
      <c r="C443" t="str">
        <f>_xlfn.XLOOKUP(A443,'Part A'!$Q:$Q,'Part A'!$E:$E,0,0,1)</f>
        <v>Male</v>
      </c>
      <c r="D443">
        <f>SUMIF('Part A'!$Q:$Q,A443,'Part A'!$G:$G)</f>
        <v>975</v>
      </c>
      <c r="E443">
        <f>COUNTIF('Part A'!$Q:$Q,A443)</f>
        <v>1</v>
      </c>
    </row>
    <row r="444" spans="1:5" x14ac:dyDescent="0.3">
      <c r="A444" t="s">
        <v>4490</v>
      </c>
      <c r="B444" t="str">
        <f>_xlfn.XLOOKUP(A444,'Part A'!$Q:$Q,'Part A'!$F:$F,0,0,1)</f>
        <v>White</v>
      </c>
      <c r="C444" t="str">
        <f>_xlfn.XLOOKUP(A444,'Part A'!$Q:$Q,'Part A'!$E:$E,0,0,1)</f>
        <v>Female</v>
      </c>
      <c r="D444">
        <f>SUMIF('Part A'!$Q:$Q,A444,'Part A'!$G:$G)</f>
        <v>179</v>
      </c>
      <c r="E444">
        <f>COUNTIF('Part A'!$Q:$Q,A444)</f>
        <v>1</v>
      </c>
    </row>
    <row r="445" spans="1:5" x14ac:dyDescent="0.3">
      <c r="A445" t="s">
        <v>4491</v>
      </c>
      <c r="B445" t="str">
        <f>_xlfn.XLOOKUP(A445,'Part A'!$Q:$Q,'Part A'!$F:$F,0,0,1)</f>
        <v>White</v>
      </c>
      <c r="C445" t="str">
        <f>_xlfn.XLOOKUP(A445,'Part A'!$Q:$Q,'Part A'!$E:$E,0,0,1)</f>
        <v>Female</v>
      </c>
      <c r="D445">
        <f>SUMIF('Part A'!$Q:$Q,A445,'Part A'!$G:$G)</f>
        <v>201</v>
      </c>
      <c r="E445">
        <f>COUNTIF('Part A'!$Q:$Q,A445)</f>
        <v>1</v>
      </c>
    </row>
    <row r="446" spans="1:5" x14ac:dyDescent="0.3">
      <c r="A446" t="s">
        <v>4492</v>
      </c>
      <c r="B446" t="str">
        <f>_xlfn.XLOOKUP(A446,'Part A'!$Q:$Q,'Part A'!$F:$F,0,0,1)</f>
        <v>White</v>
      </c>
      <c r="C446" t="str">
        <f>_xlfn.XLOOKUP(A446,'Part A'!$Q:$Q,'Part A'!$E:$E,0,0,1)</f>
        <v>Female</v>
      </c>
      <c r="D446">
        <f>SUMIF('Part A'!$Q:$Q,A446,'Part A'!$G:$G)</f>
        <v>661</v>
      </c>
      <c r="E446">
        <f>COUNTIF('Part A'!$Q:$Q,A446)</f>
        <v>1</v>
      </c>
    </row>
    <row r="447" spans="1:5" x14ac:dyDescent="0.3">
      <c r="A447" t="s">
        <v>4493</v>
      </c>
      <c r="B447" t="str">
        <f>_xlfn.XLOOKUP(A447,'Part A'!$Q:$Q,'Part A'!$F:$F,0,0,1)</f>
        <v>Mexican</v>
      </c>
      <c r="C447" t="str">
        <f>_xlfn.XLOOKUP(A447,'Part A'!$Q:$Q,'Part A'!$E:$E,0,0,1)</f>
        <v>Female</v>
      </c>
      <c r="D447">
        <f>SUMIF('Part A'!$Q:$Q,A447,'Part A'!$G:$G)</f>
        <v>3016</v>
      </c>
      <c r="E447">
        <f>COUNTIF('Part A'!$Q:$Q,A447)</f>
        <v>7</v>
      </c>
    </row>
    <row r="448" spans="1:5" x14ac:dyDescent="0.3">
      <c r="A448" t="s">
        <v>4494</v>
      </c>
      <c r="B448" t="str">
        <f>_xlfn.XLOOKUP(A448,'Part A'!$Q:$Q,'Part A'!$F:$F,0,0,1)</f>
        <v>Taiwanese</v>
      </c>
      <c r="C448" t="str">
        <f>_xlfn.XLOOKUP(A448,'Part A'!$Q:$Q,'Part A'!$E:$E,0,0,1)</f>
        <v>Female</v>
      </c>
      <c r="D448">
        <f>SUMIF('Part A'!$Q:$Q,A448,'Part A'!$G:$G)</f>
        <v>910</v>
      </c>
      <c r="E448">
        <f>COUNTIF('Part A'!$Q:$Q,A448)</f>
        <v>1</v>
      </c>
    </row>
    <row r="449" spans="1:5" x14ac:dyDescent="0.3">
      <c r="A449" t="s">
        <v>4060</v>
      </c>
      <c r="B449" t="str">
        <f>_xlfn.XLOOKUP(A449,'Part A'!$Q:$Q,'Part A'!$F:$F,0,0,1)</f>
        <v>White</v>
      </c>
      <c r="C449" t="str">
        <f>_xlfn.XLOOKUP(A449,'Part A'!$Q:$Q,'Part A'!$E:$E,0,0,1)</f>
        <v>Male</v>
      </c>
      <c r="D449">
        <f>SUMIF('Part A'!$Q:$Q,A449,'Part A'!$G:$G)</f>
        <v>994</v>
      </c>
      <c r="E449">
        <f>COUNTIF('Part A'!$Q:$Q,A449)</f>
        <v>1</v>
      </c>
    </row>
    <row r="450" spans="1:5" x14ac:dyDescent="0.3">
      <c r="A450" t="s">
        <v>4495</v>
      </c>
      <c r="B450" t="str">
        <f>_xlfn.XLOOKUP(A450,'Part A'!$Q:$Q,'Part A'!$F:$F,0,0,1)</f>
        <v>Asian</v>
      </c>
      <c r="C450" t="str">
        <f>_xlfn.XLOOKUP(A450,'Part A'!$Q:$Q,'Part A'!$E:$E,0,0,1)</f>
        <v>Female</v>
      </c>
      <c r="D450">
        <f>SUMIF('Part A'!$Q:$Q,A450,'Part A'!$G:$G)</f>
        <v>484</v>
      </c>
      <c r="E450">
        <f>COUNTIF('Part A'!$Q:$Q,A450)</f>
        <v>1</v>
      </c>
    </row>
    <row r="451" spans="1:5" x14ac:dyDescent="0.3">
      <c r="A451" t="s">
        <v>4496</v>
      </c>
      <c r="B451" t="str">
        <f>_xlfn.XLOOKUP(A451,'Part A'!$Q:$Q,'Part A'!$F:$F,0,0,1)</f>
        <v>Black or African American</v>
      </c>
      <c r="C451" t="str">
        <f>_xlfn.XLOOKUP(A451,'Part A'!$Q:$Q,'Part A'!$E:$E,0,0,1)</f>
        <v>Female</v>
      </c>
      <c r="D451">
        <f>SUMIF('Part A'!$Q:$Q,A451,'Part A'!$G:$G)</f>
        <v>4713</v>
      </c>
      <c r="E451">
        <f>COUNTIF('Part A'!$Q:$Q,A451)</f>
        <v>7</v>
      </c>
    </row>
    <row r="452" spans="1:5" x14ac:dyDescent="0.3">
      <c r="A452" t="s">
        <v>4497</v>
      </c>
      <c r="B452" t="str">
        <f>_xlfn.XLOOKUP(A452,'Part A'!$Q:$Q,'Part A'!$F:$F,0,0,1)</f>
        <v>White</v>
      </c>
      <c r="C452" t="str">
        <f>_xlfn.XLOOKUP(A452,'Part A'!$Q:$Q,'Part A'!$E:$E,0,0,1)</f>
        <v>Female</v>
      </c>
      <c r="D452">
        <f>SUMIF('Part A'!$Q:$Q,A452,'Part A'!$G:$G)</f>
        <v>822</v>
      </c>
      <c r="E452">
        <f>COUNTIF('Part A'!$Q:$Q,A452)</f>
        <v>1</v>
      </c>
    </row>
    <row r="453" spans="1:5" x14ac:dyDescent="0.3">
      <c r="A453" t="s">
        <v>4498</v>
      </c>
      <c r="B453" t="str">
        <f>_xlfn.XLOOKUP(A453,'Part A'!$Q:$Q,'Part A'!$F:$F,0,0,1)</f>
        <v>Asian</v>
      </c>
      <c r="C453" t="str">
        <f>_xlfn.XLOOKUP(A453,'Part A'!$Q:$Q,'Part A'!$E:$E,0,0,1)</f>
        <v>Female</v>
      </c>
      <c r="D453">
        <f>SUMIF('Part A'!$Q:$Q,A453,'Part A'!$G:$G)</f>
        <v>291</v>
      </c>
      <c r="E453">
        <f>COUNTIF('Part A'!$Q:$Q,A453)</f>
        <v>1</v>
      </c>
    </row>
    <row r="454" spans="1:5" x14ac:dyDescent="0.3">
      <c r="A454" t="s">
        <v>4499</v>
      </c>
      <c r="B454" t="str">
        <f>_xlfn.XLOOKUP(A454,'Part A'!$Q:$Q,'Part A'!$F:$F,0,0,1)</f>
        <v>Black or African American</v>
      </c>
      <c r="C454" t="str">
        <f>_xlfn.XLOOKUP(A454,'Part A'!$Q:$Q,'Part A'!$E:$E,0,0,1)</f>
        <v>Female</v>
      </c>
      <c r="D454">
        <f>SUMIF('Part A'!$Q:$Q,A454,'Part A'!$G:$G)</f>
        <v>99</v>
      </c>
      <c r="E454">
        <f>COUNTIF('Part A'!$Q:$Q,A454)</f>
        <v>1</v>
      </c>
    </row>
    <row r="455" spans="1:5" x14ac:dyDescent="0.3">
      <c r="A455" t="s">
        <v>4500</v>
      </c>
      <c r="B455" t="str">
        <f>_xlfn.XLOOKUP(A455,'Part A'!$Q:$Q,'Part A'!$F:$F,0,0,1)</f>
        <v>White</v>
      </c>
      <c r="C455" t="str">
        <f>_xlfn.XLOOKUP(A455,'Part A'!$Q:$Q,'Part A'!$E:$E,0,0,1)</f>
        <v>Male</v>
      </c>
      <c r="D455">
        <f>SUMIF('Part A'!$Q:$Q,A455,'Part A'!$G:$G)</f>
        <v>66</v>
      </c>
      <c r="E455">
        <f>COUNTIF('Part A'!$Q:$Q,A455)</f>
        <v>1</v>
      </c>
    </row>
    <row r="456" spans="1:5" x14ac:dyDescent="0.3">
      <c r="A456" t="s">
        <v>4501</v>
      </c>
      <c r="B456" t="str">
        <f>_xlfn.XLOOKUP(A456,'Part A'!$Q:$Q,'Part A'!$F:$F,0,0,1)</f>
        <v>White</v>
      </c>
      <c r="C456" t="str">
        <f>_xlfn.XLOOKUP(A456,'Part A'!$Q:$Q,'Part A'!$E:$E,0,0,1)</f>
        <v>Male</v>
      </c>
      <c r="D456">
        <f>SUMIF('Part A'!$Q:$Q,A456,'Part A'!$G:$G)</f>
        <v>785</v>
      </c>
      <c r="E456">
        <f>COUNTIF('Part A'!$Q:$Q,A456)</f>
        <v>1</v>
      </c>
    </row>
    <row r="457" spans="1:5" x14ac:dyDescent="0.3">
      <c r="A457" t="s">
        <v>4502</v>
      </c>
      <c r="B457" t="str">
        <f>_xlfn.XLOOKUP(A457,'Part A'!$Q:$Q,'Part A'!$F:$F,0,0,1)</f>
        <v>Thai</v>
      </c>
      <c r="C457" t="str">
        <f>_xlfn.XLOOKUP(A457,'Part A'!$Q:$Q,'Part A'!$E:$E,0,0,1)</f>
        <v>Male</v>
      </c>
      <c r="D457">
        <f>SUMIF('Part A'!$Q:$Q,A457,'Part A'!$G:$G)</f>
        <v>987</v>
      </c>
      <c r="E457">
        <f>COUNTIF('Part A'!$Q:$Q,A457)</f>
        <v>1</v>
      </c>
    </row>
    <row r="458" spans="1:5" x14ac:dyDescent="0.3">
      <c r="A458" t="s">
        <v>4503</v>
      </c>
      <c r="B458" t="str">
        <f>_xlfn.XLOOKUP(A458,'Part A'!$Q:$Q,'Part A'!$F:$F,0,0,1)</f>
        <v>Black or African American</v>
      </c>
      <c r="C458" t="str">
        <f>_xlfn.XLOOKUP(A458,'Part A'!$Q:$Q,'Part A'!$E:$E,0,0,1)</f>
        <v>Female</v>
      </c>
      <c r="D458">
        <f>SUMIF('Part A'!$Q:$Q,A458,'Part A'!$G:$G)</f>
        <v>638</v>
      </c>
      <c r="E458">
        <f>COUNTIF('Part A'!$Q:$Q,A458)</f>
        <v>1</v>
      </c>
    </row>
    <row r="459" spans="1:5" x14ac:dyDescent="0.3">
      <c r="A459" t="s">
        <v>4504</v>
      </c>
      <c r="B459" t="str">
        <f>_xlfn.XLOOKUP(A459,'Part A'!$Q:$Q,'Part A'!$F:$F,0,0,1)</f>
        <v>Black or African American</v>
      </c>
      <c r="C459" t="str">
        <f>_xlfn.XLOOKUP(A459,'Part A'!$Q:$Q,'Part A'!$E:$E,0,0,1)</f>
        <v>Male</v>
      </c>
      <c r="D459">
        <f>SUMIF('Part A'!$Q:$Q,A459,'Part A'!$G:$G)</f>
        <v>897</v>
      </c>
      <c r="E459">
        <f>COUNTIF('Part A'!$Q:$Q,A459)</f>
        <v>1</v>
      </c>
    </row>
    <row r="460" spans="1:5" x14ac:dyDescent="0.3">
      <c r="A460" t="s">
        <v>4505</v>
      </c>
      <c r="B460" t="str">
        <f>_xlfn.XLOOKUP(A460,'Part A'!$Q:$Q,'Part A'!$F:$F,0,0,1)</f>
        <v>White</v>
      </c>
      <c r="C460" t="str">
        <f>_xlfn.XLOOKUP(A460,'Part A'!$Q:$Q,'Part A'!$E:$E,0,0,1)</f>
        <v>Female</v>
      </c>
      <c r="D460">
        <f>SUMIF('Part A'!$Q:$Q,A460,'Part A'!$G:$G)</f>
        <v>303</v>
      </c>
      <c r="E460">
        <f>COUNTIF('Part A'!$Q:$Q,A460)</f>
        <v>1</v>
      </c>
    </row>
    <row r="461" spans="1:5" x14ac:dyDescent="0.3">
      <c r="A461" t="s">
        <v>4506</v>
      </c>
      <c r="B461" t="str">
        <f>_xlfn.XLOOKUP(A461,'Part A'!$Q:$Q,'Part A'!$F:$F,0,0,1)</f>
        <v>Black or African American</v>
      </c>
      <c r="C461" t="str">
        <f>_xlfn.XLOOKUP(A461,'Part A'!$Q:$Q,'Part A'!$E:$E,0,0,1)</f>
        <v>Female</v>
      </c>
      <c r="D461">
        <f>SUMIF('Part A'!$Q:$Q,A461,'Part A'!$G:$G)</f>
        <v>257</v>
      </c>
      <c r="E461">
        <f>COUNTIF('Part A'!$Q:$Q,A461)</f>
        <v>1</v>
      </c>
    </row>
    <row r="462" spans="1:5" x14ac:dyDescent="0.3">
      <c r="A462" t="s">
        <v>4507</v>
      </c>
      <c r="B462" t="str">
        <f>_xlfn.XLOOKUP(A462,'Part A'!$Q:$Q,'Part A'!$F:$F,0,0,1)</f>
        <v>White</v>
      </c>
      <c r="C462" t="str">
        <f>_xlfn.XLOOKUP(A462,'Part A'!$Q:$Q,'Part A'!$E:$E,0,0,1)</f>
        <v>Male</v>
      </c>
      <c r="D462">
        <f>SUMIF('Part A'!$Q:$Q,A462,'Part A'!$G:$G)</f>
        <v>874</v>
      </c>
      <c r="E462">
        <f>COUNTIF('Part A'!$Q:$Q,A462)</f>
        <v>1</v>
      </c>
    </row>
    <row r="463" spans="1:5" x14ac:dyDescent="0.3">
      <c r="A463" t="s">
        <v>4508</v>
      </c>
      <c r="B463" t="str">
        <f>_xlfn.XLOOKUP(A463,'Part A'!$Q:$Q,'Part A'!$F:$F,0,0,1)</f>
        <v>White</v>
      </c>
      <c r="C463" t="str">
        <f>_xlfn.XLOOKUP(A463,'Part A'!$Q:$Q,'Part A'!$E:$E,0,0,1)</f>
        <v>Female</v>
      </c>
      <c r="D463">
        <f>SUMIF('Part A'!$Q:$Q,A463,'Part A'!$G:$G)</f>
        <v>860</v>
      </c>
      <c r="E463">
        <f>COUNTIF('Part A'!$Q:$Q,A463)</f>
        <v>1</v>
      </c>
    </row>
    <row r="464" spans="1:5" x14ac:dyDescent="0.3">
      <c r="A464" t="s">
        <v>4509</v>
      </c>
      <c r="B464" t="str">
        <f>_xlfn.XLOOKUP(A464,'Part A'!$Q:$Q,'Part A'!$F:$F,0,0,1)</f>
        <v>White</v>
      </c>
      <c r="C464" t="str">
        <f>_xlfn.XLOOKUP(A464,'Part A'!$Q:$Q,'Part A'!$E:$E,0,0,1)</f>
        <v>Female</v>
      </c>
      <c r="D464">
        <f>SUMIF('Part A'!$Q:$Q,A464,'Part A'!$G:$G)</f>
        <v>656</v>
      </c>
      <c r="E464">
        <f>COUNTIF('Part A'!$Q:$Q,A464)</f>
        <v>1</v>
      </c>
    </row>
    <row r="465" spans="1:5" x14ac:dyDescent="0.3">
      <c r="A465" t="s">
        <v>4510</v>
      </c>
      <c r="B465" t="str">
        <f>_xlfn.XLOOKUP(A465,'Part A'!$Q:$Q,'Part A'!$F:$F,0,0,1)</f>
        <v>Asian</v>
      </c>
      <c r="C465" t="str">
        <f>_xlfn.XLOOKUP(A465,'Part A'!$Q:$Q,'Part A'!$E:$E,0,0,1)</f>
        <v>Male</v>
      </c>
      <c r="D465">
        <f>SUMIF('Part A'!$Q:$Q,A465,'Part A'!$G:$G)</f>
        <v>210</v>
      </c>
      <c r="E465">
        <f>COUNTIF('Part A'!$Q:$Q,A465)</f>
        <v>1</v>
      </c>
    </row>
    <row r="466" spans="1:5" x14ac:dyDescent="0.3">
      <c r="A466" t="s">
        <v>4511</v>
      </c>
      <c r="B466" t="str">
        <f>_xlfn.XLOOKUP(A466,'Part A'!$Q:$Q,'Part A'!$F:$F,0,0,1)</f>
        <v>Mexican</v>
      </c>
      <c r="C466" t="str">
        <f>_xlfn.XLOOKUP(A466,'Part A'!$Q:$Q,'Part A'!$E:$E,0,0,1)</f>
        <v>Female</v>
      </c>
      <c r="D466">
        <f>SUMIF('Part A'!$Q:$Q,A466,'Part A'!$G:$G)</f>
        <v>412</v>
      </c>
      <c r="E466">
        <f>COUNTIF('Part A'!$Q:$Q,A466)</f>
        <v>1</v>
      </c>
    </row>
    <row r="467" spans="1:5" x14ac:dyDescent="0.3">
      <c r="A467" t="s">
        <v>4512</v>
      </c>
      <c r="B467" t="str">
        <f>_xlfn.XLOOKUP(A467,'Part A'!$Q:$Q,'Part A'!$F:$F,0,0,1)</f>
        <v>White</v>
      </c>
      <c r="C467" t="str">
        <f>_xlfn.XLOOKUP(A467,'Part A'!$Q:$Q,'Part A'!$E:$E,0,0,1)</f>
        <v>Female</v>
      </c>
      <c r="D467">
        <f>SUMIF('Part A'!$Q:$Q,A467,'Part A'!$G:$G)</f>
        <v>363</v>
      </c>
      <c r="E467">
        <f>COUNTIF('Part A'!$Q:$Q,A467)</f>
        <v>1</v>
      </c>
    </row>
    <row r="468" spans="1:5" x14ac:dyDescent="0.3">
      <c r="A468" t="s">
        <v>4513</v>
      </c>
      <c r="B468" t="str">
        <f>_xlfn.XLOOKUP(A468,'Part A'!$Q:$Q,'Part A'!$F:$F,0,0,1)</f>
        <v>Asian</v>
      </c>
      <c r="C468" t="str">
        <f>_xlfn.XLOOKUP(A468,'Part A'!$Q:$Q,'Part A'!$E:$E,0,0,1)</f>
        <v>Female</v>
      </c>
      <c r="D468">
        <f>SUMIF('Part A'!$Q:$Q,A468,'Part A'!$G:$G)</f>
        <v>5281</v>
      </c>
      <c r="E468">
        <f>COUNTIF('Part A'!$Q:$Q,A468)</f>
        <v>12</v>
      </c>
    </row>
    <row r="469" spans="1:5" x14ac:dyDescent="0.3">
      <c r="A469" t="s">
        <v>4514</v>
      </c>
      <c r="B469" t="str">
        <f>_xlfn.XLOOKUP(A469,'Part A'!$Q:$Q,'Part A'!$F:$F,0,0,1)</f>
        <v>Black or African American</v>
      </c>
      <c r="C469" t="str">
        <f>_xlfn.XLOOKUP(A469,'Part A'!$Q:$Q,'Part A'!$E:$E,0,0,1)</f>
        <v>Male</v>
      </c>
      <c r="D469">
        <f>SUMIF('Part A'!$Q:$Q,A469,'Part A'!$G:$G)</f>
        <v>751</v>
      </c>
      <c r="E469">
        <f>COUNTIF('Part A'!$Q:$Q,A469)</f>
        <v>1</v>
      </c>
    </row>
    <row r="470" spans="1:5" x14ac:dyDescent="0.3">
      <c r="A470" t="s">
        <v>4515</v>
      </c>
      <c r="B470" t="str">
        <f>_xlfn.XLOOKUP(A470,'Part A'!$Q:$Q,'Part A'!$F:$F,0,0,1)</f>
        <v>Mexican</v>
      </c>
      <c r="C470" t="str">
        <f>_xlfn.XLOOKUP(A470,'Part A'!$Q:$Q,'Part A'!$E:$E,0,0,1)</f>
        <v>Female</v>
      </c>
      <c r="D470">
        <f>SUMIF('Part A'!$Q:$Q,A470,'Part A'!$G:$G)</f>
        <v>7883</v>
      </c>
      <c r="E470">
        <f>COUNTIF('Part A'!$Q:$Q,A470)</f>
        <v>13</v>
      </c>
    </row>
    <row r="471" spans="1:5" x14ac:dyDescent="0.3">
      <c r="A471" t="s">
        <v>4516</v>
      </c>
      <c r="B471" t="str">
        <f>_xlfn.XLOOKUP(A471,'Part A'!$Q:$Q,'Part A'!$F:$F,0,0,1)</f>
        <v>Asian</v>
      </c>
      <c r="C471" t="str">
        <f>_xlfn.XLOOKUP(A471,'Part A'!$Q:$Q,'Part A'!$E:$E,0,0,1)</f>
        <v>Female</v>
      </c>
      <c r="D471">
        <f>SUMIF('Part A'!$Q:$Q,A471,'Part A'!$G:$G)</f>
        <v>248</v>
      </c>
      <c r="E471">
        <f>COUNTIF('Part A'!$Q:$Q,A471)</f>
        <v>1</v>
      </c>
    </row>
    <row r="472" spans="1:5" x14ac:dyDescent="0.3">
      <c r="A472" t="s">
        <v>4517</v>
      </c>
      <c r="B472" t="str">
        <f>_xlfn.XLOOKUP(A472,'Part A'!$Q:$Q,'Part A'!$F:$F,0,0,1)</f>
        <v>Black or African American</v>
      </c>
      <c r="C472" t="str">
        <f>_xlfn.XLOOKUP(A472,'Part A'!$Q:$Q,'Part A'!$E:$E,0,0,1)</f>
        <v>Male</v>
      </c>
      <c r="D472">
        <f>SUMIF('Part A'!$Q:$Q,A472,'Part A'!$G:$G)</f>
        <v>5266</v>
      </c>
      <c r="E472">
        <f>COUNTIF('Part A'!$Q:$Q,A472)</f>
        <v>13</v>
      </c>
    </row>
    <row r="473" spans="1:5" x14ac:dyDescent="0.3">
      <c r="A473" t="s">
        <v>4518</v>
      </c>
      <c r="B473" t="str">
        <f>_xlfn.XLOOKUP(A473,'Part A'!$Q:$Q,'Part A'!$F:$F,0,0,1)</f>
        <v>White</v>
      </c>
      <c r="C473" t="str">
        <f>_xlfn.XLOOKUP(A473,'Part A'!$Q:$Q,'Part A'!$E:$E,0,0,1)</f>
        <v>Female</v>
      </c>
      <c r="D473">
        <f>SUMIF('Part A'!$Q:$Q,A473,'Part A'!$G:$G)</f>
        <v>701</v>
      </c>
      <c r="E473">
        <f>COUNTIF('Part A'!$Q:$Q,A473)</f>
        <v>1</v>
      </c>
    </row>
    <row r="474" spans="1:5" x14ac:dyDescent="0.3">
      <c r="A474" t="s">
        <v>4061</v>
      </c>
      <c r="B474" t="str">
        <f>_xlfn.XLOOKUP(A474,'Part A'!$Q:$Q,'Part A'!$F:$F,0,0,1)</f>
        <v>White</v>
      </c>
      <c r="C474" t="str">
        <f>_xlfn.XLOOKUP(A474,'Part A'!$Q:$Q,'Part A'!$E:$E,0,0,1)</f>
        <v>Male</v>
      </c>
      <c r="D474">
        <f>SUMIF('Part A'!$Q:$Q,A474,'Part A'!$G:$G)</f>
        <v>48</v>
      </c>
      <c r="E474">
        <f>COUNTIF('Part A'!$Q:$Q,A474)</f>
        <v>1</v>
      </c>
    </row>
    <row r="475" spans="1:5" x14ac:dyDescent="0.3">
      <c r="A475" t="s">
        <v>4519</v>
      </c>
      <c r="B475" t="str">
        <f>_xlfn.XLOOKUP(A475,'Part A'!$Q:$Q,'Part A'!$F:$F,0,0,1)</f>
        <v>Black or African American</v>
      </c>
      <c r="C475" t="str">
        <f>_xlfn.XLOOKUP(A475,'Part A'!$Q:$Q,'Part A'!$E:$E,0,0,1)</f>
        <v>Male</v>
      </c>
      <c r="D475">
        <f>SUMIF('Part A'!$Q:$Q,A475,'Part A'!$G:$G)</f>
        <v>996</v>
      </c>
      <c r="E475">
        <f>COUNTIF('Part A'!$Q:$Q,A475)</f>
        <v>1</v>
      </c>
    </row>
    <row r="476" spans="1:5" x14ac:dyDescent="0.3">
      <c r="A476" t="s">
        <v>4520</v>
      </c>
      <c r="B476" t="str">
        <f>_xlfn.XLOOKUP(A476,'Part A'!$Q:$Q,'Part A'!$F:$F,0,0,1)</f>
        <v>White</v>
      </c>
      <c r="C476" t="str">
        <f>_xlfn.XLOOKUP(A476,'Part A'!$Q:$Q,'Part A'!$E:$E,0,0,1)</f>
        <v>Male</v>
      </c>
      <c r="D476">
        <f>SUMIF('Part A'!$Q:$Q,A476,'Part A'!$G:$G)</f>
        <v>882</v>
      </c>
      <c r="E476">
        <f>COUNTIF('Part A'!$Q:$Q,A476)</f>
        <v>1</v>
      </c>
    </row>
    <row r="477" spans="1:5" x14ac:dyDescent="0.3">
      <c r="A477" t="s">
        <v>4521</v>
      </c>
      <c r="B477" t="str">
        <f>_xlfn.XLOOKUP(A477,'Part A'!$Q:$Q,'Part A'!$F:$F,0,0,1)</f>
        <v>White</v>
      </c>
      <c r="C477" t="str">
        <f>_xlfn.XLOOKUP(A477,'Part A'!$Q:$Q,'Part A'!$E:$E,0,0,1)</f>
        <v>Female</v>
      </c>
      <c r="D477">
        <f>SUMIF('Part A'!$Q:$Q,A477,'Part A'!$G:$G)</f>
        <v>779</v>
      </c>
      <c r="E477">
        <f>COUNTIF('Part A'!$Q:$Q,A477)</f>
        <v>1</v>
      </c>
    </row>
    <row r="478" spans="1:5" x14ac:dyDescent="0.3">
      <c r="A478" t="s">
        <v>4522</v>
      </c>
      <c r="B478" t="str">
        <f>_xlfn.XLOOKUP(A478,'Part A'!$Q:$Q,'Part A'!$F:$F,0,0,1)</f>
        <v>Black or African American</v>
      </c>
      <c r="C478" t="str">
        <f>_xlfn.XLOOKUP(A478,'Part A'!$Q:$Q,'Part A'!$E:$E,0,0,1)</f>
        <v>Male</v>
      </c>
      <c r="D478">
        <f>SUMIF('Part A'!$Q:$Q,A478,'Part A'!$G:$G)</f>
        <v>887</v>
      </c>
      <c r="E478">
        <f>COUNTIF('Part A'!$Q:$Q,A478)</f>
        <v>1</v>
      </c>
    </row>
    <row r="479" spans="1:5" x14ac:dyDescent="0.3">
      <c r="A479" t="s">
        <v>4523</v>
      </c>
      <c r="B479" t="str">
        <f>_xlfn.XLOOKUP(A479,'Part A'!$Q:$Q,'Part A'!$F:$F,0,0,1)</f>
        <v>White</v>
      </c>
      <c r="C479" t="str">
        <f>_xlfn.XLOOKUP(A479,'Part A'!$Q:$Q,'Part A'!$E:$E,0,0,1)</f>
        <v>Male</v>
      </c>
      <c r="D479">
        <f>SUMIF('Part A'!$Q:$Q,A479,'Part A'!$G:$G)</f>
        <v>660</v>
      </c>
      <c r="E479">
        <f>COUNTIF('Part A'!$Q:$Q,A479)</f>
        <v>1</v>
      </c>
    </row>
    <row r="480" spans="1:5" x14ac:dyDescent="0.3">
      <c r="A480" t="s">
        <v>4524</v>
      </c>
      <c r="B480" t="str">
        <f>_xlfn.XLOOKUP(A480,'Part A'!$Q:$Q,'Part A'!$F:$F,0,0,1)</f>
        <v>Asian</v>
      </c>
      <c r="C480" t="str">
        <f>_xlfn.XLOOKUP(A480,'Part A'!$Q:$Q,'Part A'!$E:$E,0,0,1)</f>
        <v>Male</v>
      </c>
      <c r="D480">
        <f>SUMIF('Part A'!$Q:$Q,A480,'Part A'!$G:$G)</f>
        <v>27535</v>
      </c>
      <c r="E480">
        <f>COUNTIF('Part A'!$Q:$Q,A480)</f>
        <v>49</v>
      </c>
    </row>
    <row r="481" spans="1:5" x14ac:dyDescent="0.3">
      <c r="A481" t="s">
        <v>4525</v>
      </c>
      <c r="B481" t="str">
        <f>_xlfn.XLOOKUP(A481,'Part A'!$Q:$Q,'Part A'!$F:$F,0,0,1)</f>
        <v>White</v>
      </c>
      <c r="C481" t="str">
        <f>_xlfn.XLOOKUP(A481,'Part A'!$Q:$Q,'Part A'!$E:$E,0,0,1)</f>
        <v>Male</v>
      </c>
      <c r="D481">
        <f>SUMIF('Part A'!$Q:$Q,A481,'Part A'!$G:$G)</f>
        <v>271</v>
      </c>
      <c r="E481">
        <f>COUNTIF('Part A'!$Q:$Q,A481)</f>
        <v>1</v>
      </c>
    </row>
    <row r="482" spans="1:5" x14ac:dyDescent="0.3">
      <c r="A482" t="s">
        <v>4526</v>
      </c>
      <c r="B482" t="str">
        <f>_xlfn.XLOOKUP(A482,'Part A'!$Q:$Q,'Part A'!$F:$F,0,0,1)</f>
        <v>White</v>
      </c>
      <c r="C482" t="str">
        <f>_xlfn.XLOOKUP(A482,'Part A'!$Q:$Q,'Part A'!$E:$E,0,0,1)</f>
        <v>Male</v>
      </c>
      <c r="D482">
        <f>SUMIF('Part A'!$Q:$Q,A482,'Part A'!$G:$G)</f>
        <v>801</v>
      </c>
      <c r="E482">
        <f>COUNTIF('Part A'!$Q:$Q,A482)</f>
        <v>1</v>
      </c>
    </row>
    <row r="483" spans="1:5" x14ac:dyDescent="0.3">
      <c r="A483" t="s">
        <v>4527</v>
      </c>
      <c r="B483" t="str">
        <f>_xlfn.XLOOKUP(A483,'Part A'!$Q:$Q,'Part A'!$F:$F,0,0,1)</f>
        <v>Mexican</v>
      </c>
      <c r="C483" t="str">
        <f>_xlfn.XLOOKUP(A483,'Part A'!$Q:$Q,'Part A'!$E:$E,0,0,1)</f>
        <v>Male</v>
      </c>
      <c r="D483">
        <f>SUMIF('Part A'!$Q:$Q,A483,'Part A'!$G:$G)</f>
        <v>880</v>
      </c>
      <c r="E483">
        <f>COUNTIF('Part A'!$Q:$Q,A483)</f>
        <v>1</v>
      </c>
    </row>
    <row r="484" spans="1:5" x14ac:dyDescent="0.3">
      <c r="A484" t="s">
        <v>4528</v>
      </c>
      <c r="B484" t="str">
        <f>_xlfn.XLOOKUP(A484,'Part A'!$Q:$Q,'Part A'!$F:$F,0,0,1)</f>
        <v>Asian</v>
      </c>
      <c r="C484" t="str">
        <f>_xlfn.XLOOKUP(A484,'Part A'!$Q:$Q,'Part A'!$E:$E,0,0,1)</f>
        <v>Female</v>
      </c>
      <c r="D484">
        <f>SUMIF('Part A'!$Q:$Q,A484,'Part A'!$G:$G)</f>
        <v>785</v>
      </c>
      <c r="E484">
        <f>COUNTIF('Part A'!$Q:$Q,A484)</f>
        <v>1</v>
      </c>
    </row>
    <row r="485" spans="1:5" x14ac:dyDescent="0.3">
      <c r="A485" t="s">
        <v>4529</v>
      </c>
      <c r="B485" t="str">
        <f>_xlfn.XLOOKUP(A485,'Part A'!$Q:$Q,'Part A'!$F:$F,0,0,1)</f>
        <v>Asian</v>
      </c>
      <c r="C485" t="str">
        <f>_xlfn.XLOOKUP(A485,'Part A'!$Q:$Q,'Part A'!$E:$E,0,0,1)</f>
        <v>Male</v>
      </c>
      <c r="D485">
        <f>SUMIF('Part A'!$Q:$Q,A485,'Part A'!$G:$G)</f>
        <v>25</v>
      </c>
      <c r="E485">
        <f>COUNTIF('Part A'!$Q:$Q,A485)</f>
        <v>1</v>
      </c>
    </row>
    <row r="486" spans="1:5" x14ac:dyDescent="0.3">
      <c r="A486" t="s">
        <v>4530</v>
      </c>
      <c r="B486" t="str">
        <f>_xlfn.XLOOKUP(A486,'Part A'!$Q:$Q,'Part A'!$F:$F,0,0,1)</f>
        <v>White</v>
      </c>
      <c r="C486" t="str">
        <f>_xlfn.XLOOKUP(A486,'Part A'!$Q:$Q,'Part A'!$E:$E,0,0,1)</f>
        <v>Male</v>
      </c>
      <c r="D486">
        <f>SUMIF('Part A'!$Q:$Q,A486,'Part A'!$G:$G)</f>
        <v>220</v>
      </c>
      <c r="E486">
        <f>COUNTIF('Part A'!$Q:$Q,A486)</f>
        <v>1</v>
      </c>
    </row>
    <row r="487" spans="1:5" x14ac:dyDescent="0.3">
      <c r="A487" t="s">
        <v>4531</v>
      </c>
      <c r="B487" t="str">
        <f>_xlfn.XLOOKUP(A487,'Part A'!$Q:$Q,'Part A'!$F:$F,0,0,1)</f>
        <v>White</v>
      </c>
      <c r="C487" t="str">
        <f>_xlfn.XLOOKUP(A487,'Part A'!$Q:$Q,'Part A'!$E:$E,0,0,1)</f>
        <v>Female</v>
      </c>
      <c r="D487">
        <f>SUMIF('Part A'!$Q:$Q,A487,'Part A'!$G:$G)</f>
        <v>966</v>
      </c>
      <c r="E487">
        <f>COUNTIF('Part A'!$Q:$Q,A487)</f>
        <v>1</v>
      </c>
    </row>
    <row r="488" spans="1:5" x14ac:dyDescent="0.3">
      <c r="A488" t="s">
        <v>4532</v>
      </c>
      <c r="B488" t="str">
        <f>_xlfn.XLOOKUP(A488,'Part A'!$Q:$Q,'Part A'!$F:$F,0,0,1)</f>
        <v>Black or African American</v>
      </c>
      <c r="C488" t="str">
        <f>_xlfn.XLOOKUP(A488,'Part A'!$Q:$Q,'Part A'!$E:$E,0,0,1)</f>
        <v>Female</v>
      </c>
      <c r="D488">
        <f>SUMIF('Part A'!$Q:$Q,A488,'Part A'!$G:$G)</f>
        <v>253</v>
      </c>
      <c r="E488">
        <f>COUNTIF('Part A'!$Q:$Q,A488)</f>
        <v>1</v>
      </c>
    </row>
    <row r="489" spans="1:5" x14ac:dyDescent="0.3">
      <c r="A489" t="s">
        <v>4533</v>
      </c>
      <c r="B489" t="str">
        <f>_xlfn.XLOOKUP(A489,'Part A'!$Q:$Q,'Part A'!$F:$F,0,0,1)</f>
        <v>Black or African American</v>
      </c>
      <c r="C489" t="str">
        <f>_xlfn.XLOOKUP(A489,'Part A'!$Q:$Q,'Part A'!$E:$E,0,0,1)</f>
        <v>Male</v>
      </c>
      <c r="D489">
        <f>SUMIF('Part A'!$Q:$Q,A489,'Part A'!$G:$G)</f>
        <v>580</v>
      </c>
      <c r="E489">
        <f>COUNTIF('Part A'!$Q:$Q,A489)</f>
        <v>1</v>
      </c>
    </row>
    <row r="490" spans="1:5" x14ac:dyDescent="0.3">
      <c r="A490" t="s">
        <v>4534</v>
      </c>
      <c r="B490" t="str">
        <f>_xlfn.XLOOKUP(A490,'Part A'!$Q:$Q,'Part A'!$F:$F,0,0,1)</f>
        <v>Black or African American</v>
      </c>
      <c r="C490" t="str">
        <f>_xlfn.XLOOKUP(A490,'Part A'!$Q:$Q,'Part A'!$E:$E,0,0,1)</f>
        <v>Female</v>
      </c>
      <c r="D490">
        <f>SUMIF('Part A'!$Q:$Q,A490,'Part A'!$G:$G)</f>
        <v>984</v>
      </c>
      <c r="E490">
        <f>COUNTIF('Part A'!$Q:$Q,A490)</f>
        <v>1</v>
      </c>
    </row>
    <row r="491" spans="1:5" x14ac:dyDescent="0.3">
      <c r="A491" t="s">
        <v>4535</v>
      </c>
      <c r="B491" t="str">
        <f>_xlfn.XLOOKUP(A491,'Part A'!$Q:$Q,'Part A'!$F:$F,0,0,1)</f>
        <v>White</v>
      </c>
      <c r="C491" t="str">
        <f>_xlfn.XLOOKUP(A491,'Part A'!$Q:$Q,'Part A'!$E:$E,0,0,1)</f>
        <v>Male</v>
      </c>
      <c r="D491">
        <f>SUMIF('Part A'!$Q:$Q,A491,'Part A'!$G:$G)</f>
        <v>867</v>
      </c>
      <c r="E491">
        <f>COUNTIF('Part A'!$Q:$Q,A491)</f>
        <v>1</v>
      </c>
    </row>
    <row r="492" spans="1:5" x14ac:dyDescent="0.3">
      <c r="A492" t="s">
        <v>4536</v>
      </c>
      <c r="B492" t="str">
        <f>_xlfn.XLOOKUP(A492,'Part A'!$Q:$Q,'Part A'!$F:$F,0,0,1)</f>
        <v>Asian</v>
      </c>
      <c r="C492" t="str">
        <f>_xlfn.XLOOKUP(A492,'Part A'!$Q:$Q,'Part A'!$E:$E,0,0,1)</f>
        <v>Female</v>
      </c>
      <c r="D492">
        <f>SUMIF('Part A'!$Q:$Q,A492,'Part A'!$G:$G)</f>
        <v>905</v>
      </c>
      <c r="E492">
        <f>COUNTIF('Part A'!$Q:$Q,A492)</f>
        <v>1</v>
      </c>
    </row>
    <row r="493" spans="1:5" x14ac:dyDescent="0.3">
      <c r="A493" t="s">
        <v>4537</v>
      </c>
      <c r="B493" t="str">
        <f>_xlfn.XLOOKUP(A493,'Part A'!$Q:$Q,'Part A'!$F:$F,0,0,1)</f>
        <v>Black or African American</v>
      </c>
      <c r="C493" t="str">
        <f>_xlfn.XLOOKUP(A493,'Part A'!$Q:$Q,'Part A'!$E:$E,0,0,1)</f>
        <v>Male</v>
      </c>
      <c r="D493">
        <f>SUMIF('Part A'!$Q:$Q,A493,'Part A'!$G:$G)</f>
        <v>789</v>
      </c>
      <c r="E493">
        <f>COUNTIF('Part A'!$Q:$Q,A493)</f>
        <v>1</v>
      </c>
    </row>
    <row r="494" spans="1:5" x14ac:dyDescent="0.3">
      <c r="A494" t="s">
        <v>4538</v>
      </c>
      <c r="B494" t="str">
        <f>_xlfn.XLOOKUP(A494,'Part A'!$Q:$Q,'Part A'!$F:$F,0,0,1)</f>
        <v>Black or African American</v>
      </c>
      <c r="C494" t="str">
        <f>_xlfn.XLOOKUP(A494,'Part A'!$Q:$Q,'Part A'!$E:$E,0,0,1)</f>
        <v>Male</v>
      </c>
      <c r="D494">
        <f>SUMIF('Part A'!$Q:$Q,A494,'Part A'!$G:$G)</f>
        <v>803</v>
      </c>
      <c r="E494">
        <f>COUNTIF('Part A'!$Q:$Q,A494)</f>
        <v>1</v>
      </c>
    </row>
    <row r="495" spans="1:5" x14ac:dyDescent="0.3">
      <c r="A495" t="s">
        <v>4539</v>
      </c>
      <c r="B495" t="str">
        <f>_xlfn.XLOOKUP(A495,'Part A'!$Q:$Q,'Part A'!$F:$F,0,0,1)</f>
        <v>White</v>
      </c>
      <c r="C495" t="str">
        <f>_xlfn.XLOOKUP(A495,'Part A'!$Q:$Q,'Part A'!$E:$E,0,0,1)</f>
        <v>Male</v>
      </c>
      <c r="D495">
        <f>SUMIF('Part A'!$Q:$Q,A495,'Part A'!$G:$G)</f>
        <v>410</v>
      </c>
      <c r="E495">
        <f>COUNTIF('Part A'!$Q:$Q,A495)</f>
        <v>1</v>
      </c>
    </row>
    <row r="496" spans="1:5" x14ac:dyDescent="0.3">
      <c r="A496" t="s">
        <v>4540</v>
      </c>
      <c r="B496" t="str">
        <f>_xlfn.XLOOKUP(A496,'Part A'!$Q:$Q,'Part A'!$F:$F,0,0,1)</f>
        <v>White</v>
      </c>
      <c r="C496" t="str">
        <f>_xlfn.XLOOKUP(A496,'Part A'!$Q:$Q,'Part A'!$E:$E,0,0,1)</f>
        <v>Male</v>
      </c>
      <c r="D496">
        <f>SUMIF('Part A'!$Q:$Q,A496,'Part A'!$G:$G)</f>
        <v>841</v>
      </c>
      <c r="E496">
        <f>COUNTIF('Part A'!$Q:$Q,A496)</f>
        <v>1</v>
      </c>
    </row>
    <row r="497" spans="1:5" x14ac:dyDescent="0.3">
      <c r="A497" t="s">
        <v>4541</v>
      </c>
      <c r="B497" t="str">
        <f>_xlfn.XLOOKUP(A497,'Part A'!$Q:$Q,'Part A'!$F:$F,0,0,1)</f>
        <v>White</v>
      </c>
      <c r="C497" t="str">
        <f>_xlfn.XLOOKUP(A497,'Part A'!$Q:$Q,'Part A'!$E:$E,0,0,1)</f>
        <v>Male</v>
      </c>
      <c r="D497">
        <f>SUMIF('Part A'!$Q:$Q,A497,'Part A'!$G:$G)</f>
        <v>721</v>
      </c>
      <c r="E497">
        <f>COUNTIF('Part A'!$Q:$Q,A497)</f>
        <v>1</v>
      </c>
    </row>
    <row r="498" spans="1:5" x14ac:dyDescent="0.3">
      <c r="A498" t="s">
        <v>4542</v>
      </c>
      <c r="B498" t="str">
        <f>_xlfn.XLOOKUP(A498,'Part A'!$Q:$Q,'Part A'!$F:$F,0,0,1)</f>
        <v>White</v>
      </c>
      <c r="C498" t="str">
        <f>_xlfn.XLOOKUP(A498,'Part A'!$Q:$Q,'Part A'!$E:$E,0,0,1)</f>
        <v>Female</v>
      </c>
      <c r="D498">
        <f>SUMIF('Part A'!$Q:$Q,A498,'Part A'!$G:$G)</f>
        <v>4456</v>
      </c>
      <c r="E498">
        <f>COUNTIF('Part A'!$Q:$Q,A498)</f>
        <v>11</v>
      </c>
    </row>
    <row r="499" spans="1:5" x14ac:dyDescent="0.3">
      <c r="A499" t="s">
        <v>4543</v>
      </c>
      <c r="B499" t="str">
        <f>_xlfn.XLOOKUP(A499,'Part A'!$Q:$Q,'Part A'!$F:$F,0,0,1)</f>
        <v>Asian</v>
      </c>
      <c r="C499" t="str">
        <f>_xlfn.XLOOKUP(A499,'Part A'!$Q:$Q,'Part A'!$E:$E,0,0,1)</f>
        <v>Female</v>
      </c>
      <c r="D499">
        <f>SUMIF('Part A'!$Q:$Q,A499,'Part A'!$G:$G)</f>
        <v>405</v>
      </c>
      <c r="E499">
        <f>COUNTIF('Part A'!$Q:$Q,A499)</f>
        <v>1</v>
      </c>
    </row>
    <row r="500" spans="1:5" x14ac:dyDescent="0.3">
      <c r="A500" t="s">
        <v>4544</v>
      </c>
      <c r="B500" t="str">
        <f>_xlfn.XLOOKUP(A500,'Part A'!$Q:$Q,'Part A'!$F:$F,0,0,1)</f>
        <v>White</v>
      </c>
      <c r="C500" t="str">
        <f>_xlfn.XLOOKUP(A500,'Part A'!$Q:$Q,'Part A'!$E:$E,0,0,1)</f>
        <v>Male</v>
      </c>
      <c r="D500">
        <f>SUMIF('Part A'!$Q:$Q,A500,'Part A'!$G:$G)</f>
        <v>610</v>
      </c>
      <c r="E500">
        <f>COUNTIF('Part A'!$Q:$Q,A500)</f>
        <v>1</v>
      </c>
    </row>
    <row r="501" spans="1:5" x14ac:dyDescent="0.3">
      <c r="A501" t="s">
        <v>4545</v>
      </c>
      <c r="B501" t="str">
        <f>_xlfn.XLOOKUP(A501,'Part A'!$Q:$Q,'Part A'!$F:$F,0,0,1)</f>
        <v>Asian</v>
      </c>
      <c r="C501" t="str">
        <f>_xlfn.XLOOKUP(A501,'Part A'!$Q:$Q,'Part A'!$E:$E,0,0,1)</f>
        <v>Female</v>
      </c>
      <c r="D501">
        <f>SUMIF('Part A'!$Q:$Q,A501,'Part A'!$G:$G)</f>
        <v>276</v>
      </c>
      <c r="E501">
        <f>COUNTIF('Part A'!$Q:$Q,A501)</f>
        <v>1</v>
      </c>
    </row>
    <row r="502" spans="1:5" x14ac:dyDescent="0.3">
      <c r="A502" t="s">
        <v>4546</v>
      </c>
      <c r="B502" t="str">
        <f>_xlfn.XLOOKUP(A502,'Part A'!$Q:$Q,'Part A'!$F:$F,0,0,1)</f>
        <v>White</v>
      </c>
      <c r="C502" t="str">
        <f>_xlfn.XLOOKUP(A502,'Part A'!$Q:$Q,'Part A'!$E:$E,0,0,1)</f>
        <v>Female</v>
      </c>
      <c r="D502">
        <f>SUMIF('Part A'!$Q:$Q,A502,'Part A'!$G:$G)</f>
        <v>662</v>
      </c>
      <c r="E502">
        <f>COUNTIF('Part A'!$Q:$Q,A502)</f>
        <v>1</v>
      </c>
    </row>
    <row r="503" spans="1:5" x14ac:dyDescent="0.3">
      <c r="A503" t="s">
        <v>4547</v>
      </c>
      <c r="B503" t="str">
        <f>_xlfn.XLOOKUP(A503,'Part A'!$Q:$Q,'Part A'!$F:$F,0,0,1)</f>
        <v>White</v>
      </c>
      <c r="C503" t="str">
        <f>_xlfn.XLOOKUP(A503,'Part A'!$Q:$Q,'Part A'!$E:$E,0,0,1)</f>
        <v>Female</v>
      </c>
      <c r="D503">
        <f>SUMIF('Part A'!$Q:$Q,A503,'Part A'!$G:$G)</f>
        <v>281</v>
      </c>
      <c r="E503">
        <f>COUNTIF('Part A'!$Q:$Q,A503)</f>
        <v>1</v>
      </c>
    </row>
    <row r="504" spans="1:5" x14ac:dyDescent="0.3">
      <c r="A504" t="s">
        <v>4548</v>
      </c>
      <c r="B504" t="str">
        <f>_xlfn.XLOOKUP(A504,'Part A'!$Q:$Q,'Part A'!$F:$F,0,0,1)</f>
        <v>Black or African American</v>
      </c>
      <c r="C504" t="str">
        <f>_xlfn.XLOOKUP(A504,'Part A'!$Q:$Q,'Part A'!$E:$E,0,0,1)</f>
        <v>Female</v>
      </c>
      <c r="D504">
        <f>SUMIF('Part A'!$Q:$Q,A504,'Part A'!$G:$G)</f>
        <v>419</v>
      </c>
      <c r="E504">
        <f>COUNTIF('Part A'!$Q:$Q,A504)</f>
        <v>1</v>
      </c>
    </row>
    <row r="505" spans="1:5" x14ac:dyDescent="0.3">
      <c r="A505" t="s">
        <v>4549</v>
      </c>
      <c r="B505" t="str">
        <f>_xlfn.XLOOKUP(A505,'Part A'!$Q:$Q,'Part A'!$F:$F,0,0,1)</f>
        <v>White</v>
      </c>
      <c r="C505" t="str">
        <f>_xlfn.XLOOKUP(A505,'Part A'!$Q:$Q,'Part A'!$E:$E,0,0,1)</f>
        <v>Male</v>
      </c>
      <c r="D505">
        <f>SUMIF('Part A'!$Q:$Q,A505,'Part A'!$G:$G)</f>
        <v>420</v>
      </c>
      <c r="E505">
        <f>COUNTIF('Part A'!$Q:$Q,A505)</f>
        <v>1</v>
      </c>
    </row>
    <row r="506" spans="1:5" x14ac:dyDescent="0.3">
      <c r="A506" t="s">
        <v>4550</v>
      </c>
      <c r="B506" t="str">
        <f>_xlfn.XLOOKUP(A506,'Part A'!$Q:$Q,'Part A'!$F:$F,0,0,1)</f>
        <v>White</v>
      </c>
      <c r="C506" t="str">
        <f>_xlfn.XLOOKUP(A506,'Part A'!$Q:$Q,'Part A'!$E:$E,0,0,1)</f>
        <v>Female</v>
      </c>
      <c r="D506">
        <f>SUMIF('Part A'!$Q:$Q,A506,'Part A'!$G:$G)</f>
        <v>599</v>
      </c>
      <c r="E506">
        <f>COUNTIF('Part A'!$Q:$Q,A506)</f>
        <v>1</v>
      </c>
    </row>
    <row r="507" spans="1:5" x14ac:dyDescent="0.3">
      <c r="A507" t="s">
        <v>4551</v>
      </c>
      <c r="B507" t="str">
        <f>_xlfn.XLOOKUP(A507,'Part A'!$Q:$Q,'Part A'!$F:$F,0,0,1)</f>
        <v>Black or African American</v>
      </c>
      <c r="C507" t="str">
        <f>_xlfn.XLOOKUP(A507,'Part A'!$Q:$Q,'Part A'!$E:$E,0,0,1)</f>
        <v>Female</v>
      </c>
      <c r="D507">
        <f>SUMIF('Part A'!$Q:$Q,A507,'Part A'!$G:$G)</f>
        <v>652</v>
      </c>
      <c r="E507">
        <f>COUNTIF('Part A'!$Q:$Q,A507)</f>
        <v>1</v>
      </c>
    </row>
    <row r="508" spans="1:5" x14ac:dyDescent="0.3">
      <c r="A508" t="s">
        <v>4552</v>
      </c>
      <c r="B508" t="str">
        <f>_xlfn.XLOOKUP(A508,'Part A'!$Q:$Q,'Part A'!$F:$F,0,0,1)</f>
        <v>White</v>
      </c>
      <c r="C508" t="str">
        <f>_xlfn.XLOOKUP(A508,'Part A'!$Q:$Q,'Part A'!$E:$E,0,0,1)</f>
        <v>Female</v>
      </c>
      <c r="D508">
        <f>SUMIF('Part A'!$Q:$Q,A508,'Part A'!$G:$G)</f>
        <v>741</v>
      </c>
      <c r="E508">
        <f>COUNTIF('Part A'!$Q:$Q,A508)</f>
        <v>1</v>
      </c>
    </row>
    <row r="509" spans="1:5" x14ac:dyDescent="0.3">
      <c r="A509" t="s">
        <v>4553</v>
      </c>
      <c r="B509" t="str">
        <f>_xlfn.XLOOKUP(A509,'Part A'!$Q:$Q,'Part A'!$F:$F,0,0,1)</f>
        <v>White</v>
      </c>
      <c r="C509" t="str">
        <f>_xlfn.XLOOKUP(A509,'Part A'!$Q:$Q,'Part A'!$E:$E,0,0,1)</f>
        <v>Female</v>
      </c>
      <c r="D509">
        <f>SUMIF('Part A'!$Q:$Q,A509,'Part A'!$G:$G)</f>
        <v>565</v>
      </c>
      <c r="E509">
        <f>COUNTIF('Part A'!$Q:$Q,A509)</f>
        <v>1</v>
      </c>
    </row>
    <row r="510" spans="1:5" x14ac:dyDescent="0.3">
      <c r="A510" t="s">
        <v>4554</v>
      </c>
      <c r="B510" t="str">
        <f>_xlfn.XLOOKUP(A510,'Part A'!$Q:$Q,'Part A'!$F:$F,0,0,1)</f>
        <v>Black or African American</v>
      </c>
      <c r="C510" t="str">
        <f>_xlfn.XLOOKUP(A510,'Part A'!$Q:$Q,'Part A'!$E:$E,0,0,1)</f>
        <v>Female</v>
      </c>
      <c r="D510">
        <f>SUMIF('Part A'!$Q:$Q,A510,'Part A'!$G:$G)</f>
        <v>458</v>
      </c>
      <c r="E510">
        <f>COUNTIF('Part A'!$Q:$Q,A510)</f>
        <v>1</v>
      </c>
    </row>
    <row r="511" spans="1:5" x14ac:dyDescent="0.3">
      <c r="A511" t="s">
        <v>4555</v>
      </c>
      <c r="B511" t="str">
        <f>_xlfn.XLOOKUP(A511,'Part A'!$Q:$Q,'Part A'!$F:$F,0,0,1)</f>
        <v>Asian</v>
      </c>
      <c r="C511" t="str">
        <f>_xlfn.XLOOKUP(A511,'Part A'!$Q:$Q,'Part A'!$E:$E,0,0,1)</f>
        <v>Male</v>
      </c>
      <c r="D511">
        <f>SUMIF('Part A'!$Q:$Q,A511,'Part A'!$G:$G)</f>
        <v>905</v>
      </c>
      <c r="E511">
        <f>COUNTIF('Part A'!$Q:$Q,A511)</f>
        <v>1</v>
      </c>
    </row>
    <row r="512" spans="1:5" x14ac:dyDescent="0.3">
      <c r="A512" t="s">
        <v>4556</v>
      </c>
      <c r="B512" t="str">
        <f>_xlfn.XLOOKUP(A512,'Part A'!$Q:$Q,'Part A'!$F:$F,0,0,1)</f>
        <v>White</v>
      </c>
      <c r="C512" t="str">
        <f>_xlfn.XLOOKUP(A512,'Part A'!$Q:$Q,'Part A'!$E:$E,0,0,1)</f>
        <v>Female</v>
      </c>
      <c r="D512">
        <f>SUMIF('Part A'!$Q:$Q,A512,'Part A'!$G:$G)</f>
        <v>73</v>
      </c>
      <c r="E512">
        <f>COUNTIF('Part A'!$Q:$Q,A512)</f>
        <v>1</v>
      </c>
    </row>
    <row r="513" spans="1:5" x14ac:dyDescent="0.3">
      <c r="A513" t="s">
        <v>4557</v>
      </c>
      <c r="B513" t="str">
        <f>_xlfn.XLOOKUP(A513,'Part A'!$Q:$Q,'Part A'!$F:$F,0,0,1)</f>
        <v>White</v>
      </c>
      <c r="C513" t="str">
        <f>_xlfn.XLOOKUP(A513,'Part A'!$Q:$Q,'Part A'!$E:$E,0,0,1)</f>
        <v>Male</v>
      </c>
      <c r="D513">
        <f>SUMIF('Part A'!$Q:$Q,A513,'Part A'!$G:$G)</f>
        <v>118</v>
      </c>
      <c r="E513">
        <f>COUNTIF('Part A'!$Q:$Q,A513)</f>
        <v>1</v>
      </c>
    </row>
    <row r="514" spans="1:5" x14ac:dyDescent="0.3">
      <c r="A514" t="s">
        <v>4558</v>
      </c>
      <c r="B514" t="str">
        <f>_xlfn.XLOOKUP(A514,'Part A'!$Q:$Q,'Part A'!$F:$F,0,0,1)</f>
        <v>White</v>
      </c>
      <c r="C514" t="str">
        <f>_xlfn.XLOOKUP(A514,'Part A'!$Q:$Q,'Part A'!$E:$E,0,0,1)</f>
        <v>Male</v>
      </c>
      <c r="D514">
        <f>SUMIF('Part A'!$Q:$Q,A514,'Part A'!$G:$G)</f>
        <v>819</v>
      </c>
      <c r="E514">
        <f>COUNTIF('Part A'!$Q:$Q,A514)</f>
        <v>1</v>
      </c>
    </row>
    <row r="515" spans="1:5" x14ac:dyDescent="0.3">
      <c r="A515" t="s">
        <v>4559</v>
      </c>
      <c r="B515" t="str">
        <f>_xlfn.XLOOKUP(A515,'Part A'!$Q:$Q,'Part A'!$F:$F,0,0,1)</f>
        <v>Black or African American</v>
      </c>
      <c r="C515" t="str">
        <f>_xlfn.XLOOKUP(A515,'Part A'!$Q:$Q,'Part A'!$E:$E,0,0,1)</f>
        <v>Male</v>
      </c>
      <c r="D515">
        <f>SUMIF('Part A'!$Q:$Q,A515,'Part A'!$G:$G)</f>
        <v>569</v>
      </c>
      <c r="E515">
        <f>COUNTIF('Part A'!$Q:$Q,A515)</f>
        <v>1</v>
      </c>
    </row>
    <row r="516" spans="1:5" x14ac:dyDescent="0.3">
      <c r="A516" t="s">
        <v>4560</v>
      </c>
      <c r="B516" t="str">
        <f>_xlfn.XLOOKUP(A516,'Part A'!$Q:$Q,'Part A'!$F:$F,0,0,1)</f>
        <v>White</v>
      </c>
      <c r="C516" t="str">
        <f>_xlfn.XLOOKUP(A516,'Part A'!$Q:$Q,'Part A'!$E:$E,0,0,1)</f>
        <v>Female</v>
      </c>
      <c r="D516">
        <f>SUMIF('Part A'!$Q:$Q,A516,'Part A'!$G:$G)</f>
        <v>173</v>
      </c>
      <c r="E516">
        <f>COUNTIF('Part A'!$Q:$Q,A516)</f>
        <v>1</v>
      </c>
    </row>
    <row r="517" spans="1:5" x14ac:dyDescent="0.3">
      <c r="A517" t="s">
        <v>4561</v>
      </c>
      <c r="B517" t="str">
        <f>_xlfn.XLOOKUP(A517,'Part A'!$Q:$Q,'Part A'!$F:$F,0,0,1)</f>
        <v>White</v>
      </c>
      <c r="C517" t="str">
        <f>_xlfn.XLOOKUP(A517,'Part A'!$Q:$Q,'Part A'!$E:$E,0,0,1)</f>
        <v>Male</v>
      </c>
      <c r="D517">
        <f>SUMIF('Part A'!$Q:$Q,A517,'Part A'!$G:$G)</f>
        <v>522</v>
      </c>
      <c r="E517">
        <f>COUNTIF('Part A'!$Q:$Q,A517)</f>
        <v>1</v>
      </c>
    </row>
    <row r="518" spans="1:5" x14ac:dyDescent="0.3">
      <c r="A518" t="s">
        <v>4562</v>
      </c>
      <c r="B518" t="str">
        <f>_xlfn.XLOOKUP(A518,'Part A'!$Q:$Q,'Part A'!$F:$F,0,0,1)</f>
        <v>White</v>
      </c>
      <c r="C518" t="str">
        <f>_xlfn.XLOOKUP(A518,'Part A'!$Q:$Q,'Part A'!$E:$E,0,0,1)</f>
        <v>Female</v>
      </c>
      <c r="D518">
        <f>SUMIF('Part A'!$Q:$Q,A518,'Part A'!$G:$G)</f>
        <v>223</v>
      </c>
      <c r="E518">
        <f>COUNTIF('Part A'!$Q:$Q,A518)</f>
        <v>1</v>
      </c>
    </row>
    <row r="519" spans="1:5" x14ac:dyDescent="0.3">
      <c r="A519" t="s">
        <v>4563</v>
      </c>
      <c r="B519" t="str">
        <f>_xlfn.XLOOKUP(A519,'Part A'!$Q:$Q,'Part A'!$F:$F,0,0,1)</f>
        <v>White</v>
      </c>
      <c r="C519" t="str">
        <f>_xlfn.XLOOKUP(A519,'Part A'!$Q:$Q,'Part A'!$E:$E,0,0,1)</f>
        <v>Female</v>
      </c>
      <c r="D519">
        <f>SUMIF('Part A'!$Q:$Q,A519,'Part A'!$G:$G)</f>
        <v>4483</v>
      </c>
      <c r="E519">
        <f>COUNTIF('Part A'!$Q:$Q,A519)</f>
        <v>8</v>
      </c>
    </row>
    <row r="520" spans="1:5" x14ac:dyDescent="0.3">
      <c r="A520" t="s">
        <v>4564</v>
      </c>
      <c r="B520" t="str">
        <f>_xlfn.XLOOKUP(A520,'Part A'!$Q:$Q,'Part A'!$F:$F,0,0,1)</f>
        <v>Black or African American</v>
      </c>
      <c r="C520" t="str">
        <f>_xlfn.XLOOKUP(A520,'Part A'!$Q:$Q,'Part A'!$E:$E,0,0,1)</f>
        <v>Female</v>
      </c>
      <c r="D520">
        <f>SUMIF('Part A'!$Q:$Q,A520,'Part A'!$G:$G)</f>
        <v>146</v>
      </c>
      <c r="E520">
        <f>COUNTIF('Part A'!$Q:$Q,A520)</f>
        <v>1</v>
      </c>
    </row>
    <row r="521" spans="1:5" x14ac:dyDescent="0.3">
      <c r="A521" t="s">
        <v>4565</v>
      </c>
      <c r="B521" t="str">
        <f>_xlfn.XLOOKUP(A521,'Part A'!$Q:$Q,'Part A'!$F:$F,0,0,1)</f>
        <v>White</v>
      </c>
      <c r="C521" t="str">
        <f>_xlfn.XLOOKUP(A521,'Part A'!$Q:$Q,'Part A'!$E:$E,0,0,1)</f>
        <v>Female</v>
      </c>
      <c r="D521">
        <f>SUMIF('Part A'!$Q:$Q,A521,'Part A'!$G:$G)</f>
        <v>390</v>
      </c>
      <c r="E521">
        <f>COUNTIF('Part A'!$Q:$Q,A521)</f>
        <v>1</v>
      </c>
    </row>
    <row r="522" spans="1:5" x14ac:dyDescent="0.3">
      <c r="A522" t="s">
        <v>4566</v>
      </c>
      <c r="B522" t="str">
        <f>_xlfn.XLOOKUP(A522,'Part A'!$Q:$Q,'Part A'!$F:$F,0,0,1)</f>
        <v>Mexican</v>
      </c>
      <c r="C522" t="str">
        <f>_xlfn.XLOOKUP(A522,'Part A'!$Q:$Q,'Part A'!$E:$E,0,0,1)</f>
        <v>Male</v>
      </c>
      <c r="D522">
        <f>SUMIF('Part A'!$Q:$Q,A522,'Part A'!$G:$G)</f>
        <v>6356</v>
      </c>
      <c r="E522">
        <f>COUNTIF('Part A'!$Q:$Q,A522)</f>
        <v>8</v>
      </c>
    </row>
    <row r="523" spans="1:5" x14ac:dyDescent="0.3">
      <c r="A523" t="s">
        <v>4567</v>
      </c>
      <c r="B523" t="str">
        <f>_xlfn.XLOOKUP(A523,'Part A'!$Q:$Q,'Part A'!$F:$F,0,0,1)</f>
        <v>Black or African American</v>
      </c>
      <c r="C523" t="str">
        <f>_xlfn.XLOOKUP(A523,'Part A'!$Q:$Q,'Part A'!$E:$E,0,0,1)</f>
        <v>Female</v>
      </c>
      <c r="D523">
        <f>SUMIF('Part A'!$Q:$Q,A523,'Part A'!$G:$G)</f>
        <v>109</v>
      </c>
      <c r="E523">
        <f>COUNTIF('Part A'!$Q:$Q,A523)</f>
        <v>1</v>
      </c>
    </row>
    <row r="524" spans="1:5" x14ac:dyDescent="0.3">
      <c r="A524" t="s">
        <v>4568</v>
      </c>
      <c r="B524" t="str">
        <f>_xlfn.XLOOKUP(A524,'Part A'!$Q:$Q,'Part A'!$F:$F,0,0,1)</f>
        <v>Black or African American</v>
      </c>
      <c r="C524" t="str">
        <f>_xlfn.XLOOKUP(A524,'Part A'!$Q:$Q,'Part A'!$E:$E,0,0,1)</f>
        <v>Male</v>
      </c>
      <c r="D524">
        <f>SUMIF('Part A'!$Q:$Q,A524,'Part A'!$G:$G)</f>
        <v>865</v>
      </c>
      <c r="E524">
        <f>COUNTIF('Part A'!$Q:$Q,A524)</f>
        <v>1</v>
      </c>
    </row>
    <row r="525" spans="1:5" x14ac:dyDescent="0.3">
      <c r="A525" t="s">
        <v>4569</v>
      </c>
      <c r="B525" t="str">
        <f>_xlfn.XLOOKUP(A525,'Part A'!$Q:$Q,'Part A'!$F:$F,0,0,1)</f>
        <v>Black or African American</v>
      </c>
      <c r="C525" t="str">
        <f>_xlfn.XLOOKUP(A525,'Part A'!$Q:$Q,'Part A'!$E:$E,0,0,1)</f>
        <v>Female</v>
      </c>
      <c r="D525">
        <f>SUMIF('Part A'!$Q:$Q,A525,'Part A'!$G:$G)</f>
        <v>943</v>
      </c>
      <c r="E525">
        <f>COUNTIF('Part A'!$Q:$Q,A525)</f>
        <v>1</v>
      </c>
    </row>
    <row r="526" spans="1:5" x14ac:dyDescent="0.3">
      <c r="A526" t="s">
        <v>4570</v>
      </c>
      <c r="B526" t="str">
        <f>_xlfn.XLOOKUP(A526,'Part A'!$Q:$Q,'Part A'!$F:$F,0,0,1)</f>
        <v>White</v>
      </c>
      <c r="C526" t="str">
        <f>_xlfn.XLOOKUP(A526,'Part A'!$Q:$Q,'Part A'!$E:$E,0,0,1)</f>
        <v>Female</v>
      </c>
      <c r="D526">
        <f>SUMIF('Part A'!$Q:$Q,A526,'Part A'!$G:$G)</f>
        <v>972</v>
      </c>
      <c r="E526">
        <f>COUNTIF('Part A'!$Q:$Q,A526)</f>
        <v>1</v>
      </c>
    </row>
    <row r="527" spans="1:5" x14ac:dyDescent="0.3">
      <c r="A527" t="s">
        <v>4571</v>
      </c>
      <c r="B527" t="str">
        <f>_xlfn.XLOOKUP(A527,'Part A'!$Q:$Q,'Part A'!$F:$F,0,0,1)</f>
        <v>Black or African American</v>
      </c>
      <c r="C527" t="str">
        <f>_xlfn.XLOOKUP(A527,'Part A'!$Q:$Q,'Part A'!$E:$E,0,0,1)</f>
        <v>Female</v>
      </c>
      <c r="D527">
        <f>SUMIF('Part A'!$Q:$Q,A527,'Part A'!$G:$G)</f>
        <v>786</v>
      </c>
      <c r="E527">
        <f>COUNTIF('Part A'!$Q:$Q,A527)</f>
        <v>1</v>
      </c>
    </row>
    <row r="528" spans="1:5" x14ac:dyDescent="0.3">
      <c r="A528" t="s">
        <v>4572</v>
      </c>
      <c r="B528" t="str">
        <f>_xlfn.XLOOKUP(A528,'Part A'!$Q:$Q,'Part A'!$F:$F,0,0,1)</f>
        <v>Asian</v>
      </c>
      <c r="C528" t="str">
        <f>_xlfn.XLOOKUP(A528,'Part A'!$Q:$Q,'Part A'!$E:$E,0,0,1)</f>
        <v>Female</v>
      </c>
      <c r="D528">
        <f>SUMIF('Part A'!$Q:$Q,A528,'Part A'!$G:$G)</f>
        <v>13</v>
      </c>
      <c r="E528">
        <f>COUNTIF('Part A'!$Q:$Q,A528)</f>
        <v>1</v>
      </c>
    </row>
    <row r="529" spans="1:5" x14ac:dyDescent="0.3">
      <c r="A529" t="s">
        <v>4573</v>
      </c>
      <c r="B529" t="str">
        <f>_xlfn.XLOOKUP(A529,'Part A'!$Q:$Q,'Part A'!$F:$F,0,0,1)</f>
        <v>White</v>
      </c>
      <c r="C529" t="str">
        <f>_xlfn.XLOOKUP(A529,'Part A'!$Q:$Q,'Part A'!$E:$E,0,0,1)</f>
        <v>Male</v>
      </c>
      <c r="D529">
        <f>SUMIF('Part A'!$Q:$Q,A529,'Part A'!$G:$G)</f>
        <v>321</v>
      </c>
      <c r="E529">
        <f>COUNTIF('Part A'!$Q:$Q,A529)</f>
        <v>1</v>
      </c>
    </row>
    <row r="530" spans="1:5" x14ac:dyDescent="0.3">
      <c r="A530" t="s">
        <v>4574</v>
      </c>
      <c r="B530" t="str">
        <f>_xlfn.XLOOKUP(A530,'Part A'!$Q:$Q,'Part A'!$F:$F,0,0,1)</f>
        <v>White</v>
      </c>
      <c r="C530" t="str">
        <f>_xlfn.XLOOKUP(A530,'Part A'!$Q:$Q,'Part A'!$E:$E,0,0,1)</f>
        <v>Male</v>
      </c>
      <c r="D530">
        <f>SUMIF('Part A'!$Q:$Q,A530,'Part A'!$G:$G)</f>
        <v>697</v>
      </c>
      <c r="E530">
        <f>COUNTIF('Part A'!$Q:$Q,A530)</f>
        <v>1</v>
      </c>
    </row>
    <row r="531" spans="1:5" x14ac:dyDescent="0.3">
      <c r="A531" t="s">
        <v>4575</v>
      </c>
      <c r="B531" t="str">
        <f>_xlfn.XLOOKUP(A531,'Part A'!$Q:$Q,'Part A'!$F:$F,0,0,1)</f>
        <v>White</v>
      </c>
      <c r="C531" t="str">
        <f>_xlfn.XLOOKUP(A531,'Part A'!$Q:$Q,'Part A'!$E:$E,0,0,1)</f>
        <v>Female</v>
      </c>
      <c r="D531">
        <f>SUMIF('Part A'!$Q:$Q,A531,'Part A'!$G:$G)</f>
        <v>667</v>
      </c>
      <c r="E531">
        <f>COUNTIF('Part A'!$Q:$Q,A531)</f>
        <v>1</v>
      </c>
    </row>
    <row r="532" spans="1:5" x14ac:dyDescent="0.3">
      <c r="A532" t="s">
        <v>4576</v>
      </c>
      <c r="B532" t="str">
        <f>_xlfn.XLOOKUP(A532,'Part A'!$Q:$Q,'Part A'!$F:$F,0,0,1)</f>
        <v>Black or African American</v>
      </c>
      <c r="C532" t="str">
        <f>_xlfn.XLOOKUP(A532,'Part A'!$Q:$Q,'Part A'!$E:$E,0,0,1)</f>
        <v>Female</v>
      </c>
      <c r="D532">
        <f>SUMIF('Part A'!$Q:$Q,A532,'Part A'!$G:$G)</f>
        <v>102</v>
      </c>
      <c r="E532">
        <f>COUNTIF('Part A'!$Q:$Q,A532)</f>
        <v>1</v>
      </c>
    </row>
    <row r="533" spans="1:5" x14ac:dyDescent="0.3">
      <c r="A533" t="s">
        <v>4577</v>
      </c>
      <c r="B533" t="str">
        <f>_xlfn.XLOOKUP(A533,'Part A'!$Q:$Q,'Part A'!$F:$F,0,0,1)</f>
        <v>Asian</v>
      </c>
      <c r="C533" t="str">
        <f>_xlfn.XLOOKUP(A533,'Part A'!$Q:$Q,'Part A'!$E:$E,0,0,1)</f>
        <v>Female</v>
      </c>
      <c r="D533">
        <f>SUMIF('Part A'!$Q:$Q,A533,'Part A'!$G:$G)</f>
        <v>993</v>
      </c>
      <c r="E533">
        <f>COUNTIF('Part A'!$Q:$Q,A533)</f>
        <v>1</v>
      </c>
    </row>
    <row r="534" spans="1:5" x14ac:dyDescent="0.3">
      <c r="A534" t="s">
        <v>4578</v>
      </c>
      <c r="B534" t="str">
        <f>_xlfn.XLOOKUP(A534,'Part A'!$Q:$Q,'Part A'!$F:$F,0,0,1)</f>
        <v>Asian</v>
      </c>
      <c r="C534" t="str">
        <f>_xlfn.XLOOKUP(A534,'Part A'!$Q:$Q,'Part A'!$E:$E,0,0,1)</f>
        <v>Male</v>
      </c>
      <c r="D534">
        <f>SUMIF('Part A'!$Q:$Q,A534,'Part A'!$G:$G)</f>
        <v>974</v>
      </c>
      <c r="E534">
        <f>COUNTIF('Part A'!$Q:$Q,A534)</f>
        <v>1</v>
      </c>
    </row>
    <row r="535" spans="1:5" x14ac:dyDescent="0.3">
      <c r="A535" t="s">
        <v>4579</v>
      </c>
      <c r="B535" t="str">
        <f>_xlfn.XLOOKUP(A535,'Part A'!$Q:$Q,'Part A'!$F:$F,0,0,1)</f>
        <v>White</v>
      </c>
      <c r="C535" t="str">
        <f>_xlfn.XLOOKUP(A535,'Part A'!$Q:$Q,'Part A'!$E:$E,0,0,1)</f>
        <v>Male</v>
      </c>
      <c r="D535">
        <f>SUMIF('Part A'!$Q:$Q,A535,'Part A'!$G:$G)</f>
        <v>703</v>
      </c>
      <c r="E535">
        <f>COUNTIF('Part A'!$Q:$Q,A535)</f>
        <v>1</v>
      </c>
    </row>
    <row r="536" spans="1:5" x14ac:dyDescent="0.3">
      <c r="A536" t="s">
        <v>4580</v>
      </c>
      <c r="B536" t="str">
        <f>_xlfn.XLOOKUP(A536,'Part A'!$Q:$Q,'Part A'!$F:$F,0,0,1)</f>
        <v>White</v>
      </c>
      <c r="C536" t="str">
        <f>_xlfn.XLOOKUP(A536,'Part A'!$Q:$Q,'Part A'!$E:$E,0,0,1)</f>
        <v>Female</v>
      </c>
      <c r="D536">
        <f>SUMIF('Part A'!$Q:$Q,A536,'Part A'!$G:$G)</f>
        <v>963</v>
      </c>
      <c r="E536">
        <f>COUNTIF('Part A'!$Q:$Q,A536)</f>
        <v>1</v>
      </c>
    </row>
    <row r="537" spans="1:5" x14ac:dyDescent="0.3">
      <c r="A537" t="s">
        <v>4062</v>
      </c>
      <c r="B537" t="str">
        <f>_xlfn.XLOOKUP(A537,'Part A'!$Q:$Q,'Part A'!$F:$F,0,0,1)</f>
        <v>White</v>
      </c>
      <c r="C537" t="str">
        <f>_xlfn.XLOOKUP(A537,'Part A'!$Q:$Q,'Part A'!$E:$E,0,0,1)</f>
        <v>Male</v>
      </c>
      <c r="D537">
        <f>SUMIF('Part A'!$Q:$Q,A537,'Part A'!$G:$G)</f>
        <v>521</v>
      </c>
      <c r="E537">
        <f>COUNTIF('Part A'!$Q:$Q,A537)</f>
        <v>1</v>
      </c>
    </row>
    <row r="538" spans="1:5" x14ac:dyDescent="0.3">
      <c r="A538" t="s">
        <v>4581</v>
      </c>
      <c r="B538" t="str">
        <f>_xlfn.XLOOKUP(A538,'Part A'!$Q:$Q,'Part A'!$F:$F,0,0,1)</f>
        <v>White</v>
      </c>
      <c r="C538" t="str">
        <f>_xlfn.XLOOKUP(A538,'Part A'!$Q:$Q,'Part A'!$E:$E,0,0,1)</f>
        <v>Female</v>
      </c>
      <c r="D538">
        <f>SUMIF('Part A'!$Q:$Q,A538,'Part A'!$G:$G)</f>
        <v>262</v>
      </c>
      <c r="E538">
        <f>COUNTIF('Part A'!$Q:$Q,A538)</f>
        <v>1</v>
      </c>
    </row>
    <row r="539" spans="1:5" x14ac:dyDescent="0.3">
      <c r="A539" t="s">
        <v>4582</v>
      </c>
      <c r="B539" t="str">
        <f>_xlfn.XLOOKUP(A539,'Part A'!$Q:$Q,'Part A'!$F:$F,0,0,1)</f>
        <v>Mexican</v>
      </c>
      <c r="C539" t="str">
        <f>_xlfn.XLOOKUP(A539,'Part A'!$Q:$Q,'Part A'!$E:$E,0,0,1)</f>
        <v>Male</v>
      </c>
      <c r="D539">
        <f>SUMIF('Part A'!$Q:$Q,A539,'Part A'!$G:$G)</f>
        <v>327</v>
      </c>
      <c r="E539">
        <f>COUNTIF('Part A'!$Q:$Q,A539)</f>
        <v>1</v>
      </c>
    </row>
    <row r="540" spans="1:5" x14ac:dyDescent="0.3">
      <c r="A540" t="s">
        <v>4583</v>
      </c>
      <c r="B540" t="str">
        <f>_xlfn.XLOOKUP(A540,'Part A'!$Q:$Q,'Part A'!$F:$F,0,0,1)</f>
        <v>White</v>
      </c>
      <c r="C540" t="str">
        <f>_xlfn.XLOOKUP(A540,'Part A'!$Q:$Q,'Part A'!$E:$E,0,0,1)</f>
        <v>Female</v>
      </c>
      <c r="D540">
        <f>SUMIF('Part A'!$Q:$Q,A540,'Part A'!$G:$G)</f>
        <v>395</v>
      </c>
      <c r="E540">
        <f>COUNTIF('Part A'!$Q:$Q,A540)</f>
        <v>1</v>
      </c>
    </row>
    <row r="541" spans="1:5" x14ac:dyDescent="0.3">
      <c r="A541" t="s">
        <v>4584</v>
      </c>
      <c r="B541" t="str">
        <f>_xlfn.XLOOKUP(A541,'Part A'!$Q:$Q,'Part A'!$F:$F,0,0,1)</f>
        <v>Black or African American</v>
      </c>
      <c r="C541" t="str">
        <f>_xlfn.XLOOKUP(A541,'Part A'!$Q:$Q,'Part A'!$E:$E,0,0,1)</f>
        <v>Male</v>
      </c>
      <c r="D541">
        <f>SUMIF('Part A'!$Q:$Q,A541,'Part A'!$G:$G)</f>
        <v>405</v>
      </c>
      <c r="E541">
        <f>COUNTIF('Part A'!$Q:$Q,A541)</f>
        <v>1</v>
      </c>
    </row>
    <row r="542" spans="1:5" x14ac:dyDescent="0.3">
      <c r="A542" t="s">
        <v>4585</v>
      </c>
      <c r="B542" t="str">
        <f>_xlfn.XLOOKUP(A542,'Part A'!$Q:$Q,'Part A'!$F:$F,0,0,1)</f>
        <v>Asian</v>
      </c>
      <c r="C542" t="str">
        <f>_xlfn.XLOOKUP(A542,'Part A'!$Q:$Q,'Part A'!$E:$E,0,0,1)</f>
        <v>Male</v>
      </c>
      <c r="D542">
        <f>SUMIF('Part A'!$Q:$Q,A542,'Part A'!$G:$G)</f>
        <v>107</v>
      </c>
      <c r="E542">
        <f>COUNTIF('Part A'!$Q:$Q,A542)</f>
        <v>1</v>
      </c>
    </row>
    <row r="543" spans="1:5" x14ac:dyDescent="0.3">
      <c r="A543" t="s">
        <v>4586</v>
      </c>
      <c r="B543" t="str">
        <f>_xlfn.XLOOKUP(A543,'Part A'!$Q:$Q,'Part A'!$F:$F,0,0,1)</f>
        <v>White</v>
      </c>
      <c r="C543" t="str">
        <f>_xlfn.XLOOKUP(A543,'Part A'!$Q:$Q,'Part A'!$E:$E,0,0,1)</f>
        <v>Male</v>
      </c>
      <c r="D543">
        <f>SUMIF('Part A'!$Q:$Q,A543,'Part A'!$G:$G)</f>
        <v>527</v>
      </c>
      <c r="E543">
        <f>COUNTIF('Part A'!$Q:$Q,A543)</f>
        <v>1</v>
      </c>
    </row>
    <row r="544" spans="1:5" x14ac:dyDescent="0.3">
      <c r="A544" t="s">
        <v>4063</v>
      </c>
      <c r="B544" t="str">
        <f>_xlfn.XLOOKUP(A544,'Part A'!$Q:$Q,'Part A'!$F:$F,0,0,1)</f>
        <v>White</v>
      </c>
      <c r="C544" t="str">
        <f>_xlfn.XLOOKUP(A544,'Part A'!$Q:$Q,'Part A'!$E:$E,0,0,1)</f>
        <v>Female</v>
      </c>
      <c r="D544">
        <f>SUMIF('Part A'!$Q:$Q,A544,'Part A'!$G:$G)</f>
        <v>522</v>
      </c>
      <c r="E544">
        <f>COUNTIF('Part A'!$Q:$Q,A544)</f>
        <v>1</v>
      </c>
    </row>
    <row r="545" spans="1:5" x14ac:dyDescent="0.3">
      <c r="A545" t="s">
        <v>4587</v>
      </c>
      <c r="B545" t="str">
        <f>_xlfn.XLOOKUP(A545,'Part A'!$Q:$Q,'Part A'!$F:$F,0,0,1)</f>
        <v>Black or African American</v>
      </c>
      <c r="C545" t="str">
        <f>_xlfn.XLOOKUP(A545,'Part A'!$Q:$Q,'Part A'!$E:$E,0,0,1)</f>
        <v>Female</v>
      </c>
      <c r="D545">
        <f>SUMIF('Part A'!$Q:$Q,A545,'Part A'!$G:$G)</f>
        <v>120</v>
      </c>
      <c r="E545">
        <f>COUNTIF('Part A'!$Q:$Q,A545)</f>
        <v>1</v>
      </c>
    </row>
    <row r="546" spans="1:5" x14ac:dyDescent="0.3">
      <c r="A546" t="s">
        <v>4588</v>
      </c>
      <c r="B546" t="str">
        <f>_xlfn.XLOOKUP(A546,'Part A'!$Q:$Q,'Part A'!$F:$F,0,0,1)</f>
        <v>White</v>
      </c>
      <c r="C546" t="str">
        <f>_xlfn.XLOOKUP(A546,'Part A'!$Q:$Q,'Part A'!$E:$E,0,0,1)</f>
        <v>Female</v>
      </c>
      <c r="D546">
        <f>SUMIF('Part A'!$Q:$Q,A546,'Part A'!$G:$G)</f>
        <v>936</v>
      </c>
      <c r="E546">
        <f>COUNTIF('Part A'!$Q:$Q,A546)</f>
        <v>1</v>
      </c>
    </row>
    <row r="547" spans="1:5" x14ac:dyDescent="0.3">
      <c r="A547" t="s">
        <v>4589</v>
      </c>
      <c r="B547" t="str">
        <f>_xlfn.XLOOKUP(A547,'Part A'!$Q:$Q,'Part A'!$F:$F,0,0,1)</f>
        <v>White</v>
      </c>
      <c r="C547" t="str">
        <f>_xlfn.XLOOKUP(A547,'Part A'!$Q:$Q,'Part A'!$E:$E,0,0,1)</f>
        <v>Male</v>
      </c>
      <c r="D547">
        <f>SUMIF('Part A'!$Q:$Q,A547,'Part A'!$G:$G)</f>
        <v>171</v>
      </c>
      <c r="E547">
        <f>COUNTIF('Part A'!$Q:$Q,A547)</f>
        <v>1</v>
      </c>
    </row>
    <row r="548" spans="1:5" x14ac:dyDescent="0.3">
      <c r="A548" t="s">
        <v>4590</v>
      </c>
      <c r="B548" t="str">
        <f>_xlfn.XLOOKUP(A548,'Part A'!$Q:$Q,'Part A'!$F:$F,0,0,1)</f>
        <v>White</v>
      </c>
      <c r="C548" t="str">
        <f>_xlfn.XLOOKUP(A548,'Part A'!$Q:$Q,'Part A'!$E:$E,0,0,1)</f>
        <v>Male</v>
      </c>
      <c r="D548">
        <f>SUMIF('Part A'!$Q:$Q,A548,'Part A'!$G:$G)</f>
        <v>478</v>
      </c>
      <c r="E548">
        <f>COUNTIF('Part A'!$Q:$Q,A548)</f>
        <v>1</v>
      </c>
    </row>
    <row r="549" spans="1:5" x14ac:dyDescent="0.3">
      <c r="A549" t="s">
        <v>4591</v>
      </c>
      <c r="B549" t="str">
        <f>_xlfn.XLOOKUP(A549,'Part A'!$Q:$Q,'Part A'!$F:$F,0,0,1)</f>
        <v>Black or African American</v>
      </c>
      <c r="C549" t="str">
        <f>_xlfn.XLOOKUP(A549,'Part A'!$Q:$Q,'Part A'!$E:$E,0,0,1)</f>
        <v>Male</v>
      </c>
      <c r="D549">
        <f>SUMIF('Part A'!$Q:$Q,A549,'Part A'!$G:$G)</f>
        <v>164</v>
      </c>
      <c r="E549">
        <f>COUNTIF('Part A'!$Q:$Q,A549)</f>
        <v>1</v>
      </c>
    </row>
    <row r="550" spans="1:5" x14ac:dyDescent="0.3">
      <c r="A550" t="s">
        <v>4064</v>
      </c>
      <c r="B550" t="str">
        <f>_xlfn.XLOOKUP(A550,'Part A'!$Q:$Q,'Part A'!$F:$F,0,0,1)</f>
        <v>White</v>
      </c>
      <c r="C550" t="str">
        <f>_xlfn.XLOOKUP(A550,'Part A'!$Q:$Q,'Part A'!$E:$E,0,0,1)</f>
        <v>Male</v>
      </c>
      <c r="D550">
        <f>SUMIF('Part A'!$Q:$Q,A550,'Part A'!$G:$G)</f>
        <v>813</v>
      </c>
      <c r="E550">
        <f>COUNTIF('Part A'!$Q:$Q,A550)</f>
        <v>1</v>
      </c>
    </row>
    <row r="551" spans="1:5" x14ac:dyDescent="0.3">
      <c r="A551" t="s">
        <v>4065</v>
      </c>
      <c r="B551" t="str">
        <f>_xlfn.XLOOKUP(A551,'Part A'!$Q:$Q,'Part A'!$F:$F,0,0,1)</f>
        <v>Black or African American</v>
      </c>
      <c r="C551" t="str">
        <f>_xlfn.XLOOKUP(A551,'Part A'!$Q:$Q,'Part A'!$E:$E,0,0,1)</f>
        <v>Female</v>
      </c>
      <c r="D551">
        <f>SUMIF('Part A'!$Q:$Q,A551,'Part A'!$G:$G)</f>
        <v>5161</v>
      </c>
      <c r="E551">
        <f>COUNTIF('Part A'!$Q:$Q,A551)</f>
        <v>10</v>
      </c>
    </row>
    <row r="552" spans="1:5" x14ac:dyDescent="0.3">
      <c r="A552" t="s">
        <v>4592</v>
      </c>
      <c r="B552" t="str">
        <f>_xlfn.XLOOKUP(A552,'Part A'!$Q:$Q,'Part A'!$F:$F,0,0,1)</f>
        <v>White</v>
      </c>
      <c r="C552" t="str">
        <f>_xlfn.XLOOKUP(A552,'Part A'!$Q:$Q,'Part A'!$E:$E,0,0,1)</f>
        <v>Male</v>
      </c>
      <c r="D552">
        <f>SUMIF('Part A'!$Q:$Q,A552,'Part A'!$G:$G)</f>
        <v>158</v>
      </c>
      <c r="E552">
        <f>COUNTIF('Part A'!$Q:$Q,A552)</f>
        <v>1</v>
      </c>
    </row>
    <row r="553" spans="1:5" x14ac:dyDescent="0.3">
      <c r="A553" t="s">
        <v>4593</v>
      </c>
      <c r="B553" t="str">
        <f>_xlfn.XLOOKUP(A553,'Part A'!$Q:$Q,'Part A'!$F:$F,0,0,1)</f>
        <v>White</v>
      </c>
      <c r="C553" t="str">
        <f>_xlfn.XLOOKUP(A553,'Part A'!$Q:$Q,'Part A'!$E:$E,0,0,1)</f>
        <v>Male</v>
      </c>
      <c r="D553">
        <f>SUMIF('Part A'!$Q:$Q,A553,'Part A'!$G:$G)</f>
        <v>613</v>
      </c>
      <c r="E553">
        <f>COUNTIF('Part A'!$Q:$Q,A553)</f>
        <v>1</v>
      </c>
    </row>
    <row r="554" spans="1:5" x14ac:dyDescent="0.3">
      <c r="A554" t="s">
        <v>4066</v>
      </c>
      <c r="B554" t="str">
        <f>_xlfn.XLOOKUP(A554,'Part A'!$Q:$Q,'Part A'!$F:$F,0,0,1)</f>
        <v>Asian</v>
      </c>
      <c r="C554" t="str">
        <f>_xlfn.XLOOKUP(A554,'Part A'!$Q:$Q,'Part A'!$E:$E,0,0,1)</f>
        <v>Female</v>
      </c>
      <c r="D554">
        <f>SUMIF('Part A'!$Q:$Q,A554,'Part A'!$G:$G)</f>
        <v>547</v>
      </c>
      <c r="E554">
        <f>COUNTIF('Part A'!$Q:$Q,A554)</f>
        <v>1</v>
      </c>
    </row>
    <row r="555" spans="1:5" x14ac:dyDescent="0.3">
      <c r="A555" t="s">
        <v>4594</v>
      </c>
      <c r="B555" t="str">
        <f>_xlfn.XLOOKUP(A555,'Part A'!$Q:$Q,'Part A'!$F:$F,0,0,1)</f>
        <v>White</v>
      </c>
      <c r="C555" t="str">
        <f>_xlfn.XLOOKUP(A555,'Part A'!$Q:$Q,'Part A'!$E:$E,0,0,1)</f>
        <v>Male</v>
      </c>
      <c r="D555">
        <f>SUMIF('Part A'!$Q:$Q,A555,'Part A'!$G:$G)</f>
        <v>792</v>
      </c>
      <c r="E555">
        <f>COUNTIF('Part A'!$Q:$Q,A555)</f>
        <v>1</v>
      </c>
    </row>
    <row r="556" spans="1:5" x14ac:dyDescent="0.3">
      <c r="A556" t="s">
        <v>4595</v>
      </c>
      <c r="B556" t="str">
        <f>_xlfn.XLOOKUP(A556,'Part A'!$Q:$Q,'Part A'!$F:$F,0,0,1)</f>
        <v>White</v>
      </c>
      <c r="C556" t="str">
        <f>_xlfn.XLOOKUP(A556,'Part A'!$Q:$Q,'Part A'!$E:$E,0,0,1)</f>
        <v>Male</v>
      </c>
      <c r="D556">
        <f>SUMIF('Part A'!$Q:$Q,A556,'Part A'!$G:$G)</f>
        <v>310</v>
      </c>
      <c r="E556">
        <f>COUNTIF('Part A'!$Q:$Q,A556)</f>
        <v>1</v>
      </c>
    </row>
    <row r="557" spans="1:5" x14ac:dyDescent="0.3">
      <c r="A557" t="s">
        <v>4596</v>
      </c>
      <c r="B557" t="str">
        <f>_xlfn.XLOOKUP(A557,'Part A'!$Q:$Q,'Part A'!$F:$F,0,0,1)</f>
        <v>Hispanic</v>
      </c>
      <c r="C557" t="str">
        <f>_xlfn.XLOOKUP(A557,'Part A'!$Q:$Q,'Part A'!$E:$E,0,0,1)</f>
        <v>Male</v>
      </c>
      <c r="D557">
        <f>SUMIF('Part A'!$Q:$Q,A557,'Part A'!$G:$G)</f>
        <v>814</v>
      </c>
      <c r="E557">
        <f>COUNTIF('Part A'!$Q:$Q,A557)</f>
        <v>1</v>
      </c>
    </row>
    <row r="558" spans="1:5" x14ac:dyDescent="0.3">
      <c r="A558" t="s">
        <v>4597</v>
      </c>
      <c r="B558" t="str">
        <f>_xlfn.XLOOKUP(A558,'Part A'!$Q:$Q,'Part A'!$F:$F,0,0,1)</f>
        <v>White</v>
      </c>
      <c r="C558" t="str">
        <f>_xlfn.XLOOKUP(A558,'Part A'!$Q:$Q,'Part A'!$E:$E,0,0,1)</f>
        <v>Male</v>
      </c>
      <c r="D558">
        <f>SUMIF('Part A'!$Q:$Q,A558,'Part A'!$G:$G)</f>
        <v>803</v>
      </c>
      <c r="E558">
        <f>COUNTIF('Part A'!$Q:$Q,A558)</f>
        <v>1</v>
      </c>
    </row>
    <row r="559" spans="1:5" x14ac:dyDescent="0.3">
      <c r="A559" t="s">
        <v>4598</v>
      </c>
      <c r="B559" t="str">
        <f>_xlfn.XLOOKUP(A559,'Part A'!$Q:$Q,'Part A'!$F:$F,0,0,1)</f>
        <v>Black or African American</v>
      </c>
      <c r="C559" t="str">
        <f>_xlfn.XLOOKUP(A559,'Part A'!$Q:$Q,'Part A'!$E:$E,0,0,1)</f>
        <v>Male</v>
      </c>
      <c r="D559">
        <f>SUMIF('Part A'!$Q:$Q,A559,'Part A'!$G:$G)</f>
        <v>38</v>
      </c>
      <c r="E559">
        <f>COUNTIF('Part A'!$Q:$Q,A559)</f>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F47F3D-EE05-462F-8481-54D8DF4D27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Part A</vt:lpstr>
      <vt:lpstr>Part B</vt:lpstr>
      <vt:lpstr>Part C</vt:lpstr>
      <vt:lpstr>Part D</vt:lpstr>
      <vt:lpstr>Part E</vt:lpstr>
      <vt:lpstr>Data_Set_2</vt: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Dotson</dc:creator>
  <cp:lastModifiedBy>Ryan Dotson</cp:lastModifiedBy>
  <dcterms:created xsi:type="dcterms:W3CDTF">2025-09-06T01:53:17Z</dcterms:created>
  <dcterms:modified xsi:type="dcterms:W3CDTF">2025-09-11T16:25:48Z</dcterms:modified>
</cp:coreProperties>
</file>